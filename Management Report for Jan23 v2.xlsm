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lee\Dropbox\Side Hussle\VBA\Finished Project\"/>
    </mc:Choice>
  </mc:AlternateContent>
  <bookViews>
    <workbookView xWindow="480" yWindow="345" windowWidth="16320" windowHeight="6510" tabRatio="911" firstSheet="2" activeTab="3"/>
  </bookViews>
  <sheets>
    <sheet name="Tab Colour" sheetId="53" state="hidden" r:id="rId1"/>
    <sheet name="Analysis" sheetId="54" state="hidden" r:id="rId2"/>
    <sheet name="Snapshot" sheetId="1" r:id="rId3"/>
    <sheet name="Mngt-P&amp;L  (Overall)" sheetId="47" r:id="rId4"/>
    <sheet name="Op Profit analysis" sheetId="59" state="hidden" r:id="rId5"/>
    <sheet name="Mngt-Revenue " sheetId="3" r:id="rId6"/>
    <sheet name="Mngt-Revenue (Rebate)" sheetId="48" r:id="rId7"/>
    <sheet name="Mngt-Payroll" sheetId="46" r:id="rId8"/>
    <sheet name="Mngt-Microbiology " sheetId="4" r:id="rId9"/>
    <sheet name="Mngt-Chemistry " sheetId="5" r:id="rId10"/>
    <sheet name="Mngt-Consulting " sheetId="6" r:id="rId11"/>
    <sheet name="Mngt-Senior Audit " sheetId="7" r:id="rId12"/>
    <sheet name="Mngt-Consulting Micro SC " sheetId="8" r:id="rId13"/>
    <sheet name="Mngt-Digital Solution" sheetId="23" r:id="rId14"/>
    <sheet name="Mngt-Lab Admin Total" sheetId="13" r:id="rId15"/>
    <sheet name="Mngt-IT" sheetId="14" r:id="rId16"/>
    <sheet name="Mngt-S&amp;M " sheetId="16" r:id="rId17"/>
    <sheet name="Mngt-Quality " sheetId="17" r:id="rId18"/>
    <sheet name="Mngt-Research &amp; Development" sheetId="22" r:id="rId19"/>
    <sheet name="Mngt-G&amp;A Total" sheetId="15" r:id="rId20"/>
    <sheet name="Mngt-G&amp;A (Management)" sheetId="24" r:id="rId21"/>
    <sheet name="Mngt-G&amp;A (Finance)" sheetId="25" r:id="rId22"/>
    <sheet name="Mngt-G&amp;A (HR) " sheetId="26" r:id="rId23"/>
    <sheet name="Mngt-Customer Care Total " sheetId="27" r:id="rId24"/>
    <sheet name="Mngt-Central Customer Care " sheetId="28" r:id="rId25"/>
    <sheet name="Mngt-Sydney Customer Care " sheetId="29" r:id="rId26"/>
    <sheet name="Mngt-Bris Customer Care " sheetId="30" r:id="rId27"/>
    <sheet name="Mngt-Melb Customer Care " sheetId="31" r:id="rId28"/>
    <sheet name="Mngt-Perth Customer Care " sheetId="32" r:id="rId29"/>
    <sheet name="Mngt-Central Lab Admin " sheetId="33" r:id="rId30"/>
    <sheet name="Mngt-Sydney Lab Admin " sheetId="34" r:id="rId31"/>
    <sheet name="Mngt-Melb Lab Admin " sheetId="35" r:id="rId32"/>
    <sheet name="Mngt-Perth Lab Admin" sheetId="36" r:id="rId33"/>
    <sheet name="Mngt-Bris Lab Admin " sheetId="37" r:id="rId34"/>
    <sheet name="Mngt-Sydney Micro " sheetId="9" r:id="rId35"/>
    <sheet name="Mngt-Melbourne Micro " sheetId="10" r:id="rId36"/>
    <sheet name="Mngt-Brisbane Micro " sheetId="11" r:id="rId37"/>
    <sheet name="Mngt-Perth Micro " sheetId="12" r:id="rId38"/>
    <sheet name="Mngt-Sydney Chem " sheetId="39" r:id="rId39"/>
    <sheet name="Mngt-Melb Chem External" sheetId="40" r:id="rId40"/>
    <sheet name="Mngt-Bris Chem External" sheetId="41" r:id="rId41"/>
    <sheet name="Mngt-Perth Chem External" sheetId="42" r:id="rId42"/>
    <sheet name="Mngt-Chem Milk Testing " sheetId="43" r:id="rId43"/>
    <sheet name="Mngt-Melb Milk Testing" sheetId="44" r:id="rId44"/>
    <sheet name="Mngt-Bris Milk Testing " sheetId="45" r:id="rId45"/>
    <sheet name="Consistency Check - Actual" sheetId="49" state="hidden" r:id="rId46"/>
    <sheet name="Consistency Check - Budget" sheetId="56" state="hidden" r:id="rId47"/>
    <sheet name="Consistency Check - Prior" sheetId="57" state="hidden" r:id="rId48"/>
    <sheet name="Test Number" sheetId="52" r:id="rId49"/>
    <sheet name="FTE analysis" sheetId="61" r:id="rId50"/>
    <sheet name="FTE" sheetId="62" r:id="rId51"/>
  </sheets>
  <externalReferences>
    <externalReference r:id="rId52"/>
  </externalReferences>
  <definedNames>
    <definedName name="_xlnm._FilterDatabase" localSheetId="50" hidden="1">FTE!$A$3:$AT$102</definedName>
    <definedName name="_xlnm._FilterDatabase" localSheetId="3" hidden="1">'Mngt-P&amp;L  (Overall)'!$A$1:$G$178</definedName>
    <definedName name="_xlnm._FilterDatabase" localSheetId="7" hidden="1">'Mngt-Payroll'!$A$1:$AV$36</definedName>
    <definedName name="_xlnm._FilterDatabase" localSheetId="5" hidden="1">'Mngt-Revenue '!$A$1:$AW$28</definedName>
    <definedName name="_xlnm._FilterDatabase" localSheetId="6" hidden="1">'Mngt-Revenue (Rebate)'!$A$1:$AU$21</definedName>
    <definedName name="_xlnm._FilterDatabase" localSheetId="48" hidden="1">'Test Number'!$A$3:$D$37</definedName>
    <definedName name="_xlnm.Print_Area" localSheetId="50">FTE!$A$2:$AT$99</definedName>
    <definedName name="_xlnm.Print_Area" localSheetId="7">'Mngt-Payroll'!$A$1:$J$36</definedName>
    <definedName name="_xlnm.Print_Area" localSheetId="48">'Test Number'!$A$1:$AS$37</definedName>
  </definedNames>
  <calcPr calcId="152511"/>
</workbook>
</file>

<file path=xl/calcChain.xml><?xml version="1.0" encoding="utf-8"?>
<calcChain xmlns="http://schemas.openxmlformats.org/spreadsheetml/2006/main">
  <c r="J15" i="52" l="1"/>
  <c r="AU102" i="62" l="1"/>
  <c r="AU101" i="62"/>
  <c r="AU100" i="62"/>
  <c r="AU93" i="62"/>
  <c r="AU92" i="62"/>
  <c r="AU91" i="62"/>
  <c r="AU90" i="62"/>
  <c r="AU89" i="62"/>
  <c r="AU88" i="62"/>
  <c r="AU84" i="62"/>
  <c r="AU83" i="62"/>
  <c r="AU82" i="62"/>
  <c r="AU81" i="62"/>
  <c r="AU80" i="62"/>
  <c r="AU79" i="62"/>
  <c r="AU78" i="62"/>
  <c r="AU77" i="62"/>
  <c r="AU76" i="62"/>
  <c r="AU75" i="62"/>
  <c r="AU74" i="62"/>
  <c r="AU73" i="62"/>
  <c r="AU14" i="62"/>
  <c r="AU15" i="62"/>
  <c r="AU16" i="62"/>
  <c r="AU17" i="62"/>
  <c r="AU18" i="62"/>
  <c r="AU19" i="62"/>
  <c r="AU20" i="62"/>
  <c r="AU21" i="62"/>
  <c r="AU22" i="62"/>
  <c r="AU23" i="62"/>
  <c r="AU24" i="62"/>
  <c r="AU25" i="62"/>
  <c r="AU26" i="62"/>
  <c r="AU27" i="62"/>
  <c r="AU28" i="62"/>
  <c r="AU29" i="62"/>
  <c r="AU30" i="62"/>
  <c r="AU31" i="62"/>
  <c r="AU32" i="62"/>
  <c r="AU33" i="62"/>
  <c r="AU34" i="62"/>
  <c r="AU35" i="62"/>
  <c r="AU36" i="62"/>
  <c r="AU37" i="62"/>
  <c r="AU38" i="62"/>
  <c r="AU39" i="62"/>
  <c r="AU40" i="62"/>
  <c r="AU41" i="62"/>
  <c r="AU42" i="62"/>
  <c r="AU43" i="62"/>
  <c r="AU44" i="62"/>
  <c r="AU45" i="62"/>
  <c r="AU46" i="62"/>
  <c r="AU47" i="62"/>
  <c r="AU48" i="62"/>
  <c r="AU49" i="62"/>
  <c r="AU50" i="62"/>
  <c r="AU51" i="62"/>
  <c r="AU52" i="62"/>
  <c r="AU53" i="62"/>
  <c r="AU54" i="62"/>
  <c r="AU55" i="62"/>
  <c r="AU56" i="62"/>
  <c r="AU57" i="62"/>
  <c r="AU58" i="62"/>
  <c r="AU59" i="62"/>
  <c r="AU60" i="62"/>
  <c r="AU61" i="62"/>
  <c r="AU62" i="62"/>
  <c r="AU63" i="62"/>
  <c r="AU64" i="62"/>
  <c r="AU65" i="62"/>
  <c r="AU66" i="62"/>
  <c r="AU67" i="62"/>
  <c r="AU68" i="62"/>
  <c r="AU69" i="62"/>
  <c r="AU13" i="62"/>
  <c r="AU5" i="62"/>
  <c r="AU6" i="62"/>
  <c r="AU7" i="62"/>
  <c r="AU8" i="62"/>
  <c r="AU9" i="62"/>
  <c r="AU4" i="62"/>
  <c r="BP39" i="47" l="1"/>
  <c r="BP37" i="47"/>
  <c r="BK27" i="47"/>
  <c r="BL151" i="47"/>
  <c r="BM118" i="47"/>
  <c r="BL118" i="47"/>
  <c r="BM80" i="47"/>
  <c r="BL80" i="47"/>
  <c r="BJ126" i="47"/>
  <c r="BJ91" i="47"/>
  <c r="BJ49" i="47"/>
  <c r="BK32" i="47"/>
  <c r="BP32" i="47" s="1"/>
  <c r="BJ12" i="47"/>
  <c r="BK34" i="47"/>
  <c r="BL29" i="47"/>
  <c r="BP27" i="47"/>
  <c r="BJ21" i="47"/>
  <c r="BM151" i="47"/>
  <c r="BM126" i="47"/>
  <c r="BM91" i="47"/>
  <c r="BM49" i="47"/>
  <c r="BM12" i="47"/>
  <c r="BM29" i="47"/>
  <c r="BM36" i="47"/>
  <c r="BK36" i="47" s="1"/>
  <c r="BL36" i="47" s="1"/>
  <c r="BN36" i="47" s="1"/>
  <c r="BM34" i="47"/>
  <c r="BM32" i="47"/>
  <c r="BM27" i="47"/>
  <c r="BJ27" i="47" s="1"/>
  <c r="BL27" i="47" s="1"/>
  <c r="BN27" i="47" s="1"/>
  <c r="BM21" i="47"/>
  <c r="BM164" i="47"/>
  <c r="BN164" i="47" s="1"/>
  <c r="BK21" i="47" l="1"/>
  <c r="BJ34" i="47"/>
  <c r="BL34" i="47" s="1"/>
  <c r="BN34" i="47" s="1"/>
  <c r="BK49" i="47"/>
  <c r="BL49" i="47" s="1"/>
  <c r="BN49" i="47" s="1"/>
  <c r="BK91" i="47"/>
  <c r="BL91" i="47" s="1"/>
  <c r="BN91" i="47" s="1"/>
  <c r="BK12" i="47"/>
  <c r="BL12" i="47" s="1"/>
  <c r="BN12" i="47" s="1"/>
  <c r="BL21" i="47"/>
  <c r="BN21" i="47" s="1"/>
  <c r="BP21" i="47"/>
  <c r="BN29" i="47"/>
  <c r="BJ32" i="47"/>
  <c r="BL32" i="47" s="1"/>
  <c r="BN32" i="47" s="1"/>
  <c r="BK126" i="47"/>
  <c r="BL126" i="47" s="1"/>
  <c r="BN126" i="47" s="1"/>
  <c r="BP12" i="47"/>
  <c r="AS87" i="12"/>
  <c r="AS86" i="12"/>
  <c r="S87" i="12"/>
  <c r="S86" i="12"/>
  <c r="AS87" i="11"/>
  <c r="AS86" i="11"/>
  <c r="S87" i="11"/>
  <c r="S86" i="11"/>
  <c r="AS88" i="11" l="1"/>
  <c r="S88" i="11"/>
  <c r="AS88" i="12"/>
  <c r="S88" i="12"/>
  <c r="J10" i="62"/>
  <c r="J11" i="62"/>
  <c r="J12" i="62"/>
  <c r="J70" i="62"/>
  <c r="J71" i="62"/>
  <c r="J72" i="62"/>
  <c r="J85" i="62"/>
  <c r="J86" i="62"/>
  <c r="J87" i="62"/>
  <c r="I5" i="52" l="1"/>
  <c r="A48" i="47" l="1"/>
  <c r="B48" i="47"/>
  <c r="C48" i="47"/>
  <c r="E48" i="47"/>
  <c r="F48" i="47"/>
  <c r="G48" i="47"/>
  <c r="BG156" i="47" l="1"/>
  <c r="BH12" i="47" l="1"/>
  <c r="A81" i="47"/>
  <c r="B81" i="47"/>
  <c r="C81" i="47"/>
  <c r="E81" i="47"/>
  <c r="F81" i="47"/>
  <c r="G81" i="47"/>
  <c r="H5" i="52" l="1"/>
  <c r="G183" i="47" l="1"/>
  <c r="E183" i="47"/>
  <c r="C183" i="47"/>
  <c r="A183" i="47"/>
  <c r="G5" i="52" l="1"/>
  <c r="AT7" i="52" l="1"/>
  <c r="AT8" i="52"/>
  <c r="AT9" i="52"/>
  <c r="AT10" i="52"/>
  <c r="AT11" i="52"/>
  <c r="AT12" i="52"/>
  <c r="AT13" i="52"/>
  <c r="AT14" i="52"/>
  <c r="T4" i="62" l="1"/>
  <c r="AS99" i="62" l="1"/>
  <c r="AR99" i="62"/>
  <c r="AQ99" i="62"/>
  <c r="AP99" i="62"/>
  <c r="AO99" i="62"/>
  <c r="AN99" i="62"/>
  <c r="AM99" i="62"/>
  <c r="AL99" i="62"/>
  <c r="AK99" i="62"/>
  <c r="AJ99" i="62"/>
  <c r="AI99" i="62"/>
  <c r="AH99" i="62"/>
  <c r="AS98" i="62"/>
  <c r="AR98" i="62"/>
  <c r="AQ98" i="62"/>
  <c r="AP98" i="62"/>
  <c r="AO98" i="62"/>
  <c r="AN98" i="62"/>
  <c r="AM98" i="62"/>
  <c r="AL98" i="62"/>
  <c r="AK98" i="62"/>
  <c r="AJ98" i="62"/>
  <c r="AI98" i="62"/>
  <c r="AH98" i="62"/>
  <c r="AS97" i="62"/>
  <c r="AR97" i="62"/>
  <c r="AQ97" i="62"/>
  <c r="AP97" i="62"/>
  <c r="AO97" i="62"/>
  <c r="AN97" i="62"/>
  <c r="AM97" i="62"/>
  <c r="AL97" i="62"/>
  <c r="AK97" i="62"/>
  <c r="AJ97" i="62"/>
  <c r="AI97" i="62"/>
  <c r="AH97" i="62"/>
  <c r="AS96" i="62"/>
  <c r="AR96" i="62"/>
  <c r="AQ96" i="62"/>
  <c r="AP96" i="62"/>
  <c r="AO96" i="62"/>
  <c r="AN96" i="62"/>
  <c r="AM96" i="62"/>
  <c r="AL96" i="62"/>
  <c r="AK96" i="62"/>
  <c r="AJ96" i="62"/>
  <c r="AI96" i="62"/>
  <c r="AH96" i="62"/>
  <c r="AS95" i="62"/>
  <c r="AR95" i="62"/>
  <c r="AQ95" i="62"/>
  <c r="AP95" i="62"/>
  <c r="AO95" i="62"/>
  <c r="AN95" i="62"/>
  <c r="AM95" i="62"/>
  <c r="AL95" i="62"/>
  <c r="AK95" i="62"/>
  <c r="AJ95" i="62"/>
  <c r="AI95" i="62"/>
  <c r="AH95" i="62"/>
  <c r="AS94" i="62"/>
  <c r="AR94" i="62"/>
  <c r="AQ94" i="62"/>
  <c r="AP94" i="62"/>
  <c r="AO94" i="62"/>
  <c r="AN94" i="62"/>
  <c r="AM94" i="62"/>
  <c r="AL94" i="62"/>
  <c r="AK94" i="62"/>
  <c r="AJ94" i="62"/>
  <c r="AI94" i="62"/>
  <c r="AH94" i="62"/>
  <c r="AS87" i="62"/>
  <c r="AR87" i="62"/>
  <c r="AQ87" i="62"/>
  <c r="AP87" i="62"/>
  <c r="AO87" i="62"/>
  <c r="AN87" i="62"/>
  <c r="AM87" i="62"/>
  <c r="AL87" i="62"/>
  <c r="AK87" i="62"/>
  <c r="AJ87" i="62"/>
  <c r="AI87" i="62"/>
  <c r="AH87" i="62"/>
  <c r="AS86" i="62"/>
  <c r="AR86" i="62"/>
  <c r="AQ86" i="62"/>
  <c r="AP86" i="62"/>
  <c r="AO86" i="62"/>
  <c r="AN86" i="62"/>
  <c r="AM86" i="62"/>
  <c r="AL86" i="62"/>
  <c r="AK86" i="62"/>
  <c r="AJ86" i="62"/>
  <c r="AI86" i="62"/>
  <c r="AH86" i="62"/>
  <c r="AS85" i="62"/>
  <c r="AR85" i="62"/>
  <c r="AQ85" i="62"/>
  <c r="AP85" i="62"/>
  <c r="AO85" i="62"/>
  <c r="AN85" i="62"/>
  <c r="AM85" i="62"/>
  <c r="AL85" i="62"/>
  <c r="AK85" i="62"/>
  <c r="AJ85" i="62"/>
  <c r="AI85" i="62"/>
  <c r="AH85" i="62"/>
  <c r="AS72" i="62"/>
  <c r="AR72" i="62"/>
  <c r="AQ72" i="62"/>
  <c r="AP72" i="62"/>
  <c r="AO72" i="62"/>
  <c r="AN72" i="62"/>
  <c r="AM72" i="62"/>
  <c r="AL72" i="62"/>
  <c r="AK72" i="62"/>
  <c r="AJ72" i="62"/>
  <c r="AI72" i="62"/>
  <c r="AH72" i="62"/>
  <c r="AS71" i="62"/>
  <c r="AR71" i="62"/>
  <c r="AQ71" i="62"/>
  <c r="AP71" i="62"/>
  <c r="AO71" i="62"/>
  <c r="AN71" i="62"/>
  <c r="AM71" i="62"/>
  <c r="AL71" i="62"/>
  <c r="AK71" i="62"/>
  <c r="AJ71" i="62"/>
  <c r="AI71" i="62"/>
  <c r="AH71" i="62"/>
  <c r="AS70" i="62"/>
  <c r="AR70" i="62"/>
  <c r="AQ70" i="62"/>
  <c r="AP70" i="62"/>
  <c r="AO70" i="62"/>
  <c r="AN70" i="62"/>
  <c r="AM70" i="62"/>
  <c r="AL70" i="62"/>
  <c r="AK70" i="62"/>
  <c r="AJ70" i="62"/>
  <c r="AI70" i="62"/>
  <c r="AH70" i="62"/>
  <c r="T22" i="62"/>
  <c r="T23" i="62"/>
  <c r="T24" i="62"/>
  <c r="T25" i="62"/>
  <c r="T26" i="62"/>
  <c r="T27" i="62"/>
  <c r="T28" i="62"/>
  <c r="T29" i="62"/>
  <c r="T30" i="62"/>
  <c r="T31" i="62"/>
  <c r="T32" i="62"/>
  <c r="T33" i="62"/>
  <c r="T34" i="62"/>
  <c r="T35" i="62"/>
  <c r="T36" i="62"/>
  <c r="T37" i="62"/>
  <c r="T38" i="62"/>
  <c r="T39" i="62"/>
  <c r="T40" i="62"/>
  <c r="T41" i="62"/>
  <c r="T42" i="62"/>
  <c r="T43" i="62"/>
  <c r="T44" i="62"/>
  <c r="T45" i="62"/>
  <c r="T46" i="62"/>
  <c r="T47" i="62"/>
  <c r="T48" i="62"/>
  <c r="T49" i="62"/>
  <c r="T50" i="62"/>
  <c r="T51" i="62"/>
  <c r="T52" i="62"/>
  <c r="T53" i="62"/>
  <c r="T54" i="62"/>
  <c r="T55" i="62"/>
  <c r="T56" i="62"/>
  <c r="T57" i="62"/>
  <c r="T58" i="62"/>
  <c r="T59" i="62"/>
  <c r="T60" i="62"/>
  <c r="T61" i="62"/>
  <c r="T62" i="62"/>
  <c r="T63" i="62"/>
  <c r="T64" i="62"/>
  <c r="T65" i="62"/>
  <c r="T66" i="62"/>
  <c r="T67" i="62"/>
  <c r="T68" i="62"/>
  <c r="T69" i="62"/>
  <c r="AT70" i="62" l="1"/>
  <c r="AT72" i="62"/>
  <c r="AT86" i="62"/>
  <c r="AT71" i="62"/>
  <c r="AT85" i="62"/>
  <c r="AT87" i="62"/>
  <c r="AT97" i="62"/>
  <c r="AT99" i="62"/>
  <c r="AT98" i="62"/>
  <c r="AT94" i="62"/>
  <c r="AT95" i="62"/>
  <c r="AT96" i="62"/>
  <c r="S70" i="4"/>
  <c r="AW9" i="13" l="1"/>
  <c r="AX2" i="6"/>
  <c r="AG17" i="1" l="1"/>
  <c r="AF17" i="1"/>
  <c r="AG16" i="1"/>
  <c r="AF16" i="1"/>
  <c r="AG15" i="1"/>
  <c r="AF15" i="1"/>
  <c r="S72" i="4"/>
  <c r="P16" i="1"/>
  <c r="O16" i="1"/>
  <c r="AG11" i="1"/>
  <c r="AG10" i="1"/>
  <c r="AG9" i="1"/>
  <c r="AG8" i="1"/>
  <c r="AF11" i="1"/>
  <c r="AF10" i="1"/>
  <c r="AF9" i="1"/>
  <c r="AF8" i="1"/>
  <c r="AS63" i="17" l="1"/>
  <c r="AS65" i="14"/>
  <c r="AS64" i="13"/>
  <c r="H164" i="47" l="1"/>
  <c r="K160" i="47" l="1"/>
  <c r="H160" i="47"/>
  <c r="S97" i="62" l="1"/>
  <c r="S98" i="62"/>
  <c r="S99" i="62"/>
  <c r="S85" i="62"/>
  <c r="S70" i="62"/>
  <c r="R70" i="62" l="1"/>
  <c r="I70" i="62"/>
  <c r="K70" i="62"/>
  <c r="L70" i="62"/>
  <c r="M70" i="62"/>
  <c r="N70" i="62"/>
  <c r="O70" i="62"/>
  <c r="P70" i="62"/>
  <c r="Q70" i="62"/>
  <c r="R85" i="62"/>
  <c r="R97" i="62"/>
  <c r="J164" i="47"/>
  <c r="K165" i="47"/>
  <c r="J165" i="47"/>
  <c r="I165" i="47"/>
  <c r="H165" i="47"/>
  <c r="K164" i="47"/>
  <c r="I164" i="47"/>
  <c r="K162" i="47"/>
  <c r="J162" i="47"/>
  <c r="I162" i="47"/>
  <c r="H162" i="47"/>
  <c r="J160" i="47"/>
  <c r="I160" i="47"/>
  <c r="AF71" i="40" l="1"/>
  <c r="C73" i="49"/>
  <c r="B73" i="49"/>
  <c r="G31" i="49"/>
  <c r="F31" i="49"/>
  <c r="E31" i="49"/>
  <c r="D31" i="49"/>
  <c r="C31" i="49"/>
  <c r="B31" i="49"/>
  <c r="B33" i="49" l="1"/>
  <c r="B32" i="49"/>
  <c r="B30" i="49"/>
  <c r="B29" i="49"/>
  <c r="B18" i="49"/>
  <c r="B17" i="49"/>
  <c r="B16" i="49"/>
  <c r="B15" i="49"/>
  <c r="B14" i="49"/>
  <c r="B13" i="49"/>
  <c r="B12" i="49"/>
  <c r="B11" i="49"/>
  <c r="B10" i="49"/>
  <c r="B9" i="49"/>
  <c r="B8" i="49"/>
  <c r="AV72" i="4" l="1"/>
  <c r="S81" i="4"/>
  <c r="AU81" i="4"/>
  <c r="AW81" i="4"/>
  <c r="S82" i="4"/>
  <c r="S83" i="4"/>
  <c r="S84" i="4"/>
  <c r="S93" i="4"/>
  <c r="AF93" i="4"/>
  <c r="AS93" i="4"/>
  <c r="AT93" i="4"/>
  <c r="S94" i="4"/>
  <c r="AF94" i="4"/>
  <c r="AS94" i="4"/>
  <c r="AT94" i="4"/>
  <c r="S95" i="4"/>
  <c r="AF95" i="4"/>
  <c r="AS95" i="4"/>
  <c r="AT95" i="4"/>
  <c r="AG97" i="4"/>
  <c r="AG102" i="4" s="1"/>
  <c r="AH97" i="4"/>
  <c r="AH102" i="4" s="1"/>
  <c r="AI97" i="4"/>
  <c r="AI102" i="4" s="1"/>
  <c r="AJ97" i="4"/>
  <c r="AJ102" i="4" s="1"/>
  <c r="AK97" i="4"/>
  <c r="AL97" i="4"/>
  <c r="AM97" i="4"/>
  <c r="AN97" i="4"/>
  <c r="AO97" i="4"/>
  <c r="AO102" i="4" s="1"/>
  <c r="AP97" i="4"/>
  <c r="AP102" i="4" s="1"/>
  <c r="AQ97" i="4"/>
  <c r="AQ102" i="4" s="1"/>
  <c r="AR97" i="4"/>
  <c r="AR102" i="4" s="1"/>
  <c r="S100" i="4"/>
  <c r="AF100" i="4"/>
  <c r="AS100" i="4"/>
  <c r="AT100" i="4"/>
  <c r="T102" i="4"/>
  <c r="U102" i="4"/>
  <c r="V102" i="4"/>
  <c r="W102" i="4"/>
  <c r="X102" i="4"/>
  <c r="Y102" i="4"/>
  <c r="Z102" i="4"/>
  <c r="AA102" i="4"/>
  <c r="AB102" i="4"/>
  <c r="AC102" i="4"/>
  <c r="AD102" i="4"/>
  <c r="AE102" i="4"/>
  <c r="AK102" i="4"/>
  <c r="AL102" i="4"/>
  <c r="AM102" i="4"/>
  <c r="AN102" i="4"/>
  <c r="S105" i="4"/>
  <c r="AS105" i="4"/>
  <c r="S106" i="4"/>
  <c r="AS106" i="4"/>
  <c r="G121" i="4"/>
  <c r="H121" i="4"/>
  <c r="I121" i="4"/>
  <c r="J121" i="4"/>
  <c r="K121" i="4"/>
  <c r="L121" i="4"/>
  <c r="M121" i="4"/>
  <c r="S121" i="4"/>
  <c r="AS121" i="4"/>
  <c r="G122" i="4"/>
  <c r="H122" i="4"/>
  <c r="I122" i="4"/>
  <c r="J122" i="4"/>
  <c r="K122" i="4"/>
  <c r="L122" i="4"/>
  <c r="M122" i="4"/>
  <c r="S122" i="4"/>
  <c r="AS122" i="4"/>
  <c r="AT97" i="4" l="1"/>
  <c r="AT98" i="4" s="1"/>
  <c r="AV93" i="4"/>
  <c r="AU94" i="4"/>
  <c r="AU93" i="4"/>
  <c r="AF97" i="4"/>
  <c r="AF98" i="4" s="1"/>
  <c r="AU100" i="4"/>
  <c r="AS107" i="4"/>
  <c r="AV100" i="4"/>
  <c r="S107" i="4"/>
  <c r="AV94" i="4"/>
  <c r="AF83" i="4"/>
  <c r="AS83" i="4" s="1"/>
  <c r="AW82" i="4"/>
  <c r="I123" i="4"/>
  <c r="J123" i="4"/>
  <c r="AS123" i="4"/>
  <c r="K123" i="4"/>
  <c r="G123" i="4"/>
  <c r="L123" i="4"/>
  <c r="H123" i="4"/>
  <c r="S123" i="4"/>
  <c r="AS97" i="4"/>
  <c r="AS102" i="4" s="1"/>
  <c r="M123" i="4"/>
  <c r="AU95" i="4"/>
  <c r="AF82" i="4"/>
  <c r="AS82" i="4" s="1"/>
  <c r="S88" i="4"/>
  <c r="S90" i="4" s="1"/>
  <c r="AF81" i="4"/>
  <c r="S85" i="4"/>
  <c r="AF85" i="4" s="1"/>
  <c r="AU82" i="4"/>
  <c r="S97" i="4"/>
  <c r="AF84" i="4"/>
  <c r="AS84" i="4" s="1"/>
  <c r="AV95" i="4"/>
  <c r="AT102" i="4" l="1"/>
  <c r="AT103" i="4" s="1"/>
  <c r="AS108" i="4"/>
  <c r="AT110" i="4" s="1"/>
  <c r="AF102" i="4"/>
  <c r="AF103" i="4" s="1"/>
  <c r="AS98" i="4"/>
  <c r="AU97" i="4"/>
  <c r="AU102" i="4" s="1"/>
  <c r="S108" i="4"/>
  <c r="S110" i="4" s="1"/>
  <c r="AV97" i="4"/>
  <c r="AV98" i="4" s="1"/>
  <c r="S102" i="4"/>
  <c r="S98" i="4"/>
  <c r="AS103" i="4"/>
  <c r="AS175" i="62"/>
  <c r="AR175" i="62"/>
  <c r="AQ175" i="62"/>
  <c r="AP175" i="62"/>
  <c r="AO175" i="62"/>
  <c r="AN175" i="62"/>
  <c r="AM175" i="62"/>
  <c r="AL175" i="62"/>
  <c r="AK175" i="62"/>
  <c r="AJ175" i="62"/>
  <c r="AI175" i="62"/>
  <c r="AH175" i="62"/>
  <c r="S175" i="62"/>
  <c r="R175" i="62"/>
  <c r="AS174" i="62"/>
  <c r="AR174" i="62"/>
  <c r="AQ174" i="62"/>
  <c r="AP174" i="62"/>
  <c r="AO174" i="62"/>
  <c r="AN174" i="62"/>
  <c r="AM174" i="62"/>
  <c r="AL174" i="62"/>
  <c r="AK174" i="62"/>
  <c r="AJ174" i="62"/>
  <c r="AI174" i="62"/>
  <c r="AH174" i="62"/>
  <c r="AS171" i="62"/>
  <c r="AR171" i="62"/>
  <c r="AQ171" i="62"/>
  <c r="AP171" i="62"/>
  <c r="AO171" i="62"/>
  <c r="AN171" i="62"/>
  <c r="AM171" i="62"/>
  <c r="AL171" i="62"/>
  <c r="AK171" i="62"/>
  <c r="AJ171" i="62"/>
  <c r="AI171" i="62"/>
  <c r="AH171" i="62"/>
  <c r="AS170" i="62"/>
  <c r="AR170" i="62"/>
  <c r="AQ170" i="62"/>
  <c r="AP170" i="62"/>
  <c r="AO170" i="62"/>
  <c r="AN170" i="62"/>
  <c r="AM170" i="62"/>
  <c r="AL170" i="62"/>
  <c r="AK170" i="62"/>
  <c r="AJ170" i="62"/>
  <c r="AI170" i="62"/>
  <c r="AH170" i="62"/>
  <c r="AS169" i="62"/>
  <c r="AR169" i="62"/>
  <c r="AQ169" i="62"/>
  <c r="AP169" i="62"/>
  <c r="AO169" i="62"/>
  <c r="AN169" i="62"/>
  <c r="AM169" i="62"/>
  <c r="AL169" i="62"/>
  <c r="AK169" i="62"/>
  <c r="AJ169" i="62"/>
  <c r="AI169" i="62"/>
  <c r="AH169" i="62"/>
  <c r="BA162" i="62"/>
  <c r="AZ162" i="62"/>
  <c r="AZ160" i="62"/>
  <c r="AZ159" i="62"/>
  <c r="AZ158" i="62"/>
  <c r="AZ157" i="62"/>
  <c r="AZ156" i="62"/>
  <c r="AX156" i="62"/>
  <c r="AW156" i="62"/>
  <c r="AZ155" i="62"/>
  <c r="AX155" i="62"/>
  <c r="AW155" i="62"/>
  <c r="AZ154" i="62"/>
  <c r="AX154" i="62"/>
  <c r="AW154" i="62"/>
  <c r="AZ153" i="62"/>
  <c r="AX153" i="62"/>
  <c r="AW153" i="62"/>
  <c r="AZ152" i="62"/>
  <c r="AX152" i="62"/>
  <c r="AW152" i="62"/>
  <c r="AZ151" i="62"/>
  <c r="AX151" i="62"/>
  <c r="AW151" i="62"/>
  <c r="AZ150" i="62"/>
  <c r="AX150" i="62"/>
  <c r="AW150" i="62"/>
  <c r="AZ149" i="62"/>
  <c r="AX149" i="62"/>
  <c r="AW149" i="62"/>
  <c r="AZ148" i="62"/>
  <c r="AX148" i="62"/>
  <c r="AW148" i="62"/>
  <c r="AZ147" i="62"/>
  <c r="AZ146" i="62"/>
  <c r="AZ145" i="62"/>
  <c r="AZ144" i="62"/>
  <c r="AZ143" i="62"/>
  <c r="AX143" i="62"/>
  <c r="AW143" i="62"/>
  <c r="AZ142" i="62"/>
  <c r="AX142" i="62"/>
  <c r="AW142" i="62"/>
  <c r="AZ141" i="62"/>
  <c r="AZ140" i="62"/>
  <c r="AZ139" i="62"/>
  <c r="AZ138" i="62"/>
  <c r="AZ137" i="62"/>
  <c r="AZ136" i="62"/>
  <c r="AZ135" i="62"/>
  <c r="AZ134" i="62"/>
  <c r="AZ133" i="62"/>
  <c r="AZ132" i="62"/>
  <c r="AZ131" i="62"/>
  <c r="AT131" i="62"/>
  <c r="T131" i="62"/>
  <c r="AZ130" i="62"/>
  <c r="AT130" i="62"/>
  <c r="T130" i="62"/>
  <c r="AZ129" i="62"/>
  <c r="AT129" i="62"/>
  <c r="T129" i="62"/>
  <c r="T146" i="62" s="1"/>
  <c r="AZ128" i="62"/>
  <c r="AZ127" i="62"/>
  <c r="AZ126" i="62"/>
  <c r="AZ125" i="62"/>
  <c r="AZ124" i="62"/>
  <c r="AZ123" i="62"/>
  <c r="AZ122" i="62"/>
  <c r="AZ121" i="62"/>
  <c r="AS118" i="62"/>
  <c r="AR118" i="62"/>
  <c r="AQ118" i="62"/>
  <c r="AP118" i="62"/>
  <c r="AO118" i="62"/>
  <c r="AN118" i="62"/>
  <c r="AM118" i="62"/>
  <c r="AL118" i="62"/>
  <c r="AK118" i="62"/>
  <c r="AJ118" i="62"/>
  <c r="AI118" i="62"/>
  <c r="AH118" i="62"/>
  <c r="AF118" i="62"/>
  <c r="AE118" i="62"/>
  <c r="AD118" i="62"/>
  <c r="AC118" i="62"/>
  <c r="AB118" i="62"/>
  <c r="AA118" i="62"/>
  <c r="Z118" i="62"/>
  <c r="Y118" i="62"/>
  <c r="X118" i="62"/>
  <c r="W118" i="62"/>
  <c r="V118" i="62"/>
  <c r="U118" i="62"/>
  <c r="K118" i="62"/>
  <c r="J118" i="62"/>
  <c r="I118" i="62"/>
  <c r="AS117" i="62"/>
  <c r="AR117" i="62"/>
  <c r="AQ117" i="62"/>
  <c r="AP117" i="62"/>
  <c r="AO117" i="62"/>
  <c r="AN117" i="62"/>
  <c r="AM117" i="62"/>
  <c r="AL117" i="62"/>
  <c r="AK117" i="62"/>
  <c r="AJ117" i="62"/>
  <c r="AI117" i="62"/>
  <c r="AH117" i="62"/>
  <c r="AF117" i="62"/>
  <c r="AE117" i="62"/>
  <c r="AD117" i="62"/>
  <c r="AC117" i="62"/>
  <c r="AB117" i="62"/>
  <c r="AA117" i="62"/>
  <c r="Z117" i="62"/>
  <c r="Y117" i="62"/>
  <c r="X117" i="62"/>
  <c r="W117" i="62"/>
  <c r="V117" i="62"/>
  <c r="U117" i="62"/>
  <c r="K117" i="62"/>
  <c r="J117" i="62"/>
  <c r="I117" i="62"/>
  <c r="AS116" i="62"/>
  <c r="AR116" i="62"/>
  <c r="AQ116" i="62"/>
  <c r="AP116" i="62"/>
  <c r="AO116" i="62"/>
  <c r="AN116" i="62"/>
  <c r="AM116" i="62"/>
  <c r="AL116" i="62"/>
  <c r="AK116" i="62"/>
  <c r="AJ116" i="62"/>
  <c r="AI116" i="62"/>
  <c r="AH116" i="62"/>
  <c r="AF116" i="62"/>
  <c r="AE116" i="62"/>
  <c r="AD116" i="62"/>
  <c r="AC116" i="62"/>
  <c r="AB116" i="62"/>
  <c r="AA116" i="62"/>
  <c r="Z116" i="62"/>
  <c r="Y116" i="62"/>
  <c r="X116" i="62"/>
  <c r="W116" i="62"/>
  <c r="V116" i="62"/>
  <c r="U116" i="62"/>
  <c r="O116" i="62"/>
  <c r="N116" i="62"/>
  <c r="M116" i="62"/>
  <c r="J116" i="62"/>
  <c r="I116" i="62"/>
  <c r="AS114" i="62"/>
  <c r="AR114" i="62"/>
  <c r="AQ114" i="62"/>
  <c r="AP114" i="62"/>
  <c r="AO114" i="62"/>
  <c r="AN114" i="62"/>
  <c r="AM114" i="62"/>
  <c r="AL114" i="62"/>
  <c r="AK114" i="62"/>
  <c r="AJ114" i="62"/>
  <c r="AI114" i="62"/>
  <c r="AH114" i="62"/>
  <c r="AF114" i="62"/>
  <c r="AE114" i="62"/>
  <c r="AD114" i="62"/>
  <c r="AC114" i="62"/>
  <c r="AB114" i="62"/>
  <c r="AA114" i="62"/>
  <c r="Z114" i="62"/>
  <c r="Y114" i="62"/>
  <c r="X114" i="62"/>
  <c r="W114" i="62"/>
  <c r="V114" i="62"/>
  <c r="U114" i="62"/>
  <c r="K114" i="62"/>
  <c r="J114" i="62"/>
  <c r="I114" i="62"/>
  <c r="AS113" i="62"/>
  <c r="AR113" i="62"/>
  <c r="AQ113" i="62"/>
  <c r="AP113" i="62"/>
  <c r="AO113" i="62"/>
  <c r="AN113" i="62"/>
  <c r="AM113" i="62"/>
  <c r="AL113" i="62"/>
  <c r="AK113" i="62"/>
  <c r="AJ113" i="62"/>
  <c r="AI113" i="62"/>
  <c r="AH113" i="62"/>
  <c r="AF113" i="62"/>
  <c r="AE113" i="62"/>
  <c r="AD113" i="62"/>
  <c r="AC113" i="62"/>
  <c r="AB113" i="62"/>
  <c r="AA113" i="62"/>
  <c r="Z113" i="62"/>
  <c r="Y113" i="62"/>
  <c r="X113" i="62"/>
  <c r="W113" i="62"/>
  <c r="V113" i="62"/>
  <c r="U113" i="62"/>
  <c r="K113" i="62"/>
  <c r="J113" i="62"/>
  <c r="I113" i="62"/>
  <c r="AS112" i="62"/>
  <c r="AR112" i="62"/>
  <c r="AQ112" i="62"/>
  <c r="AP112" i="62"/>
  <c r="AO112" i="62"/>
  <c r="AN112" i="62"/>
  <c r="AM112" i="62"/>
  <c r="AL112" i="62"/>
  <c r="AK112" i="62"/>
  <c r="AJ112" i="62"/>
  <c r="AI112" i="62"/>
  <c r="AH112" i="62"/>
  <c r="AF112" i="62"/>
  <c r="AE112" i="62"/>
  <c r="AD112" i="62"/>
  <c r="AC112" i="62"/>
  <c r="AB112" i="62"/>
  <c r="AA112" i="62"/>
  <c r="Z112" i="62"/>
  <c r="Y112" i="62"/>
  <c r="X112" i="62"/>
  <c r="W112" i="62"/>
  <c r="V112" i="62"/>
  <c r="U112" i="62"/>
  <c r="O112" i="62"/>
  <c r="N112" i="62"/>
  <c r="M112" i="62"/>
  <c r="J112" i="62"/>
  <c r="I112" i="62"/>
  <c r="AS110" i="62"/>
  <c r="AR110" i="62"/>
  <c r="AQ110" i="62"/>
  <c r="AP110" i="62"/>
  <c r="AO110" i="62"/>
  <c r="AN110" i="62"/>
  <c r="AM110" i="62"/>
  <c r="AL110" i="62"/>
  <c r="AK110" i="62"/>
  <c r="AJ110" i="62"/>
  <c r="AI110" i="62"/>
  <c r="AH110" i="62"/>
  <c r="AF110" i="62"/>
  <c r="AE110" i="62"/>
  <c r="AD110" i="62"/>
  <c r="AC110" i="62"/>
  <c r="AB110" i="62"/>
  <c r="AA110" i="62"/>
  <c r="Z110" i="62"/>
  <c r="Y110" i="62"/>
  <c r="X110" i="62"/>
  <c r="W110" i="62"/>
  <c r="V110" i="62"/>
  <c r="U110" i="62"/>
  <c r="AS109" i="62"/>
  <c r="AR109" i="62"/>
  <c r="AQ109" i="62"/>
  <c r="AP109" i="62"/>
  <c r="AO109" i="62"/>
  <c r="AN109" i="62"/>
  <c r="AM109" i="62"/>
  <c r="AL109" i="62"/>
  <c r="AK109" i="62"/>
  <c r="AJ109" i="62"/>
  <c r="AI109" i="62"/>
  <c r="AH109" i="62"/>
  <c r="AF109" i="62"/>
  <c r="AE109" i="62"/>
  <c r="AD109" i="62"/>
  <c r="AC109" i="62"/>
  <c r="AB109" i="62"/>
  <c r="AA109" i="62"/>
  <c r="Z109" i="62"/>
  <c r="Y109" i="62"/>
  <c r="X109" i="62"/>
  <c r="W109" i="62"/>
  <c r="V109" i="62"/>
  <c r="U109" i="62"/>
  <c r="AS108" i="62"/>
  <c r="AR108" i="62"/>
  <c r="AQ108" i="62"/>
  <c r="AP108" i="62"/>
  <c r="AO108" i="62"/>
  <c r="AN108" i="62"/>
  <c r="AM108" i="62"/>
  <c r="AL108" i="62"/>
  <c r="AK108" i="62"/>
  <c r="AJ108" i="62"/>
  <c r="AI108" i="62"/>
  <c r="AH108" i="62"/>
  <c r="AF108" i="62"/>
  <c r="AE108" i="62"/>
  <c r="AD108" i="62"/>
  <c r="AC108" i="62"/>
  <c r="AB108" i="62"/>
  <c r="AA108" i="62"/>
  <c r="Z108" i="62"/>
  <c r="Y108" i="62"/>
  <c r="X108" i="62"/>
  <c r="W108" i="62"/>
  <c r="V108" i="62"/>
  <c r="U108" i="62"/>
  <c r="B106" i="62"/>
  <c r="B105" i="62"/>
  <c r="AJ104" i="62"/>
  <c r="AJ105" i="62" s="1"/>
  <c r="AI104" i="62"/>
  <c r="AI105" i="62" s="1"/>
  <c r="AH104" i="62"/>
  <c r="AH105" i="62" s="1"/>
  <c r="B104" i="62"/>
  <c r="AT102" i="62"/>
  <c r="AG102" i="62"/>
  <c r="T102" i="62"/>
  <c r="E102" i="62"/>
  <c r="D102" i="62"/>
  <c r="C102" i="62"/>
  <c r="AT101" i="62"/>
  <c r="AG101" i="62"/>
  <c r="T101" i="62"/>
  <c r="E101" i="62"/>
  <c r="D101" i="62"/>
  <c r="C101" i="62"/>
  <c r="AT100" i="62"/>
  <c r="AG100" i="62"/>
  <c r="T100" i="62"/>
  <c r="E100" i="62"/>
  <c r="D100" i="62"/>
  <c r="C100" i="62"/>
  <c r="AG99" i="62"/>
  <c r="R99" i="62"/>
  <c r="K99" i="62"/>
  <c r="J99" i="62"/>
  <c r="I99" i="62"/>
  <c r="E99" i="62"/>
  <c r="D99" i="62"/>
  <c r="AG98" i="62"/>
  <c r="R98" i="62"/>
  <c r="K98" i="62"/>
  <c r="J98" i="62"/>
  <c r="I98" i="62"/>
  <c r="E98" i="62"/>
  <c r="D98" i="62"/>
  <c r="AG97" i="62"/>
  <c r="O97" i="62"/>
  <c r="J35" i="61" s="1"/>
  <c r="N97" i="62"/>
  <c r="I35" i="61" s="1"/>
  <c r="M97" i="62"/>
  <c r="H35" i="61" s="1"/>
  <c r="J97" i="62"/>
  <c r="E35" i="61" s="1"/>
  <c r="I97" i="62"/>
  <c r="D35" i="61" s="1"/>
  <c r="E97" i="62"/>
  <c r="D97" i="62"/>
  <c r="AG96" i="62"/>
  <c r="E96" i="62"/>
  <c r="D96" i="62"/>
  <c r="AG95" i="62"/>
  <c r="E95" i="62"/>
  <c r="D95" i="62"/>
  <c r="AG94" i="62"/>
  <c r="E94" i="62"/>
  <c r="D94" i="62"/>
  <c r="AT93" i="62"/>
  <c r="AG93" i="62"/>
  <c r="T93" i="62"/>
  <c r="E93" i="62"/>
  <c r="D93" i="62"/>
  <c r="C93" i="62"/>
  <c r="AT92" i="62"/>
  <c r="AG92" i="62"/>
  <c r="T92" i="62"/>
  <c r="E92" i="62"/>
  <c r="D92" i="62"/>
  <c r="C92" i="62"/>
  <c r="AT91" i="62"/>
  <c r="AG91" i="62"/>
  <c r="T91" i="62"/>
  <c r="E91" i="62"/>
  <c r="D91" i="62"/>
  <c r="C91" i="62"/>
  <c r="AT90" i="62"/>
  <c r="AG90" i="62"/>
  <c r="T90" i="62"/>
  <c r="E90" i="62"/>
  <c r="D90" i="62"/>
  <c r="C90" i="62"/>
  <c r="AT89" i="62"/>
  <c r="AG89" i="62"/>
  <c r="T89" i="62"/>
  <c r="E89" i="62"/>
  <c r="D89" i="62"/>
  <c r="C89" i="62"/>
  <c r="AT88" i="62"/>
  <c r="AG88" i="62"/>
  <c r="T88" i="62"/>
  <c r="E88" i="62"/>
  <c r="D88" i="62"/>
  <c r="C88" i="62"/>
  <c r="AG87" i="62"/>
  <c r="S87" i="62"/>
  <c r="R87" i="62"/>
  <c r="Q87" i="62"/>
  <c r="P87" i="62"/>
  <c r="O87" i="62"/>
  <c r="N87" i="62"/>
  <c r="M87" i="62"/>
  <c r="L87" i="62"/>
  <c r="K87" i="62"/>
  <c r="I87" i="62"/>
  <c r="H87" i="62"/>
  <c r="E87" i="62"/>
  <c r="D87" i="62"/>
  <c r="AG86" i="62"/>
  <c r="S86" i="62"/>
  <c r="R86" i="62"/>
  <c r="Q86" i="62"/>
  <c r="P86" i="62"/>
  <c r="O86" i="62"/>
  <c r="N86" i="62"/>
  <c r="M86" i="62"/>
  <c r="L86" i="62"/>
  <c r="K86" i="62"/>
  <c r="I86" i="62"/>
  <c r="H86" i="62"/>
  <c r="E86" i="62"/>
  <c r="D86" i="62"/>
  <c r="AG85" i="62"/>
  <c r="Q85" i="62"/>
  <c r="Q175" i="62" s="1"/>
  <c r="P85" i="62"/>
  <c r="O85" i="62"/>
  <c r="J31" i="61" s="1"/>
  <c r="N85" i="62"/>
  <c r="I31" i="61" s="1"/>
  <c r="M85" i="62"/>
  <c r="H31" i="61" s="1"/>
  <c r="L85" i="62"/>
  <c r="G31" i="61" s="1"/>
  <c r="K85" i="62"/>
  <c r="F31" i="61" s="1"/>
  <c r="E31" i="61"/>
  <c r="I85" i="62"/>
  <c r="I175" i="62" s="1"/>
  <c r="H85" i="62"/>
  <c r="E85" i="62"/>
  <c r="D85" i="62"/>
  <c r="AT84" i="62"/>
  <c r="AG84" i="62"/>
  <c r="T84" i="62"/>
  <c r="E84" i="62"/>
  <c r="D84" i="62"/>
  <c r="C84" i="62"/>
  <c r="AT83" i="62"/>
  <c r="AG83" i="62"/>
  <c r="T83" i="62"/>
  <c r="E83" i="62"/>
  <c r="D83" i="62"/>
  <c r="C83" i="62"/>
  <c r="AT82" i="62"/>
  <c r="AG82" i="62"/>
  <c r="T82" i="62"/>
  <c r="E82" i="62"/>
  <c r="D82" i="62"/>
  <c r="C82" i="62"/>
  <c r="AT81" i="62"/>
  <c r="AG81" i="62"/>
  <c r="T81" i="62"/>
  <c r="E81" i="62"/>
  <c r="D81" i="62"/>
  <c r="C81" i="62"/>
  <c r="AT80" i="62"/>
  <c r="AG80" i="62"/>
  <c r="T80" i="62"/>
  <c r="E80" i="62"/>
  <c r="D80" i="62"/>
  <c r="C80" i="62"/>
  <c r="AW80" i="62" s="1"/>
  <c r="AT79" i="62"/>
  <c r="AG79" i="62"/>
  <c r="T79" i="62"/>
  <c r="E79" i="62"/>
  <c r="D79" i="62"/>
  <c r="C79" i="62"/>
  <c r="AT78" i="62"/>
  <c r="AG78" i="62"/>
  <c r="T78" i="62"/>
  <c r="E78" i="62"/>
  <c r="D78" i="62"/>
  <c r="C78" i="62"/>
  <c r="AT77" i="62"/>
  <c r="AG77" i="62"/>
  <c r="T77" i="62"/>
  <c r="E77" i="62"/>
  <c r="D77" i="62"/>
  <c r="C77" i="62"/>
  <c r="AW77" i="62" s="1"/>
  <c r="AT76" i="62"/>
  <c r="AG76" i="62"/>
  <c r="T76" i="62"/>
  <c r="E76" i="62"/>
  <c r="D76" i="62"/>
  <c r="C76" i="62"/>
  <c r="AT75" i="62"/>
  <c r="AG75" i="62"/>
  <c r="T75" i="62"/>
  <c r="E75" i="62"/>
  <c r="D75" i="62"/>
  <c r="C75" i="62"/>
  <c r="AT74" i="62"/>
  <c r="AG74" i="62"/>
  <c r="T74" i="62"/>
  <c r="E74" i="62"/>
  <c r="D74" i="62"/>
  <c r="C74" i="62"/>
  <c r="AT73" i="62"/>
  <c r="AG73" i="62"/>
  <c r="T73" i="62"/>
  <c r="E73" i="62"/>
  <c r="D73" i="62"/>
  <c r="C73" i="62"/>
  <c r="AG72" i="62"/>
  <c r="S72" i="62"/>
  <c r="R72" i="62"/>
  <c r="Q72" i="62"/>
  <c r="P72" i="62"/>
  <c r="O72" i="62"/>
  <c r="N72" i="62"/>
  <c r="M72" i="62"/>
  <c r="L72" i="62"/>
  <c r="K72" i="62"/>
  <c r="I72" i="62"/>
  <c r="H72" i="62"/>
  <c r="E72" i="62"/>
  <c r="D72" i="62"/>
  <c r="AG71" i="62"/>
  <c r="S71" i="62"/>
  <c r="R71" i="62"/>
  <c r="Q71" i="62"/>
  <c r="P71" i="62"/>
  <c r="O71" i="62"/>
  <c r="N71" i="62"/>
  <c r="M71" i="62"/>
  <c r="L71" i="62"/>
  <c r="K71" i="62"/>
  <c r="I71" i="62"/>
  <c r="H71" i="62"/>
  <c r="E71" i="62"/>
  <c r="D71" i="62"/>
  <c r="AG70" i="62"/>
  <c r="H70" i="62"/>
  <c r="C26" i="61" s="1"/>
  <c r="E70" i="62"/>
  <c r="D70" i="62"/>
  <c r="C70" i="62"/>
  <c r="AT69" i="62"/>
  <c r="AG69" i="62"/>
  <c r="E69" i="62"/>
  <c r="D69" i="62"/>
  <c r="C69" i="62"/>
  <c r="AT68" i="62"/>
  <c r="AT141" i="62" s="1"/>
  <c r="AG68" i="62"/>
  <c r="T141" i="62"/>
  <c r="E68" i="62"/>
  <c r="D68" i="62"/>
  <c r="C68" i="62"/>
  <c r="AT67" i="62"/>
  <c r="AG67" i="62"/>
  <c r="E67" i="62"/>
  <c r="D67" i="62"/>
  <c r="C67" i="62"/>
  <c r="AT66" i="62"/>
  <c r="AG66" i="62"/>
  <c r="E66" i="62"/>
  <c r="D66" i="62"/>
  <c r="C66" i="62"/>
  <c r="AT65" i="62"/>
  <c r="AT140" i="62" s="1"/>
  <c r="AG65" i="62"/>
  <c r="T140" i="62"/>
  <c r="E65" i="62"/>
  <c r="D65" i="62"/>
  <c r="C65" i="62"/>
  <c r="AT64" i="62"/>
  <c r="AG64" i="62"/>
  <c r="E64" i="62"/>
  <c r="D64" i="62"/>
  <c r="C64" i="62"/>
  <c r="AT63" i="62"/>
  <c r="AG63" i="62"/>
  <c r="E63" i="62"/>
  <c r="D63" i="62"/>
  <c r="C63" i="62"/>
  <c r="AT62" i="62"/>
  <c r="AT139" i="62" s="1"/>
  <c r="AG62" i="62"/>
  <c r="T139" i="62"/>
  <c r="E62" i="62"/>
  <c r="D62" i="62"/>
  <c r="C62" i="62"/>
  <c r="AT61" i="62"/>
  <c r="AG61" i="62"/>
  <c r="E61" i="62"/>
  <c r="D61" i="62"/>
  <c r="C61" i="62"/>
  <c r="AT60" i="62"/>
  <c r="AG60" i="62"/>
  <c r="E60" i="62"/>
  <c r="D60" i="62"/>
  <c r="C60" i="62"/>
  <c r="AT59" i="62"/>
  <c r="AT138" i="62" s="1"/>
  <c r="AG59" i="62"/>
  <c r="T138" i="62"/>
  <c r="E59" i="62"/>
  <c r="D59" i="62"/>
  <c r="C59" i="62"/>
  <c r="AT58" i="62"/>
  <c r="AG58" i="62"/>
  <c r="E58" i="62"/>
  <c r="D58" i="62"/>
  <c r="C58" i="62"/>
  <c r="AT57" i="62"/>
  <c r="AG57" i="62"/>
  <c r="E57" i="62"/>
  <c r="D57" i="62"/>
  <c r="C57" i="62"/>
  <c r="AT56" i="62"/>
  <c r="AT137" i="62" s="1"/>
  <c r="AG56" i="62"/>
  <c r="T137" i="62"/>
  <c r="E56" i="62"/>
  <c r="D56" i="62"/>
  <c r="C56" i="62"/>
  <c r="AT55" i="62"/>
  <c r="AG55" i="62"/>
  <c r="E55" i="62"/>
  <c r="D55" i="62"/>
  <c r="C55" i="62"/>
  <c r="AT54" i="62"/>
  <c r="AG54" i="62"/>
  <c r="E54" i="62"/>
  <c r="D54" i="62"/>
  <c r="C54" i="62"/>
  <c r="AT53" i="62"/>
  <c r="AT136" i="62" s="1"/>
  <c r="AG53" i="62"/>
  <c r="T136" i="62"/>
  <c r="E53" i="62"/>
  <c r="D53" i="62"/>
  <c r="C53" i="62"/>
  <c r="AT52" i="62"/>
  <c r="AG52" i="62"/>
  <c r="E52" i="62"/>
  <c r="D52" i="62"/>
  <c r="C52" i="62"/>
  <c r="AT51" i="62"/>
  <c r="AG51" i="62"/>
  <c r="E51" i="62"/>
  <c r="D51" i="62"/>
  <c r="C51" i="62"/>
  <c r="AT50" i="62"/>
  <c r="AT135" i="62" s="1"/>
  <c r="AG50" i="62"/>
  <c r="T135" i="62"/>
  <c r="E50" i="62"/>
  <c r="D50" i="62"/>
  <c r="C50" i="62"/>
  <c r="AT49" i="62"/>
  <c r="AG49" i="62"/>
  <c r="E49" i="62"/>
  <c r="D49" i="62"/>
  <c r="C49" i="62"/>
  <c r="AT48" i="62"/>
  <c r="AG48" i="62"/>
  <c r="E48" i="62"/>
  <c r="D48" i="62"/>
  <c r="C48" i="62"/>
  <c r="AT47" i="62"/>
  <c r="AT134" i="62" s="1"/>
  <c r="AG47" i="62"/>
  <c r="T134" i="62"/>
  <c r="E47" i="62"/>
  <c r="D47" i="62"/>
  <c r="C47" i="62"/>
  <c r="AT46" i="62"/>
  <c r="AG46" i="62"/>
  <c r="E46" i="62"/>
  <c r="D46" i="62"/>
  <c r="C46" i="62"/>
  <c r="AT45" i="62"/>
  <c r="AG45" i="62"/>
  <c r="E45" i="62"/>
  <c r="D45" i="62"/>
  <c r="C45" i="62"/>
  <c r="AT44" i="62"/>
  <c r="AT133" i="62" s="1"/>
  <c r="AG44" i="62"/>
  <c r="T133" i="62"/>
  <c r="E44" i="62"/>
  <c r="D44" i="62"/>
  <c r="C44" i="62"/>
  <c r="AT43" i="62"/>
  <c r="AG43" i="62"/>
  <c r="E43" i="62"/>
  <c r="D43" i="62"/>
  <c r="C43" i="62"/>
  <c r="AT42" i="62"/>
  <c r="AG42" i="62"/>
  <c r="E42" i="62"/>
  <c r="D42" i="62"/>
  <c r="C42" i="62"/>
  <c r="AT41" i="62"/>
  <c r="AT132" i="62" s="1"/>
  <c r="AG41" i="62"/>
  <c r="T132" i="62"/>
  <c r="E41" i="62"/>
  <c r="D41" i="62"/>
  <c r="C41" i="62"/>
  <c r="AT40" i="62"/>
  <c r="AG40" i="62"/>
  <c r="E40" i="62"/>
  <c r="D40" i="62"/>
  <c r="C40" i="62"/>
  <c r="AT39" i="62"/>
  <c r="AG39" i="62"/>
  <c r="C39" i="62"/>
  <c r="E39" i="62"/>
  <c r="D39" i="62"/>
  <c r="AT38" i="62"/>
  <c r="AG38" i="62"/>
  <c r="C38" i="62"/>
  <c r="E38" i="62"/>
  <c r="D38" i="62"/>
  <c r="AT37" i="62"/>
  <c r="AG37" i="62"/>
  <c r="L15" i="61"/>
  <c r="E37" i="62"/>
  <c r="D37" i="62"/>
  <c r="C37" i="62"/>
  <c r="AT36" i="62"/>
  <c r="AG36" i="62"/>
  <c r="C36" i="62"/>
  <c r="E36" i="62"/>
  <c r="D36" i="62"/>
  <c r="AT35" i="62"/>
  <c r="AG35" i="62"/>
  <c r="C35" i="62"/>
  <c r="E35" i="62"/>
  <c r="D35" i="62"/>
  <c r="AT34" i="62"/>
  <c r="AG34" i="62"/>
  <c r="K14" i="61"/>
  <c r="K112" i="62"/>
  <c r="E34" i="62"/>
  <c r="D34" i="62"/>
  <c r="C34" i="62"/>
  <c r="AT33" i="62"/>
  <c r="AG33" i="62"/>
  <c r="C33" i="62"/>
  <c r="E33" i="62"/>
  <c r="D33" i="62"/>
  <c r="AT32" i="62"/>
  <c r="AG32" i="62"/>
  <c r="C32" i="62"/>
  <c r="E32" i="62"/>
  <c r="D32" i="62"/>
  <c r="AT31" i="62"/>
  <c r="AG31" i="62"/>
  <c r="C31" i="62"/>
  <c r="E31" i="62"/>
  <c r="D31" i="62"/>
  <c r="AT30" i="62"/>
  <c r="AG30" i="62"/>
  <c r="E30" i="62"/>
  <c r="D30" i="62"/>
  <c r="AT29" i="62"/>
  <c r="AT128" i="62" s="1"/>
  <c r="AG29" i="62"/>
  <c r="E29" i="62"/>
  <c r="D29" i="62"/>
  <c r="AT28" i="62"/>
  <c r="AG28" i="62"/>
  <c r="K12" i="61"/>
  <c r="E28" i="62"/>
  <c r="D28" i="62"/>
  <c r="AT27" i="62"/>
  <c r="AG27" i="62"/>
  <c r="E27" i="62"/>
  <c r="D27" i="62"/>
  <c r="C27" i="62"/>
  <c r="AT26" i="62"/>
  <c r="AT127" i="62" s="1"/>
  <c r="AG26" i="62"/>
  <c r="T127" i="62"/>
  <c r="E26" i="62"/>
  <c r="D26" i="62"/>
  <c r="C26" i="62"/>
  <c r="AT25" i="62"/>
  <c r="AG25" i="62"/>
  <c r="E25" i="62"/>
  <c r="D25" i="62"/>
  <c r="C25" i="62"/>
  <c r="AT24" i="62"/>
  <c r="AG24" i="62"/>
  <c r="E24" i="62"/>
  <c r="D24" i="62"/>
  <c r="C24" i="62"/>
  <c r="AT23" i="62"/>
  <c r="AT126" i="62" s="1"/>
  <c r="AG23" i="62"/>
  <c r="T126" i="62"/>
  <c r="E23" i="62"/>
  <c r="D23" i="62"/>
  <c r="C23" i="62"/>
  <c r="AT22" i="62"/>
  <c r="AG22" i="62"/>
  <c r="E22" i="62"/>
  <c r="D22" i="62"/>
  <c r="C22" i="62"/>
  <c r="AT21" i="62"/>
  <c r="AG21" i="62"/>
  <c r="T21" i="62"/>
  <c r="E21" i="62"/>
  <c r="D21" i="62"/>
  <c r="C21" i="62"/>
  <c r="AT20" i="62"/>
  <c r="AG20" i="62"/>
  <c r="T20" i="62"/>
  <c r="E20" i="62"/>
  <c r="D20" i="62"/>
  <c r="C20" i="62"/>
  <c r="AT19" i="62"/>
  <c r="AG19" i="62"/>
  <c r="T19" i="62"/>
  <c r="E19" i="62"/>
  <c r="D19" i="62"/>
  <c r="C19" i="62"/>
  <c r="AT18" i="62"/>
  <c r="AG18" i="62"/>
  <c r="T18" i="62"/>
  <c r="E18" i="62"/>
  <c r="D18" i="62"/>
  <c r="C18" i="62"/>
  <c r="AT17" i="62"/>
  <c r="AG17" i="62"/>
  <c r="T17" i="62"/>
  <c r="E17" i="62"/>
  <c r="D17" i="62"/>
  <c r="C17" i="62"/>
  <c r="AT16" i="62"/>
  <c r="AG16" i="62"/>
  <c r="T16" i="62"/>
  <c r="E16" i="62"/>
  <c r="D16" i="62"/>
  <c r="C16" i="62"/>
  <c r="AT15" i="62"/>
  <c r="AG15" i="62"/>
  <c r="T15" i="62"/>
  <c r="E15" i="62"/>
  <c r="D15" i="62"/>
  <c r="C15" i="62"/>
  <c r="AT14" i="62"/>
  <c r="AG14" i="62"/>
  <c r="T14" i="62"/>
  <c r="E14" i="62"/>
  <c r="D14" i="62"/>
  <c r="C14" i="62"/>
  <c r="AT13" i="62"/>
  <c r="AG13" i="62"/>
  <c r="T13" i="62"/>
  <c r="E13" i="62"/>
  <c r="D13" i="62"/>
  <c r="C13" i="62"/>
  <c r="AT12" i="62"/>
  <c r="AG12" i="62"/>
  <c r="S12" i="62"/>
  <c r="S96" i="62" s="1"/>
  <c r="R12" i="62"/>
  <c r="Q12" i="62"/>
  <c r="P12" i="62"/>
  <c r="P96" i="62" s="1"/>
  <c r="O12" i="62"/>
  <c r="O96" i="62" s="1"/>
  <c r="N12" i="62"/>
  <c r="N96" i="62" s="1"/>
  <c r="M12" i="62"/>
  <c r="M96" i="62" s="1"/>
  <c r="L12" i="62"/>
  <c r="L96" i="62" s="1"/>
  <c r="K12" i="62"/>
  <c r="K96" i="62" s="1"/>
  <c r="I12" i="62"/>
  <c r="H12" i="62"/>
  <c r="H96" i="62" s="1"/>
  <c r="E12" i="62"/>
  <c r="D12" i="62"/>
  <c r="AT11" i="62"/>
  <c r="AG11" i="62"/>
  <c r="S11" i="62"/>
  <c r="S95" i="62" s="1"/>
  <c r="R11" i="62"/>
  <c r="R95" i="62" s="1"/>
  <c r="Q11" i="62"/>
  <c r="P11" i="62"/>
  <c r="O11" i="62"/>
  <c r="O95" i="62" s="1"/>
  <c r="N11" i="62"/>
  <c r="N95" i="62" s="1"/>
  <c r="M11" i="62"/>
  <c r="L11" i="62"/>
  <c r="K11" i="62"/>
  <c r="J95" i="62"/>
  <c r="I11" i="62"/>
  <c r="I105" i="62" s="1"/>
  <c r="H11" i="62"/>
  <c r="E11" i="62"/>
  <c r="D11" i="62"/>
  <c r="AT10" i="62"/>
  <c r="AG10" i="62"/>
  <c r="S10" i="62"/>
  <c r="R10" i="62"/>
  <c r="M6" i="61" s="1"/>
  <c r="Q10" i="62"/>
  <c r="Q94" i="62" s="1"/>
  <c r="P10" i="62"/>
  <c r="K6" i="61" s="1"/>
  <c r="O10" i="62"/>
  <c r="J6" i="61" s="1"/>
  <c r="N10" i="62"/>
  <c r="I6" i="61" s="1"/>
  <c r="AV6" i="61" s="1"/>
  <c r="M10" i="62"/>
  <c r="M94" i="62" s="1"/>
  <c r="L10" i="62"/>
  <c r="G6" i="61" s="1"/>
  <c r="K10" i="62"/>
  <c r="F6" i="61" s="1"/>
  <c r="J94" i="62"/>
  <c r="I10" i="62"/>
  <c r="I104" i="62" s="1"/>
  <c r="H10" i="62"/>
  <c r="C6" i="61" s="1"/>
  <c r="E10" i="62"/>
  <c r="D10" i="62"/>
  <c r="AT9" i="62"/>
  <c r="AG9" i="62"/>
  <c r="T9" i="62"/>
  <c r="E9" i="62"/>
  <c r="D9" i="62"/>
  <c r="C9" i="62"/>
  <c r="AT8" i="62"/>
  <c r="AT122" i="62" s="1"/>
  <c r="AG8" i="62"/>
  <c r="T8" i="62"/>
  <c r="T122" i="62" s="1"/>
  <c r="E8" i="62"/>
  <c r="D8" i="62"/>
  <c r="C8" i="62"/>
  <c r="AT7" i="62"/>
  <c r="AG7" i="62"/>
  <c r="T7" i="62"/>
  <c r="E7" i="62"/>
  <c r="D7" i="62"/>
  <c r="C7" i="62"/>
  <c r="AT6" i="62"/>
  <c r="AG6" i="62"/>
  <c r="T6" i="62"/>
  <c r="E6" i="62"/>
  <c r="D6" i="62"/>
  <c r="C6" i="62"/>
  <c r="AT5" i="62"/>
  <c r="AT121" i="62" s="1"/>
  <c r="AG5" i="62"/>
  <c r="T5" i="62"/>
  <c r="T121" i="62" s="1"/>
  <c r="E5" i="62"/>
  <c r="D5" i="62"/>
  <c r="C5" i="62"/>
  <c r="AT4" i="62"/>
  <c r="AG4" i="62"/>
  <c r="E4" i="62"/>
  <c r="D4" i="62"/>
  <c r="C4" i="62"/>
  <c r="AN36" i="61"/>
  <c r="AM36" i="61"/>
  <c r="AL36" i="61"/>
  <c r="AK36" i="61"/>
  <c r="AJ36" i="61"/>
  <c r="AI36" i="61"/>
  <c r="AH36" i="61"/>
  <c r="AG36" i="61"/>
  <c r="AF36" i="61"/>
  <c r="AE36" i="61"/>
  <c r="AD36" i="61"/>
  <c r="AC36" i="61"/>
  <c r="AA36" i="61"/>
  <c r="Z36" i="61"/>
  <c r="Y36" i="61"/>
  <c r="X36" i="61"/>
  <c r="W36" i="61"/>
  <c r="V36" i="61"/>
  <c r="U36" i="61"/>
  <c r="T36" i="61"/>
  <c r="S36" i="61"/>
  <c r="R36" i="61"/>
  <c r="Q36" i="61"/>
  <c r="P36" i="61"/>
  <c r="N36" i="61"/>
  <c r="M36" i="61"/>
  <c r="L36" i="61"/>
  <c r="K36" i="61"/>
  <c r="J36" i="61"/>
  <c r="I36" i="61"/>
  <c r="H36" i="61"/>
  <c r="G36" i="61"/>
  <c r="F36" i="61"/>
  <c r="E36" i="61"/>
  <c r="D36" i="61"/>
  <c r="C36" i="61"/>
  <c r="AN35" i="61"/>
  <c r="AM35" i="61"/>
  <c r="AL35" i="61"/>
  <c r="AK35" i="61"/>
  <c r="AJ35" i="61"/>
  <c r="AI35" i="61"/>
  <c r="AH35" i="61"/>
  <c r="AG35" i="61"/>
  <c r="AF35" i="61"/>
  <c r="AE35" i="61"/>
  <c r="AD35" i="61"/>
  <c r="AC35" i="61"/>
  <c r="AA35" i="61"/>
  <c r="Z35" i="61"/>
  <c r="Y35" i="61"/>
  <c r="X35" i="61"/>
  <c r="W35" i="61"/>
  <c r="V35" i="61"/>
  <c r="U35" i="61"/>
  <c r="T35" i="61"/>
  <c r="S35" i="61"/>
  <c r="R35" i="61"/>
  <c r="Q35" i="61"/>
  <c r="P35" i="61"/>
  <c r="N35" i="61"/>
  <c r="M35" i="61"/>
  <c r="AZ35" i="61" s="1"/>
  <c r="AN34" i="61"/>
  <c r="AM34" i="61"/>
  <c r="AL34" i="61"/>
  <c r="AK34" i="61"/>
  <c r="AJ34" i="61"/>
  <c r="AI34" i="61"/>
  <c r="AH34" i="61"/>
  <c r="AG34" i="61"/>
  <c r="AF34" i="61"/>
  <c r="AE34" i="61"/>
  <c r="AD34" i="61"/>
  <c r="AC34" i="61"/>
  <c r="AA34" i="61"/>
  <c r="Z34" i="61"/>
  <c r="Y34" i="61"/>
  <c r="X34" i="61"/>
  <c r="W34" i="61"/>
  <c r="V34" i="61"/>
  <c r="U34" i="61"/>
  <c r="T34" i="61"/>
  <c r="S34" i="61"/>
  <c r="R34" i="61"/>
  <c r="Q34" i="61"/>
  <c r="P34" i="61"/>
  <c r="AN33" i="61"/>
  <c r="AM33" i="61"/>
  <c r="AL33" i="61"/>
  <c r="AK33" i="61"/>
  <c r="AJ33" i="61"/>
  <c r="AI33" i="61"/>
  <c r="AH33" i="61"/>
  <c r="AG33" i="61"/>
  <c r="AF33" i="61"/>
  <c r="AE33" i="61"/>
  <c r="AD33" i="61"/>
  <c r="AC33" i="61"/>
  <c r="AA33" i="61"/>
  <c r="Z33" i="61"/>
  <c r="Y33" i="61"/>
  <c r="X33" i="61"/>
  <c r="W33" i="61"/>
  <c r="V33" i="61"/>
  <c r="U33" i="61"/>
  <c r="T33" i="61"/>
  <c r="S33" i="61"/>
  <c r="R33" i="61"/>
  <c r="Q33" i="61"/>
  <c r="P33" i="61"/>
  <c r="N33" i="61"/>
  <c r="BA33" i="61" s="1"/>
  <c r="M33" i="61"/>
  <c r="AZ33" i="61" s="1"/>
  <c r="L33" i="61"/>
  <c r="AY33" i="61" s="1"/>
  <c r="K33" i="61"/>
  <c r="AX33" i="61" s="1"/>
  <c r="J33" i="61"/>
  <c r="AW33" i="61" s="1"/>
  <c r="I33" i="61"/>
  <c r="H33" i="61"/>
  <c r="AU33" i="61" s="1"/>
  <c r="G33" i="61"/>
  <c r="F33" i="61"/>
  <c r="E33" i="61"/>
  <c r="AR33" i="61" s="1"/>
  <c r="D33" i="61"/>
  <c r="C33" i="61"/>
  <c r="AN32" i="61"/>
  <c r="AM32" i="61"/>
  <c r="AL32" i="61"/>
  <c r="AK32" i="61"/>
  <c r="AJ32" i="61"/>
  <c r="AI32" i="61"/>
  <c r="AH32" i="61"/>
  <c r="AG32" i="61"/>
  <c r="AF32" i="61"/>
  <c r="AE32" i="61"/>
  <c r="AD32" i="61"/>
  <c r="AC32" i="61"/>
  <c r="AA32" i="61"/>
  <c r="Z32" i="61"/>
  <c r="Y32" i="61"/>
  <c r="X32" i="61"/>
  <c r="W32" i="61"/>
  <c r="V32" i="61"/>
  <c r="U32" i="61"/>
  <c r="T32" i="61"/>
  <c r="S32" i="61"/>
  <c r="R32" i="61"/>
  <c r="Q32" i="61"/>
  <c r="P32" i="61"/>
  <c r="N32" i="61"/>
  <c r="M32" i="61"/>
  <c r="L32" i="61"/>
  <c r="K32" i="61"/>
  <c r="J32" i="61"/>
  <c r="I32" i="61"/>
  <c r="H32" i="61"/>
  <c r="G32" i="61"/>
  <c r="F32" i="61"/>
  <c r="E32" i="61"/>
  <c r="D32" i="61"/>
  <c r="C32" i="61"/>
  <c r="AN31" i="61"/>
  <c r="AM31" i="61"/>
  <c r="AL31" i="61"/>
  <c r="AK31" i="61"/>
  <c r="AJ31" i="61"/>
  <c r="AI31" i="61"/>
  <c r="AH31" i="61"/>
  <c r="AG31" i="61"/>
  <c r="AF31" i="61"/>
  <c r="AE31" i="61"/>
  <c r="AD31" i="61"/>
  <c r="AC31" i="61"/>
  <c r="AA31" i="61"/>
  <c r="Z31" i="61"/>
  <c r="Y31" i="61"/>
  <c r="X31" i="61"/>
  <c r="W31" i="61"/>
  <c r="V31" i="61"/>
  <c r="U31" i="61"/>
  <c r="T31" i="61"/>
  <c r="S31" i="61"/>
  <c r="R31" i="61"/>
  <c r="Q31" i="61"/>
  <c r="P31" i="61"/>
  <c r="N31" i="61"/>
  <c r="M31" i="61"/>
  <c r="AN30" i="61"/>
  <c r="AM30" i="61"/>
  <c r="AL30" i="61"/>
  <c r="AK30" i="61"/>
  <c r="AJ30" i="61"/>
  <c r="AI30" i="61"/>
  <c r="AH30" i="61"/>
  <c r="AG30" i="61"/>
  <c r="AF30" i="61"/>
  <c r="AE30" i="61"/>
  <c r="AD30" i="61"/>
  <c r="AC30" i="61"/>
  <c r="AA30" i="61"/>
  <c r="Z30" i="61"/>
  <c r="Y30" i="61"/>
  <c r="X30" i="61"/>
  <c r="W30" i="61"/>
  <c r="V30" i="61"/>
  <c r="U30" i="61"/>
  <c r="T30" i="61"/>
  <c r="S30" i="61"/>
  <c r="R30" i="61"/>
  <c r="Q30" i="61"/>
  <c r="P30" i="61"/>
  <c r="N30" i="61"/>
  <c r="M30" i="61"/>
  <c r="L30" i="61"/>
  <c r="K30" i="61"/>
  <c r="J30" i="61"/>
  <c r="I30" i="61"/>
  <c r="H30" i="61"/>
  <c r="G30" i="61"/>
  <c r="F30" i="61"/>
  <c r="E30" i="61"/>
  <c r="D30" i="61"/>
  <c r="AQ30" i="61" s="1"/>
  <c r="C30" i="61"/>
  <c r="AN29" i="61"/>
  <c r="AM29" i="61"/>
  <c r="AL29" i="61"/>
  <c r="AK29" i="61"/>
  <c r="AJ29" i="61"/>
  <c r="AI29" i="61"/>
  <c r="AH29" i="61"/>
  <c r="AG29" i="61"/>
  <c r="AF29" i="61"/>
  <c r="AE29" i="61"/>
  <c r="AD29" i="61"/>
  <c r="AC29" i="61"/>
  <c r="AA29" i="61"/>
  <c r="Z29" i="61"/>
  <c r="Y29" i="61"/>
  <c r="X29" i="61"/>
  <c r="W29" i="61"/>
  <c r="V29" i="61"/>
  <c r="U29" i="61"/>
  <c r="T29" i="61"/>
  <c r="S29" i="61"/>
  <c r="R29" i="61"/>
  <c r="Q29" i="61"/>
  <c r="P29" i="61"/>
  <c r="N29" i="61"/>
  <c r="M29" i="61"/>
  <c r="L29" i="61"/>
  <c r="K29" i="61"/>
  <c r="J29" i="61"/>
  <c r="I29" i="61"/>
  <c r="H29" i="61"/>
  <c r="AU29" i="61" s="1"/>
  <c r="G29" i="61"/>
  <c r="F29" i="61"/>
  <c r="E29" i="61"/>
  <c r="D29" i="61"/>
  <c r="C29" i="61"/>
  <c r="AN28" i="61"/>
  <c r="AM28" i="61"/>
  <c r="AL28" i="61"/>
  <c r="AK28" i="61"/>
  <c r="AJ28" i="61"/>
  <c r="AI28" i="61"/>
  <c r="AH28" i="61"/>
  <c r="AG28" i="61"/>
  <c r="AF28" i="61"/>
  <c r="AE28" i="61"/>
  <c r="AD28" i="61"/>
  <c r="AC28" i="61"/>
  <c r="AA28" i="61"/>
  <c r="Z28" i="61"/>
  <c r="Y28" i="61"/>
  <c r="X28" i="61"/>
  <c r="W28" i="61"/>
  <c r="V28" i="61"/>
  <c r="U28" i="61"/>
  <c r="T28" i="61"/>
  <c r="S28" i="61"/>
  <c r="R28" i="61"/>
  <c r="Q28" i="61"/>
  <c r="P28" i="61"/>
  <c r="N28" i="61"/>
  <c r="M28" i="61"/>
  <c r="L28" i="61"/>
  <c r="AY28" i="61" s="1"/>
  <c r="K28" i="61"/>
  <c r="J28" i="61"/>
  <c r="I28" i="61"/>
  <c r="H28" i="61"/>
  <c r="G28" i="61"/>
  <c r="F28" i="61"/>
  <c r="E28" i="61"/>
  <c r="D28" i="61"/>
  <c r="C28" i="61"/>
  <c r="AN27" i="61"/>
  <c r="AM27" i="61"/>
  <c r="AL27" i="61"/>
  <c r="AK27" i="61"/>
  <c r="AJ27" i="61"/>
  <c r="AI27" i="61"/>
  <c r="AH27" i="61"/>
  <c r="AG27" i="61"/>
  <c r="AF27" i="61"/>
  <c r="AE27" i="61"/>
  <c r="AD27" i="61"/>
  <c r="AC27" i="61"/>
  <c r="AA27" i="61"/>
  <c r="Z27" i="61"/>
  <c r="Y27" i="61"/>
  <c r="X27" i="61"/>
  <c r="W27" i="61"/>
  <c r="V27" i="61"/>
  <c r="U27" i="61"/>
  <c r="T27" i="61"/>
  <c r="S27" i="61"/>
  <c r="R27" i="61"/>
  <c r="Q27" i="61"/>
  <c r="P27" i="61"/>
  <c r="N27" i="61"/>
  <c r="M27" i="61"/>
  <c r="AZ27" i="61" s="1"/>
  <c r="L27" i="61"/>
  <c r="K27" i="61"/>
  <c r="J27" i="61"/>
  <c r="I27" i="61"/>
  <c r="H27" i="61"/>
  <c r="AU27" i="61" s="1"/>
  <c r="G27" i="61"/>
  <c r="F27" i="61"/>
  <c r="E27" i="61"/>
  <c r="D27" i="61"/>
  <c r="C27" i="61"/>
  <c r="AN26" i="61"/>
  <c r="AM26" i="61"/>
  <c r="AL26" i="61"/>
  <c r="AK26" i="61"/>
  <c r="AJ26" i="61"/>
  <c r="AI26" i="61"/>
  <c r="AH26" i="61"/>
  <c r="AG26" i="61"/>
  <c r="AF26" i="61"/>
  <c r="AE26" i="61"/>
  <c r="AD26" i="61"/>
  <c r="AC26" i="61"/>
  <c r="AA26" i="61"/>
  <c r="Z26" i="61"/>
  <c r="Y26" i="61"/>
  <c r="X26" i="61"/>
  <c r="W26" i="61"/>
  <c r="V26" i="61"/>
  <c r="U26" i="61"/>
  <c r="T26" i="61"/>
  <c r="S26" i="61"/>
  <c r="R26" i="61"/>
  <c r="Q26" i="61"/>
  <c r="P26" i="61"/>
  <c r="N26" i="61"/>
  <c r="M26" i="61"/>
  <c r="AZ26" i="61" s="1"/>
  <c r="L26" i="61"/>
  <c r="K26" i="61"/>
  <c r="D26" i="61"/>
  <c r="AN25" i="61"/>
  <c r="AM25" i="61"/>
  <c r="AL25" i="61"/>
  <c r="AK25" i="61"/>
  <c r="AJ25" i="61"/>
  <c r="AI25" i="61"/>
  <c r="AH25" i="61"/>
  <c r="AG25" i="61"/>
  <c r="AF25" i="61"/>
  <c r="AE25" i="61"/>
  <c r="AD25" i="61"/>
  <c r="AC25" i="61"/>
  <c r="AA25" i="61"/>
  <c r="Z25" i="61"/>
  <c r="Y25" i="61"/>
  <c r="X25" i="61"/>
  <c r="W25" i="61"/>
  <c r="V25" i="61"/>
  <c r="U25" i="61"/>
  <c r="T25" i="61"/>
  <c r="S25" i="61"/>
  <c r="R25" i="61"/>
  <c r="Q25" i="61"/>
  <c r="P25" i="61"/>
  <c r="N25" i="61"/>
  <c r="BA25" i="61" s="1"/>
  <c r="M25" i="61"/>
  <c r="AZ25" i="61" s="1"/>
  <c r="L25" i="61"/>
  <c r="AY25" i="61" s="1"/>
  <c r="K25" i="61"/>
  <c r="AX25" i="61" s="1"/>
  <c r="J25" i="61"/>
  <c r="AW25" i="61" s="1"/>
  <c r="I25" i="61"/>
  <c r="AV25" i="61" s="1"/>
  <c r="H25" i="61"/>
  <c r="AU25" i="61" s="1"/>
  <c r="G25" i="61"/>
  <c r="AT25" i="61" s="1"/>
  <c r="F25" i="61"/>
  <c r="AS25" i="61" s="1"/>
  <c r="E25" i="61"/>
  <c r="AR25" i="61" s="1"/>
  <c r="D25" i="61"/>
  <c r="AQ25" i="61" s="1"/>
  <c r="C25" i="61"/>
  <c r="AP25" i="61" s="1"/>
  <c r="AN24" i="61"/>
  <c r="AM24" i="61"/>
  <c r="AL24" i="61"/>
  <c r="AK24" i="61"/>
  <c r="AJ24" i="61"/>
  <c r="AI24" i="61"/>
  <c r="AH24" i="61"/>
  <c r="AG24" i="61"/>
  <c r="AF24" i="61"/>
  <c r="AE24" i="61"/>
  <c r="AD24" i="61"/>
  <c r="AC24" i="61"/>
  <c r="AA24" i="61"/>
  <c r="Z24" i="61"/>
  <c r="Y24" i="61"/>
  <c r="X24" i="61"/>
  <c r="W24" i="61"/>
  <c r="V24" i="61"/>
  <c r="U24" i="61"/>
  <c r="T24" i="61"/>
  <c r="S24" i="61"/>
  <c r="R24" i="61"/>
  <c r="Q24" i="61"/>
  <c r="P24" i="61"/>
  <c r="N24" i="61"/>
  <c r="BA24" i="61" s="1"/>
  <c r="M24" i="61"/>
  <c r="L24" i="61"/>
  <c r="K24" i="61"/>
  <c r="J24" i="61"/>
  <c r="I24" i="61"/>
  <c r="H24" i="61"/>
  <c r="G24" i="61"/>
  <c r="F24" i="61"/>
  <c r="E24" i="61"/>
  <c r="D24" i="61"/>
  <c r="C24" i="61"/>
  <c r="AN23" i="61"/>
  <c r="AM23" i="61"/>
  <c r="AL23" i="61"/>
  <c r="AK23" i="61"/>
  <c r="AJ23" i="61"/>
  <c r="AI23" i="61"/>
  <c r="AH23" i="61"/>
  <c r="AG23" i="61"/>
  <c r="AF23" i="61"/>
  <c r="AE23" i="61"/>
  <c r="AD23" i="61"/>
  <c r="AC23" i="61"/>
  <c r="AA23" i="61"/>
  <c r="Z23" i="61"/>
  <c r="Y23" i="61"/>
  <c r="X23" i="61"/>
  <c r="W23" i="61"/>
  <c r="V23" i="61"/>
  <c r="U23" i="61"/>
  <c r="T23" i="61"/>
  <c r="S23" i="61"/>
  <c r="R23" i="61"/>
  <c r="Q23" i="61"/>
  <c r="P23" i="61"/>
  <c r="N23" i="61"/>
  <c r="M23" i="61"/>
  <c r="L23" i="61"/>
  <c r="K23" i="61"/>
  <c r="J23" i="61"/>
  <c r="AW23" i="61" s="1"/>
  <c r="I23" i="61"/>
  <c r="H23" i="61"/>
  <c r="G23" i="61"/>
  <c r="F23" i="61"/>
  <c r="E23" i="61"/>
  <c r="D23" i="61"/>
  <c r="C23" i="61"/>
  <c r="AN22" i="61"/>
  <c r="AM22" i="61"/>
  <c r="AL22" i="61"/>
  <c r="AK22" i="61"/>
  <c r="AJ22" i="61"/>
  <c r="AI22" i="61"/>
  <c r="AH22" i="61"/>
  <c r="AG22" i="61"/>
  <c r="AF22" i="61"/>
  <c r="AE22" i="61"/>
  <c r="AD22" i="61"/>
  <c r="AC22" i="61"/>
  <c r="AA22" i="61"/>
  <c r="Z22" i="61"/>
  <c r="Y22" i="61"/>
  <c r="X22" i="61"/>
  <c r="W22" i="61"/>
  <c r="V22" i="61"/>
  <c r="U22" i="61"/>
  <c r="T22" i="61"/>
  <c r="S22" i="61"/>
  <c r="R22" i="61"/>
  <c r="Q22" i="61"/>
  <c r="P22" i="61"/>
  <c r="N22" i="61"/>
  <c r="BA22" i="61" s="1"/>
  <c r="M22" i="61"/>
  <c r="L22" i="61"/>
  <c r="K22" i="61"/>
  <c r="J22" i="61"/>
  <c r="I22" i="61"/>
  <c r="H22" i="61"/>
  <c r="G22" i="61"/>
  <c r="F22" i="61"/>
  <c r="E22" i="61"/>
  <c r="D22" i="61"/>
  <c r="C22" i="61"/>
  <c r="AN21" i="61"/>
  <c r="AM21" i="61"/>
  <c r="AL21" i="61"/>
  <c r="AK21" i="61"/>
  <c r="AJ21" i="61"/>
  <c r="AI21" i="61"/>
  <c r="AH21" i="61"/>
  <c r="AG21" i="61"/>
  <c r="AF21" i="61"/>
  <c r="AE21" i="61"/>
  <c r="AD21" i="61"/>
  <c r="AC21" i="61"/>
  <c r="AA21" i="61"/>
  <c r="Z21" i="61"/>
  <c r="Y21" i="61"/>
  <c r="X21" i="61"/>
  <c r="W21" i="61"/>
  <c r="V21" i="61"/>
  <c r="U21" i="61"/>
  <c r="T21" i="61"/>
  <c r="S21" i="61"/>
  <c r="R21" i="61"/>
  <c r="Q21" i="61"/>
  <c r="P21" i="61"/>
  <c r="N21" i="61"/>
  <c r="M21" i="61"/>
  <c r="L21" i="61"/>
  <c r="K21" i="61"/>
  <c r="J21" i="61"/>
  <c r="I21" i="61"/>
  <c r="H21" i="61"/>
  <c r="G21" i="61"/>
  <c r="F21" i="61"/>
  <c r="E21" i="61"/>
  <c r="D21" i="61"/>
  <c r="C21" i="61"/>
  <c r="AN20" i="61"/>
  <c r="AM20" i="61"/>
  <c r="AL20" i="61"/>
  <c r="AK20" i="61"/>
  <c r="AJ20" i="61"/>
  <c r="AI20" i="61"/>
  <c r="AH20" i="61"/>
  <c r="AG20" i="61"/>
  <c r="AF20" i="61"/>
  <c r="AE20" i="61"/>
  <c r="AD20" i="61"/>
  <c r="AC20" i="61"/>
  <c r="AA20" i="61"/>
  <c r="Z20" i="61"/>
  <c r="Y20" i="61"/>
  <c r="X20" i="61"/>
  <c r="W20" i="61"/>
  <c r="V20" i="61"/>
  <c r="U20" i="61"/>
  <c r="T20" i="61"/>
  <c r="S20" i="61"/>
  <c r="R20" i="61"/>
  <c r="Q20" i="61"/>
  <c r="P20" i="61"/>
  <c r="N20" i="61"/>
  <c r="BA20" i="61" s="1"/>
  <c r="M20" i="61"/>
  <c r="L20" i="61"/>
  <c r="K20" i="61"/>
  <c r="J20" i="61"/>
  <c r="I20" i="61"/>
  <c r="H20" i="61"/>
  <c r="G20" i="61"/>
  <c r="F20" i="61"/>
  <c r="E20" i="61"/>
  <c r="D20" i="61"/>
  <c r="C20" i="61"/>
  <c r="AN19" i="61"/>
  <c r="AM19" i="61"/>
  <c r="AL19" i="61"/>
  <c r="AK19" i="61"/>
  <c r="AJ19" i="61"/>
  <c r="AI19" i="61"/>
  <c r="AH19" i="61"/>
  <c r="AG19" i="61"/>
  <c r="AF19" i="61"/>
  <c r="AE19" i="61"/>
  <c r="AD19" i="61"/>
  <c r="AC19" i="61"/>
  <c r="AA19" i="61"/>
  <c r="Z19" i="61"/>
  <c r="Y19" i="61"/>
  <c r="X19" i="61"/>
  <c r="W19" i="61"/>
  <c r="V19" i="61"/>
  <c r="U19" i="61"/>
  <c r="T19" i="61"/>
  <c r="S19" i="61"/>
  <c r="R19" i="61"/>
  <c r="Q19" i="61"/>
  <c r="P19" i="61"/>
  <c r="N19" i="61"/>
  <c r="BA19" i="61" s="1"/>
  <c r="M19" i="61"/>
  <c r="AZ19" i="61" s="1"/>
  <c r="L19" i="61"/>
  <c r="AY19" i="61" s="1"/>
  <c r="K19" i="61"/>
  <c r="AX19" i="61" s="1"/>
  <c r="J19" i="61"/>
  <c r="AW19" i="61" s="1"/>
  <c r="I19" i="61"/>
  <c r="AV19" i="61" s="1"/>
  <c r="H19" i="61"/>
  <c r="AU19" i="61" s="1"/>
  <c r="G19" i="61"/>
  <c r="AT19" i="61" s="1"/>
  <c r="F19" i="61"/>
  <c r="AS19" i="61" s="1"/>
  <c r="E19" i="61"/>
  <c r="AR19" i="61" s="1"/>
  <c r="D19" i="61"/>
  <c r="AQ19" i="61" s="1"/>
  <c r="C19" i="61"/>
  <c r="AP19" i="61" s="1"/>
  <c r="AN18" i="61"/>
  <c r="AM18" i="61"/>
  <c r="AL18" i="61"/>
  <c r="AK18" i="61"/>
  <c r="AJ18" i="61"/>
  <c r="AI18" i="61"/>
  <c r="AH18" i="61"/>
  <c r="AG18" i="61"/>
  <c r="AF18" i="61"/>
  <c r="AE18" i="61"/>
  <c r="AD18" i="61"/>
  <c r="AC18" i="61"/>
  <c r="AA18" i="61"/>
  <c r="Z18" i="61"/>
  <c r="Y18" i="61"/>
  <c r="X18" i="61"/>
  <c r="W18" i="61"/>
  <c r="V18" i="61"/>
  <c r="U18" i="61"/>
  <c r="T18" i="61"/>
  <c r="S18" i="61"/>
  <c r="R18" i="61"/>
  <c r="Q18" i="61"/>
  <c r="P18" i="61"/>
  <c r="N18" i="61"/>
  <c r="BA18" i="61" s="1"/>
  <c r="M18" i="61"/>
  <c r="L18" i="61"/>
  <c r="K18" i="61"/>
  <c r="J18" i="61"/>
  <c r="I18" i="61"/>
  <c r="H18" i="61"/>
  <c r="G18" i="61"/>
  <c r="F18" i="61"/>
  <c r="E18" i="61"/>
  <c r="D18" i="61"/>
  <c r="C18" i="61"/>
  <c r="AN17" i="61"/>
  <c r="AM17" i="61"/>
  <c r="AL17" i="61"/>
  <c r="AK17" i="61"/>
  <c r="AJ17" i="61"/>
  <c r="AI17" i="61"/>
  <c r="AH17" i="61"/>
  <c r="AG17" i="61"/>
  <c r="AF17" i="61"/>
  <c r="AE17" i="61"/>
  <c r="AD17" i="61"/>
  <c r="AC17" i="61"/>
  <c r="AA17" i="61"/>
  <c r="Z17" i="61"/>
  <c r="Y17" i="61"/>
  <c r="X17" i="61"/>
  <c r="W17" i="61"/>
  <c r="V17" i="61"/>
  <c r="U17" i="61"/>
  <c r="T17" i="61"/>
  <c r="S17" i="61"/>
  <c r="R17" i="61"/>
  <c r="Q17" i="61"/>
  <c r="P17" i="61"/>
  <c r="N17" i="61"/>
  <c r="BA17" i="61" s="1"/>
  <c r="M17" i="61"/>
  <c r="AZ17" i="61" s="1"/>
  <c r="L17" i="61"/>
  <c r="K17" i="61"/>
  <c r="J17" i="61"/>
  <c r="AW17" i="61" s="1"/>
  <c r="I17" i="61"/>
  <c r="H17" i="61"/>
  <c r="G17" i="61"/>
  <c r="F17" i="61"/>
  <c r="E17" i="61"/>
  <c r="D17" i="61"/>
  <c r="C17" i="61"/>
  <c r="AN16" i="61"/>
  <c r="AM16" i="61"/>
  <c r="AL16" i="61"/>
  <c r="AK16" i="61"/>
  <c r="AJ16" i="61"/>
  <c r="AI16" i="61"/>
  <c r="AH16" i="61"/>
  <c r="AG16" i="61"/>
  <c r="AF16" i="61"/>
  <c r="AE16" i="61"/>
  <c r="AD16" i="61"/>
  <c r="AC16" i="61"/>
  <c r="AA16" i="61"/>
  <c r="Z16" i="61"/>
  <c r="Y16" i="61"/>
  <c r="X16" i="61"/>
  <c r="W16" i="61"/>
  <c r="V16" i="61"/>
  <c r="U16" i="61"/>
  <c r="T16" i="61"/>
  <c r="S16" i="61"/>
  <c r="R16" i="61"/>
  <c r="Q16" i="61"/>
  <c r="P16" i="61"/>
  <c r="N16" i="61"/>
  <c r="BA16" i="61" s="1"/>
  <c r="M16" i="61"/>
  <c r="L16" i="61"/>
  <c r="K16" i="61"/>
  <c r="J16" i="61"/>
  <c r="I16" i="61"/>
  <c r="H16" i="61"/>
  <c r="G16" i="61"/>
  <c r="F16" i="61"/>
  <c r="E16" i="61"/>
  <c r="D16" i="61"/>
  <c r="C16" i="61"/>
  <c r="AN15" i="61"/>
  <c r="AM15" i="61"/>
  <c r="AL15" i="61"/>
  <c r="AK15" i="61"/>
  <c r="AJ15" i="61"/>
  <c r="AI15" i="61"/>
  <c r="AH15" i="61"/>
  <c r="AG15" i="61"/>
  <c r="AF15" i="61"/>
  <c r="AE15" i="61"/>
  <c r="AD15" i="61"/>
  <c r="AC15" i="61"/>
  <c r="AA15" i="61"/>
  <c r="Z15" i="61"/>
  <c r="Y15" i="61"/>
  <c r="X15" i="61"/>
  <c r="W15" i="61"/>
  <c r="V15" i="61"/>
  <c r="U15" i="61"/>
  <c r="T15" i="61"/>
  <c r="S15" i="61"/>
  <c r="R15" i="61"/>
  <c r="Q15" i="61"/>
  <c r="P15" i="61"/>
  <c r="N15" i="61"/>
  <c r="M15" i="61"/>
  <c r="K15" i="61"/>
  <c r="J15" i="61"/>
  <c r="I15" i="61"/>
  <c r="H15" i="61"/>
  <c r="G15" i="61"/>
  <c r="F15" i="61"/>
  <c r="E15" i="61"/>
  <c r="D15" i="61"/>
  <c r="C15" i="61"/>
  <c r="AN14" i="61"/>
  <c r="AM14" i="61"/>
  <c r="AL14" i="61"/>
  <c r="AK14" i="61"/>
  <c r="AJ14" i="61"/>
  <c r="AI14" i="61"/>
  <c r="AH14" i="61"/>
  <c r="AG14" i="61"/>
  <c r="AF14" i="61"/>
  <c r="AE14" i="61"/>
  <c r="AD14" i="61"/>
  <c r="AC14" i="61"/>
  <c r="AA14" i="61"/>
  <c r="Z14" i="61"/>
  <c r="Y14" i="61"/>
  <c r="X14" i="61"/>
  <c r="W14" i="61"/>
  <c r="V14" i="61"/>
  <c r="U14" i="61"/>
  <c r="T14" i="61"/>
  <c r="S14" i="61"/>
  <c r="R14" i="61"/>
  <c r="Q14" i="61"/>
  <c r="P14" i="61"/>
  <c r="N14" i="61"/>
  <c r="M14" i="61"/>
  <c r="L14" i="61"/>
  <c r="AY14" i="61" s="1"/>
  <c r="J14" i="61"/>
  <c r="I14" i="61"/>
  <c r="H14" i="61"/>
  <c r="G14" i="61"/>
  <c r="F14" i="61"/>
  <c r="E14" i="61"/>
  <c r="D14" i="61"/>
  <c r="C14" i="61"/>
  <c r="AN13" i="61"/>
  <c r="AM13" i="61"/>
  <c r="AL13" i="61"/>
  <c r="AK13" i="61"/>
  <c r="AJ13" i="61"/>
  <c r="AI13" i="61"/>
  <c r="AH13" i="61"/>
  <c r="AG13" i="61"/>
  <c r="AF13" i="61"/>
  <c r="AE13" i="61"/>
  <c r="AD13" i="61"/>
  <c r="AC13" i="61"/>
  <c r="AA13" i="61"/>
  <c r="Z13" i="61"/>
  <c r="Y13" i="61"/>
  <c r="X13" i="61"/>
  <c r="W13" i="61"/>
  <c r="V13" i="61"/>
  <c r="U13" i="61"/>
  <c r="T13" i="61"/>
  <c r="S13" i="61"/>
  <c r="R13" i="61"/>
  <c r="Q13" i="61"/>
  <c r="P13" i="61"/>
  <c r="N13" i="61"/>
  <c r="BA13" i="61" s="1"/>
  <c r="M13" i="61"/>
  <c r="L13" i="61"/>
  <c r="K13" i="61"/>
  <c r="J13" i="61"/>
  <c r="I13" i="61"/>
  <c r="H13" i="61"/>
  <c r="AU13" i="61" s="1"/>
  <c r="G13" i="61"/>
  <c r="F13" i="61"/>
  <c r="E13" i="61"/>
  <c r="D13" i="61"/>
  <c r="C13" i="61"/>
  <c r="AN12" i="61"/>
  <c r="AM12" i="61"/>
  <c r="AL12" i="61"/>
  <c r="AK12" i="61"/>
  <c r="AJ12" i="61"/>
  <c r="AI12" i="61"/>
  <c r="AH12" i="61"/>
  <c r="AG12" i="61"/>
  <c r="AF12" i="61"/>
  <c r="AE12" i="61"/>
  <c r="AD12" i="61"/>
  <c r="AC12" i="61"/>
  <c r="AA12" i="61"/>
  <c r="Z12" i="61"/>
  <c r="Y12" i="61"/>
  <c r="X12" i="61"/>
  <c r="W12" i="61"/>
  <c r="V12" i="61"/>
  <c r="U12" i="61"/>
  <c r="T12" i="61"/>
  <c r="S12" i="61"/>
  <c r="R12" i="61"/>
  <c r="Q12" i="61"/>
  <c r="P12" i="61"/>
  <c r="N12" i="61"/>
  <c r="M12" i="61"/>
  <c r="L12" i="61"/>
  <c r="J12" i="61"/>
  <c r="I12" i="61"/>
  <c r="H12" i="61"/>
  <c r="G12" i="61"/>
  <c r="F12" i="61"/>
  <c r="E12" i="61"/>
  <c r="D12" i="61"/>
  <c r="C12" i="61"/>
  <c r="AN11" i="61"/>
  <c r="AM11" i="61"/>
  <c r="AL11" i="61"/>
  <c r="AK11" i="61"/>
  <c r="AJ11" i="61"/>
  <c r="AI11" i="61"/>
  <c r="AH11" i="61"/>
  <c r="AG11" i="61"/>
  <c r="AF11" i="61"/>
  <c r="AE11" i="61"/>
  <c r="AD11" i="61"/>
  <c r="AC11" i="61"/>
  <c r="AA11" i="61"/>
  <c r="Z11" i="61"/>
  <c r="Y11" i="61"/>
  <c r="X11" i="61"/>
  <c r="W11" i="61"/>
  <c r="V11" i="61"/>
  <c r="U11" i="61"/>
  <c r="T11" i="61"/>
  <c r="S11" i="61"/>
  <c r="R11" i="61"/>
  <c r="Q11" i="61"/>
  <c r="P11" i="61"/>
  <c r="N11" i="61"/>
  <c r="M11" i="61"/>
  <c r="L11" i="61"/>
  <c r="K11" i="61"/>
  <c r="J11" i="61"/>
  <c r="I11" i="61"/>
  <c r="H11" i="61"/>
  <c r="G11" i="61"/>
  <c r="F11" i="61"/>
  <c r="E11" i="61"/>
  <c r="D11" i="61"/>
  <c r="C11" i="61"/>
  <c r="AN10" i="61"/>
  <c r="AM10" i="61"/>
  <c r="AL10" i="61"/>
  <c r="AK10" i="61"/>
  <c r="AJ10" i="61"/>
  <c r="AI10" i="61"/>
  <c r="AH10" i="61"/>
  <c r="AG10" i="61"/>
  <c r="AF10" i="61"/>
  <c r="AE10" i="61"/>
  <c r="AD10" i="61"/>
  <c r="AC10" i="61"/>
  <c r="AA10" i="61"/>
  <c r="Z10" i="61"/>
  <c r="Y10" i="61"/>
  <c r="X10" i="61"/>
  <c r="W10" i="61"/>
  <c r="V10" i="61"/>
  <c r="U10" i="61"/>
  <c r="T10" i="61"/>
  <c r="S10" i="61"/>
  <c r="R10" i="61"/>
  <c r="Q10" i="61"/>
  <c r="P10" i="61"/>
  <c r="N10" i="61"/>
  <c r="M10" i="61"/>
  <c r="L10" i="61"/>
  <c r="K10" i="61"/>
  <c r="J10" i="61"/>
  <c r="I10" i="61"/>
  <c r="H10" i="61"/>
  <c r="G10" i="61"/>
  <c r="F10" i="61"/>
  <c r="E10" i="61"/>
  <c r="D10" i="61"/>
  <c r="C10" i="61"/>
  <c r="AN9" i="61"/>
  <c r="AM9" i="61"/>
  <c r="AL9" i="61"/>
  <c r="AK9" i="61"/>
  <c r="AJ9" i="61"/>
  <c r="AI9" i="61"/>
  <c r="AH9" i="61"/>
  <c r="AG9" i="61"/>
  <c r="AF9" i="61"/>
  <c r="AE9" i="61"/>
  <c r="AD9" i="61"/>
  <c r="AC9" i="61"/>
  <c r="AA9" i="61"/>
  <c r="Z9" i="61"/>
  <c r="Y9" i="61"/>
  <c r="X9" i="61"/>
  <c r="W9" i="61"/>
  <c r="V9" i="61"/>
  <c r="U9" i="61"/>
  <c r="T9" i="61"/>
  <c r="S9" i="61"/>
  <c r="R9" i="61"/>
  <c r="Q9" i="61"/>
  <c r="P9" i="61"/>
  <c r="N9" i="61"/>
  <c r="BA9" i="61" s="1"/>
  <c r="M9" i="61"/>
  <c r="AZ9" i="61" s="1"/>
  <c r="L9" i="61"/>
  <c r="AY9" i="61" s="1"/>
  <c r="K9" i="61"/>
  <c r="AX9" i="61" s="1"/>
  <c r="J9" i="61"/>
  <c r="AW9" i="61" s="1"/>
  <c r="I9" i="61"/>
  <c r="AV9" i="61" s="1"/>
  <c r="H9" i="61"/>
  <c r="AU9" i="61" s="1"/>
  <c r="G9" i="61"/>
  <c r="AT9" i="61" s="1"/>
  <c r="F9" i="61"/>
  <c r="AS9" i="61" s="1"/>
  <c r="E9" i="61"/>
  <c r="AR9" i="61" s="1"/>
  <c r="D9" i="61"/>
  <c r="AQ9" i="61" s="1"/>
  <c r="C9" i="61"/>
  <c r="AP9" i="61" s="1"/>
  <c r="AN8" i="61"/>
  <c r="AM8" i="61"/>
  <c r="AL8" i="61"/>
  <c r="AK8" i="61"/>
  <c r="AJ8" i="61"/>
  <c r="AI8" i="61"/>
  <c r="AH8" i="61"/>
  <c r="AG8" i="61"/>
  <c r="AF8" i="61"/>
  <c r="AE8" i="61"/>
  <c r="AD8" i="61"/>
  <c r="AC8" i="61"/>
  <c r="AA8" i="61"/>
  <c r="Z8" i="61"/>
  <c r="Y8" i="61"/>
  <c r="X8" i="61"/>
  <c r="W8" i="61"/>
  <c r="V8" i="61"/>
  <c r="U8" i="61"/>
  <c r="T8" i="61"/>
  <c r="S8" i="61"/>
  <c r="R8" i="61"/>
  <c r="Q8" i="61"/>
  <c r="P8" i="61"/>
  <c r="N8" i="61"/>
  <c r="BA8" i="61" s="1"/>
  <c r="M8" i="61"/>
  <c r="AZ8" i="61" s="1"/>
  <c r="L8" i="61"/>
  <c r="AY8" i="61" s="1"/>
  <c r="K8" i="61"/>
  <c r="AX8" i="61" s="1"/>
  <c r="J8" i="61"/>
  <c r="AW8" i="61" s="1"/>
  <c r="I8" i="61"/>
  <c r="AV8" i="61" s="1"/>
  <c r="H8" i="61"/>
  <c r="AU8" i="61" s="1"/>
  <c r="G8" i="61"/>
  <c r="AT8" i="61" s="1"/>
  <c r="F8" i="61"/>
  <c r="AS8" i="61" s="1"/>
  <c r="E8" i="61"/>
  <c r="AR8" i="61" s="1"/>
  <c r="D8" i="61"/>
  <c r="AQ8" i="61" s="1"/>
  <c r="C8" i="61"/>
  <c r="AN7" i="61"/>
  <c r="AM7" i="61"/>
  <c r="AL7" i="61"/>
  <c r="AK7" i="61"/>
  <c r="AJ7" i="61"/>
  <c r="AI7" i="61"/>
  <c r="AH7" i="61"/>
  <c r="AG7" i="61"/>
  <c r="AF7" i="61"/>
  <c r="AE7" i="61"/>
  <c r="AD7" i="61"/>
  <c r="AC7" i="61"/>
  <c r="AA7" i="61"/>
  <c r="Z7" i="61"/>
  <c r="Y7" i="61"/>
  <c r="X7" i="61"/>
  <c r="W7" i="61"/>
  <c r="V7" i="61"/>
  <c r="U7" i="61"/>
  <c r="T7" i="61"/>
  <c r="S7" i="61"/>
  <c r="R7" i="61"/>
  <c r="Q7" i="61"/>
  <c r="P7" i="61"/>
  <c r="N7" i="61"/>
  <c r="BA7" i="61" s="1"/>
  <c r="M7" i="61"/>
  <c r="AZ7" i="61" s="1"/>
  <c r="L7" i="61"/>
  <c r="AY7" i="61" s="1"/>
  <c r="K7" i="61"/>
  <c r="AX7" i="61" s="1"/>
  <c r="J7" i="61"/>
  <c r="AW7" i="61" s="1"/>
  <c r="I7" i="61"/>
  <c r="AV7" i="61" s="1"/>
  <c r="H7" i="61"/>
  <c r="AU7" i="61" s="1"/>
  <c r="G7" i="61"/>
  <c r="AT7" i="61" s="1"/>
  <c r="F7" i="61"/>
  <c r="AS7" i="61" s="1"/>
  <c r="E7" i="61"/>
  <c r="AR7" i="61" s="1"/>
  <c r="D7" i="61"/>
  <c r="AQ7" i="61" s="1"/>
  <c r="C7" i="61"/>
  <c r="AP7" i="61" s="1"/>
  <c r="AN6" i="61"/>
  <c r="AM6" i="61"/>
  <c r="AL6" i="61"/>
  <c r="AK6" i="61"/>
  <c r="AJ6" i="61"/>
  <c r="AI6" i="61"/>
  <c r="AH6" i="61"/>
  <c r="AG6" i="61"/>
  <c r="AF6" i="61"/>
  <c r="AE6" i="61"/>
  <c r="AD6" i="61"/>
  <c r="AC6" i="61"/>
  <c r="AA6" i="61"/>
  <c r="Z6" i="61"/>
  <c r="Y6" i="61"/>
  <c r="X6" i="61"/>
  <c r="W6" i="61"/>
  <c r="V6" i="61"/>
  <c r="U6" i="61"/>
  <c r="T6" i="61"/>
  <c r="S6" i="61"/>
  <c r="R6" i="61"/>
  <c r="Q6" i="61"/>
  <c r="P6" i="61"/>
  <c r="H6" i="61"/>
  <c r="AN5" i="61"/>
  <c r="AM5" i="61"/>
  <c r="AL5" i="61"/>
  <c r="AK5" i="61"/>
  <c r="AJ5" i="61"/>
  <c r="AI5" i="61"/>
  <c r="AH5" i="61"/>
  <c r="AG5" i="61"/>
  <c r="AF5" i="61"/>
  <c r="AE5" i="61"/>
  <c r="AD5" i="61"/>
  <c r="AC5" i="61"/>
  <c r="AA5" i="61"/>
  <c r="Z5" i="61"/>
  <c r="Y5" i="61"/>
  <c r="X5" i="61"/>
  <c r="W5" i="61"/>
  <c r="V5" i="61"/>
  <c r="U5" i="61"/>
  <c r="T5" i="61"/>
  <c r="S5" i="61"/>
  <c r="R5" i="61"/>
  <c r="Q5" i="61"/>
  <c r="P5" i="61"/>
  <c r="N5" i="61"/>
  <c r="BA5" i="61" s="1"/>
  <c r="M5" i="61"/>
  <c r="AZ5" i="61" s="1"/>
  <c r="L5" i="61"/>
  <c r="AY5" i="61" s="1"/>
  <c r="K5" i="61"/>
  <c r="AX5" i="61" s="1"/>
  <c r="J5" i="61"/>
  <c r="AW5" i="61" s="1"/>
  <c r="I5" i="61"/>
  <c r="AV5" i="61" s="1"/>
  <c r="H5" i="61"/>
  <c r="AU5" i="61" s="1"/>
  <c r="G5" i="61"/>
  <c r="AT5" i="61" s="1"/>
  <c r="F5" i="61"/>
  <c r="AS5" i="61" s="1"/>
  <c r="E5" i="61"/>
  <c r="AR5" i="61" s="1"/>
  <c r="D5" i="61"/>
  <c r="AQ5" i="61" s="1"/>
  <c r="C5" i="61"/>
  <c r="AP5" i="61" s="1"/>
  <c r="AN4" i="61"/>
  <c r="AM4" i="61"/>
  <c r="AL4" i="61"/>
  <c r="AK4" i="61"/>
  <c r="AJ4" i="61"/>
  <c r="AI4" i="61"/>
  <c r="AH4" i="61"/>
  <c r="AG4" i="61"/>
  <c r="AF4" i="61"/>
  <c r="AE4" i="61"/>
  <c r="AD4" i="61"/>
  <c r="AC4" i="61"/>
  <c r="AA4" i="61"/>
  <c r="Z4" i="61"/>
  <c r="Y4" i="61"/>
  <c r="X4" i="61"/>
  <c r="W4" i="61"/>
  <c r="V4" i="61"/>
  <c r="U4" i="61"/>
  <c r="T4" i="61"/>
  <c r="S4" i="61"/>
  <c r="R4" i="61"/>
  <c r="Q4" i="61"/>
  <c r="P4" i="61"/>
  <c r="N4" i="61"/>
  <c r="BA4" i="61" s="1"/>
  <c r="M4" i="61"/>
  <c r="L4" i="61"/>
  <c r="K4" i="61"/>
  <c r="J4" i="61"/>
  <c r="I4" i="61"/>
  <c r="AV4" i="61" s="1"/>
  <c r="H4" i="61"/>
  <c r="AU4" i="61" s="1"/>
  <c r="G4" i="61"/>
  <c r="F4" i="61"/>
  <c r="E4" i="61"/>
  <c r="D4" i="61"/>
  <c r="C4" i="61"/>
  <c r="BC2" i="61"/>
  <c r="AS110" i="4" l="1"/>
  <c r="AS112" i="4" s="1"/>
  <c r="AT112" i="4"/>
  <c r="BA32" i="61"/>
  <c r="AP33" i="61"/>
  <c r="AZ28" i="61"/>
  <c r="BA27" i="61"/>
  <c r="AV27" i="61"/>
  <c r="AV29" i="61"/>
  <c r="K175" i="62"/>
  <c r="AQ11" i="61"/>
  <c r="AT23" i="61"/>
  <c r="AW30" i="61"/>
  <c r="AQ20" i="61"/>
  <c r="AY24" i="61"/>
  <c r="AR32" i="61"/>
  <c r="AZ32" i="61"/>
  <c r="AP36" i="61"/>
  <c r="AT17" i="61"/>
  <c r="AP20" i="61"/>
  <c r="AP24" i="61"/>
  <c r="BA29" i="61"/>
  <c r="BA35" i="61"/>
  <c r="AZ11" i="61"/>
  <c r="AQ16" i="61"/>
  <c r="AQ22" i="61"/>
  <c r="AY22" i="61"/>
  <c r="AP28" i="61"/>
  <c r="AW10" i="61"/>
  <c r="AZ20" i="61"/>
  <c r="AQ18" i="61"/>
  <c r="AP30" i="61"/>
  <c r="BB30" i="61" s="1"/>
  <c r="BE30" i="61" s="1"/>
  <c r="AX30" i="61"/>
  <c r="AV33" i="61"/>
  <c r="AT13" i="61"/>
  <c r="AZ16" i="61"/>
  <c r="AZ18" i="61"/>
  <c r="AR22" i="61"/>
  <c r="AZ22" i="61"/>
  <c r="AV21" i="61"/>
  <c r="AV23" i="61"/>
  <c r="AU10" i="61"/>
  <c r="AZ13" i="61"/>
  <c r="AW28" i="61"/>
  <c r="AU21" i="61"/>
  <c r="AT29" i="61"/>
  <c r="AX36" i="61"/>
  <c r="BA11" i="61"/>
  <c r="AV17" i="61"/>
  <c r="AR24" i="61"/>
  <c r="AZ24" i="61"/>
  <c r="BA28" i="61"/>
  <c r="BA26" i="61"/>
  <c r="BA30" i="61"/>
  <c r="AV28" i="61"/>
  <c r="BA15" i="61"/>
  <c r="AQ33" i="61"/>
  <c r="AQ10" i="61"/>
  <c r="AZ12" i="61"/>
  <c r="AU32" i="61"/>
  <c r="AV13" i="61"/>
  <c r="BA21" i="61"/>
  <c r="BA23" i="61"/>
  <c r="AR27" i="61"/>
  <c r="AZ29" i="61"/>
  <c r="AT33" i="61"/>
  <c r="AV36" i="61"/>
  <c r="AW22" i="61"/>
  <c r="AW24" i="61"/>
  <c r="AV30" i="61"/>
  <c r="AU11" i="61"/>
  <c r="BA14" i="61"/>
  <c r="AP11" i="61"/>
  <c r="AX11" i="61"/>
  <c r="AQ13" i="61"/>
  <c r="AW16" i="61"/>
  <c r="AW18" i="61"/>
  <c r="AW20" i="61"/>
  <c r="AP32" i="61"/>
  <c r="AX32" i="61"/>
  <c r="AU22" i="61"/>
  <c r="AQ23" i="61"/>
  <c r="AT28" i="61"/>
  <c r="AZ4" i="61"/>
  <c r="AR10" i="61"/>
  <c r="AZ23" i="61"/>
  <c r="AW4" i="61"/>
  <c r="AU16" i="61"/>
  <c r="AQ17" i="61"/>
  <c r="AZ31" i="61"/>
  <c r="AW11" i="61"/>
  <c r="AV32" i="61"/>
  <c r="AT36" i="61"/>
  <c r="BA10" i="61"/>
  <c r="AV18" i="61"/>
  <c r="AR21" i="61"/>
  <c r="AZ21" i="61"/>
  <c r="AV22" i="61"/>
  <c r="BA31" i="61"/>
  <c r="AW32" i="61"/>
  <c r="BA12" i="61"/>
  <c r="AQ21" i="61"/>
  <c r="AZ15" i="61"/>
  <c r="AU20" i="61"/>
  <c r="AY29" i="61"/>
  <c r="AU30" i="61"/>
  <c r="AR29" i="61"/>
  <c r="AV14" i="61"/>
  <c r="AZ10" i="61"/>
  <c r="AT24" i="61"/>
  <c r="AR14" i="61"/>
  <c r="AW15" i="61"/>
  <c r="AT14" i="61"/>
  <c r="AQ15" i="61"/>
  <c r="AW14" i="61"/>
  <c r="AT15" i="61"/>
  <c r="E6" i="61"/>
  <c r="AR6" i="61" s="1"/>
  <c r="AQ14" i="61"/>
  <c r="AV15" i="61"/>
  <c r="C71" i="62"/>
  <c r="BA36" i="61"/>
  <c r="AU98" i="4"/>
  <c r="BF29" i="61"/>
  <c r="AQ12" i="61"/>
  <c r="AV12" i="61"/>
  <c r="AW12" i="61"/>
  <c r="AT4" i="61"/>
  <c r="AZ14" i="61"/>
  <c r="AQ4" i="61"/>
  <c r="C10" i="62"/>
  <c r="S94" i="62"/>
  <c r="S108" i="62" s="1"/>
  <c r="AP27" i="61"/>
  <c r="AY17" i="61"/>
  <c r="AU24" i="61"/>
  <c r="AS4" i="61"/>
  <c r="AT16" i="61"/>
  <c r="AT18" i="61"/>
  <c r="AT22" i="61"/>
  <c r="AW21" i="61"/>
  <c r="AZ30" i="61"/>
  <c r="AT20" i="61"/>
  <c r="AW29" i="61"/>
  <c r="AZ36" i="61"/>
  <c r="AP23" i="61"/>
  <c r="M175" i="62"/>
  <c r="BF4" i="61"/>
  <c r="N175" i="62"/>
  <c r="D31" i="61"/>
  <c r="AQ31" i="61" s="1"/>
  <c r="AQ29" i="61"/>
  <c r="C72" i="62"/>
  <c r="AW130" i="62"/>
  <c r="M117" i="62"/>
  <c r="Q112" i="62"/>
  <c r="N117" i="62"/>
  <c r="T145" i="62"/>
  <c r="T158" i="62" s="1"/>
  <c r="T144" i="62"/>
  <c r="T157" i="62" s="1"/>
  <c r="T162" i="62" s="1"/>
  <c r="C86" i="62"/>
  <c r="AW86" i="62" s="1"/>
  <c r="C87" i="62"/>
  <c r="AZ6" i="61"/>
  <c r="L99" i="62"/>
  <c r="L171" i="62" s="1"/>
  <c r="O175" i="62"/>
  <c r="Q113" i="62"/>
  <c r="N118" i="62"/>
  <c r="C11" i="62"/>
  <c r="H112" i="62"/>
  <c r="L113" i="62"/>
  <c r="Q114" i="62"/>
  <c r="Q115" i="62" s="1"/>
  <c r="L175" i="62"/>
  <c r="L31" i="61"/>
  <c r="AY31" i="61" s="1"/>
  <c r="BF5" i="61"/>
  <c r="AU6" i="61"/>
  <c r="AU35" i="61"/>
  <c r="M174" i="62"/>
  <c r="BF27" i="61"/>
  <c r="BF28" i="61"/>
  <c r="BF32" i="61"/>
  <c r="BF33" i="61"/>
  <c r="D6" i="61"/>
  <c r="AQ6" i="61" s="1"/>
  <c r="BF7" i="61"/>
  <c r="BF8" i="61"/>
  <c r="BF9" i="61"/>
  <c r="BF10" i="61"/>
  <c r="BF11" i="61"/>
  <c r="BF16" i="61"/>
  <c r="BF17" i="61"/>
  <c r="BF18" i="61"/>
  <c r="BF19" i="61"/>
  <c r="BF21" i="61"/>
  <c r="BF22" i="61"/>
  <c r="BF24" i="61"/>
  <c r="BF25" i="61"/>
  <c r="BF36" i="61"/>
  <c r="AT6" i="61"/>
  <c r="L6" i="61"/>
  <c r="AY6" i="61" s="1"/>
  <c r="G26" i="61"/>
  <c r="AT26" i="61" s="1"/>
  <c r="BF20" i="61"/>
  <c r="AP26" i="61"/>
  <c r="AB35" i="61"/>
  <c r="R94" i="62"/>
  <c r="AR35" i="61"/>
  <c r="AB8" i="61"/>
  <c r="AB9" i="61"/>
  <c r="N6" i="61"/>
  <c r="BA6" i="61" s="1"/>
  <c r="AB21" i="61"/>
  <c r="AT31" i="61"/>
  <c r="AV35" i="61"/>
  <c r="J26" i="61"/>
  <c r="AW26" i="61" s="1"/>
  <c r="AB30" i="61"/>
  <c r="I26" i="61"/>
  <c r="AV26" i="61" s="1"/>
  <c r="AB4" i="61"/>
  <c r="AB11" i="61"/>
  <c r="AB16" i="61"/>
  <c r="F26" i="61"/>
  <c r="AS26" i="61" s="1"/>
  <c r="B107" i="62"/>
  <c r="AT174" i="62"/>
  <c r="O21" i="61"/>
  <c r="AO30" i="61"/>
  <c r="AU31" i="61"/>
  <c r="AO34" i="61"/>
  <c r="O12" i="61"/>
  <c r="AO12" i="61"/>
  <c r="O13" i="61"/>
  <c r="AO14" i="61"/>
  <c r="O16" i="61"/>
  <c r="AO16" i="61"/>
  <c r="O4" i="61"/>
  <c r="AO4" i="61"/>
  <c r="AS13" i="61"/>
  <c r="AV16" i="61"/>
  <c r="AO19" i="61"/>
  <c r="AO28" i="61"/>
  <c r="AS6" i="61"/>
  <c r="AO9" i="61"/>
  <c r="AO21" i="61"/>
  <c r="AV20" i="61"/>
  <c r="AO7" i="61"/>
  <c r="O8" i="61"/>
  <c r="AO8" i="61"/>
  <c r="AO10" i="61"/>
  <c r="AO11" i="61"/>
  <c r="AO24" i="61"/>
  <c r="AV102" i="4"/>
  <c r="AV103" i="4" s="1"/>
  <c r="AF110" i="4"/>
  <c r="AU110" i="4" s="1"/>
  <c r="AU112" i="4" s="1"/>
  <c r="AB6" i="61"/>
  <c r="AO6" i="61"/>
  <c r="AB13" i="61"/>
  <c r="AO13" i="61"/>
  <c r="AS14" i="61"/>
  <c r="AS16" i="61"/>
  <c r="O18" i="61"/>
  <c r="AO18" i="61"/>
  <c r="O20" i="61"/>
  <c r="AS20" i="61"/>
  <c r="AO25" i="61"/>
  <c r="AO26" i="61"/>
  <c r="AB27" i="61"/>
  <c r="AO27" i="61"/>
  <c r="AB29" i="61"/>
  <c r="AV31" i="61"/>
  <c r="AB31" i="61"/>
  <c r="AO31" i="61"/>
  <c r="AB32" i="61"/>
  <c r="AW35" i="61"/>
  <c r="AW127" i="62"/>
  <c r="AG103" i="62"/>
  <c r="AB5" i="61"/>
  <c r="AO5" i="61"/>
  <c r="AB7" i="61"/>
  <c r="AS17" i="61"/>
  <c r="AO20" i="61"/>
  <c r="AO22" i="61"/>
  <c r="AV24" i="61"/>
  <c r="AO33" i="61"/>
  <c r="P106" i="62"/>
  <c r="AW6" i="61"/>
  <c r="AB10" i="61"/>
  <c r="AW13" i="61"/>
  <c r="O15" i="61"/>
  <c r="AO15" i="61"/>
  <c r="AO17" i="61"/>
  <c r="AR20" i="61"/>
  <c r="AT21" i="61"/>
  <c r="AS21" i="61"/>
  <c r="AO23" i="61"/>
  <c r="O24" i="61"/>
  <c r="AX28" i="61"/>
  <c r="BB9" i="61"/>
  <c r="BE9" i="61" s="1"/>
  <c r="AR4" i="61"/>
  <c r="BB7" i="61"/>
  <c r="BE7" i="61" s="1"/>
  <c r="AP10" i="61"/>
  <c r="AV11" i="61"/>
  <c r="AT12" i="61"/>
  <c r="AS12" i="61"/>
  <c r="AR13" i="61"/>
  <c r="AS15" i="61"/>
  <c r="AS18" i="61"/>
  <c r="AB20" i="61"/>
  <c r="O23" i="61"/>
  <c r="AB24" i="61"/>
  <c r="O25" i="61"/>
  <c r="O26" i="61"/>
  <c r="O33" i="61"/>
  <c r="AQ36" i="61"/>
  <c r="AO36" i="61"/>
  <c r="O118" i="62"/>
  <c r="D174" i="62"/>
  <c r="O9" i="61"/>
  <c r="AU12" i="61"/>
  <c r="AB12" i="61"/>
  <c r="AP14" i="61"/>
  <c r="AU15" i="61"/>
  <c r="AB15" i="61"/>
  <c r="AP17" i="61"/>
  <c r="AU18" i="61"/>
  <c r="AB18" i="61"/>
  <c r="AP22" i="61"/>
  <c r="AU23" i="61"/>
  <c r="AB23" i="61"/>
  <c r="AB25" i="61"/>
  <c r="H26" i="61"/>
  <c r="AU26" i="61" s="1"/>
  <c r="AB26" i="61"/>
  <c r="AW27" i="61"/>
  <c r="AO29" i="61"/>
  <c r="AT32" i="61"/>
  <c r="O32" i="61"/>
  <c r="AB33" i="61"/>
  <c r="AO35" i="61"/>
  <c r="P99" i="62"/>
  <c r="AW31" i="61"/>
  <c r="K171" i="62"/>
  <c r="T159" i="62"/>
  <c r="BB5" i="61"/>
  <c r="BE5" i="61" s="1"/>
  <c r="M108" i="62"/>
  <c r="O19" i="61"/>
  <c r="AX27" i="61"/>
  <c r="AQ28" i="61"/>
  <c r="H34" i="61"/>
  <c r="AU34" i="61" s="1"/>
  <c r="O36" i="61"/>
  <c r="BF14" i="61"/>
  <c r="P104" i="62"/>
  <c r="D175" i="62"/>
  <c r="BF30" i="61"/>
  <c r="O7" i="61"/>
  <c r="AT10" i="61"/>
  <c r="O10" i="61"/>
  <c r="AS10" i="61"/>
  <c r="AR11" i="61"/>
  <c r="AP12" i="61"/>
  <c r="AP15" i="61"/>
  <c r="AP18" i="61"/>
  <c r="AB19" i="61"/>
  <c r="AY20" i="61"/>
  <c r="BB25" i="61"/>
  <c r="BE25" i="61" s="1"/>
  <c r="AQ27" i="61"/>
  <c r="AS29" i="61"/>
  <c r="AR30" i="61"/>
  <c r="AY30" i="61"/>
  <c r="AU36" i="61"/>
  <c r="AB36" i="61"/>
  <c r="E118" i="62"/>
  <c r="E171" i="62"/>
  <c r="AV110" i="4"/>
  <c r="O14" i="61"/>
  <c r="O17" i="61"/>
  <c r="O22" i="61"/>
  <c r="AS22" i="61"/>
  <c r="AQ24" i="61"/>
  <c r="O28" i="61"/>
  <c r="H106" i="62"/>
  <c r="H175" i="62"/>
  <c r="T71" i="62"/>
  <c r="AW71" i="62" s="1"/>
  <c r="O94" i="62"/>
  <c r="O169" i="62" s="1"/>
  <c r="D170" i="62"/>
  <c r="AP4" i="61"/>
  <c r="O5" i="61"/>
  <c r="AP6" i="61"/>
  <c r="AX6" i="61"/>
  <c r="AV10" i="61"/>
  <c r="AT11" i="61"/>
  <c r="O11" i="61"/>
  <c r="AS11" i="61"/>
  <c r="AR12" i="61"/>
  <c r="AP13" i="61"/>
  <c r="AX13" i="61"/>
  <c r="AU14" i="61"/>
  <c r="AB14" i="61"/>
  <c r="AR15" i="61"/>
  <c r="AP16" i="61"/>
  <c r="AX16" i="61"/>
  <c r="AU17" i="61"/>
  <c r="AB17" i="61"/>
  <c r="AR18" i="61"/>
  <c r="AP21" i="61"/>
  <c r="AX21" i="61"/>
  <c r="AB22" i="61"/>
  <c r="AR23" i="61"/>
  <c r="AS24" i="61"/>
  <c r="AQ26" i="61"/>
  <c r="AT27" i="61"/>
  <c r="O27" i="61"/>
  <c r="AU28" i="61"/>
  <c r="AB28" i="61"/>
  <c r="AT30" i="61"/>
  <c r="O30" i="61"/>
  <c r="AS30" i="61"/>
  <c r="AQ32" i="61"/>
  <c r="AO32" i="61"/>
  <c r="AB34" i="61"/>
  <c r="AQ35" i="61"/>
  <c r="AW36" i="61"/>
  <c r="E110" i="62"/>
  <c r="C28" i="62"/>
  <c r="C116" i="62" s="1"/>
  <c r="C29" i="62"/>
  <c r="C117" i="62" s="1"/>
  <c r="K97" i="62"/>
  <c r="F35" i="61" s="1"/>
  <c r="AS35" i="61" s="1"/>
  <c r="BB19" i="61"/>
  <c r="BE19" i="61" s="1"/>
  <c r="D109" i="62"/>
  <c r="BF23" i="61"/>
  <c r="AY10" i="61"/>
  <c r="AY12" i="61"/>
  <c r="AY15" i="61"/>
  <c r="AY18" i="61"/>
  <c r="AY23" i="61"/>
  <c r="AY26" i="61"/>
  <c r="AY36" i="61"/>
  <c r="AY4" i="61"/>
  <c r="AY11" i="61"/>
  <c r="AY13" i="61"/>
  <c r="AY16" i="61"/>
  <c r="AY21" i="61"/>
  <c r="AY27" i="61"/>
  <c r="AY32" i="61"/>
  <c r="AT175" i="62"/>
  <c r="AX20" i="61"/>
  <c r="AX24" i="61"/>
  <c r="AX4" i="61"/>
  <c r="AX10" i="61"/>
  <c r="AX12" i="61"/>
  <c r="AX15" i="61"/>
  <c r="AX18" i="61"/>
  <c r="AX23" i="61"/>
  <c r="AX26" i="61"/>
  <c r="AX14" i="61"/>
  <c r="AX17" i="61"/>
  <c r="AX22" i="61"/>
  <c r="S103" i="4"/>
  <c r="S112" i="4"/>
  <c r="AU103" i="4"/>
  <c r="AP8" i="61"/>
  <c r="BB8" i="61" s="1"/>
  <c r="BE8" i="61" s="1"/>
  <c r="AR16" i="61"/>
  <c r="AS23" i="61"/>
  <c r="AS28" i="61"/>
  <c r="J169" i="62"/>
  <c r="AT104" i="62"/>
  <c r="I106" i="62"/>
  <c r="I96" i="62"/>
  <c r="I110" i="62" s="1"/>
  <c r="Q96" i="62"/>
  <c r="C12" i="62"/>
  <c r="AX135" i="62"/>
  <c r="AW135" i="62"/>
  <c r="AX139" i="62"/>
  <c r="AW139" i="62"/>
  <c r="J175" i="62"/>
  <c r="E26" i="61"/>
  <c r="AR26" i="61" s="1"/>
  <c r="E108" i="62"/>
  <c r="AS27" i="61"/>
  <c r="AR17" i="61"/>
  <c r="AP29" i="61"/>
  <c r="AX29" i="61"/>
  <c r="AS33" i="61"/>
  <c r="AS36" i="61"/>
  <c r="D108" i="62"/>
  <c r="J174" i="62"/>
  <c r="E34" i="61"/>
  <c r="AR34" i="61" s="1"/>
  <c r="P113" i="62"/>
  <c r="P117" i="62"/>
  <c r="P98" i="62"/>
  <c r="M114" i="62"/>
  <c r="P105" i="62"/>
  <c r="AT169" i="62"/>
  <c r="D171" i="62"/>
  <c r="O106" i="62"/>
  <c r="AW121" i="62"/>
  <c r="AT147" i="62"/>
  <c r="AT160" i="62" s="1"/>
  <c r="K95" i="62"/>
  <c r="K170" i="62" s="1"/>
  <c r="S109" i="62"/>
  <c r="J106" i="62"/>
  <c r="J96" i="62"/>
  <c r="R96" i="62"/>
  <c r="N106" i="62"/>
  <c r="L95" i="62"/>
  <c r="L109" i="62" s="1"/>
  <c r="T11" i="62"/>
  <c r="T128" i="62"/>
  <c r="T147" i="62" s="1"/>
  <c r="T160" i="62" s="1"/>
  <c r="L116" i="62"/>
  <c r="BF15" i="61"/>
  <c r="H105" i="62"/>
  <c r="H110" i="62" s="1"/>
  <c r="AW132" i="62"/>
  <c r="AX132" i="62"/>
  <c r="AX136" i="62"/>
  <c r="AW136" i="62"/>
  <c r="AW140" i="62"/>
  <c r="AX140" i="62"/>
  <c r="T86" i="62"/>
  <c r="M169" i="62"/>
  <c r="J170" i="62"/>
  <c r="E170" i="62"/>
  <c r="AG171" i="62"/>
  <c r="O29" i="61"/>
  <c r="AR31" i="61"/>
  <c r="D118" i="62"/>
  <c r="D110" i="62"/>
  <c r="D114" i="62"/>
  <c r="AT145" i="62"/>
  <c r="AW122" i="62"/>
  <c r="N94" i="62"/>
  <c r="N169" i="62" s="1"/>
  <c r="N104" i="62"/>
  <c r="P112" i="62"/>
  <c r="E174" i="62"/>
  <c r="D169" i="62"/>
  <c r="AT171" i="62"/>
  <c r="AS31" i="61"/>
  <c r="M110" i="62"/>
  <c r="AX133" i="62"/>
  <c r="AW133" i="62"/>
  <c r="AX137" i="62"/>
  <c r="AW137" i="62"/>
  <c r="AX141" i="62"/>
  <c r="AW141" i="62"/>
  <c r="T72" i="62"/>
  <c r="T85" i="62"/>
  <c r="BF31" i="61" s="1"/>
  <c r="C31" i="61"/>
  <c r="P175" i="62"/>
  <c r="K31" i="61"/>
  <c r="AX31" i="61" s="1"/>
  <c r="T87" i="62"/>
  <c r="R170" i="62"/>
  <c r="E169" i="62"/>
  <c r="AG170" i="62"/>
  <c r="AS32" i="61"/>
  <c r="D117" i="62"/>
  <c r="H99" i="62"/>
  <c r="H114" i="62"/>
  <c r="H118" i="62"/>
  <c r="N105" i="62"/>
  <c r="N110" i="62" s="1"/>
  <c r="E175" i="62"/>
  <c r="Q99" i="62"/>
  <c r="AT170" i="62"/>
  <c r="AR28" i="61"/>
  <c r="AR36" i="61"/>
  <c r="E109" i="62"/>
  <c r="L34" i="61"/>
  <c r="AY34" i="61" s="1"/>
  <c r="AT144" i="62"/>
  <c r="AW126" i="62"/>
  <c r="O113" i="62"/>
  <c r="O117" i="62"/>
  <c r="O98" i="62"/>
  <c r="O170" i="62" s="1"/>
  <c r="O105" i="62"/>
  <c r="O110" i="62" s="1"/>
  <c r="AX134" i="62"/>
  <c r="AW134" i="62"/>
  <c r="AX138" i="62"/>
  <c r="AW138" i="62"/>
  <c r="AT105" i="62"/>
  <c r="AG169" i="62"/>
  <c r="Q104" i="62"/>
  <c r="K94" i="62"/>
  <c r="K108" i="62" s="1"/>
  <c r="M99" i="62"/>
  <c r="J104" i="62"/>
  <c r="J109" i="62" s="1"/>
  <c r="Q108" i="62"/>
  <c r="R109" i="62"/>
  <c r="K110" i="62"/>
  <c r="L112" i="62"/>
  <c r="M113" i="62"/>
  <c r="N114" i="62"/>
  <c r="D116" i="62"/>
  <c r="E117" i="62"/>
  <c r="P118" i="62"/>
  <c r="L94" i="62"/>
  <c r="H97" i="62"/>
  <c r="P97" i="62"/>
  <c r="H98" i="62"/>
  <c r="N99" i="62"/>
  <c r="Q105" i="62"/>
  <c r="J108" i="62"/>
  <c r="L110" i="62"/>
  <c r="D113" i="62"/>
  <c r="N113" i="62"/>
  <c r="E114" i="62"/>
  <c r="O114" i="62"/>
  <c r="E116" i="62"/>
  <c r="H117" i="62"/>
  <c r="Q118" i="62"/>
  <c r="AW131" i="62"/>
  <c r="BF12" i="61"/>
  <c r="C30" i="62"/>
  <c r="C114" i="62" s="1"/>
  <c r="C85" i="62"/>
  <c r="C175" i="62" s="1"/>
  <c r="M95" i="62"/>
  <c r="M109" i="62" s="1"/>
  <c r="S171" i="62"/>
  <c r="Q97" i="62"/>
  <c r="Q174" i="62" s="1"/>
  <c r="Q98" i="62"/>
  <c r="O99" i="62"/>
  <c r="O104" i="62"/>
  <c r="O109" i="62" s="1"/>
  <c r="D112" i="62"/>
  <c r="E113" i="62"/>
  <c r="P114" i="62"/>
  <c r="H116" i="62"/>
  <c r="P116" i="62"/>
  <c r="Q117" i="62"/>
  <c r="AT146" i="62"/>
  <c r="T10" i="62"/>
  <c r="BF6" i="61" s="1"/>
  <c r="T70" i="62"/>
  <c r="BF26" i="61" s="1"/>
  <c r="E112" i="62"/>
  <c r="H113" i="62"/>
  <c r="Q116" i="62"/>
  <c r="L118" i="62"/>
  <c r="H94" i="62"/>
  <c r="H108" i="62" s="1"/>
  <c r="P94" i="62"/>
  <c r="H95" i="62"/>
  <c r="P95" i="62"/>
  <c r="L97" i="62"/>
  <c r="L98" i="62"/>
  <c r="J105" i="62"/>
  <c r="K116" i="62"/>
  <c r="L117" i="62"/>
  <c r="M118" i="62"/>
  <c r="AW129" i="62"/>
  <c r="BF13" i="61"/>
  <c r="I94" i="62"/>
  <c r="I169" i="62" s="1"/>
  <c r="I95" i="62"/>
  <c r="I170" i="62" s="1"/>
  <c r="Q95" i="62"/>
  <c r="M98" i="62"/>
  <c r="H104" i="62"/>
  <c r="Q106" i="62"/>
  <c r="L114" i="62"/>
  <c r="T12" i="62"/>
  <c r="N98" i="62"/>
  <c r="N170" i="62" s="1"/>
  <c r="BB18" i="61" l="1"/>
  <c r="BE18" i="61" s="1"/>
  <c r="C95" i="62"/>
  <c r="BB33" i="61"/>
  <c r="BE33" i="61" s="1"/>
  <c r="BB11" i="61"/>
  <c r="BE11" i="61" s="1"/>
  <c r="BB13" i="61"/>
  <c r="BE13" i="61" s="1"/>
  <c r="BB36" i="61"/>
  <c r="BE36" i="61" s="1"/>
  <c r="BB22" i="61"/>
  <c r="BE22" i="61" s="1"/>
  <c r="BB17" i="61"/>
  <c r="BE17" i="61" s="1"/>
  <c r="BB28" i="61"/>
  <c r="BE28" i="61" s="1"/>
  <c r="BB20" i="61"/>
  <c r="BE20" i="61" s="1"/>
  <c r="BB24" i="61"/>
  <c r="BE24" i="61" s="1"/>
  <c r="BB32" i="61"/>
  <c r="BE32" i="61" s="1"/>
  <c r="BB16" i="61"/>
  <c r="BE16" i="61" s="1"/>
  <c r="BB21" i="61"/>
  <c r="BE21" i="61" s="1"/>
  <c r="BB23" i="61"/>
  <c r="BE23" i="61" s="1"/>
  <c r="BB10" i="61"/>
  <c r="BE10" i="61" s="1"/>
  <c r="BG29" i="61"/>
  <c r="BB15" i="61"/>
  <c r="BE15" i="61" s="1"/>
  <c r="BB12" i="61"/>
  <c r="BE12" i="61" s="1"/>
  <c r="BB14" i="61"/>
  <c r="BB4" i="61"/>
  <c r="BE4" i="61" s="1"/>
  <c r="BB27" i="61"/>
  <c r="BE27" i="61" s="1"/>
  <c r="S174" i="62"/>
  <c r="N34" i="61"/>
  <c r="BA34" i="61" s="1"/>
  <c r="S169" i="62"/>
  <c r="BG4" i="61"/>
  <c r="BB29" i="61"/>
  <c r="BE29" i="61" s="1"/>
  <c r="R110" i="62"/>
  <c r="C94" i="62"/>
  <c r="C96" i="62"/>
  <c r="BG25" i="61"/>
  <c r="BD25" i="61" s="1"/>
  <c r="BG5" i="61"/>
  <c r="BD5" i="61" s="1"/>
  <c r="BG19" i="61"/>
  <c r="BD19" i="61" s="1"/>
  <c r="BG27" i="61"/>
  <c r="BG10" i="61"/>
  <c r="BG11" i="61"/>
  <c r="BG7" i="61"/>
  <c r="BD7" i="61" s="1"/>
  <c r="BG28" i="61"/>
  <c r="BB26" i="61"/>
  <c r="BE26" i="61" s="1"/>
  <c r="O6" i="61"/>
  <c r="BG24" i="61"/>
  <c r="BG33" i="61"/>
  <c r="BG6" i="61"/>
  <c r="BG12" i="61"/>
  <c r="BG31" i="61"/>
  <c r="P107" i="62"/>
  <c r="BB6" i="61"/>
  <c r="BE6" i="61" s="1"/>
  <c r="P109" i="62"/>
  <c r="M170" i="62"/>
  <c r="M173" i="62" s="1"/>
  <c r="R108" i="62"/>
  <c r="R169" i="62"/>
  <c r="R173" i="62" s="1"/>
  <c r="BG20" i="61"/>
  <c r="BG21" i="61"/>
  <c r="BG16" i="61"/>
  <c r="BG8" i="61"/>
  <c r="BD8" i="61" s="1"/>
  <c r="BG32" i="61"/>
  <c r="BG17" i="61"/>
  <c r="BG9" i="61"/>
  <c r="BD9" i="61" s="1"/>
  <c r="BG36" i="61"/>
  <c r="BG18" i="61"/>
  <c r="BG22" i="61"/>
  <c r="C112" i="62"/>
  <c r="BG30" i="61"/>
  <c r="BD30" i="61" s="1"/>
  <c r="P110" i="62"/>
  <c r="O174" i="62"/>
  <c r="BG23" i="61"/>
  <c r="BG26" i="61"/>
  <c r="T175" i="62"/>
  <c r="J34" i="61"/>
  <c r="AW34" i="61" s="1"/>
  <c r="BG13" i="61"/>
  <c r="R174" i="62"/>
  <c r="M34" i="61"/>
  <c r="AZ34" i="61" s="1"/>
  <c r="O173" i="62"/>
  <c r="T105" i="62"/>
  <c r="Q110" i="62"/>
  <c r="AF112" i="4"/>
  <c r="BG15" i="61"/>
  <c r="BG14" i="61"/>
  <c r="AV112" i="4"/>
  <c r="T96" i="62"/>
  <c r="O108" i="62"/>
  <c r="R171" i="62"/>
  <c r="AW128" i="62"/>
  <c r="H109" i="62"/>
  <c r="R113" i="62"/>
  <c r="R117" i="62" s="1"/>
  <c r="C113" i="62"/>
  <c r="J171" i="62"/>
  <c r="S110" i="62"/>
  <c r="S114" i="62" s="1"/>
  <c r="S118" i="62" s="1"/>
  <c r="I171" i="62"/>
  <c r="I173" i="62"/>
  <c r="J110" i="62"/>
  <c r="BE14" i="61"/>
  <c r="K169" i="62"/>
  <c r="K173" i="62" s="1"/>
  <c r="AW160" i="62"/>
  <c r="P174" i="62"/>
  <c r="K34" i="61"/>
  <c r="AX34" i="61" s="1"/>
  <c r="Q170" i="62"/>
  <c r="C98" i="62"/>
  <c r="C109" i="62" s="1"/>
  <c r="Q107" i="62"/>
  <c r="S170" i="62"/>
  <c r="T99" i="62"/>
  <c r="H171" i="62"/>
  <c r="AP31" i="61"/>
  <c r="BB31" i="61" s="1"/>
  <c r="BE31" i="61" s="1"/>
  <c r="O31" i="61"/>
  <c r="C118" i="62"/>
  <c r="S112" i="62"/>
  <c r="S116" i="62" s="1"/>
  <c r="I109" i="62"/>
  <c r="P169" i="62"/>
  <c r="K35" i="61"/>
  <c r="AX35" i="61" s="1"/>
  <c r="AT159" i="62"/>
  <c r="AW146" i="62"/>
  <c r="T104" i="62"/>
  <c r="L174" i="62"/>
  <c r="G34" i="61"/>
  <c r="AT34" i="61" s="1"/>
  <c r="L170" i="62"/>
  <c r="N107" i="62"/>
  <c r="N109" i="62"/>
  <c r="K174" i="62"/>
  <c r="F34" i="61"/>
  <c r="AS34" i="61" s="1"/>
  <c r="Q171" i="62"/>
  <c r="C99" i="62"/>
  <c r="Q109" i="62"/>
  <c r="L169" i="62"/>
  <c r="G35" i="61"/>
  <c r="AT35" i="61" s="1"/>
  <c r="C97" i="62"/>
  <c r="Q169" i="62"/>
  <c r="L35" i="61"/>
  <c r="AY35" i="61" s="1"/>
  <c r="T95" i="62"/>
  <c r="AW144" i="62"/>
  <c r="AT157" i="62"/>
  <c r="P108" i="62"/>
  <c r="N174" i="62"/>
  <c r="I34" i="61"/>
  <c r="AV34" i="61" s="1"/>
  <c r="K109" i="62"/>
  <c r="H170" i="62"/>
  <c r="T98" i="62"/>
  <c r="I108" i="62"/>
  <c r="N108" i="62"/>
  <c r="S113" i="62"/>
  <c r="S117" i="62" s="1"/>
  <c r="L108" i="62"/>
  <c r="P170" i="62"/>
  <c r="J173" i="62"/>
  <c r="T94" i="62"/>
  <c r="BF34" i="61" s="1"/>
  <c r="BG34" i="61" s="1"/>
  <c r="H174" i="62"/>
  <c r="C34" i="61"/>
  <c r="N173" i="62"/>
  <c r="I174" i="62"/>
  <c r="D34" i="61"/>
  <c r="AQ34" i="61" s="1"/>
  <c r="O107" i="62"/>
  <c r="T97" i="62"/>
  <c r="H169" i="62"/>
  <c r="C35" i="61"/>
  <c r="AT158" i="62"/>
  <c r="AW145" i="62"/>
  <c r="AW147" i="62"/>
  <c r="C171" i="62" l="1"/>
  <c r="C170" i="62"/>
  <c r="BD18" i="61"/>
  <c r="BD36" i="61"/>
  <c r="BD22" i="61"/>
  <c r="BD33" i="61"/>
  <c r="BD17" i="61"/>
  <c r="BD11" i="61"/>
  <c r="BD28" i="61"/>
  <c r="BD20" i="61"/>
  <c r="BD21" i="61"/>
  <c r="BD24" i="61"/>
  <c r="BD16" i="61"/>
  <c r="BD32" i="61"/>
  <c r="BD10" i="61"/>
  <c r="BD29" i="61"/>
  <c r="BD23" i="61"/>
  <c r="S173" i="62"/>
  <c r="BD4" i="61"/>
  <c r="BD27" i="61"/>
  <c r="C110" i="62"/>
  <c r="C169" i="62"/>
  <c r="R112" i="62"/>
  <c r="R116" i="62" s="1"/>
  <c r="R114" i="62"/>
  <c r="R118" i="62" s="1"/>
  <c r="BD12" i="61"/>
  <c r="BD6" i="61"/>
  <c r="BD31" i="61"/>
  <c r="BD26" i="61"/>
  <c r="BD13" i="61"/>
  <c r="Q173" i="62"/>
  <c r="H173" i="62"/>
  <c r="L173" i="62"/>
  <c r="T171" i="62"/>
  <c r="BD15" i="61"/>
  <c r="BD14" i="61"/>
  <c r="C108" i="62"/>
  <c r="AP34" i="61"/>
  <c r="BB34" i="61" s="1"/>
  <c r="BE34" i="61" s="1"/>
  <c r="BD34" i="61" s="1"/>
  <c r="O34" i="61"/>
  <c r="T174" i="62"/>
  <c r="P173" i="62"/>
  <c r="BF35" i="61"/>
  <c r="BG35" i="61" s="1"/>
  <c r="T169" i="62"/>
  <c r="AW159" i="62"/>
  <c r="T170" i="62"/>
  <c r="AW158" i="62"/>
  <c r="AP35" i="61"/>
  <c r="BB35" i="61" s="1"/>
  <c r="BE35" i="61" s="1"/>
  <c r="O35" i="61"/>
  <c r="AW157" i="62"/>
  <c r="AT162" i="62"/>
  <c r="C174" i="62"/>
  <c r="BD35" i="61" l="1"/>
  <c r="AX162" i="62"/>
  <c r="AW162" i="62"/>
  <c r="BB2" i="5"/>
  <c r="BS69" i="7" l="1"/>
  <c r="S80" i="10" l="1"/>
  <c r="T80" i="10" s="1"/>
  <c r="S81" i="10"/>
  <c r="S82" i="10"/>
  <c r="S83" i="10"/>
  <c r="T82" i="10" l="1"/>
  <c r="T81" i="10"/>
  <c r="T83" i="10"/>
  <c r="AS79" i="10"/>
  <c r="S84" i="10"/>
  <c r="T84" i="10" s="1"/>
  <c r="AF76" i="10"/>
  <c r="AF77" i="10" s="1"/>
  <c r="A38" i="47"/>
  <c r="B38" i="47"/>
  <c r="C38" i="47"/>
  <c r="E38" i="47"/>
  <c r="F38" i="47"/>
  <c r="G38" i="47"/>
  <c r="BD21" i="47" l="1"/>
  <c r="BD27" i="47"/>
  <c r="BD29" i="47"/>
  <c r="BD32" i="47"/>
  <c r="BD34" i="47"/>
  <c r="BD36" i="47"/>
  <c r="BD49" i="47"/>
  <c r="BD53" i="47"/>
  <c r="BD59" i="47"/>
  <c r="BD67" i="47"/>
  <c r="BD68" i="47"/>
  <c r="BD79" i="47"/>
  <c r="BD91" i="47"/>
  <c r="BD92" i="47"/>
  <c r="BD93" i="47"/>
  <c r="BD96" i="47"/>
  <c r="BD104" i="47"/>
  <c r="BD105" i="47"/>
  <c r="BD106" i="47"/>
  <c r="BD117" i="47"/>
  <c r="BD126" i="47"/>
  <c r="BD129" i="47"/>
  <c r="BD131" i="47"/>
  <c r="BD138" i="47"/>
  <c r="BD140" i="47"/>
  <c r="BD150" i="47"/>
  <c r="BD156" i="47"/>
  <c r="BG37" i="47"/>
  <c r="BH37" i="47" s="1"/>
  <c r="BG21" i="47"/>
  <c r="BG131" i="47"/>
  <c r="BG59" i="47"/>
  <c r="BG22" i="47" l="1"/>
  <c r="S76" i="3" l="1"/>
  <c r="AS76" i="3"/>
  <c r="AG76" i="3"/>
  <c r="AM76" i="3"/>
  <c r="AL76" i="3"/>
  <c r="AK76" i="3"/>
  <c r="AJ76" i="3"/>
  <c r="AI76" i="3"/>
  <c r="AH76" i="3"/>
  <c r="M76" i="3"/>
  <c r="L76" i="3"/>
  <c r="K76" i="3"/>
  <c r="J76" i="3"/>
  <c r="I76" i="3"/>
  <c r="H76" i="3"/>
  <c r="G76" i="3"/>
  <c r="L78" i="3" l="1"/>
  <c r="L80" i="3" s="1"/>
  <c r="I78" i="3"/>
  <c r="I80" i="3" s="1"/>
  <c r="S78" i="3"/>
  <c r="S80" i="3" s="1"/>
  <c r="H78" i="3"/>
  <c r="H80" i="3" s="1"/>
  <c r="J78" i="3"/>
  <c r="J80" i="3" s="1"/>
  <c r="K78" i="3"/>
  <c r="K80" i="3" s="1"/>
  <c r="M78" i="3"/>
  <c r="M80" i="3" s="1"/>
  <c r="G78" i="3"/>
  <c r="G80" i="3" s="1"/>
  <c r="A28" i="47" l="1"/>
  <c r="A6" i="1" l="1"/>
  <c r="K55" i="52" l="1"/>
  <c r="J55" i="52"/>
  <c r="I55" i="52"/>
  <c r="H55" i="52"/>
  <c r="G55" i="52"/>
  <c r="K56" i="52"/>
  <c r="J56" i="52"/>
  <c r="I56" i="52"/>
  <c r="H56" i="52"/>
  <c r="G56" i="52"/>
  <c r="K57" i="52"/>
  <c r="J57" i="52"/>
  <c r="I57" i="52"/>
  <c r="H57" i="52"/>
  <c r="G57" i="52"/>
  <c r="J58" i="52"/>
  <c r="I58" i="52"/>
  <c r="H58" i="52"/>
  <c r="G58" i="52"/>
  <c r="K58" i="52" l="1"/>
  <c r="G17" i="49" l="1"/>
  <c r="I47" i="52" l="1"/>
  <c r="S4" i="52" l="1"/>
  <c r="BH39" i="47" l="1"/>
  <c r="AR54" i="52" l="1"/>
  <c r="AQ54" i="52"/>
  <c r="AP54" i="52"/>
  <c r="AO54" i="52"/>
  <c r="AN54" i="52"/>
  <c r="AM54" i="52"/>
  <c r="AL54" i="52"/>
  <c r="AK54" i="52"/>
  <c r="AJ54" i="52"/>
  <c r="AI54" i="52"/>
  <c r="AH54" i="52"/>
  <c r="AG54" i="52"/>
  <c r="BG40" i="47" l="1"/>
  <c r="BG39" i="47"/>
  <c r="BG78" i="47" l="1"/>
  <c r="BH78" i="47" s="1"/>
  <c r="BG77" i="47"/>
  <c r="BH77" i="47" s="1"/>
  <c r="BG76" i="47"/>
  <c r="BH76" i="47" s="1"/>
  <c r="BG75" i="47"/>
  <c r="BH75" i="47" s="1"/>
  <c r="BG74" i="47"/>
  <c r="BH74" i="47" s="1"/>
  <c r="BG73" i="47"/>
  <c r="BH73" i="47" s="1"/>
  <c r="BG71" i="47"/>
  <c r="BH71" i="47" s="1"/>
  <c r="BG70" i="47"/>
  <c r="BH70" i="47" s="1"/>
  <c r="BG69" i="47"/>
  <c r="BH69" i="47" s="1"/>
  <c r="BH156" i="47"/>
  <c r="BG155" i="47"/>
  <c r="BH155" i="47" s="1"/>
  <c r="BG154" i="47"/>
  <c r="BH154" i="47" s="1"/>
  <c r="BG153" i="47"/>
  <c r="BH153" i="47" s="1"/>
  <c r="BG152" i="47"/>
  <c r="BH152" i="47" s="1"/>
  <c r="BG151" i="47"/>
  <c r="BH151" i="47" s="1"/>
  <c r="BG150" i="47"/>
  <c r="BH150" i="47" s="1"/>
  <c r="BG149" i="47"/>
  <c r="BH149" i="47" s="1"/>
  <c r="BG144" i="47"/>
  <c r="BH144" i="47" s="1"/>
  <c r="BG143" i="47"/>
  <c r="BH143" i="47" s="1"/>
  <c r="BG142" i="47"/>
  <c r="BH142" i="47" s="1"/>
  <c r="BG141" i="47"/>
  <c r="BH141" i="47" s="1"/>
  <c r="BG140" i="47"/>
  <c r="BH140" i="47" s="1"/>
  <c r="BG139" i="47"/>
  <c r="BH139" i="47" s="1"/>
  <c r="BG138" i="47"/>
  <c r="BH138" i="47" s="1"/>
  <c r="BG137" i="47"/>
  <c r="BH137" i="47" s="1"/>
  <c r="BG136" i="47"/>
  <c r="BH136" i="47" s="1"/>
  <c r="BG134" i="47"/>
  <c r="BH134" i="47" s="1"/>
  <c r="BG133" i="47"/>
  <c r="BH133" i="47" s="1"/>
  <c r="BG132" i="47"/>
  <c r="BH132" i="47" s="1"/>
  <c r="BH131" i="47"/>
  <c r="BG129" i="47"/>
  <c r="BH129" i="47" s="1"/>
  <c r="BG128" i="47"/>
  <c r="BH128" i="47" s="1"/>
  <c r="BG127" i="47"/>
  <c r="BH127" i="47" s="1"/>
  <c r="BG126" i="47"/>
  <c r="BH126" i="47" s="1"/>
  <c r="BG118" i="47"/>
  <c r="BH118" i="47" s="1"/>
  <c r="BG117" i="47"/>
  <c r="BH117" i="47" s="1"/>
  <c r="BG116" i="47"/>
  <c r="BH116" i="47" s="1"/>
  <c r="BG114" i="47"/>
  <c r="BH114" i="47" s="1"/>
  <c r="BG113" i="47"/>
  <c r="BH113" i="47" s="1"/>
  <c r="BG107" i="47"/>
  <c r="BH107" i="47" s="1"/>
  <c r="BG106" i="47"/>
  <c r="BH106" i="47" s="1"/>
  <c r="BG105" i="47"/>
  <c r="BH105" i="47" s="1"/>
  <c r="BG104" i="47"/>
  <c r="BH104" i="47" s="1"/>
  <c r="BG102" i="47"/>
  <c r="BH102" i="47" s="1"/>
  <c r="BG100" i="47"/>
  <c r="BH100" i="47" s="1"/>
  <c r="BG99" i="47"/>
  <c r="BH99" i="47" s="1"/>
  <c r="BG98" i="47"/>
  <c r="BH98" i="47" s="1"/>
  <c r="BG97" i="47"/>
  <c r="BH97" i="47" s="1"/>
  <c r="BG96" i="47"/>
  <c r="BH96" i="47" s="1"/>
  <c r="BG95" i="47"/>
  <c r="BH95" i="47" s="1"/>
  <c r="BG94" i="47"/>
  <c r="BH94" i="47" s="1"/>
  <c r="BG93" i="47"/>
  <c r="BH93" i="47" s="1"/>
  <c r="BG92" i="47"/>
  <c r="BH92" i="47" s="1"/>
  <c r="BG91" i="47"/>
  <c r="BH91" i="47" s="1"/>
  <c r="BG90" i="47"/>
  <c r="BH90" i="47" s="1"/>
  <c r="BG89" i="47"/>
  <c r="BH89" i="47" s="1"/>
  <c r="BG88" i="47"/>
  <c r="BH88" i="47" s="1"/>
  <c r="BG87" i="47"/>
  <c r="BH87" i="47" s="1"/>
  <c r="BG86" i="47"/>
  <c r="BH86" i="47" s="1"/>
  <c r="BG85" i="47"/>
  <c r="BH85" i="47" s="1"/>
  <c r="BG84" i="47"/>
  <c r="BH84" i="47" s="1"/>
  <c r="BG83" i="47"/>
  <c r="BH83" i="47" s="1"/>
  <c r="BG79" i="47"/>
  <c r="BH79" i="47" s="1"/>
  <c r="BG68" i="47"/>
  <c r="BH68" i="47" s="1"/>
  <c r="BG80" i="47"/>
  <c r="BH80" i="47" s="1"/>
  <c r="BG67" i="47"/>
  <c r="BH67" i="47" s="1"/>
  <c r="BH59" i="47"/>
  <c r="BG53" i="47"/>
  <c r="BH53" i="47" s="1"/>
  <c r="BG49" i="47"/>
  <c r="BH49" i="47" s="1"/>
  <c r="G9" i="49" l="1"/>
  <c r="F9" i="49"/>
  <c r="E9" i="49"/>
  <c r="D9" i="49"/>
  <c r="C9" i="49"/>
  <c r="G8" i="49" l="1"/>
  <c r="G10" i="49"/>
  <c r="G11" i="49"/>
  <c r="G12" i="49"/>
  <c r="G13" i="49"/>
  <c r="G14" i="49"/>
  <c r="G15" i="49"/>
  <c r="G16" i="49"/>
  <c r="G18" i="49"/>
  <c r="G19" i="49"/>
  <c r="G20" i="49"/>
  <c r="G21" i="49"/>
  <c r="G22" i="49"/>
  <c r="G23" i="49"/>
  <c r="G24" i="49"/>
  <c r="G25" i="49"/>
  <c r="G26" i="49"/>
  <c r="G27" i="49"/>
  <c r="G28" i="49"/>
  <c r="G29" i="49"/>
  <c r="G30" i="49"/>
  <c r="G32" i="49"/>
  <c r="G33" i="49"/>
  <c r="G7" i="49"/>
  <c r="D17" i="49"/>
  <c r="G164" i="57" s="1"/>
  <c r="D8" i="49"/>
  <c r="D10" i="49"/>
  <c r="D11" i="49"/>
  <c r="D12" i="49"/>
  <c r="D13" i="49"/>
  <c r="D14" i="49"/>
  <c r="D15" i="49"/>
  <c r="D16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2" i="49"/>
  <c r="D33" i="49"/>
  <c r="D7" i="49"/>
  <c r="C30" i="49"/>
  <c r="C32" i="49"/>
  <c r="C33" i="49"/>
  <c r="C28" i="49"/>
  <c r="C20" i="49"/>
  <c r="C21" i="49"/>
  <c r="C22" i="49"/>
  <c r="C23" i="49"/>
  <c r="C24" i="49"/>
  <c r="C25" i="49"/>
  <c r="C26" i="49"/>
  <c r="C27" i="49"/>
  <c r="B22" i="49"/>
  <c r="C17" i="49"/>
  <c r="C10" i="49"/>
  <c r="C11" i="49"/>
  <c r="C12" i="49"/>
  <c r="C13" i="49"/>
  <c r="C14" i="49"/>
  <c r="C15" i="49"/>
  <c r="C16" i="49"/>
  <c r="C8" i="49"/>
  <c r="C18" i="49"/>
  <c r="C19" i="49"/>
  <c r="C29" i="49"/>
  <c r="A33" i="47" l="1"/>
  <c r="C33" i="47"/>
  <c r="E33" i="47"/>
  <c r="G33" i="47"/>
  <c r="A35" i="47"/>
  <c r="C35" i="47"/>
  <c r="E35" i="47"/>
  <c r="G35" i="47"/>
  <c r="I174" i="47" l="1"/>
  <c r="N36" i="47" l="1"/>
  <c r="O36" i="47"/>
  <c r="P36" i="47"/>
  <c r="Q36" i="47"/>
  <c r="R36" i="47"/>
  <c r="S36" i="47"/>
  <c r="T36" i="47"/>
  <c r="U36" i="47"/>
  <c r="V36" i="47"/>
  <c r="AB36" i="47"/>
  <c r="AC36" i="47"/>
  <c r="AD36" i="47"/>
  <c r="AE36" i="47"/>
  <c r="AF36" i="47"/>
  <c r="AG36" i="47"/>
  <c r="AH36" i="47"/>
  <c r="AI36" i="47"/>
  <c r="AJ36" i="47"/>
  <c r="AP36" i="47"/>
  <c r="AQ36" i="47"/>
  <c r="AR36" i="47"/>
  <c r="AS36" i="47"/>
  <c r="AT36" i="47"/>
  <c r="AU36" i="47"/>
  <c r="AV36" i="47"/>
  <c r="AW36" i="47"/>
  <c r="AX36" i="47"/>
  <c r="AN36" i="47" l="1"/>
  <c r="AO36" i="47" s="1"/>
  <c r="BB36" i="47"/>
  <c r="BC36" i="47" s="1"/>
  <c r="Z36" i="47"/>
  <c r="AA36" i="47" s="1"/>
  <c r="A22" i="47" l="1"/>
  <c r="C22" i="47"/>
  <c r="E22" i="47"/>
  <c r="G22" i="47"/>
  <c r="B28" i="47"/>
  <c r="C28" i="47"/>
  <c r="E28" i="47"/>
  <c r="F28" i="47"/>
  <c r="G28" i="47"/>
  <c r="BF22" i="47" l="1"/>
  <c r="M83" i="46" l="1"/>
  <c r="L83" i="46"/>
  <c r="K83" i="46"/>
  <c r="J83" i="46"/>
  <c r="I83" i="46"/>
  <c r="H83" i="46"/>
  <c r="M82" i="46"/>
  <c r="L82" i="46"/>
  <c r="K82" i="46"/>
  <c r="J82" i="46"/>
  <c r="I82" i="46"/>
  <c r="H82" i="46"/>
  <c r="M81" i="46"/>
  <c r="L81" i="46"/>
  <c r="K81" i="46"/>
  <c r="J81" i="46"/>
  <c r="I81" i="46"/>
  <c r="H81" i="46"/>
  <c r="M80" i="46"/>
  <c r="L80" i="46"/>
  <c r="K80" i="46"/>
  <c r="J80" i="46"/>
  <c r="I80" i="46"/>
  <c r="H80" i="46"/>
  <c r="M79" i="46"/>
  <c r="L79" i="46"/>
  <c r="K79" i="46"/>
  <c r="J79" i="46"/>
  <c r="I79" i="46"/>
  <c r="H79" i="46"/>
  <c r="M78" i="46"/>
  <c r="L78" i="46"/>
  <c r="K78" i="46"/>
  <c r="J78" i="46"/>
  <c r="I78" i="46"/>
  <c r="H78" i="46"/>
  <c r="M77" i="46"/>
  <c r="L77" i="46"/>
  <c r="K77" i="46"/>
  <c r="J77" i="46"/>
  <c r="I77" i="46"/>
  <c r="H77" i="46"/>
  <c r="M76" i="46"/>
  <c r="L76" i="46"/>
  <c r="K76" i="46"/>
  <c r="J76" i="46"/>
  <c r="I76" i="46"/>
  <c r="H76" i="46"/>
  <c r="M75" i="46"/>
  <c r="L75" i="46"/>
  <c r="K75" i="46"/>
  <c r="J75" i="46"/>
  <c r="I75" i="46"/>
  <c r="H75" i="46"/>
  <c r="M74" i="46"/>
  <c r="L74" i="46"/>
  <c r="K74" i="46"/>
  <c r="J74" i="46"/>
  <c r="I74" i="46"/>
  <c r="H74" i="46"/>
  <c r="G81" i="46"/>
  <c r="G80" i="46"/>
  <c r="G79" i="46"/>
  <c r="G78" i="46"/>
  <c r="G77" i="46"/>
  <c r="G76" i="46"/>
  <c r="G75" i="46"/>
  <c r="G74" i="46"/>
  <c r="G83" i="46"/>
  <c r="G82" i="46"/>
  <c r="R48" i="46" l="1"/>
  <c r="Q48" i="46"/>
  <c r="P48" i="46"/>
  <c r="O48" i="46"/>
  <c r="N48" i="46"/>
  <c r="M48" i="46"/>
  <c r="L48" i="46"/>
  <c r="K48" i="46"/>
  <c r="J48" i="46"/>
  <c r="I48" i="46"/>
  <c r="H48" i="46"/>
  <c r="G48" i="46"/>
  <c r="T48" i="46" l="1"/>
  <c r="AS120" i="23"/>
  <c r="AS119" i="23"/>
  <c r="AS121" i="7"/>
  <c r="AS120" i="7"/>
  <c r="AS121" i="6"/>
  <c r="AS120" i="6"/>
  <c r="AS121" i="5"/>
  <c r="AS120" i="5"/>
  <c r="S120" i="23"/>
  <c r="S119" i="23"/>
  <c r="S121" i="6"/>
  <c r="S120" i="6"/>
  <c r="S121" i="7"/>
  <c r="S120" i="7"/>
  <c r="S121" i="5"/>
  <c r="S120" i="5"/>
  <c r="S121" i="23" l="1"/>
  <c r="S122" i="7"/>
  <c r="S122" i="6"/>
  <c r="S122" i="5"/>
  <c r="AS121" i="23"/>
  <c r="S126" i="7"/>
  <c r="AS122" i="5"/>
  <c r="AS126" i="7"/>
  <c r="AS122" i="7"/>
  <c r="AS122" i="6"/>
  <c r="S90" i="9" l="1"/>
  <c r="S88" i="9"/>
  <c r="S87" i="9"/>
  <c r="S89" i="9" l="1"/>
  <c r="O161" i="47" l="1"/>
  <c r="O163" i="47"/>
  <c r="H169" i="47" l="1"/>
  <c r="J72" i="46" l="1"/>
  <c r="K72" i="46"/>
  <c r="L72" i="46"/>
  <c r="M72" i="46"/>
  <c r="I72" i="46" l="1"/>
  <c r="G68" i="49" l="1"/>
  <c r="F68" i="49"/>
  <c r="E68" i="49"/>
  <c r="D68" i="49"/>
  <c r="C68" i="49"/>
  <c r="B68" i="49"/>
  <c r="K175" i="47" l="1"/>
  <c r="J175" i="47"/>
  <c r="I175" i="47"/>
  <c r="H175" i="47"/>
  <c r="K174" i="47"/>
  <c r="J174" i="47"/>
  <c r="H174" i="47"/>
  <c r="H6" i="52" l="1"/>
  <c r="I6" i="52"/>
  <c r="J6" i="52"/>
  <c r="K6" i="52"/>
  <c r="L6" i="52"/>
  <c r="M6" i="52"/>
  <c r="N6" i="52"/>
  <c r="O6" i="52"/>
  <c r="P6" i="52"/>
  <c r="Q6" i="52"/>
  <c r="R6" i="52"/>
  <c r="AW3" i="44" l="1"/>
  <c r="AX3" i="44" s="1"/>
  <c r="G37" i="52" l="1"/>
  <c r="G59" i="52" l="1"/>
  <c r="G39" i="52"/>
  <c r="O1" i="54"/>
  <c r="AJ41" i="1"/>
  <c r="P1" i="54" l="1"/>
  <c r="R5" i="54" s="1"/>
  <c r="B5" i="54"/>
  <c r="H72" i="46"/>
  <c r="G72" i="46"/>
  <c r="R71" i="46" l="1"/>
  <c r="Q71" i="46"/>
  <c r="P71" i="46"/>
  <c r="O71" i="46"/>
  <c r="N71" i="46"/>
  <c r="M71" i="46"/>
  <c r="L71" i="46"/>
  <c r="K71" i="46"/>
  <c r="J71" i="46"/>
  <c r="I71" i="46"/>
  <c r="H71" i="46"/>
  <c r="G71" i="46"/>
  <c r="I50" i="46" l="1"/>
  <c r="M50" i="46"/>
  <c r="Q50" i="46"/>
  <c r="N50" i="46"/>
  <c r="K50" i="46"/>
  <c r="O50" i="46"/>
  <c r="J50" i="46"/>
  <c r="R50" i="46"/>
  <c r="H50" i="46"/>
  <c r="L50" i="46"/>
  <c r="P50" i="46"/>
  <c r="G50" i="46" l="1"/>
  <c r="T50" i="46" s="1"/>
  <c r="AC12" i="47" l="1"/>
  <c r="B68" i="57" l="1"/>
  <c r="Q47" i="52" l="1"/>
  <c r="R47" i="52"/>
  <c r="R53" i="52" s="1"/>
  <c r="Q48" i="52"/>
  <c r="R48" i="52"/>
  <c r="Q49" i="52"/>
  <c r="R49" i="52"/>
  <c r="Q50" i="52"/>
  <c r="R50" i="52"/>
  <c r="R51" i="52" l="1"/>
  <c r="R52" i="52" s="1"/>
  <c r="Q51" i="52"/>
  <c r="Q52" i="52" s="1"/>
  <c r="S69" i="6" l="1"/>
  <c r="S68" i="6"/>
  <c r="S70" i="6" l="1"/>
  <c r="S71" i="6" s="1"/>
  <c r="E83" i="9" l="1"/>
  <c r="E82" i="9"/>
  <c r="E81" i="9"/>
  <c r="E80" i="9"/>
  <c r="E79" i="9"/>
  <c r="S81" i="12"/>
  <c r="S80" i="12"/>
  <c r="S79" i="12"/>
  <c r="S78" i="12"/>
  <c r="S83" i="11"/>
  <c r="S82" i="11"/>
  <c r="S81" i="11"/>
  <c r="S80" i="11"/>
  <c r="T80" i="11" s="1"/>
  <c r="S82" i="9"/>
  <c r="AE82" i="9" s="1"/>
  <c r="AT82" i="9" s="1"/>
  <c r="S81" i="9"/>
  <c r="AE81" i="9" s="1"/>
  <c r="AT81" i="9" s="1"/>
  <c r="S80" i="9"/>
  <c r="AE80" i="9" s="1"/>
  <c r="AT80" i="9" s="1"/>
  <c r="S79" i="9"/>
  <c r="AE79" i="9" s="1"/>
  <c r="AT79" i="9" s="1"/>
  <c r="T81" i="12" l="1"/>
  <c r="T80" i="12"/>
  <c r="T81" i="11"/>
  <c r="T82" i="11"/>
  <c r="T83" i="11"/>
  <c r="T79" i="12"/>
  <c r="S82" i="12"/>
  <c r="T82" i="12" s="1"/>
  <c r="S83" i="9"/>
  <c r="AE83" i="9" s="1"/>
  <c r="AF83" i="9" s="1"/>
  <c r="T80" i="9"/>
  <c r="T82" i="9"/>
  <c r="T79" i="9"/>
  <c r="T81" i="9"/>
  <c r="AF79" i="9"/>
  <c r="AF80" i="9"/>
  <c r="AF81" i="9"/>
  <c r="AU80" i="9"/>
  <c r="AU82" i="9"/>
  <c r="AU81" i="9"/>
  <c r="AU79" i="9"/>
  <c r="AF82" i="9"/>
  <c r="T78" i="12"/>
  <c r="S84" i="11"/>
  <c r="T84" i="11" s="1"/>
  <c r="AT83" i="9" l="1"/>
  <c r="AU83" i="9" s="1"/>
  <c r="T83" i="9"/>
  <c r="AP50" i="52"/>
  <c r="AO50" i="52"/>
  <c r="AN50" i="52"/>
  <c r="AM50" i="52"/>
  <c r="AL50" i="52"/>
  <c r="AK50" i="52"/>
  <c r="AJ50" i="52"/>
  <c r="AI50" i="52"/>
  <c r="AH50" i="52"/>
  <c r="AG50" i="52"/>
  <c r="AP49" i="52"/>
  <c r="AO49" i="52"/>
  <c r="AN49" i="52"/>
  <c r="AM49" i="52"/>
  <c r="AL49" i="52"/>
  <c r="AK49" i="52"/>
  <c r="AJ49" i="52"/>
  <c r="AI49" i="52"/>
  <c r="AH49" i="52"/>
  <c r="AG49" i="52"/>
  <c r="AP48" i="52"/>
  <c r="AO48" i="52"/>
  <c r="AN48" i="52"/>
  <c r="AM48" i="52"/>
  <c r="AL48" i="52"/>
  <c r="AK48" i="52"/>
  <c r="AJ48" i="52"/>
  <c r="AI48" i="52"/>
  <c r="AH48" i="52"/>
  <c r="AG48" i="52"/>
  <c r="AP47" i="52"/>
  <c r="AO47" i="52"/>
  <c r="AN47" i="52"/>
  <c r="AM47" i="52"/>
  <c r="AL47" i="52"/>
  <c r="AK47" i="52"/>
  <c r="AJ47" i="52"/>
  <c r="AI47" i="52"/>
  <c r="AH47" i="52"/>
  <c r="AG47" i="52"/>
  <c r="P50" i="52"/>
  <c r="O50" i="52"/>
  <c r="N50" i="52"/>
  <c r="M50" i="52"/>
  <c r="L50" i="52"/>
  <c r="K50" i="52"/>
  <c r="J50" i="52"/>
  <c r="I50" i="52"/>
  <c r="H50" i="52"/>
  <c r="P49" i="52"/>
  <c r="O49" i="52"/>
  <c r="N49" i="52"/>
  <c r="M49" i="52"/>
  <c r="L49" i="52"/>
  <c r="K49" i="52"/>
  <c r="J49" i="52"/>
  <c r="I49" i="52"/>
  <c r="H49" i="52"/>
  <c r="P48" i="52"/>
  <c r="O48" i="52"/>
  <c r="N48" i="52"/>
  <c r="M48" i="52"/>
  <c r="L48" i="52"/>
  <c r="K48" i="52"/>
  <c r="J48" i="52"/>
  <c r="I48" i="52"/>
  <c r="H48" i="52"/>
  <c r="P47" i="52"/>
  <c r="O47" i="52"/>
  <c r="N47" i="52"/>
  <c r="M47" i="52"/>
  <c r="L47" i="52"/>
  <c r="K47" i="52"/>
  <c r="J47" i="52"/>
  <c r="H47" i="52"/>
  <c r="G50" i="52"/>
  <c r="G49" i="52"/>
  <c r="G48" i="52"/>
  <c r="G47" i="52"/>
  <c r="S48" i="52" l="1"/>
  <c r="S49" i="52"/>
  <c r="S50" i="52"/>
  <c r="S47" i="52"/>
  <c r="AH51" i="52"/>
  <c r="AL51" i="52"/>
  <c r="AP51" i="52"/>
  <c r="AR49" i="52"/>
  <c r="N51" i="52"/>
  <c r="N52" i="52" s="1"/>
  <c r="I51" i="52"/>
  <c r="I52" i="52" s="1"/>
  <c r="AI51" i="52"/>
  <c r="AM51" i="52"/>
  <c r="AR48" i="52"/>
  <c r="AR50" i="52"/>
  <c r="O51" i="52"/>
  <c r="O52" i="52" s="1"/>
  <c r="G51" i="52"/>
  <c r="H51" i="52"/>
  <c r="H52" i="52" s="1"/>
  <c r="L51" i="52"/>
  <c r="L52" i="52" s="1"/>
  <c r="P51" i="52"/>
  <c r="P52" i="52" s="1"/>
  <c r="AJ51" i="52"/>
  <c r="AN51" i="52"/>
  <c r="M51" i="52"/>
  <c r="M52" i="52" s="1"/>
  <c r="K51" i="52"/>
  <c r="K52" i="52" s="1"/>
  <c r="J51" i="52"/>
  <c r="J52" i="52" s="1"/>
  <c r="AG51" i="52"/>
  <c r="AK51" i="52"/>
  <c r="AO51" i="52"/>
  <c r="AR47" i="52"/>
  <c r="S51" i="52" l="1"/>
  <c r="AR51" i="52"/>
  <c r="AG44" i="52" l="1"/>
  <c r="AH44" i="52" s="1"/>
  <c r="AI44" i="52" s="1"/>
  <c r="AJ44" i="52" s="1"/>
  <c r="AK44" i="52" s="1"/>
  <c r="AL44" i="52" s="1"/>
  <c r="AM44" i="52" s="1"/>
  <c r="AN44" i="52" s="1"/>
  <c r="AO44" i="52" s="1"/>
  <c r="AP44" i="52" s="1"/>
  <c r="AQ44" i="52" s="1"/>
  <c r="AR44" i="52" s="1"/>
  <c r="AR40" i="52"/>
  <c r="AQ40" i="52"/>
  <c r="AP40" i="52"/>
  <c r="AO40" i="52"/>
  <c r="AN40" i="52"/>
  <c r="AM40" i="52"/>
  <c r="AL40" i="52"/>
  <c r="AK40" i="52"/>
  <c r="AJ40" i="52"/>
  <c r="AI40" i="52"/>
  <c r="AH40" i="52"/>
  <c r="AG40" i="52"/>
  <c r="AG42" i="52" s="1"/>
  <c r="AH42" i="52" l="1"/>
  <c r="AI42" i="52" s="1"/>
  <c r="AJ42" i="52" s="1"/>
  <c r="AK42" i="52" s="1"/>
  <c r="AL42" i="52" s="1"/>
  <c r="AM42" i="52" s="1"/>
  <c r="AN42" i="52" s="1"/>
  <c r="AO42" i="52" s="1"/>
  <c r="AP42" i="52" s="1"/>
  <c r="AQ42" i="52" s="1"/>
  <c r="AR42" i="52" s="1"/>
  <c r="F33" i="49" l="1"/>
  <c r="E33" i="49"/>
  <c r="F32" i="49"/>
  <c r="E32" i="49"/>
  <c r="F30" i="49"/>
  <c r="E30" i="49"/>
  <c r="F29" i="49"/>
  <c r="E29" i="49"/>
  <c r="F28" i="49"/>
  <c r="E28" i="49"/>
  <c r="B28" i="49"/>
  <c r="F27" i="49"/>
  <c r="E27" i="49"/>
  <c r="B27" i="49"/>
  <c r="F26" i="49"/>
  <c r="E26" i="49"/>
  <c r="B26" i="49"/>
  <c r="F25" i="49"/>
  <c r="E25" i="49"/>
  <c r="B25" i="49"/>
  <c r="F24" i="49"/>
  <c r="E24" i="49"/>
  <c r="B24" i="49"/>
  <c r="F23" i="49"/>
  <c r="E23" i="49"/>
  <c r="B23" i="49"/>
  <c r="F22" i="49"/>
  <c r="E22" i="49"/>
  <c r="F21" i="49"/>
  <c r="E21" i="49"/>
  <c r="B21" i="49"/>
  <c r="F20" i="49"/>
  <c r="E20" i="49"/>
  <c r="B20" i="49"/>
  <c r="F19" i="49"/>
  <c r="E19" i="49"/>
  <c r="B19" i="49"/>
  <c r="F18" i="49"/>
  <c r="E18" i="49"/>
  <c r="F17" i="49"/>
  <c r="E17" i="49"/>
  <c r="F16" i="49"/>
  <c r="E16" i="49"/>
  <c r="F15" i="49"/>
  <c r="E15" i="49"/>
  <c r="F14" i="49"/>
  <c r="E14" i="49"/>
  <c r="F13" i="49"/>
  <c r="E13" i="49"/>
  <c r="F12" i="49"/>
  <c r="E12" i="49"/>
  <c r="F11" i="49"/>
  <c r="E11" i="49"/>
  <c r="F10" i="49"/>
  <c r="E10" i="49"/>
  <c r="F8" i="49"/>
  <c r="E8" i="49"/>
  <c r="F7" i="49"/>
  <c r="E7" i="49"/>
  <c r="C7" i="49"/>
  <c r="B7" i="49"/>
  <c r="H8" i="49" l="1"/>
  <c r="H30" i="49"/>
  <c r="H7" i="49"/>
  <c r="S73" i="3"/>
  <c r="AF73" i="3"/>
  <c r="AG73" i="3"/>
  <c r="AG67" i="3"/>
  <c r="AF67" i="3"/>
  <c r="S67" i="3"/>
  <c r="O55" i="3"/>
  <c r="N55" i="3"/>
  <c r="M53" i="3"/>
  <c r="M55" i="3" s="1"/>
  <c r="L53" i="3"/>
  <c r="L55" i="3" s="1"/>
  <c r="O49" i="3"/>
  <c r="N49" i="3"/>
  <c r="M49" i="3"/>
  <c r="L49" i="3"/>
  <c r="K49" i="3"/>
  <c r="J49" i="3"/>
  <c r="I49" i="3"/>
  <c r="H49" i="3"/>
  <c r="G49" i="3"/>
  <c r="AT4" i="52" l="1"/>
  <c r="BA121" i="62" s="1"/>
  <c r="AX121" i="62" s="1"/>
  <c r="AT5" i="52"/>
  <c r="AT16" i="52"/>
  <c r="AT15" i="52"/>
  <c r="AG47" i="3" l="1"/>
  <c r="AF47" i="3"/>
  <c r="AE47" i="3"/>
  <c r="AD47" i="3"/>
  <c r="AC47" i="3"/>
  <c r="AB47" i="3"/>
  <c r="AA47" i="3"/>
  <c r="Z47" i="3"/>
  <c r="Y47" i="3"/>
  <c r="X47" i="3"/>
  <c r="W47" i="3"/>
  <c r="V47" i="3"/>
  <c r="U47" i="3"/>
  <c r="T47" i="3"/>
  <c r="S47" i="3"/>
  <c r="R47" i="3"/>
  <c r="N46" i="3"/>
  <c r="M46" i="3"/>
  <c r="L46" i="3"/>
  <c r="K46" i="3"/>
  <c r="J46" i="3"/>
  <c r="I46" i="3"/>
  <c r="H46" i="3"/>
  <c r="N45" i="3"/>
  <c r="M45" i="3"/>
  <c r="L45" i="3"/>
  <c r="K45" i="3"/>
  <c r="J45" i="3"/>
  <c r="I45" i="3"/>
  <c r="H45" i="3"/>
  <c r="N44" i="3"/>
  <c r="M44" i="3"/>
  <c r="L44" i="3"/>
  <c r="K44" i="3"/>
  <c r="J44" i="3"/>
  <c r="I44" i="3"/>
  <c r="H44" i="3"/>
  <c r="N43" i="3"/>
  <c r="M43" i="3"/>
  <c r="L43" i="3"/>
  <c r="K43" i="3"/>
  <c r="J43" i="3"/>
  <c r="I43" i="3"/>
  <c r="H43" i="3"/>
  <c r="N42" i="3"/>
  <c r="M42" i="3"/>
  <c r="L42" i="3"/>
  <c r="K42" i="3"/>
  <c r="J42" i="3"/>
  <c r="I42" i="3"/>
  <c r="H42" i="3"/>
  <c r="N41" i="3"/>
  <c r="M41" i="3"/>
  <c r="L41" i="3"/>
  <c r="K41" i="3"/>
  <c r="J41" i="3"/>
  <c r="I41" i="3"/>
  <c r="H41" i="3"/>
  <c r="N40" i="3"/>
  <c r="M40" i="3"/>
  <c r="L40" i="3"/>
  <c r="K40" i="3"/>
  <c r="J40" i="3"/>
  <c r="I40" i="3"/>
  <c r="H40" i="3"/>
  <c r="G46" i="3"/>
  <c r="G45" i="3"/>
  <c r="G43" i="3"/>
  <c r="G44" i="3"/>
  <c r="G42" i="3"/>
  <c r="G41" i="3"/>
  <c r="G40" i="3"/>
  <c r="Q44" i="3" l="1"/>
  <c r="U44" i="3" s="1"/>
  <c r="Q43" i="3"/>
  <c r="Q40" i="3"/>
  <c r="P40" i="3"/>
  <c r="AG40" i="3" s="1"/>
  <c r="P42" i="3"/>
  <c r="P44" i="3"/>
  <c r="P46" i="3"/>
  <c r="P43" i="3"/>
  <c r="AF43" i="3" s="1"/>
  <c r="Q42" i="3"/>
  <c r="AA42" i="3" s="1"/>
  <c r="Q46" i="3"/>
  <c r="AA46" i="3" s="1"/>
  <c r="P41" i="3"/>
  <c r="P45" i="3"/>
  <c r="Q41" i="3"/>
  <c r="R41" i="3" s="1"/>
  <c r="Q45" i="3"/>
  <c r="Z45" i="3" s="1"/>
  <c r="Y44" i="3" l="1"/>
  <c r="AG44" i="3"/>
  <c r="Z44" i="3"/>
  <c r="AC44" i="3"/>
  <c r="S44" i="3"/>
  <c r="W44" i="3"/>
  <c r="R44" i="3"/>
  <c r="T44" i="3"/>
  <c r="AB44" i="3"/>
  <c r="X44" i="3"/>
  <c r="AF44" i="3"/>
  <c r="V44" i="3"/>
  <c r="AA44" i="3"/>
  <c r="AD44" i="3"/>
  <c r="AE44" i="3"/>
  <c r="AE40" i="3"/>
  <c r="AB40" i="3"/>
  <c r="AC40" i="3"/>
  <c r="AD43" i="3"/>
  <c r="T43" i="3"/>
  <c r="AC42" i="3"/>
  <c r="AG42" i="3"/>
  <c r="W42" i="3"/>
  <c r="V42" i="3"/>
  <c r="Z42" i="3"/>
  <c r="AE42" i="3"/>
  <c r="AD40" i="3"/>
  <c r="Z40" i="3"/>
  <c r="AF40" i="3"/>
  <c r="U43" i="3"/>
  <c r="AG43" i="3"/>
  <c r="X43" i="3"/>
  <c r="S40" i="3"/>
  <c r="R40" i="3"/>
  <c r="U40" i="3"/>
  <c r="AC43" i="3"/>
  <c r="W43" i="3"/>
  <c r="W40" i="3"/>
  <c r="X40" i="3"/>
  <c r="Y40" i="3"/>
  <c r="R43" i="3"/>
  <c r="AE43" i="3"/>
  <c r="V46" i="3"/>
  <c r="X42" i="3"/>
  <c r="AB42" i="3"/>
  <c r="Y45" i="3"/>
  <c r="R42" i="3"/>
  <c r="U42" i="3"/>
  <c r="AF42" i="3"/>
  <c r="S42" i="3"/>
  <c r="T41" i="3"/>
  <c r="Z43" i="3"/>
  <c r="AA43" i="3"/>
  <c r="AB43" i="3"/>
  <c r="S46" i="3"/>
  <c r="R45" i="3"/>
  <c r="W45" i="3"/>
  <c r="R46" i="3"/>
  <c r="Y46" i="3"/>
  <c r="AF45" i="3"/>
  <c r="W41" i="3"/>
  <c r="AA40" i="3"/>
  <c r="T40" i="3"/>
  <c r="V40" i="3"/>
  <c r="V43" i="3"/>
  <c r="S43" i="3"/>
  <c r="Y43" i="3"/>
  <c r="AC46" i="3"/>
  <c r="W46" i="3"/>
  <c r="AC45" i="3"/>
  <c r="U46" i="3"/>
  <c r="AB46" i="3"/>
  <c r="X46" i="3"/>
  <c r="AE46" i="3"/>
  <c r="AB45" i="3"/>
  <c r="U45" i="3"/>
  <c r="AA45" i="3"/>
  <c r="AD45" i="3"/>
  <c r="V41" i="3"/>
  <c r="T46" i="3"/>
  <c r="Z46" i="3"/>
  <c r="T45" i="3"/>
  <c r="S45" i="3"/>
  <c r="V45" i="3"/>
  <c r="AF46" i="3"/>
  <c r="AG46" i="3"/>
  <c r="AD46" i="3"/>
  <c r="Y42" i="3"/>
  <c r="T42" i="3"/>
  <c r="AD42" i="3"/>
  <c r="X45" i="3"/>
  <c r="AE45" i="3"/>
  <c r="AG45" i="3"/>
  <c r="AG41" i="3"/>
  <c r="X41" i="3"/>
  <c r="U41" i="3"/>
  <c r="S41" i="3"/>
  <c r="Z41" i="3"/>
  <c r="AB41" i="3"/>
  <c r="Y41" i="3"/>
  <c r="AE41" i="3"/>
  <c r="AD41" i="3"/>
  <c r="AA41" i="3"/>
  <c r="AF41" i="3"/>
  <c r="AC41" i="3"/>
  <c r="W48" i="3" l="1"/>
  <c r="W50" i="3" s="1"/>
  <c r="Y48" i="3"/>
  <c r="Y50" i="3" s="1"/>
  <c r="AF48" i="3"/>
  <c r="AF50" i="3" s="1"/>
  <c r="V48" i="3"/>
  <c r="V50" i="3" s="1"/>
  <c r="AB48" i="3"/>
  <c r="AB50" i="3" s="1"/>
  <c r="AC48" i="3"/>
  <c r="AC50" i="3" s="1"/>
  <c r="Z48" i="3"/>
  <c r="Z50" i="3" s="1"/>
  <c r="AG48" i="3"/>
  <c r="AG50" i="3" s="1"/>
  <c r="T48" i="3"/>
  <c r="T50" i="3" s="1"/>
  <c r="AA48" i="3"/>
  <c r="AA50" i="3" s="1"/>
  <c r="R48" i="3"/>
  <c r="R50" i="3" s="1"/>
  <c r="AE48" i="3"/>
  <c r="AE50" i="3" s="1"/>
  <c r="X48" i="3"/>
  <c r="X50" i="3" s="1"/>
  <c r="U48" i="3"/>
  <c r="U50" i="3" s="1"/>
  <c r="S48" i="3"/>
  <c r="S50" i="3" s="1"/>
  <c r="AD48" i="3"/>
  <c r="AD50" i="3" s="1"/>
  <c r="AF67" i="6"/>
  <c r="AH50" i="3" l="1"/>
  <c r="AS67" i="12" l="1"/>
  <c r="AS68" i="12" s="1"/>
  <c r="S67" i="12"/>
  <c r="S68" i="12" s="1"/>
  <c r="F183" i="47" l="1"/>
  <c r="B183" i="47"/>
  <c r="M49" i="46"/>
  <c r="M51" i="46" l="1"/>
  <c r="L49" i="46"/>
  <c r="K49" i="46"/>
  <c r="L51" i="46" l="1"/>
  <c r="W91" i="47" l="1"/>
  <c r="Z91" i="47" s="1"/>
  <c r="AA91" i="47" s="1"/>
  <c r="AK91" i="47"/>
  <c r="AN91" i="47" s="1"/>
  <c r="AO91" i="47" s="1"/>
  <c r="AY91" i="47"/>
  <c r="BB91" i="47" s="1"/>
  <c r="BC91" i="47" s="1"/>
  <c r="K51" i="46" l="1"/>
  <c r="E50" i="49"/>
  <c r="E49" i="49"/>
  <c r="E50" i="57"/>
  <c r="E49" i="57"/>
  <c r="J49" i="46" l="1"/>
  <c r="I49" i="46"/>
  <c r="J51" i="46" l="1"/>
  <c r="I51" i="46" l="1"/>
  <c r="B14" i="57" l="1"/>
  <c r="B13" i="57"/>
  <c r="G14" i="57"/>
  <c r="G13" i="57"/>
  <c r="F14" i="57"/>
  <c r="F13" i="57"/>
  <c r="E14" i="57"/>
  <c r="E13" i="57"/>
  <c r="D14" i="57"/>
  <c r="D13" i="57"/>
  <c r="B8" i="56"/>
  <c r="G8" i="56"/>
  <c r="F8" i="56"/>
  <c r="E8" i="56"/>
  <c r="D8" i="56"/>
  <c r="C8" i="56"/>
  <c r="J55" i="49"/>
  <c r="D53" i="49"/>
  <c r="D52" i="49"/>
  <c r="D51" i="49"/>
  <c r="D53" i="56"/>
  <c r="D52" i="56"/>
  <c r="D51" i="56"/>
  <c r="D53" i="57"/>
  <c r="D52" i="57"/>
  <c r="D51" i="57"/>
  <c r="D41" i="56"/>
  <c r="D59" i="56"/>
  <c r="D58" i="56"/>
  <c r="D57" i="56"/>
  <c r="D56" i="56"/>
  <c r="D55" i="56"/>
  <c r="D54" i="56"/>
  <c r="D50" i="56"/>
  <c r="D49" i="56"/>
  <c r="D48" i="56"/>
  <c r="D47" i="56"/>
  <c r="D46" i="56"/>
  <c r="D45" i="56"/>
  <c r="D44" i="56"/>
  <c r="D43" i="56"/>
  <c r="D42" i="56"/>
  <c r="J55" i="56"/>
  <c r="J55" i="57"/>
  <c r="D59" i="57"/>
  <c r="D58" i="57"/>
  <c r="D57" i="57"/>
  <c r="D56" i="57"/>
  <c r="D55" i="57"/>
  <c r="D54" i="57"/>
  <c r="D50" i="57"/>
  <c r="D49" i="57"/>
  <c r="D48" i="57"/>
  <c r="D47" i="57"/>
  <c r="D46" i="57"/>
  <c r="D45" i="57"/>
  <c r="D44" i="57"/>
  <c r="D43" i="57"/>
  <c r="D42" i="57"/>
  <c r="D41" i="57"/>
  <c r="H49" i="46" l="1"/>
  <c r="G49" i="46" l="1"/>
  <c r="T49" i="46"/>
  <c r="H35" i="52" l="1"/>
  <c r="G6" i="52"/>
  <c r="G52" i="52" l="1"/>
  <c r="AT6" i="52"/>
  <c r="H51" i="46" l="1"/>
  <c r="AF72" i="23" l="1"/>
  <c r="AF70" i="23"/>
  <c r="AF69" i="23"/>
  <c r="AF70" i="40"/>
  <c r="AF73" i="41"/>
  <c r="AF71" i="41"/>
  <c r="AF70" i="41"/>
  <c r="AF74" i="42"/>
  <c r="AF72" i="42"/>
  <c r="AF71" i="42"/>
  <c r="AF73" i="43"/>
  <c r="AF73" i="44"/>
  <c r="AF71" i="43"/>
  <c r="AF70" i="43"/>
  <c r="AF71" i="44"/>
  <c r="AF70" i="44"/>
  <c r="AF72" i="12"/>
  <c r="AF70" i="12"/>
  <c r="AF69" i="12"/>
  <c r="AF73" i="11"/>
  <c r="AF71" i="11"/>
  <c r="AF70" i="11"/>
  <c r="AF73" i="9"/>
  <c r="AF71" i="9"/>
  <c r="AF70" i="9"/>
  <c r="AF72" i="9" l="1"/>
  <c r="AF75" i="9" s="1"/>
  <c r="AF76" i="9" s="1"/>
  <c r="AF71" i="23"/>
  <c r="AF74" i="23" s="1"/>
  <c r="AF75" i="23" s="1"/>
  <c r="AF72" i="43"/>
  <c r="AF75" i="43" s="1"/>
  <c r="AF76" i="43" s="1"/>
  <c r="AF72" i="41"/>
  <c r="AF75" i="41" s="1"/>
  <c r="AF76" i="41" s="1"/>
  <c r="AF72" i="44"/>
  <c r="AF75" i="44" s="1"/>
  <c r="AF76" i="44" s="1"/>
  <c r="AF75" i="39"/>
  <c r="AF76" i="39" s="1"/>
  <c r="AF73" i="42"/>
  <c r="AF76" i="42" s="1"/>
  <c r="AF77" i="42" s="1"/>
  <c r="AF72" i="40"/>
  <c r="AF75" i="40" s="1"/>
  <c r="AF76" i="40" s="1"/>
  <c r="AF71" i="12"/>
  <c r="AF74" i="12" s="1"/>
  <c r="AF75" i="12" s="1"/>
  <c r="AF72" i="11"/>
  <c r="AF75" i="11" s="1"/>
  <c r="AF76" i="11" s="1"/>
  <c r="G51" i="46" l="1"/>
  <c r="T51" i="46" s="1"/>
  <c r="H36" i="52" l="1"/>
  <c r="I36" i="52"/>
  <c r="J36" i="52"/>
  <c r="K36" i="52"/>
  <c r="L36" i="52"/>
  <c r="M36" i="52"/>
  <c r="N36" i="52"/>
  <c r="O36" i="52"/>
  <c r="P36" i="52"/>
  <c r="Q36" i="52"/>
  <c r="R36" i="52"/>
  <c r="AT36" i="52" s="1"/>
  <c r="G36" i="52"/>
  <c r="H37" i="52"/>
  <c r="H59" i="52" s="1"/>
  <c r="I37" i="52"/>
  <c r="I59" i="52" s="1"/>
  <c r="J37" i="52"/>
  <c r="K37" i="52"/>
  <c r="L37" i="52"/>
  <c r="L39" i="52" s="1"/>
  <c r="M37" i="52"/>
  <c r="M39" i="52" s="1"/>
  <c r="N37" i="52"/>
  <c r="N39" i="52" s="1"/>
  <c r="O37" i="52"/>
  <c r="P37" i="52"/>
  <c r="Q37" i="52"/>
  <c r="Q39" i="52" s="1"/>
  <c r="R37" i="52"/>
  <c r="R39" i="52" s="1"/>
  <c r="I35" i="52"/>
  <c r="J35" i="52"/>
  <c r="K35" i="52"/>
  <c r="L35" i="52"/>
  <c r="M35" i="52"/>
  <c r="N35" i="52"/>
  <c r="O35" i="52"/>
  <c r="P35" i="52"/>
  <c r="Q35" i="52"/>
  <c r="R35" i="52"/>
  <c r="G35" i="52"/>
  <c r="G40" i="52" l="1"/>
  <c r="G41" i="52" s="1"/>
  <c r="P38" i="52"/>
  <c r="O38" i="52"/>
  <c r="L38" i="52"/>
  <c r="G38" i="52"/>
  <c r="R38" i="52"/>
  <c r="J38" i="52"/>
  <c r="M38" i="52"/>
  <c r="N38" i="52"/>
  <c r="K38" i="52"/>
  <c r="H54" i="52"/>
  <c r="H38" i="52"/>
  <c r="Q38" i="52"/>
  <c r="I38" i="52"/>
  <c r="P54" i="52"/>
  <c r="O54" i="52"/>
  <c r="J54" i="52"/>
  <c r="J39" i="52"/>
  <c r="J59" i="52"/>
  <c r="K39" i="52"/>
  <c r="K59" i="52"/>
  <c r="Q54" i="52"/>
  <c r="I54" i="52"/>
  <c r="N54" i="52"/>
  <c r="K54" i="52"/>
  <c r="AT35" i="52"/>
  <c r="R54" i="52"/>
  <c r="M54" i="52"/>
  <c r="L54" i="52"/>
  <c r="G54" i="52"/>
  <c r="O40" i="52"/>
  <c r="O41" i="52" s="1"/>
  <c r="K40" i="52"/>
  <c r="K41" i="52" s="1"/>
  <c r="L40" i="52"/>
  <c r="L41" i="52" s="1"/>
  <c r="Q40" i="52"/>
  <c r="Q41" i="52" s="1"/>
  <c r="M40" i="52"/>
  <c r="M41" i="52" s="1"/>
  <c r="I40" i="52"/>
  <c r="I41" i="52" s="1"/>
  <c r="R40" i="52"/>
  <c r="R41" i="52" s="1"/>
  <c r="N40" i="52"/>
  <c r="N41" i="52" s="1"/>
  <c r="J40" i="52"/>
  <c r="I39" i="52"/>
  <c r="P39" i="52"/>
  <c r="H39" i="52"/>
  <c r="H40" i="52"/>
  <c r="H41" i="52" s="1"/>
  <c r="G44" i="52"/>
  <c r="H44" i="52" s="1"/>
  <c r="I44" i="52" s="1"/>
  <c r="J44" i="52" s="1"/>
  <c r="K44" i="52" s="1"/>
  <c r="L44" i="52" s="1"/>
  <c r="M44" i="52" s="1"/>
  <c r="N44" i="52" s="1"/>
  <c r="O44" i="52" s="1"/>
  <c r="P44" i="52" s="1"/>
  <c r="Q44" i="52" s="1"/>
  <c r="R44" i="52" s="1"/>
  <c r="AT37" i="52"/>
  <c r="O39" i="52"/>
  <c r="P40" i="52"/>
  <c r="P41" i="52" s="1"/>
  <c r="G42" i="52" l="1"/>
  <c r="H42" i="52" s="1"/>
  <c r="I42" i="52" s="1"/>
  <c r="J42" i="52" s="1"/>
  <c r="K42" i="52" s="1"/>
  <c r="L42" i="52" s="1"/>
  <c r="M42" i="52" s="1"/>
  <c r="N42" i="52" s="1"/>
  <c r="O42" i="52" s="1"/>
  <c r="P42" i="52" s="1"/>
  <c r="Q42" i="52" s="1"/>
  <c r="R42" i="52" s="1"/>
  <c r="S38" i="52"/>
  <c r="J41" i="52"/>
  <c r="H1" i="54"/>
  <c r="C1" i="54"/>
  <c r="J1" i="54"/>
  <c r="M1" i="54"/>
  <c r="T36" i="52"/>
  <c r="U36" i="52" s="1"/>
  <c r="V36" i="52" s="1"/>
  <c r="W36" i="52" s="1"/>
  <c r="X36" i="52" s="1"/>
  <c r="Y36" i="52" s="1"/>
  <c r="Z36" i="52" s="1"/>
  <c r="AA36" i="52" s="1"/>
  <c r="AB36" i="52" s="1"/>
  <c r="AC36" i="52" s="1"/>
  <c r="AD36" i="52" s="1"/>
  <c r="AE36" i="52" s="1"/>
  <c r="AJ17" i="1"/>
  <c r="AI17" i="1"/>
  <c r="AI13" i="1"/>
  <c r="AE35" i="52" l="1"/>
  <c r="AD35" i="52"/>
  <c r="AC35" i="52"/>
  <c r="AB35" i="52"/>
  <c r="AA35" i="52"/>
  <c r="Z35" i="52"/>
  <c r="Y35" i="52"/>
  <c r="X35" i="52"/>
  <c r="W35" i="52"/>
  <c r="V35" i="52"/>
  <c r="U35" i="52"/>
  <c r="T35" i="52"/>
  <c r="U37" i="52"/>
  <c r="V37" i="52"/>
  <c r="W37" i="52"/>
  <c r="X37" i="52"/>
  <c r="Y37" i="52"/>
  <c r="Z37" i="52"/>
  <c r="AA37" i="52"/>
  <c r="AB37" i="52"/>
  <c r="AC37" i="52"/>
  <c r="AD37" i="52"/>
  <c r="AE37" i="52"/>
  <c r="T37" i="52"/>
  <c r="AW3" i="46" l="1"/>
  <c r="AX3" i="46" s="1"/>
  <c r="AY3" i="46" s="1"/>
  <c r="AW4" i="46"/>
  <c r="AX4" i="46" s="1"/>
  <c r="AY4" i="46" s="1"/>
  <c r="AW5" i="46"/>
  <c r="AX5" i="46" s="1"/>
  <c r="AY5" i="46" s="1"/>
  <c r="AW6" i="46"/>
  <c r="AX6" i="46" s="1"/>
  <c r="AY6" i="46" s="1"/>
  <c r="AW7" i="46"/>
  <c r="AX7" i="46" s="1"/>
  <c r="AY7" i="46" s="1"/>
  <c r="AW8" i="46"/>
  <c r="AX8" i="46" s="1"/>
  <c r="AY8" i="46" s="1"/>
  <c r="AW9" i="46"/>
  <c r="AX9" i="46" s="1"/>
  <c r="AY9" i="46" s="1"/>
  <c r="AW10" i="46"/>
  <c r="AX10" i="46" s="1"/>
  <c r="AY10" i="46" s="1"/>
  <c r="AW11" i="46"/>
  <c r="AX11" i="46" s="1"/>
  <c r="AY11" i="46" s="1"/>
  <c r="AW12" i="46"/>
  <c r="AX12" i="46" s="1"/>
  <c r="AY12" i="46" s="1"/>
  <c r="AW13" i="46"/>
  <c r="AX13" i="46" s="1"/>
  <c r="AY13" i="46" s="1"/>
  <c r="AW14" i="46"/>
  <c r="AX14" i="46" s="1"/>
  <c r="AY14" i="46" s="1"/>
  <c r="AW15" i="46"/>
  <c r="AX15" i="46" s="1"/>
  <c r="AY15" i="46" s="1"/>
  <c r="AW16" i="46"/>
  <c r="AX16" i="46" s="1"/>
  <c r="AY16" i="46" s="1"/>
  <c r="AW17" i="46"/>
  <c r="AX17" i="46" s="1"/>
  <c r="AY17" i="46" s="1"/>
  <c r="AW18" i="46"/>
  <c r="AX18" i="46" s="1"/>
  <c r="AY18" i="46" s="1"/>
  <c r="AW19" i="46"/>
  <c r="AX19" i="46" s="1"/>
  <c r="AY19" i="46" s="1"/>
  <c r="AW20" i="46"/>
  <c r="AX20" i="46" s="1"/>
  <c r="AY20" i="46" s="1"/>
  <c r="AW21" i="46"/>
  <c r="AX21" i="46" s="1"/>
  <c r="AY21" i="46" s="1"/>
  <c r="AW22" i="46"/>
  <c r="AX22" i="46" s="1"/>
  <c r="AY22" i="46" s="1"/>
  <c r="AW23" i="46"/>
  <c r="AX23" i="46" s="1"/>
  <c r="AY23" i="46" s="1"/>
  <c r="AW24" i="46"/>
  <c r="AX24" i="46" s="1"/>
  <c r="AY24" i="46" s="1"/>
  <c r="AW25" i="46"/>
  <c r="AX25" i="46" s="1"/>
  <c r="AY25" i="46" s="1"/>
  <c r="AW26" i="46"/>
  <c r="AX26" i="46" s="1"/>
  <c r="AY26" i="46" s="1"/>
  <c r="AW27" i="46"/>
  <c r="AX27" i="46" s="1"/>
  <c r="AY27" i="46" s="1"/>
  <c r="AW28" i="46"/>
  <c r="AX28" i="46" s="1"/>
  <c r="AY28" i="46" s="1"/>
  <c r="AW29" i="46"/>
  <c r="AX29" i="46" s="1"/>
  <c r="AY29" i="46" s="1"/>
  <c r="AW2" i="46"/>
  <c r="AX2" i="46" s="1"/>
  <c r="AY2" i="46" s="1"/>
  <c r="J59" i="49"/>
  <c r="I59" i="49"/>
  <c r="H59" i="49"/>
  <c r="G59" i="49"/>
  <c r="F59" i="49"/>
  <c r="E59" i="49"/>
  <c r="D59" i="49"/>
  <c r="B59" i="49"/>
  <c r="J58" i="49"/>
  <c r="I58" i="49"/>
  <c r="H58" i="49"/>
  <c r="G58" i="49"/>
  <c r="F58" i="49"/>
  <c r="E58" i="49"/>
  <c r="D58" i="49"/>
  <c r="B58" i="49"/>
  <c r="J57" i="49"/>
  <c r="I57" i="49"/>
  <c r="H57" i="49"/>
  <c r="G57" i="49"/>
  <c r="F57" i="49"/>
  <c r="E57" i="49"/>
  <c r="D57" i="49"/>
  <c r="B57" i="49"/>
  <c r="J56" i="49"/>
  <c r="I56" i="49"/>
  <c r="H56" i="49"/>
  <c r="G56" i="49"/>
  <c r="F56" i="49"/>
  <c r="E56" i="49"/>
  <c r="D56" i="49"/>
  <c r="B56" i="49"/>
  <c r="I55" i="49"/>
  <c r="H55" i="49"/>
  <c r="G55" i="49"/>
  <c r="F55" i="49"/>
  <c r="E55" i="49"/>
  <c r="D55" i="49"/>
  <c r="B55" i="49"/>
  <c r="J54" i="49"/>
  <c r="I54" i="49"/>
  <c r="H54" i="49"/>
  <c r="G54" i="49"/>
  <c r="F54" i="49"/>
  <c r="E54" i="49"/>
  <c r="D54" i="49"/>
  <c r="B54" i="49"/>
  <c r="J53" i="49"/>
  <c r="I53" i="49"/>
  <c r="H53" i="49"/>
  <c r="G53" i="49"/>
  <c r="F53" i="49"/>
  <c r="E53" i="49"/>
  <c r="B53" i="49"/>
  <c r="J52" i="49"/>
  <c r="I52" i="49"/>
  <c r="H52" i="49"/>
  <c r="G52" i="49"/>
  <c r="F52" i="49"/>
  <c r="E52" i="49"/>
  <c r="B52" i="49"/>
  <c r="J51" i="49"/>
  <c r="I51" i="49"/>
  <c r="H51" i="49"/>
  <c r="G51" i="49"/>
  <c r="F51" i="49"/>
  <c r="E51" i="49"/>
  <c r="B51" i="49"/>
  <c r="J50" i="49"/>
  <c r="I50" i="49"/>
  <c r="H50" i="49"/>
  <c r="D50" i="49"/>
  <c r="B50" i="49"/>
  <c r="J49" i="49"/>
  <c r="I49" i="49"/>
  <c r="H49" i="49"/>
  <c r="G49" i="49"/>
  <c r="F49" i="49"/>
  <c r="D49" i="49"/>
  <c r="B49" i="49"/>
  <c r="J48" i="49"/>
  <c r="I48" i="49"/>
  <c r="H48" i="49"/>
  <c r="G48" i="49"/>
  <c r="F48" i="49"/>
  <c r="E48" i="49"/>
  <c r="D48" i="49"/>
  <c r="B48" i="49"/>
  <c r="J47" i="49"/>
  <c r="I47" i="49"/>
  <c r="H47" i="49"/>
  <c r="G47" i="49"/>
  <c r="F47" i="49"/>
  <c r="E47" i="49"/>
  <c r="D47" i="49"/>
  <c r="B47" i="49"/>
  <c r="J46" i="49"/>
  <c r="I46" i="49"/>
  <c r="H46" i="49"/>
  <c r="G46" i="49"/>
  <c r="F46" i="49"/>
  <c r="E46" i="49"/>
  <c r="D46" i="49"/>
  <c r="B46" i="49"/>
  <c r="J45" i="49"/>
  <c r="I45" i="49"/>
  <c r="H45" i="49"/>
  <c r="G45" i="49"/>
  <c r="F45" i="49"/>
  <c r="E45" i="49"/>
  <c r="D45" i="49"/>
  <c r="B45" i="49"/>
  <c r="J44" i="49"/>
  <c r="I44" i="49"/>
  <c r="H44" i="49"/>
  <c r="G44" i="49"/>
  <c r="F44" i="49"/>
  <c r="E44" i="49"/>
  <c r="D44" i="49"/>
  <c r="B44" i="49"/>
  <c r="J43" i="49"/>
  <c r="I43" i="49"/>
  <c r="H43" i="49"/>
  <c r="G43" i="49"/>
  <c r="F43" i="49"/>
  <c r="E43" i="49"/>
  <c r="D43" i="49"/>
  <c r="B43" i="49"/>
  <c r="J42" i="49"/>
  <c r="I42" i="49"/>
  <c r="H42" i="49"/>
  <c r="G42" i="49"/>
  <c r="F42" i="49"/>
  <c r="E42" i="49"/>
  <c r="D42" i="49"/>
  <c r="B42" i="49"/>
  <c r="J41" i="49"/>
  <c r="I41" i="49"/>
  <c r="H41" i="49"/>
  <c r="G41" i="49"/>
  <c r="F41" i="49"/>
  <c r="E41" i="49"/>
  <c r="D41" i="49"/>
  <c r="B41" i="49"/>
  <c r="J40" i="49"/>
  <c r="I40" i="49"/>
  <c r="H40" i="49"/>
  <c r="G40" i="49"/>
  <c r="F40" i="49"/>
  <c r="E40" i="49"/>
  <c r="D40" i="49"/>
  <c r="B40" i="49"/>
  <c r="K40" i="49" l="1"/>
  <c r="M73" i="49"/>
  <c r="L73" i="49"/>
  <c r="K73" i="49"/>
  <c r="J73" i="49"/>
  <c r="I73" i="49"/>
  <c r="H73" i="49"/>
  <c r="G73" i="49"/>
  <c r="F73" i="49"/>
  <c r="E73" i="49"/>
  <c r="D73" i="49"/>
  <c r="N73" i="49" l="1"/>
  <c r="O73" i="49" s="1"/>
  <c r="P15" i="1"/>
  <c r="Q15" i="1"/>
  <c r="H26" i="1"/>
  <c r="H24" i="1"/>
  <c r="H23" i="1"/>
  <c r="H19" i="1"/>
  <c r="H16" i="1"/>
  <c r="H15" i="1"/>
  <c r="H14" i="1"/>
  <c r="H11" i="1"/>
  <c r="H10" i="1"/>
  <c r="H9" i="1"/>
  <c r="H8" i="1"/>
  <c r="Q8" i="1" s="1"/>
  <c r="E26" i="1"/>
  <c r="E24" i="1"/>
  <c r="E23" i="1"/>
  <c r="E19" i="1"/>
  <c r="E16" i="1"/>
  <c r="E15" i="1"/>
  <c r="E14" i="1"/>
  <c r="E11" i="1"/>
  <c r="P11" i="1" s="1"/>
  <c r="E10" i="1"/>
  <c r="P10" i="1" s="1"/>
  <c r="E9" i="1"/>
  <c r="P9" i="1" s="1"/>
  <c r="E8" i="1"/>
  <c r="P8" i="1" s="1"/>
  <c r="P17" i="1" l="1"/>
  <c r="AF36" i="52" l="1"/>
  <c r="M11" i="54" l="1"/>
  <c r="L11" i="54"/>
  <c r="K11" i="54"/>
  <c r="J11" i="54"/>
  <c r="I11" i="54"/>
  <c r="H11" i="54"/>
  <c r="G11" i="54"/>
  <c r="F11" i="54"/>
  <c r="E11" i="54"/>
  <c r="D11" i="54"/>
  <c r="M10" i="54"/>
  <c r="L10" i="54"/>
  <c r="K10" i="54"/>
  <c r="J10" i="54"/>
  <c r="I10" i="54"/>
  <c r="H10" i="54"/>
  <c r="G10" i="54"/>
  <c r="F10" i="54"/>
  <c r="E10" i="54"/>
  <c r="D10" i="54"/>
  <c r="C11" i="54"/>
  <c r="C10" i="54"/>
  <c r="M8" i="54"/>
  <c r="L8" i="54"/>
  <c r="K8" i="54"/>
  <c r="J8" i="54"/>
  <c r="I8" i="54"/>
  <c r="H8" i="54"/>
  <c r="G8" i="54"/>
  <c r="F8" i="54"/>
  <c r="E8" i="54"/>
  <c r="D8" i="54"/>
  <c r="C8" i="54"/>
  <c r="M7" i="54"/>
  <c r="L7" i="54"/>
  <c r="K7" i="54"/>
  <c r="J7" i="54"/>
  <c r="I7" i="54"/>
  <c r="H7" i="54"/>
  <c r="G7" i="54"/>
  <c r="F7" i="54"/>
  <c r="E7" i="54"/>
  <c r="D7" i="54"/>
  <c r="C7" i="54"/>
  <c r="B8" i="54"/>
  <c r="B7" i="54"/>
  <c r="M6" i="54"/>
  <c r="L6" i="54"/>
  <c r="K6" i="54"/>
  <c r="J6" i="54"/>
  <c r="I6" i="54"/>
  <c r="H6" i="54"/>
  <c r="G6" i="54"/>
  <c r="F6" i="54"/>
  <c r="E6" i="54"/>
  <c r="D6" i="54"/>
  <c r="C6" i="54"/>
  <c r="B6" i="54"/>
  <c r="X165" i="47" l="1"/>
  <c r="Z165" i="47" s="1"/>
  <c r="AA165" i="47" s="1"/>
  <c r="X167" i="47"/>
  <c r="X157" i="47"/>
  <c r="Z157" i="47" s="1"/>
  <c r="AA157" i="47" s="1"/>
  <c r="J12" i="54" l="1"/>
  <c r="L13" i="59" l="1"/>
  <c r="L8" i="59" s="1"/>
  <c r="L29" i="59"/>
  <c r="L24" i="59" s="1"/>
  <c r="J30" i="59"/>
  <c r="J14" i="59"/>
  <c r="G24" i="59"/>
  <c r="G8" i="59"/>
  <c r="G23" i="59"/>
  <c r="G7" i="59"/>
  <c r="G21" i="59"/>
  <c r="G22" i="59" s="1"/>
  <c r="G5" i="59"/>
  <c r="G6" i="59" s="1"/>
  <c r="G20" i="59"/>
  <c r="G4" i="59"/>
  <c r="G19" i="59"/>
  <c r="G3" i="59"/>
  <c r="C24" i="59"/>
  <c r="C8" i="59"/>
  <c r="C21" i="59"/>
  <c r="C5" i="59"/>
  <c r="C20" i="59"/>
  <c r="C4" i="59"/>
  <c r="C19" i="59"/>
  <c r="C3" i="59"/>
  <c r="B24" i="59"/>
  <c r="B8" i="59"/>
  <c r="B23" i="59"/>
  <c r="B7" i="59"/>
  <c r="B22" i="59"/>
  <c r="B6" i="59"/>
  <c r="B21" i="59"/>
  <c r="B5" i="59"/>
  <c r="B20" i="59"/>
  <c r="B4" i="59"/>
  <c r="B19" i="59"/>
  <c r="B3" i="59"/>
  <c r="K22" i="59"/>
  <c r="C23" i="59" s="1"/>
  <c r="I22" i="59"/>
  <c r="I26" i="59" s="1"/>
  <c r="K6" i="59"/>
  <c r="I6" i="59"/>
  <c r="I10" i="59" s="1"/>
  <c r="D8" i="59" l="1"/>
  <c r="F8" i="59" s="1"/>
  <c r="D24" i="59"/>
  <c r="F24" i="59" s="1"/>
  <c r="L6" i="59"/>
  <c r="C6" i="59"/>
  <c r="C13" i="59" s="1"/>
  <c r="C7" i="59"/>
  <c r="C14" i="59" s="1"/>
  <c r="C22" i="59"/>
  <c r="C26" i="59" s="1"/>
  <c r="C27" i="59" s="1"/>
  <c r="D5" i="59"/>
  <c r="E5" i="59" s="1"/>
  <c r="H24" i="59"/>
  <c r="L22" i="59"/>
  <c r="L23" i="59"/>
  <c r="L7" i="59"/>
  <c r="L4" i="59"/>
  <c r="H6" i="59"/>
  <c r="D4" i="59"/>
  <c r="F4" i="59" s="1"/>
  <c r="H20" i="59"/>
  <c r="H7" i="59"/>
  <c r="H3" i="59"/>
  <c r="H5" i="59"/>
  <c r="H22" i="59"/>
  <c r="G10" i="59"/>
  <c r="G26" i="59"/>
  <c r="D20" i="59"/>
  <c r="F20" i="59" s="1"/>
  <c r="D23" i="59"/>
  <c r="F23" i="59" s="1"/>
  <c r="D3" i="59"/>
  <c r="H4" i="59"/>
  <c r="H19" i="59"/>
  <c r="H21" i="59"/>
  <c r="H8" i="59"/>
  <c r="B10" i="59"/>
  <c r="B11" i="59" s="1"/>
  <c r="B26" i="59"/>
  <c r="B27" i="59" s="1"/>
  <c r="D19" i="59"/>
  <c r="D21" i="59"/>
  <c r="F21" i="59" s="1"/>
  <c r="L5" i="59"/>
  <c r="L3" i="59"/>
  <c r="H23" i="59"/>
  <c r="L19" i="59"/>
  <c r="L20" i="59"/>
  <c r="L21" i="59"/>
  <c r="E8" i="59" l="1"/>
  <c r="D7" i="59"/>
  <c r="F7" i="59" s="1"/>
  <c r="C10" i="59"/>
  <c r="C11" i="59" s="1"/>
  <c r="F5" i="59"/>
  <c r="E4" i="59"/>
  <c r="D22" i="59"/>
  <c r="F22" i="59" s="1"/>
  <c r="D6" i="59"/>
  <c r="E6" i="59" s="1"/>
  <c r="B12" i="59"/>
  <c r="L10" i="59"/>
  <c r="L11" i="59" s="1"/>
  <c r="F19" i="59"/>
  <c r="L26" i="59"/>
  <c r="L27" i="59" s="1"/>
  <c r="F3" i="59"/>
  <c r="E3" i="59"/>
  <c r="F26" i="59" l="1"/>
  <c r="J29" i="59" s="1"/>
  <c r="J31" i="59" s="1"/>
  <c r="E7" i="59"/>
  <c r="D10" i="59"/>
  <c r="D11" i="59" s="1"/>
  <c r="F6" i="59"/>
  <c r="F10" i="59" s="1"/>
  <c r="J13" i="59" s="1"/>
  <c r="D26" i="59"/>
  <c r="D27" i="59" s="1"/>
  <c r="J20" i="59" l="1"/>
  <c r="M20" i="59" s="1"/>
  <c r="N20" i="59" s="1"/>
  <c r="J23" i="59"/>
  <c r="M23" i="59" s="1"/>
  <c r="N23" i="59" s="1"/>
  <c r="J21" i="59"/>
  <c r="M21" i="59" s="1"/>
  <c r="N21" i="59" s="1"/>
  <c r="J24" i="59"/>
  <c r="M24" i="59" s="1"/>
  <c r="N24" i="59" s="1"/>
  <c r="J19" i="59"/>
  <c r="M19" i="59" s="1"/>
  <c r="J22" i="59"/>
  <c r="M22" i="59" s="1"/>
  <c r="N22" i="59" s="1"/>
  <c r="J3" i="59"/>
  <c r="M3" i="59" s="1"/>
  <c r="J6" i="59"/>
  <c r="J26" i="59" l="1"/>
  <c r="J27" i="59" s="1"/>
  <c r="J15" i="59"/>
  <c r="J4" i="59"/>
  <c r="M4" i="59" s="1"/>
  <c r="N4" i="59" s="1"/>
  <c r="J5" i="59"/>
  <c r="M5" i="59" s="1"/>
  <c r="N5" i="59" s="1"/>
  <c r="J8" i="59"/>
  <c r="M8" i="59" s="1"/>
  <c r="N8" i="59" s="1"/>
  <c r="J7" i="59"/>
  <c r="M7" i="59" s="1"/>
  <c r="N7" i="59" s="1"/>
  <c r="M6" i="59"/>
  <c r="N6" i="59" s="1"/>
  <c r="N3" i="59"/>
  <c r="M26" i="59"/>
  <c r="N19" i="59"/>
  <c r="N26" i="59" s="1"/>
  <c r="J10" i="59" l="1"/>
  <c r="J11" i="59" s="1"/>
  <c r="N10" i="59"/>
  <c r="M10" i="59"/>
  <c r="M11" i="59" s="1"/>
  <c r="H54" i="1" l="1"/>
  <c r="E54" i="1"/>
  <c r="B54" i="1"/>
  <c r="H52" i="1"/>
  <c r="H51" i="1"/>
  <c r="E52" i="1"/>
  <c r="E51" i="1"/>
  <c r="B52" i="1"/>
  <c r="B51" i="1"/>
  <c r="H43" i="1"/>
  <c r="E43" i="1"/>
  <c r="B43" i="1"/>
  <c r="H42" i="1"/>
  <c r="E42" i="1"/>
  <c r="B42" i="1"/>
  <c r="H53" i="1" l="1"/>
  <c r="B53" i="1"/>
  <c r="E53" i="1"/>
  <c r="B26" i="1"/>
  <c r="H25" i="1"/>
  <c r="B14" i="1"/>
  <c r="Y14" i="1" s="1"/>
  <c r="B15" i="1"/>
  <c r="B27" i="1"/>
  <c r="B24" i="1"/>
  <c r="B23" i="1"/>
  <c r="O15" i="1"/>
  <c r="Y15" i="1" l="1"/>
  <c r="B25" i="1"/>
  <c r="E25" i="1"/>
  <c r="BC171" i="47"/>
  <c r="BC128" i="47"/>
  <c r="BC127" i="47"/>
  <c r="BB155" i="47"/>
  <c r="BC155" i="47" s="1"/>
  <c r="BB154" i="47"/>
  <c r="BC154" i="47" s="1"/>
  <c r="BB153" i="47"/>
  <c r="BC153" i="47" s="1"/>
  <c r="BB152" i="47"/>
  <c r="BC152" i="47" s="1"/>
  <c r="BB151" i="47"/>
  <c r="BC151" i="47" s="1"/>
  <c r="BB139" i="47"/>
  <c r="BC139" i="47" s="1"/>
  <c r="BB137" i="47"/>
  <c r="BC137" i="47" s="1"/>
  <c r="BB136" i="47"/>
  <c r="BC136" i="47" s="1"/>
  <c r="BB134" i="47"/>
  <c r="BC134" i="47" s="1"/>
  <c r="BB133" i="47"/>
  <c r="BC133" i="47" s="1"/>
  <c r="BB132" i="47"/>
  <c r="BC132" i="47" s="1"/>
  <c r="AZ172" i="47"/>
  <c r="BB172" i="47" s="1"/>
  <c r="BC172" i="47" s="1"/>
  <c r="AZ167" i="47"/>
  <c r="BB167" i="47" s="1"/>
  <c r="BC167" i="47" s="1"/>
  <c r="AZ156" i="47"/>
  <c r="BB156" i="47" s="1"/>
  <c r="BC156" i="47" s="1"/>
  <c r="AZ149" i="47"/>
  <c r="BB149" i="47" s="1"/>
  <c r="BC149" i="47" s="1"/>
  <c r="AZ143" i="47"/>
  <c r="BB143" i="47" s="1"/>
  <c r="BC143" i="47" s="1"/>
  <c r="AZ142" i="47"/>
  <c r="BB142" i="47" s="1"/>
  <c r="BC142" i="47" s="1"/>
  <c r="AZ141" i="47"/>
  <c r="BB141" i="47" s="1"/>
  <c r="BC141" i="47" s="1"/>
  <c r="AZ140" i="47"/>
  <c r="BB140" i="47" s="1"/>
  <c r="BC140" i="47" s="1"/>
  <c r="AZ138" i="47"/>
  <c r="BB138" i="47" s="1"/>
  <c r="BC138" i="47" s="1"/>
  <c r="AZ131" i="47"/>
  <c r="BB131" i="47" s="1"/>
  <c r="BC131" i="47" s="1"/>
  <c r="AZ129" i="47"/>
  <c r="BB129" i="47" s="1"/>
  <c r="BC129" i="47" s="1"/>
  <c r="AZ126" i="47"/>
  <c r="BB126" i="47" s="1"/>
  <c r="BC126" i="47" s="1"/>
  <c r="AZ127" i="47"/>
  <c r="AL172" i="47"/>
  <c r="AN172" i="47" s="1"/>
  <c r="AO172" i="47" s="1"/>
  <c r="AL167" i="47"/>
  <c r="AN167" i="47" s="1"/>
  <c r="AO167" i="47" s="1"/>
  <c r="AN128" i="47"/>
  <c r="AO128" i="47" s="1"/>
  <c r="AN132" i="47"/>
  <c r="AO132" i="47" s="1"/>
  <c r="AN133" i="47"/>
  <c r="AO133" i="47" s="1"/>
  <c r="AN134" i="47"/>
  <c r="AO134" i="47" s="1"/>
  <c r="AN136" i="47"/>
  <c r="AO136" i="47" s="1"/>
  <c r="AN137" i="47"/>
  <c r="AO137" i="47" s="1"/>
  <c r="AN139" i="47"/>
  <c r="AO139" i="47" s="1"/>
  <c r="AN151" i="47"/>
  <c r="AO151" i="47" s="1"/>
  <c r="AN152" i="47"/>
  <c r="AO152" i="47" s="1"/>
  <c r="AN153" i="47"/>
  <c r="AO153" i="47" s="1"/>
  <c r="AN154" i="47"/>
  <c r="AO154" i="47" s="1"/>
  <c r="AN155" i="47"/>
  <c r="AO155" i="47" s="1"/>
  <c r="AL156" i="47"/>
  <c r="AN156" i="47" s="1"/>
  <c r="AO156" i="47" s="1"/>
  <c r="AL149" i="47"/>
  <c r="AN149" i="47" s="1"/>
  <c r="AO149" i="47" s="1"/>
  <c r="AL143" i="47"/>
  <c r="AN143" i="47" s="1"/>
  <c r="AO143" i="47" s="1"/>
  <c r="AL142" i="47"/>
  <c r="AN142" i="47" s="1"/>
  <c r="AO142" i="47" s="1"/>
  <c r="AL141" i="47"/>
  <c r="AN141" i="47" s="1"/>
  <c r="AO141" i="47" s="1"/>
  <c r="AL140" i="47"/>
  <c r="AN140" i="47" s="1"/>
  <c r="AO140" i="47" s="1"/>
  <c r="AL138" i="47"/>
  <c r="AN138" i="47" s="1"/>
  <c r="AO138" i="47" s="1"/>
  <c r="AL131" i="47"/>
  <c r="AN131" i="47" s="1"/>
  <c r="AO131" i="47" s="1"/>
  <c r="AL129" i="47"/>
  <c r="AN129" i="47" s="1"/>
  <c r="AO129" i="47" s="1"/>
  <c r="AL126" i="47"/>
  <c r="AN126" i="47" s="1"/>
  <c r="AO126" i="47" s="1"/>
  <c r="AL127" i="47"/>
  <c r="AN127" i="47" s="1"/>
  <c r="AO127" i="47" s="1"/>
  <c r="X168" i="47"/>
  <c r="Z168" i="47" s="1"/>
  <c r="AA168" i="47" s="1"/>
  <c r="X172" i="47"/>
  <c r="Z172" i="47" s="1"/>
  <c r="AA172" i="47" s="1"/>
  <c r="X149" i="47"/>
  <c r="Z149" i="47" s="1"/>
  <c r="AA149" i="47" s="1"/>
  <c r="X143" i="47"/>
  <c r="Z143" i="47" s="1"/>
  <c r="AA143" i="47" s="1"/>
  <c r="X142" i="47"/>
  <c r="Z142" i="47" s="1"/>
  <c r="AA142" i="47" s="1"/>
  <c r="X141" i="47"/>
  <c r="Z141" i="47" s="1"/>
  <c r="AA141" i="47" s="1"/>
  <c r="Z151" i="47"/>
  <c r="AA151" i="47" s="1"/>
  <c r="Z152" i="47"/>
  <c r="AA152" i="47" s="1"/>
  <c r="Z153" i="47"/>
  <c r="AA153" i="47" s="1"/>
  <c r="Z154" i="47"/>
  <c r="AA154" i="47" s="1"/>
  <c r="Z155" i="47"/>
  <c r="AA155" i="47" s="1"/>
  <c r="X156" i="47"/>
  <c r="Z156" i="47" s="1"/>
  <c r="AA156" i="47" s="1"/>
  <c r="Z128" i="47"/>
  <c r="AA128" i="47" s="1"/>
  <c r="Z132" i="47"/>
  <c r="AA132" i="47" s="1"/>
  <c r="Z133" i="47"/>
  <c r="AA133" i="47" s="1"/>
  <c r="Z134" i="47"/>
  <c r="AA134" i="47" s="1"/>
  <c r="Z136" i="47"/>
  <c r="AA136" i="47" s="1"/>
  <c r="Z137" i="47"/>
  <c r="AA137" i="47" s="1"/>
  <c r="Z139" i="47"/>
  <c r="AA139" i="47" s="1"/>
  <c r="X140" i="47"/>
  <c r="X138" i="47"/>
  <c r="Z138" i="47" s="1"/>
  <c r="AA138" i="47" s="1"/>
  <c r="X131" i="47"/>
  <c r="Z131" i="47" s="1"/>
  <c r="AA131" i="47" s="1"/>
  <c r="X129" i="47"/>
  <c r="Z129" i="47" s="1"/>
  <c r="AA129" i="47" s="1"/>
  <c r="X126" i="47"/>
  <c r="Z126" i="47" s="1"/>
  <c r="AA126" i="47" s="1"/>
  <c r="W117" i="47"/>
  <c r="Z117" i="47" s="1"/>
  <c r="AA117" i="47" s="1"/>
  <c r="X150" i="47" l="1"/>
  <c r="Z150" i="47" s="1"/>
  <c r="AA150" i="47" s="1"/>
  <c r="Z167" i="47"/>
  <c r="AA167" i="47" s="1"/>
  <c r="AZ150" i="47"/>
  <c r="BB150" i="47" s="1"/>
  <c r="BC150" i="47" s="1"/>
  <c r="AL150" i="47"/>
  <c r="AN150" i="47" s="1"/>
  <c r="AO150" i="47" s="1"/>
  <c r="V79" i="47"/>
  <c r="U79" i="47"/>
  <c r="T79" i="47"/>
  <c r="S79" i="47"/>
  <c r="R79" i="47"/>
  <c r="Q79" i="47"/>
  <c r="P79" i="47"/>
  <c r="O79" i="47"/>
  <c r="N79" i="47"/>
  <c r="Z79" i="47" l="1"/>
  <c r="AA79" i="47" s="1"/>
  <c r="S67" i="41" l="1"/>
  <c r="S68" i="42"/>
  <c r="S67" i="40"/>
  <c r="M73" i="56" l="1"/>
  <c r="L73" i="56"/>
  <c r="K73" i="56"/>
  <c r="J73" i="56"/>
  <c r="I73" i="56"/>
  <c r="H73" i="56"/>
  <c r="G73" i="56"/>
  <c r="F73" i="56"/>
  <c r="E73" i="56"/>
  <c r="D73" i="56"/>
  <c r="C73" i="56"/>
  <c r="B73" i="56"/>
  <c r="S36" i="52" l="1"/>
  <c r="G5" i="54" l="1"/>
  <c r="AU53" i="47" l="1"/>
  <c r="AX68" i="47" l="1"/>
  <c r="AX67" i="47"/>
  <c r="AX59" i="47"/>
  <c r="AX53" i="47"/>
  <c r="AW68" i="47"/>
  <c r="AW67" i="47"/>
  <c r="AW59" i="47"/>
  <c r="AW53" i="47"/>
  <c r="AV68" i="47"/>
  <c r="AV67" i="47"/>
  <c r="AV59" i="47"/>
  <c r="AV53" i="47"/>
  <c r="AU68" i="47"/>
  <c r="AU67" i="47"/>
  <c r="AU59" i="47"/>
  <c r="AT68" i="47"/>
  <c r="AT67" i="47"/>
  <c r="AT59" i="47"/>
  <c r="AT53" i="47"/>
  <c r="AS68" i="47"/>
  <c r="AS67" i="47"/>
  <c r="AS59" i="47"/>
  <c r="AS53" i="47"/>
  <c r="AR68" i="47"/>
  <c r="AR67" i="47"/>
  <c r="AR59" i="47"/>
  <c r="AR53" i="47"/>
  <c r="AQ68" i="47"/>
  <c r="AQ67" i="47"/>
  <c r="AQ53" i="47"/>
  <c r="AQ59" i="47"/>
  <c r="AP68" i="47"/>
  <c r="AP67" i="47"/>
  <c r="AP59" i="47"/>
  <c r="AP53" i="47"/>
  <c r="AX49" i="47"/>
  <c r="AU49" i="47"/>
  <c r="AT49" i="47"/>
  <c r="AS49" i="47"/>
  <c r="AR49" i="47"/>
  <c r="AJ68" i="47"/>
  <c r="AI68" i="47"/>
  <c r="AH68" i="47"/>
  <c r="AG68" i="47"/>
  <c r="AF68" i="47"/>
  <c r="AE68" i="47"/>
  <c r="AD68" i="47"/>
  <c r="AC68" i="47"/>
  <c r="AB68" i="47"/>
  <c r="AJ67" i="47"/>
  <c r="AI67" i="47"/>
  <c r="AH67" i="47"/>
  <c r="AG67" i="47"/>
  <c r="AF67" i="47"/>
  <c r="AE67" i="47"/>
  <c r="AD67" i="47"/>
  <c r="AC67" i="47"/>
  <c r="AB67" i="47"/>
  <c r="AJ59" i="47"/>
  <c r="AI59" i="47"/>
  <c r="AH59" i="47"/>
  <c r="AG59" i="47"/>
  <c r="AF59" i="47"/>
  <c r="AE59" i="47"/>
  <c r="AD59" i="47"/>
  <c r="AC59" i="47"/>
  <c r="AB59" i="47"/>
  <c r="AJ53" i="47"/>
  <c r="AI53" i="47"/>
  <c r="AH53" i="47"/>
  <c r="AG53" i="47"/>
  <c r="AF53" i="47"/>
  <c r="AE53" i="47"/>
  <c r="AD53" i="47"/>
  <c r="AC53" i="47"/>
  <c r="AB53" i="47"/>
  <c r="AJ49" i="47"/>
  <c r="AG49" i="47"/>
  <c r="AF49" i="47"/>
  <c r="AE49" i="47"/>
  <c r="AD49" i="47"/>
  <c r="V49" i="47"/>
  <c r="S49" i="47"/>
  <c r="R49" i="47"/>
  <c r="Q49" i="47"/>
  <c r="P49" i="47"/>
  <c r="V53" i="47"/>
  <c r="U53" i="47"/>
  <c r="T53" i="47"/>
  <c r="S53" i="47"/>
  <c r="R53" i="47"/>
  <c r="Q53" i="47"/>
  <c r="P53" i="47"/>
  <c r="O53" i="47"/>
  <c r="N53" i="47"/>
  <c r="V59" i="47"/>
  <c r="U59" i="47"/>
  <c r="T59" i="47"/>
  <c r="S59" i="47"/>
  <c r="R59" i="47"/>
  <c r="Q59" i="47"/>
  <c r="P59" i="47"/>
  <c r="O59" i="47"/>
  <c r="N59" i="47"/>
  <c r="V67" i="47"/>
  <c r="U67" i="47"/>
  <c r="T67" i="47"/>
  <c r="S67" i="47"/>
  <c r="R67" i="47"/>
  <c r="Q67" i="47"/>
  <c r="P67" i="47"/>
  <c r="O67" i="47"/>
  <c r="N67" i="47"/>
  <c r="Z140" i="47"/>
  <c r="AA140" i="47" s="1"/>
  <c r="X127" i="47"/>
  <c r="Z127" i="47" s="1"/>
  <c r="AA127" i="47" s="1"/>
  <c r="X124" i="47"/>
  <c r="Z124" i="47" s="1"/>
  <c r="AA124" i="47" s="1"/>
  <c r="V68" i="47"/>
  <c r="U68" i="47"/>
  <c r="T68" i="47"/>
  <c r="S68" i="47"/>
  <c r="R68" i="47"/>
  <c r="Q68" i="47"/>
  <c r="P68" i="47"/>
  <c r="O68" i="47"/>
  <c r="N68" i="47"/>
  <c r="BA154" i="47"/>
  <c r="AM154" i="47"/>
  <c r="AY105" i="47"/>
  <c r="BB105" i="47" s="1"/>
  <c r="BC105" i="47" s="1"/>
  <c r="AY104" i="47"/>
  <c r="BB104" i="47" s="1"/>
  <c r="BC104" i="47" s="1"/>
  <c r="AY96" i="47"/>
  <c r="BB96" i="47" s="1"/>
  <c r="BC96" i="47" s="1"/>
  <c r="AY93" i="47"/>
  <c r="BB93" i="47" s="1"/>
  <c r="BC93" i="47" s="1"/>
  <c r="AY92" i="47"/>
  <c r="BB92" i="47" s="1"/>
  <c r="BC92" i="47" s="1"/>
  <c r="AK105" i="47"/>
  <c r="AN105" i="47" s="1"/>
  <c r="AK104" i="47"/>
  <c r="AN104" i="47" s="1"/>
  <c r="AO104" i="47" s="1"/>
  <c r="AK96" i="47"/>
  <c r="AK93" i="47"/>
  <c r="AN93" i="47" s="1"/>
  <c r="AO93" i="47" s="1"/>
  <c r="AK92" i="47"/>
  <c r="AN92" i="47" s="1"/>
  <c r="W92" i="47"/>
  <c r="Z92" i="47" s="1"/>
  <c r="AA92" i="47" s="1"/>
  <c r="W93" i="47"/>
  <c r="Z93" i="47" s="1"/>
  <c r="AA93" i="47" s="1"/>
  <c r="W96" i="47"/>
  <c r="Z96" i="47" s="1"/>
  <c r="AA96" i="47" s="1"/>
  <c r="W104" i="47"/>
  <c r="Z104" i="47" s="1"/>
  <c r="AA104" i="47" s="1"/>
  <c r="W105" i="47"/>
  <c r="Z105" i="47" s="1"/>
  <c r="AA105" i="47" s="1"/>
  <c r="N12" i="47"/>
  <c r="Y154" i="47"/>
  <c r="AW34" i="47"/>
  <c r="AV34" i="47"/>
  <c r="AU34" i="47"/>
  <c r="AT34" i="47"/>
  <c r="AS34" i="47"/>
  <c r="AR34" i="47"/>
  <c r="AQ34" i="47"/>
  <c r="AP34" i="47"/>
  <c r="AX34" i="47"/>
  <c r="AX32" i="47"/>
  <c r="AW32" i="47"/>
  <c r="AV32" i="47"/>
  <c r="AU32" i="47"/>
  <c r="AT32" i="47"/>
  <c r="AS32" i="47"/>
  <c r="AQ32" i="47"/>
  <c r="AP32" i="47"/>
  <c r="AJ34" i="47"/>
  <c r="AI34" i="47"/>
  <c r="AH34" i="47"/>
  <c r="AG34" i="47"/>
  <c r="AF34" i="47"/>
  <c r="AE34" i="47"/>
  <c r="AD34" i="47"/>
  <c r="AC34" i="47"/>
  <c r="AB34" i="47"/>
  <c r="AJ32" i="47"/>
  <c r="AI32" i="47"/>
  <c r="AH32" i="47"/>
  <c r="AG32" i="47"/>
  <c r="AF32" i="47"/>
  <c r="AE32" i="47"/>
  <c r="AC32" i="47"/>
  <c r="AB32" i="47"/>
  <c r="V34" i="47"/>
  <c r="V32" i="47"/>
  <c r="U34" i="47"/>
  <c r="U32" i="47"/>
  <c r="T34" i="47"/>
  <c r="T32" i="47"/>
  <c r="S34" i="47"/>
  <c r="S32" i="47"/>
  <c r="S27" i="47"/>
  <c r="R32" i="47"/>
  <c r="R34" i="47"/>
  <c r="N32" i="47"/>
  <c r="O32" i="47"/>
  <c r="Q32" i="47"/>
  <c r="Q34" i="47"/>
  <c r="P34" i="47"/>
  <c r="O34" i="47"/>
  <c r="N34" i="47"/>
  <c r="AW27" i="47"/>
  <c r="AV27" i="47"/>
  <c r="AU27" i="47"/>
  <c r="AT27" i="47"/>
  <c r="AS27" i="47"/>
  <c r="AR27" i="47"/>
  <c r="AQ27" i="47"/>
  <c r="AP27" i="47"/>
  <c r="AI27" i="47"/>
  <c r="AH27" i="47"/>
  <c r="AG27" i="47"/>
  <c r="AF27" i="47"/>
  <c r="AE27" i="47"/>
  <c r="AD27" i="47"/>
  <c r="AC27" i="47"/>
  <c r="AB27" i="47"/>
  <c r="U27" i="47"/>
  <c r="T27" i="47"/>
  <c r="R27" i="47"/>
  <c r="Q27" i="47"/>
  <c r="P27" i="47"/>
  <c r="O27" i="47"/>
  <c r="N27" i="47"/>
  <c r="AW21" i="47"/>
  <c r="AV21" i="47"/>
  <c r="AQ21" i="47"/>
  <c r="AP21" i="47"/>
  <c r="AI21" i="47"/>
  <c r="AH21" i="47"/>
  <c r="AC21" i="47"/>
  <c r="AB21" i="47"/>
  <c r="U21" i="47"/>
  <c r="T21" i="47"/>
  <c r="O21" i="47"/>
  <c r="N21" i="47"/>
  <c r="AX12" i="47"/>
  <c r="AW12" i="47"/>
  <c r="AV12" i="47"/>
  <c r="AQ12" i="47"/>
  <c r="AP12" i="47"/>
  <c r="AJ12" i="47"/>
  <c r="AI12" i="47"/>
  <c r="AH12" i="47"/>
  <c r="AB12" i="47"/>
  <c r="V12" i="47"/>
  <c r="T12" i="47"/>
  <c r="Z12" i="47" l="1"/>
  <c r="AA12" i="47" s="1"/>
  <c r="Z49" i="47"/>
  <c r="AA49" i="47" s="1"/>
  <c r="AN96" i="47"/>
  <c r="AO96" i="47" s="1"/>
  <c r="AN67" i="47"/>
  <c r="AO67" i="47" s="1"/>
  <c r="Z67" i="47"/>
  <c r="AA67" i="47" s="1"/>
  <c r="AN68" i="47"/>
  <c r="AO68" i="47" s="1"/>
  <c r="BB53" i="47"/>
  <c r="BC53" i="47" s="1"/>
  <c r="BB59" i="47"/>
  <c r="BC59" i="47" s="1"/>
  <c r="Z59" i="47"/>
  <c r="AA59" i="47" s="1"/>
  <c r="AN53" i="47"/>
  <c r="AO53" i="47" s="1"/>
  <c r="AN49" i="47"/>
  <c r="AO49" i="47" s="1"/>
  <c r="BB49" i="47"/>
  <c r="BC49" i="47" s="1"/>
  <c r="BB67" i="47"/>
  <c r="BC67" i="47" s="1"/>
  <c r="BB68" i="47"/>
  <c r="BC68" i="47" s="1"/>
  <c r="Z53" i="47"/>
  <c r="AA53" i="47" s="1"/>
  <c r="AN59" i="47"/>
  <c r="AO59" i="47" s="1"/>
  <c r="Z68" i="47"/>
  <c r="AA68" i="47" s="1"/>
  <c r="AO92" i="47"/>
  <c r="AO105" i="47"/>
  <c r="BB12" i="47"/>
  <c r="BC12" i="47" s="1"/>
  <c r="AN27" i="47"/>
  <c r="AO27" i="47" s="1"/>
  <c r="BB27" i="47"/>
  <c r="BC27" i="47" s="1"/>
  <c r="AN21" i="47"/>
  <c r="AO21" i="47" s="1"/>
  <c r="BB32" i="47"/>
  <c r="BC32" i="47" s="1"/>
  <c r="AN12" i="47"/>
  <c r="AO12" i="47" s="1"/>
  <c r="BB21" i="47"/>
  <c r="BC21" i="47" s="1"/>
  <c r="BB34" i="47"/>
  <c r="BC34" i="47" s="1"/>
  <c r="AN32" i="47"/>
  <c r="AO32" i="47" s="1"/>
  <c r="AN34" i="47"/>
  <c r="AO34" i="47" s="1"/>
  <c r="C14" i="57"/>
  <c r="C13" i="57"/>
  <c r="I55" i="56"/>
  <c r="H55" i="56"/>
  <c r="H205" i="57" l="1"/>
  <c r="G205" i="57"/>
  <c r="F205" i="57"/>
  <c r="E205" i="57"/>
  <c r="D205" i="57"/>
  <c r="C205" i="57"/>
  <c r="H204" i="57"/>
  <c r="G204" i="57"/>
  <c r="F204" i="57"/>
  <c r="E204" i="57"/>
  <c r="D204" i="57"/>
  <c r="C204" i="57"/>
  <c r="H203" i="57"/>
  <c r="G203" i="57"/>
  <c r="D203" i="57"/>
  <c r="C203" i="57"/>
  <c r="H202" i="57"/>
  <c r="G202" i="57"/>
  <c r="F202" i="57"/>
  <c r="E202" i="57"/>
  <c r="D202" i="57"/>
  <c r="C202" i="57"/>
  <c r="G201" i="57"/>
  <c r="F201" i="57"/>
  <c r="E201" i="57"/>
  <c r="D201" i="57"/>
  <c r="C201" i="57"/>
  <c r="H200" i="57"/>
  <c r="G200" i="57"/>
  <c r="F200" i="57"/>
  <c r="E200" i="57"/>
  <c r="D200" i="57"/>
  <c r="C200" i="57"/>
  <c r="H199" i="57"/>
  <c r="G199" i="57"/>
  <c r="F199" i="57"/>
  <c r="E199" i="57"/>
  <c r="D199" i="57"/>
  <c r="H198" i="57"/>
  <c r="G198" i="57"/>
  <c r="F198" i="57"/>
  <c r="E198" i="57"/>
  <c r="D198" i="57"/>
  <c r="C198" i="57"/>
  <c r="G197" i="57"/>
  <c r="F197" i="57"/>
  <c r="E197" i="57"/>
  <c r="H196" i="57"/>
  <c r="G196" i="57"/>
  <c r="F196" i="57"/>
  <c r="E196" i="57"/>
  <c r="D196" i="57"/>
  <c r="C196" i="57"/>
  <c r="H195" i="57"/>
  <c r="G195" i="57"/>
  <c r="F195" i="57"/>
  <c r="E195" i="57"/>
  <c r="D195" i="57"/>
  <c r="C195" i="57"/>
  <c r="H194" i="57"/>
  <c r="G194" i="57"/>
  <c r="F194" i="57"/>
  <c r="E194" i="57"/>
  <c r="D194" i="57"/>
  <c r="C194" i="57"/>
  <c r="H193" i="57"/>
  <c r="G193" i="57"/>
  <c r="F193" i="57"/>
  <c r="E193" i="57"/>
  <c r="D193" i="57"/>
  <c r="C193" i="57"/>
  <c r="H192" i="57"/>
  <c r="G192" i="57"/>
  <c r="F192" i="57"/>
  <c r="E192" i="57"/>
  <c r="D192" i="57"/>
  <c r="C192" i="57"/>
  <c r="H191" i="57"/>
  <c r="G191" i="57"/>
  <c r="F191" i="57"/>
  <c r="E191" i="57"/>
  <c r="D191" i="57"/>
  <c r="C191" i="57"/>
  <c r="H176" i="57"/>
  <c r="G176" i="57"/>
  <c r="F176" i="57"/>
  <c r="E176" i="57"/>
  <c r="D176" i="57"/>
  <c r="C176" i="57"/>
  <c r="H175" i="57"/>
  <c r="G175" i="57"/>
  <c r="F175" i="57"/>
  <c r="H174" i="57"/>
  <c r="G174" i="57"/>
  <c r="F174" i="57"/>
  <c r="H173" i="57"/>
  <c r="G173" i="57"/>
  <c r="F173" i="57"/>
  <c r="H172" i="57"/>
  <c r="G172" i="57"/>
  <c r="F172" i="57"/>
  <c r="H171" i="57"/>
  <c r="G171" i="57"/>
  <c r="F171" i="57"/>
  <c r="H170" i="57"/>
  <c r="G170" i="57"/>
  <c r="F170" i="57"/>
  <c r="H169" i="57"/>
  <c r="G169" i="57"/>
  <c r="F169" i="57"/>
  <c r="H168" i="57"/>
  <c r="G168" i="57"/>
  <c r="F168" i="57"/>
  <c r="H167" i="57"/>
  <c r="G167" i="57"/>
  <c r="F167" i="57"/>
  <c r="H166" i="57"/>
  <c r="G166" i="57"/>
  <c r="H165" i="57"/>
  <c r="G165" i="57"/>
  <c r="F165" i="57"/>
  <c r="E165" i="57"/>
  <c r="D165" i="57"/>
  <c r="C165" i="57"/>
  <c r="H164" i="57"/>
  <c r="F164" i="57"/>
  <c r="E164" i="57"/>
  <c r="D164" i="57"/>
  <c r="C164" i="57"/>
  <c r="H163" i="57"/>
  <c r="G163" i="57"/>
  <c r="F163" i="57"/>
  <c r="E163" i="57"/>
  <c r="D163" i="57"/>
  <c r="C163" i="57"/>
  <c r="H162" i="57"/>
  <c r="G162" i="57"/>
  <c r="F162" i="57"/>
  <c r="E162" i="57"/>
  <c r="D162" i="57"/>
  <c r="C162" i="57"/>
  <c r="H161" i="57"/>
  <c r="G161" i="57"/>
  <c r="F161" i="57"/>
  <c r="E161" i="57"/>
  <c r="D161" i="57"/>
  <c r="C161" i="57"/>
  <c r="H160" i="57"/>
  <c r="G160" i="57"/>
  <c r="F160" i="57"/>
  <c r="E160" i="57"/>
  <c r="D160" i="57"/>
  <c r="C160" i="57"/>
  <c r="H159" i="57"/>
  <c r="G159" i="57"/>
  <c r="F159" i="57"/>
  <c r="E159" i="57"/>
  <c r="D159" i="57"/>
  <c r="C159" i="57"/>
  <c r="H158" i="57"/>
  <c r="G158" i="57"/>
  <c r="F158" i="57"/>
  <c r="E158" i="57"/>
  <c r="D158" i="57"/>
  <c r="C158" i="57"/>
  <c r="H157" i="57"/>
  <c r="G157" i="57"/>
  <c r="F157" i="57"/>
  <c r="E157" i="57"/>
  <c r="D157" i="57"/>
  <c r="C157" i="57"/>
  <c r="H156" i="57"/>
  <c r="G156" i="57"/>
  <c r="F156" i="57"/>
  <c r="E156" i="57"/>
  <c r="D156" i="57"/>
  <c r="C156" i="57"/>
  <c r="H155" i="57"/>
  <c r="G155" i="57"/>
  <c r="F155" i="57"/>
  <c r="E155" i="57"/>
  <c r="D155" i="57"/>
  <c r="C155" i="57"/>
  <c r="H137" i="57"/>
  <c r="G137" i="57"/>
  <c r="F137" i="57"/>
  <c r="E137" i="57"/>
  <c r="D137" i="57"/>
  <c r="C137" i="57"/>
  <c r="H136" i="57"/>
  <c r="G136" i="57"/>
  <c r="F136" i="57"/>
  <c r="E136" i="57"/>
  <c r="D136" i="57"/>
  <c r="C136" i="57"/>
  <c r="H122" i="57"/>
  <c r="G122" i="57"/>
  <c r="F122" i="57"/>
  <c r="E122" i="57"/>
  <c r="D122" i="57"/>
  <c r="C122" i="57"/>
  <c r="H107" i="57"/>
  <c r="G107" i="57"/>
  <c r="F107" i="57"/>
  <c r="E107" i="57"/>
  <c r="D107" i="57"/>
  <c r="C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H100" i="57"/>
  <c r="G100" i="57"/>
  <c r="F100" i="57"/>
  <c r="H99" i="57"/>
  <c r="G99" i="57"/>
  <c r="F99" i="57"/>
  <c r="H98" i="57"/>
  <c r="G98" i="57"/>
  <c r="F98" i="57"/>
  <c r="H97" i="57"/>
  <c r="G97" i="57"/>
  <c r="H96" i="57"/>
  <c r="G96" i="57"/>
  <c r="F96" i="57"/>
  <c r="E96" i="57"/>
  <c r="D96" i="57"/>
  <c r="C96" i="57"/>
  <c r="H95" i="57"/>
  <c r="G95" i="57"/>
  <c r="F95" i="57"/>
  <c r="E95" i="57"/>
  <c r="D95" i="57"/>
  <c r="C95" i="57"/>
  <c r="H94" i="57"/>
  <c r="G94" i="57"/>
  <c r="F94" i="57"/>
  <c r="E94" i="57"/>
  <c r="D94" i="57"/>
  <c r="C94" i="57"/>
  <c r="H93" i="57"/>
  <c r="G93" i="57"/>
  <c r="F93" i="57"/>
  <c r="E93" i="57"/>
  <c r="D93" i="57"/>
  <c r="C93" i="57"/>
  <c r="H92" i="57"/>
  <c r="G92" i="57"/>
  <c r="F92" i="57"/>
  <c r="E92" i="57"/>
  <c r="D92" i="57"/>
  <c r="C92" i="57"/>
  <c r="H91" i="57"/>
  <c r="G91" i="57"/>
  <c r="F91" i="57"/>
  <c r="E91" i="57"/>
  <c r="D91" i="57"/>
  <c r="C91" i="57"/>
  <c r="H90" i="57"/>
  <c r="G90" i="57"/>
  <c r="F90" i="57"/>
  <c r="E90" i="57"/>
  <c r="D90" i="57"/>
  <c r="C90" i="57"/>
  <c r="H89" i="57"/>
  <c r="G89" i="57"/>
  <c r="F89" i="57"/>
  <c r="D89" i="57"/>
  <c r="C89" i="57"/>
  <c r="H88" i="57"/>
  <c r="G88" i="57"/>
  <c r="F88" i="57"/>
  <c r="E88" i="57"/>
  <c r="D88" i="57"/>
  <c r="C88" i="57"/>
  <c r="H87" i="57"/>
  <c r="G87" i="57"/>
  <c r="F87" i="57"/>
  <c r="E87" i="57"/>
  <c r="D87" i="57"/>
  <c r="C87" i="57"/>
  <c r="H86" i="57"/>
  <c r="G86" i="57"/>
  <c r="F86" i="57"/>
  <c r="E86" i="57"/>
  <c r="D86" i="57"/>
  <c r="C86" i="57"/>
  <c r="M73" i="57"/>
  <c r="M74" i="57" s="1"/>
  <c r="L73" i="57"/>
  <c r="L74" i="57" s="1"/>
  <c r="K73" i="57"/>
  <c r="K74" i="57" s="1"/>
  <c r="J73" i="57"/>
  <c r="J74" i="57" s="1"/>
  <c r="I73" i="57"/>
  <c r="I74" i="57" s="1"/>
  <c r="H73" i="57"/>
  <c r="H74" i="57" s="1"/>
  <c r="G73" i="57"/>
  <c r="G74" i="57" s="1"/>
  <c r="F73" i="57"/>
  <c r="F74" i="57" s="1"/>
  <c r="E73" i="57"/>
  <c r="E74" i="57" s="1"/>
  <c r="D73" i="57"/>
  <c r="D74" i="57" s="1"/>
  <c r="C73" i="57"/>
  <c r="C74" i="57" s="1"/>
  <c r="B73" i="57"/>
  <c r="G68" i="57"/>
  <c r="F68" i="57"/>
  <c r="E68" i="57"/>
  <c r="D68" i="57"/>
  <c r="C68" i="57"/>
  <c r="J59" i="57"/>
  <c r="I59" i="57"/>
  <c r="H59" i="57"/>
  <c r="G59" i="57"/>
  <c r="F59" i="57"/>
  <c r="E59" i="57"/>
  <c r="B59" i="57"/>
  <c r="J58" i="57"/>
  <c r="I58" i="57"/>
  <c r="H58" i="57"/>
  <c r="G58" i="57"/>
  <c r="F58" i="57"/>
  <c r="E58" i="57"/>
  <c r="B58" i="57"/>
  <c r="J57" i="57"/>
  <c r="I57" i="57"/>
  <c r="H57" i="57"/>
  <c r="G57" i="57"/>
  <c r="F57" i="57"/>
  <c r="E57" i="57"/>
  <c r="B57" i="57"/>
  <c r="J56" i="57"/>
  <c r="I56" i="57"/>
  <c r="H56" i="57"/>
  <c r="G56" i="57"/>
  <c r="F56" i="57"/>
  <c r="E56" i="57"/>
  <c r="B56" i="57"/>
  <c r="I55" i="57"/>
  <c r="H55" i="57"/>
  <c r="G55" i="57"/>
  <c r="F55" i="57"/>
  <c r="E55" i="57"/>
  <c r="B55" i="57"/>
  <c r="J54" i="57"/>
  <c r="I54" i="57"/>
  <c r="H54" i="57"/>
  <c r="G54" i="57"/>
  <c r="F54" i="57"/>
  <c r="E54" i="57"/>
  <c r="B54" i="57"/>
  <c r="J53" i="57"/>
  <c r="I53" i="57"/>
  <c r="H53" i="57"/>
  <c r="G53" i="57"/>
  <c r="F53" i="57"/>
  <c r="E53" i="57"/>
  <c r="B53" i="57"/>
  <c r="J52" i="57"/>
  <c r="I52" i="57"/>
  <c r="H52" i="57"/>
  <c r="G52" i="57"/>
  <c r="F52" i="57"/>
  <c r="E52" i="57"/>
  <c r="B52" i="57"/>
  <c r="J51" i="57"/>
  <c r="I51" i="57"/>
  <c r="H51" i="57"/>
  <c r="G51" i="57"/>
  <c r="F51" i="57"/>
  <c r="E51" i="57"/>
  <c r="B51" i="57"/>
  <c r="J50" i="57"/>
  <c r="I50" i="57"/>
  <c r="H50" i="57"/>
  <c r="B50" i="57"/>
  <c r="J49" i="57"/>
  <c r="I49" i="57"/>
  <c r="H49" i="57"/>
  <c r="G49" i="57"/>
  <c r="F49" i="57"/>
  <c r="B49" i="57"/>
  <c r="J48" i="57"/>
  <c r="I48" i="57"/>
  <c r="H48" i="57"/>
  <c r="G48" i="57"/>
  <c r="F48" i="57"/>
  <c r="E48" i="57"/>
  <c r="B48" i="57"/>
  <c r="J47" i="57"/>
  <c r="I47" i="57"/>
  <c r="H47" i="57"/>
  <c r="G47" i="57"/>
  <c r="F47" i="57"/>
  <c r="E47" i="57"/>
  <c r="B47" i="57"/>
  <c r="J46" i="57"/>
  <c r="I46" i="57"/>
  <c r="H46" i="57"/>
  <c r="G46" i="57"/>
  <c r="F46" i="57"/>
  <c r="E46" i="57"/>
  <c r="B46" i="57"/>
  <c r="J45" i="57"/>
  <c r="I45" i="57"/>
  <c r="H45" i="57"/>
  <c r="G45" i="57"/>
  <c r="F45" i="57"/>
  <c r="E45" i="57"/>
  <c r="B45" i="57"/>
  <c r="J44" i="57"/>
  <c r="I44" i="57"/>
  <c r="H44" i="57"/>
  <c r="G44" i="57"/>
  <c r="F44" i="57"/>
  <c r="E44" i="57"/>
  <c r="B44" i="57"/>
  <c r="J43" i="57"/>
  <c r="I43" i="57"/>
  <c r="H43" i="57"/>
  <c r="G43" i="57"/>
  <c r="F43" i="57"/>
  <c r="E43" i="57"/>
  <c r="B43" i="57"/>
  <c r="J42" i="57"/>
  <c r="I42" i="57"/>
  <c r="H42" i="57"/>
  <c r="G42" i="57"/>
  <c r="F42" i="57"/>
  <c r="E42" i="57"/>
  <c r="B42" i="57"/>
  <c r="J41" i="57"/>
  <c r="I41" i="57"/>
  <c r="H41" i="57"/>
  <c r="G41" i="57"/>
  <c r="F41" i="57"/>
  <c r="E41" i="57"/>
  <c r="B41" i="57"/>
  <c r="J40" i="57"/>
  <c r="I40" i="57"/>
  <c r="H40" i="57"/>
  <c r="G40" i="57"/>
  <c r="F40" i="57"/>
  <c r="E40" i="57"/>
  <c r="D40" i="57"/>
  <c r="B40" i="57"/>
  <c r="G33" i="57"/>
  <c r="F33" i="57"/>
  <c r="E33" i="57"/>
  <c r="D33" i="57"/>
  <c r="C33" i="57"/>
  <c r="B33" i="57"/>
  <c r="G32" i="57"/>
  <c r="F32" i="57"/>
  <c r="E32" i="57"/>
  <c r="D32" i="57"/>
  <c r="C32" i="57"/>
  <c r="B32" i="57"/>
  <c r="G31" i="57"/>
  <c r="F31" i="57"/>
  <c r="E31" i="57"/>
  <c r="D31" i="57"/>
  <c r="C31" i="57"/>
  <c r="B31" i="57"/>
  <c r="G30" i="57"/>
  <c r="F30" i="57"/>
  <c r="E30" i="57"/>
  <c r="D30" i="57"/>
  <c r="C30" i="57"/>
  <c r="B30" i="57"/>
  <c r="G29" i="57"/>
  <c r="F29" i="57"/>
  <c r="E29" i="57"/>
  <c r="D29" i="57"/>
  <c r="C29" i="57"/>
  <c r="B29" i="57"/>
  <c r="G28" i="57"/>
  <c r="F28" i="57"/>
  <c r="E28" i="57"/>
  <c r="D28" i="57"/>
  <c r="C28" i="57"/>
  <c r="B28" i="57"/>
  <c r="G27" i="57"/>
  <c r="F27" i="57"/>
  <c r="E27" i="57"/>
  <c r="D27" i="57"/>
  <c r="C27" i="57"/>
  <c r="B27" i="57"/>
  <c r="G26" i="57"/>
  <c r="F26" i="57"/>
  <c r="E26" i="57"/>
  <c r="D26" i="57"/>
  <c r="C26" i="57"/>
  <c r="B26" i="57"/>
  <c r="G25" i="57"/>
  <c r="F25" i="57"/>
  <c r="E25" i="57"/>
  <c r="D25" i="57"/>
  <c r="C25" i="57"/>
  <c r="B25" i="57"/>
  <c r="G24" i="57"/>
  <c r="F24" i="57"/>
  <c r="E24" i="57"/>
  <c r="D24" i="57"/>
  <c r="C24" i="57"/>
  <c r="B24" i="57"/>
  <c r="G23" i="57"/>
  <c r="F23" i="57"/>
  <c r="E23" i="57"/>
  <c r="D23" i="57"/>
  <c r="C23" i="57"/>
  <c r="B23" i="57"/>
  <c r="G22" i="57"/>
  <c r="F22" i="57"/>
  <c r="E22" i="57"/>
  <c r="D22" i="57"/>
  <c r="C22" i="57"/>
  <c r="B22" i="57"/>
  <c r="G21" i="57"/>
  <c r="F21" i="57"/>
  <c r="E21" i="57"/>
  <c r="D21" i="57"/>
  <c r="C21" i="57"/>
  <c r="B21" i="57"/>
  <c r="G20" i="57"/>
  <c r="F20" i="57"/>
  <c r="E20" i="57"/>
  <c r="D20" i="57"/>
  <c r="C20" i="57"/>
  <c r="B20" i="57"/>
  <c r="G19" i="57"/>
  <c r="F19" i="57"/>
  <c r="E19" i="57"/>
  <c r="D19" i="57"/>
  <c r="C19" i="57"/>
  <c r="B19" i="57"/>
  <c r="G18" i="57"/>
  <c r="F18" i="57"/>
  <c r="E18" i="57"/>
  <c r="D18" i="57"/>
  <c r="C18" i="57"/>
  <c r="B18" i="57"/>
  <c r="G17" i="57"/>
  <c r="F17" i="57"/>
  <c r="E17" i="57"/>
  <c r="D17" i="57"/>
  <c r="C17" i="57"/>
  <c r="B17" i="57"/>
  <c r="G16" i="57"/>
  <c r="F16" i="57"/>
  <c r="E16" i="57"/>
  <c r="D16" i="57"/>
  <c r="C16" i="57"/>
  <c r="B16" i="57"/>
  <c r="G15" i="57"/>
  <c r="F15" i="57"/>
  <c r="E15" i="57"/>
  <c r="D15" i="57"/>
  <c r="C15" i="57"/>
  <c r="B15" i="57"/>
  <c r="H14" i="57"/>
  <c r="G12" i="57"/>
  <c r="F12" i="57"/>
  <c r="E12" i="57"/>
  <c r="D12" i="57"/>
  <c r="C12" i="57"/>
  <c r="B12" i="57"/>
  <c r="G11" i="57"/>
  <c r="F11" i="57"/>
  <c r="E11" i="57"/>
  <c r="D11" i="57"/>
  <c r="C11" i="57"/>
  <c r="B11" i="57"/>
  <c r="G10" i="57"/>
  <c r="F10" i="57"/>
  <c r="E10" i="57"/>
  <c r="D10" i="57"/>
  <c r="C10" i="57"/>
  <c r="B10" i="57"/>
  <c r="G9" i="57"/>
  <c r="F9" i="57"/>
  <c r="E9" i="57"/>
  <c r="D9" i="57"/>
  <c r="C9" i="57"/>
  <c r="B9" i="57"/>
  <c r="G8" i="57"/>
  <c r="F8" i="57"/>
  <c r="E8" i="57"/>
  <c r="D8" i="57"/>
  <c r="C8" i="57"/>
  <c r="B8" i="57"/>
  <c r="G7" i="57"/>
  <c r="F7" i="57"/>
  <c r="E7" i="57"/>
  <c r="D7" i="57"/>
  <c r="C7" i="57"/>
  <c r="B7" i="57"/>
  <c r="I190" i="57"/>
  <c r="J190" i="57" s="1"/>
  <c r="I189" i="57"/>
  <c r="J189" i="57" s="1"/>
  <c r="I188" i="57"/>
  <c r="J188" i="57" s="1"/>
  <c r="I187" i="57"/>
  <c r="J187" i="57" s="1"/>
  <c r="I186" i="57"/>
  <c r="J186" i="57" s="1"/>
  <c r="I185" i="57"/>
  <c r="J185" i="57" s="1"/>
  <c r="I184" i="57"/>
  <c r="J184" i="57" s="1"/>
  <c r="I183" i="57"/>
  <c r="J183" i="57" s="1"/>
  <c r="I182" i="57"/>
  <c r="J182" i="57" s="1"/>
  <c r="I181" i="57"/>
  <c r="J181" i="57" s="1"/>
  <c r="I180" i="57"/>
  <c r="J180" i="57" s="1"/>
  <c r="I179" i="57"/>
  <c r="J179" i="57" s="1"/>
  <c r="I178" i="57"/>
  <c r="J178" i="57" s="1"/>
  <c r="I177" i="57"/>
  <c r="J177" i="57" s="1"/>
  <c r="E175" i="57"/>
  <c r="C175" i="57"/>
  <c r="E174" i="57"/>
  <c r="C174" i="57"/>
  <c r="E173" i="57"/>
  <c r="C173" i="57"/>
  <c r="E172" i="57"/>
  <c r="C172" i="57"/>
  <c r="E171" i="57"/>
  <c r="C171" i="57"/>
  <c r="E170" i="57"/>
  <c r="C170" i="57"/>
  <c r="E169" i="57"/>
  <c r="C169" i="57"/>
  <c r="E168" i="57"/>
  <c r="C168" i="57"/>
  <c r="E167" i="57"/>
  <c r="C167" i="57"/>
  <c r="E166" i="57"/>
  <c r="C166" i="57"/>
  <c r="H154" i="57"/>
  <c r="G154" i="57"/>
  <c r="F154" i="57"/>
  <c r="E154" i="57"/>
  <c r="D154" i="57"/>
  <c r="C154" i="57"/>
  <c r="H153" i="57"/>
  <c r="G153" i="57"/>
  <c r="F153" i="57"/>
  <c r="E153" i="57"/>
  <c r="D153" i="57"/>
  <c r="C153" i="57"/>
  <c r="H152" i="57"/>
  <c r="G152" i="57"/>
  <c r="F152" i="57"/>
  <c r="E152" i="57"/>
  <c r="D152" i="57"/>
  <c r="C152" i="57"/>
  <c r="H151" i="57"/>
  <c r="G151" i="57"/>
  <c r="F151" i="57"/>
  <c r="E151" i="57"/>
  <c r="D151" i="57"/>
  <c r="C151" i="57"/>
  <c r="H150" i="57"/>
  <c r="G150" i="57"/>
  <c r="F150" i="57"/>
  <c r="E150" i="57"/>
  <c r="D150" i="57"/>
  <c r="C150" i="57"/>
  <c r="H149" i="57"/>
  <c r="G149" i="57"/>
  <c r="F149" i="57"/>
  <c r="E149" i="57"/>
  <c r="D149" i="57"/>
  <c r="C149" i="57"/>
  <c r="I135" i="57"/>
  <c r="J135" i="57" s="1"/>
  <c r="I134" i="57"/>
  <c r="J134" i="57" s="1"/>
  <c r="I133" i="57"/>
  <c r="J133" i="57" s="1"/>
  <c r="I132" i="57"/>
  <c r="J132" i="57" s="1"/>
  <c r="I131" i="57"/>
  <c r="J131" i="57" s="1"/>
  <c r="I130" i="57"/>
  <c r="J130" i="57" s="1"/>
  <c r="I129" i="57"/>
  <c r="J129" i="57" s="1"/>
  <c r="I128" i="57"/>
  <c r="J128" i="57" s="1"/>
  <c r="I127" i="57"/>
  <c r="J127" i="57" s="1"/>
  <c r="I126" i="57"/>
  <c r="J126" i="57" s="1"/>
  <c r="I125" i="57"/>
  <c r="J125" i="57" s="1"/>
  <c r="I124" i="57"/>
  <c r="J124" i="57" s="1"/>
  <c r="I123" i="57"/>
  <c r="J123" i="57" s="1"/>
  <c r="I121" i="57"/>
  <c r="J121" i="57" s="1"/>
  <c r="I120" i="57"/>
  <c r="J120" i="57" s="1"/>
  <c r="I119" i="57"/>
  <c r="J119" i="57" s="1"/>
  <c r="I118" i="57"/>
  <c r="J118" i="57" s="1"/>
  <c r="I117" i="57"/>
  <c r="J117" i="57" s="1"/>
  <c r="I116" i="57"/>
  <c r="J116" i="57" s="1"/>
  <c r="I115" i="57"/>
  <c r="J115" i="57" s="1"/>
  <c r="I114" i="57"/>
  <c r="J114" i="57" s="1"/>
  <c r="I113" i="57"/>
  <c r="J113" i="57" s="1"/>
  <c r="I112" i="57"/>
  <c r="J112" i="57" s="1"/>
  <c r="I111" i="57"/>
  <c r="J111" i="57" s="1"/>
  <c r="I110" i="57"/>
  <c r="J110" i="57" s="1"/>
  <c r="I109" i="57"/>
  <c r="J109" i="57" s="1"/>
  <c r="I108" i="57"/>
  <c r="J108" i="57" s="1"/>
  <c r="E106" i="57"/>
  <c r="C106" i="57"/>
  <c r="E105" i="57"/>
  <c r="C105" i="57"/>
  <c r="E104" i="57"/>
  <c r="C104" i="57"/>
  <c r="E103" i="57"/>
  <c r="C103" i="57"/>
  <c r="E102" i="57"/>
  <c r="C102" i="57"/>
  <c r="E101" i="57"/>
  <c r="C101" i="57"/>
  <c r="E100" i="57"/>
  <c r="C100" i="57"/>
  <c r="E99" i="57"/>
  <c r="C99" i="57"/>
  <c r="E98" i="57"/>
  <c r="C98" i="57"/>
  <c r="E97" i="57"/>
  <c r="C97" i="57"/>
  <c r="E89" i="57"/>
  <c r="H85" i="57"/>
  <c r="G85" i="57"/>
  <c r="F85" i="57"/>
  <c r="E85" i="57"/>
  <c r="D85" i="57"/>
  <c r="C85" i="57"/>
  <c r="H84" i="57"/>
  <c r="G84" i="57"/>
  <c r="F84" i="57"/>
  <c r="E84" i="57"/>
  <c r="D84" i="57"/>
  <c r="C84" i="57"/>
  <c r="H83" i="57"/>
  <c r="G83" i="57"/>
  <c r="F83" i="57"/>
  <c r="E83" i="57"/>
  <c r="D83" i="57"/>
  <c r="C83" i="57"/>
  <c r="H82" i="57"/>
  <c r="G82" i="57"/>
  <c r="F82" i="57"/>
  <c r="E82" i="57"/>
  <c r="D82" i="57"/>
  <c r="C82" i="57"/>
  <c r="H81" i="57"/>
  <c r="G81" i="57"/>
  <c r="F81" i="57"/>
  <c r="E81" i="57"/>
  <c r="D81" i="57"/>
  <c r="C81" i="57"/>
  <c r="H80" i="57"/>
  <c r="G80" i="57"/>
  <c r="F80" i="57"/>
  <c r="E80" i="57"/>
  <c r="D80" i="57"/>
  <c r="C80" i="57"/>
  <c r="C60" i="57"/>
  <c r="H205" i="56"/>
  <c r="G205" i="56"/>
  <c r="F205" i="56"/>
  <c r="E205" i="56"/>
  <c r="D205" i="56"/>
  <c r="C205" i="56"/>
  <c r="H204" i="56"/>
  <c r="G204" i="56"/>
  <c r="F204" i="56"/>
  <c r="E204" i="56"/>
  <c r="D204" i="56"/>
  <c r="C204" i="56"/>
  <c r="H203" i="56"/>
  <c r="G203" i="56"/>
  <c r="D203" i="56"/>
  <c r="C203" i="56"/>
  <c r="H202" i="56"/>
  <c r="G202" i="56"/>
  <c r="F202" i="56"/>
  <c r="E202" i="56"/>
  <c r="D202" i="56"/>
  <c r="C202" i="56"/>
  <c r="G201" i="56"/>
  <c r="F201" i="56"/>
  <c r="E201" i="56"/>
  <c r="D201" i="56"/>
  <c r="C201" i="56"/>
  <c r="H200" i="56"/>
  <c r="G200" i="56"/>
  <c r="F200" i="56"/>
  <c r="E200" i="56"/>
  <c r="D200" i="56"/>
  <c r="C200" i="56"/>
  <c r="H199" i="56"/>
  <c r="G199" i="56"/>
  <c r="F199" i="56"/>
  <c r="E199" i="56"/>
  <c r="D199" i="56"/>
  <c r="H198" i="56"/>
  <c r="G198" i="56"/>
  <c r="F198" i="56"/>
  <c r="E198" i="56"/>
  <c r="D198" i="56"/>
  <c r="C198" i="56"/>
  <c r="G197" i="56"/>
  <c r="F197" i="56"/>
  <c r="E197" i="56"/>
  <c r="H196" i="56"/>
  <c r="G196" i="56"/>
  <c r="F196" i="56"/>
  <c r="E196" i="56"/>
  <c r="D196" i="56"/>
  <c r="C196" i="56"/>
  <c r="H195" i="56"/>
  <c r="G195" i="56"/>
  <c r="F195" i="56"/>
  <c r="E195" i="56"/>
  <c r="D195" i="56"/>
  <c r="C195" i="56"/>
  <c r="H194" i="56"/>
  <c r="G194" i="56"/>
  <c r="F194" i="56"/>
  <c r="E194" i="56"/>
  <c r="D194" i="56"/>
  <c r="C194" i="56"/>
  <c r="H193" i="56"/>
  <c r="G193" i="56"/>
  <c r="F193" i="56"/>
  <c r="E193" i="56"/>
  <c r="D193" i="56"/>
  <c r="C193" i="56"/>
  <c r="H192" i="56"/>
  <c r="G192" i="56"/>
  <c r="F192" i="56"/>
  <c r="E192" i="56"/>
  <c r="D192" i="56"/>
  <c r="C192" i="56"/>
  <c r="H191" i="56"/>
  <c r="G191" i="56"/>
  <c r="F191" i="56"/>
  <c r="E191" i="56"/>
  <c r="D191" i="56"/>
  <c r="C191" i="56"/>
  <c r="H176" i="56"/>
  <c r="G176" i="56"/>
  <c r="F176" i="56"/>
  <c r="E176" i="56"/>
  <c r="D176" i="56"/>
  <c r="C176" i="56"/>
  <c r="H175" i="56"/>
  <c r="G175" i="56"/>
  <c r="F175" i="56"/>
  <c r="H174" i="56"/>
  <c r="G174" i="56"/>
  <c r="F174" i="56"/>
  <c r="H173" i="56"/>
  <c r="G173" i="56"/>
  <c r="F173" i="56"/>
  <c r="H172" i="56"/>
  <c r="G172" i="56"/>
  <c r="F172" i="56"/>
  <c r="H171" i="56"/>
  <c r="G171" i="56"/>
  <c r="F171" i="56"/>
  <c r="H170" i="56"/>
  <c r="G170" i="56"/>
  <c r="F170" i="56"/>
  <c r="H169" i="56"/>
  <c r="G169" i="56"/>
  <c r="F169" i="56"/>
  <c r="H168" i="56"/>
  <c r="G168" i="56"/>
  <c r="F168" i="56"/>
  <c r="H167" i="56"/>
  <c r="G167" i="56"/>
  <c r="F167" i="56"/>
  <c r="H166" i="56"/>
  <c r="G166" i="56"/>
  <c r="H165" i="56"/>
  <c r="G165" i="56"/>
  <c r="F165" i="56"/>
  <c r="E165" i="56"/>
  <c r="D165" i="56"/>
  <c r="C165" i="56"/>
  <c r="H164" i="56"/>
  <c r="G164" i="56"/>
  <c r="F164" i="56"/>
  <c r="E164" i="56"/>
  <c r="D164" i="56"/>
  <c r="C164" i="56"/>
  <c r="H163" i="56"/>
  <c r="G163" i="56"/>
  <c r="F163" i="56"/>
  <c r="E163" i="56"/>
  <c r="D163" i="56"/>
  <c r="C163" i="56"/>
  <c r="H162" i="56"/>
  <c r="G162" i="56"/>
  <c r="F162" i="56"/>
  <c r="E162" i="56"/>
  <c r="D162" i="56"/>
  <c r="C162" i="56"/>
  <c r="H161" i="56"/>
  <c r="G161" i="56"/>
  <c r="F161" i="56"/>
  <c r="E161" i="56"/>
  <c r="D161" i="56"/>
  <c r="C161" i="56"/>
  <c r="H160" i="56"/>
  <c r="G160" i="56"/>
  <c r="F160" i="56"/>
  <c r="E160" i="56"/>
  <c r="D160" i="56"/>
  <c r="C160" i="56"/>
  <c r="H159" i="56"/>
  <c r="G159" i="56"/>
  <c r="F159" i="56"/>
  <c r="E159" i="56"/>
  <c r="D159" i="56"/>
  <c r="C159" i="56"/>
  <c r="H158" i="56"/>
  <c r="G158" i="56"/>
  <c r="F158" i="56"/>
  <c r="E158" i="56"/>
  <c r="D158" i="56"/>
  <c r="C158" i="56"/>
  <c r="H157" i="56"/>
  <c r="G157" i="56"/>
  <c r="F157" i="56"/>
  <c r="E157" i="56"/>
  <c r="D157" i="56"/>
  <c r="C157" i="56"/>
  <c r="H156" i="56"/>
  <c r="G156" i="56"/>
  <c r="F156" i="56"/>
  <c r="E156" i="56"/>
  <c r="D156" i="56"/>
  <c r="C156" i="56"/>
  <c r="H155" i="56"/>
  <c r="G155" i="56"/>
  <c r="F155" i="56"/>
  <c r="E155" i="56"/>
  <c r="D155" i="56"/>
  <c r="C155" i="56"/>
  <c r="H137" i="56"/>
  <c r="G137" i="56"/>
  <c r="F137" i="56"/>
  <c r="E137" i="56"/>
  <c r="D137" i="56"/>
  <c r="C137" i="56"/>
  <c r="H136" i="56"/>
  <c r="G136" i="56"/>
  <c r="F136" i="56"/>
  <c r="E136" i="56"/>
  <c r="D136" i="56"/>
  <c r="C136" i="56"/>
  <c r="H122" i="56"/>
  <c r="G122" i="56"/>
  <c r="F122" i="56"/>
  <c r="E122" i="56"/>
  <c r="D122" i="56"/>
  <c r="C122" i="56"/>
  <c r="H107" i="56"/>
  <c r="G107" i="56"/>
  <c r="F107" i="56"/>
  <c r="E107" i="56"/>
  <c r="D107" i="56"/>
  <c r="C107" i="56"/>
  <c r="H106" i="56"/>
  <c r="G106" i="56"/>
  <c r="F106" i="56"/>
  <c r="H105" i="56"/>
  <c r="G105" i="56"/>
  <c r="F105" i="56"/>
  <c r="H104" i="56"/>
  <c r="G104" i="56"/>
  <c r="F104" i="56"/>
  <c r="H103" i="56"/>
  <c r="G103" i="56"/>
  <c r="F103" i="56"/>
  <c r="H102" i="56"/>
  <c r="G102" i="56"/>
  <c r="F102" i="56"/>
  <c r="H101" i="56"/>
  <c r="G101" i="56"/>
  <c r="F101" i="56"/>
  <c r="H100" i="56"/>
  <c r="G100" i="56"/>
  <c r="F100" i="56"/>
  <c r="H99" i="56"/>
  <c r="G99" i="56"/>
  <c r="F99" i="56"/>
  <c r="H98" i="56"/>
  <c r="G98" i="56"/>
  <c r="F98" i="56"/>
  <c r="H97" i="56"/>
  <c r="G97" i="56"/>
  <c r="H96" i="56"/>
  <c r="G96" i="56"/>
  <c r="F96" i="56"/>
  <c r="E96" i="56"/>
  <c r="D96" i="56"/>
  <c r="C96" i="56"/>
  <c r="H95" i="56"/>
  <c r="G95" i="56"/>
  <c r="F95" i="56"/>
  <c r="E95" i="56"/>
  <c r="D95" i="56"/>
  <c r="C95" i="56"/>
  <c r="H94" i="56"/>
  <c r="G94" i="56"/>
  <c r="F94" i="56"/>
  <c r="E94" i="56"/>
  <c r="D94" i="56"/>
  <c r="C94" i="56"/>
  <c r="H93" i="56"/>
  <c r="G93" i="56"/>
  <c r="F93" i="56"/>
  <c r="E93" i="56"/>
  <c r="D93" i="56"/>
  <c r="C93" i="56"/>
  <c r="H92" i="56"/>
  <c r="G92" i="56"/>
  <c r="F92" i="56"/>
  <c r="E92" i="56"/>
  <c r="D92" i="56"/>
  <c r="C92" i="56"/>
  <c r="H91" i="56"/>
  <c r="G91" i="56"/>
  <c r="F91" i="56"/>
  <c r="E91" i="56"/>
  <c r="D91" i="56"/>
  <c r="C91" i="56"/>
  <c r="H90" i="56"/>
  <c r="G90" i="56"/>
  <c r="F90" i="56"/>
  <c r="E90" i="56"/>
  <c r="D90" i="56"/>
  <c r="C90" i="56"/>
  <c r="H89" i="56"/>
  <c r="G89" i="56"/>
  <c r="F89" i="56"/>
  <c r="D89" i="56"/>
  <c r="C89" i="56"/>
  <c r="H88" i="56"/>
  <c r="G88" i="56"/>
  <c r="F88" i="56"/>
  <c r="E88" i="56"/>
  <c r="D88" i="56"/>
  <c r="C88" i="56"/>
  <c r="H87" i="56"/>
  <c r="G87" i="56"/>
  <c r="F87" i="56"/>
  <c r="E87" i="56"/>
  <c r="D87" i="56"/>
  <c r="C87" i="56"/>
  <c r="H86" i="56"/>
  <c r="G86" i="56"/>
  <c r="F86" i="56"/>
  <c r="E86" i="56"/>
  <c r="D86" i="56"/>
  <c r="C86" i="56"/>
  <c r="G68" i="56"/>
  <c r="F68" i="56"/>
  <c r="E68" i="56"/>
  <c r="D68" i="56"/>
  <c r="C68" i="56"/>
  <c r="B68" i="56"/>
  <c r="J59" i="56"/>
  <c r="I59" i="56"/>
  <c r="H59" i="56"/>
  <c r="J58" i="56"/>
  <c r="I58" i="56"/>
  <c r="H58" i="56"/>
  <c r="J57" i="56"/>
  <c r="I57" i="56"/>
  <c r="H57" i="56"/>
  <c r="J56" i="56"/>
  <c r="I56" i="56"/>
  <c r="H56" i="56"/>
  <c r="M55" i="56"/>
  <c r="J54" i="56"/>
  <c r="I54" i="56"/>
  <c r="H54" i="56"/>
  <c r="J53" i="56"/>
  <c r="I53" i="56"/>
  <c r="H53" i="56"/>
  <c r="J52" i="56"/>
  <c r="I52" i="56"/>
  <c r="H52" i="56"/>
  <c r="J51" i="56"/>
  <c r="I51" i="56"/>
  <c r="H51" i="56"/>
  <c r="J50" i="56"/>
  <c r="I50" i="56"/>
  <c r="H50" i="56"/>
  <c r="J49" i="56"/>
  <c r="I49" i="56"/>
  <c r="H49" i="56"/>
  <c r="J48" i="56"/>
  <c r="I48" i="56"/>
  <c r="H48" i="56"/>
  <c r="J47" i="56"/>
  <c r="I47" i="56"/>
  <c r="H47" i="56"/>
  <c r="J46" i="56"/>
  <c r="I46" i="56"/>
  <c r="H46" i="56"/>
  <c r="J45" i="56"/>
  <c r="I45" i="56"/>
  <c r="H45" i="56"/>
  <c r="J44" i="56"/>
  <c r="I44" i="56"/>
  <c r="H44" i="56"/>
  <c r="J43" i="56"/>
  <c r="I43" i="56"/>
  <c r="H43" i="56"/>
  <c r="J42" i="56"/>
  <c r="I42" i="56"/>
  <c r="H42" i="56"/>
  <c r="J41" i="56"/>
  <c r="I41" i="56"/>
  <c r="H41" i="56"/>
  <c r="J40" i="56"/>
  <c r="I40" i="56"/>
  <c r="H40" i="56"/>
  <c r="G59" i="56"/>
  <c r="F59" i="56"/>
  <c r="E59" i="56"/>
  <c r="B59" i="56"/>
  <c r="G58" i="56"/>
  <c r="F58" i="56"/>
  <c r="E58" i="56"/>
  <c r="B58" i="56"/>
  <c r="G57" i="56"/>
  <c r="F57" i="56"/>
  <c r="E57" i="56"/>
  <c r="B57" i="56"/>
  <c r="G56" i="56"/>
  <c r="F56" i="56"/>
  <c r="E56" i="56"/>
  <c r="B56" i="56"/>
  <c r="G55" i="56"/>
  <c r="F55" i="56"/>
  <c r="E55" i="56"/>
  <c r="B55" i="56"/>
  <c r="G54" i="56"/>
  <c r="F54" i="56"/>
  <c r="E54" i="56"/>
  <c r="B54" i="56"/>
  <c r="G53" i="56"/>
  <c r="F53" i="56"/>
  <c r="E53" i="56"/>
  <c r="B53" i="56"/>
  <c r="G52" i="56"/>
  <c r="F52" i="56"/>
  <c r="E52" i="56"/>
  <c r="B52" i="56"/>
  <c r="G51" i="56"/>
  <c r="F51" i="56"/>
  <c r="E51" i="56"/>
  <c r="B51" i="56"/>
  <c r="B50" i="56"/>
  <c r="G49" i="56"/>
  <c r="F49" i="56"/>
  <c r="E49" i="56"/>
  <c r="B49" i="56"/>
  <c r="G48" i="56"/>
  <c r="F48" i="56"/>
  <c r="E48" i="56"/>
  <c r="B48" i="56"/>
  <c r="G47" i="56"/>
  <c r="F47" i="56"/>
  <c r="E47" i="56"/>
  <c r="B47" i="56"/>
  <c r="G46" i="56"/>
  <c r="F46" i="56"/>
  <c r="E46" i="56"/>
  <c r="B46" i="56"/>
  <c r="G45" i="56"/>
  <c r="F45" i="56"/>
  <c r="E45" i="56"/>
  <c r="B45" i="56"/>
  <c r="G44" i="56"/>
  <c r="F44" i="56"/>
  <c r="E44" i="56"/>
  <c r="B44" i="56"/>
  <c r="G43" i="56"/>
  <c r="F43" i="56"/>
  <c r="E43" i="56"/>
  <c r="B43" i="56"/>
  <c r="G42" i="56"/>
  <c r="F42" i="56"/>
  <c r="E42" i="56"/>
  <c r="B42" i="56"/>
  <c r="G41" i="56"/>
  <c r="F41" i="56"/>
  <c r="E41" i="56"/>
  <c r="B41" i="56"/>
  <c r="G40" i="56"/>
  <c r="F40" i="56"/>
  <c r="E40" i="56"/>
  <c r="D40" i="56"/>
  <c r="B40" i="56"/>
  <c r="G33" i="56"/>
  <c r="F33" i="56"/>
  <c r="E33" i="56"/>
  <c r="D33" i="56"/>
  <c r="C33" i="56"/>
  <c r="B33" i="56"/>
  <c r="G32" i="56"/>
  <c r="F32" i="56"/>
  <c r="E32" i="56"/>
  <c r="D32" i="56"/>
  <c r="C32" i="56"/>
  <c r="B32" i="56"/>
  <c r="G31" i="56"/>
  <c r="F31" i="56"/>
  <c r="E31" i="56"/>
  <c r="D31" i="56"/>
  <c r="C31" i="56"/>
  <c r="B31" i="56"/>
  <c r="G30" i="56"/>
  <c r="F30" i="56"/>
  <c r="E30" i="56"/>
  <c r="D30" i="56"/>
  <c r="C30" i="56"/>
  <c r="B30" i="56"/>
  <c r="G29" i="56"/>
  <c r="F29" i="56"/>
  <c r="E29" i="56"/>
  <c r="D29" i="56"/>
  <c r="C29" i="56"/>
  <c r="B29" i="56"/>
  <c r="G28" i="56"/>
  <c r="F28" i="56"/>
  <c r="E28" i="56"/>
  <c r="D28" i="56"/>
  <c r="C28" i="56"/>
  <c r="B28" i="56"/>
  <c r="G27" i="56"/>
  <c r="F27" i="56"/>
  <c r="E27" i="56"/>
  <c r="D27" i="56"/>
  <c r="C27" i="56"/>
  <c r="B27" i="56"/>
  <c r="G26" i="56"/>
  <c r="F26" i="56"/>
  <c r="E26" i="56"/>
  <c r="D26" i="56"/>
  <c r="C26" i="56"/>
  <c r="B26" i="56"/>
  <c r="G25" i="56"/>
  <c r="F25" i="56"/>
  <c r="E25" i="56"/>
  <c r="D25" i="56"/>
  <c r="C25" i="56"/>
  <c r="B25" i="56"/>
  <c r="G24" i="56"/>
  <c r="F24" i="56"/>
  <c r="E24" i="56"/>
  <c r="D24" i="56"/>
  <c r="C24" i="56"/>
  <c r="B24" i="56"/>
  <c r="G23" i="56"/>
  <c r="F23" i="56"/>
  <c r="E23" i="56"/>
  <c r="D23" i="56"/>
  <c r="C23" i="56"/>
  <c r="B23" i="56"/>
  <c r="G22" i="56"/>
  <c r="F22" i="56"/>
  <c r="E22" i="56"/>
  <c r="D22" i="56"/>
  <c r="C22" i="56"/>
  <c r="B22" i="56"/>
  <c r="G21" i="56"/>
  <c r="F21" i="56"/>
  <c r="E21" i="56"/>
  <c r="D21" i="56"/>
  <c r="C21" i="56"/>
  <c r="B21" i="56"/>
  <c r="G20" i="56"/>
  <c r="F20" i="56"/>
  <c r="E20" i="56"/>
  <c r="D20" i="56"/>
  <c r="C20" i="56"/>
  <c r="B20" i="56"/>
  <c r="G19" i="56"/>
  <c r="F19" i="56"/>
  <c r="E19" i="56"/>
  <c r="D19" i="56"/>
  <c r="C19" i="56"/>
  <c r="B19" i="56"/>
  <c r="G18" i="56"/>
  <c r="F18" i="56"/>
  <c r="E18" i="56"/>
  <c r="D18" i="56"/>
  <c r="C18" i="56"/>
  <c r="B18" i="56"/>
  <c r="G17" i="56"/>
  <c r="F17" i="56"/>
  <c r="E17" i="56"/>
  <c r="D17" i="56"/>
  <c r="C17" i="56"/>
  <c r="B17" i="56"/>
  <c r="G16" i="56"/>
  <c r="F16" i="56"/>
  <c r="E16" i="56"/>
  <c r="D16" i="56"/>
  <c r="C16" i="56"/>
  <c r="B16" i="56"/>
  <c r="G15" i="56"/>
  <c r="F15" i="56"/>
  <c r="E15" i="56"/>
  <c r="D15" i="56"/>
  <c r="C15" i="56"/>
  <c r="B15" i="56"/>
  <c r="G14" i="56"/>
  <c r="F14" i="56"/>
  <c r="E14" i="56"/>
  <c r="D14" i="56"/>
  <c r="C14" i="56"/>
  <c r="B14" i="56"/>
  <c r="G13" i="56"/>
  <c r="F13" i="56"/>
  <c r="E13" i="56"/>
  <c r="D13" i="56"/>
  <c r="C13" i="56"/>
  <c r="B13" i="56"/>
  <c r="G12" i="56"/>
  <c r="F12" i="56"/>
  <c r="E12" i="56"/>
  <c r="D12" i="56"/>
  <c r="C12" i="56"/>
  <c r="B12" i="56"/>
  <c r="G11" i="56"/>
  <c r="F11" i="56"/>
  <c r="E11" i="56"/>
  <c r="D11" i="56"/>
  <c r="C11" i="56"/>
  <c r="B11" i="56"/>
  <c r="G10" i="56"/>
  <c r="F10" i="56"/>
  <c r="E10" i="56"/>
  <c r="D10" i="56"/>
  <c r="C10" i="56"/>
  <c r="B10" i="56"/>
  <c r="G9" i="56"/>
  <c r="F9" i="56"/>
  <c r="E9" i="56"/>
  <c r="D9" i="56"/>
  <c r="C9" i="56"/>
  <c r="B9" i="56"/>
  <c r="G7" i="56"/>
  <c r="F7" i="56"/>
  <c r="E7" i="56"/>
  <c r="D7" i="56"/>
  <c r="C7" i="56"/>
  <c r="B7" i="56"/>
  <c r="I190" i="56"/>
  <c r="J190" i="56" s="1"/>
  <c r="I189" i="56"/>
  <c r="J189" i="56" s="1"/>
  <c r="I188" i="56"/>
  <c r="J188" i="56" s="1"/>
  <c r="I187" i="56"/>
  <c r="J187" i="56" s="1"/>
  <c r="I186" i="56"/>
  <c r="J186" i="56" s="1"/>
  <c r="I185" i="56"/>
  <c r="J185" i="56" s="1"/>
  <c r="I184" i="56"/>
  <c r="J184" i="56" s="1"/>
  <c r="I183" i="56"/>
  <c r="J183" i="56" s="1"/>
  <c r="I182" i="56"/>
  <c r="J182" i="56" s="1"/>
  <c r="I181" i="56"/>
  <c r="J181" i="56" s="1"/>
  <c r="I180" i="56"/>
  <c r="J180" i="56" s="1"/>
  <c r="I179" i="56"/>
  <c r="J179" i="56" s="1"/>
  <c r="I178" i="56"/>
  <c r="J178" i="56" s="1"/>
  <c r="I177" i="56"/>
  <c r="J177" i="56" s="1"/>
  <c r="E175" i="56"/>
  <c r="C175" i="56"/>
  <c r="E174" i="56"/>
  <c r="C174" i="56"/>
  <c r="E173" i="56"/>
  <c r="C173" i="56"/>
  <c r="E172" i="56"/>
  <c r="C172" i="56"/>
  <c r="E171" i="56"/>
  <c r="C171" i="56"/>
  <c r="E170" i="56"/>
  <c r="C170" i="56"/>
  <c r="E169" i="56"/>
  <c r="C169" i="56"/>
  <c r="E168" i="56"/>
  <c r="C168" i="56"/>
  <c r="E167" i="56"/>
  <c r="C167" i="56"/>
  <c r="E166" i="56"/>
  <c r="C166" i="56"/>
  <c r="H154" i="56"/>
  <c r="G154" i="56"/>
  <c r="F154" i="56"/>
  <c r="E154" i="56"/>
  <c r="D154" i="56"/>
  <c r="C154" i="56"/>
  <c r="H153" i="56"/>
  <c r="G153" i="56"/>
  <c r="F153" i="56"/>
  <c r="E153" i="56"/>
  <c r="D153" i="56"/>
  <c r="C153" i="56"/>
  <c r="H152" i="56"/>
  <c r="G152" i="56"/>
  <c r="F152" i="56"/>
  <c r="E152" i="56"/>
  <c r="D152" i="56"/>
  <c r="C152" i="56"/>
  <c r="H151" i="56"/>
  <c r="G151" i="56"/>
  <c r="F151" i="56"/>
  <c r="E151" i="56"/>
  <c r="D151" i="56"/>
  <c r="C151" i="56"/>
  <c r="H150" i="56"/>
  <c r="G150" i="56"/>
  <c r="F150" i="56"/>
  <c r="E150" i="56"/>
  <c r="D150" i="56"/>
  <c r="C150" i="56"/>
  <c r="H149" i="56"/>
  <c r="G149" i="56"/>
  <c r="F149" i="56"/>
  <c r="E149" i="56"/>
  <c r="D149" i="56"/>
  <c r="C149" i="56"/>
  <c r="I135" i="56"/>
  <c r="J135" i="56" s="1"/>
  <c r="I134" i="56"/>
  <c r="J134" i="56" s="1"/>
  <c r="I133" i="56"/>
  <c r="J133" i="56" s="1"/>
  <c r="I132" i="56"/>
  <c r="J132" i="56" s="1"/>
  <c r="I131" i="56"/>
  <c r="J131" i="56" s="1"/>
  <c r="I130" i="56"/>
  <c r="J130" i="56" s="1"/>
  <c r="I129" i="56"/>
  <c r="J129" i="56" s="1"/>
  <c r="I128" i="56"/>
  <c r="J128" i="56" s="1"/>
  <c r="I127" i="56"/>
  <c r="J127" i="56" s="1"/>
  <c r="I126" i="56"/>
  <c r="J126" i="56" s="1"/>
  <c r="I125" i="56"/>
  <c r="J125" i="56" s="1"/>
  <c r="I124" i="56"/>
  <c r="J124" i="56" s="1"/>
  <c r="I123" i="56"/>
  <c r="J123" i="56" s="1"/>
  <c r="I121" i="56"/>
  <c r="J121" i="56" s="1"/>
  <c r="I120" i="56"/>
  <c r="J120" i="56" s="1"/>
  <c r="I119" i="56"/>
  <c r="J119" i="56" s="1"/>
  <c r="I118" i="56"/>
  <c r="J118" i="56" s="1"/>
  <c r="I117" i="56"/>
  <c r="J117" i="56" s="1"/>
  <c r="I116" i="56"/>
  <c r="J116" i="56" s="1"/>
  <c r="I115" i="56"/>
  <c r="J115" i="56" s="1"/>
  <c r="I114" i="56"/>
  <c r="J114" i="56" s="1"/>
  <c r="I113" i="56"/>
  <c r="J113" i="56" s="1"/>
  <c r="I112" i="56"/>
  <c r="J112" i="56" s="1"/>
  <c r="I111" i="56"/>
  <c r="J111" i="56" s="1"/>
  <c r="I110" i="56"/>
  <c r="J110" i="56" s="1"/>
  <c r="I109" i="56"/>
  <c r="J109" i="56" s="1"/>
  <c r="I108" i="56"/>
  <c r="J108" i="56" s="1"/>
  <c r="E106" i="56"/>
  <c r="C106" i="56"/>
  <c r="E105" i="56"/>
  <c r="C105" i="56"/>
  <c r="E104" i="56"/>
  <c r="C104" i="56"/>
  <c r="E103" i="56"/>
  <c r="C103" i="56"/>
  <c r="E102" i="56"/>
  <c r="C102" i="56"/>
  <c r="E101" i="56"/>
  <c r="C101" i="56"/>
  <c r="E100" i="56"/>
  <c r="C100" i="56"/>
  <c r="E99" i="56"/>
  <c r="C99" i="56"/>
  <c r="E98" i="56"/>
  <c r="C98" i="56"/>
  <c r="E97" i="56"/>
  <c r="C97" i="56"/>
  <c r="E89" i="56"/>
  <c r="H85" i="56"/>
  <c r="G85" i="56"/>
  <c r="F85" i="56"/>
  <c r="E85" i="56"/>
  <c r="D85" i="56"/>
  <c r="C85" i="56"/>
  <c r="H84" i="56"/>
  <c r="G84" i="56"/>
  <c r="F84" i="56"/>
  <c r="E84" i="56"/>
  <c r="D84" i="56"/>
  <c r="C84" i="56"/>
  <c r="H83" i="56"/>
  <c r="G83" i="56"/>
  <c r="F83" i="56"/>
  <c r="E83" i="56"/>
  <c r="D83" i="56"/>
  <c r="C83" i="56"/>
  <c r="H82" i="56"/>
  <c r="G82" i="56"/>
  <c r="F82" i="56"/>
  <c r="E82" i="56"/>
  <c r="D82" i="56"/>
  <c r="C82" i="56"/>
  <c r="H81" i="56"/>
  <c r="G81" i="56"/>
  <c r="F81" i="56"/>
  <c r="E81" i="56"/>
  <c r="D81" i="56"/>
  <c r="C81" i="56"/>
  <c r="H80" i="56"/>
  <c r="G80" i="56"/>
  <c r="F80" i="56"/>
  <c r="E80" i="56"/>
  <c r="D80" i="56"/>
  <c r="C80" i="56"/>
  <c r="C60" i="56"/>
  <c r="H8" i="56"/>
  <c r="E34" i="56" l="1"/>
  <c r="G34" i="57"/>
  <c r="F34" i="56"/>
  <c r="G34" i="56"/>
  <c r="B34" i="57"/>
  <c r="C34" i="57"/>
  <c r="B34" i="56"/>
  <c r="D34" i="57"/>
  <c r="C34" i="56"/>
  <c r="E34" i="57"/>
  <c r="D34" i="56"/>
  <c r="F34" i="57"/>
  <c r="D61" i="57"/>
  <c r="I167" i="57"/>
  <c r="J167" i="57" s="1"/>
  <c r="I171" i="57"/>
  <c r="J171" i="57" s="1"/>
  <c r="I175" i="57"/>
  <c r="J175" i="57" s="1"/>
  <c r="J60" i="56"/>
  <c r="J61" i="57"/>
  <c r="J61" i="56"/>
  <c r="M47" i="56"/>
  <c r="F35" i="56"/>
  <c r="I86" i="57"/>
  <c r="J86" i="57" s="1"/>
  <c r="I107" i="57"/>
  <c r="J107" i="57" s="1"/>
  <c r="I201" i="57"/>
  <c r="J201" i="57" s="1"/>
  <c r="C35" i="56"/>
  <c r="I197" i="56"/>
  <c r="J197" i="56" s="1"/>
  <c r="F61" i="56"/>
  <c r="H61" i="57"/>
  <c r="H16" i="56"/>
  <c r="I16" i="56" s="1"/>
  <c r="H18" i="56"/>
  <c r="I18" i="56" s="1"/>
  <c r="H22" i="56"/>
  <c r="I22" i="56" s="1"/>
  <c r="H26" i="56"/>
  <c r="I26" i="56" s="1"/>
  <c r="H28" i="56"/>
  <c r="I28" i="56" s="1"/>
  <c r="F61" i="57"/>
  <c r="F60" i="57"/>
  <c r="I203" i="57"/>
  <c r="J203" i="57" s="1"/>
  <c r="I166" i="56"/>
  <c r="J166" i="56" s="1"/>
  <c r="J60" i="57"/>
  <c r="I150" i="56"/>
  <c r="J150" i="56" s="1"/>
  <c r="I152" i="56"/>
  <c r="J152" i="56" s="1"/>
  <c r="I154" i="56"/>
  <c r="J154" i="56" s="1"/>
  <c r="K53" i="56"/>
  <c r="L53" i="56" s="1"/>
  <c r="M43" i="56"/>
  <c r="M48" i="56"/>
  <c r="G35" i="56"/>
  <c r="I166" i="57"/>
  <c r="J166" i="57" s="1"/>
  <c r="M44" i="56"/>
  <c r="M52" i="56"/>
  <c r="M58" i="56"/>
  <c r="H61" i="56"/>
  <c r="M45" i="56"/>
  <c r="M49" i="56"/>
  <c r="M50" i="56"/>
  <c r="M53" i="56"/>
  <c r="M56" i="56"/>
  <c r="M50" i="57"/>
  <c r="M53" i="57"/>
  <c r="M55" i="57"/>
  <c r="M58" i="57"/>
  <c r="K54" i="56"/>
  <c r="L54" i="56" s="1"/>
  <c r="K58" i="57"/>
  <c r="E61" i="56"/>
  <c r="K49" i="56"/>
  <c r="L49" i="56" s="1"/>
  <c r="E61" i="57"/>
  <c r="D60" i="57"/>
  <c r="K50" i="56"/>
  <c r="L50" i="56" s="1"/>
  <c r="E35" i="56"/>
  <c r="E35" i="57"/>
  <c r="D35" i="57"/>
  <c r="H25" i="57"/>
  <c r="I25" i="57" s="1"/>
  <c r="I162" i="57"/>
  <c r="J162" i="57" s="1"/>
  <c r="I158" i="56"/>
  <c r="J158" i="56" s="1"/>
  <c r="I158" i="57"/>
  <c r="J158" i="57" s="1"/>
  <c r="I205" i="57"/>
  <c r="J205" i="57" s="1"/>
  <c r="I196" i="56"/>
  <c r="J196" i="56" s="1"/>
  <c r="I162" i="56"/>
  <c r="J162" i="56" s="1"/>
  <c r="I201" i="56"/>
  <c r="J201" i="56" s="1"/>
  <c r="I205" i="56"/>
  <c r="J205" i="56" s="1"/>
  <c r="I196" i="57"/>
  <c r="J196" i="57" s="1"/>
  <c r="I92" i="56"/>
  <c r="J92" i="56" s="1"/>
  <c r="I96" i="56"/>
  <c r="J96" i="56" s="1"/>
  <c r="I80" i="57"/>
  <c r="J80" i="57" s="1"/>
  <c r="I87" i="56"/>
  <c r="J87" i="56" s="1"/>
  <c r="I91" i="56"/>
  <c r="J91" i="56" s="1"/>
  <c r="I107" i="56"/>
  <c r="J107" i="56" s="1"/>
  <c r="I136" i="56"/>
  <c r="J136" i="56" s="1"/>
  <c r="I137" i="56"/>
  <c r="J137" i="56" s="1"/>
  <c r="H10" i="56"/>
  <c r="I10" i="56" s="1"/>
  <c r="H9" i="57"/>
  <c r="I9" i="57" s="1"/>
  <c r="H9" i="56"/>
  <c r="I9" i="56" s="1"/>
  <c r="I83" i="57"/>
  <c r="J83" i="57" s="1"/>
  <c r="I83" i="56"/>
  <c r="J83" i="56" s="1"/>
  <c r="D61" i="56"/>
  <c r="K43" i="56"/>
  <c r="L43" i="56" s="1"/>
  <c r="K44" i="56"/>
  <c r="L44" i="56" s="1"/>
  <c r="K47" i="56"/>
  <c r="L47" i="56" s="1"/>
  <c r="K55" i="56"/>
  <c r="L55" i="56" s="1"/>
  <c r="K56" i="56"/>
  <c r="L56" i="56" s="1"/>
  <c r="I61" i="57"/>
  <c r="I82" i="57"/>
  <c r="J82" i="57" s="1"/>
  <c r="I149" i="57"/>
  <c r="J149" i="57" s="1"/>
  <c r="I151" i="57"/>
  <c r="J151" i="57" s="1"/>
  <c r="I153" i="57"/>
  <c r="J153" i="57" s="1"/>
  <c r="I169" i="57"/>
  <c r="J169" i="57" s="1"/>
  <c r="I173" i="57"/>
  <c r="J173" i="57" s="1"/>
  <c r="F35" i="57"/>
  <c r="I88" i="57"/>
  <c r="J88" i="57" s="1"/>
  <c r="I91" i="57"/>
  <c r="J91" i="57" s="1"/>
  <c r="I92" i="57"/>
  <c r="J92" i="57" s="1"/>
  <c r="I95" i="57"/>
  <c r="J95" i="57" s="1"/>
  <c r="I96" i="57"/>
  <c r="J96" i="57" s="1"/>
  <c r="I122" i="57"/>
  <c r="J122" i="57" s="1"/>
  <c r="I136" i="57"/>
  <c r="J136" i="57" s="1"/>
  <c r="I137" i="57"/>
  <c r="J137" i="57" s="1"/>
  <c r="I156" i="57"/>
  <c r="J156" i="57" s="1"/>
  <c r="I160" i="57"/>
  <c r="J160" i="57" s="1"/>
  <c r="I164" i="57"/>
  <c r="J164" i="57" s="1"/>
  <c r="I192" i="57"/>
  <c r="J192" i="57" s="1"/>
  <c r="I193" i="57"/>
  <c r="J193" i="57" s="1"/>
  <c r="I198" i="57"/>
  <c r="J198" i="57" s="1"/>
  <c r="I200" i="57"/>
  <c r="J200" i="57" s="1"/>
  <c r="I202" i="57"/>
  <c r="J202" i="57" s="1"/>
  <c r="I149" i="56"/>
  <c r="J149" i="56" s="1"/>
  <c r="I151" i="56"/>
  <c r="J151" i="56" s="1"/>
  <c r="I153" i="56"/>
  <c r="J153" i="56" s="1"/>
  <c r="I167" i="56"/>
  <c r="J167" i="56" s="1"/>
  <c r="I169" i="56"/>
  <c r="J169" i="56" s="1"/>
  <c r="I171" i="56"/>
  <c r="J171" i="56" s="1"/>
  <c r="I173" i="56"/>
  <c r="J173" i="56" s="1"/>
  <c r="I175" i="56"/>
  <c r="J175" i="56" s="1"/>
  <c r="D35" i="56"/>
  <c r="H12" i="56"/>
  <c r="I12" i="56" s="1"/>
  <c r="H14" i="56"/>
  <c r="I14" i="56" s="1"/>
  <c r="H20" i="56"/>
  <c r="I20" i="56" s="1"/>
  <c r="H24" i="56"/>
  <c r="I24" i="56" s="1"/>
  <c r="H30" i="56"/>
  <c r="I30" i="56" s="1"/>
  <c r="M42" i="56"/>
  <c r="M46" i="56"/>
  <c r="M54" i="56"/>
  <c r="I88" i="56"/>
  <c r="J88" i="56" s="1"/>
  <c r="I95" i="56"/>
  <c r="J95" i="56" s="1"/>
  <c r="I122" i="56"/>
  <c r="J122" i="56" s="1"/>
  <c r="I155" i="56"/>
  <c r="J155" i="56" s="1"/>
  <c r="I156" i="56"/>
  <c r="J156" i="56" s="1"/>
  <c r="I159" i="56"/>
  <c r="J159" i="56" s="1"/>
  <c r="I160" i="56"/>
  <c r="J160" i="56" s="1"/>
  <c r="I163" i="56"/>
  <c r="J163" i="56" s="1"/>
  <c r="I164" i="56"/>
  <c r="J164" i="56" s="1"/>
  <c r="I192" i="56"/>
  <c r="J192" i="56" s="1"/>
  <c r="I193" i="56"/>
  <c r="J193" i="56" s="1"/>
  <c r="I200" i="56"/>
  <c r="J200" i="56" s="1"/>
  <c r="I202" i="56"/>
  <c r="J202" i="56" s="1"/>
  <c r="H18" i="57"/>
  <c r="I18" i="57" s="1"/>
  <c r="H22" i="57"/>
  <c r="I22" i="57" s="1"/>
  <c r="H30" i="57"/>
  <c r="I30" i="57" s="1"/>
  <c r="H32" i="57"/>
  <c r="I32" i="57" s="1"/>
  <c r="G35" i="57"/>
  <c r="K42" i="57"/>
  <c r="L42" i="57" s="1"/>
  <c r="K44" i="57"/>
  <c r="L44" i="57" s="1"/>
  <c r="K45" i="57"/>
  <c r="L45" i="57" s="1"/>
  <c r="K46" i="57"/>
  <c r="L46" i="57" s="1"/>
  <c r="K47" i="57"/>
  <c r="L47" i="57" s="1"/>
  <c r="K48" i="57"/>
  <c r="L48" i="57" s="1"/>
  <c r="K49" i="57"/>
  <c r="L49" i="57" s="1"/>
  <c r="K52" i="57"/>
  <c r="L52" i="57" s="1"/>
  <c r="K54" i="57"/>
  <c r="L54" i="57" s="1"/>
  <c r="I87" i="57"/>
  <c r="J87" i="57" s="1"/>
  <c r="K48" i="56"/>
  <c r="L48" i="56" s="1"/>
  <c r="I80" i="56"/>
  <c r="J80" i="56" s="1"/>
  <c r="I84" i="56"/>
  <c r="J84" i="56" s="1"/>
  <c r="H13" i="56"/>
  <c r="I13" i="56" s="1"/>
  <c r="H68" i="56"/>
  <c r="I68" i="56" s="1"/>
  <c r="I157" i="56"/>
  <c r="J157" i="56" s="1"/>
  <c r="I161" i="56"/>
  <c r="J161" i="56" s="1"/>
  <c r="I165" i="56"/>
  <c r="J165" i="56" s="1"/>
  <c r="I198" i="56"/>
  <c r="J198" i="56" s="1"/>
  <c r="I203" i="56"/>
  <c r="J203" i="56" s="1"/>
  <c r="I204" i="56"/>
  <c r="J204" i="56" s="1"/>
  <c r="I150" i="57"/>
  <c r="J150" i="57" s="1"/>
  <c r="I152" i="57"/>
  <c r="J152" i="57" s="1"/>
  <c r="I154" i="57"/>
  <c r="J154" i="57" s="1"/>
  <c r="I170" i="57"/>
  <c r="J170" i="57" s="1"/>
  <c r="I174" i="57"/>
  <c r="J174" i="57" s="1"/>
  <c r="M52" i="57"/>
  <c r="K53" i="57"/>
  <c r="L53" i="57" s="1"/>
  <c r="M54" i="57"/>
  <c r="K55" i="57"/>
  <c r="L55" i="57" s="1"/>
  <c r="K56" i="57"/>
  <c r="L56" i="57" s="1"/>
  <c r="M56" i="57"/>
  <c r="I155" i="57"/>
  <c r="J155" i="57" s="1"/>
  <c r="I157" i="57"/>
  <c r="J157" i="57" s="1"/>
  <c r="I159" i="57"/>
  <c r="J159" i="57" s="1"/>
  <c r="I161" i="57"/>
  <c r="J161" i="57" s="1"/>
  <c r="I163" i="57"/>
  <c r="J163" i="57" s="1"/>
  <c r="I165" i="57"/>
  <c r="J165" i="57" s="1"/>
  <c r="I197" i="57"/>
  <c r="J197" i="57" s="1"/>
  <c r="I204" i="57"/>
  <c r="J204" i="57" s="1"/>
  <c r="B35" i="57"/>
  <c r="H68" i="57"/>
  <c r="I68" i="57" s="1"/>
  <c r="I61" i="56"/>
  <c r="M41" i="57"/>
  <c r="M42" i="57"/>
  <c r="M43" i="57"/>
  <c r="M44" i="57"/>
  <c r="M45" i="57"/>
  <c r="M46" i="57"/>
  <c r="M47" i="57"/>
  <c r="M49" i="57"/>
  <c r="B61" i="57"/>
  <c r="K50" i="57"/>
  <c r="L50" i="57" s="1"/>
  <c r="K43" i="57"/>
  <c r="L43" i="57" s="1"/>
  <c r="K41" i="57"/>
  <c r="L41" i="57" s="1"/>
  <c r="H15" i="56"/>
  <c r="I15" i="56" s="1"/>
  <c r="H10" i="57"/>
  <c r="I10" i="57" s="1"/>
  <c r="H13" i="57"/>
  <c r="I13" i="57" s="1"/>
  <c r="I14" i="57"/>
  <c r="H17" i="57"/>
  <c r="I17" i="57" s="1"/>
  <c r="H21" i="57"/>
  <c r="I21" i="57" s="1"/>
  <c r="H26" i="57"/>
  <c r="I26" i="57" s="1"/>
  <c r="H29" i="57"/>
  <c r="I29" i="57" s="1"/>
  <c r="H33" i="57"/>
  <c r="I33" i="57" s="1"/>
  <c r="H11" i="56"/>
  <c r="I11" i="56" s="1"/>
  <c r="I168" i="57"/>
  <c r="J168" i="57" s="1"/>
  <c r="I172" i="57"/>
  <c r="J172" i="57" s="1"/>
  <c r="I98" i="57"/>
  <c r="J98" i="57" s="1"/>
  <c r="I100" i="57"/>
  <c r="J100" i="57" s="1"/>
  <c r="I102" i="57"/>
  <c r="J102" i="57" s="1"/>
  <c r="I104" i="57"/>
  <c r="J104" i="57" s="1"/>
  <c r="I106" i="57"/>
  <c r="J106" i="57" s="1"/>
  <c r="H60" i="57"/>
  <c r="H7" i="57"/>
  <c r="C35" i="57"/>
  <c r="H11" i="57"/>
  <c r="I11" i="57" s="1"/>
  <c r="H15" i="57"/>
  <c r="I15" i="57" s="1"/>
  <c r="H19" i="57"/>
  <c r="H23" i="57"/>
  <c r="I23" i="57" s="1"/>
  <c r="H27" i="57"/>
  <c r="I27" i="57" s="1"/>
  <c r="H31" i="57"/>
  <c r="I31" i="57" s="1"/>
  <c r="H8" i="57"/>
  <c r="I8" i="57" s="1"/>
  <c r="H12" i="57"/>
  <c r="I12" i="57" s="1"/>
  <c r="H16" i="57"/>
  <c r="I16" i="57" s="1"/>
  <c r="H20" i="57"/>
  <c r="I20" i="57" s="1"/>
  <c r="H24" i="57"/>
  <c r="I24" i="57" s="1"/>
  <c r="H28" i="57"/>
  <c r="I28" i="57" s="1"/>
  <c r="M48" i="57"/>
  <c r="K57" i="57"/>
  <c r="L57" i="57" s="1"/>
  <c r="M57" i="57"/>
  <c r="G60" i="57"/>
  <c r="G61" i="57"/>
  <c r="N73" i="57"/>
  <c r="O73" i="57" s="1"/>
  <c r="I81" i="57"/>
  <c r="J81" i="57" s="1"/>
  <c r="I85" i="57"/>
  <c r="J85" i="57" s="1"/>
  <c r="I89" i="57"/>
  <c r="J89" i="57" s="1"/>
  <c r="I93" i="57"/>
  <c r="J93" i="57" s="1"/>
  <c r="I97" i="57"/>
  <c r="J97" i="57" s="1"/>
  <c r="I176" i="57"/>
  <c r="J176" i="57" s="1"/>
  <c r="I194" i="57"/>
  <c r="J194" i="57" s="1"/>
  <c r="M40" i="57"/>
  <c r="I84" i="57"/>
  <c r="J84" i="57" s="1"/>
  <c r="E60" i="57"/>
  <c r="I60" i="57"/>
  <c r="K40" i="57"/>
  <c r="K51" i="57"/>
  <c r="L51" i="57" s="1"/>
  <c r="M51" i="57"/>
  <c r="K59" i="57"/>
  <c r="L59" i="57" s="1"/>
  <c r="M59" i="57"/>
  <c r="B60" i="57"/>
  <c r="I90" i="57"/>
  <c r="J90" i="57" s="1"/>
  <c r="I94" i="57"/>
  <c r="J94" i="57" s="1"/>
  <c r="I99" i="57"/>
  <c r="J99" i="57" s="1"/>
  <c r="I101" i="57"/>
  <c r="J101" i="57" s="1"/>
  <c r="I103" i="57"/>
  <c r="J103" i="57" s="1"/>
  <c r="I105" i="57"/>
  <c r="J105" i="57" s="1"/>
  <c r="I191" i="57"/>
  <c r="J191" i="57" s="1"/>
  <c r="I195" i="57"/>
  <c r="J195" i="57" s="1"/>
  <c r="I199" i="57"/>
  <c r="J199" i="57" s="1"/>
  <c r="I168" i="56"/>
  <c r="J168" i="56" s="1"/>
  <c r="I170" i="56"/>
  <c r="J170" i="56" s="1"/>
  <c r="I172" i="56"/>
  <c r="J172" i="56" s="1"/>
  <c r="I174" i="56"/>
  <c r="J174" i="56" s="1"/>
  <c r="I98" i="56"/>
  <c r="J98" i="56" s="1"/>
  <c r="I100" i="56"/>
  <c r="J100" i="56" s="1"/>
  <c r="I102" i="56"/>
  <c r="J102" i="56" s="1"/>
  <c r="I104" i="56"/>
  <c r="J104" i="56" s="1"/>
  <c r="I106" i="56"/>
  <c r="J106" i="56" s="1"/>
  <c r="K42" i="56"/>
  <c r="L42" i="56" s="1"/>
  <c r="K46" i="56"/>
  <c r="L46" i="56" s="1"/>
  <c r="K58" i="56"/>
  <c r="L58" i="56" s="1"/>
  <c r="H60" i="56"/>
  <c r="K45" i="56"/>
  <c r="L45" i="56" s="1"/>
  <c r="K52" i="56"/>
  <c r="K40" i="56"/>
  <c r="L40" i="56" s="1"/>
  <c r="F60" i="56"/>
  <c r="D60" i="56"/>
  <c r="I8" i="56"/>
  <c r="H7" i="56"/>
  <c r="I7" i="56" s="1"/>
  <c r="B35" i="56"/>
  <c r="H17" i="56"/>
  <c r="I17" i="56" s="1"/>
  <c r="H19" i="56"/>
  <c r="I19" i="56" s="1"/>
  <c r="H21" i="56"/>
  <c r="I21" i="56" s="1"/>
  <c r="H23" i="56"/>
  <c r="I23" i="56" s="1"/>
  <c r="H25" i="56"/>
  <c r="I25" i="56" s="1"/>
  <c r="H27" i="56"/>
  <c r="I27" i="56" s="1"/>
  <c r="H29" i="56"/>
  <c r="I29" i="56" s="1"/>
  <c r="H31" i="56"/>
  <c r="I31" i="56" s="1"/>
  <c r="H33" i="56"/>
  <c r="I33" i="56" s="1"/>
  <c r="H32" i="56"/>
  <c r="M40" i="56"/>
  <c r="K57" i="56"/>
  <c r="L57" i="56" s="1"/>
  <c r="M57" i="56"/>
  <c r="G60" i="56"/>
  <c r="G61" i="56"/>
  <c r="N73" i="56"/>
  <c r="O73" i="56" s="1"/>
  <c r="I81" i="56"/>
  <c r="J81" i="56" s="1"/>
  <c r="I85" i="56"/>
  <c r="J85" i="56" s="1"/>
  <c r="I89" i="56"/>
  <c r="J89" i="56" s="1"/>
  <c r="I93" i="56"/>
  <c r="J93" i="56" s="1"/>
  <c r="I97" i="56"/>
  <c r="J97" i="56" s="1"/>
  <c r="I176" i="56"/>
  <c r="J176" i="56" s="1"/>
  <c r="I194" i="56"/>
  <c r="J194" i="56" s="1"/>
  <c r="K41" i="56"/>
  <c r="L41" i="56" s="1"/>
  <c r="E60" i="56"/>
  <c r="I60" i="56"/>
  <c r="B61" i="56"/>
  <c r="M41" i="56"/>
  <c r="K51" i="56"/>
  <c r="M51" i="56"/>
  <c r="K59" i="56"/>
  <c r="L59" i="56" s="1"/>
  <c r="M59" i="56"/>
  <c r="B60" i="56"/>
  <c r="I82" i="56"/>
  <c r="J82" i="56" s="1"/>
  <c r="I86" i="56"/>
  <c r="J86" i="56" s="1"/>
  <c r="I90" i="56"/>
  <c r="J90" i="56" s="1"/>
  <c r="I94" i="56"/>
  <c r="J94" i="56" s="1"/>
  <c r="I99" i="56"/>
  <c r="J99" i="56" s="1"/>
  <c r="I101" i="56"/>
  <c r="J101" i="56" s="1"/>
  <c r="I103" i="56"/>
  <c r="J103" i="56" s="1"/>
  <c r="I105" i="56"/>
  <c r="J105" i="56" s="1"/>
  <c r="I191" i="56"/>
  <c r="J191" i="56" s="1"/>
  <c r="I195" i="56"/>
  <c r="J195" i="56" s="1"/>
  <c r="I199" i="56"/>
  <c r="J199" i="56" s="1"/>
  <c r="E175" i="49"/>
  <c r="C175" i="49"/>
  <c r="E174" i="49"/>
  <c r="C174" i="49"/>
  <c r="E173" i="49"/>
  <c r="C173" i="49"/>
  <c r="E172" i="49"/>
  <c r="C172" i="49"/>
  <c r="E171" i="49"/>
  <c r="C171" i="49"/>
  <c r="E170" i="49"/>
  <c r="C170" i="49"/>
  <c r="E169" i="49"/>
  <c r="C169" i="49"/>
  <c r="E168" i="49"/>
  <c r="C168" i="49"/>
  <c r="E167" i="49"/>
  <c r="C167" i="49"/>
  <c r="E166" i="49"/>
  <c r="C166" i="49"/>
  <c r="E106" i="49"/>
  <c r="C106" i="49"/>
  <c r="E105" i="49"/>
  <c r="C105" i="49"/>
  <c r="E104" i="49"/>
  <c r="C104" i="49"/>
  <c r="E103" i="49"/>
  <c r="C103" i="49"/>
  <c r="E102" i="49"/>
  <c r="C102" i="49"/>
  <c r="E101" i="49"/>
  <c r="C101" i="49"/>
  <c r="E100" i="49"/>
  <c r="C100" i="49"/>
  <c r="E99" i="49"/>
  <c r="C99" i="49"/>
  <c r="E98" i="49"/>
  <c r="C98" i="49"/>
  <c r="E97" i="49"/>
  <c r="C97" i="49"/>
  <c r="E89" i="49"/>
  <c r="B34" i="49" l="1"/>
  <c r="C34" i="49"/>
  <c r="D34" i="49"/>
  <c r="E34" i="49"/>
  <c r="L58" i="57"/>
  <c r="L60" i="57" s="1"/>
  <c r="K60" i="57"/>
  <c r="F34" i="49"/>
  <c r="G34" i="49"/>
  <c r="H34" i="56"/>
  <c r="I19" i="57"/>
  <c r="I34" i="57" s="1"/>
  <c r="H34" i="57"/>
  <c r="L51" i="56"/>
  <c r="K60" i="56"/>
  <c r="L52" i="56"/>
  <c r="K59" i="49"/>
  <c r="M60" i="56"/>
  <c r="I7" i="49"/>
  <c r="M60" i="57"/>
  <c r="M61" i="57"/>
  <c r="K61" i="57"/>
  <c r="L40" i="57"/>
  <c r="H35" i="57"/>
  <c r="I7" i="57"/>
  <c r="I35" i="57" s="1"/>
  <c r="L61" i="56"/>
  <c r="I32" i="56"/>
  <c r="I34" i="56" s="1"/>
  <c r="H35" i="56"/>
  <c r="M61" i="56"/>
  <c r="K61" i="56"/>
  <c r="AH44" i="1"/>
  <c r="AH43" i="1"/>
  <c r="AG44" i="1"/>
  <c r="AG43" i="1"/>
  <c r="AF44" i="1"/>
  <c r="AF43" i="1"/>
  <c r="AH16" i="1"/>
  <c r="AH15" i="1"/>
  <c r="AF47" i="1"/>
  <c r="AH47" i="1"/>
  <c r="AG47" i="1"/>
  <c r="AH19" i="1"/>
  <c r="AG19" i="1"/>
  <c r="AF19" i="1"/>
  <c r="H47" i="1"/>
  <c r="E47" i="1"/>
  <c r="H36" i="1"/>
  <c r="E36" i="1"/>
  <c r="F36" i="1" s="1"/>
  <c r="B36" i="1"/>
  <c r="C36" i="1" s="1"/>
  <c r="D36" i="1" s="1"/>
  <c r="B47" i="1"/>
  <c r="C47" i="1" s="1"/>
  <c r="L61" i="57" l="1"/>
  <c r="L60" i="56"/>
  <c r="I36" i="1"/>
  <c r="M47" i="1"/>
  <c r="L47" i="1"/>
  <c r="K47" i="1"/>
  <c r="I35" i="56"/>
  <c r="I47" i="1"/>
  <c r="F47" i="1"/>
  <c r="B18" i="54" l="1"/>
  <c r="G18" i="54"/>
  <c r="C25" i="1" l="1"/>
  <c r="D25" i="1" s="1"/>
  <c r="S16" i="1" l="1"/>
  <c r="AH17" i="1"/>
  <c r="I8" i="1"/>
  <c r="M19" i="1"/>
  <c r="F18" i="1"/>
  <c r="L19" i="1"/>
  <c r="F8" i="1"/>
  <c r="G8" i="1" s="1"/>
  <c r="C18" i="1"/>
  <c r="B19" i="1"/>
  <c r="K19" i="1" s="1"/>
  <c r="B8" i="1"/>
  <c r="O8" i="1" s="1"/>
  <c r="Y8" i="1" l="1"/>
  <c r="C8" i="1"/>
  <c r="D8" i="1" s="1"/>
  <c r="I19" i="1"/>
  <c r="J19" i="1" s="1"/>
  <c r="F19" i="1"/>
  <c r="G19" i="1" s="1"/>
  <c r="C19" i="1"/>
  <c r="D19" i="1" s="1"/>
  <c r="C23" i="54"/>
  <c r="D23" i="54"/>
  <c r="E23" i="54"/>
  <c r="F23" i="54"/>
  <c r="G23" i="54"/>
  <c r="H23" i="54"/>
  <c r="I23" i="54"/>
  <c r="J23" i="54"/>
  <c r="K23" i="54"/>
  <c r="L23" i="54"/>
  <c r="M23" i="54"/>
  <c r="B23" i="54"/>
  <c r="C21" i="54"/>
  <c r="D21" i="54"/>
  <c r="E21" i="54"/>
  <c r="F21" i="54"/>
  <c r="G21" i="54"/>
  <c r="H21" i="54"/>
  <c r="I21" i="54"/>
  <c r="J21" i="54"/>
  <c r="K21" i="54"/>
  <c r="L21" i="54"/>
  <c r="M21" i="54"/>
  <c r="B21" i="54"/>
  <c r="C19" i="54"/>
  <c r="D19" i="54"/>
  <c r="E19" i="54"/>
  <c r="F19" i="54"/>
  <c r="G19" i="54"/>
  <c r="H19" i="54"/>
  <c r="I19" i="54"/>
  <c r="J19" i="54"/>
  <c r="K19" i="54"/>
  <c r="L19" i="54"/>
  <c r="M19" i="54"/>
  <c r="C20" i="54"/>
  <c r="E20" i="54"/>
  <c r="F20" i="54"/>
  <c r="G20" i="54"/>
  <c r="H20" i="54"/>
  <c r="I20" i="54"/>
  <c r="J20" i="54"/>
  <c r="K20" i="54"/>
  <c r="L20" i="54"/>
  <c r="M20" i="54"/>
  <c r="B20" i="54"/>
  <c r="B19" i="54"/>
  <c r="C18" i="54"/>
  <c r="D18" i="54"/>
  <c r="E18" i="54"/>
  <c r="F18" i="54"/>
  <c r="H18" i="54"/>
  <c r="I18" i="54"/>
  <c r="J18" i="54"/>
  <c r="K18" i="54"/>
  <c r="L18" i="54"/>
  <c r="M18" i="54"/>
  <c r="B11" i="54" l="1"/>
  <c r="B10" i="54"/>
  <c r="AF10" i="52"/>
  <c r="AF11" i="52"/>
  <c r="AH31" i="3" s="1"/>
  <c r="AF12" i="52"/>
  <c r="AF13" i="52"/>
  <c r="S10" i="52"/>
  <c r="B10" i="52"/>
  <c r="C10" i="52"/>
  <c r="D10" i="52"/>
  <c r="B11" i="52"/>
  <c r="C5" i="54"/>
  <c r="D5" i="54"/>
  <c r="E5" i="54"/>
  <c r="F5" i="54"/>
  <c r="H5" i="54"/>
  <c r="I5" i="54"/>
  <c r="J5" i="54"/>
  <c r="K5" i="54"/>
  <c r="L5" i="54"/>
  <c r="M5" i="54"/>
  <c r="E10" i="52" l="1"/>
  <c r="B31" i="3"/>
  <c r="B35" i="3" s="1"/>
  <c r="B35" i="52"/>
  <c r="AF14" i="52"/>
  <c r="AA10" i="1" s="1"/>
  <c r="AF5" i="52"/>
  <c r="AF7" i="52"/>
  <c r="AF8" i="52"/>
  <c r="AF9" i="52"/>
  <c r="AA11" i="1"/>
  <c r="AF15" i="52"/>
  <c r="AA9" i="1" s="1"/>
  <c r="AF16" i="52"/>
  <c r="AA8" i="1" s="1"/>
  <c r="V8" i="1" s="1"/>
  <c r="AF17" i="52"/>
  <c r="AF18" i="52"/>
  <c r="AF19" i="52"/>
  <c r="AF20" i="52"/>
  <c r="AF21" i="52"/>
  <c r="AF22" i="52"/>
  <c r="AF23" i="52"/>
  <c r="AF24" i="52"/>
  <c r="AF25" i="52"/>
  <c r="AF26" i="52"/>
  <c r="AF27" i="52"/>
  <c r="AF28" i="52"/>
  <c r="AF29" i="52"/>
  <c r="AF30" i="52"/>
  <c r="AF31" i="52"/>
  <c r="AF32" i="52"/>
  <c r="AF33" i="52"/>
  <c r="AF34" i="52"/>
  <c r="AF4" i="52"/>
  <c r="AG1" i="52"/>
  <c r="S5" i="52"/>
  <c r="S7" i="52"/>
  <c r="S8" i="52"/>
  <c r="S9" i="52"/>
  <c r="S11" i="52"/>
  <c r="S12" i="52"/>
  <c r="S13" i="52"/>
  <c r="S15" i="52"/>
  <c r="S16" i="52"/>
  <c r="S17" i="52"/>
  <c r="S18" i="52"/>
  <c r="S19" i="52"/>
  <c r="S20" i="52"/>
  <c r="S21" i="52"/>
  <c r="S22" i="52"/>
  <c r="S23" i="52"/>
  <c r="S24" i="52"/>
  <c r="S25" i="52"/>
  <c r="S26" i="52"/>
  <c r="S27" i="52"/>
  <c r="S28" i="52"/>
  <c r="S29" i="52"/>
  <c r="S30" i="52"/>
  <c r="S31" i="52"/>
  <c r="S32" i="52"/>
  <c r="S33" i="52"/>
  <c r="S34" i="52"/>
  <c r="Z8" i="1" l="1"/>
  <c r="AB8" i="1" s="1"/>
  <c r="BA131" i="62"/>
  <c r="AX131" i="62" s="1"/>
  <c r="Z9" i="1"/>
  <c r="AB9" i="1" s="1"/>
  <c r="BA130" i="62"/>
  <c r="AX130" i="62" s="1"/>
  <c r="Z11" i="1"/>
  <c r="AB11" i="1" s="1"/>
  <c r="BA147" i="62"/>
  <c r="BA126" i="62"/>
  <c r="AX126" i="62" s="1"/>
  <c r="BA144" i="62"/>
  <c r="BA145" i="62"/>
  <c r="BA122" i="62"/>
  <c r="AX122" i="62" s="1"/>
  <c r="AS6" i="52"/>
  <c r="AS11" i="52"/>
  <c r="AU11" i="52" s="1"/>
  <c r="S53" i="52"/>
  <c r="S30" i="3"/>
  <c r="AA13" i="1"/>
  <c r="AS36" i="52"/>
  <c r="AU36" i="52" s="1"/>
  <c r="O13" i="54"/>
  <c r="Q13" i="54" s="1"/>
  <c r="O14" i="54"/>
  <c r="Q14" i="54" s="1"/>
  <c r="O5" i="54"/>
  <c r="Q5" i="54" s="1"/>
  <c r="O6" i="54"/>
  <c r="Q6" i="54" s="1"/>
  <c r="O8" i="54"/>
  <c r="Q8" i="54" s="1"/>
  <c r="S31" i="3"/>
  <c r="O10" i="54"/>
  <c r="Q10" i="54" s="1"/>
  <c r="O11" i="54"/>
  <c r="Q11" i="54" s="1"/>
  <c r="AH30" i="3"/>
  <c r="AS5" i="52"/>
  <c r="AS10" i="52"/>
  <c r="AU10" i="52" s="1"/>
  <c r="AS34" i="52"/>
  <c r="AS30" i="52"/>
  <c r="AS26" i="52"/>
  <c r="AS22" i="52"/>
  <c r="AS18" i="52"/>
  <c r="AS13" i="52"/>
  <c r="AU13" i="52" s="1"/>
  <c r="AS8" i="52"/>
  <c r="AU8" i="52" s="1"/>
  <c r="AS4" i="52"/>
  <c r="AU4" i="52" s="1"/>
  <c r="AS14" i="52"/>
  <c r="AC10" i="1" s="1"/>
  <c r="AS33" i="52"/>
  <c r="AS29" i="52"/>
  <c r="AS25" i="52"/>
  <c r="AS21" i="52"/>
  <c r="AS17" i="52"/>
  <c r="AS12" i="52"/>
  <c r="AU12" i="52" s="1"/>
  <c r="AS7" i="52"/>
  <c r="AU7" i="52" s="1"/>
  <c r="AS37" i="52"/>
  <c r="AS28" i="52"/>
  <c r="AS24" i="52"/>
  <c r="AS20" i="52"/>
  <c r="AS16" i="52"/>
  <c r="AS32" i="52"/>
  <c r="AS35" i="52"/>
  <c r="AS31" i="52"/>
  <c r="AS27" i="52"/>
  <c r="AS23" i="52"/>
  <c r="AS19" i="52"/>
  <c r="AS15" i="52"/>
  <c r="AS9" i="52"/>
  <c r="AU9" i="52" s="1"/>
  <c r="C37" i="52"/>
  <c r="D37" i="52"/>
  <c r="D34" i="52"/>
  <c r="C34" i="52"/>
  <c r="B34" i="52"/>
  <c r="D33" i="52"/>
  <c r="C33" i="52"/>
  <c r="B33" i="52"/>
  <c r="D32" i="52"/>
  <c r="C32" i="52"/>
  <c r="B32" i="52"/>
  <c r="D31" i="52"/>
  <c r="C31" i="52"/>
  <c r="B31" i="52"/>
  <c r="D30" i="52"/>
  <c r="C30" i="52"/>
  <c r="B30" i="52"/>
  <c r="D29" i="52"/>
  <c r="C29" i="52"/>
  <c r="B29" i="52"/>
  <c r="D28" i="52"/>
  <c r="C28" i="52"/>
  <c r="B28" i="52"/>
  <c r="D27" i="52"/>
  <c r="C27" i="52"/>
  <c r="B27" i="52"/>
  <c r="D26" i="52"/>
  <c r="C26" i="52"/>
  <c r="B26" i="52"/>
  <c r="D25" i="52"/>
  <c r="C25" i="52"/>
  <c r="B25" i="52"/>
  <c r="D24" i="52"/>
  <c r="C24" i="52"/>
  <c r="B24" i="52"/>
  <c r="D23" i="52"/>
  <c r="C23" i="52"/>
  <c r="B23" i="52"/>
  <c r="D22" i="52"/>
  <c r="C22" i="52"/>
  <c r="B22" i="52"/>
  <c r="D21" i="52"/>
  <c r="C21" i="52"/>
  <c r="B21" i="52"/>
  <c r="D20" i="52"/>
  <c r="C20" i="52"/>
  <c r="B20" i="52"/>
  <c r="D19" i="52"/>
  <c r="C19" i="52"/>
  <c r="B19" i="52"/>
  <c r="D18" i="52"/>
  <c r="C18" i="52"/>
  <c r="B18" i="52"/>
  <c r="D17" i="52"/>
  <c r="C17" i="52"/>
  <c r="B17" i="52"/>
  <c r="D16" i="52"/>
  <c r="AC36" i="1" s="1"/>
  <c r="C16" i="52"/>
  <c r="AA36" i="1" s="1"/>
  <c r="T36" i="1" s="1"/>
  <c r="B16" i="52"/>
  <c r="D15" i="52"/>
  <c r="AC37" i="1" s="1"/>
  <c r="C15" i="52"/>
  <c r="AA37" i="1" s="1"/>
  <c r="B15" i="52"/>
  <c r="D14" i="52"/>
  <c r="AC38" i="1" s="1"/>
  <c r="C14" i="52"/>
  <c r="AA38" i="1" s="1"/>
  <c r="B14" i="52"/>
  <c r="D13" i="52"/>
  <c r="AC39" i="1" s="1"/>
  <c r="C13" i="52"/>
  <c r="AA39" i="1" s="1"/>
  <c r="B13" i="52"/>
  <c r="D12" i="52"/>
  <c r="C12" i="52"/>
  <c r="B12" i="52"/>
  <c r="D11" i="52"/>
  <c r="E11" i="52" s="1"/>
  <c r="C11" i="52"/>
  <c r="D9" i="52"/>
  <c r="C9" i="52"/>
  <c r="B9" i="52"/>
  <c r="D8" i="52"/>
  <c r="C8" i="52"/>
  <c r="B8" i="52"/>
  <c r="D7" i="52"/>
  <c r="C7" i="52"/>
  <c r="B7" i="52"/>
  <c r="C6" i="52"/>
  <c r="AA44" i="1" s="1"/>
  <c r="M12" i="54"/>
  <c r="L12" i="54"/>
  <c r="K12" i="54"/>
  <c r="I12" i="54"/>
  <c r="H12" i="54"/>
  <c r="G12" i="54"/>
  <c r="F12" i="54"/>
  <c r="E12" i="54"/>
  <c r="D12" i="54"/>
  <c r="C12" i="54"/>
  <c r="B12" i="54"/>
  <c r="D6" i="52"/>
  <c r="AC44" i="1" s="1"/>
  <c r="D5" i="52"/>
  <c r="C5" i="52"/>
  <c r="B5" i="52"/>
  <c r="D4" i="52"/>
  <c r="C4" i="52"/>
  <c r="B4" i="52"/>
  <c r="E4" i="52" l="1"/>
  <c r="BA160" i="62"/>
  <c r="AX160" i="62" s="1"/>
  <c r="AX147" i="62"/>
  <c r="BA157" i="62"/>
  <c r="AX157" i="62" s="1"/>
  <c r="AX144" i="62"/>
  <c r="BA158" i="62"/>
  <c r="AX158" i="62" s="1"/>
  <c r="AX145" i="62"/>
  <c r="E24" i="52"/>
  <c r="E9" i="52"/>
  <c r="E17" i="52"/>
  <c r="E21" i="52"/>
  <c r="E25" i="52"/>
  <c r="E29" i="52"/>
  <c r="E33" i="52"/>
  <c r="E32" i="52"/>
  <c r="E8" i="52"/>
  <c r="E12" i="52"/>
  <c r="E20" i="52"/>
  <c r="E28" i="52"/>
  <c r="Z37" i="1"/>
  <c r="E15" i="52"/>
  <c r="E23" i="52"/>
  <c r="E31" i="52"/>
  <c r="E18" i="52"/>
  <c r="E26" i="52"/>
  <c r="E34" i="52"/>
  <c r="Z39" i="1"/>
  <c r="E13" i="52"/>
  <c r="E7" i="52"/>
  <c r="E19" i="52"/>
  <c r="E27" i="52"/>
  <c r="E5" i="52"/>
  <c r="Z38" i="1"/>
  <c r="E14" i="52"/>
  <c r="E22" i="52"/>
  <c r="E30" i="52"/>
  <c r="Z36" i="1"/>
  <c r="E16" i="52"/>
  <c r="AC11" i="1"/>
  <c r="AU16" i="52"/>
  <c r="AC8" i="1"/>
  <c r="AU15" i="52"/>
  <c r="AC9" i="1"/>
  <c r="B30" i="3"/>
  <c r="AU5" i="52"/>
  <c r="AS53" i="52"/>
  <c r="AS55" i="52" s="1"/>
  <c r="AS41" i="52"/>
  <c r="R14" i="54"/>
  <c r="S14" i="54" s="1"/>
  <c r="R10" i="54"/>
  <c r="S10" i="54" s="1"/>
  <c r="R13" i="54"/>
  <c r="S13" i="54" s="1"/>
  <c r="S32" i="3"/>
  <c r="S36" i="3" s="1"/>
  <c r="R7" i="54"/>
  <c r="R6" i="54"/>
  <c r="S6" i="54" s="1"/>
  <c r="AC16" i="1"/>
  <c r="R12" i="54"/>
  <c r="R8" i="54"/>
  <c r="S8" i="54" s="1"/>
  <c r="R11" i="54"/>
  <c r="S11" i="54" s="1"/>
  <c r="C36" i="52"/>
  <c r="B36" i="52"/>
  <c r="C31" i="3"/>
  <c r="C35" i="52"/>
  <c r="D36" i="52"/>
  <c r="D31" i="3"/>
  <c r="D35" i="52"/>
  <c r="AA40" i="1"/>
  <c r="B37" i="52"/>
  <c r="E37" i="52" s="1"/>
  <c r="C30" i="3"/>
  <c r="D30" i="3"/>
  <c r="AU31" i="3"/>
  <c r="AC15" i="1" s="1"/>
  <c r="AU30" i="3"/>
  <c r="AU34" i="3" s="1"/>
  <c r="D20" i="54"/>
  <c r="S14" i="52"/>
  <c r="AU14" i="52" s="1"/>
  <c r="B6" i="52"/>
  <c r="E6" i="52" s="1"/>
  <c r="AF35" i="52"/>
  <c r="AF6" i="52"/>
  <c r="S35" i="52"/>
  <c r="AF37" i="52"/>
  <c r="S6" i="52"/>
  <c r="S37" i="52"/>
  <c r="AU37" i="52" s="1"/>
  <c r="S41" i="52" l="1"/>
  <c r="AS42" i="52" s="1"/>
  <c r="BA128" i="62"/>
  <c r="AX128" i="62" s="1"/>
  <c r="Z10" i="1"/>
  <c r="AB10" i="1" s="1"/>
  <c r="BA129" i="62"/>
  <c r="D38" i="52"/>
  <c r="E35" i="52"/>
  <c r="E36" i="52"/>
  <c r="B38" i="52"/>
  <c r="AS38" i="52"/>
  <c r="B34" i="3"/>
  <c r="B32" i="3"/>
  <c r="B36" i="3" s="1"/>
  <c r="AU6" i="52"/>
  <c r="AA16" i="1"/>
  <c r="AF41" i="52"/>
  <c r="Z44" i="1"/>
  <c r="AU35" i="52"/>
  <c r="S5" i="54"/>
  <c r="AC13" i="1"/>
  <c r="O7" i="54"/>
  <c r="Q7" i="54" s="1"/>
  <c r="S7" i="54" s="1"/>
  <c r="Z16" i="1"/>
  <c r="O12" i="54"/>
  <c r="Q12" i="54" s="1"/>
  <c r="S12" i="54" s="1"/>
  <c r="AD8" i="1"/>
  <c r="N8" i="1" s="1"/>
  <c r="T5" i="54"/>
  <c r="T6" i="54"/>
  <c r="M25" i="54"/>
  <c r="L25" i="54"/>
  <c r="K25" i="54"/>
  <c r="J25" i="54"/>
  <c r="I25" i="54"/>
  <c r="H25" i="54"/>
  <c r="BA146" i="62" l="1"/>
  <c r="AX129" i="62"/>
  <c r="E38" i="52"/>
  <c r="T13" i="54"/>
  <c r="V13" i="54" s="1"/>
  <c r="W13" i="54" s="1"/>
  <c r="T8" i="54"/>
  <c r="V8" i="54" s="1"/>
  <c r="W8" i="54" s="1"/>
  <c r="Z13" i="1"/>
  <c r="O27" i="54"/>
  <c r="T14" i="54"/>
  <c r="V14" i="54" s="1"/>
  <c r="W14" i="54" s="1"/>
  <c r="O23" i="54"/>
  <c r="T10" i="54"/>
  <c r="V10" i="54" s="1"/>
  <c r="W10" i="54" s="1"/>
  <c r="O20" i="54"/>
  <c r="T7" i="54"/>
  <c r="V7" i="54" s="1"/>
  <c r="W7" i="54" s="1"/>
  <c r="O19" i="54"/>
  <c r="V6" i="54"/>
  <c r="W6" i="54" s="1"/>
  <c r="O18" i="54"/>
  <c r="O21" i="54"/>
  <c r="O26" i="54"/>
  <c r="O25" i="54"/>
  <c r="B25" i="54"/>
  <c r="C25" i="54"/>
  <c r="G25" i="54"/>
  <c r="D25" i="54"/>
  <c r="E25" i="54"/>
  <c r="F25" i="54"/>
  <c r="BA159" i="62" l="1"/>
  <c r="AX159" i="62" s="1"/>
  <c r="AX146" i="62"/>
  <c r="T18" i="54"/>
  <c r="V18" i="54" s="1"/>
  <c r="T12" i="54"/>
  <c r="V12" i="54" s="1"/>
  <c r="W12" i="54" s="1"/>
  <c r="V5" i="54"/>
  <c r="W5" i="54" s="1"/>
  <c r="Z12" i="1"/>
  <c r="AA12" i="1"/>
  <c r="T16" i="54" l="1"/>
  <c r="E55" i="1"/>
  <c r="F55" i="1" s="1"/>
  <c r="G55" i="1" s="1"/>
  <c r="H55" i="1"/>
  <c r="I55" i="1" s="1"/>
  <c r="J55" i="1" s="1"/>
  <c r="B55" i="1"/>
  <c r="C55" i="1" s="1"/>
  <c r="C27" i="1"/>
  <c r="I46" i="1"/>
  <c r="F46" i="1"/>
  <c r="C46" i="1"/>
  <c r="I18" i="1"/>
  <c r="C26" i="1" l="1"/>
  <c r="D55" i="1"/>
  <c r="U29" i="47" l="1"/>
  <c r="T29" i="47"/>
  <c r="S29" i="47"/>
  <c r="R29" i="47"/>
  <c r="Q29" i="47"/>
  <c r="O29" i="47"/>
  <c r="N29" i="47"/>
  <c r="Z171" i="47"/>
  <c r="Z47" i="47"/>
  <c r="Z46" i="47"/>
  <c r="Z45" i="47"/>
  <c r="Z44" i="47"/>
  <c r="Z43" i="47"/>
  <c r="Z42" i="47"/>
  <c r="AA42" i="47" s="1"/>
  <c r="Z41" i="47"/>
  <c r="Z40" i="47"/>
  <c r="Z26" i="47"/>
  <c r="Z25" i="47"/>
  <c r="Z24" i="47"/>
  <c r="Z23" i="47"/>
  <c r="Z22" i="47"/>
  <c r="AA22" i="47" s="1"/>
  <c r="Z20" i="47"/>
  <c r="Z19" i="47"/>
  <c r="Z18" i="47"/>
  <c r="Z17" i="47"/>
  <c r="Z16" i="47"/>
  <c r="Z15" i="47"/>
  <c r="Z14" i="47"/>
  <c r="Z13" i="47"/>
  <c r="AA13" i="47" s="1"/>
  <c r="Z29" i="47" l="1"/>
  <c r="AA29" i="47" s="1"/>
  <c r="Z32" i="47"/>
  <c r="AA32" i="47" s="1"/>
  <c r="Z27" i="47"/>
  <c r="AA27" i="47" s="1"/>
  <c r="Z21" i="47"/>
  <c r="AA21" i="47" s="1"/>
  <c r="Z34" i="47"/>
  <c r="AA34" i="47" s="1"/>
  <c r="E204" i="49" l="1"/>
  <c r="E193" i="49"/>
  <c r="E194" i="49"/>
  <c r="E195" i="49"/>
  <c r="E196" i="49"/>
  <c r="E197" i="49"/>
  <c r="E198" i="49"/>
  <c r="E199" i="49"/>
  <c r="E200" i="49"/>
  <c r="E201" i="49"/>
  <c r="E202" i="49"/>
  <c r="E192" i="49"/>
  <c r="H204" i="49"/>
  <c r="H202" i="49"/>
  <c r="H198" i="49"/>
  <c r="H194" i="49"/>
  <c r="H195" i="49"/>
  <c r="H196" i="49"/>
  <c r="H199" i="49"/>
  <c r="H200" i="49"/>
  <c r="H203" i="49"/>
  <c r="H192" i="49"/>
  <c r="G198" i="49"/>
  <c r="G193" i="49"/>
  <c r="G200" i="49"/>
  <c r="G201" i="49"/>
  <c r="G202" i="49"/>
  <c r="G194" i="49"/>
  <c r="G195" i="49"/>
  <c r="G196" i="49"/>
  <c r="G197" i="49"/>
  <c r="G199" i="49"/>
  <c r="G203" i="49"/>
  <c r="F202" i="49"/>
  <c r="F193" i="49"/>
  <c r="F194" i="49"/>
  <c r="F195" i="49"/>
  <c r="F196" i="49"/>
  <c r="F197" i="49"/>
  <c r="F198" i="49"/>
  <c r="F199" i="49"/>
  <c r="F200" i="49"/>
  <c r="F201" i="49"/>
  <c r="F192" i="49"/>
  <c r="D198" i="49"/>
  <c r="D199" i="49"/>
  <c r="D201" i="49"/>
  <c r="D202" i="49"/>
  <c r="D203" i="49"/>
  <c r="D193" i="49"/>
  <c r="D194" i="49"/>
  <c r="D195" i="49"/>
  <c r="D196" i="49"/>
  <c r="D200" i="49"/>
  <c r="D192" i="49"/>
  <c r="C193" i="49"/>
  <c r="C194" i="49"/>
  <c r="C195" i="49"/>
  <c r="C196" i="49"/>
  <c r="C203" i="49"/>
  <c r="C198" i="49"/>
  <c r="C200" i="49"/>
  <c r="C201" i="49"/>
  <c r="C202" i="49"/>
  <c r="C192" i="49"/>
  <c r="G192" i="49"/>
  <c r="H193" i="49"/>
  <c r="G155" i="49"/>
  <c r="C205" i="49"/>
  <c r="C204" i="49"/>
  <c r="C191" i="49"/>
  <c r="C176" i="49"/>
  <c r="C165" i="49"/>
  <c r="C159" i="49"/>
  <c r="C160" i="49"/>
  <c r="C161" i="49"/>
  <c r="C162" i="49"/>
  <c r="C163" i="49"/>
  <c r="C164" i="49"/>
  <c r="C157" i="49"/>
  <c r="C158" i="49"/>
  <c r="C156" i="49"/>
  <c r="C155" i="49"/>
  <c r="D205" i="49" l="1"/>
  <c r="D204" i="49"/>
  <c r="D191" i="49"/>
  <c r="D176" i="49"/>
  <c r="D165" i="49"/>
  <c r="D164" i="49"/>
  <c r="D163" i="49"/>
  <c r="D162" i="49"/>
  <c r="D161" i="49"/>
  <c r="D160" i="49"/>
  <c r="D159" i="49"/>
  <c r="D158" i="49"/>
  <c r="D157" i="49"/>
  <c r="D156" i="49"/>
  <c r="D155" i="49"/>
  <c r="D154" i="49"/>
  <c r="D153" i="49"/>
  <c r="D152" i="49"/>
  <c r="D151" i="49"/>
  <c r="D150" i="49"/>
  <c r="D149" i="49"/>
  <c r="D137" i="49"/>
  <c r="D136" i="49"/>
  <c r="D122" i="49"/>
  <c r="D107" i="49"/>
  <c r="D96" i="49"/>
  <c r="D95" i="49"/>
  <c r="D94" i="49"/>
  <c r="D93" i="49"/>
  <c r="D92" i="49"/>
  <c r="D91" i="49"/>
  <c r="D90" i="49"/>
  <c r="D89" i="49"/>
  <c r="D88" i="49"/>
  <c r="D87" i="49"/>
  <c r="D86" i="49"/>
  <c r="D85" i="49"/>
  <c r="D84" i="49"/>
  <c r="D83" i="49"/>
  <c r="D82" i="49"/>
  <c r="D81" i="49"/>
  <c r="D80" i="49"/>
  <c r="C154" i="49"/>
  <c r="C153" i="49"/>
  <c r="C152" i="49"/>
  <c r="C151" i="49"/>
  <c r="C150" i="49"/>
  <c r="C149" i="49"/>
  <c r="C137" i="49"/>
  <c r="C136" i="49"/>
  <c r="C122" i="49"/>
  <c r="C107" i="49"/>
  <c r="C96" i="49"/>
  <c r="C95" i="49"/>
  <c r="C94" i="49"/>
  <c r="C93" i="49"/>
  <c r="C92" i="49"/>
  <c r="C91" i="49"/>
  <c r="C90" i="49"/>
  <c r="C89" i="49"/>
  <c r="C88" i="49"/>
  <c r="C87" i="49"/>
  <c r="C86" i="49"/>
  <c r="C85" i="49"/>
  <c r="C84" i="49"/>
  <c r="C83" i="49"/>
  <c r="C82" i="49"/>
  <c r="C81" i="49"/>
  <c r="C80" i="49"/>
  <c r="F175" i="49"/>
  <c r="F174" i="49"/>
  <c r="F173" i="49"/>
  <c r="F172" i="49"/>
  <c r="F171" i="49"/>
  <c r="F170" i="49"/>
  <c r="F169" i="49"/>
  <c r="F168" i="49"/>
  <c r="F167" i="49"/>
  <c r="F154" i="49"/>
  <c r="F153" i="49"/>
  <c r="F152" i="49"/>
  <c r="F151" i="49"/>
  <c r="F150" i="49"/>
  <c r="F149" i="49"/>
  <c r="F137" i="49"/>
  <c r="F136" i="49"/>
  <c r="F122" i="49"/>
  <c r="F107" i="49"/>
  <c r="F106" i="49"/>
  <c r="F105" i="49"/>
  <c r="F104" i="49"/>
  <c r="F103" i="49"/>
  <c r="F102" i="49"/>
  <c r="F101" i="49"/>
  <c r="F100" i="49"/>
  <c r="F99" i="49"/>
  <c r="F98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205" i="49"/>
  <c r="F204" i="49"/>
  <c r="F191" i="49"/>
  <c r="F176" i="49"/>
  <c r="F165" i="49"/>
  <c r="F164" i="49"/>
  <c r="F163" i="49"/>
  <c r="F162" i="49"/>
  <c r="F161" i="49"/>
  <c r="F160" i="49"/>
  <c r="F159" i="49"/>
  <c r="F158" i="49"/>
  <c r="F157" i="49"/>
  <c r="F156" i="49"/>
  <c r="F155" i="49"/>
  <c r="G175" i="49"/>
  <c r="G174" i="49"/>
  <c r="G173" i="49"/>
  <c r="G172" i="49"/>
  <c r="G171" i="49"/>
  <c r="G170" i="49"/>
  <c r="G169" i="49"/>
  <c r="G168" i="49"/>
  <c r="G167" i="49"/>
  <c r="G166" i="49"/>
  <c r="G154" i="49"/>
  <c r="G153" i="49"/>
  <c r="G152" i="49"/>
  <c r="G151" i="49"/>
  <c r="G150" i="49"/>
  <c r="G149" i="49"/>
  <c r="G137" i="49"/>
  <c r="G136" i="49"/>
  <c r="G122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93" i="49"/>
  <c r="G92" i="49"/>
  <c r="G91" i="49"/>
  <c r="G90" i="49"/>
  <c r="G89" i="49"/>
  <c r="G88" i="49"/>
  <c r="G87" i="49"/>
  <c r="G86" i="49"/>
  <c r="G85" i="49"/>
  <c r="G84" i="49"/>
  <c r="G83" i="49"/>
  <c r="G82" i="49"/>
  <c r="G81" i="49"/>
  <c r="G80" i="49"/>
  <c r="G205" i="49"/>
  <c r="G204" i="49"/>
  <c r="G191" i="49"/>
  <c r="G176" i="49"/>
  <c r="G165" i="49"/>
  <c r="G164" i="49"/>
  <c r="G163" i="49"/>
  <c r="G162" i="49"/>
  <c r="G161" i="49"/>
  <c r="G160" i="49"/>
  <c r="G159" i="49"/>
  <c r="G158" i="49"/>
  <c r="G157" i="49"/>
  <c r="G156" i="49"/>
  <c r="H154" i="49"/>
  <c r="H153" i="49"/>
  <c r="H152" i="49"/>
  <c r="H151" i="49"/>
  <c r="H150" i="49"/>
  <c r="H149" i="49"/>
  <c r="H137" i="49"/>
  <c r="H136" i="49"/>
  <c r="H122" i="49"/>
  <c r="H107" i="49"/>
  <c r="H106" i="49"/>
  <c r="H105" i="49"/>
  <c r="H104" i="49"/>
  <c r="H103" i="49"/>
  <c r="H102" i="49"/>
  <c r="H101" i="49"/>
  <c r="H100" i="49"/>
  <c r="H99" i="49"/>
  <c r="H98" i="49"/>
  <c r="H97" i="49"/>
  <c r="H96" i="49"/>
  <c r="H95" i="49"/>
  <c r="H94" i="49"/>
  <c r="H93" i="49"/>
  <c r="H92" i="49"/>
  <c r="H91" i="49"/>
  <c r="H90" i="49"/>
  <c r="H89" i="49"/>
  <c r="H88" i="49"/>
  <c r="H87" i="49"/>
  <c r="H86" i="49"/>
  <c r="H85" i="49"/>
  <c r="H84" i="49"/>
  <c r="H83" i="49"/>
  <c r="H82" i="49"/>
  <c r="H81" i="49"/>
  <c r="H80" i="49"/>
  <c r="H205" i="49"/>
  <c r="H191" i="49"/>
  <c r="H176" i="49"/>
  <c r="H175" i="49"/>
  <c r="H174" i="49"/>
  <c r="H173" i="49"/>
  <c r="H172" i="49"/>
  <c r="H171" i="49"/>
  <c r="H170" i="49"/>
  <c r="H169" i="49"/>
  <c r="H168" i="49"/>
  <c r="H167" i="49"/>
  <c r="H166" i="49"/>
  <c r="H165" i="49"/>
  <c r="H164" i="49"/>
  <c r="H163" i="49"/>
  <c r="H162" i="49"/>
  <c r="H161" i="49"/>
  <c r="H160" i="49"/>
  <c r="H159" i="49"/>
  <c r="H158" i="49"/>
  <c r="H157" i="49"/>
  <c r="H156" i="49"/>
  <c r="H155" i="49"/>
  <c r="E154" i="49"/>
  <c r="E153" i="49"/>
  <c r="E152" i="49"/>
  <c r="E151" i="49"/>
  <c r="E150" i="49"/>
  <c r="E149" i="49"/>
  <c r="E137" i="49"/>
  <c r="E136" i="49"/>
  <c r="E122" i="49"/>
  <c r="E107" i="49"/>
  <c r="E96" i="49"/>
  <c r="E95" i="49"/>
  <c r="E94" i="49"/>
  <c r="E93" i="49"/>
  <c r="E92" i="49"/>
  <c r="E91" i="49"/>
  <c r="E90" i="49"/>
  <c r="E88" i="49"/>
  <c r="E87" i="49"/>
  <c r="E86" i="49"/>
  <c r="E85" i="49"/>
  <c r="E84" i="49"/>
  <c r="E83" i="49"/>
  <c r="E82" i="49"/>
  <c r="E81" i="49"/>
  <c r="E80" i="49"/>
  <c r="E205" i="49"/>
  <c r="E191" i="49"/>
  <c r="E176" i="49"/>
  <c r="E165" i="49"/>
  <c r="E164" i="49"/>
  <c r="E163" i="49"/>
  <c r="E162" i="49"/>
  <c r="E161" i="49"/>
  <c r="E160" i="49"/>
  <c r="E159" i="49"/>
  <c r="E158" i="49"/>
  <c r="E157" i="49"/>
  <c r="E156" i="49"/>
  <c r="E155" i="49"/>
  <c r="M42" i="49"/>
  <c r="I203" i="49"/>
  <c r="J203" i="49" s="1"/>
  <c r="I202" i="49"/>
  <c r="J202" i="49" s="1"/>
  <c r="I201" i="49"/>
  <c r="J201" i="49" s="1"/>
  <c r="I200" i="49"/>
  <c r="J200" i="49" s="1"/>
  <c r="I199" i="49"/>
  <c r="J199" i="49" s="1"/>
  <c r="I198" i="49"/>
  <c r="J198" i="49" s="1"/>
  <c r="I197" i="49"/>
  <c r="J197" i="49" s="1"/>
  <c r="I196" i="49"/>
  <c r="J196" i="49" s="1"/>
  <c r="I195" i="49"/>
  <c r="J195" i="49" s="1"/>
  <c r="I194" i="49"/>
  <c r="J194" i="49" s="1"/>
  <c r="I193" i="49"/>
  <c r="J193" i="49" s="1"/>
  <c r="I192" i="49"/>
  <c r="J192" i="49" s="1"/>
  <c r="I190" i="49"/>
  <c r="J190" i="49" s="1"/>
  <c r="I189" i="49"/>
  <c r="J189" i="49" s="1"/>
  <c r="I188" i="49"/>
  <c r="J188" i="49" s="1"/>
  <c r="I187" i="49"/>
  <c r="J187" i="49" s="1"/>
  <c r="I186" i="49"/>
  <c r="J186" i="49" s="1"/>
  <c r="I185" i="49"/>
  <c r="J185" i="49" s="1"/>
  <c r="I184" i="49"/>
  <c r="J184" i="49" s="1"/>
  <c r="I183" i="49"/>
  <c r="J183" i="49" s="1"/>
  <c r="I182" i="49"/>
  <c r="J182" i="49" s="1"/>
  <c r="I181" i="49"/>
  <c r="J181" i="49" s="1"/>
  <c r="I180" i="49"/>
  <c r="J180" i="49" s="1"/>
  <c r="I179" i="49"/>
  <c r="J179" i="49" s="1"/>
  <c r="I178" i="49"/>
  <c r="J178" i="49" s="1"/>
  <c r="I177" i="49"/>
  <c r="J177" i="49" s="1"/>
  <c r="I135" i="49"/>
  <c r="J135" i="49" s="1"/>
  <c r="I134" i="49"/>
  <c r="J134" i="49" s="1"/>
  <c r="I133" i="49"/>
  <c r="J133" i="49" s="1"/>
  <c r="I132" i="49"/>
  <c r="J132" i="49" s="1"/>
  <c r="I131" i="49"/>
  <c r="J131" i="49" s="1"/>
  <c r="I130" i="49"/>
  <c r="J130" i="49" s="1"/>
  <c r="I129" i="49"/>
  <c r="J129" i="49" s="1"/>
  <c r="I128" i="49"/>
  <c r="J128" i="49" s="1"/>
  <c r="I127" i="49"/>
  <c r="J127" i="49" s="1"/>
  <c r="I126" i="49"/>
  <c r="J126" i="49" s="1"/>
  <c r="I125" i="49"/>
  <c r="J125" i="49" s="1"/>
  <c r="I124" i="49"/>
  <c r="J124" i="49" s="1"/>
  <c r="I123" i="49"/>
  <c r="J123" i="49" s="1"/>
  <c r="I121" i="49"/>
  <c r="J121" i="49" s="1"/>
  <c r="I120" i="49"/>
  <c r="J120" i="49" s="1"/>
  <c r="I119" i="49"/>
  <c r="J119" i="49" s="1"/>
  <c r="I118" i="49"/>
  <c r="J118" i="49" s="1"/>
  <c r="I117" i="49"/>
  <c r="J117" i="49" s="1"/>
  <c r="I116" i="49"/>
  <c r="J116" i="49" s="1"/>
  <c r="I115" i="49"/>
  <c r="J115" i="49" s="1"/>
  <c r="I114" i="49"/>
  <c r="J114" i="49" s="1"/>
  <c r="I113" i="49"/>
  <c r="J113" i="49" s="1"/>
  <c r="I112" i="49"/>
  <c r="J112" i="49" s="1"/>
  <c r="I111" i="49"/>
  <c r="J111" i="49" s="1"/>
  <c r="I110" i="49"/>
  <c r="J110" i="49" s="1"/>
  <c r="I109" i="49"/>
  <c r="J109" i="49" s="1"/>
  <c r="I108" i="49"/>
  <c r="J108" i="49" s="1"/>
  <c r="E61" i="49"/>
  <c r="C60" i="49"/>
  <c r="G60" i="49"/>
  <c r="M56" i="49"/>
  <c r="M48" i="49"/>
  <c r="M40" i="49"/>
  <c r="I175" i="49" l="1"/>
  <c r="J175" i="49" s="1"/>
  <c r="I169" i="49"/>
  <c r="J169" i="49" s="1"/>
  <c r="I98" i="49"/>
  <c r="J98" i="49" s="1"/>
  <c r="I165" i="49"/>
  <c r="J165" i="49" s="1"/>
  <c r="D35" i="49"/>
  <c r="H19" i="49"/>
  <c r="I19" i="49" s="1"/>
  <c r="K55" i="49"/>
  <c r="L55" i="49" s="1"/>
  <c r="I107" i="49"/>
  <c r="J107" i="49" s="1"/>
  <c r="I167" i="49"/>
  <c r="J167" i="49" s="1"/>
  <c r="I171" i="49"/>
  <c r="J171" i="49" s="1"/>
  <c r="I161" i="49"/>
  <c r="J161" i="49" s="1"/>
  <c r="I137" i="49"/>
  <c r="J137" i="49" s="1"/>
  <c r="I152" i="49"/>
  <c r="J152" i="49" s="1"/>
  <c r="I102" i="49"/>
  <c r="J102" i="49" s="1"/>
  <c r="I106" i="49"/>
  <c r="J106" i="49" s="1"/>
  <c r="I157" i="49"/>
  <c r="J157" i="49" s="1"/>
  <c r="F35" i="49"/>
  <c r="K57" i="49"/>
  <c r="L57" i="49" s="1"/>
  <c r="I101" i="49"/>
  <c r="J101" i="49" s="1"/>
  <c r="I105" i="49"/>
  <c r="J105" i="49" s="1"/>
  <c r="B35" i="49"/>
  <c r="I8" i="49"/>
  <c r="H12" i="49"/>
  <c r="I12" i="49" s="1"/>
  <c r="H26" i="49"/>
  <c r="I26" i="49" s="1"/>
  <c r="K43" i="49"/>
  <c r="L43" i="49" s="1"/>
  <c r="H17" i="49"/>
  <c r="I17" i="49" s="1"/>
  <c r="H15" i="49"/>
  <c r="I15" i="49" s="1"/>
  <c r="K50" i="49"/>
  <c r="L50" i="49" s="1"/>
  <c r="K54" i="49"/>
  <c r="L54" i="49" s="1"/>
  <c r="K58" i="49"/>
  <c r="I150" i="49"/>
  <c r="J150" i="49" s="1"/>
  <c r="I154" i="49"/>
  <c r="J154" i="49" s="1"/>
  <c r="I103" i="49"/>
  <c r="J103" i="49" s="1"/>
  <c r="I87" i="49"/>
  <c r="J87" i="49" s="1"/>
  <c r="I95" i="49"/>
  <c r="J95" i="49" s="1"/>
  <c r="K45" i="49"/>
  <c r="L45" i="49" s="1"/>
  <c r="K49" i="49"/>
  <c r="L49" i="49" s="1"/>
  <c r="E60" i="49"/>
  <c r="M43" i="49"/>
  <c r="M47" i="49"/>
  <c r="M51" i="49"/>
  <c r="M55" i="49"/>
  <c r="M59" i="49"/>
  <c r="M45" i="49"/>
  <c r="M53" i="49"/>
  <c r="M57" i="49"/>
  <c r="L59" i="49"/>
  <c r="M50" i="49"/>
  <c r="I173" i="49"/>
  <c r="J173" i="49" s="1"/>
  <c r="I205" i="49"/>
  <c r="J205" i="49" s="1"/>
  <c r="I191" i="49"/>
  <c r="J191" i="49" s="1"/>
  <c r="C35" i="49"/>
  <c r="H11" i="49"/>
  <c r="I11" i="49" s="1"/>
  <c r="H32" i="49"/>
  <c r="H16" i="49"/>
  <c r="I16" i="49" s="1"/>
  <c r="H24" i="49"/>
  <c r="I24" i="49" s="1"/>
  <c r="G35" i="49"/>
  <c r="K42" i="49"/>
  <c r="L42" i="49" s="1"/>
  <c r="M41" i="49"/>
  <c r="I60" i="49"/>
  <c r="M52" i="49"/>
  <c r="I100" i="49"/>
  <c r="J100" i="49" s="1"/>
  <c r="I104" i="49"/>
  <c r="J104" i="49" s="1"/>
  <c r="I149" i="49"/>
  <c r="J149" i="49" s="1"/>
  <c r="I153" i="49"/>
  <c r="J153" i="49" s="1"/>
  <c r="I168" i="49"/>
  <c r="J168" i="49" s="1"/>
  <c r="I172" i="49"/>
  <c r="J172" i="49" s="1"/>
  <c r="I122" i="49"/>
  <c r="J122" i="49" s="1"/>
  <c r="I158" i="49"/>
  <c r="J158" i="49" s="1"/>
  <c r="I162" i="49"/>
  <c r="J162" i="49" s="1"/>
  <c r="I176" i="49"/>
  <c r="J176" i="49" s="1"/>
  <c r="H31" i="49"/>
  <c r="I31" i="49" s="1"/>
  <c r="H14" i="49"/>
  <c r="I14" i="49" s="1"/>
  <c r="H18" i="49"/>
  <c r="I18" i="49" s="1"/>
  <c r="D60" i="49"/>
  <c r="I61" i="49"/>
  <c r="M46" i="49"/>
  <c r="I97" i="49"/>
  <c r="J97" i="49" s="1"/>
  <c r="I136" i="49"/>
  <c r="J136" i="49" s="1"/>
  <c r="I151" i="49"/>
  <c r="J151" i="49" s="1"/>
  <c r="I166" i="49"/>
  <c r="J166" i="49" s="1"/>
  <c r="I83" i="49"/>
  <c r="J83" i="49" s="1"/>
  <c r="I91" i="49"/>
  <c r="J91" i="49" s="1"/>
  <c r="I170" i="49"/>
  <c r="J170" i="49" s="1"/>
  <c r="I174" i="49"/>
  <c r="J174" i="49" s="1"/>
  <c r="I156" i="49"/>
  <c r="J156" i="49" s="1"/>
  <c r="I204" i="49"/>
  <c r="J204" i="49" s="1"/>
  <c r="H68" i="49"/>
  <c r="I68" i="49" s="1"/>
  <c r="K48" i="49"/>
  <c r="L48" i="49" s="1"/>
  <c r="I155" i="49"/>
  <c r="J155" i="49" s="1"/>
  <c r="I159" i="49"/>
  <c r="J159" i="49" s="1"/>
  <c r="I163" i="49"/>
  <c r="J163" i="49" s="1"/>
  <c r="I160" i="49"/>
  <c r="J160" i="49" s="1"/>
  <c r="K46" i="49"/>
  <c r="L46" i="49" s="1"/>
  <c r="D61" i="49"/>
  <c r="I164" i="49"/>
  <c r="J164" i="49" s="1"/>
  <c r="H29" i="49"/>
  <c r="I29" i="49" s="1"/>
  <c r="E35" i="49"/>
  <c r="H10" i="49"/>
  <c r="I10" i="49" s="1"/>
  <c r="I30" i="49"/>
  <c r="H9" i="49"/>
  <c r="I9" i="49" s="1"/>
  <c r="H33" i="49"/>
  <c r="I33" i="49" s="1"/>
  <c r="H13" i="49"/>
  <c r="I13" i="49" s="1"/>
  <c r="H21" i="49"/>
  <c r="I21" i="49" s="1"/>
  <c r="H25" i="49"/>
  <c r="I25" i="49" s="1"/>
  <c r="H20" i="49"/>
  <c r="I20" i="49" s="1"/>
  <c r="H22" i="49"/>
  <c r="I22" i="49" s="1"/>
  <c r="H23" i="49"/>
  <c r="I23" i="49" s="1"/>
  <c r="H27" i="49"/>
  <c r="I27" i="49" s="1"/>
  <c r="H28" i="49"/>
  <c r="I28" i="49" s="1"/>
  <c r="B61" i="49"/>
  <c r="K44" i="49"/>
  <c r="L44" i="49" s="1"/>
  <c r="M54" i="49"/>
  <c r="F61" i="49"/>
  <c r="K41" i="49"/>
  <c r="L41" i="49" s="1"/>
  <c r="M44" i="49"/>
  <c r="K56" i="49"/>
  <c r="L56" i="49" s="1"/>
  <c r="M58" i="49"/>
  <c r="H60" i="49"/>
  <c r="H61" i="49"/>
  <c r="F60" i="49"/>
  <c r="J60" i="49"/>
  <c r="J61" i="49"/>
  <c r="G61" i="49"/>
  <c r="K47" i="49"/>
  <c r="L47" i="49" s="1"/>
  <c r="M49" i="49"/>
  <c r="B60" i="49"/>
  <c r="I80" i="49"/>
  <c r="J80" i="49" s="1"/>
  <c r="I84" i="49"/>
  <c r="J84" i="49" s="1"/>
  <c r="I88" i="49"/>
  <c r="J88" i="49" s="1"/>
  <c r="I92" i="49"/>
  <c r="J92" i="49" s="1"/>
  <c r="I96" i="49"/>
  <c r="J96" i="49" s="1"/>
  <c r="I82" i="49"/>
  <c r="J82" i="49" s="1"/>
  <c r="I86" i="49"/>
  <c r="J86" i="49" s="1"/>
  <c r="I90" i="49"/>
  <c r="J90" i="49" s="1"/>
  <c r="I94" i="49"/>
  <c r="J94" i="49" s="1"/>
  <c r="I81" i="49"/>
  <c r="J81" i="49" s="1"/>
  <c r="I85" i="49"/>
  <c r="J85" i="49" s="1"/>
  <c r="I89" i="49"/>
  <c r="J89" i="49" s="1"/>
  <c r="I93" i="49"/>
  <c r="J93" i="49" s="1"/>
  <c r="I99" i="49"/>
  <c r="J99" i="49" s="1"/>
  <c r="I32" i="49" l="1"/>
  <c r="I35" i="49" s="1"/>
  <c r="H34" i="49"/>
  <c r="L58" i="49"/>
  <c r="L60" i="49" s="1"/>
  <c r="K60" i="49"/>
  <c r="K61" i="49"/>
  <c r="L40" i="49"/>
  <c r="H35" i="49"/>
  <c r="M60" i="49"/>
  <c r="M61" i="49"/>
  <c r="I34" i="49" l="1"/>
  <c r="L61" i="49"/>
  <c r="H27" i="1" l="1"/>
  <c r="I27" i="1" s="1"/>
  <c r="E27" i="1"/>
  <c r="F27" i="1" s="1"/>
  <c r="D27" i="1"/>
  <c r="G27" i="1" l="1"/>
  <c r="J27" i="1"/>
  <c r="AB16" i="1" l="1"/>
  <c r="AB44" i="1"/>
  <c r="AC43" i="1"/>
  <c r="AA43" i="1"/>
  <c r="Z43" i="1"/>
  <c r="AC42" i="1"/>
  <c r="AA42" i="1"/>
  <c r="Z42" i="1"/>
  <c r="AB42" i="1" s="1"/>
  <c r="AA15" i="1"/>
  <c r="Z15" i="1"/>
  <c r="AB15" i="1" s="1"/>
  <c r="Z14" i="1"/>
  <c r="AB14" i="1" s="1"/>
  <c r="AC14" i="1"/>
  <c r="AA14" i="1"/>
  <c r="V14" i="1" s="1"/>
  <c r="AA17" i="1" l="1"/>
  <c r="AA45" i="1"/>
  <c r="AB43" i="1"/>
  <c r="AB45" i="1" s="1"/>
  <c r="Z45" i="1"/>
  <c r="AD16" i="1"/>
  <c r="N16" i="1" s="1"/>
  <c r="Z17" i="1"/>
  <c r="AC17" i="1"/>
  <c r="AC18" i="1" s="1"/>
  <c r="AC45" i="1"/>
  <c r="AD15" i="1" l="1"/>
  <c r="N15" i="1" s="1"/>
  <c r="AD14" i="1"/>
  <c r="N14" i="1" s="1"/>
  <c r="AB17" i="1"/>
  <c r="AD17" i="1" s="1"/>
  <c r="N17" i="1" s="1"/>
  <c r="Q16" i="1" l="1"/>
  <c r="K8" i="1" l="1"/>
  <c r="AJ13" i="1" l="1"/>
  <c r="B33" i="1" l="1"/>
  <c r="AH54" i="1" l="1"/>
  <c r="AH26" i="1"/>
  <c r="AH45" i="1"/>
  <c r="AH53" i="1"/>
  <c r="AH25" i="1"/>
  <c r="AG54" i="1"/>
  <c r="AG26" i="1"/>
  <c r="AG53" i="1"/>
  <c r="AG25" i="1"/>
  <c r="AG45" i="1"/>
  <c r="AH39" i="1"/>
  <c r="AH11" i="1"/>
  <c r="AH38" i="1"/>
  <c r="AH10" i="1"/>
  <c r="AH37" i="1"/>
  <c r="AH9" i="1"/>
  <c r="AH36" i="1"/>
  <c r="AH8" i="1"/>
  <c r="AG39" i="1"/>
  <c r="AG38" i="1"/>
  <c r="AG37" i="1"/>
  <c r="AG36" i="1"/>
  <c r="AF54" i="1"/>
  <c r="AF26" i="1"/>
  <c r="AF53" i="1"/>
  <c r="AF25" i="1"/>
  <c r="K25" i="1" s="1"/>
  <c r="AF45" i="1"/>
  <c r="AF39" i="1"/>
  <c r="AF38" i="1"/>
  <c r="AF37" i="1"/>
  <c r="AF36" i="1"/>
  <c r="AH34" i="1"/>
  <c r="AG34" i="1"/>
  <c r="AF34" i="1"/>
  <c r="K26" i="1" l="1"/>
  <c r="AH41" i="1"/>
  <c r="AF13" i="1"/>
  <c r="AF21" i="1" s="1"/>
  <c r="AF29" i="1" s="1"/>
  <c r="AG41" i="1"/>
  <c r="AF41" i="1"/>
  <c r="AH13" i="1" l="1"/>
  <c r="AH21" i="1" s="1"/>
  <c r="AH29" i="1" s="1"/>
  <c r="AG13" i="1"/>
  <c r="AG21" i="1" s="1"/>
  <c r="AG29" i="1" s="1"/>
  <c r="AH6" i="1"/>
  <c r="AG6" i="1"/>
  <c r="AF6" i="1"/>
  <c r="B16" i="1"/>
  <c r="H44" i="1"/>
  <c r="M44" i="1" s="1"/>
  <c r="M43" i="1"/>
  <c r="I42" i="1"/>
  <c r="E44" i="1"/>
  <c r="L44" i="1" s="1"/>
  <c r="F42" i="1"/>
  <c r="B44" i="1"/>
  <c r="K44" i="1" s="1"/>
  <c r="K43" i="1"/>
  <c r="C42" i="1"/>
  <c r="Y16" i="1" l="1"/>
  <c r="O17" i="1"/>
  <c r="S17" i="1"/>
  <c r="F14" i="1"/>
  <c r="G14" i="1" s="1"/>
  <c r="K16" i="1"/>
  <c r="L16" i="1"/>
  <c r="I15" i="1"/>
  <c r="J15" i="1" s="1"/>
  <c r="V15" i="1"/>
  <c r="M15" i="1"/>
  <c r="C15" i="1"/>
  <c r="D15" i="1" s="1"/>
  <c r="K15" i="1"/>
  <c r="F15" i="1"/>
  <c r="G15" i="1" s="1"/>
  <c r="L15" i="1"/>
  <c r="I14" i="1"/>
  <c r="J14" i="1" s="1"/>
  <c r="H17" i="1"/>
  <c r="V17" i="1" s="1"/>
  <c r="M16" i="1"/>
  <c r="V16" i="1"/>
  <c r="F43" i="1"/>
  <c r="L43" i="1"/>
  <c r="C16" i="1"/>
  <c r="D16" i="1" s="1"/>
  <c r="C14" i="1"/>
  <c r="D14" i="1" s="1"/>
  <c r="C44" i="1"/>
  <c r="D44" i="1" s="1"/>
  <c r="I44" i="1"/>
  <c r="J44" i="1" s="1"/>
  <c r="C43" i="1"/>
  <c r="G42" i="1"/>
  <c r="F44" i="1"/>
  <c r="G44" i="1" s="1"/>
  <c r="I43" i="1"/>
  <c r="J43" i="1" s="1"/>
  <c r="I16" i="1"/>
  <c r="J16" i="1" s="1"/>
  <c r="F16" i="1"/>
  <c r="G16" i="1" s="1"/>
  <c r="B17" i="1"/>
  <c r="B45" i="1"/>
  <c r="K45" i="1" s="1"/>
  <c r="Q17" i="1"/>
  <c r="E45" i="1"/>
  <c r="L45" i="1" s="1"/>
  <c r="J42" i="1"/>
  <c r="H45" i="1"/>
  <c r="M45" i="1" s="1"/>
  <c r="E17" i="1"/>
  <c r="I53" i="1"/>
  <c r="F53" i="1"/>
  <c r="C53" i="1"/>
  <c r="AK17" i="1" l="1"/>
  <c r="F25" i="1"/>
  <c r="G25" i="1" s="1"/>
  <c r="L25" i="1"/>
  <c r="K17" i="1"/>
  <c r="M17" i="1"/>
  <c r="I25" i="1"/>
  <c r="M25" i="1"/>
  <c r="L17" i="1"/>
  <c r="C45" i="1"/>
  <c r="F45" i="1"/>
  <c r="I45" i="1"/>
  <c r="G43" i="1"/>
  <c r="D43" i="1"/>
  <c r="D42" i="1"/>
  <c r="I17" i="1"/>
  <c r="C17" i="1"/>
  <c r="F17" i="1"/>
  <c r="AJ56" i="1"/>
  <c r="AK45" i="1"/>
  <c r="AL45" i="1" s="1"/>
  <c r="AK53" i="1"/>
  <c r="AL53" i="1" s="1"/>
  <c r="AK54" i="1"/>
  <c r="AL54" i="1" s="1"/>
  <c r="AK41" i="1" l="1"/>
  <c r="AL41" i="1" l="1"/>
  <c r="AK56" i="1"/>
  <c r="AK60" i="1" s="1"/>
  <c r="AL56" i="1" l="1"/>
  <c r="AB36" i="1" l="1"/>
  <c r="AE8" i="1" l="1"/>
  <c r="N36" i="1" s="1"/>
  <c r="AU32" i="3"/>
  <c r="AH32" i="3"/>
  <c r="D32" i="3"/>
  <c r="C32" i="3"/>
  <c r="AH34" i="3"/>
  <c r="S34" i="3"/>
  <c r="D34" i="3"/>
  <c r="I54" i="1"/>
  <c r="F54" i="1"/>
  <c r="C54" i="1"/>
  <c r="AC40" i="1"/>
  <c r="Z40" i="1"/>
  <c r="AB39" i="1"/>
  <c r="AE11" i="1" s="1"/>
  <c r="N39" i="1" s="1"/>
  <c r="H39" i="1"/>
  <c r="E39" i="1"/>
  <c r="L39" i="1" s="1"/>
  <c r="B39" i="1"/>
  <c r="K39" i="1" s="1"/>
  <c r="AB38" i="1"/>
  <c r="AE10" i="1" s="1"/>
  <c r="N38" i="1" s="1"/>
  <c r="H38" i="1"/>
  <c r="E38" i="1"/>
  <c r="L38" i="1" s="1"/>
  <c r="B38" i="1"/>
  <c r="K38" i="1" s="1"/>
  <c r="AB37" i="1"/>
  <c r="AE9" i="1" s="1"/>
  <c r="N37" i="1" s="1"/>
  <c r="H37" i="1"/>
  <c r="E37" i="1"/>
  <c r="L37" i="1" s="1"/>
  <c r="B37" i="1"/>
  <c r="K37" i="1" s="1"/>
  <c r="S36" i="1"/>
  <c r="AC12" i="1"/>
  <c r="L11" i="1"/>
  <c r="B11" i="1"/>
  <c r="O11" i="1" s="1"/>
  <c r="M10" i="1"/>
  <c r="L10" i="1"/>
  <c r="B10" i="1"/>
  <c r="O10" i="1" s="1"/>
  <c r="B9" i="1"/>
  <c r="O9" i="1" s="1"/>
  <c r="M8" i="1"/>
  <c r="L8" i="1"/>
  <c r="Y9" i="1" l="1"/>
  <c r="Y11" i="1"/>
  <c r="Y10" i="1"/>
  <c r="C9" i="1"/>
  <c r="AD9" i="1"/>
  <c r="N9" i="1" s="1"/>
  <c r="AD10" i="1"/>
  <c r="N10" i="1" s="1"/>
  <c r="AB13" i="1"/>
  <c r="AB18" i="1" s="1"/>
  <c r="AD18" i="1" s="1"/>
  <c r="M37" i="1"/>
  <c r="T37" i="1"/>
  <c r="M38" i="1"/>
  <c r="T38" i="1"/>
  <c r="M39" i="1"/>
  <c r="T39" i="1"/>
  <c r="AU35" i="3"/>
  <c r="S15" i="1"/>
  <c r="V9" i="1"/>
  <c r="Q9" i="1"/>
  <c r="M36" i="1"/>
  <c r="V10" i="1"/>
  <c r="M11" i="1"/>
  <c r="V11" i="1"/>
  <c r="F26" i="1"/>
  <c r="G26" i="1" s="1"/>
  <c r="L26" i="1"/>
  <c r="I26" i="1"/>
  <c r="J26" i="1" s="1"/>
  <c r="M26" i="1"/>
  <c r="I9" i="1"/>
  <c r="J9" i="1" s="1"/>
  <c r="M9" i="1"/>
  <c r="K9" i="1"/>
  <c r="C10" i="1"/>
  <c r="D10" i="1" s="1"/>
  <c r="K10" i="1"/>
  <c r="C11" i="1"/>
  <c r="D11" i="1" s="1"/>
  <c r="K11" i="1"/>
  <c r="K36" i="1"/>
  <c r="F9" i="1"/>
  <c r="G9" i="1" s="1"/>
  <c r="L9" i="1"/>
  <c r="G36" i="1"/>
  <c r="L36" i="1"/>
  <c r="AD11" i="1"/>
  <c r="N11" i="1" s="1"/>
  <c r="Q36" i="1"/>
  <c r="J36" i="1"/>
  <c r="Q37" i="1"/>
  <c r="I37" i="1"/>
  <c r="Q38" i="1"/>
  <c r="I38" i="1"/>
  <c r="J38" i="1" s="1"/>
  <c r="Q39" i="1"/>
  <c r="I39" i="1"/>
  <c r="J39" i="1" s="1"/>
  <c r="R37" i="1"/>
  <c r="C37" i="1"/>
  <c r="R38" i="1"/>
  <c r="C38" i="1"/>
  <c r="D38" i="1" s="1"/>
  <c r="R39" i="1"/>
  <c r="C39" i="1"/>
  <c r="D39" i="1" s="1"/>
  <c r="P36" i="1"/>
  <c r="P37" i="1"/>
  <c r="F37" i="1"/>
  <c r="P38" i="1"/>
  <c r="F38" i="1"/>
  <c r="G38" i="1" s="1"/>
  <c r="P39" i="1"/>
  <c r="F39" i="1"/>
  <c r="G39" i="1" s="1"/>
  <c r="F10" i="1"/>
  <c r="F11" i="1"/>
  <c r="G11" i="1" s="1"/>
  <c r="Q10" i="1"/>
  <c r="I10" i="1"/>
  <c r="J10" i="1" s="1"/>
  <c r="Q11" i="1"/>
  <c r="I11" i="1"/>
  <c r="J11" i="1" s="1"/>
  <c r="J8" i="1"/>
  <c r="AH35" i="3"/>
  <c r="R36" i="1"/>
  <c r="B41" i="1"/>
  <c r="B49" i="1" s="1"/>
  <c r="B57" i="1" s="1"/>
  <c r="S35" i="3"/>
  <c r="AB12" i="1"/>
  <c r="AD13" i="1" s="1"/>
  <c r="N13" i="1" s="1"/>
  <c r="D54" i="1"/>
  <c r="J53" i="1"/>
  <c r="D17" i="1"/>
  <c r="O39" i="1"/>
  <c r="S38" i="1"/>
  <c r="B13" i="1"/>
  <c r="O13" i="1" s="1"/>
  <c r="C34" i="3"/>
  <c r="O36" i="1"/>
  <c r="O37" i="1"/>
  <c r="O38" i="1"/>
  <c r="D36" i="3"/>
  <c r="E41" i="1"/>
  <c r="E49" i="1" s="1"/>
  <c r="E57" i="1" s="1"/>
  <c r="J17" i="1"/>
  <c r="D26" i="1"/>
  <c r="S37" i="1"/>
  <c r="S39" i="1"/>
  <c r="H13" i="1"/>
  <c r="G17" i="1"/>
  <c r="J25" i="1"/>
  <c r="G45" i="1"/>
  <c r="D53" i="1"/>
  <c r="J54" i="1"/>
  <c r="C36" i="3"/>
  <c r="AU36" i="3"/>
  <c r="D35" i="3"/>
  <c r="J45" i="1"/>
  <c r="D45" i="1"/>
  <c r="G53" i="1"/>
  <c r="G54" i="1"/>
  <c r="E13" i="1"/>
  <c r="P13" i="1" s="1"/>
  <c r="AB40" i="1"/>
  <c r="AE13" i="1" s="1"/>
  <c r="N41" i="1" s="1"/>
  <c r="H41" i="1"/>
  <c r="C35" i="3"/>
  <c r="AH36" i="3"/>
  <c r="AK13" i="1" l="1"/>
  <c r="AL14" i="1" s="1"/>
  <c r="Y13" i="1"/>
  <c r="M41" i="1"/>
  <c r="H49" i="1"/>
  <c r="H57" i="1" s="1"/>
  <c r="B21" i="1"/>
  <c r="B29" i="1" s="1"/>
  <c r="H21" i="1"/>
  <c r="V13" i="1"/>
  <c r="L13" i="1"/>
  <c r="E21" i="1"/>
  <c r="E29" i="1" s="1"/>
  <c r="K13" i="1"/>
  <c r="I41" i="1"/>
  <c r="C41" i="1"/>
  <c r="D37" i="1"/>
  <c r="F13" i="1"/>
  <c r="J37" i="1"/>
  <c r="K41" i="1"/>
  <c r="C13" i="1"/>
  <c r="M13" i="1"/>
  <c r="G10" i="1"/>
  <c r="L41" i="1"/>
  <c r="F41" i="1"/>
  <c r="G37" i="1"/>
  <c r="I13" i="1"/>
  <c r="I21" i="1" s="1"/>
  <c r="I29" i="1" s="1"/>
  <c r="D9" i="1"/>
  <c r="Q41" i="1"/>
  <c r="O41" i="1"/>
  <c r="P41" i="1"/>
  <c r="Q13" i="1"/>
  <c r="S41" i="1"/>
  <c r="R41" i="1"/>
  <c r="Z41" i="1"/>
  <c r="M21" i="1" l="1"/>
  <c r="H29" i="1"/>
  <c r="M29" i="1" s="1"/>
  <c r="K21" i="1"/>
  <c r="K29" i="1"/>
  <c r="I49" i="1"/>
  <c r="F49" i="1"/>
  <c r="C49" i="1"/>
  <c r="C57" i="1" s="1"/>
  <c r="J41" i="1"/>
  <c r="L29" i="1"/>
  <c r="L21" i="1"/>
  <c r="F21" i="1"/>
  <c r="F29" i="1" s="1"/>
  <c r="C21" i="1"/>
  <c r="C29" i="1" s="1"/>
  <c r="G13" i="1"/>
  <c r="D41" i="1"/>
  <c r="G41" i="1"/>
  <c r="D13" i="1"/>
  <c r="J13" i="1"/>
  <c r="F57" i="1" l="1"/>
  <c r="G57" i="1" s="1"/>
  <c r="I57" i="1"/>
  <c r="J57" i="1" s="1"/>
  <c r="J49" i="1"/>
  <c r="G49" i="1"/>
  <c r="D49" i="1"/>
  <c r="D29" i="1"/>
  <c r="G29" i="1"/>
  <c r="J29" i="1"/>
  <c r="D21" i="1"/>
  <c r="G21" i="1"/>
  <c r="J21" i="1"/>
  <c r="D57" i="1"/>
</calcChain>
</file>

<file path=xl/comments1.xml><?xml version="1.0" encoding="utf-8"?>
<comments xmlns="http://schemas.openxmlformats.org/spreadsheetml/2006/main">
  <authors>
    <author>Anthony Eden</author>
  </authors>
  <commentList>
    <comment ref="R38" authorId="0" shapeId="0">
      <text>
        <r>
          <rPr>
            <b/>
            <sz val="9"/>
            <color indexed="81"/>
            <rFont val="Tahoma"/>
            <family val="2"/>
          </rPr>
          <t>Anthony Eden:</t>
        </r>
        <r>
          <rPr>
            <sz val="9"/>
            <color indexed="81"/>
            <rFont val="Tahoma"/>
            <family val="2"/>
          </rPr>
          <t xml:space="preserve">
Queens bithday (except wa and qld)
</t>
        </r>
      </text>
    </comment>
  </commentList>
</comments>
</file>

<file path=xl/comments2.xml><?xml version="1.0" encoding="utf-8"?>
<comments xmlns="http://schemas.openxmlformats.org/spreadsheetml/2006/main">
  <authors>
    <author>Charmaine Chan</author>
    <author>Anthony Eden</author>
  </authors>
  <commentList>
    <comment ref="BA4" authorId="0" shapeId="0">
      <text>
        <r>
          <rPr>
            <sz val="9"/>
            <color indexed="81"/>
            <rFont val="Tahoma"/>
            <family val="2"/>
          </rPr>
          <t xml:space="preserve">includes milk lab
</t>
        </r>
      </text>
    </comment>
    <comment ref="BA5" authorId="0" shapeId="0">
      <text>
        <r>
          <rPr>
            <sz val="9"/>
            <color indexed="81"/>
            <rFont val="Tahoma"/>
            <family val="2"/>
          </rPr>
          <t xml:space="preserve">includes milk lab
</t>
        </r>
      </text>
    </comment>
    <comment ref="BA6" authorId="0" shapeId="0">
      <text>
        <r>
          <rPr>
            <sz val="9"/>
            <color indexed="81"/>
            <rFont val="Tahoma"/>
            <family val="2"/>
          </rPr>
          <t xml:space="preserve">includes milk lab
</t>
        </r>
      </text>
    </comment>
    <comment ref="AZ22" authorId="0" shapeId="0">
      <text>
        <r>
          <rPr>
            <b/>
            <sz val="9"/>
            <color indexed="81"/>
            <rFont val="Tahoma"/>
            <family val="2"/>
          </rPr>
          <t>12010700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28" authorId="0" shapeId="0">
      <text>
        <r>
          <rPr>
            <b/>
            <sz val="9"/>
            <color indexed="81"/>
            <rFont val="Tahoma"/>
            <family val="2"/>
          </rPr>
          <t xml:space="preserve">BU 12024021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2" authorId="1" shapeId="0">
      <text>
        <r>
          <rPr>
            <b/>
            <sz val="9"/>
            <color indexed="81"/>
            <rFont val="Tahoma"/>
            <family val="2"/>
          </rPr>
          <t>Anthony Eden:</t>
        </r>
        <r>
          <rPr>
            <sz val="9"/>
            <color indexed="81"/>
            <rFont val="Tahoma"/>
            <family val="2"/>
          </rPr>
          <t xml:space="preserve">
Adjust for OTC Vanita $55,953
</t>
        </r>
      </text>
    </comment>
    <comment ref="K32" authorId="1" shapeId="0">
      <text>
        <r>
          <rPr>
            <b/>
            <sz val="9"/>
            <color indexed="81"/>
            <rFont val="Tahoma"/>
            <family val="2"/>
          </rPr>
          <t>Anthony Eden:</t>
        </r>
        <r>
          <rPr>
            <sz val="9"/>
            <color indexed="81"/>
            <rFont val="Tahoma"/>
            <family val="2"/>
          </rPr>
          <t xml:space="preserve">
Adjust for OTC Vanita $55,953
</t>
        </r>
      </text>
    </comment>
    <comment ref="L32" authorId="1" shapeId="0">
      <text>
        <r>
          <rPr>
            <b/>
            <sz val="9"/>
            <color indexed="81"/>
            <rFont val="Tahoma"/>
            <family val="2"/>
          </rPr>
          <t>Anthony Eden:</t>
        </r>
        <r>
          <rPr>
            <sz val="9"/>
            <color indexed="81"/>
            <rFont val="Tahoma"/>
            <family val="2"/>
          </rPr>
          <t xml:space="preserve">
Adjust for OTC Vanita $55,953
</t>
        </r>
      </text>
    </comment>
    <comment ref="M32" authorId="1" shapeId="0">
      <text>
        <r>
          <rPr>
            <b/>
            <sz val="9"/>
            <color indexed="81"/>
            <rFont val="Tahoma"/>
            <family val="2"/>
          </rPr>
          <t>Anthony Eden:</t>
        </r>
        <r>
          <rPr>
            <sz val="9"/>
            <color indexed="81"/>
            <rFont val="Tahoma"/>
            <family val="2"/>
          </rPr>
          <t xml:space="preserve">
Adjust for OTC Vanita $55,953
</t>
        </r>
      </text>
    </comment>
    <comment ref="N32" authorId="1" shapeId="0">
      <text>
        <r>
          <rPr>
            <b/>
            <sz val="9"/>
            <color indexed="81"/>
            <rFont val="Tahoma"/>
            <family val="2"/>
          </rPr>
          <t>Anthony Eden:</t>
        </r>
        <r>
          <rPr>
            <sz val="9"/>
            <color indexed="81"/>
            <rFont val="Tahoma"/>
            <family val="2"/>
          </rPr>
          <t xml:space="preserve">
Adjust for OTC Vanita $55,953
</t>
        </r>
      </text>
    </comment>
    <comment ref="O32" authorId="1" shapeId="0">
      <text>
        <r>
          <rPr>
            <b/>
            <sz val="9"/>
            <color indexed="81"/>
            <rFont val="Tahoma"/>
            <family val="2"/>
          </rPr>
          <t>Anthony Eden:</t>
        </r>
        <r>
          <rPr>
            <sz val="9"/>
            <color indexed="81"/>
            <rFont val="Tahoma"/>
            <family val="2"/>
          </rPr>
          <t xml:space="preserve">
Adjust for OTC Vanita $55,953
</t>
        </r>
      </text>
    </comment>
    <comment ref="P32" authorId="1" shapeId="0">
      <text>
        <r>
          <rPr>
            <b/>
            <sz val="9"/>
            <color indexed="81"/>
            <rFont val="Tahoma"/>
            <family val="2"/>
          </rPr>
          <t>Anthony Eden:</t>
        </r>
        <r>
          <rPr>
            <sz val="9"/>
            <color indexed="81"/>
            <rFont val="Tahoma"/>
            <family val="2"/>
          </rPr>
          <t xml:space="preserve">
Adjust for OTC Vanita $55,953
</t>
        </r>
      </text>
    </comment>
  </commentList>
</comments>
</file>

<file path=xl/comments3.xml><?xml version="1.0" encoding="utf-8"?>
<comments xmlns="http://schemas.openxmlformats.org/spreadsheetml/2006/main">
  <authors>
    <author>Charmaine Chan</author>
  </authors>
  <commentList>
    <comment ref="A7" authorId="0" shapeId="0">
      <text>
        <r>
          <rPr>
            <sz val="9"/>
            <color indexed="81"/>
            <rFont val="Tahoma"/>
            <family val="2"/>
          </rPr>
          <t xml:space="preserve">include Rebates
</t>
        </r>
      </text>
    </comment>
    <comment ref="B38" authorId="0" shapeId="0">
      <text>
        <r>
          <rPr>
            <sz val="9"/>
            <color indexed="81"/>
            <rFont val="Tahoma"/>
            <family val="2"/>
          </rPr>
          <t xml:space="preserve">include Milk Lab
</t>
        </r>
      </text>
    </comment>
    <comment ref="A40" authorId="0" shapeId="0">
      <text>
        <r>
          <rPr>
            <sz val="9"/>
            <color indexed="81"/>
            <rFont val="Tahoma"/>
            <family val="2"/>
          </rPr>
          <t>include Rebates</t>
        </r>
      </text>
    </comment>
  </commentList>
</comments>
</file>

<file path=xl/comments4.xml><?xml version="1.0" encoding="utf-8"?>
<comments xmlns="http://schemas.openxmlformats.org/spreadsheetml/2006/main">
  <authors>
    <author>Charmaine Chan</author>
  </authors>
  <commentList>
    <comment ref="A7" authorId="0" shapeId="0">
      <text>
        <r>
          <rPr>
            <sz val="9"/>
            <color indexed="81"/>
            <rFont val="Tahoma"/>
            <family val="2"/>
          </rPr>
          <t xml:space="preserve">include Rebates
</t>
        </r>
      </text>
    </comment>
    <comment ref="B38" authorId="0" shapeId="0">
      <text>
        <r>
          <rPr>
            <sz val="9"/>
            <color indexed="81"/>
            <rFont val="Tahoma"/>
            <family val="2"/>
          </rPr>
          <t xml:space="preserve">include Milk Lab
</t>
        </r>
      </text>
    </comment>
    <comment ref="A40" authorId="0" shapeId="0">
      <text>
        <r>
          <rPr>
            <sz val="9"/>
            <color indexed="81"/>
            <rFont val="Tahoma"/>
            <family val="2"/>
          </rPr>
          <t>include Rebates</t>
        </r>
      </text>
    </comment>
  </commentList>
</comments>
</file>

<file path=xl/comments5.xml><?xml version="1.0" encoding="utf-8"?>
<comments xmlns="http://schemas.openxmlformats.org/spreadsheetml/2006/main">
  <authors>
    <author>Charmaine Chan</author>
  </authors>
  <commentList>
    <comment ref="A7" authorId="0" shapeId="0">
      <text>
        <r>
          <rPr>
            <sz val="9"/>
            <color indexed="81"/>
            <rFont val="Tahoma"/>
            <family val="2"/>
          </rPr>
          <t xml:space="preserve">include Rebates
</t>
        </r>
      </text>
    </comment>
    <comment ref="B38" authorId="0" shapeId="0">
      <text>
        <r>
          <rPr>
            <sz val="9"/>
            <color indexed="81"/>
            <rFont val="Tahoma"/>
            <family val="2"/>
          </rPr>
          <t xml:space="preserve">include Milk Lab
</t>
        </r>
      </text>
    </comment>
    <comment ref="A40" authorId="0" shapeId="0">
      <text>
        <r>
          <rPr>
            <sz val="9"/>
            <color indexed="81"/>
            <rFont val="Tahoma"/>
            <family val="2"/>
          </rPr>
          <t>include Rebates</t>
        </r>
      </text>
    </comment>
  </commentList>
</comments>
</file>

<file path=xl/comments6.xml><?xml version="1.0" encoding="utf-8"?>
<comments xmlns="http://schemas.openxmlformats.org/spreadsheetml/2006/main">
  <authors>
    <author>Charmaine Chan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Charmaine Chan:</t>
        </r>
        <r>
          <rPr>
            <sz val="9"/>
            <color indexed="81"/>
            <rFont val="Tahoma"/>
            <family val="2"/>
          </rPr>
          <t xml:space="preserve">
Test Outsourced
</t>
        </r>
      </text>
    </comment>
    <comment ref="A16" authorId="0" shapeId="0">
      <text>
        <r>
          <rPr>
            <b/>
            <sz val="9"/>
            <color indexed="81"/>
            <rFont val="Tahoma"/>
            <family val="2"/>
          </rPr>
          <t>Charmaine Chan:</t>
        </r>
        <r>
          <rPr>
            <sz val="9"/>
            <color indexed="81"/>
            <rFont val="Tahoma"/>
            <family val="2"/>
          </rPr>
          <t xml:space="preserve">
Total Test within Lab</t>
        </r>
      </text>
    </comment>
    <comment ref="E58" authorId="0" shapeId="0">
      <text>
        <r>
          <rPr>
            <b/>
            <sz val="9"/>
            <color indexed="81"/>
            <rFont val="Tahoma"/>
            <family val="2"/>
          </rPr>
          <t>Charmaine Chan:</t>
        </r>
        <r>
          <rPr>
            <sz val="9"/>
            <color indexed="81"/>
            <rFont val="Tahoma"/>
            <family val="2"/>
          </rPr>
          <t xml:space="preserve">
Total Test within Lab</t>
        </r>
      </text>
    </comment>
  </commentList>
</comments>
</file>

<file path=xl/comments7.xml><?xml version="1.0" encoding="utf-8"?>
<comments xmlns="http://schemas.openxmlformats.org/spreadsheetml/2006/main">
  <authors>
    <author>Charmaine Chan</author>
  </authors>
  <commentList>
    <comment ref="A27" authorId="0" shapeId="0">
      <text>
        <r>
          <rPr>
            <b/>
            <sz val="9"/>
            <color indexed="81"/>
            <rFont val="Tahoma"/>
            <family val="2"/>
          </rPr>
          <t>12010700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4" authorId="0" shapeId="0">
      <text>
        <r>
          <rPr>
            <sz val="9"/>
            <color indexed="81"/>
            <rFont val="Tahoma"/>
            <family val="2"/>
          </rPr>
          <t xml:space="preserve">includes milk lab
</t>
        </r>
      </text>
    </comment>
    <comment ref="A36" authorId="0" shapeId="0">
      <text>
        <r>
          <rPr>
            <b/>
            <sz val="9"/>
            <color indexed="81"/>
            <rFont val="Tahoma"/>
            <family val="2"/>
          </rPr>
          <t xml:space="preserve">BU 12024021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Charmaine Chan</author>
  </authors>
  <commentList>
    <comment ref="A73" authorId="0" shapeId="0">
      <text>
        <r>
          <rPr>
            <b/>
            <sz val="9"/>
            <color indexed="81"/>
            <rFont val="Tahoma"/>
            <family val="2"/>
          </rPr>
          <t>12010700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94" authorId="0" shapeId="0">
      <text>
        <r>
          <rPr>
            <sz val="9"/>
            <color indexed="81"/>
            <rFont val="Tahoma"/>
            <family val="2"/>
          </rPr>
          <t xml:space="preserve">includes milk lab
</t>
        </r>
      </text>
    </comment>
    <comment ref="A100" authorId="0" shapeId="0">
      <text>
        <r>
          <rPr>
            <b/>
            <sz val="9"/>
            <color indexed="81"/>
            <rFont val="Tahoma"/>
            <family val="2"/>
          </rPr>
          <t xml:space="preserve">BU 12024021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12" authorId="0" shapeId="0">
      <text>
        <r>
          <rPr>
            <sz val="9"/>
            <color indexed="81"/>
            <rFont val="Tahoma"/>
            <family val="2"/>
          </rPr>
          <t xml:space="preserve">Micro, Chem, Milk
</t>
        </r>
      </text>
    </comment>
    <comment ref="A143" authorId="0" shapeId="0">
      <text>
        <r>
          <rPr>
            <b/>
            <sz val="9"/>
            <color indexed="81"/>
            <rFont val="Tahoma"/>
            <family val="2"/>
          </rPr>
          <t>12010700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56" authorId="0" shapeId="0">
      <text>
        <r>
          <rPr>
            <b/>
            <sz val="9"/>
            <color indexed="81"/>
            <rFont val="Tahoma"/>
            <family val="2"/>
          </rPr>
          <t xml:space="preserve">BU 12024021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74" authorId="0" shapeId="0">
      <text>
        <r>
          <rPr>
            <b/>
            <sz val="9"/>
            <color indexed="81"/>
            <rFont val="Tahoma"/>
            <family val="2"/>
          </rPr>
          <t>Charmaine Chan:</t>
        </r>
        <r>
          <rPr>
            <sz val="9"/>
            <color indexed="81"/>
            <rFont val="Tahoma"/>
            <family val="2"/>
          </rPr>
          <t xml:space="preserve">
PAID FTE</t>
        </r>
      </text>
    </comment>
  </commentList>
</comments>
</file>

<file path=xl/sharedStrings.xml><?xml version="1.0" encoding="utf-8"?>
<sst xmlns="http://schemas.openxmlformats.org/spreadsheetml/2006/main" count="6260" uniqueCount="714">
  <si>
    <t>SNAPSHOT OF BRANCH RESULTS</t>
  </si>
  <si>
    <t>YTD</t>
  </si>
  <si>
    <t>ACTUAL YTD</t>
  </si>
  <si>
    <t>PY YTD</t>
  </si>
  <si>
    <t>BU YTD</t>
  </si>
  <si>
    <t>Movement in Test Volumes</t>
  </si>
  <si>
    <t>FY18</t>
  </si>
  <si>
    <t>REVENUE</t>
  </si>
  <si>
    <t>GROSS PROFIT</t>
  </si>
  <si>
    <t>GP%</t>
  </si>
  <si>
    <t>Material Usage</t>
  </si>
  <si>
    <t>Avg Price/test</t>
  </si>
  <si>
    <t>test target</t>
  </si>
  <si>
    <t>Micro - Movement in Test Volumes YTD vs PY</t>
  </si>
  <si>
    <t xml:space="preserve">Micro - Movement in Test Volumes MTD vs PYMTD
</t>
  </si>
  <si>
    <t>SYDNEY MICROBIOLOGY</t>
  </si>
  <si>
    <t>PERTH MICROBIOLOGY</t>
  </si>
  <si>
    <t>BRISBANE MICROBIOLOGY</t>
  </si>
  <si>
    <t>TOTAL MICROBIOLOGY</t>
  </si>
  <si>
    <t>CHEMISTRY</t>
  </si>
  <si>
    <t>LAB SERVICES</t>
  </si>
  <si>
    <t>TECHNICAL SERVICES</t>
  </si>
  <si>
    <t>AUDIT SERVICES</t>
  </si>
  <si>
    <t>TOTAL</t>
  </si>
  <si>
    <t>ACTUAL MTD</t>
  </si>
  <si>
    <t>PY MTD</t>
  </si>
  <si>
    <t>BU MTD</t>
  </si>
  <si>
    <t>Prior</t>
  </si>
  <si>
    <t>G/L Reporting Code 21</t>
  </si>
  <si>
    <t>PriorYTD</t>
  </si>
  <si>
    <t>MICROBIOLOGY</t>
  </si>
  <si>
    <t>SENIORAUDIT</t>
  </si>
  <si>
    <t>TECHNICALSERVICES</t>
  </si>
  <si>
    <t>TOTAL REVENUE 3RD PARTY</t>
  </si>
  <si>
    <t>OPERATING REVENUE - THIRD PARTY</t>
  </si>
  <si>
    <t>INTERCOMPANY REVENUE</t>
  </si>
  <si>
    <t>REBATES &amp; DISCOUNTS</t>
  </si>
  <si>
    <t>TOTAL REVENUE</t>
  </si>
  <si>
    <t>PAYROLL TAXES - Variable</t>
  </si>
  <si>
    <t>TEMPORARY STAFF COSTS</t>
  </si>
  <si>
    <t>LEAVE ACCRUAL - Variable</t>
  </si>
  <si>
    <t>INCENTIVE COMPENSATION -Variable</t>
  </si>
  <si>
    <t>WORKERS COMPENSATION INSURANCE -Variable</t>
  </si>
  <si>
    <t>SUPERANNUATION COST - Variable</t>
  </si>
  <si>
    <t>TOTAL VARIABLE PAYROLL</t>
  </si>
  <si>
    <t>MEDIA MATERIAL COSTS</t>
  </si>
  <si>
    <t>CHEMICALS PURCHASE COSTS</t>
  </si>
  <si>
    <t>GLASS &amp; PLASTICS PURCHASES</t>
  </si>
  <si>
    <t>PURCHASE OF DIRECT SUPPLIES</t>
  </si>
  <si>
    <t>TOTAL LABORATORY MATERIAL COSTS</t>
  </si>
  <si>
    <t>PURCHASE OF SAMPLES</t>
  </si>
  <si>
    <t>OUTSIDE ANALYSIS -EXTERNAL</t>
  </si>
  <si>
    <t>OUTSIDE ANALYSIS- INTERCOMPANY</t>
  </si>
  <si>
    <t>TOTAL OUTSIDE ANALYSIS</t>
  </si>
  <si>
    <t>COURIER &amp; SAMPLE PICK UP EXPENSES</t>
  </si>
  <si>
    <t>TOTAL VARIABLE COS</t>
  </si>
  <si>
    <t>CONTRIBUTION MARGIN</t>
  </si>
  <si>
    <t>PAYROLL TAXES  -Fixed</t>
  </si>
  <si>
    <t>PAYROLL REINVOICE I/C INCOME</t>
  </si>
  <si>
    <t>LEAVE ACCRUAL - Fixed</t>
  </si>
  <si>
    <t>INCENTIVE COMPENSATION - Fixed</t>
  </si>
  <si>
    <t>WORKERS COMPENSATION INSURANCE - Fixed</t>
  </si>
  <si>
    <t>SUPERANNUATION COST - Fixed</t>
  </si>
  <si>
    <t>TOTAL FIXED PAYROLL</t>
  </si>
  <si>
    <t>DEPRECIATION EXPENSE - OTHER TANGIBLE ASSETS</t>
  </si>
  <si>
    <t>DEPRECIATION EXPENSE - INTANGIBLE ASSETS</t>
  </si>
  <si>
    <t>DEPRECIATION &amp; AMORTIZATION</t>
  </si>
  <si>
    <t>PURCHASED EQUIPMENT EXPENSE</t>
  </si>
  <si>
    <t>LEASED EQUIPMENT EXPENSE</t>
  </si>
  <si>
    <t>EQUIPMENT REPAIR</t>
  </si>
  <si>
    <t>TOTAL EQUIPMENT &amp; MAINTENANCE</t>
  </si>
  <si>
    <t>UTILITIES</t>
  </si>
  <si>
    <t>COMMON WASTE DISPOSAL</t>
  </si>
  <si>
    <t>TELEPHONE &amp; MOBILE COSTS</t>
  </si>
  <si>
    <t>RENT &amp; OUTGOINGS</t>
  </si>
  <si>
    <t>GENERAL LIABILITY INSURANCE</t>
  </si>
  <si>
    <t>BUILDING REPAIR, CLEANING &amp; MAINTENANCE</t>
  </si>
  <si>
    <t>REAL ESTATE TAX AND PROPERTY TAX</t>
  </si>
  <si>
    <t>OCCUPANCY COST - GROSS MARGIN</t>
  </si>
  <si>
    <t>TRAVEL &amp; CAR RELATED EXPENSES</t>
  </si>
  <si>
    <t>Q.A. DEVELOPMENTAL STUDIES</t>
  </si>
  <si>
    <t>SAFETYTRNG/EQUIP/OUTSIDE SERV</t>
  </si>
  <si>
    <t>POSTAGE</t>
  </si>
  <si>
    <t>BUSINESS LICENSES &amp; FEES</t>
  </si>
  <si>
    <t>OUTSIDE CONSULTANTS FOR SUPPORT &amp; GENERAL SERVICES</t>
  </si>
  <si>
    <t>OTHER REINVOICING EXPENSE - INTERCOMPANY</t>
  </si>
  <si>
    <t>OFFICE &amp; IT SUPPLIES</t>
  </si>
  <si>
    <t>TRAINING, SEMINARS &amp; TUITION REIMBOURSEMENT</t>
  </si>
  <si>
    <t>RECRUITING COST &amp; RELOCATION</t>
  </si>
  <si>
    <t>OTHER GENERAL EXPENSES</t>
  </si>
  <si>
    <t>OTHER GENERAL EXPENSE</t>
  </si>
  <si>
    <t>TOTAL FIXED COS</t>
  </si>
  <si>
    <t>COST OF SERVICES</t>
  </si>
  <si>
    <t>PAYROLL TAXES - Fixed</t>
  </si>
  <si>
    <t>HOLIDAY &amp; VACATION - Fixed</t>
  </si>
  <si>
    <t>RETIREMENT EXPENSES - Fixed</t>
  </si>
  <si>
    <t>PAYROLL &amp; RELATED - TOTAL</t>
  </si>
  <si>
    <t>LEASED EQUIPMENT EXP</t>
  </si>
  <si>
    <t>EQUIPMENT &amp; MAINTENANCE</t>
  </si>
  <si>
    <t>UTILITYELECTRIC</t>
  </si>
  <si>
    <t>COMMON WASTE DISPOSAL &amp; LAUNDRY</t>
  </si>
  <si>
    <t>UTILITYTELEPHONE</t>
  </si>
  <si>
    <t>RENT</t>
  </si>
  <si>
    <t>OCCUPANCY COSTS</t>
  </si>
  <si>
    <t>Travel &amp; Car Related Expenses</t>
  </si>
  <si>
    <t>ADVERTISING</t>
  </si>
  <si>
    <t>BAD DEBT WRITE OFF</t>
  </si>
  <si>
    <t>BAD DEBT ALLOWANCE &amp; REVERSAL</t>
  </si>
  <si>
    <t>SALES &amp; MARKETING EXPENSES</t>
  </si>
  <si>
    <t>PURCHASED EQUIPMENT EXP</t>
  </si>
  <si>
    <t>LEGAL FEES</t>
  </si>
  <si>
    <t>ACCOUNTING FEES</t>
  </si>
  <si>
    <t>GENERAL &amp; ADMINISTRATIVE EXPENSES</t>
  </si>
  <si>
    <t>PAYROLL TAX</t>
  </si>
  <si>
    <t>ANNUAL LEAVE &amp; LOADING - PROVI</t>
  </si>
  <si>
    <t>SUPERANNUATION - COMPANY CONTR</t>
  </si>
  <si>
    <t>PAYROLL - RELATED</t>
  </si>
  <si>
    <t>RESEARCH &amp; DEVELOPMENT EXPENSES</t>
  </si>
  <si>
    <t>UNREALIZED FX GAIN OR LOSS ON TRADE</t>
  </si>
  <si>
    <t>OTHER OPERATING PROFIT/ LOSS</t>
  </si>
  <si>
    <t>OPERATING PROFIT FROM CONTINUING OPERATIONS</t>
  </si>
  <si>
    <t>OPERATING PROFIT</t>
  </si>
  <si>
    <t>OTC-OTI (enter manually)</t>
  </si>
  <si>
    <t>Operating Profit B4 MF &amp; OTC-OTI</t>
  </si>
  <si>
    <t>OPERATING PROFIT B4 DEPRECIATION &amp; AMORTIZATION</t>
  </si>
  <si>
    <t>INTEREST EXPENSE - INTERCOMPANY</t>
  </si>
  <si>
    <t>Interest Profit / Loss - Intercompany</t>
  </si>
  <si>
    <t>INTEREST INCOME - THIRD PARTY</t>
  </si>
  <si>
    <t>NET FINANCIAL COSTS</t>
  </si>
  <si>
    <t>BANK SERVICE CHARGES</t>
  </si>
  <si>
    <t>OTHER FINANCE COSTS AND INCOME</t>
  </si>
  <si>
    <t>PROFIT BEFORE TAX FROM CONTINUING OPERATIONS</t>
  </si>
  <si>
    <t>PROFIT FOR THE YEAR CONTINUING OPERATIONS</t>
  </si>
  <si>
    <t>PROFIT FOR THE YEAR</t>
  </si>
  <si>
    <t>Description</t>
  </si>
  <si>
    <t>VAR%
Act vs Bud</t>
  </si>
  <si>
    <t>VAR% 
Act vs Prior</t>
  </si>
  <si>
    <t>Total Prior</t>
  </si>
  <si>
    <t>YTD VAR%
Act vs Bud</t>
  </si>
  <si>
    <t>YTD VAR%
Act vs PY</t>
  </si>
  <si>
    <t>BRISBANE CHEM MILK TESTING</t>
  </si>
  <si>
    <t>MELBOURNE CHEM MILK TESTING</t>
  </si>
  <si>
    <t>PERTH CHEMISTRY - INTERNAL</t>
  </si>
  <si>
    <t>PERTH CHEMISTRY - EXTERNAL</t>
  </si>
  <si>
    <t>BRISBANE CHEMISTRY - INTERNAL</t>
  </si>
  <si>
    <t>BRISBANE CHEMISTRY - EXTERNAL</t>
  </si>
  <si>
    <t>SYDNEY CHEMISTRY - INTERNAL</t>
  </si>
  <si>
    <t>SYDNEY CHEMISTRY - EXTERNAL</t>
  </si>
  <si>
    <t>CENTRAL CONSULTING MICROBIOLOGY</t>
  </si>
  <si>
    <t>MELBOURNE MICROBIOLOGY</t>
  </si>
  <si>
    <t>MELBOURNE CHEMISTRY  - EXTERNAL</t>
  </si>
  <si>
    <t>MELBOURNE CHEMISTRY - INTERNAL</t>
  </si>
  <si>
    <t>SENIOR AUDITING</t>
  </si>
  <si>
    <t>CENTRAL CONSULTING</t>
  </si>
  <si>
    <t>external tests</t>
  </si>
  <si>
    <t>internal tests</t>
  </si>
  <si>
    <t>total</t>
  </si>
  <si>
    <t>Average price per external</t>
  </si>
  <si>
    <t>Average price per internal</t>
  </si>
  <si>
    <t>Average price per test (int &amp; ext)</t>
  </si>
  <si>
    <t>SALARY &amp; WAGES</t>
  </si>
  <si>
    <t>PAYROLL TAXES</t>
  </si>
  <si>
    <t>ANNUAL &amp; LONG SERVICE LEAVE</t>
  </si>
  <si>
    <t>INCENTIVE COMPENSATION</t>
  </si>
  <si>
    <t>WORKERS COMPENSATION INSURANCE</t>
  </si>
  <si>
    <t>SUPERANNUATION</t>
  </si>
  <si>
    <t>TOTAL PAYROLL</t>
  </si>
  <si>
    <t>MEDIA &amp; CHEMICAL</t>
  </si>
  <si>
    <t>GLASS &amp; PLASTIC</t>
  </si>
  <si>
    <t>SUPPLIES</t>
  </si>
  <si>
    <t>OUTSIDE ANALYSIS</t>
  </si>
  <si>
    <t>OUTSIDE PICK UP (COURIERS)</t>
  </si>
  <si>
    <t>OUTSIDE WASTE MANAGEMENT EXPENSES</t>
  </si>
  <si>
    <t>DEPRECIATION</t>
  </si>
  <si>
    <t>UTILITYWATER</t>
  </si>
  <si>
    <t>UTILITYGAS</t>
  </si>
  <si>
    <t>UTILITYCELLULAR</t>
  </si>
  <si>
    <t>TOTAL OCCUPANCY EXPENSES</t>
  </si>
  <si>
    <t>MV LEASE</t>
  </si>
  <si>
    <t>MV OPERATING EXPENSES</t>
  </si>
  <si>
    <t>AIRFARE - DOMESTIC</t>
  </si>
  <si>
    <t>AIRFARE - INTERNATIONAL</t>
  </si>
  <si>
    <t>ACCOMODATION &amp; MEALS - DOMESTIC</t>
  </si>
  <si>
    <t>ACCOMODATION &amp; MEALS - INTERNATIONAL</t>
  </si>
  <si>
    <t>RENTAL CARS - DOMESTIC</t>
  </si>
  <si>
    <t>RENTAL CARS - INTERNATIONAL</t>
  </si>
  <si>
    <t>ENTERTAINMENT - DOMESTIC (FBT)</t>
  </si>
  <si>
    <t>ENTERTAINMENT - DOMESTIC (NON FBT)</t>
  </si>
  <si>
    <t>ENTERTAINMENT - INTERNATIONAL (FBT)</t>
  </si>
  <si>
    <t>ENTERTAINMENT - INTERNATIONAL (NON FBT)</t>
  </si>
  <si>
    <t>TRAVEL EXPENSES MISC - DOMESTIC</t>
  </si>
  <si>
    <t>TRAVEL EXPENSES MISC - INTERNATIONAL</t>
  </si>
  <si>
    <t>TOTAL TRAVELLING &amp; ENTERTAINMENT EXPENSES</t>
  </si>
  <si>
    <t>QA PROFIENCY TESTING</t>
  </si>
  <si>
    <t>SAFETY &amp; OHS</t>
  </si>
  <si>
    <t>PRINTING</t>
  </si>
  <si>
    <t>TRAINING &amp; SEMINARS</t>
  </si>
  <si>
    <t>RECRUITING COSTS</t>
  </si>
  <si>
    <t>MEMBERSHIPS</t>
  </si>
  <si>
    <t>OTHER REINVOICING (INCOME) /EXPENSE</t>
  </si>
  <si>
    <t>LITIGATION PROVISION</t>
  </si>
  <si>
    <t>TOTAL EXPENSES</t>
  </si>
  <si>
    <t>PAID FTE</t>
  </si>
  <si>
    <t>WORKED FTE</t>
  </si>
  <si>
    <t>OVERTIME FTE</t>
  </si>
  <si>
    <t>OTHER REINVOICING INCOME</t>
  </si>
  <si>
    <t>OTHER REINVOICING EXPENSE</t>
  </si>
  <si>
    <t>BANK CHARGES</t>
  </si>
  <si>
    <t>MANAGEMENT FEES</t>
  </si>
  <si>
    <t>INCOME TAX</t>
  </si>
  <si>
    <t>INTEREST INCOME</t>
  </si>
  <si>
    <t>BAD DEBT ALLOWANCE</t>
  </si>
  <si>
    <t>BAD DEBT COLLECTION FEE</t>
  </si>
  <si>
    <t>TRAINING &amp; STAFF WELFARE</t>
  </si>
  <si>
    <t>PERTH CHEMISTRY</t>
  </si>
  <si>
    <t>BRISBANE CHEMISTRY</t>
  </si>
  <si>
    <t>SYDNEY CHEMISTRY</t>
  </si>
  <si>
    <t>MELBOURNE LAB ADMIN</t>
  </si>
  <si>
    <t>SYDNEY LAB ADMIN</t>
  </si>
  <si>
    <t>BRISBANE LAB ADMIN</t>
  </si>
  <si>
    <t>PERTH LAB ADMIN</t>
  </si>
  <si>
    <t>CENTRAL LAB ADMIN</t>
  </si>
  <si>
    <t>BRISBANE CUSTOMER CARE</t>
  </si>
  <si>
    <t>PERTH CUSTOMER CARE</t>
  </si>
  <si>
    <t>MELBOURNE CUSTOMER CARE</t>
  </si>
  <si>
    <t>SYDNEY CUSTOMER CARE</t>
  </si>
  <si>
    <t>CENTRAL CUSTOMER CARE</t>
  </si>
  <si>
    <t>QUALITY</t>
  </si>
  <si>
    <t>GENERAL &amp; ADMIN</t>
  </si>
  <si>
    <t>SALES &amp; MARKETING</t>
  </si>
  <si>
    <t>INFORMATION TECH DEPARTMENT</t>
  </si>
  <si>
    <t>RESEARCH &amp; DEVELOPMENT</t>
  </si>
  <si>
    <t>TEMPORARY STAFF COSTS - Fixed</t>
  </si>
  <si>
    <t>DIGITAL SOLUTION</t>
  </si>
  <si>
    <t>MTD</t>
  </si>
  <si>
    <t>SG&amp;A</t>
  </si>
  <si>
    <t>Support Services</t>
  </si>
  <si>
    <t>Operating Profit</t>
  </si>
  <si>
    <t>PERTH CHEMISTRY - INTERNAL REBATE</t>
  </si>
  <si>
    <t>SYDNEY CHEMISTRY - INTERNAL REBATE</t>
  </si>
  <si>
    <t>BRISBANE MICROBIOLOGY REBATE</t>
  </si>
  <si>
    <t>PERTH MICROBIOLOGY REBATE</t>
  </si>
  <si>
    <t>MELBOURNE MICROBIOLOGY REBATE</t>
  </si>
  <si>
    <t>SYDNEY MICROBIOLOGY REBATE</t>
  </si>
  <si>
    <t>MELBOURNE CHEMISTRY - INTERNAL REBATE</t>
  </si>
  <si>
    <t>TOTAL REBATE</t>
  </si>
  <si>
    <t>GROSS REVENUE</t>
  </si>
  <si>
    <t>DEPRECIATION - RIGHT-OF-USE</t>
  </si>
  <si>
    <t>DEPRECIATION- RIGHT-OF-USE</t>
  </si>
  <si>
    <t>INTEREST EXPENSE - OP LEASE - THIRD PARTY</t>
  </si>
  <si>
    <t>Finance Costs From Financial Debt</t>
  </si>
  <si>
    <t>CHEMISTRY EXTERNAL</t>
  </si>
  <si>
    <t>CHEMISTRY INTERNAL</t>
  </si>
  <si>
    <t>CHEMISTRY RAW MILK</t>
  </si>
  <si>
    <t>TECH SERVICES - ALDI</t>
  </si>
  <si>
    <t>TECH SERVICES - NON ALDI</t>
  </si>
  <si>
    <t>Payroll cost</t>
  </si>
  <si>
    <t>LEASE DEPRECIATION</t>
  </si>
  <si>
    <t>LEASE DEPRECIAITON</t>
  </si>
  <si>
    <t>FY19 MTD</t>
  </si>
  <si>
    <t>LAST FORECAST - MTD OCT</t>
  </si>
  <si>
    <t>FULL YEAR
 FY18</t>
  </si>
  <si>
    <t>TEMPORARY / CASUAL LABOR &amp; FREELANCE - Fixed</t>
  </si>
  <si>
    <t>Digital Services</t>
  </si>
  <si>
    <t>Current Month (Actuals) Validation</t>
  </si>
  <si>
    <t>Category</t>
  </si>
  <si>
    <t>Microbiology</t>
  </si>
  <si>
    <t>Consult Micro</t>
  </si>
  <si>
    <t>Syd</t>
  </si>
  <si>
    <t>Melb</t>
  </si>
  <si>
    <t>Bris</t>
  </si>
  <si>
    <t>Perth</t>
  </si>
  <si>
    <t>Total</t>
  </si>
  <si>
    <t>Variance</t>
  </si>
  <si>
    <t>Variance Exp</t>
  </si>
  <si>
    <t>Variance GP</t>
  </si>
  <si>
    <t>Chemistry</t>
  </si>
  <si>
    <t>Milk Total</t>
  </si>
  <si>
    <t>Milk Melb</t>
  </si>
  <si>
    <t>Milk Bris</t>
  </si>
  <si>
    <t>Milk</t>
  </si>
  <si>
    <t>Melb Customer Care</t>
  </si>
  <si>
    <t>Bris Customer Care</t>
  </si>
  <si>
    <t>Perth Lab</t>
  </si>
  <si>
    <t>Perth Lab Admin</t>
  </si>
  <si>
    <t>Perth Customer Care</t>
  </si>
  <si>
    <t>Revenue</t>
  </si>
  <si>
    <t>Micro</t>
  </si>
  <si>
    <t>Chem</t>
  </si>
  <si>
    <t>Senior Audit</t>
  </si>
  <si>
    <t>Consulting</t>
  </si>
  <si>
    <t>Digital Solutions</t>
  </si>
  <si>
    <t>variance</t>
  </si>
  <si>
    <t>Payroll</t>
  </si>
  <si>
    <t>R&amp;D</t>
  </si>
  <si>
    <t>S&amp;M</t>
  </si>
  <si>
    <t>G&amp;A</t>
  </si>
  <si>
    <t>Quality</t>
  </si>
  <si>
    <t>IT</t>
  </si>
  <si>
    <t>Lab Admin</t>
  </si>
  <si>
    <t>Customer Care</t>
  </si>
  <si>
    <t>Central</t>
  </si>
  <si>
    <t>TEMP/ CASUAL LABOR &amp; FREELANCE</t>
  </si>
  <si>
    <t>CM</t>
  </si>
  <si>
    <t>CM%</t>
  </si>
  <si>
    <t>Digital Solution</t>
  </si>
  <si>
    <t>LAB ADMIN</t>
  </si>
  <si>
    <t>FTE Data</t>
  </si>
  <si>
    <t>Actual YTD</t>
  </si>
  <si>
    <t>Budget YTD</t>
  </si>
  <si>
    <t>Prior YTD</t>
  </si>
  <si>
    <t>Business Unit</t>
  </si>
  <si>
    <t>Actual MTD</t>
  </si>
  <si>
    <t>Budget MTD</t>
  </si>
  <si>
    <t>Prior MTD</t>
  </si>
  <si>
    <t>Average</t>
  </si>
  <si>
    <t>Brisbane Milk Testing</t>
  </si>
  <si>
    <t>Melbourne Milk Testing</t>
  </si>
  <si>
    <t>Chem Milk Testing</t>
  </si>
  <si>
    <t>Melbourne Chem external</t>
  </si>
  <si>
    <t>Perth Chem external</t>
  </si>
  <si>
    <t>Brisbane Chem external</t>
  </si>
  <si>
    <t>Sydney Chem</t>
  </si>
  <si>
    <t>Consulting Micro  SC</t>
  </si>
  <si>
    <t>Brisbane Micro</t>
  </si>
  <si>
    <t>Perth Micro</t>
  </si>
  <si>
    <t>Sydney Micro</t>
  </si>
  <si>
    <t>Melbourne Micro</t>
  </si>
  <si>
    <t>Melbourne Lab Admin</t>
  </si>
  <si>
    <t>Sydney Lab Admin</t>
  </si>
  <si>
    <t>Brisbane Lab Admin</t>
  </si>
  <si>
    <t>Central Lab Admin</t>
  </si>
  <si>
    <t>Sydney Customer Care</t>
  </si>
  <si>
    <t>Central Customer Care</t>
  </si>
  <si>
    <t>Customer Care Total</t>
  </si>
  <si>
    <t>Sydney Lab</t>
  </si>
  <si>
    <t>Melbourne Lab</t>
  </si>
  <si>
    <t>Brisbane Lab</t>
  </si>
  <si>
    <t>Lab Admin Total</t>
  </si>
  <si>
    <t xml:space="preserve">Test Number </t>
  </si>
  <si>
    <t>Consulting Micro - SC</t>
  </si>
  <si>
    <t>Milk Lab</t>
  </si>
  <si>
    <t>SC Microbioloy</t>
  </si>
  <si>
    <t>General &amp; Admin</t>
  </si>
  <si>
    <t>Sales &amp; Marketing</t>
  </si>
  <si>
    <t>Research &amp; Development</t>
  </si>
  <si>
    <t>A</t>
  </si>
  <si>
    <t xml:space="preserve">MELBOURNE MICROBIOLOGY </t>
  </si>
  <si>
    <t>Sydney Chem (internal)</t>
  </si>
  <si>
    <t>Sydney Chem (external)</t>
  </si>
  <si>
    <t>Test per work day</t>
  </si>
  <si>
    <t>Test per paid FTE</t>
  </si>
  <si>
    <t>SCIENTIFIC SERVICES</t>
  </si>
  <si>
    <t>TECH SERVICES - OTHERS</t>
  </si>
  <si>
    <t>Current Month (Budget) Validation</t>
  </si>
  <si>
    <t>Current Month (Prior) Validation</t>
  </si>
  <si>
    <t>3100 3200 3400</t>
  </si>
  <si>
    <t>4030, 5145</t>
  </si>
  <si>
    <t>4101 4102 4111 4110</t>
  </si>
  <si>
    <t>4141 4142</t>
  </si>
  <si>
    <t>4151 4152</t>
  </si>
  <si>
    <t>4163 4164 4173</t>
  </si>
  <si>
    <t>4171 4173</t>
  </si>
  <si>
    <t>4805 4810 4815</t>
  </si>
  <si>
    <t>4825 4830</t>
  </si>
  <si>
    <t>5075 5085</t>
  </si>
  <si>
    <t>610008SM</t>
  </si>
  <si>
    <t>610009SM</t>
  </si>
  <si>
    <t>610010SM</t>
  </si>
  <si>
    <t>616000SM</t>
  </si>
  <si>
    <t>615000SM</t>
  </si>
  <si>
    <t>625000SM</t>
  </si>
  <si>
    <t>620016SM</t>
  </si>
  <si>
    <t>641000GA</t>
  </si>
  <si>
    <t>645000GA</t>
  </si>
  <si>
    <t>645100GA</t>
  </si>
  <si>
    <t>645200GA</t>
  </si>
  <si>
    <t>645300GA</t>
  </si>
  <si>
    <t>645500GA</t>
  </si>
  <si>
    <t>681120GA</t>
  </si>
  <si>
    <t>610001GA</t>
  </si>
  <si>
    <t>610002GA</t>
  </si>
  <si>
    <t>610009GA</t>
  </si>
  <si>
    <t>610010GA</t>
  </si>
  <si>
    <t>613000GA</t>
  </si>
  <si>
    <t>616000GA</t>
  </si>
  <si>
    <t>615000GA</t>
  </si>
  <si>
    <t>614000GA</t>
  </si>
  <si>
    <t>620003GA</t>
  </si>
  <si>
    <t>626000GA</t>
  </si>
  <si>
    <t>620007GA</t>
  </si>
  <si>
    <t>620008GA</t>
  </si>
  <si>
    <t>620009GA</t>
  </si>
  <si>
    <t>645000RD</t>
  </si>
  <si>
    <t>645200RD</t>
  </si>
  <si>
    <t>645700RD</t>
  </si>
  <si>
    <t>5630 5680</t>
  </si>
  <si>
    <t>SALARIES&amp;WAGES-Variable</t>
  </si>
  <si>
    <t>WASTE MANAGEMENT COSTS</t>
  </si>
  <si>
    <t>SALARIES &amp; WAGES - Fixed</t>
  </si>
  <si>
    <t>MAINTENANCE AGREEMENT - COMPUTER HARDWARE</t>
  </si>
  <si>
    <t>SALARIES AND WAGES</t>
  </si>
  <si>
    <t>MANAGEMENT FEES - INTERCOMPANY</t>
  </si>
  <si>
    <t>(average chem price excl raw milk)</t>
  </si>
  <si>
    <t>Chemistry (External Lab)</t>
  </si>
  <si>
    <t>Chemistry (Internal Lab)</t>
  </si>
  <si>
    <t>Perth Chem (external)</t>
  </si>
  <si>
    <t>Melbourne Chem (external)</t>
  </si>
  <si>
    <t>EMPLOYEE RECOGNITION</t>
  </si>
  <si>
    <t>Overall</t>
  </si>
  <si>
    <t>Total Lab</t>
  </si>
  <si>
    <t>Total Variable</t>
  </si>
  <si>
    <t>INTEREST PROFIT/LOSS - INTERCOMPANY</t>
  </si>
  <si>
    <t>CENTRAL CONSULTING ALDI</t>
  </si>
  <si>
    <t>CENTRAL CONSULTING OTHERS</t>
  </si>
  <si>
    <t>Budget</t>
  </si>
  <si>
    <t>Rev</t>
  </si>
  <si>
    <t>Direct costs</t>
  </si>
  <si>
    <t>Fixed Costs</t>
  </si>
  <si>
    <t>GP</t>
  </si>
  <si>
    <t>SFC %</t>
  </si>
  <si>
    <t>SFC</t>
  </si>
  <si>
    <t>SGA %</t>
  </si>
  <si>
    <t>SGA</t>
  </si>
  <si>
    <t>OP</t>
  </si>
  <si>
    <t>OP %</t>
  </si>
  <si>
    <t>TS</t>
  </si>
  <si>
    <t>Audit</t>
  </si>
  <si>
    <t>Sci Centre</t>
  </si>
  <si>
    <t>DS</t>
  </si>
  <si>
    <t>Check</t>
  </si>
  <si>
    <t>Actual</t>
  </si>
  <si>
    <t>SFC + R&amp;D</t>
  </si>
  <si>
    <t>Year To Date</t>
  </si>
  <si>
    <t>- Brisbane</t>
  </si>
  <si>
    <t>- Melbourne</t>
  </si>
  <si>
    <t>Test Variance</t>
  </si>
  <si>
    <t>Efficiency</t>
  </si>
  <si>
    <t>Total Brisbane</t>
  </si>
  <si>
    <t>Total paid</t>
  </si>
  <si>
    <t>Total worked</t>
  </si>
  <si>
    <t>Total Overtime</t>
  </si>
  <si>
    <t>Other</t>
  </si>
  <si>
    <t>Worked FTE 18</t>
  </si>
  <si>
    <t>Worked FTE 19</t>
  </si>
  <si>
    <t>SYDNEY total</t>
  </si>
  <si>
    <t>MELBOURNE total</t>
  </si>
  <si>
    <t>PERTH total</t>
  </si>
  <si>
    <t>BRISBANE total</t>
  </si>
  <si>
    <t>FTE EFF</t>
  </si>
  <si>
    <t>on revenue</t>
  </si>
  <si>
    <t>on tests</t>
  </si>
  <si>
    <t>m/ment</t>
  </si>
  <si>
    <t>Test</t>
  </si>
  <si>
    <t>inc.lab.adm.and CS</t>
  </si>
  <si>
    <t>FY20</t>
  </si>
  <si>
    <t>FULL YEAR
 FY19</t>
  </si>
  <si>
    <t>Oct YTD</t>
  </si>
  <si>
    <t>Tests 20</t>
  </si>
  <si>
    <t>FTE 20</t>
  </si>
  <si>
    <t>FY20 MTD</t>
  </si>
  <si>
    <t>YTD Sep Avg</t>
  </si>
  <si>
    <t xml:space="preserve">Paid YTD </t>
  </si>
  <si>
    <t>Adjust 1?</t>
  </si>
  <si>
    <t>FY20 MTD (test no)</t>
  </si>
  <si>
    <t>Sales</t>
  </si>
  <si>
    <t>Costs</t>
  </si>
  <si>
    <t>Days</t>
  </si>
  <si>
    <t>Month</t>
  </si>
  <si>
    <t>Comparison Actual vs Prior</t>
  </si>
  <si>
    <t>$ value</t>
  </si>
  <si>
    <t>Rate increase</t>
  </si>
  <si>
    <t>FTE Increase</t>
  </si>
  <si>
    <t>FTE number increase</t>
  </si>
  <si>
    <t>Total Paid</t>
  </si>
  <si>
    <t>Total Worked</t>
  </si>
  <si>
    <t>Total OT</t>
  </si>
  <si>
    <t>month on month</t>
  </si>
  <si>
    <t>prior ytd</t>
  </si>
  <si>
    <t>ok</t>
  </si>
  <si>
    <t>4163 4164 4166</t>
  </si>
  <si>
    <t>Digital</t>
  </si>
  <si>
    <t>FSC</t>
  </si>
  <si>
    <t>2 month</t>
  </si>
  <si>
    <t>June</t>
  </si>
  <si>
    <t>July</t>
  </si>
  <si>
    <t>August</t>
  </si>
  <si>
    <t>Sept</t>
  </si>
  <si>
    <t>Current forecast</t>
  </si>
  <si>
    <t>Based on recent form</t>
  </si>
  <si>
    <t>Oct</t>
  </si>
  <si>
    <t>Nov</t>
  </si>
  <si>
    <t>Dec</t>
  </si>
  <si>
    <t>Westons</t>
  </si>
  <si>
    <t>Hydro sa</t>
  </si>
  <si>
    <t>qld from aug</t>
  </si>
  <si>
    <t>30% lac chem</t>
  </si>
  <si>
    <t>Bidford</t>
  </si>
  <si>
    <t>Danone</t>
  </si>
  <si>
    <t>GWF</t>
  </si>
  <si>
    <t>Goodman fielder</t>
  </si>
  <si>
    <t>Anthony</t>
  </si>
  <si>
    <t>wa</t>
  </si>
  <si>
    <t>Hospitals QLD</t>
  </si>
  <si>
    <t>reported op</t>
  </si>
  <si>
    <t>Adjustment</t>
  </si>
  <si>
    <t>September</t>
  </si>
  <si>
    <t>October</t>
  </si>
  <si>
    <t>November</t>
  </si>
  <si>
    <t>December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</si>
  <si>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</si>
  <si>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</si>
  <si>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</si>
  <si>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</si>
  <si>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</si>
  <si>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</si>
  <si>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</si>
  <si>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</si>
  <si>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</si>
  <si>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Total test volume (Australia)</t>
  </si>
  <si>
    <t>MICRO test numbers (Australia)</t>
  </si>
  <si>
    <t>MICRO Cumul</t>
  </si>
  <si>
    <t>Totsl Cumul</t>
  </si>
  <si>
    <t>Total cumulative test volume (Australia)</t>
  </si>
  <si>
    <t>MICRO cumulative test volume (Australia)</t>
  </si>
  <si>
    <t>ObjAct CodA</t>
  </si>
  <si>
    <t>Cat CodA</t>
  </si>
  <si>
    <t>ChAm</t>
  </si>
  <si>
    <t>CustomAr CarA</t>
  </si>
  <si>
    <t>SAnior Audit</t>
  </si>
  <si>
    <t>VariancA</t>
  </si>
  <si>
    <t>Current</t>
  </si>
  <si>
    <t>Brisbane tests</t>
  </si>
  <si>
    <t>Melbourne tests</t>
  </si>
  <si>
    <t xml:space="preserve">Perth tests </t>
  </si>
  <si>
    <t>Sydney tests</t>
  </si>
  <si>
    <t>Labour</t>
  </si>
  <si>
    <t>Mater</t>
  </si>
  <si>
    <t>Brisbane</t>
  </si>
  <si>
    <t>Melbourne</t>
  </si>
  <si>
    <t>Sydney</t>
  </si>
  <si>
    <t>Direct Labour</t>
  </si>
  <si>
    <t>Materials</t>
  </si>
  <si>
    <t>Fixed costs</t>
  </si>
  <si>
    <t>Gross Profit</t>
  </si>
  <si>
    <t>Total MICRO</t>
  </si>
  <si>
    <t>Melb + FSC</t>
  </si>
  <si>
    <t>VC</t>
  </si>
  <si>
    <t>Gross Margin</t>
  </si>
  <si>
    <t>Prior Current</t>
  </si>
  <si>
    <t>FY21</t>
  </si>
  <si>
    <t>BU21</t>
  </si>
  <si>
    <t>FULL YEAR
 FY20</t>
  </si>
  <si>
    <t>FY21 YTD</t>
  </si>
  <si>
    <t>FTE 21</t>
  </si>
  <si>
    <t>Tests 21</t>
  </si>
  <si>
    <t xml:space="preserve">Actual </t>
  </si>
  <si>
    <t>Direct</t>
  </si>
  <si>
    <t>Indirect</t>
  </si>
  <si>
    <t>YTD Current</t>
  </si>
  <si>
    <t>PRINTING &amp; ADVERTISING</t>
  </si>
  <si>
    <t>Other variable</t>
  </si>
  <si>
    <t>Other Direct</t>
  </si>
  <si>
    <t>GP before SFC</t>
  </si>
  <si>
    <t>PAYROLL - Fixed - REINVOICING INCOME</t>
  </si>
  <si>
    <t>Paroll / revenue</t>
  </si>
  <si>
    <t>O/T FTE</t>
  </si>
  <si>
    <t>Average YTD April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</si>
  <si>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</si>
  <si>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</si>
  <si>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</si>
  <si>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</si>
  <si>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</si>
  <si>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</si>
  <si>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</si>
  <si>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</si>
  <si>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</si>
  <si>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</si>
  <si>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</si>
  <si>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</si>
  <si>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Bris MICRO O/T FTE</t>
  </si>
  <si>
    <t>Perth MICRO O/T FTE</t>
  </si>
  <si>
    <t>SYD MICRO O/T FTE</t>
  </si>
  <si>
    <t>MEL MICRO O/T FTE</t>
  </si>
  <si>
    <t>FSC MICRO O/T FTE</t>
  </si>
  <si>
    <t>Total MICRO O/T FTE</t>
  </si>
  <si>
    <t>Ave cost YTD FY22</t>
  </si>
  <si>
    <t>Sep
Actual
FY2022</t>
  </si>
  <si>
    <t>Oct
Actual
FY2022</t>
  </si>
  <si>
    <t>Nov
Actual
FY2022</t>
  </si>
  <si>
    <t>Dec
Actual
FY2022</t>
  </si>
  <si>
    <t>Jan
Actual
FY2022</t>
  </si>
  <si>
    <t>Feb
Actual
FY2022</t>
  </si>
  <si>
    <t>Mar
Actual
FY2022</t>
  </si>
  <si>
    <t>Apr
Actual
FY2022</t>
  </si>
  <si>
    <t>May
Actual
FY2022</t>
  </si>
  <si>
    <t>Jun
Actual
FY2022</t>
  </si>
  <si>
    <t>Jul
Actual
FY2022</t>
  </si>
  <si>
    <t>Aug
Actual
FY2022</t>
  </si>
  <si>
    <t>FY22</t>
  </si>
  <si>
    <t>FULL YEAR
 FY21</t>
  </si>
  <si>
    <t>FY22 YTD (test no)</t>
  </si>
  <si>
    <t>FY22 YTD</t>
  </si>
  <si>
    <t>BRISBANE CHEMISTRY - INTERNAL REBATE</t>
  </si>
  <si>
    <t>Microbiology total</t>
  </si>
  <si>
    <t>Chemistry total</t>
  </si>
  <si>
    <t>MICRO</t>
  </si>
  <si>
    <t>Sandy (NZ)</t>
  </si>
  <si>
    <t>Kamran QLD</t>
  </si>
  <si>
    <t>Food safety auditor</t>
  </si>
  <si>
    <t>$??</t>
  </si>
  <si>
    <t>Revenue excluding labelling</t>
  </si>
  <si>
    <t>TEMPORARY STAFF</t>
  </si>
  <si>
    <t>Corporate</t>
  </si>
  <si>
    <t>mm</t>
  </si>
  <si>
    <t>ben</t>
  </si>
  <si>
    <t>Kusuma</t>
  </si>
  <si>
    <t>Lian</t>
  </si>
  <si>
    <t>Marie</t>
  </si>
  <si>
    <t>Vikram</t>
  </si>
  <si>
    <t>Sue avery</t>
  </si>
  <si>
    <t>gabriella</t>
  </si>
  <si>
    <t>Salote</t>
  </si>
  <si>
    <t>Ali</t>
  </si>
  <si>
    <t>Gab</t>
  </si>
  <si>
    <t>Lawrence</t>
  </si>
  <si>
    <t>Sharon</t>
  </si>
  <si>
    <t>Suvada</t>
  </si>
  <si>
    <t>Matt</t>
  </si>
  <si>
    <t>Paul</t>
  </si>
  <si>
    <t>Abdel</t>
  </si>
  <si>
    <t>Oliver</t>
  </si>
  <si>
    <t>Chen</t>
  </si>
  <si>
    <t>Cham</t>
  </si>
  <si>
    <t>Nick</t>
  </si>
  <si>
    <t>Stephanie</t>
  </si>
  <si>
    <t>Kevin</t>
  </si>
  <si>
    <t>Christine</t>
  </si>
  <si>
    <t>Colleen</t>
  </si>
  <si>
    <t>Dinusha</t>
  </si>
  <si>
    <t>Lucy</t>
  </si>
  <si>
    <t>Mark</t>
  </si>
  <si>
    <t>Freda</t>
  </si>
  <si>
    <t>Maria</t>
  </si>
  <si>
    <t>Zorica</t>
  </si>
  <si>
    <t>Kristy</t>
  </si>
  <si>
    <t>Cara</t>
  </si>
  <si>
    <t>Oct
Actual
FY2023</t>
  </si>
  <si>
    <t>Oct
Budget
FY2023</t>
  </si>
  <si>
    <t>Nov
Actual
FY2023</t>
  </si>
  <si>
    <t>Dec
Actual
FY2023</t>
  </si>
  <si>
    <t>Jan
Actual
FY2023</t>
  </si>
  <si>
    <t>Feb
Actual
FY2023</t>
  </si>
  <si>
    <t>Mar
Actual
FY2023</t>
  </si>
  <si>
    <t>Apr
Actual
FY2023</t>
  </si>
  <si>
    <t>May
Actual
FY2023</t>
  </si>
  <si>
    <t>Jun
Actual
FY2023</t>
  </si>
  <si>
    <t>Jul
Actual
FY2023</t>
  </si>
  <si>
    <t>Aug
Actual
FY2023</t>
  </si>
  <si>
    <t>Sep
Actual
FY2023</t>
  </si>
  <si>
    <t>Nov
Budget
FY2023</t>
  </si>
  <si>
    <t>Dec
Budget
FY2023</t>
  </si>
  <si>
    <t>Jan
Budget
FY2023</t>
  </si>
  <si>
    <t>Feb
Budget
FY2023</t>
  </si>
  <si>
    <t>Mar
Budget
FY2023</t>
  </si>
  <si>
    <t>Apr
Budget
FY2023</t>
  </si>
  <si>
    <t>May
Budget
FY2023</t>
  </si>
  <si>
    <t>Jun
Budget
FY2023</t>
  </si>
  <si>
    <t>Jul
Budget
FY2023</t>
  </si>
  <si>
    <t>Aug
Budget
FY2023</t>
  </si>
  <si>
    <t>Sep
Budget
FY2023</t>
  </si>
  <si>
    <t>Employee costs</t>
  </si>
  <si>
    <t>a</t>
  </si>
  <si>
    <t>PROCEEDS FROM TANGIBLE ASSET DISPOSAL</t>
  </si>
  <si>
    <t>Nov
Budget
FY2022</t>
  </si>
  <si>
    <t>Oct
Budget
FY2022</t>
  </si>
  <si>
    <t>Dec
Budget
FY2022</t>
  </si>
  <si>
    <t>Jan
Budget
FY2022</t>
  </si>
  <si>
    <t>Feb
Budget
FY2022</t>
  </si>
  <si>
    <t>Mar
Budget
FY2022</t>
  </si>
  <si>
    <t>Apr
Budget
FY2022</t>
  </si>
  <si>
    <t>May
Budget
FY2022</t>
  </si>
  <si>
    <t>Jun
Budget
FY2022</t>
  </si>
  <si>
    <t>Jul
Budget
FY2022</t>
  </si>
  <si>
    <t>Aug
Budget
FY2022</t>
  </si>
  <si>
    <t>Sep
Budget
FY2022</t>
  </si>
  <si>
    <t>Oct
Actual
FY2021</t>
  </si>
  <si>
    <t>Nov
Actual
FY2021</t>
  </si>
  <si>
    <t>Dec
Actual
FY2021</t>
  </si>
  <si>
    <t>Jan
Actual
FY2021</t>
  </si>
  <si>
    <t>Feb
Actual
FY2021</t>
  </si>
  <si>
    <t>Mar
Actual
FY2021</t>
  </si>
  <si>
    <t>Apr
Actual
FY2021</t>
  </si>
  <si>
    <t>May
Actual
FY2021</t>
  </si>
  <si>
    <t>Jun
Actual
FY2021</t>
  </si>
  <si>
    <t>Jul
Actual
FY2021</t>
  </si>
  <si>
    <t>Aug
Actual
FY2021</t>
  </si>
  <si>
    <t>Sep
Actual
FY2021</t>
  </si>
  <si>
    <t>CONTRIBUTIONS</t>
  </si>
  <si>
    <t>OTHER REINVOICING INCOME - INTERCOMPANY</t>
  </si>
  <si>
    <t>CONTRIBUTION</t>
  </si>
  <si>
    <t>FY23</t>
  </si>
  <si>
    <t>Costs (before SFC)</t>
  </si>
  <si>
    <t>Margin</t>
  </si>
  <si>
    <t>price</t>
  </si>
  <si>
    <t>other</t>
  </si>
  <si>
    <t>CHECK</t>
  </si>
  <si>
    <t>Period 4
Actual
FY2023</t>
  </si>
  <si>
    <t>Period 4
Budget
FY2023</t>
  </si>
  <si>
    <t>Year To Period 4
Actual
FY2023</t>
  </si>
  <si>
    <t>Year To Period 4
Budget
FY2023</t>
  </si>
  <si>
    <t>Forcast Jan 23</t>
  </si>
  <si>
    <t>Year To Period 4
Actual
FY2022</t>
  </si>
  <si>
    <t>Year To Period 4
Budget
FY2022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</si>
</sst>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2">
    <numFmt numFmtId="8" formatCode="&quot;$&quot;#,##0.00;[Red]\-&quot;$&quot;#,##0.00"/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_-* #,##0_-;\-* #,##0_-;_-* &quot;-&quot;??_-;_-@_-"/>
    <numFmt numFmtId="167" formatCode="_-&quot;$&quot;* #,##0.0_-;\-&quot;$&quot;* #,##0.0_-;_-&quot;$&quot;* &quot;-&quot;??_-;_-@_-"/>
    <numFmt numFmtId="168" formatCode="#,##0;\(#,##0\)"/>
    <numFmt numFmtId="169" formatCode="#,##0&quot;%&quot;;\-#,##0&quot;%&quot;"/>
    <numFmt numFmtId="170" formatCode="_-* #,##0.0_-;\-* #,##0.0_-;_-* &quot;-&quot;??_-;_-@_-"/>
    <numFmt numFmtId="171" formatCode="0.0"/>
    <numFmt numFmtId="172" formatCode="_-* #,##0.00\ _€_-;\-* #,##0.00\ _€_-;_-* &quot;-&quot;??\ _€_-;_-@_-"/>
    <numFmt numFmtId="173" formatCode="_-* #,##0.00\ &quot;F&quot;_-;\-* #,##0.00\ &quot;F&quot;_-;_-* &quot;-&quot;??\ &quot;F&quot;_-;_-@_-"/>
    <numFmt numFmtId="174" formatCode="_([$€]* #,##0.00_);_([$€]* \(#,##0.00\);_([$€]* &quot;-&quot;??_);_(@_)"/>
    <numFmt numFmtId="175" formatCode="_-* #,##0.00\ &quot;€&quot;_-;\-* #,##0.00\ &quot;€&quot;_-;_-* &quot;-&quot;??\ &quot;€&quot;_-;_-@_-"/>
    <numFmt numFmtId="176" formatCode="_-&quot;$&quot;* #,##0_-;\-&quot;$&quot;* #,##0_-;_-&quot;$&quot;* &quot;-&quot;??_-;_-@_-"/>
    <numFmt numFmtId="177" formatCode="0.0%"/>
    <numFmt numFmtId="178" formatCode="_(&quot;€&quot;* #,##0_);_(&quot;€&quot;* \(#,##0\);_(&quot;€&quot;* &quot;-&quot;_);_(@_)"/>
    <numFmt numFmtId="179" formatCode="_(&quot;€&quot;* #,##0.00_);_(&quot;€&quot;* \(#,##0.00\);_(&quot;€&quot;* &quot;-&quot;??_);_(@_)"/>
    <numFmt numFmtId="180" formatCode="_-* #,##0.000_-;\-* #,##0.000_-;_-* &quot;-&quot;??_-;_-@_-"/>
  </numFmts>
  <fonts count="119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8"/>
      <color rgb="FF000000"/>
      <name val="Microsoft Sans Serif"/>
      <family val="2"/>
    </font>
    <font>
      <sz val="9"/>
      <color rgb="FF000000"/>
      <name val="Microsoft Sans Serif"/>
      <family val="2"/>
    </font>
    <font>
      <sz val="9"/>
      <color rgb="FFFF0000"/>
      <name val="Microsoft Sans Serif"/>
      <family val="2"/>
    </font>
    <font>
      <b/>
      <sz val="8"/>
      <color rgb="FFFF0000"/>
      <name val="Microsoft Sans Serif"/>
      <family val="2"/>
    </font>
    <font>
      <sz val="11"/>
      <name val="Calibri"/>
      <family val="2"/>
      <scheme val="minor"/>
    </font>
    <font>
      <b/>
      <sz val="9"/>
      <color rgb="FF000000"/>
      <name val="Microsoft Sans Serif"/>
      <family val="2"/>
    </font>
    <font>
      <b/>
      <sz val="9"/>
      <color rgb="FFFF0000"/>
      <name val="Microsoft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1"/>
      <color indexed="58"/>
      <name val="Calibri"/>
      <family val="2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rgb="FFFA7D00"/>
      <name val="Calibri"/>
      <family val="2"/>
    </font>
    <font>
      <sz val="10"/>
      <name val="Arial"/>
      <family val="2"/>
    </font>
    <font>
      <sz val="11"/>
      <color theme="1"/>
      <name val="Times New Roman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3F3F76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0"/>
      <color indexed="48"/>
      <name val="Century Gothic"/>
      <family val="2"/>
    </font>
    <font>
      <sz val="11"/>
      <color rgb="FF9C0006"/>
      <name val="Calibri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</font>
    <font>
      <sz val="8"/>
      <name val="Arial"/>
      <family val="2"/>
    </font>
    <font>
      <b/>
      <sz val="11"/>
      <color indexed="63"/>
      <name val="Calibri"/>
      <family val="2"/>
    </font>
    <font>
      <sz val="11"/>
      <color rgb="FF006100"/>
      <name val="Calibri"/>
      <family val="2"/>
    </font>
    <font>
      <b/>
      <sz val="11"/>
      <color rgb="FF3F3F3F"/>
      <name val="Calibri"/>
      <family val="2"/>
    </font>
    <font>
      <i/>
      <sz val="11"/>
      <color rgb="FF7F7F7F"/>
      <name val="Calibri"/>
      <family val="2"/>
    </font>
    <font>
      <b/>
      <sz val="18"/>
      <color indexed="62"/>
      <name val="Cambria"/>
      <family val="2"/>
    </font>
    <font>
      <b/>
      <sz val="18"/>
      <color theme="3"/>
      <name val="Cambria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b/>
      <sz val="11"/>
      <color indexed="8"/>
      <name val="Calibri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b/>
      <sz val="9"/>
      <color indexed="81"/>
      <name val="Tahoma"/>
      <family val="2"/>
    </font>
    <font>
      <b/>
      <u/>
      <sz val="10"/>
      <name val="Arial"/>
      <family val="2"/>
    </font>
    <font>
      <b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i/>
      <sz val="10"/>
      <name val="Arial"/>
      <family val="2"/>
    </font>
    <font>
      <sz val="11"/>
      <color rgb="FF000000"/>
      <name val="Calibri"/>
      <family val="2"/>
    </font>
    <font>
      <u/>
      <sz val="10"/>
      <color indexed="12"/>
      <name val="Arial"/>
      <family val="2"/>
    </font>
    <font>
      <b/>
      <i/>
      <u/>
      <sz val="1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name val="Microsoft Sans Serif"/>
      <family val="2"/>
    </font>
    <font>
      <u/>
      <sz val="10"/>
      <color theme="10"/>
      <name val="Arial"/>
      <family val="2"/>
    </font>
    <font>
      <b/>
      <sz val="10"/>
      <color rgb="FFFF0000"/>
      <name val="Arial"/>
      <family val="2"/>
    </font>
    <font>
      <sz val="8"/>
      <color theme="1"/>
      <name val="Arial"/>
      <family val="2"/>
    </font>
    <font>
      <b/>
      <sz val="8"/>
      <name val="Microsoft Sans Serif"/>
      <family val="2"/>
    </font>
    <font>
      <u/>
      <sz val="10"/>
      <name val="Arial"/>
      <family val="2"/>
    </font>
    <font>
      <b/>
      <sz val="11"/>
      <name val="Microsoft Sans Serif"/>
      <family val="2"/>
    </font>
    <font>
      <b/>
      <sz val="10"/>
      <name val="Microsoft Sans Serif"/>
      <family val="2"/>
    </font>
    <font>
      <b/>
      <sz val="12"/>
      <name val="Microsoft Sans Serif"/>
      <family val="2"/>
    </font>
    <font>
      <sz val="11"/>
      <name val="Microsoft Sans Serif"/>
      <family val="2"/>
    </font>
    <font>
      <sz val="10"/>
      <name val="Calibri"/>
      <family val="2"/>
      <scheme val="minor"/>
    </font>
    <font>
      <b/>
      <i/>
      <u/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FF0000"/>
      <name val="Calibri"/>
      <family val="2"/>
    </font>
  </fonts>
  <fills count="11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6CE3B"/>
        <bgColor indexed="64"/>
      </patternFill>
    </fill>
    <fill>
      <patternFill patternType="solid">
        <fgColor rgb="FF5EA64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8DDC44"/>
        <bgColor indexed="64"/>
      </patternFill>
    </fill>
    <fill>
      <patternFill patternType="solid">
        <fgColor rgb="FFF5CC14"/>
        <bgColor indexed="64"/>
      </patternFill>
    </fill>
    <fill>
      <patternFill patternType="solid">
        <fgColor rgb="FF00C9FB"/>
        <bgColor indexed="64"/>
      </patternFill>
    </fill>
    <fill>
      <patternFill patternType="solid">
        <fgColor rgb="FFA620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</patternFill>
    </fill>
    <fill>
      <patternFill patternType="solid">
        <fgColor theme="4" tint="0.79985961485641044"/>
        <bgColor indexed="64"/>
      </patternFill>
    </fill>
    <fill>
      <patternFill patternType="solid">
        <fgColor indexed="47"/>
      </patternFill>
    </fill>
    <fill>
      <patternFill patternType="solid">
        <fgColor theme="5" tint="0.79985961485641044"/>
        <bgColor indexed="64"/>
      </patternFill>
    </fill>
    <fill>
      <patternFill patternType="solid">
        <fgColor indexed="26"/>
      </patternFill>
    </fill>
    <fill>
      <patternFill patternType="solid">
        <fgColor theme="6" tint="0.79985961485641044"/>
        <bgColor indexed="64"/>
      </patternFill>
    </fill>
    <fill>
      <patternFill patternType="solid">
        <fgColor theme="7" tint="0.79985961485641044"/>
        <bgColor indexed="64"/>
      </patternFill>
    </fill>
    <fill>
      <patternFill patternType="solid">
        <fgColor indexed="27"/>
      </patternFill>
    </fill>
    <fill>
      <patternFill patternType="solid">
        <fgColor theme="8" tint="0.79985961485641044"/>
        <bgColor indexed="64"/>
      </patternFill>
    </fill>
    <fill>
      <patternFill patternType="solid">
        <fgColor theme="9" tint="0.7998596148564104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</patternFill>
    </fill>
    <fill>
      <patternFill patternType="solid">
        <fgColor theme="4" tint="0.59974974822229687"/>
        <bgColor indexed="64"/>
      </patternFill>
    </fill>
    <fill>
      <patternFill patternType="solid">
        <fgColor indexed="29"/>
      </patternFill>
    </fill>
    <fill>
      <patternFill patternType="solid">
        <fgColor theme="5" tint="0.59974974822229687"/>
        <bgColor indexed="64"/>
      </patternFill>
    </fill>
    <fill>
      <patternFill patternType="solid">
        <fgColor indexed="43"/>
      </patternFill>
    </fill>
    <fill>
      <patternFill patternType="solid">
        <fgColor theme="6" tint="0.59974974822229687"/>
        <bgColor indexed="64"/>
      </patternFill>
    </fill>
    <fill>
      <patternFill patternType="solid">
        <fgColor theme="7" tint="0.59974974822229687"/>
        <bgColor indexed="64"/>
      </patternFill>
    </fill>
    <fill>
      <patternFill patternType="solid">
        <fgColor indexed="44"/>
      </patternFill>
    </fill>
    <fill>
      <patternFill patternType="solid">
        <fgColor theme="8" tint="0.59974974822229687"/>
        <bgColor indexed="64"/>
      </patternFill>
    </fill>
    <fill>
      <patternFill patternType="solid">
        <fgColor theme="9" tint="0.5997497482222968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45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indexed="42"/>
      </patternFill>
    </fill>
    <fill>
      <patternFill patternType="solid">
        <fgColor rgb="FFC6EFCE"/>
        <bgColor indexed="64"/>
      </patternFill>
    </fill>
    <fill>
      <patternFill patternType="solid">
        <fgColor indexed="55"/>
      </patternFill>
    </fill>
    <fill>
      <patternFill patternType="solid">
        <fgColor rgb="FFA5A5A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6600FF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</fills>
  <borders count="9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medium">
        <color rgb="FF000000"/>
      </right>
      <top style="thin">
        <color rgb="FF808080"/>
      </top>
      <bottom style="thin">
        <color rgb="FF808080"/>
      </bottom>
      <diagonal/>
    </border>
    <border>
      <left style="medium">
        <color rgb="FF000000"/>
      </left>
      <right style="medium">
        <color rgb="FF000000"/>
      </right>
      <top style="thin">
        <color rgb="FF808080"/>
      </top>
      <bottom style="thin">
        <color rgb="FF808080"/>
      </bottom>
      <diagonal/>
    </border>
    <border>
      <left style="medium">
        <color rgb="FF00000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medium">
        <color rgb="FF000000"/>
      </right>
      <top style="thin">
        <color rgb="FF808080"/>
      </top>
      <bottom/>
      <diagonal/>
    </border>
    <border>
      <left style="medium">
        <color rgb="FF000000"/>
      </left>
      <right style="medium">
        <color rgb="FF000000"/>
      </right>
      <top style="thin">
        <color rgb="FF808080"/>
      </top>
      <bottom/>
      <diagonal/>
    </border>
    <border>
      <left style="medium">
        <color rgb="FF00000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 style="medium">
        <color rgb="FF000000"/>
      </top>
      <bottom style="medium">
        <color rgb="FF000000"/>
      </bottom>
      <diagonal/>
    </border>
    <border>
      <left style="thin">
        <color rgb="FF80808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808080"/>
      </right>
      <top style="medium">
        <color rgb="FF000000"/>
      </top>
      <bottom style="medium">
        <color rgb="FF000000"/>
      </bottom>
      <diagonal/>
    </border>
    <border>
      <left style="thin">
        <color rgb="FF808080"/>
      </left>
      <right style="thin">
        <color rgb="FF808080"/>
      </right>
      <top style="medium">
        <color rgb="FF000000"/>
      </top>
      <bottom style="thin">
        <color rgb="FF808080"/>
      </bottom>
      <diagonal/>
    </border>
    <border>
      <left style="thin">
        <color rgb="FF808080"/>
      </left>
      <right style="medium">
        <color rgb="FF000000"/>
      </right>
      <top style="medium">
        <color rgb="FF000000"/>
      </top>
      <bottom style="thin">
        <color rgb="FF80808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808080"/>
      </bottom>
      <diagonal/>
    </border>
    <border>
      <left style="medium">
        <color rgb="FF000000"/>
      </left>
      <right style="thin">
        <color rgb="FF808080"/>
      </right>
      <top style="medium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medium">
        <color rgb="FF000000"/>
      </right>
      <top style="thin">
        <color rgb="FF80808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808080"/>
      </top>
      <bottom style="thin">
        <color rgb="FF000000"/>
      </bottom>
      <diagonal/>
    </border>
    <border>
      <left style="medium">
        <color rgb="FF000000"/>
      </left>
      <right style="thin">
        <color rgb="FF808080"/>
      </right>
      <top style="thin">
        <color rgb="FF80808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/>
      <diagonal/>
    </border>
    <border>
      <left style="thin">
        <color rgb="FF80808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808080"/>
      </right>
      <top style="thin">
        <color rgb="FF000000"/>
      </top>
      <bottom/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medium">
        <color rgb="FF000000"/>
      </right>
      <top style="thin">
        <color rgb="FF000000"/>
      </top>
      <bottom style="thin">
        <color rgb="FF80808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808080"/>
      </bottom>
      <diagonal/>
    </border>
    <border>
      <left style="medium">
        <color rgb="FF00000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medium">
        <color rgb="FF000000"/>
      </top>
      <bottom/>
      <diagonal/>
    </border>
    <border>
      <left style="thin">
        <color rgb="FF80808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/>
      <diagonal/>
    </border>
    <border>
      <left/>
      <right style="thin">
        <color rgb="FF808080"/>
      </right>
      <top style="thin">
        <color rgb="FF00000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theme="4" tint="0.4996795556505020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808080"/>
      </right>
      <top style="thin">
        <color rgb="FF000000"/>
      </top>
      <bottom/>
      <diagonal/>
    </border>
    <border>
      <left/>
      <right style="thin">
        <color rgb="FF80808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/>
      <bottom/>
      <diagonal/>
    </border>
    <border>
      <left style="medium">
        <color rgb="FFD9D9D9"/>
      </left>
      <right style="medium">
        <color rgb="FFD9D9D9"/>
      </right>
      <top style="medium">
        <color rgb="FFD9D9D9"/>
      </top>
      <bottom/>
      <diagonal/>
    </border>
    <border>
      <left style="medium">
        <color rgb="FF000000"/>
      </left>
      <right style="thin">
        <color rgb="FF808080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301">
    <xf numFmtId="0" fontId="0" fillId="0" borderId="0"/>
    <xf numFmtId="43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  <xf numFmtId="43" fontId="39" fillId="0" borderId="0" applyFont="0" applyFill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39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25" borderId="0" applyNumberFormat="0" applyBorder="0" applyAlignment="0" applyProtection="0"/>
    <xf numFmtId="0" fontId="39" fillId="31" borderId="0" applyNumberFormat="0" applyBorder="0" applyAlignment="0" applyProtection="0"/>
    <xf numFmtId="0" fontId="39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27" borderId="0" applyNumberFormat="0" applyBorder="0" applyAlignment="0" applyProtection="0"/>
    <xf numFmtId="0" fontId="39" fillId="34" borderId="0" applyNumberFormat="0" applyBorder="0" applyAlignment="0" applyProtection="0"/>
    <xf numFmtId="0" fontId="27" fillId="3" borderId="0" applyNumberFormat="0" applyBorder="0" applyAlignment="0" applyProtection="0"/>
    <xf numFmtId="0" fontId="39" fillId="35" borderId="0" applyNumberFormat="0" applyBorder="0" applyAlignment="0" applyProtection="0"/>
    <xf numFmtId="0" fontId="27" fillId="3" borderId="0" applyNumberFormat="0" applyBorder="0" applyAlignment="0" applyProtection="0"/>
    <xf numFmtId="0" fontId="27" fillId="5" borderId="0" applyNumberFormat="0" applyBorder="0" applyAlignment="0" applyProtection="0"/>
    <xf numFmtId="0" fontId="39" fillId="36" borderId="0" applyNumberFormat="0" applyBorder="0" applyAlignment="0" applyProtection="0"/>
    <xf numFmtId="0" fontId="27" fillId="5" borderId="0" applyNumberFormat="0" applyBorder="0" applyAlignment="0" applyProtection="0"/>
    <xf numFmtId="0" fontId="27" fillId="7" borderId="0" applyNumberFormat="0" applyBorder="0" applyAlignment="0" applyProtection="0"/>
    <xf numFmtId="0" fontId="39" fillId="37" borderId="0" applyNumberFormat="0" applyBorder="0" applyAlignment="0" applyProtection="0"/>
    <xf numFmtId="0" fontId="27" fillId="7" borderId="0" applyNumberFormat="0" applyBorder="0" applyAlignment="0" applyProtection="0"/>
    <xf numFmtId="0" fontId="27" fillId="9" borderId="0" applyNumberFormat="0" applyBorder="0" applyAlignment="0" applyProtection="0"/>
    <xf numFmtId="0" fontId="39" fillId="38" borderId="0" applyNumberFormat="0" applyBorder="0" applyAlignment="0" applyProtection="0"/>
    <xf numFmtId="0" fontId="27" fillId="9" borderId="0" applyNumberFormat="0" applyBorder="0" applyAlignment="0" applyProtection="0"/>
    <xf numFmtId="0" fontId="27" fillId="11" borderId="0" applyNumberFormat="0" applyBorder="0" applyAlignment="0" applyProtection="0"/>
    <xf numFmtId="0" fontId="39" fillId="35" borderId="0" applyNumberFormat="0" applyBorder="0" applyAlignment="0" applyProtection="0"/>
    <xf numFmtId="0" fontId="27" fillId="11" borderId="0" applyNumberFormat="0" applyBorder="0" applyAlignment="0" applyProtection="0"/>
    <xf numFmtId="0" fontId="27" fillId="13" borderId="0" applyNumberFormat="0" applyBorder="0" applyAlignment="0" applyProtection="0"/>
    <xf numFmtId="0" fontId="39" fillId="36" borderId="0" applyNumberFormat="0" applyBorder="0" applyAlignment="0" applyProtection="0"/>
    <xf numFmtId="0" fontId="27" fillId="13" borderId="0" applyNumberFormat="0" applyBorder="0" applyAlignment="0" applyProtection="0"/>
    <xf numFmtId="0" fontId="39" fillId="39" borderId="0" applyNumberFormat="0" applyBorder="0" applyAlignment="0" applyProtection="0"/>
    <xf numFmtId="0" fontId="39" fillId="36" borderId="0" applyNumberFormat="0" applyBorder="0" applyAlignment="0" applyProtection="0"/>
    <xf numFmtId="0" fontId="39" fillId="40" borderId="0" applyNumberFormat="0" applyBorder="0" applyAlignment="0" applyProtection="0"/>
    <xf numFmtId="0" fontId="39" fillId="39" borderId="0" applyNumberFormat="0" applyBorder="0" applyAlignment="0" applyProtection="0"/>
    <xf numFmtId="0" fontId="39" fillId="41" borderId="0" applyNumberFormat="0" applyBorder="0" applyAlignment="0" applyProtection="0"/>
    <xf numFmtId="0" fontId="39" fillId="36" borderId="0" applyNumberFormat="0" applyBorder="0" applyAlignment="0" applyProtection="0"/>
    <xf numFmtId="0" fontId="39" fillId="42" borderId="0" applyNumberFormat="0" applyBorder="0" applyAlignment="0" applyProtection="0"/>
    <xf numFmtId="0" fontId="39" fillId="43" borderId="0" applyNumberFormat="0" applyBorder="0" applyAlignment="0" applyProtection="0"/>
    <xf numFmtId="0" fontId="39" fillId="44" borderId="0" applyNumberFormat="0" applyBorder="0" applyAlignment="0" applyProtection="0"/>
    <xf numFmtId="0" fontId="39" fillId="45" borderId="0" applyNumberFormat="0" applyBorder="0" applyAlignment="0" applyProtection="0"/>
    <xf numFmtId="0" fontId="39" fillId="46" borderId="0" applyNumberFormat="0" applyBorder="0" applyAlignment="0" applyProtection="0"/>
    <xf numFmtId="0" fontId="39" fillId="47" borderId="0" applyNumberFormat="0" applyBorder="0" applyAlignment="0" applyProtection="0"/>
    <xf numFmtId="0" fontId="39" fillId="42" borderId="0" applyNumberFormat="0" applyBorder="0" applyAlignment="0" applyProtection="0"/>
    <xf numFmtId="0" fontId="39" fillId="48" borderId="0" applyNumberFormat="0" applyBorder="0" applyAlignment="0" applyProtection="0"/>
    <xf numFmtId="0" fontId="39" fillId="49" borderId="0" applyNumberFormat="0" applyBorder="0" applyAlignment="0" applyProtection="0"/>
    <xf numFmtId="0" fontId="39" fillId="50" borderId="0" applyNumberFormat="0" applyBorder="0" applyAlignment="0" applyProtection="0"/>
    <xf numFmtId="0" fontId="39" fillId="27" borderId="0" applyNumberFormat="0" applyBorder="0" applyAlignment="0" applyProtection="0"/>
    <xf numFmtId="0" fontId="39" fillId="51" borderId="0" applyNumberFormat="0" applyBorder="0" applyAlignment="0" applyProtection="0"/>
    <xf numFmtId="0" fontId="27" fillId="4" borderId="0" applyNumberFormat="0" applyBorder="0" applyAlignment="0" applyProtection="0"/>
    <xf numFmtId="0" fontId="39" fillId="35" borderId="0" applyNumberFormat="0" applyBorder="0" applyAlignment="0" applyProtection="0"/>
    <xf numFmtId="0" fontId="27" fillId="4" borderId="0" applyNumberFormat="0" applyBorder="0" applyAlignment="0" applyProtection="0"/>
    <xf numFmtId="0" fontId="27" fillId="6" borderId="0" applyNumberFormat="0" applyBorder="0" applyAlignment="0" applyProtection="0"/>
    <xf numFmtId="0" fontId="39" fillId="52" borderId="0" applyNumberFormat="0" applyBorder="0" applyAlignment="0" applyProtection="0"/>
    <xf numFmtId="0" fontId="27" fillId="6" borderId="0" applyNumberFormat="0" applyBorder="0" applyAlignment="0" applyProtection="0"/>
    <xf numFmtId="0" fontId="27" fillId="8" borderId="0" applyNumberFormat="0" applyBorder="0" applyAlignment="0" applyProtection="0"/>
    <xf numFmtId="0" fontId="39" fillId="53" borderId="0" applyNumberFormat="0" applyBorder="0" applyAlignment="0" applyProtection="0"/>
    <xf numFmtId="0" fontId="27" fillId="8" borderId="0" applyNumberFormat="0" applyBorder="0" applyAlignment="0" applyProtection="0"/>
    <xf numFmtId="0" fontId="27" fillId="10" borderId="0" applyNumberFormat="0" applyBorder="0" applyAlignment="0" applyProtection="0"/>
    <xf numFmtId="0" fontId="39" fillId="54" borderId="0" applyNumberFormat="0" applyBorder="0" applyAlignment="0" applyProtection="0"/>
    <xf numFmtId="0" fontId="27" fillId="10" borderId="0" applyNumberFormat="0" applyBorder="0" applyAlignment="0" applyProtection="0"/>
    <xf numFmtId="0" fontId="27" fillId="12" borderId="0" applyNumberFormat="0" applyBorder="0" applyAlignment="0" applyProtection="0"/>
    <xf numFmtId="0" fontId="39" fillId="35" borderId="0" applyNumberFormat="0" applyBorder="0" applyAlignment="0" applyProtection="0"/>
    <xf numFmtId="0" fontId="27" fillId="12" borderId="0" applyNumberFormat="0" applyBorder="0" applyAlignment="0" applyProtection="0"/>
    <xf numFmtId="0" fontId="27" fillId="14" borderId="0" applyNumberFormat="0" applyBorder="0" applyAlignment="0" applyProtection="0"/>
    <xf numFmtId="0" fontId="39" fillId="36" borderId="0" applyNumberFormat="0" applyBorder="0" applyAlignment="0" applyProtection="0"/>
    <xf numFmtId="0" fontId="27" fillId="14" borderId="0" applyNumberFormat="0" applyBorder="0" applyAlignment="0" applyProtection="0"/>
    <xf numFmtId="0" fontId="39" fillId="54" borderId="0" applyNumberFormat="0" applyBorder="0" applyAlignment="0" applyProtection="0"/>
    <xf numFmtId="0" fontId="39" fillId="52" borderId="0" applyNumberFormat="0" applyBorder="0" applyAlignment="0" applyProtection="0"/>
    <xf numFmtId="0" fontId="39" fillId="53" borderId="0" applyNumberFormat="0" applyBorder="0" applyAlignment="0" applyProtection="0"/>
    <xf numFmtId="0" fontId="39" fillId="54" borderId="0" applyNumberFormat="0" applyBorder="0" applyAlignment="0" applyProtection="0"/>
    <xf numFmtId="0" fontId="39" fillId="35" borderId="0" applyNumberFormat="0" applyBorder="0" applyAlignment="0" applyProtection="0"/>
    <xf numFmtId="0" fontId="39" fillId="36" borderId="0" applyNumberFormat="0" applyBorder="0" applyAlignment="0" applyProtection="0"/>
    <xf numFmtId="0" fontId="40" fillId="55" borderId="0" applyNumberFormat="0" applyBorder="0" applyAlignment="0" applyProtection="0"/>
    <xf numFmtId="0" fontId="40" fillId="56" borderId="0" applyNumberFormat="0" applyBorder="0" applyAlignment="0" applyProtection="0"/>
    <xf numFmtId="0" fontId="40" fillId="44" borderId="0" applyNumberFormat="0" applyBorder="0" applyAlignment="0" applyProtection="0"/>
    <xf numFmtId="0" fontId="40" fillId="57" borderId="0" applyNumberFormat="0" applyBorder="0" applyAlignment="0" applyProtection="0"/>
    <xf numFmtId="0" fontId="40" fillId="46" borderId="0" applyNumberFormat="0" applyBorder="0" applyAlignment="0" applyProtection="0"/>
    <xf numFmtId="0" fontId="40" fillId="58" borderId="0" applyNumberFormat="0" applyBorder="0" applyAlignment="0" applyProtection="0"/>
    <xf numFmtId="0" fontId="40" fillId="42" borderId="0" applyNumberFormat="0" applyBorder="0" applyAlignment="0" applyProtection="0"/>
    <xf numFmtId="0" fontId="40" fillId="59" borderId="0" applyNumberFormat="0" applyBorder="0" applyAlignment="0" applyProtection="0"/>
    <xf numFmtId="0" fontId="40" fillId="55" borderId="0" applyNumberFormat="0" applyBorder="0" applyAlignment="0" applyProtection="0"/>
    <xf numFmtId="0" fontId="40" fillId="60" borderId="0" applyNumberFormat="0" applyBorder="0" applyAlignment="0" applyProtection="0"/>
    <xf numFmtId="0" fontId="40" fillId="27" borderId="0" applyNumberFormat="0" applyBorder="0" applyAlignment="0" applyProtection="0"/>
    <xf numFmtId="0" fontId="40" fillId="61" borderId="0" applyNumberFormat="0" applyBorder="0" applyAlignment="0" applyProtection="0"/>
    <xf numFmtId="0" fontId="40" fillId="62" borderId="0" applyNumberFormat="0" applyBorder="0" applyAlignment="0" applyProtection="0"/>
    <xf numFmtId="0" fontId="40" fillId="52" borderId="0" applyNumberFormat="0" applyBorder="0" applyAlignment="0" applyProtection="0"/>
    <xf numFmtId="0" fontId="40" fillId="53" borderId="0" applyNumberFormat="0" applyBorder="0" applyAlignment="0" applyProtection="0"/>
    <xf numFmtId="0" fontId="40" fillId="63" borderId="0" applyNumberFormat="0" applyBorder="0" applyAlignment="0" applyProtection="0"/>
    <xf numFmtId="0" fontId="40" fillId="62" borderId="0" applyNumberFormat="0" applyBorder="0" applyAlignment="0" applyProtection="0"/>
    <xf numFmtId="0" fontId="40" fillId="36" borderId="0" applyNumberFormat="0" applyBorder="0" applyAlignment="0" applyProtection="0"/>
    <xf numFmtId="0" fontId="40" fillId="62" borderId="0" applyNumberFormat="0" applyBorder="0" applyAlignment="0" applyProtection="0"/>
    <xf numFmtId="0" fontId="40" fillId="52" borderId="0" applyNumberFormat="0" applyBorder="0" applyAlignment="0" applyProtection="0"/>
    <xf numFmtId="0" fontId="40" fillId="53" borderId="0" applyNumberFormat="0" applyBorder="0" applyAlignment="0" applyProtection="0"/>
    <xf numFmtId="0" fontId="40" fillId="54" borderId="0" applyNumberFormat="0" applyBorder="0" applyAlignment="0" applyProtection="0"/>
    <xf numFmtId="0" fontId="40" fillId="62" borderId="0" applyNumberFormat="0" applyBorder="0" applyAlignment="0" applyProtection="0"/>
    <xf numFmtId="0" fontId="40" fillId="36" borderId="0" applyNumberFormat="0" applyBorder="0" applyAlignment="0" applyProtection="0"/>
    <xf numFmtId="0" fontId="40" fillId="62" borderId="0" applyNumberFormat="0" applyBorder="0" applyAlignment="0" applyProtection="0"/>
    <xf numFmtId="0" fontId="40" fillId="64" borderId="0" applyNumberFormat="0" applyBorder="0" applyAlignment="0" applyProtection="0"/>
    <xf numFmtId="0" fontId="40" fillId="65" borderId="0" applyNumberFormat="0" applyBorder="0" applyAlignment="0" applyProtection="0"/>
    <xf numFmtId="0" fontId="40" fillId="66" borderId="0" applyNumberFormat="0" applyBorder="0" applyAlignment="0" applyProtection="0"/>
    <xf numFmtId="0" fontId="40" fillId="62" borderId="0" applyNumberFormat="0" applyBorder="0" applyAlignment="0" applyProtection="0"/>
    <xf numFmtId="0" fontId="40" fillId="6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68" borderId="0" applyNumberFormat="0" applyBorder="0" applyAlignment="0" applyProtection="0"/>
    <xf numFmtId="0" fontId="43" fillId="69" borderId="0" applyNumberFormat="0" applyBorder="0" applyAlignment="0" applyProtection="0"/>
    <xf numFmtId="0" fontId="44" fillId="25" borderId="67" applyNumberFormat="0" applyAlignment="0" applyProtection="0"/>
    <xf numFmtId="0" fontId="45" fillId="70" borderId="3" applyNumberFormat="0" applyAlignment="0" applyProtection="0"/>
    <xf numFmtId="0" fontId="44" fillId="39" borderId="67" applyNumberFormat="0" applyAlignment="0" applyProtection="0"/>
    <xf numFmtId="0" fontId="44" fillId="39" borderId="67" applyNumberFormat="0" applyAlignment="0" applyProtection="0"/>
    <xf numFmtId="0" fontId="46" fillId="63" borderId="68" applyNumberFormat="0" applyAlignment="0" applyProtection="0"/>
    <xf numFmtId="0" fontId="47" fillId="0" borderId="69" applyNumberFormat="0" applyFill="0" applyAlignment="0" applyProtection="0"/>
    <xf numFmtId="0" fontId="47" fillId="0" borderId="69" applyNumberFormat="0" applyFill="0" applyAlignment="0" applyProtection="0"/>
    <xf numFmtId="0" fontId="48" fillId="0" borderId="5" applyNumberFormat="0" applyFill="0" applyAlignment="0" applyProtection="0"/>
    <xf numFmtId="0" fontId="46" fillId="63" borderId="68" applyNumberFormat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72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172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0" fontId="30" fillId="29" borderId="70" applyNumberFormat="0" applyFont="0" applyAlignment="0" applyProtection="0"/>
    <xf numFmtId="0" fontId="30" fillId="37" borderId="71" applyNumberFormat="0" applyFont="0" applyAlignment="0" applyProtection="0"/>
    <xf numFmtId="44" fontId="30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173" fontId="30" fillId="0" borderId="0" applyFont="0" applyFill="0" applyBorder="0" applyAlignment="0" applyProtection="0"/>
    <xf numFmtId="173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40" fillId="62" borderId="0" applyNumberFormat="0" applyBorder="0" applyAlignment="0" applyProtection="0"/>
    <xf numFmtId="0" fontId="40" fillId="64" borderId="0" applyNumberFormat="0" applyBorder="0" applyAlignment="0" applyProtection="0"/>
    <xf numFmtId="0" fontId="40" fillId="65" borderId="0" applyNumberFormat="0" applyBorder="0" applyAlignment="0" applyProtection="0"/>
    <xf numFmtId="0" fontId="40" fillId="66" borderId="0" applyNumberFormat="0" applyBorder="0" applyAlignment="0" applyProtection="0"/>
    <xf numFmtId="0" fontId="40" fillId="62" borderId="0" applyNumberFormat="0" applyBorder="0" applyAlignment="0" applyProtection="0"/>
    <xf numFmtId="0" fontId="40" fillId="67" borderId="0" applyNumberFormat="0" applyBorder="0" applyAlignment="0" applyProtection="0"/>
    <xf numFmtId="0" fontId="52" fillId="36" borderId="67" applyNumberFormat="0" applyAlignment="0" applyProtection="0"/>
    <xf numFmtId="0" fontId="52" fillId="27" borderId="67" applyNumberFormat="0" applyAlignment="0" applyProtection="0"/>
    <xf numFmtId="0" fontId="53" fillId="71" borderId="3" applyNumberFormat="0" applyAlignment="0" applyProtection="0"/>
    <xf numFmtId="174" fontId="30" fillId="0" borderId="0" applyFont="0" applyFill="0" applyBorder="0" applyAlignment="0" applyProtection="0"/>
    <xf numFmtId="174" fontId="30" fillId="0" borderId="0" applyFont="0" applyFill="0" applyBorder="0" applyAlignment="0" applyProtection="0"/>
    <xf numFmtId="175" fontId="30" fillId="0" borderId="0" applyFont="0" applyFill="0" applyBorder="0" applyAlignment="0" applyProtection="0"/>
    <xf numFmtId="175" fontId="30" fillId="0" borderId="0" applyFont="0" applyFill="0" applyBorder="0" applyAlignment="0" applyProtection="0"/>
    <xf numFmtId="175" fontId="3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41" borderId="0" applyNumberFormat="0" applyBorder="0" applyAlignment="0" applyProtection="0"/>
    <xf numFmtId="0" fontId="56" fillId="0" borderId="72" applyNumberFormat="0" applyFill="0" applyAlignment="0" applyProtection="0"/>
    <xf numFmtId="0" fontId="57" fillId="0" borderId="73" applyNumberFormat="0" applyFill="0" applyAlignment="0" applyProtection="0"/>
    <xf numFmtId="0" fontId="51" fillId="0" borderId="74" applyNumberFormat="0" applyFill="0" applyAlignment="0" applyProtection="0"/>
    <xf numFmtId="0" fontId="51" fillId="0" borderId="0" applyNumberFormat="0" applyFill="0" applyBorder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42" fillId="68" borderId="0" applyNumberFormat="0" applyBorder="0" applyAlignment="0" applyProtection="0"/>
    <xf numFmtId="0" fontId="52" fillId="36" borderId="67" applyNumberFormat="0" applyAlignment="0" applyProtection="0"/>
    <xf numFmtId="0" fontId="42" fillId="72" borderId="0" applyNumberFormat="0" applyBorder="0" applyAlignment="0" applyProtection="0"/>
    <xf numFmtId="0" fontId="59" fillId="73" borderId="0" applyNumberFormat="0" applyBorder="0" applyAlignment="0" applyProtection="0"/>
    <xf numFmtId="0" fontId="47" fillId="0" borderId="69" applyNumberFormat="0" applyFill="0" applyAlignment="0" applyProtection="0"/>
    <xf numFmtId="165" fontId="30" fillId="0" borderId="0" applyFont="0" applyFill="0" applyBorder="0" applyAlignment="0" applyProtection="0"/>
    <xf numFmtId="0" fontId="60" fillId="53" borderId="0" applyNumberFormat="0" applyBorder="0" applyAlignment="0" applyProtection="0"/>
    <xf numFmtId="0" fontId="60" fillId="46" borderId="0" applyNumberFormat="0" applyBorder="0" applyAlignment="0" applyProtection="0"/>
    <xf numFmtId="0" fontId="61" fillId="74" borderId="0" applyNumberFormat="0" applyBorder="0" applyAlignment="0" applyProtection="0"/>
    <xf numFmtId="0" fontId="27" fillId="0" borderId="0"/>
    <xf numFmtId="0" fontId="27" fillId="0" borderId="0"/>
    <xf numFmtId="0" fontId="49" fillId="0" borderId="0"/>
    <xf numFmtId="0" fontId="30" fillId="0" borderId="0">
      <alignment vertical="center"/>
    </xf>
    <xf numFmtId="0" fontId="30" fillId="0" borderId="0"/>
    <xf numFmtId="0" fontId="62" fillId="0" borderId="0"/>
    <xf numFmtId="0" fontId="30" fillId="0" borderId="0"/>
    <xf numFmtId="0" fontId="62" fillId="0" borderId="0"/>
    <xf numFmtId="0" fontId="27" fillId="0" borderId="0"/>
    <xf numFmtId="0" fontId="27" fillId="0" borderId="0"/>
    <xf numFmtId="0" fontId="27" fillId="0" borderId="0"/>
    <xf numFmtId="0" fontId="30" fillId="0" borderId="0">
      <alignment vertical="center"/>
    </xf>
    <xf numFmtId="0" fontId="27" fillId="0" borderId="0"/>
    <xf numFmtId="0" fontId="27" fillId="0" borderId="0"/>
    <xf numFmtId="0" fontId="30" fillId="0" borderId="0">
      <alignment vertical="center"/>
    </xf>
    <xf numFmtId="0" fontId="50" fillId="0" borderId="0"/>
    <xf numFmtId="0" fontId="50" fillId="0" borderId="0"/>
    <xf numFmtId="0" fontId="27" fillId="0" borderId="0"/>
    <xf numFmtId="0" fontId="27" fillId="0" borderId="0"/>
    <xf numFmtId="0" fontId="27" fillId="0" borderId="0"/>
    <xf numFmtId="0" fontId="50" fillId="0" borderId="0"/>
    <xf numFmtId="0" fontId="50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0" fillId="40" borderId="70" applyNumberFormat="0" applyFont="0" applyAlignment="0" applyProtection="0"/>
    <xf numFmtId="0" fontId="27" fillId="2" borderId="7" applyNumberFormat="0" applyFont="0" applyAlignment="0" applyProtection="0"/>
    <xf numFmtId="0" fontId="27" fillId="2" borderId="7" applyNumberFormat="0" applyFont="0" applyAlignment="0" applyProtection="0"/>
    <xf numFmtId="0" fontId="27" fillId="2" borderId="7" applyNumberFormat="0" applyFont="0" applyAlignment="0" applyProtection="0"/>
    <xf numFmtId="0" fontId="30" fillId="37" borderId="71" applyNumberFormat="0" applyFont="0" applyAlignment="0" applyProtection="0"/>
    <xf numFmtId="0" fontId="63" fillId="39" borderId="75" applyNumberFormat="0" applyAlignment="0" applyProtection="0"/>
    <xf numFmtId="9" fontId="39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30" fillId="0" borderId="0" applyFont="0" applyFill="0" applyBorder="0" applyAlignment="0" applyProtection="0"/>
    <xf numFmtId="0" fontId="63" fillId="39" borderId="75" applyNumberFormat="0" applyAlignment="0" applyProtection="0"/>
    <xf numFmtId="0" fontId="43" fillId="75" borderId="0" applyNumberFormat="0" applyBorder="0" applyAlignment="0" applyProtection="0"/>
    <xf numFmtId="0" fontId="64" fillId="76" borderId="0" applyNumberFormat="0" applyBorder="0" applyAlignment="0" applyProtection="0"/>
    <xf numFmtId="0" fontId="63" fillId="25" borderId="75" applyNumberFormat="0" applyAlignment="0" applyProtection="0"/>
    <xf numFmtId="0" fontId="65" fillId="70" borderId="4" applyNumberFormat="0" applyAlignment="0" applyProtection="0"/>
    <xf numFmtId="0" fontId="54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56" fillId="0" borderId="72" applyNumberFormat="0" applyFill="0" applyAlignment="0" applyProtection="0"/>
    <xf numFmtId="0" fontId="69" fillId="0" borderId="1" applyNumberFormat="0" applyFill="0" applyAlignment="0" applyProtection="0"/>
    <xf numFmtId="0" fontId="57" fillId="0" borderId="73" applyNumberFormat="0" applyFill="0" applyAlignment="0" applyProtection="0"/>
    <xf numFmtId="0" fontId="70" fillId="0" borderId="76" applyNumberFormat="0" applyFill="0" applyAlignment="0" applyProtection="0"/>
    <xf numFmtId="0" fontId="70" fillId="0" borderId="76" applyNumberFormat="0" applyFill="0" applyAlignment="0" applyProtection="0"/>
    <xf numFmtId="0" fontId="51" fillId="0" borderId="74" applyNumberFormat="0" applyFill="0" applyAlignment="0" applyProtection="0"/>
    <xf numFmtId="0" fontId="71" fillId="0" borderId="2" applyNumberFormat="0" applyFill="0" applyAlignment="0" applyProtection="0"/>
    <xf numFmtId="0" fontId="5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56" fillId="0" borderId="72" applyNumberFormat="0" applyFill="0" applyAlignment="0" applyProtection="0"/>
    <xf numFmtId="0" fontId="57" fillId="0" borderId="73" applyNumberFormat="0" applyFill="0" applyAlignment="0" applyProtection="0"/>
    <xf numFmtId="0" fontId="51" fillId="0" borderId="74" applyNumberFormat="0" applyFill="0" applyAlignment="0" applyProtection="0"/>
    <xf numFmtId="0" fontId="72" fillId="0" borderId="77" applyNumberFormat="0" applyFill="0" applyAlignment="0" applyProtection="0"/>
    <xf numFmtId="0" fontId="46" fillId="77" borderId="68" applyNumberFormat="0" applyAlignment="0" applyProtection="0"/>
    <xf numFmtId="0" fontId="46" fillId="78" borderId="6" applyNumberFormat="0" applyAlignment="0" applyProtection="0"/>
    <xf numFmtId="0" fontId="41" fillId="0" borderId="0" applyNumberFormat="0" applyFill="0" applyBorder="0" applyAlignment="0" applyProtection="0"/>
    <xf numFmtId="0" fontId="26" fillId="0" borderId="0"/>
    <xf numFmtId="0" fontId="24" fillId="0" borderId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1" applyNumberFormat="0" applyFill="0" applyAlignment="0" applyProtection="0"/>
    <xf numFmtId="0" fontId="77" fillId="0" borderId="81" applyNumberFormat="0" applyFill="0" applyAlignment="0" applyProtection="0"/>
    <xf numFmtId="0" fontId="78" fillId="0" borderId="2" applyNumberFormat="0" applyFill="0" applyAlignment="0" applyProtection="0"/>
    <xf numFmtId="0" fontId="78" fillId="0" borderId="0" applyNumberFormat="0" applyFill="0" applyBorder="0" applyAlignment="0" applyProtection="0"/>
    <xf numFmtId="0" fontId="79" fillId="80" borderId="0" applyNumberFormat="0" applyBorder="0" applyAlignment="0" applyProtection="0"/>
    <xf numFmtId="0" fontId="80" fillId="81" borderId="0" applyNumberFormat="0" applyBorder="0" applyAlignment="0" applyProtection="0"/>
    <xf numFmtId="0" fontId="81" fillId="82" borderId="0" applyNumberFormat="0" applyBorder="0" applyAlignment="0" applyProtection="0"/>
    <xf numFmtId="0" fontId="82" fillId="83" borderId="3" applyNumberFormat="0" applyAlignment="0" applyProtection="0"/>
    <xf numFmtId="0" fontId="83" fillId="84" borderId="4" applyNumberFormat="0" applyAlignment="0" applyProtection="0"/>
    <xf numFmtId="0" fontId="84" fillId="84" borderId="3" applyNumberFormat="0" applyAlignment="0" applyProtection="0"/>
    <xf numFmtId="0" fontId="85" fillId="0" borderId="5" applyNumberFormat="0" applyFill="0" applyAlignment="0" applyProtection="0"/>
    <xf numFmtId="0" fontId="86" fillId="85" borderId="6" applyNumberFormat="0" applyAlignment="0" applyProtection="0"/>
    <xf numFmtId="0" fontId="73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8" fillId="0" borderId="82" applyNumberFormat="0" applyFill="0" applyAlignment="0" applyProtection="0"/>
    <xf numFmtId="0" fontId="89" fillId="86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89" fillId="87" borderId="0" applyNumberFormat="0" applyBorder="0" applyAlignment="0" applyProtection="0"/>
    <xf numFmtId="0" fontId="89" fillId="88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89" fillId="89" borderId="0" applyNumberFormat="0" applyBorder="0" applyAlignment="0" applyProtection="0"/>
    <xf numFmtId="0" fontId="89" fillId="90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89" fillId="91" borderId="0" applyNumberFormat="0" applyBorder="0" applyAlignment="0" applyProtection="0"/>
    <xf numFmtId="0" fontId="89" fillId="9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89" fillId="93" borderId="0" applyNumberFormat="0" applyBorder="0" applyAlignment="0" applyProtection="0"/>
    <xf numFmtId="0" fontId="89" fillId="94" borderId="0" applyNumberFormat="0" applyBorder="0" applyAlignment="0" applyProtection="0"/>
    <xf numFmtId="0" fontId="23" fillId="11" borderId="0" applyNumberFormat="0" applyBorder="0" applyAlignment="0" applyProtection="0"/>
    <xf numFmtId="0" fontId="23" fillId="12" borderId="0" applyNumberFormat="0" applyBorder="0" applyAlignment="0" applyProtection="0"/>
    <xf numFmtId="0" fontId="89" fillId="95" borderId="0" applyNumberFormat="0" applyBorder="0" applyAlignment="0" applyProtection="0"/>
    <xf numFmtId="0" fontId="89" fillId="96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89" fillId="97" borderId="0" applyNumberFormat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23" fillId="0" borderId="0"/>
    <xf numFmtId="0" fontId="23" fillId="0" borderId="0"/>
    <xf numFmtId="0" fontId="23" fillId="2" borderId="7" applyNumberFormat="0" applyFont="0" applyAlignment="0" applyProtection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8" fillId="0" borderId="0"/>
    <xf numFmtId="43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7" borderId="0" applyNumberFormat="0" applyBorder="0" applyAlignment="0" applyProtection="0"/>
    <xf numFmtId="0" fontId="23" fillId="7" borderId="0" applyNumberFormat="0" applyBorder="0" applyAlignment="0" applyProtection="0"/>
    <xf numFmtId="0" fontId="23" fillId="9" borderId="0" applyNumberFormat="0" applyBorder="0" applyAlignment="0" applyProtection="0"/>
    <xf numFmtId="0" fontId="23" fillId="9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4" borderId="0" applyNumberFormat="0" applyBorder="0" applyAlignment="0" applyProtection="0"/>
    <xf numFmtId="0" fontId="23" fillId="4" borderId="0" applyNumberFormat="0" applyBorder="0" applyAlignment="0" applyProtection="0"/>
    <xf numFmtId="0" fontId="23" fillId="6" borderId="0" applyNumberFormat="0" applyBorder="0" applyAlignment="0" applyProtection="0"/>
    <xf numFmtId="0" fontId="23" fillId="6" borderId="0" applyNumberFormat="0" applyBorder="0" applyAlignment="0" applyProtection="0"/>
    <xf numFmtId="0" fontId="23" fillId="8" borderId="0" applyNumberFormat="0" applyBorder="0" applyAlignment="0" applyProtection="0"/>
    <xf numFmtId="0" fontId="23" fillId="8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2" borderId="0" applyNumberFormat="0" applyBorder="0" applyAlignment="0" applyProtection="0"/>
    <xf numFmtId="0" fontId="23" fillId="12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0" fontId="23" fillId="0" borderId="0"/>
    <xf numFmtId="0" fontId="23" fillId="0" borderId="0"/>
    <xf numFmtId="0" fontId="3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2" borderId="7" applyNumberFormat="0" applyFont="0" applyAlignment="0" applyProtection="0"/>
    <xf numFmtId="0" fontId="23" fillId="2" borderId="7" applyNumberFormat="0" applyFont="0" applyAlignment="0" applyProtection="0"/>
    <xf numFmtId="0" fontId="23" fillId="2" borderId="7" applyNumberFormat="0" applyFont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0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165" fontId="30" fillId="0" borderId="0" applyFont="0" applyFill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42" fontId="28" fillId="0" borderId="0" applyFont="0" applyFill="0" applyBorder="0" applyAlignment="0" applyProtection="0"/>
    <xf numFmtId="41" fontId="28" fillId="0" borderId="0" applyFont="0" applyFill="0" applyBorder="0" applyAlignment="0" applyProtection="0"/>
    <xf numFmtId="0" fontId="20" fillId="0" borderId="0"/>
    <xf numFmtId="0" fontId="20" fillId="0" borderId="0"/>
    <xf numFmtId="0" fontId="20" fillId="3" borderId="0" applyNumberFormat="0" applyBorder="0" applyAlignment="0" applyProtection="0"/>
    <xf numFmtId="0" fontId="20" fillId="3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7" borderId="0" applyNumberFormat="0" applyBorder="0" applyAlignment="0" applyProtection="0"/>
    <xf numFmtId="0" fontId="20" fillId="7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11" borderId="0" applyNumberFormat="0" applyBorder="0" applyAlignment="0" applyProtection="0"/>
    <xf numFmtId="0" fontId="20" fillId="11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4" borderId="0" applyNumberFormat="0" applyBorder="0" applyAlignment="0" applyProtection="0"/>
    <xf numFmtId="0" fontId="20" fillId="4" borderId="0" applyNumberFormat="0" applyBorder="0" applyAlignment="0" applyProtection="0"/>
    <xf numFmtId="0" fontId="20" fillId="6" borderId="0" applyNumberFormat="0" applyBorder="0" applyAlignment="0" applyProtection="0"/>
    <xf numFmtId="0" fontId="20" fillId="6" borderId="0" applyNumberFormat="0" applyBorder="0" applyAlignment="0" applyProtection="0"/>
    <xf numFmtId="0" fontId="20" fillId="8" borderId="0" applyNumberFormat="0" applyBorder="0" applyAlignment="0" applyProtection="0"/>
    <xf numFmtId="0" fontId="20" fillId="8" borderId="0" applyNumberFormat="0" applyBorder="0" applyAlignment="0" applyProtection="0"/>
    <xf numFmtId="0" fontId="20" fillId="10" borderId="0" applyNumberFormat="0" applyBorder="0" applyAlignment="0" applyProtection="0"/>
    <xf numFmtId="0" fontId="20" fillId="10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4" borderId="0" applyNumberFormat="0" applyBorder="0" applyAlignment="0" applyProtection="0"/>
    <xf numFmtId="0" fontId="20" fillId="14" borderId="0" applyNumberFormat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2" borderId="7" applyNumberFormat="0" applyFont="0" applyAlignment="0" applyProtection="0"/>
    <xf numFmtId="0" fontId="20" fillId="2" borderId="7" applyNumberFormat="0" applyFont="0" applyAlignment="0" applyProtection="0"/>
    <xf numFmtId="0" fontId="20" fillId="2" borderId="7" applyNumberFormat="0" applyFont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20" fillId="0" borderId="0"/>
    <xf numFmtId="0" fontId="19" fillId="0" borderId="0"/>
    <xf numFmtId="9" fontId="19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0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30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0" fontId="101" fillId="0" borderId="0" applyNumberFormat="0" applyFill="0" applyBorder="0" applyAlignment="0" applyProtection="0">
      <alignment vertical="top"/>
      <protection locked="0"/>
    </xf>
    <xf numFmtId="0" fontId="3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8" fillId="0" borderId="0" applyFont="0" applyFill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11" borderId="0" applyNumberFormat="0" applyBorder="0" applyAlignment="0" applyProtection="0"/>
    <xf numFmtId="0" fontId="18" fillId="11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6" borderId="0" applyNumberFormat="0" applyBorder="0" applyAlignment="0" applyProtection="0"/>
    <xf numFmtId="0" fontId="18" fillId="6" borderId="0" applyNumberFormat="0" applyBorder="0" applyAlignment="0" applyProtection="0"/>
    <xf numFmtId="0" fontId="18" fillId="8" borderId="0" applyNumberFormat="0" applyBorder="0" applyAlignment="0" applyProtection="0"/>
    <xf numFmtId="0" fontId="18" fillId="8" borderId="0" applyNumberFormat="0" applyBorder="0" applyAlignment="0" applyProtection="0"/>
    <xf numFmtId="0" fontId="18" fillId="10" borderId="0" applyNumberFormat="0" applyBorder="0" applyAlignment="0" applyProtection="0"/>
    <xf numFmtId="0" fontId="18" fillId="10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4" borderId="0" applyNumberFormat="0" applyBorder="0" applyAlignment="0" applyProtection="0"/>
    <xf numFmtId="0" fontId="18" fillId="14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3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172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172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172" fontId="30" fillId="0" borderId="0" applyFont="0" applyFill="0" applyBorder="0" applyAlignment="0" applyProtection="0"/>
    <xf numFmtId="0" fontId="39" fillId="39" borderId="0" applyNumberFormat="0" applyBorder="0" applyAlignment="0" applyProtection="0"/>
    <xf numFmtId="0" fontId="39" fillId="36" borderId="0" applyNumberFormat="0" applyBorder="0" applyAlignment="0" applyProtection="0"/>
    <xf numFmtId="0" fontId="39" fillId="40" borderId="0" applyNumberFormat="0" applyBorder="0" applyAlignment="0" applyProtection="0"/>
    <xf numFmtId="0" fontId="39" fillId="39" borderId="0" applyNumberFormat="0" applyBorder="0" applyAlignment="0" applyProtection="0"/>
    <xf numFmtId="0" fontId="39" fillId="41" borderId="0" applyNumberFormat="0" applyBorder="0" applyAlignment="0" applyProtection="0"/>
    <xf numFmtId="0" fontId="39" fillId="36" borderId="0" applyNumberFormat="0" applyBorder="0" applyAlignment="0" applyProtection="0"/>
    <xf numFmtId="0" fontId="39" fillId="54" borderId="0" applyNumberFormat="0" applyBorder="0" applyAlignment="0" applyProtection="0"/>
    <xf numFmtId="0" fontId="39" fillId="52" borderId="0" applyNumberFormat="0" applyBorder="0" applyAlignment="0" applyProtection="0"/>
    <xf numFmtId="0" fontId="39" fillId="53" borderId="0" applyNumberFormat="0" applyBorder="0" applyAlignment="0" applyProtection="0"/>
    <xf numFmtId="0" fontId="39" fillId="54" borderId="0" applyNumberFormat="0" applyBorder="0" applyAlignment="0" applyProtection="0"/>
    <xf numFmtId="0" fontId="39" fillId="35" borderId="0" applyNumberFormat="0" applyBorder="0" applyAlignment="0" applyProtection="0"/>
    <xf numFmtId="0" fontId="39" fillId="36" borderId="0" applyNumberFormat="0" applyBorder="0" applyAlignment="0" applyProtection="0"/>
    <xf numFmtId="0" fontId="40" fillId="62" borderId="0" applyNumberFormat="0" applyBorder="0" applyAlignment="0" applyProtection="0"/>
    <xf numFmtId="0" fontId="40" fillId="52" borderId="0" applyNumberFormat="0" applyBorder="0" applyAlignment="0" applyProtection="0"/>
    <xf numFmtId="0" fontId="40" fillId="53" borderId="0" applyNumberFormat="0" applyBorder="0" applyAlignment="0" applyProtection="0"/>
    <xf numFmtId="0" fontId="40" fillId="54" borderId="0" applyNumberFormat="0" applyBorder="0" applyAlignment="0" applyProtection="0"/>
    <xf numFmtId="0" fontId="40" fillId="62" borderId="0" applyNumberFormat="0" applyBorder="0" applyAlignment="0" applyProtection="0"/>
    <xf numFmtId="0" fontId="40" fillId="36" borderId="0" applyNumberFormat="0" applyBorder="0" applyAlignment="0" applyProtection="0"/>
    <xf numFmtId="0" fontId="41" fillId="0" borderId="0" applyNumberFormat="0" applyFill="0" applyBorder="0" applyAlignment="0" applyProtection="0"/>
    <xf numFmtId="0" fontId="44" fillId="39" borderId="67" applyNumberFormat="0" applyAlignment="0" applyProtection="0"/>
    <xf numFmtId="0" fontId="47" fillId="0" borderId="69" applyNumberFormat="0" applyFill="0" applyAlignment="0" applyProtection="0"/>
    <xf numFmtId="0" fontId="30" fillId="40" borderId="70" applyNumberFormat="0" applyFont="0" applyAlignment="0" applyProtection="0"/>
    <xf numFmtId="0" fontId="52" fillId="36" borderId="67" applyNumberFormat="0" applyAlignment="0" applyProtection="0"/>
    <xf numFmtId="172" fontId="39" fillId="0" borderId="0" applyFont="0" applyFill="0" applyBorder="0" applyAlignment="0" applyProtection="0"/>
    <xf numFmtId="172" fontId="30" fillId="0" borderId="0" applyFont="0" applyFill="0" applyBorder="0" applyAlignment="0" applyProtection="0"/>
    <xf numFmtId="175" fontId="30" fillId="0" borderId="0" applyFont="0" applyFill="0" applyBorder="0" applyAlignment="0" applyProtection="0"/>
    <xf numFmtId="175" fontId="30" fillId="0" borderId="0" applyFont="0" applyFill="0" applyBorder="0" applyAlignment="0" applyProtection="0"/>
    <xf numFmtId="0" fontId="30" fillId="0" borderId="0">
      <alignment vertical="center"/>
    </xf>
    <xf numFmtId="0" fontId="30" fillId="0" borderId="0"/>
    <xf numFmtId="0" fontId="39" fillId="0" borderId="0"/>
    <xf numFmtId="0" fontId="30" fillId="0" borderId="0"/>
    <xf numFmtId="0" fontId="30" fillId="0" borderId="0"/>
    <xf numFmtId="0" fontId="30" fillId="0" borderId="0"/>
    <xf numFmtId="0" fontId="39" fillId="0" borderId="0"/>
    <xf numFmtId="9" fontId="30" fillId="0" borderId="0" applyFont="0" applyFill="0" applyBorder="0" applyAlignment="0" applyProtection="0">
      <alignment vertical="center"/>
    </xf>
    <xf numFmtId="9" fontId="39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8" fillId="0" borderId="0" applyFont="0" applyFill="0" applyBorder="0" applyAlignment="0" applyProtection="0"/>
    <xf numFmtId="179" fontId="28" fillId="0" borderId="0" applyFont="0" applyFill="0" applyBorder="0" applyAlignment="0" applyProtection="0"/>
    <xf numFmtId="178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0" fontId="58" fillId="0" borderId="0" applyNumberFormat="0" applyFill="0" applyBorder="0">
      <protection locked="0"/>
    </xf>
    <xf numFmtId="9" fontId="30" fillId="0" borderId="0" applyFont="0" applyFill="0" applyBorder="0" applyAlignment="0" applyProtection="0"/>
    <xf numFmtId="179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28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172" fontId="30" fillId="0" borderId="0" applyFont="0" applyFill="0" applyBorder="0" applyAlignment="0" applyProtection="0"/>
    <xf numFmtId="43" fontId="39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174" fontId="30" fillId="0" borderId="0" applyFont="0" applyFill="0" applyBorder="0" applyAlignment="0" applyProtection="0"/>
    <xf numFmtId="0" fontId="17" fillId="0" borderId="0"/>
    <xf numFmtId="0" fontId="50" fillId="0" borderId="0"/>
    <xf numFmtId="0" fontId="17" fillId="0" borderId="0"/>
    <xf numFmtId="0" fontId="50" fillId="0" borderId="0"/>
    <xf numFmtId="0" fontId="50" fillId="0" borderId="0"/>
    <xf numFmtId="9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50" fillId="0" borderId="0" applyFont="0" applyFill="0" applyBorder="0" applyAlignment="0" applyProtection="0"/>
    <xf numFmtId="0" fontId="17" fillId="0" borderId="0"/>
    <xf numFmtId="0" fontId="39" fillId="26" borderId="0" applyNumberFormat="0" applyBorder="0" applyAlignment="0" applyProtection="0"/>
    <xf numFmtId="0" fontId="39" fillId="28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39" fillId="43" borderId="0" applyNumberFormat="0" applyBorder="0" applyAlignment="0" applyProtection="0"/>
    <xf numFmtId="0" fontId="39" fillId="45" borderId="0" applyNumberFormat="0" applyBorder="0" applyAlignment="0" applyProtection="0"/>
    <xf numFmtId="0" fontId="39" fillId="47" borderId="0" applyNumberFormat="0" applyBorder="0" applyAlignment="0" applyProtection="0"/>
    <xf numFmtId="0" fontId="39" fillId="48" borderId="0" applyNumberFormat="0" applyBorder="0" applyAlignment="0" applyProtection="0"/>
    <xf numFmtId="0" fontId="39" fillId="50" borderId="0" applyNumberFormat="0" applyBorder="0" applyAlignment="0" applyProtection="0"/>
    <xf numFmtId="0" fontId="39" fillId="51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40" fillId="56" borderId="0" applyNumberFormat="0" applyBorder="0" applyAlignment="0" applyProtection="0"/>
    <xf numFmtId="0" fontId="40" fillId="57" borderId="0" applyNumberFormat="0" applyBorder="0" applyAlignment="0" applyProtection="0"/>
    <xf numFmtId="0" fontId="40" fillId="58" borderId="0" applyNumberFormat="0" applyBorder="0" applyAlignment="0" applyProtection="0"/>
    <xf numFmtId="0" fontId="40" fillId="59" borderId="0" applyNumberFormat="0" applyBorder="0" applyAlignment="0" applyProtection="0"/>
    <xf numFmtId="0" fontId="40" fillId="60" borderId="0" applyNumberFormat="0" applyBorder="0" applyAlignment="0" applyProtection="0"/>
    <xf numFmtId="0" fontId="40" fillId="61" borderId="0" applyNumberFormat="0" applyBorder="0" applyAlignment="0" applyProtection="0"/>
    <xf numFmtId="0" fontId="45" fillId="70" borderId="3" applyNumberFormat="0" applyAlignment="0" applyProtection="0"/>
    <xf numFmtId="0" fontId="48" fillId="0" borderId="5" applyNumberFormat="0" applyFill="0" applyAlignment="0" applyProtection="0"/>
    <xf numFmtId="43" fontId="30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30" fillId="37" borderId="71" applyNumberFormat="0" applyFont="0" applyAlignment="0" applyProtection="0"/>
    <xf numFmtId="44" fontId="17" fillId="0" borderId="0" applyFont="0" applyFill="0" applyBorder="0" applyAlignment="0" applyProtection="0"/>
    <xf numFmtId="0" fontId="53" fillId="71" borderId="3" applyNumberFormat="0" applyAlignment="0" applyProtection="0"/>
    <xf numFmtId="0" fontId="17" fillId="0" borderId="0"/>
    <xf numFmtId="0" fontId="3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2" borderId="7" applyNumberFormat="0" applyFont="0" applyAlignment="0" applyProtection="0"/>
    <xf numFmtId="0" fontId="17" fillId="2" borderId="7" applyNumberFormat="0" applyFont="0" applyAlignment="0" applyProtection="0"/>
    <xf numFmtId="0" fontId="17" fillId="2" borderId="7" applyNumberFormat="0" applyFont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179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79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79" fontId="28" fillId="0" borderId="0" applyFont="0" applyFill="0" applyBorder="0" applyAlignment="0" applyProtection="0"/>
    <xf numFmtId="179" fontId="28" fillId="0" borderId="0" applyFont="0" applyFill="0" applyBorder="0" applyAlignment="0" applyProtection="0"/>
    <xf numFmtId="179" fontId="28" fillId="0" borderId="0" applyFont="0" applyFill="0" applyBorder="0" applyAlignment="0" applyProtection="0"/>
    <xf numFmtId="179" fontId="28" fillId="0" borderId="0" applyFont="0" applyFill="0" applyBorder="0" applyAlignment="0" applyProtection="0"/>
    <xf numFmtId="178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79" fontId="28" fillId="0" borderId="0" applyFont="0" applyFill="0" applyBorder="0" applyAlignment="0" applyProtection="0"/>
    <xf numFmtId="178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28" fillId="0" borderId="0" applyFont="0" applyFill="0" applyBorder="0" applyAlignment="0" applyProtection="0"/>
    <xf numFmtId="179" fontId="28" fillId="0" borderId="0" applyFont="0" applyFill="0" applyBorder="0" applyAlignment="0" applyProtection="0"/>
    <xf numFmtId="0" fontId="105" fillId="0" borderId="0" applyNumberFormat="0" applyFill="0" applyBorder="0" applyAlignment="0" applyProtection="0"/>
    <xf numFmtId="179" fontId="28" fillId="0" borderId="0" applyFont="0" applyFill="0" applyBorder="0" applyAlignment="0" applyProtection="0"/>
    <xf numFmtId="178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Protection="0"/>
    <xf numFmtId="165" fontId="30" fillId="0" borderId="0" applyFont="0" applyFill="0" applyBorder="0" applyAlignment="0" applyProtection="0"/>
    <xf numFmtId="0" fontId="30" fillId="0" borderId="0"/>
    <xf numFmtId="0" fontId="30" fillId="0" borderId="0"/>
    <xf numFmtId="0" fontId="30" fillId="0" borderId="0">
      <alignment vertical="center"/>
    </xf>
    <xf numFmtId="179" fontId="28" fillId="0" borderId="0" applyFont="0" applyFill="0" applyBorder="0" applyAlignment="0" applyProtection="0"/>
    <xf numFmtId="0" fontId="30" fillId="0" borderId="0"/>
    <xf numFmtId="9" fontId="30" fillId="0" borderId="0" applyFont="0" applyFill="0" applyBorder="0" applyProtection="0"/>
    <xf numFmtId="9" fontId="30" fillId="0" borderId="0" applyFont="0" applyFill="0" applyBorder="0" applyProtection="0"/>
    <xf numFmtId="9" fontId="30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79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79" fontId="28" fillId="0" borderId="0" applyFont="0" applyFill="0" applyBorder="0" applyAlignment="0" applyProtection="0"/>
    <xf numFmtId="179" fontId="28" fillId="0" borderId="0" applyFont="0" applyFill="0" applyBorder="0" applyAlignment="0" applyProtection="0"/>
    <xf numFmtId="0" fontId="16" fillId="0" borderId="0"/>
    <xf numFmtId="0" fontId="16" fillId="2" borderId="7" applyNumberFormat="0" applyFont="0" applyAlignment="0" applyProtection="0"/>
    <xf numFmtId="0" fontId="16" fillId="0" borderId="0"/>
    <xf numFmtId="0" fontId="16" fillId="3" borderId="0" applyNumberFormat="0" applyBorder="0" applyAlignment="0" applyProtection="0"/>
    <xf numFmtId="0" fontId="16" fillId="4" borderId="0" applyNumberFormat="0" applyBorder="0" applyAlignment="0" applyProtection="0"/>
    <xf numFmtId="0" fontId="16" fillId="5" borderId="0" applyNumberFormat="0" applyBorder="0" applyAlignment="0" applyProtection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2" borderId="7" applyNumberFormat="0" applyFont="0" applyAlignment="0" applyProtection="0"/>
    <xf numFmtId="0" fontId="30" fillId="0" borderId="0"/>
    <xf numFmtId="0" fontId="16" fillId="0" borderId="0"/>
    <xf numFmtId="43" fontId="39" fillId="0" borderId="0" applyFont="0" applyFill="0" applyBorder="0" applyAlignment="0" applyProtection="0"/>
    <xf numFmtId="43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3" borderId="0" applyNumberFormat="0" applyBorder="0" applyAlignment="0" applyProtection="0"/>
    <xf numFmtId="0" fontId="16" fillId="4" borderId="0" applyNumberFormat="0" applyBorder="0" applyAlignment="0" applyProtection="0"/>
    <xf numFmtId="0" fontId="16" fillId="5" borderId="0" applyNumberFormat="0" applyBorder="0" applyAlignment="0" applyProtection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8" fillId="0" borderId="0"/>
    <xf numFmtId="9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16" fillId="0" borderId="0"/>
    <xf numFmtId="0" fontId="16" fillId="0" borderId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2" borderId="7" applyNumberFormat="0" applyFont="0" applyAlignment="0" applyProtection="0"/>
    <xf numFmtId="0" fontId="16" fillId="2" borderId="7" applyNumberFormat="0" applyFont="0" applyAlignment="0" applyProtection="0"/>
    <xf numFmtId="9" fontId="39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43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0" fontId="16" fillId="0" borderId="0"/>
    <xf numFmtId="43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16" fillId="0" borderId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100" fillId="0" borderId="0"/>
    <xf numFmtId="9" fontId="100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0" fontId="16" fillId="0" borderId="0"/>
    <xf numFmtId="43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2" borderId="7" applyNumberFormat="0" applyFont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2" borderId="7" applyNumberFormat="0" applyFont="0" applyAlignment="0" applyProtection="0"/>
    <xf numFmtId="0" fontId="16" fillId="2" borderId="7" applyNumberFormat="0" applyFont="0" applyAlignment="0" applyProtection="0"/>
    <xf numFmtId="0" fontId="16" fillId="2" borderId="7" applyNumberFormat="0" applyFont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0" fontId="16" fillId="0" borderId="0"/>
    <xf numFmtId="43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0" fontId="16" fillId="0" borderId="0"/>
    <xf numFmtId="43" fontId="16" fillId="0" borderId="0" applyFont="0" applyFill="0" applyBorder="0" applyAlignment="0" applyProtection="0"/>
    <xf numFmtId="0" fontId="16" fillId="0" borderId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16" fillId="14" borderId="0" applyNumberFormat="0" applyBorder="0" applyAlignment="0" applyProtection="0"/>
    <xf numFmtId="0" fontId="16" fillId="14" borderId="0" applyNumberFormat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2" borderId="7" applyNumberFormat="0" applyFont="0" applyAlignment="0" applyProtection="0"/>
    <xf numFmtId="0" fontId="16" fillId="2" borderId="7" applyNumberFormat="0" applyFont="0" applyAlignment="0" applyProtection="0"/>
    <xf numFmtId="0" fontId="16" fillId="2" borderId="7" applyNumberFormat="0" applyFont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05" fillId="0" borderId="0" applyNumberFormat="0" applyFill="0" applyBorder="0" applyAlignment="0" applyProtection="0"/>
    <xf numFmtId="0" fontId="6" fillId="0" borderId="0"/>
    <xf numFmtId="0" fontId="6" fillId="0" borderId="0"/>
  </cellStyleXfs>
  <cellXfs count="878">
    <xf numFmtId="0" fontId="0" fillId="0" borderId="0" xfId="0"/>
    <xf numFmtId="0" fontId="0" fillId="0" borderId="0" xfId="0" applyFill="1"/>
    <xf numFmtId="0" fontId="30" fillId="0" borderId="0" xfId="0" applyFont="1" applyFill="1" applyBorder="1"/>
    <xf numFmtId="166" fontId="0" fillId="0" borderId="0" xfId="1" applyNumberFormat="1" applyFont="1" applyBorder="1"/>
    <xf numFmtId="0" fontId="30" fillId="0" borderId="0" xfId="0" applyFont="1" applyFill="1"/>
    <xf numFmtId="166" fontId="0" fillId="0" borderId="22" xfId="1" applyNumberFormat="1" applyFont="1" applyBorder="1"/>
    <xf numFmtId="166" fontId="0" fillId="0" borderId="0" xfId="1" applyNumberFormat="1" applyFont="1"/>
    <xf numFmtId="0" fontId="29" fillId="0" borderId="0" xfId="0" applyFont="1" applyFill="1"/>
    <xf numFmtId="0" fontId="30" fillId="0" borderId="0" xfId="0" applyFont="1"/>
    <xf numFmtId="0" fontId="27" fillId="0" borderId="0" xfId="4"/>
    <xf numFmtId="168" fontId="27" fillId="0" borderId="0" xfId="4" applyNumberFormat="1"/>
    <xf numFmtId="9" fontId="28" fillId="0" borderId="0" xfId="3" applyFont="1"/>
    <xf numFmtId="168" fontId="29" fillId="0" borderId="0" xfId="4" applyNumberFormat="1" applyFont="1"/>
    <xf numFmtId="0" fontId="36" fillId="0" borderId="0" xfId="4" applyFont="1" applyFill="1"/>
    <xf numFmtId="9" fontId="30" fillId="0" borderId="0" xfId="3" applyFont="1"/>
    <xf numFmtId="167" fontId="28" fillId="0" borderId="0" xfId="2" applyNumberFormat="1" applyFont="1"/>
    <xf numFmtId="0" fontId="27" fillId="0" borderId="0" xfId="5"/>
    <xf numFmtId="1" fontId="27" fillId="0" borderId="0" xfId="5" applyNumberFormat="1"/>
    <xf numFmtId="1" fontId="0" fillId="0" borderId="0" xfId="0" applyNumberFormat="1"/>
    <xf numFmtId="170" fontId="27" fillId="0" borderId="0" xfId="7" applyNumberFormat="1" applyFont="1" applyFill="1"/>
    <xf numFmtId="171" fontId="0" fillId="0" borderId="0" xfId="0" applyNumberFormat="1" applyFill="1"/>
    <xf numFmtId="1" fontId="36" fillId="0" borderId="0" xfId="0" applyNumberFormat="1" applyFont="1" applyFill="1"/>
    <xf numFmtId="3" fontId="0" fillId="0" borderId="0" xfId="0" applyNumberFormat="1"/>
    <xf numFmtId="9" fontId="0" fillId="0" borderId="0" xfId="0" applyNumberFormat="1"/>
    <xf numFmtId="170" fontId="25" fillId="0" borderId="0" xfId="7" applyNumberFormat="1" applyFont="1" applyFill="1"/>
    <xf numFmtId="3" fontId="27" fillId="0" borderId="0" xfId="5" applyNumberFormat="1"/>
    <xf numFmtId="168" fontId="0" fillId="0" borderId="0" xfId="0" applyNumberFormat="1"/>
    <xf numFmtId="0" fontId="27" fillId="0" borderId="0" xfId="5" applyFill="1"/>
    <xf numFmtId="0" fontId="30" fillId="0" borderId="0" xfId="0" applyFont="1" applyBorder="1"/>
    <xf numFmtId="167" fontId="31" fillId="0" borderId="0" xfId="2" applyNumberFormat="1" applyFont="1" applyFill="1"/>
    <xf numFmtId="0" fontId="31" fillId="0" borderId="0" xfId="0" applyFont="1" applyFill="1"/>
    <xf numFmtId="1" fontId="30" fillId="0" borderId="16" xfId="0" applyNumberFormat="1" applyFont="1" applyFill="1" applyBorder="1"/>
    <xf numFmtId="0" fontId="31" fillId="0" borderId="16" xfId="0" applyFont="1" applyFill="1" applyBorder="1"/>
    <xf numFmtId="0" fontId="31" fillId="0" borderId="26" xfId="0" applyFont="1" applyFill="1" applyBorder="1"/>
    <xf numFmtId="1" fontId="31" fillId="0" borderId="26" xfId="0" applyNumberFormat="1" applyFont="1" applyFill="1" applyBorder="1"/>
    <xf numFmtId="0" fontId="30" fillId="0" borderId="16" xfId="0" applyFont="1" applyFill="1" applyBorder="1"/>
    <xf numFmtId="166" fontId="0" fillId="0" borderId="21" xfId="1" applyNumberFormat="1" applyFont="1" applyBorder="1"/>
    <xf numFmtId="166" fontId="0" fillId="0" borderId="23" xfId="1" applyNumberFormat="1" applyFont="1" applyBorder="1"/>
    <xf numFmtId="166" fontId="0" fillId="0" borderId="16" xfId="1" applyNumberFormat="1" applyFont="1" applyBorder="1"/>
    <xf numFmtId="166" fontId="0" fillId="0" borderId="15" xfId="1" applyNumberFormat="1" applyFont="1" applyBorder="1"/>
    <xf numFmtId="9" fontId="31" fillId="0" borderId="79" xfId="0" applyNumberFormat="1" applyFont="1" applyFill="1" applyBorder="1"/>
    <xf numFmtId="167" fontId="31" fillId="0" borderId="78" xfId="2" applyNumberFormat="1" applyFont="1" applyFill="1" applyBorder="1"/>
    <xf numFmtId="9" fontId="30" fillId="0" borderId="16" xfId="3" applyFont="1" applyFill="1" applyBorder="1"/>
    <xf numFmtId="9" fontId="30" fillId="0" borderId="0" xfId="3" applyFont="1" applyFill="1" applyBorder="1"/>
    <xf numFmtId="9" fontId="30" fillId="0" borderId="15" xfId="3" applyFont="1" applyFill="1" applyBorder="1"/>
    <xf numFmtId="166" fontId="0" fillId="0" borderId="0" xfId="1" applyNumberFormat="1" applyFont="1" applyFill="1" applyBorder="1"/>
    <xf numFmtId="3" fontId="30" fillId="0" borderId="0" xfId="0" applyNumberFormat="1" applyFont="1" applyFill="1"/>
    <xf numFmtId="9" fontId="30" fillId="0" borderId="9" xfId="3" applyFont="1" applyFill="1" applyBorder="1"/>
    <xf numFmtId="167" fontId="30" fillId="0" borderId="12" xfId="2" applyNumberFormat="1" applyFont="1" applyFill="1" applyBorder="1"/>
    <xf numFmtId="167" fontId="30" fillId="0" borderId="11" xfId="2" applyNumberFormat="1" applyFont="1" applyFill="1" applyBorder="1"/>
    <xf numFmtId="167" fontId="30" fillId="0" borderId="15" xfId="2" applyNumberFormat="1" applyFont="1" applyFill="1" applyBorder="1"/>
    <xf numFmtId="9" fontId="31" fillId="0" borderId="78" xfId="3" applyFont="1" applyFill="1" applyBorder="1"/>
    <xf numFmtId="9" fontId="31" fillId="0" borderId="80" xfId="3" applyFont="1" applyFill="1" applyBorder="1"/>
    <xf numFmtId="167" fontId="31" fillId="0" borderId="80" xfId="2" applyNumberFormat="1" applyFont="1" applyFill="1" applyBorder="1"/>
    <xf numFmtId="168" fontId="33" fillId="0" borderId="29" xfId="0" applyNumberFormat="1" applyFont="1" applyFill="1" applyBorder="1" applyAlignment="1">
      <alignment horizontal="right" vertical="top"/>
    </xf>
    <xf numFmtId="168" fontId="34" fillId="0" borderId="33" xfId="0" applyNumberFormat="1" applyFont="1" applyFill="1" applyBorder="1" applyAlignment="1">
      <alignment horizontal="right" vertical="top"/>
    </xf>
    <xf numFmtId="168" fontId="34" fillId="0" borderId="29" xfId="0" applyNumberFormat="1" applyFont="1" applyFill="1" applyBorder="1" applyAlignment="1">
      <alignment horizontal="right" vertical="top"/>
    </xf>
    <xf numFmtId="4" fontId="0" fillId="0" borderId="0" xfId="0" applyNumberFormat="1"/>
    <xf numFmtId="3" fontId="31" fillId="0" borderId="0" xfId="0" applyNumberFormat="1" applyFont="1" applyFill="1"/>
    <xf numFmtId="0" fontId="36" fillId="0" borderId="0" xfId="4" applyFont="1"/>
    <xf numFmtId="3" fontId="36" fillId="0" borderId="0" xfId="4" applyNumberFormat="1" applyFont="1" applyFill="1"/>
    <xf numFmtId="0" fontId="33" fillId="24" borderId="30" xfId="0" applyFont="1" applyFill="1" applyBorder="1" applyAlignment="1">
      <alignment horizontal="left" vertical="top"/>
    </xf>
    <xf numFmtId="168" fontId="33" fillId="21" borderId="32" xfId="0" applyNumberFormat="1" applyFont="1" applyFill="1" applyBorder="1" applyAlignment="1">
      <alignment horizontal="right" vertical="top"/>
    </xf>
    <xf numFmtId="169" fontId="33" fillId="0" borderId="29" xfId="0" applyNumberFormat="1" applyFont="1" applyFill="1" applyBorder="1" applyAlignment="1">
      <alignment horizontal="right" vertical="top"/>
    </xf>
    <xf numFmtId="169" fontId="33" fillId="0" borderId="30" xfId="0" applyNumberFormat="1" applyFont="1" applyFill="1" applyBorder="1" applyAlignment="1">
      <alignment horizontal="right" vertical="top"/>
    </xf>
    <xf numFmtId="168" fontId="33" fillId="0" borderId="32" xfId="0" applyNumberFormat="1" applyFont="1" applyFill="1" applyBorder="1" applyAlignment="1">
      <alignment horizontal="right" vertical="top"/>
    </xf>
    <xf numFmtId="168" fontId="33" fillId="21" borderId="29" xfId="0" applyNumberFormat="1" applyFont="1" applyFill="1" applyBorder="1" applyAlignment="1">
      <alignment horizontal="right" vertical="top"/>
    </xf>
    <xf numFmtId="168" fontId="33" fillId="0" borderId="64" xfId="0" applyNumberFormat="1" applyFont="1" applyFill="1" applyBorder="1" applyAlignment="1">
      <alignment horizontal="right" vertical="top"/>
    </xf>
    <xf numFmtId="168" fontId="33" fillId="21" borderId="64" xfId="0" applyNumberFormat="1" applyFont="1" applyFill="1" applyBorder="1" applyAlignment="1">
      <alignment horizontal="right" vertical="top"/>
    </xf>
    <xf numFmtId="0" fontId="37" fillId="20" borderId="30" xfId="0" applyFont="1" applyFill="1" applyBorder="1" applyAlignment="1">
      <alignment horizontal="left" vertical="top"/>
    </xf>
    <xf numFmtId="168" fontId="37" fillId="20" borderId="32" xfId="0" applyNumberFormat="1" applyFont="1" applyFill="1" applyBorder="1" applyAlignment="1">
      <alignment horizontal="right" vertical="top"/>
    </xf>
    <xf numFmtId="168" fontId="37" fillId="20" borderId="29" xfId="0" applyNumberFormat="1" applyFont="1" applyFill="1" applyBorder="1" applyAlignment="1">
      <alignment horizontal="right" vertical="top"/>
    </xf>
    <xf numFmtId="169" fontId="37" fillId="20" borderId="29" xfId="0" applyNumberFormat="1" applyFont="1" applyFill="1" applyBorder="1" applyAlignment="1">
      <alignment horizontal="right" vertical="top"/>
    </xf>
    <xf numFmtId="169" fontId="37" fillId="20" borderId="30" xfId="0" applyNumberFormat="1" applyFont="1" applyFill="1" applyBorder="1" applyAlignment="1">
      <alignment horizontal="right" vertical="top"/>
    </xf>
    <xf numFmtId="168" fontId="38" fillId="20" borderId="29" xfId="0" applyNumberFormat="1" applyFont="1" applyFill="1" applyBorder="1" applyAlignment="1">
      <alignment horizontal="right" vertical="top"/>
    </xf>
    <xf numFmtId="168" fontId="37" fillId="20" borderId="64" xfId="0" applyNumberFormat="1" applyFont="1" applyFill="1" applyBorder="1" applyAlignment="1">
      <alignment horizontal="right" vertical="top"/>
    </xf>
    <xf numFmtId="168" fontId="34" fillId="21" borderId="29" xfId="0" applyNumberFormat="1" applyFont="1" applyFill="1" applyBorder="1" applyAlignment="1">
      <alignment horizontal="right" vertical="top"/>
    </xf>
    <xf numFmtId="0" fontId="37" fillId="22" borderId="30" xfId="0" applyFont="1" applyFill="1" applyBorder="1" applyAlignment="1">
      <alignment horizontal="left" vertical="top"/>
    </xf>
    <xf numFmtId="168" fontId="37" fillId="22" borderId="32" xfId="0" applyNumberFormat="1" applyFont="1" applyFill="1" applyBorder="1" applyAlignment="1">
      <alignment horizontal="right" vertical="top"/>
    </xf>
    <xf numFmtId="168" fontId="37" fillId="22" borderId="29" xfId="0" applyNumberFormat="1" applyFont="1" applyFill="1" applyBorder="1" applyAlignment="1">
      <alignment horizontal="right" vertical="top"/>
    </xf>
    <xf numFmtId="169" fontId="37" fillId="22" borderId="29" xfId="0" applyNumberFormat="1" applyFont="1" applyFill="1" applyBorder="1" applyAlignment="1">
      <alignment horizontal="right" vertical="top"/>
    </xf>
    <xf numFmtId="169" fontId="37" fillId="22" borderId="30" xfId="0" applyNumberFormat="1" applyFont="1" applyFill="1" applyBorder="1" applyAlignment="1">
      <alignment horizontal="right" vertical="top"/>
    </xf>
    <xf numFmtId="168" fontId="38" fillId="22" borderId="29" xfId="0" applyNumberFormat="1" applyFont="1" applyFill="1" applyBorder="1" applyAlignment="1">
      <alignment horizontal="right" vertical="top"/>
    </xf>
    <xf numFmtId="168" fontId="37" fillId="22" borderId="64" xfId="0" applyNumberFormat="1" applyFont="1" applyFill="1" applyBorder="1" applyAlignment="1">
      <alignment horizontal="right" vertical="top"/>
    </xf>
    <xf numFmtId="0" fontId="37" fillId="23" borderId="30" xfId="0" applyFont="1" applyFill="1" applyBorder="1" applyAlignment="1">
      <alignment horizontal="left" vertical="top"/>
    </xf>
    <xf numFmtId="168" fontId="37" fillId="23" borderId="32" xfId="0" applyNumberFormat="1" applyFont="1" applyFill="1" applyBorder="1" applyAlignment="1">
      <alignment horizontal="right" vertical="top"/>
    </xf>
    <xf numFmtId="168" fontId="37" fillId="23" borderId="29" xfId="0" applyNumberFormat="1" applyFont="1" applyFill="1" applyBorder="1" applyAlignment="1">
      <alignment horizontal="right" vertical="top"/>
    </xf>
    <xf numFmtId="169" fontId="37" fillId="23" borderId="29" xfId="0" applyNumberFormat="1" applyFont="1" applyFill="1" applyBorder="1" applyAlignment="1">
      <alignment horizontal="right" vertical="top"/>
    </xf>
    <xf numFmtId="169" fontId="37" fillId="23" borderId="30" xfId="0" applyNumberFormat="1" applyFont="1" applyFill="1" applyBorder="1" applyAlignment="1">
      <alignment horizontal="right" vertical="top"/>
    </xf>
    <xf numFmtId="168" fontId="38" fillId="23" borderId="29" xfId="0" applyNumberFormat="1" applyFont="1" applyFill="1" applyBorder="1" applyAlignment="1">
      <alignment horizontal="right" vertical="top"/>
    </xf>
    <xf numFmtId="168" fontId="37" fillId="23" borderId="64" xfId="0" applyNumberFormat="1" applyFont="1" applyFill="1" applyBorder="1" applyAlignment="1">
      <alignment horizontal="right" vertical="top"/>
    </xf>
    <xf numFmtId="167" fontId="27" fillId="0" borderId="0" xfId="2" applyNumberFormat="1" applyFont="1"/>
    <xf numFmtId="44" fontId="0" fillId="0" borderId="0" xfId="2" applyFont="1"/>
    <xf numFmtId="44" fontId="0" fillId="0" borderId="0" xfId="2" applyNumberFormat="1" applyFont="1"/>
    <xf numFmtId="9" fontId="0" fillId="0" borderId="0" xfId="3" applyFont="1"/>
    <xf numFmtId="0" fontId="33" fillId="0" borderId="30" xfId="0" applyFont="1" applyFill="1" applyBorder="1" applyAlignment="1">
      <alignment horizontal="left" vertical="top"/>
    </xf>
    <xf numFmtId="168" fontId="34" fillId="21" borderId="32" xfId="0" applyNumberFormat="1" applyFont="1" applyFill="1" applyBorder="1" applyAlignment="1">
      <alignment horizontal="right" vertical="top"/>
    </xf>
    <xf numFmtId="168" fontId="34" fillId="0" borderId="32" xfId="0" applyNumberFormat="1" applyFont="1" applyFill="1" applyBorder="1" applyAlignment="1">
      <alignment horizontal="right" vertical="top"/>
    </xf>
    <xf numFmtId="168" fontId="34" fillId="0" borderId="64" xfId="0" applyNumberFormat="1" applyFont="1" applyFill="1" applyBorder="1" applyAlignment="1">
      <alignment horizontal="right" vertical="top"/>
    </xf>
    <xf numFmtId="168" fontId="34" fillId="21" borderId="64" xfId="0" applyNumberFormat="1" applyFont="1" applyFill="1" applyBorder="1" applyAlignment="1">
      <alignment horizontal="right" vertical="top"/>
    </xf>
    <xf numFmtId="0" fontId="33" fillId="0" borderId="34" xfId="0" applyFont="1" applyFill="1" applyBorder="1" applyAlignment="1">
      <alignment horizontal="left" vertical="top"/>
    </xf>
    <xf numFmtId="168" fontId="34" fillId="21" borderId="36" xfId="0" applyNumberFormat="1" applyFont="1" applyFill="1" applyBorder="1" applyAlignment="1">
      <alignment horizontal="right" vertical="top"/>
    </xf>
    <xf numFmtId="169" fontId="33" fillId="0" borderId="33" xfId="0" applyNumberFormat="1" applyFont="1" applyFill="1" applyBorder="1" applyAlignment="1">
      <alignment horizontal="right" vertical="top"/>
    </xf>
    <xf numFmtId="169" fontId="33" fillId="0" borderId="34" xfId="0" applyNumberFormat="1" applyFont="1" applyFill="1" applyBorder="1" applyAlignment="1">
      <alignment horizontal="right" vertical="top"/>
    </xf>
    <xf numFmtId="168" fontId="34" fillId="0" borderId="36" xfId="0" applyNumberFormat="1" applyFont="1" applyFill="1" applyBorder="1" applyAlignment="1">
      <alignment horizontal="right" vertical="top"/>
    </xf>
    <xf numFmtId="168" fontId="33" fillId="0" borderId="33" xfId="0" applyNumberFormat="1" applyFont="1" applyFill="1" applyBorder="1" applyAlignment="1">
      <alignment horizontal="right" vertical="top"/>
    </xf>
    <xf numFmtId="168" fontId="34" fillId="21" borderId="33" xfId="0" applyNumberFormat="1" applyFont="1" applyFill="1" applyBorder="1" applyAlignment="1">
      <alignment horizontal="right" vertical="top"/>
    </xf>
    <xf numFmtId="168" fontId="34" fillId="0" borderId="65" xfId="0" applyNumberFormat="1" applyFont="1" applyFill="1" applyBorder="1" applyAlignment="1">
      <alignment horizontal="right" vertical="top"/>
    </xf>
    <xf numFmtId="168" fontId="34" fillId="21" borderId="65" xfId="0" applyNumberFormat="1" applyFont="1" applyFill="1" applyBorder="1" applyAlignment="1">
      <alignment horizontal="right" vertical="top"/>
    </xf>
    <xf numFmtId="0" fontId="32" fillId="0" borderId="58" xfId="0" applyFont="1" applyFill="1" applyBorder="1" applyAlignment="1">
      <alignment horizontal="left" vertical="top"/>
    </xf>
    <xf numFmtId="168" fontId="35" fillId="21" borderId="60" xfId="0" applyNumberFormat="1" applyFont="1" applyFill="1" applyBorder="1" applyAlignment="1">
      <alignment horizontal="right" vertical="top"/>
    </xf>
    <xf numFmtId="168" fontId="35" fillId="0" borderId="57" xfId="0" applyNumberFormat="1" applyFont="1" applyFill="1" applyBorder="1" applyAlignment="1">
      <alignment horizontal="right" vertical="top"/>
    </xf>
    <xf numFmtId="169" fontId="32" fillId="0" borderId="57" xfId="0" applyNumberFormat="1" applyFont="1" applyFill="1" applyBorder="1" applyAlignment="1">
      <alignment horizontal="right" vertical="top"/>
    </xf>
    <xf numFmtId="169" fontId="32" fillId="0" borderId="58" xfId="0" applyNumberFormat="1" applyFont="1" applyFill="1" applyBorder="1" applyAlignment="1">
      <alignment horizontal="right" vertical="top"/>
    </xf>
    <xf numFmtId="168" fontId="35" fillId="0" borderId="60" xfId="0" applyNumberFormat="1" applyFont="1" applyFill="1" applyBorder="1" applyAlignment="1">
      <alignment horizontal="right" vertical="top"/>
    </xf>
    <xf numFmtId="168" fontId="32" fillId="0" borderId="57" xfId="0" applyNumberFormat="1" applyFont="1" applyFill="1" applyBorder="1" applyAlignment="1">
      <alignment horizontal="right" vertical="top"/>
    </xf>
    <xf numFmtId="168" fontId="35" fillId="0" borderId="66" xfId="0" applyNumberFormat="1" applyFont="1" applyFill="1" applyBorder="1" applyAlignment="1">
      <alignment horizontal="right" vertical="top"/>
    </xf>
    <xf numFmtId="0" fontId="37" fillId="0" borderId="58" xfId="0" applyFont="1" applyFill="1" applyBorder="1" applyAlignment="1">
      <alignment horizontal="left" vertical="top"/>
    </xf>
    <xf numFmtId="168" fontId="38" fillId="21" borderId="60" xfId="0" applyNumberFormat="1" applyFont="1" applyFill="1" applyBorder="1" applyAlignment="1">
      <alignment horizontal="right" vertical="top"/>
    </xf>
    <xf numFmtId="168" fontId="38" fillId="0" borderId="57" xfId="0" applyNumberFormat="1" applyFont="1" applyFill="1" applyBorder="1" applyAlignment="1">
      <alignment horizontal="right" vertical="top"/>
    </xf>
    <xf numFmtId="169" fontId="37" fillId="0" borderId="57" xfId="0" applyNumberFormat="1" applyFont="1" applyFill="1" applyBorder="1" applyAlignment="1">
      <alignment horizontal="right" vertical="top"/>
    </xf>
    <xf numFmtId="169" fontId="37" fillId="0" borderId="58" xfId="0" applyNumberFormat="1" applyFont="1" applyFill="1" applyBorder="1" applyAlignment="1">
      <alignment horizontal="right" vertical="top"/>
    </xf>
    <xf numFmtId="168" fontId="38" fillId="0" borderId="60" xfId="0" applyNumberFormat="1" applyFont="1" applyFill="1" applyBorder="1" applyAlignment="1">
      <alignment horizontal="right" vertical="top"/>
    </xf>
    <xf numFmtId="168" fontId="37" fillId="0" borderId="57" xfId="0" applyNumberFormat="1" applyFont="1" applyFill="1" applyBorder="1" applyAlignment="1">
      <alignment horizontal="right" vertical="top"/>
    </xf>
    <xf numFmtId="168" fontId="38" fillId="21" borderId="57" xfId="0" applyNumberFormat="1" applyFont="1" applyFill="1" applyBorder="1" applyAlignment="1">
      <alignment horizontal="right" vertical="top"/>
    </xf>
    <xf numFmtId="168" fontId="38" fillId="0" borderId="66" xfId="0" applyNumberFormat="1" applyFont="1" applyFill="1" applyBorder="1" applyAlignment="1">
      <alignment horizontal="right" vertical="top"/>
    </xf>
    <xf numFmtId="168" fontId="38" fillId="21" borderId="66" xfId="0" applyNumberFormat="1" applyFont="1" applyFill="1" applyBorder="1" applyAlignment="1">
      <alignment horizontal="right" vertical="top"/>
    </xf>
    <xf numFmtId="168" fontId="33" fillId="21" borderId="36" xfId="0" applyNumberFormat="1" applyFont="1" applyFill="1" applyBorder="1" applyAlignment="1">
      <alignment horizontal="right" vertical="top"/>
    </xf>
    <xf numFmtId="168" fontId="33" fillId="0" borderId="36" xfId="0" applyNumberFormat="1" applyFont="1" applyFill="1" applyBorder="1" applyAlignment="1">
      <alignment horizontal="right" vertical="top"/>
    </xf>
    <xf numFmtId="168" fontId="33" fillId="21" borderId="33" xfId="0" applyNumberFormat="1" applyFont="1" applyFill="1" applyBorder="1" applyAlignment="1">
      <alignment horizontal="right" vertical="top"/>
    </xf>
    <xf numFmtId="168" fontId="33" fillId="0" borderId="65" xfId="0" applyNumberFormat="1" applyFont="1" applyFill="1" applyBorder="1" applyAlignment="1">
      <alignment horizontal="right" vertical="top"/>
    </xf>
    <xf numFmtId="168" fontId="33" fillId="21" borderId="65" xfId="0" applyNumberFormat="1" applyFont="1" applyFill="1" applyBorder="1" applyAlignment="1">
      <alignment horizontal="right" vertical="top"/>
    </xf>
    <xf numFmtId="168" fontId="32" fillId="21" borderId="57" xfId="0" applyNumberFormat="1" applyFont="1" applyFill="1" applyBorder="1" applyAlignment="1">
      <alignment horizontal="right" vertical="top"/>
    </xf>
    <xf numFmtId="168" fontId="38" fillId="20" borderId="32" xfId="0" applyNumberFormat="1" applyFont="1" applyFill="1" applyBorder="1" applyAlignment="1">
      <alignment horizontal="right" vertical="top"/>
    </xf>
    <xf numFmtId="168" fontId="38" fillId="20" borderId="64" xfId="0" applyNumberFormat="1" applyFont="1" applyFill="1" applyBorder="1" applyAlignment="1">
      <alignment horizontal="right" vertical="top"/>
    </xf>
    <xf numFmtId="168" fontId="38" fillId="23" borderId="32" xfId="0" applyNumberFormat="1" applyFont="1" applyFill="1" applyBorder="1" applyAlignment="1">
      <alignment horizontal="right" vertical="top"/>
    </xf>
    <xf numFmtId="168" fontId="38" fillId="23" borderId="64" xfId="0" applyNumberFormat="1" applyFont="1" applyFill="1" applyBorder="1" applyAlignment="1">
      <alignment horizontal="right" vertical="top"/>
    </xf>
    <xf numFmtId="168" fontId="38" fillId="22" borderId="64" xfId="0" applyNumberFormat="1" applyFont="1" applyFill="1" applyBorder="1" applyAlignment="1">
      <alignment horizontal="right" vertical="top"/>
    </xf>
    <xf numFmtId="43" fontId="90" fillId="0" borderId="0" xfId="1" applyFont="1"/>
    <xf numFmtId="43" fontId="0" fillId="0" borderId="0" xfId="1" applyFont="1"/>
    <xf numFmtId="43" fontId="29" fillId="0" borderId="12" xfId="1" applyFont="1" applyBorder="1"/>
    <xf numFmtId="43" fontId="29" fillId="98" borderId="9" xfId="1" applyFont="1" applyFill="1" applyBorder="1"/>
    <xf numFmtId="43" fontId="29" fillId="0" borderId="9" xfId="1" applyFont="1" applyBorder="1"/>
    <xf numFmtId="43" fontId="29" fillId="0" borderId="11" xfId="1" applyFont="1" applyBorder="1"/>
    <xf numFmtId="43" fontId="0" fillId="0" borderId="21" xfId="1" applyFont="1" applyBorder="1"/>
    <xf numFmtId="43" fontId="0" fillId="0" borderId="22" xfId="1" applyFont="1" applyBorder="1"/>
    <xf numFmtId="43" fontId="0" fillId="0" borderId="23" xfId="1" applyFont="1" applyBorder="1"/>
    <xf numFmtId="43" fontId="0" fillId="0" borderId="16" xfId="1" applyFont="1" applyBorder="1"/>
    <xf numFmtId="43" fontId="74" fillId="0" borderId="16" xfId="1" applyFont="1" applyBorder="1"/>
    <xf numFmtId="166" fontId="74" fillId="0" borderId="0" xfId="1" applyNumberFormat="1" applyFont="1" applyBorder="1"/>
    <xf numFmtId="166" fontId="74" fillId="0" borderId="16" xfId="1" applyNumberFormat="1" applyFont="1" applyBorder="1"/>
    <xf numFmtId="166" fontId="74" fillId="0" borderId="15" xfId="1" applyNumberFormat="1" applyFont="1" applyBorder="1"/>
    <xf numFmtId="43" fontId="74" fillId="0" borderId="0" xfId="1" applyFont="1"/>
    <xf numFmtId="43" fontId="0" fillId="0" borderId="12" xfId="1" applyFont="1" applyBorder="1"/>
    <xf numFmtId="166" fontId="0" fillId="0" borderId="9" xfId="1" applyNumberFormat="1" applyFont="1" applyBorder="1"/>
    <xf numFmtId="166" fontId="0" fillId="0" borderId="12" xfId="1" applyNumberFormat="1" applyFont="1" applyBorder="1"/>
    <xf numFmtId="166" fontId="0" fillId="0" borderId="11" xfId="1" applyNumberFormat="1" applyFont="1" applyBorder="1"/>
    <xf numFmtId="43" fontId="29" fillId="0" borderId="23" xfId="1" applyFont="1" applyBorder="1"/>
    <xf numFmtId="43" fontId="0" fillId="0" borderId="9" xfId="1" applyFont="1" applyBorder="1"/>
    <xf numFmtId="43" fontId="0" fillId="0" borderId="0" xfId="1" applyFont="1" applyBorder="1"/>
    <xf numFmtId="43" fontId="0" fillId="0" borderId="15" xfId="1" applyFont="1" applyBorder="1"/>
    <xf numFmtId="43" fontId="74" fillId="0" borderId="16" xfId="1" applyFont="1" applyFill="1" applyBorder="1"/>
    <xf numFmtId="43" fontId="30" fillId="0" borderId="22" xfId="1" applyFont="1" applyBorder="1"/>
    <xf numFmtId="43" fontId="29" fillId="0" borderId="0" xfId="1" applyFont="1"/>
    <xf numFmtId="43" fontId="29" fillId="0" borderId="9" xfId="1" applyFont="1" applyFill="1" applyBorder="1"/>
    <xf numFmtId="166" fontId="30" fillId="0" borderId="0" xfId="1" applyNumberFormat="1" applyFont="1" applyBorder="1"/>
    <xf numFmtId="43" fontId="36" fillId="0" borderId="0" xfId="1" applyFont="1"/>
    <xf numFmtId="43" fontId="36" fillId="0" borderId="0" xfId="1" applyFont="1" applyFill="1"/>
    <xf numFmtId="43" fontId="30" fillId="0" borderId="0" xfId="1" applyFont="1" applyFill="1"/>
    <xf numFmtId="43" fontId="30" fillId="0" borderId="0" xfId="1" applyFont="1"/>
    <xf numFmtId="43" fontId="30" fillId="0" borderId="0" xfId="0" applyNumberFormat="1" applyFont="1"/>
    <xf numFmtId="9" fontId="31" fillId="0" borderId="8" xfId="3" applyFont="1" applyFill="1" applyBorder="1"/>
    <xf numFmtId="9" fontId="31" fillId="0" borderId="13" xfId="3" applyFont="1" applyFill="1" applyBorder="1"/>
    <xf numFmtId="9" fontId="31" fillId="0" borderId="24" xfId="3" applyFont="1" applyFill="1" applyBorder="1"/>
    <xf numFmtId="0" fontId="31" fillId="0" borderId="0" xfId="0" applyFont="1" applyFill="1" applyBorder="1"/>
    <xf numFmtId="3" fontId="30" fillId="0" borderId="0" xfId="0" applyNumberFormat="1" applyFont="1" applyFill="1" applyBorder="1"/>
    <xf numFmtId="1" fontId="30" fillId="0" borderId="0" xfId="0" applyNumberFormat="1" applyFont="1" applyFill="1" applyBorder="1"/>
    <xf numFmtId="0" fontId="92" fillId="0" borderId="0" xfId="633" applyFont="1"/>
    <xf numFmtId="0" fontId="92" fillId="0" borderId="0" xfId="633" applyFont="1" applyFill="1"/>
    <xf numFmtId="0" fontId="36" fillId="0" borderId="0" xfId="633" applyFont="1" applyFill="1"/>
    <xf numFmtId="1" fontId="36" fillId="0" borderId="0" xfId="633" applyNumberFormat="1" applyFont="1" applyFill="1"/>
    <xf numFmtId="0" fontId="36" fillId="0" borderId="0" xfId="633" applyFont="1"/>
    <xf numFmtId="0" fontId="88" fillId="15" borderId="0" xfId="633" applyFont="1" applyFill="1"/>
    <xf numFmtId="17" fontId="88" fillId="15" borderId="0" xfId="633" applyNumberFormat="1" applyFont="1" applyFill="1"/>
    <xf numFmtId="17" fontId="88" fillId="0" borderId="0" xfId="633" applyNumberFormat="1" applyFont="1"/>
    <xf numFmtId="0" fontId="88" fillId="0" borderId="0" xfId="633" applyFont="1"/>
    <xf numFmtId="0" fontId="88" fillId="98" borderId="86" xfId="633" applyFont="1" applyFill="1" applyBorder="1"/>
    <xf numFmtId="0" fontId="88" fillId="0" borderId="86" xfId="633" applyFont="1" applyBorder="1" applyAlignment="1">
      <alignment horizontal="center"/>
    </xf>
    <xf numFmtId="166" fontId="36" fillId="0" borderId="0" xfId="634" applyNumberFormat="1" applyFont="1" applyFill="1"/>
    <xf numFmtId="171" fontId="27" fillId="0" borderId="0" xfId="5" applyNumberFormat="1"/>
    <xf numFmtId="0" fontId="0" fillId="103" borderId="0" xfId="0" applyFill="1"/>
    <xf numFmtId="0" fontId="0" fillId="61" borderId="0" xfId="0" applyFill="1"/>
    <xf numFmtId="0" fontId="0" fillId="58" borderId="0" xfId="0" applyFill="1"/>
    <xf numFmtId="0" fontId="0" fillId="98" borderId="0" xfId="0" applyFill="1"/>
    <xf numFmtId="0" fontId="0" fillId="104" borderId="0" xfId="0" applyFill="1"/>
    <xf numFmtId="0" fontId="0" fillId="105" borderId="0" xfId="0" applyFill="1"/>
    <xf numFmtId="0" fontId="0" fillId="1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31" fillId="0" borderId="0" xfId="0" applyFont="1" applyFill="1" applyAlignment="1">
      <alignment wrapText="1"/>
    </xf>
    <xf numFmtId="0" fontId="29" fillId="0" borderId="0" xfId="0" applyFont="1"/>
    <xf numFmtId="17" fontId="29" fillId="0" borderId="0" xfId="0" applyNumberFormat="1" applyFont="1"/>
    <xf numFmtId="1" fontId="36" fillId="0" borderId="0" xfId="4" applyNumberFormat="1" applyFont="1" applyFill="1"/>
    <xf numFmtId="1" fontId="27" fillId="0" borderId="0" xfId="4" applyNumberFormat="1"/>
    <xf numFmtId="166" fontId="31" fillId="0" borderId="78" xfId="1" applyNumberFormat="1" applyFont="1" applyFill="1" applyBorder="1"/>
    <xf numFmtId="166" fontId="31" fillId="0" borderId="80" xfId="1" applyNumberFormat="1" applyFont="1" applyFill="1" applyBorder="1"/>
    <xf numFmtId="166" fontId="30" fillId="0" borderId="0" xfId="1" applyNumberFormat="1" applyFont="1"/>
    <xf numFmtId="0" fontId="92" fillId="0" borderId="0" xfId="5" applyFont="1"/>
    <xf numFmtId="0" fontId="36" fillId="0" borderId="0" xfId="5" applyFont="1"/>
    <xf numFmtId="166" fontId="36" fillId="0" borderId="0" xfId="1" applyNumberFormat="1" applyFont="1"/>
    <xf numFmtId="166" fontId="36" fillId="0" borderId="0" xfId="5" applyNumberFormat="1" applyFont="1"/>
    <xf numFmtId="0" fontId="31" fillId="0" borderId="0" xfId="0" applyFont="1"/>
    <xf numFmtId="166" fontId="31" fillId="0" borderId="0" xfId="1" applyNumberFormat="1" applyFont="1"/>
    <xf numFmtId="166" fontId="92" fillId="0" borderId="0" xfId="1" applyNumberFormat="1" applyFont="1"/>
    <xf numFmtId="43" fontId="92" fillId="0" borderId="0" xfId="1" applyNumberFormat="1" applyFont="1"/>
    <xf numFmtId="166" fontId="30" fillId="0" borderId="0" xfId="0" applyNumberFormat="1" applyFont="1"/>
    <xf numFmtId="166" fontId="30" fillId="0" borderId="16" xfId="1" applyNumberFormat="1" applyFont="1" applyFill="1" applyBorder="1"/>
    <xf numFmtId="166" fontId="30" fillId="0" borderId="0" xfId="1" applyNumberFormat="1" applyFont="1" applyFill="1" applyBorder="1"/>
    <xf numFmtId="166" fontId="30" fillId="0" borderId="15" xfId="1" applyNumberFormat="1" applyFont="1" applyFill="1" applyBorder="1"/>
    <xf numFmtId="0" fontId="30" fillId="0" borderId="0" xfId="0" applyFont="1" applyAlignment="1">
      <alignment wrapText="1"/>
    </xf>
    <xf numFmtId="17" fontId="95" fillId="0" borderId="0" xfId="0" applyNumberFormat="1" applyFont="1"/>
    <xf numFmtId="0" fontId="95" fillId="0" borderId="0" xfId="0" applyFont="1"/>
    <xf numFmtId="17" fontId="30" fillId="0" borderId="0" xfId="0" applyNumberFormat="1" applyFont="1"/>
    <xf numFmtId="0" fontId="31" fillId="0" borderId="9" xfId="0" applyFont="1" applyBorder="1"/>
    <xf numFmtId="0" fontId="31" fillId="0" borderId="11" xfId="0" applyFont="1" applyBorder="1"/>
    <xf numFmtId="0" fontId="31" fillId="0" borderId="12" xfId="0" applyFont="1" applyBorder="1"/>
    <xf numFmtId="0" fontId="31" fillId="0" borderId="13" xfId="0" applyFont="1" applyFill="1" applyBorder="1"/>
    <xf numFmtId="0" fontId="31" fillId="0" borderId="0" xfId="0" applyFont="1" applyFill="1" applyBorder="1" applyAlignment="1">
      <alignment wrapText="1"/>
    </xf>
    <xf numFmtId="0" fontId="31" fillId="0" borderId="14" xfId="0" applyFont="1" applyFill="1" applyBorder="1" applyAlignment="1">
      <alignment horizontal="center"/>
    </xf>
    <xf numFmtId="0" fontId="31" fillId="0" borderId="15" xfId="0" applyFont="1" applyFill="1" applyBorder="1" applyAlignment="1">
      <alignment horizontal="center"/>
    </xf>
    <xf numFmtId="0" fontId="96" fillId="0" borderId="0" xfId="0" applyFont="1" applyFill="1" applyBorder="1" applyAlignment="1">
      <alignment wrapText="1"/>
    </xf>
    <xf numFmtId="0" fontId="96" fillId="0" borderId="15" xfId="0" applyFont="1" applyFill="1" applyBorder="1" applyAlignment="1">
      <alignment wrapText="1"/>
    </xf>
    <xf numFmtId="0" fontId="31" fillId="0" borderId="16" xfId="0" applyFont="1" applyFill="1" applyBorder="1" applyAlignment="1">
      <alignment wrapText="1"/>
    </xf>
    <xf numFmtId="0" fontId="96" fillId="0" borderId="16" xfId="0" applyFont="1" applyFill="1" applyBorder="1" applyAlignment="1">
      <alignment wrapText="1"/>
    </xf>
    <xf numFmtId="0" fontId="96" fillId="0" borderId="0" xfId="0" applyFont="1" applyFill="1" applyBorder="1" applyAlignment="1">
      <alignment horizontal="center" wrapText="1" readingOrder="1"/>
    </xf>
    <xf numFmtId="0" fontId="30" fillId="0" borderId="13" xfId="0" applyFont="1" applyFill="1" applyBorder="1" applyAlignment="1">
      <alignment wrapText="1"/>
    </xf>
    <xf numFmtId="9" fontId="30" fillId="0" borderId="14" xfId="3" applyFont="1" applyFill="1" applyBorder="1"/>
    <xf numFmtId="9" fontId="30" fillId="0" borderId="14" xfId="0" applyNumberFormat="1" applyFont="1" applyFill="1" applyBorder="1"/>
    <xf numFmtId="9" fontId="30" fillId="0" borderId="15" xfId="0" applyNumberFormat="1" applyFont="1" applyFill="1" applyBorder="1"/>
    <xf numFmtId="9" fontId="31" fillId="0" borderId="16" xfId="3" applyFont="1" applyFill="1" applyBorder="1"/>
    <xf numFmtId="167" fontId="30" fillId="0" borderId="0" xfId="2" applyNumberFormat="1" applyFont="1" applyFill="1" applyBorder="1"/>
    <xf numFmtId="0" fontId="30" fillId="0" borderId="13" xfId="0" applyFont="1" applyFill="1" applyBorder="1"/>
    <xf numFmtId="167" fontId="30" fillId="0" borderId="0" xfId="0" applyNumberFormat="1" applyFont="1" applyFill="1" applyBorder="1"/>
    <xf numFmtId="167" fontId="30" fillId="0" borderId="15" xfId="0" applyNumberFormat="1" applyFont="1" applyFill="1" applyBorder="1"/>
    <xf numFmtId="9" fontId="31" fillId="0" borderId="16" xfId="0" applyNumberFormat="1" applyFont="1" applyFill="1" applyBorder="1"/>
    <xf numFmtId="0" fontId="30" fillId="0" borderId="15" xfId="0" applyFont="1" applyFill="1" applyBorder="1"/>
    <xf numFmtId="0" fontId="30" fillId="0" borderId="17" xfId="0" applyFont="1" applyFill="1" applyBorder="1" applyAlignment="1">
      <alignment horizontal="center"/>
    </xf>
    <xf numFmtId="166" fontId="30" fillId="0" borderId="18" xfId="1" applyNumberFormat="1" applyFont="1" applyFill="1" applyBorder="1"/>
    <xf numFmtId="9" fontId="30" fillId="0" borderId="19" xfId="3" applyFont="1" applyFill="1" applyBorder="1"/>
    <xf numFmtId="9" fontId="30" fillId="0" borderId="20" xfId="3" applyFont="1" applyFill="1" applyBorder="1"/>
    <xf numFmtId="9" fontId="31" fillId="0" borderId="27" xfId="3" applyFont="1" applyFill="1" applyBorder="1"/>
    <xf numFmtId="9" fontId="31" fillId="0" borderId="28" xfId="3" applyFont="1" applyFill="1" applyBorder="1"/>
    <xf numFmtId="9" fontId="31" fillId="0" borderId="26" xfId="3" applyFont="1" applyFill="1" applyBorder="1"/>
    <xf numFmtId="167" fontId="31" fillId="0" borderId="26" xfId="2" applyNumberFormat="1" applyFont="1" applyFill="1" applyBorder="1"/>
    <xf numFmtId="167" fontId="31" fillId="0" borderId="28" xfId="2" applyNumberFormat="1" applyFont="1" applyFill="1" applyBorder="1"/>
    <xf numFmtId="9" fontId="31" fillId="0" borderId="0" xfId="3" applyFont="1" applyFill="1" applyBorder="1"/>
    <xf numFmtId="166" fontId="31" fillId="0" borderId="21" xfId="3" applyNumberFormat="1" applyFont="1" applyFill="1" applyBorder="1"/>
    <xf numFmtId="166" fontId="31" fillId="0" borderId="23" xfId="1" applyNumberFormat="1" applyFont="1" applyFill="1" applyBorder="1"/>
    <xf numFmtId="0" fontId="30" fillId="0" borderId="13" xfId="0" applyFont="1" applyFill="1" applyBorder="1" applyAlignment="1">
      <alignment horizontal="left"/>
    </xf>
    <xf numFmtId="0" fontId="30" fillId="0" borderId="12" xfId="0" applyFont="1" applyFill="1" applyBorder="1"/>
    <xf numFmtId="0" fontId="30" fillId="0" borderId="9" xfId="0" applyFont="1" applyFill="1" applyBorder="1"/>
    <xf numFmtId="0" fontId="30" fillId="0" borderId="11" xfId="0" applyFont="1" applyFill="1" applyBorder="1"/>
    <xf numFmtId="1" fontId="30" fillId="0" borderId="0" xfId="0" applyNumberFormat="1" applyFont="1" applyFill="1"/>
    <xf numFmtId="0" fontId="31" fillId="0" borderId="17" xfId="0" applyFont="1" applyFill="1" applyBorder="1" applyAlignment="1">
      <alignment horizontal="center"/>
    </xf>
    <xf numFmtId="9" fontId="31" fillId="0" borderId="19" xfId="3" applyFont="1" applyFill="1" applyBorder="1"/>
    <xf numFmtId="9" fontId="31" fillId="0" borderId="20" xfId="0" applyNumberFormat="1" applyFont="1" applyFill="1" applyBorder="1"/>
    <xf numFmtId="9" fontId="30" fillId="0" borderId="12" xfId="3" applyFont="1" applyFill="1" applyBorder="1"/>
    <xf numFmtId="9" fontId="30" fillId="0" borderId="11" xfId="3" applyFont="1" applyFill="1" applyBorder="1"/>
    <xf numFmtId="166" fontId="31" fillId="0" borderId="0" xfId="1" applyNumberFormat="1" applyFont="1" applyFill="1" applyBorder="1"/>
    <xf numFmtId="9" fontId="31" fillId="0" borderId="14" xfId="3" applyFont="1" applyFill="1" applyBorder="1"/>
    <xf numFmtId="9" fontId="31" fillId="0" borderId="15" xfId="0" applyNumberFormat="1" applyFont="1" applyFill="1" applyBorder="1"/>
    <xf numFmtId="9" fontId="31" fillId="0" borderId="0" xfId="0" applyNumberFormat="1" applyFont="1" applyFill="1" applyBorder="1"/>
    <xf numFmtId="166" fontId="30" fillId="0" borderId="22" xfId="1" applyNumberFormat="1" applyFont="1" applyFill="1" applyBorder="1"/>
    <xf numFmtId="9" fontId="31" fillId="0" borderId="25" xfId="3" applyFont="1" applyFill="1" applyBorder="1"/>
    <xf numFmtId="9" fontId="31" fillId="0" borderId="23" xfId="3" applyFont="1" applyFill="1" applyBorder="1"/>
    <xf numFmtId="9" fontId="31" fillId="0" borderId="21" xfId="3" applyFont="1" applyFill="1" applyBorder="1"/>
    <xf numFmtId="9" fontId="31" fillId="0" borderId="22" xfId="3" applyFont="1" applyFill="1" applyBorder="1"/>
    <xf numFmtId="166" fontId="31" fillId="0" borderId="21" xfId="0" applyNumberFormat="1" applyFont="1" applyFill="1" applyBorder="1"/>
    <xf numFmtId="166" fontId="31" fillId="0" borderId="23" xfId="0" applyNumberFormat="1" applyFont="1" applyFill="1" applyBorder="1"/>
    <xf numFmtId="166" fontId="30" fillId="0" borderId="0" xfId="1" applyNumberFormat="1" applyFont="1" applyFill="1"/>
    <xf numFmtId="9" fontId="30" fillId="0" borderId="0" xfId="3" applyFont="1" applyFill="1"/>
    <xf numFmtId="9" fontId="31" fillId="0" borderId="0" xfId="3" applyFont="1" applyFill="1"/>
    <xf numFmtId="166" fontId="30" fillId="0" borderId="21" xfId="1" applyNumberFormat="1" applyFont="1" applyFill="1" applyBorder="1"/>
    <xf numFmtId="166" fontId="30" fillId="0" borderId="23" xfId="1" applyNumberFormat="1" applyFont="1" applyFill="1" applyBorder="1"/>
    <xf numFmtId="9" fontId="31" fillId="0" borderId="15" xfId="3" applyFont="1" applyFill="1" applyBorder="1"/>
    <xf numFmtId="0" fontId="98" fillId="0" borderId="26" xfId="0" applyFont="1" applyFill="1" applyBorder="1"/>
    <xf numFmtId="166" fontId="97" fillId="0" borderId="27" xfId="0" applyNumberFormat="1" applyFont="1" applyFill="1" applyBorder="1"/>
    <xf numFmtId="9" fontId="97" fillId="0" borderId="27" xfId="3" applyFont="1" applyFill="1" applyBorder="1"/>
    <xf numFmtId="166" fontId="31" fillId="0" borderId="0" xfId="0" applyNumberFormat="1" applyFont="1" applyFill="1"/>
    <xf numFmtId="0" fontId="31" fillId="0" borderId="8" xfId="0" applyFont="1" applyBorder="1"/>
    <xf numFmtId="0" fontId="31" fillId="0" borderId="0" xfId="0" applyFont="1" applyBorder="1"/>
    <xf numFmtId="0" fontId="31" fillId="0" borderId="13" xfId="0" applyFont="1" applyBorder="1"/>
    <xf numFmtId="0" fontId="31" fillId="0" borderId="16" xfId="0" applyFont="1" applyBorder="1" applyAlignment="1">
      <alignment wrapText="1"/>
    </xf>
    <xf numFmtId="0" fontId="96" fillId="0" borderId="0" xfId="0" applyFont="1" applyBorder="1" applyAlignment="1">
      <alignment wrapText="1"/>
    </xf>
    <xf numFmtId="0" fontId="96" fillId="0" borderId="15" xfId="0" applyFont="1" applyBorder="1" applyAlignment="1">
      <alignment wrapText="1"/>
    </xf>
    <xf numFmtId="0" fontId="96" fillId="0" borderId="16" xfId="0" applyFont="1" applyBorder="1" applyAlignment="1">
      <alignment wrapText="1"/>
    </xf>
    <xf numFmtId="0" fontId="31" fillId="0" borderId="9" xfId="0" applyFont="1" applyBorder="1" applyAlignment="1">
      <alignment wrapText="1"/>
    </xf>
    <xf numFmtId="0" fontId="30" fillId="0" borderId="13" xfId="0" applyFont="1" applyBorder="1" applyAlignment="1">
      <alignment wrapText="1"/>
    </xf>
    <xf numFmtId="9" fontId="30" fillId="0" borderId="15" xfId="0" applyNumberFormat="1" applyFont="1" applyBorder="1"/>
    <xf numFmtId="167" fontId="30" fillId="0" borderId="16" xfId="2" applyNumberFormat="1" applyFont="1" applyBorder="1"/>
    <xf numFmtId="167" fontId="30" fillId="0" borderId="0" xfId="2" applyNumberFormat="1" applyFont="1" applyBorder="1"/>
    <xf numFmtId="167" fontId="30" fillId="0" borderId="15" xfId="2" applyNumberFormat="1" applyFont="1" applyBorder="1"/>
    <xf numFmtId="0" fontId="30" fillId="0" borderId="15" xfId="0" applyFont="1" applyBorder="1"/>
    <xf numFmtId="0" fontId="30" fillId="0" borderId="13" xfId="0" applyFont="1" applyBorder="1"/>
    <xf numFmtId="167" fontId="30" fillId="0" borderId="0" xfId="0" applyNumberFormat="1" applyFont="1" applyBorder="1"/>
    <xf numFmtId="167" fontId="30" fillId="0" borderId="15" xfId="0" applyNumberFormat="1" applyFont="1" applyBorder="1"/>
    <xf numFmtId="9" fontId="30" fillId="0" borderId="16" xfId="0" applyNumberFormat="1" applyFont="1" applyBorder="1"/>
    <xf numFmtId="0" fontId="30" fillId="0" borderId="16" xfId="0" applyFont="1" applyBorder="1"/>
    <xf numFmtId="167" fontId="30" fillId="0" borderId="16" xfId="0" applyNumberFormat="1" applyFont="1" applyBorder="1"/>
    <xf numFmtId="0" fontId="30" fillId="0" borderId="17" xfId="0" applyFont="1" applyBorder="1" applyAlignment="1">
      <alignment horizontal="center"/>
    </xf>
    <xf numFmtId="166" fontId="30" fillId="0" borderId="18" xfId="1" applyNumberFormat="1" applyFont="1" applyBorder="1"/>
    <xf numFmtId="9" fontId="30" fillId="0" borderId="20" xfId="3" applyFont="1" applyBorder="1"/>
    <xf numFmtId="9" fontId="30" fillId="0" borderId="83" xfId="3" applyFont="1" applyFill="1" applyBorder="1"/>
    <xf numFmtId="9" fontId="30" fillId="0" borderId="83" xfId="3" applyFont="1" applyBorder="1"/>
    <xf numFmtId="9" fontId="30" fillId="0" borderId="84" xfId="3" applyFont="1" applyBorder="1"/>
    <xf numFmtId="9" fontId="31" fillId="0" borderId="21" xfId="3" applyFont="1" applyBorder="1"/>
    <xf numFmtId="9" fontId="31" fillId="0" borderId="22" xfId="3" applyFont="1" applyBorder="1"/>
    <xf numFmtId="9" fontId="31" fillId="0" borderId="23" xfId="3" applyFont="1" applyBorder="1"/>
    <xf numFmtId="167" fontId="31" fillId="0" borderId="21" xfId="2" applyNumberFormat="1" applyFont="1" applyBorder="1"/>
    <xf numFmtId="167" fontId="31" fillId="0" borderId="22" xfId="2" applyNumberFormat="1" applyFont="1" applyBorder="1"/>
    <xf numFmtId="167" fontId="31" fillId="0" borderId="23" xfId="2" applyNumberFormat="1" applyFont="1" applyBorder="1"/>
    <xf numFmtId="167" fontId="31" fillId="0" borderId="0" xfId="2" applyNumberFormat="1" applyFont="1" applyBorder="1"/>
    <xf numFmtId="166" fontId="31" fillId="0" borderId="21" xfId="3" applyNumberFormat="1" applyFont="1" applyBorder="1"/>
    <xf numFmtId="166" fontId="31" fillId="0" borderId="22" xfId="1" applyNumberFormat="1" applyFont="1" applyBorder="1"/>
    <xf numFmtId="166" fontId="31" fillId="0" borderId="23" xfId="1" applyNumberFormat="1" applyFont="1" applyBorder="1"/>
    <xf numFmtId="166" fontId="31" fillId="0" borderId="27" xfId="1" applyNumberFormat="1" applyFont="1" applyBorder="1"/>
    <xf numFmtId="9" fontId="31" fillId="0" borderId="28" xfId="3" applyFont="1" applyBorder="1"/>
    <xf numFmtId="0" fontId="30" fillId="0" borderId="13" xfId="0" applyFont="1" applyBorder="1" applyAlignment="1">
      <alignment horizontal="left"/>
    </xf>
    <xf numFmtId="9" fontId="30" fillId="0" borderId="15" xfId="3" applyFont="1" applyBorder="1"/>
    <xf numFmtId="9" fontId="30" fillId="0" borderId="9" xfId="3" applyFont="1" applyBorder="1"/>
    <xf numFmtId="9" fontId="30" fillId="0" borderId="11" xfId="3" applyFont="1" applyBorder="1"/>
    <xf numFmtId="9" fontId="31" fillId="0" borderId="0" xfId="3" applyFont="1" applyBorder="1"/>
    <xf numFmtId="0" fontId="30" fillId="0" borderId="12" xfId="0" applyFont="1" applyBorder="1"/>
    <xf numFmtId="0" fontId="30" fillId="0" borderId="9" xfId="0" applyFont="1" applyBorder="1"/>
    <xf numFmtId="0" fontId="30" fillId="0" borderId="11" xfId="0" applyFont="1" applyBorder="1"/>
    <xf numFmtId="9" fontId="30" fillId="0" borderId="0" xfId="3" applyFont="1" applyBorder="1"/>
    <xf numFmtId="0" fontId="31" fillId="0" borderId="17" xfId="0" applyFont="1" applyBorder="1" applyAlignment="1">
      <alignment horizontal="center"/>
    </xf>
    <xf numFmtId="9" fontId="30" fillId="0" borderId="79" xfId="3" applyFont="1" applyFill="1" applyBorder="1"/>
    <xf numFmtId="9" fontId="30" fillId="0" borderId="79" xfId="3" applyFont="1" applyBorder="1"/>
    <xf numFmtId="9" fontId="30" fillId="0" borderId="80" xfId="3" applyFont="1" applyBorder="1"/>
    <xf numFmtId="166" fontId="31" fillId="0" borderId="21" xfId="1" applyNumberFormat="1" applyFont="1" applyBorder="1"/>
    <xf numFmtId="166" fontId="31" fillId="0" borderId="0" xfId="1" applyNumberFormat="1" applyFont="1" applyBorder="1"/>
    <xf numFmtId="9" fontId="31" fillId="0" borderId="14" xfId="3" applyFont="1" applyBorder="1"/>
    <xf numFmtId="9" fontId="31" fillId="0" borderId="12" xfId="0" applyNumberFormat="1" applyFont="1" applyFill="1" applyBorder="1"/>
    <xf numFmtId="9" fontId="31" fillId="0" borderId="9" xfId="0" applyNumberFormat="1" applyFont="1" applyFill="1" applyBorder="1"/>
    <xf numFmtId="9" fontId="31" fillId="0" borderId="11" xfId="0" applyNumberFormat="1" applyFont="1" applyFill="1" applyBorder="1"/>
    <xf numFmtId="166" fontId="30" fillId="0" borderId="22" xfId="1" applyNumberFormat="1" applyFont="1" applyBorder="1"/>
    <xf numFmtId="9" fontId="31" fillId="0" borderId="25" xfId="3" applyFont="1" applyBorder="1"/>
    <xf numFmtId="0" fontId="30" fillId="0" borderId="21" xfId="0" applyFont="1" applyBorder="1"/>
    <xf numFmtId="0" fontId="30" fillId="0" borderId="22" xfId="0" applyFont="1" applyBorder="1"/>
    <xf numFmtId="0" fontId="30" fillId="0" borderId="23" xfId="0" applyFont="1" applyBorder="1"/>
    <xf numFmtId="166" fontId="30" fillId="0" borderId="16" xfId="1" applyNumberFormat="1" applyFont="1" applyBorder="1"/>
    <xf numFmtId="166" fontId="30" fillId="0" borderId="15" xfId="1" applyNumberFormat="1" applyFont="1" applyBorder="1"/>
    <xf numFmtId="166" fontId="30" fillId="0" borderId="21" xfId="1" applyNumberFormat="1" applyFont="1" applyBorder="1"/>
    <xf numFmtId="166" fontId="30" fillId="0" borderId="23" xfId="1" applyNumberFormat="1" applyFont="1" applyBorder="1"/>
    <xf numFmtId="0" fontId="31" fillId="0" borderId="16" xfId="0" applyFont="1" applyBorder="1"/>
    <xf numFmtId="9" fontId="97" fillId="0" borderId="28" xfId="3" applyFont="1" applyFill="1" applyBorder="1"/>
    <xf numFmtId="9" fontId="97" fillId="0" borderId="0" xfId="3" applyFont="1" applyFill="1" applyBorder="1"/>
    <xf numFmtId="0" fontId="31" fillId="0" borderId="21" xfId="0" applyFont="1" applyBorder="1"/>
    <xf numFmtId="166" fontId="31" fillId="0" borderId="22" xfId="0" applyNumberFormat="1" applyFont="1" applyBorder="1"/>
    <xf numFmtId="0" fontId="36" fillId="0" borderId="0" xfId="461" applyFont="1"/>
    <xf numFmtId="0" fontId="36" fillId="0" borderId="0" xfId="461" applyFont="1" applyFill="1" applyAlignment="1">
      <alignment horizontal="left"/>
    </xf>
    <xf numFmtId="0" fontId="0" fillId="0" borderId="0" xfId="0"/>
    <xf numFmtId="0" fontId="32" fillId="0" borderId="29" xfId="0" applyFont="1" applyFill="1" applyBorder="1" applyAlignment="1">
      <alignment horizontal="center" vertical="center" wrapText="1"/>
    </xf>
    <xf numFmtId="0" fontId="92" fillId="0" borderId="0" xfId="461" applyFont="1" applyFill="1" applyAlignment="1">
      <alignment horizontal="left"/>
    </xf>
    <xf numFmtId="0" fontId="92" fillId="0" borderId="0" xfId="461" applyFont="1"/>
    <xf numFmtId="0" fontId="92" fillId="0" borderId="0" xfId="461" applyFont="1" applyFill="1"/>
    <xf numFmtId="0" fontId="92" fillId="111" borderId="0" xfId="461" applyFont="1" applyFill="1"/>
    <xf numFmtId="43" fontId="36" fillId="111" borderId="0" xfId="1" applyFont="1" applyFill="1"/>
    <xf numFmtId="0" fontId="36" fillId="111" borderId="0" xfId="461" applyFont="1" applyFill="1"/>
    <xf numFmtId="3" fontId="36" fillId="0" borderId="0" xfId="461" applyNumberFormat="1" applyFont="1" applyFill="1" applyAlignment="1">
      <alignment horizontal="left"/>
    </xf>
    <xf numFmtId="43" fontId="36" fillId="0" borderId="0" xfId="461" applyNumberFormat="1" applyFont="1"/>
    <xf numFmtId="43" fontId="36" fillId="111" borderId="0" xfId="461" applyNumberFormat="1" applyFont="1" applyFill="1"/>
    <xf numFmtId="0" fontId="36" fillId="0" borderId="0" xfId="461" applyFont="1" applyFill="1"/>
    <xf numFmtId="0" fontId="37" fillId="0" borderId="50" xfId="0" applyFont="1" applyFill="1" applyBorder="1" applyAlignment="1">
      <alignment horizontal="left" vertical="top"/>
    </xf>
    <xf numFmtId="168" fontId="37" fillId="21" borderId="52" xfId="0" applyNumberFormat="1" applyFont="1" applyFill="1" applyBorder="1" applyAlignment="1">
      <alignment horizontal="right" vertical="top"/>
    </xf>
    <xf numFmtId="168" fontId="37" fillId="0" borderId="49" xfId="0" applyNumberFormat="1" applyFont="1" applyFill="1" applyBorder="1" applyAlignment="1">
      <alignment horizontal="right" vertical="top"/>
    </xf>
    <xf numFmtId="169" fontId="37" fillId="0" borderId="49" xfId="0" applyNumberFormat="1" applyFont="1" applyFill="1" applyBorder="1" applyAlignment="1">
      <alignment horizontal="right" vertical="top"/>
    </xf>
    <xf numFmtId="169" fontId="37" fillId="0" borderId="50" xfId="0" applyNumberFormat="1" applyFont="1" applyFill="1" applyBorder="1" applyAlignment="1">
      <alignment horizontal="right" vertical="top"/>
    </xf>
    <xf numFmtId="168" fontId="37" fillId="0" borderId="52" xfId="0" applyNumberFormat="1" applyFont="1" applyFill="1" applyBorder="1" applyAlignment="1">
      <alignment horizontal="right" vertical="top"/>
    </xf>
    <xf numFmtId="168" fontId="37" fillId="21" borderId="49" xfId="0" applyNumberFormat="1" applyFont="1" applyFill="1" applyBorder="1" applyAlignment="1">
      <alignment horizontal="right" vertical="top"/>
    </xf>
    <xf numFmtId="168" fontId="37" fillId="0" borderId="87" xfId="0" applyNumberFormat="1" applyFont="1" applyFill="1" applyBorder="1" applyAlignment="1">
      <alignment horizontal="right" vertical="top"/>
    </xf>
    <xf numFmtId="168" fontId="37" fillId="21" borderId="87" xfId="0" applyNumberFormat="1" applyFont="1" applyFill="1" applyBorder="1" applyAlignment="1">
      <alignment horizontal="right" vertical="top"/>
    </xf>
    <xf numFmtId="0" fontId="37" fillId="0" borderId="38" xfId="0" applyFont="1" applyFill="1" applyBorder="1" applyAlignment="1">
      <alignment horizontal="left" vertical="top"/>
    </xf>
    <xf numFmtId="168" fontId="38" fillId="21" borderId="40" xfId="0" applyNumberFormat="1" applyFont="1" applyFill="1" applyBorder="1" applyAlignment="1">
      <alignment horizontal="right" vertical="top"/>
    </xf>
    <xf numFmtId="168" fontId="38" fillId="0" borderId="37" xfId="0" applyNumberFormat="1" applyFont="1" applyFill="1" applyBorder="1" applyAlignment="1">
      <alignment horizontal="right" vertical="top"/>
    </xf>
    <xf numFmtId="169" fontId="37" fillId="0" borderId="37" xfId="0" applyNumberFormat="1" applyFont="1" applyFill="1" applyBorder="1" applyAlignment="1">
      <alignment horizontal="right" vertical="top"/>
    </xf>
    <xf numFmtId="169" fontId="37" fillId="0" borderId="38" xfId="0" applyNumberFormat="1" applyFont="1" applyFill="1" applyBorder="1" applyAlignment="1">
      <alignment horizontal="right" vertical="top"/>
    </xf>
    <xf numFmtId="168" fontId="38" fillId="0" borderId="40" xfId="0" applyNumberFormat="1" applyFont="1" applyFill="1" applyBorder="1" applyAlignment="1">
      <alignment horizontal="right" vertical="top"/>
    </xf>
    <xf numFmtId="168" fontId="37" fillId="0" borderId="37" xfId="0" applyNumberFormat="1" applyFont="1" applyFill="1" applyBorder="1" applyAlignment="1">
      <alignment horizontal="right" vertical="top"/>
    </xf>
    <xf numFmtId="168" fontId="38" fillId="21" borderId="37" xfId="0" applyNumberFormat="1" applyFont="1" applyFill="1" applyBorder="1" applyAlignment="1">
      <alignment horizontal="right" vertical="top"/>
    </xf>
    <xf numFmtId="168" fontId="38" fillId="0" borderId="88" xfId="0" applyNumberFormat="1" applyFont="1" applyFill="1" applyBorder="1" applyAlignment="1">
      <alignment horizontal="right" vertical="top"/>
    </xf>
    <xf numFmtId="168" fontId="38" fillId="21" borderId="88" xfId="0" applyNumberFormat="1" applyFont="1" applyFill="1" applyBorder="1" applyAlignment="1">
      <alignment horizontal="right" vertical="top"/>
    </xf>
    <xf numFmtId="176" fontId="30" fillId="0" borderId="0" xfId="0" applyNumberFormat="1" applyFont="1" applyFill="1"/>
    <xf numFmtId="9" fontId="31" fillId="0" borderId="24" xfId="0" applyNumberFormat="1" applyFont="1" applyFill="1" applyBorder="1"/>
    <xf numFmtId="9" fontId="31" fillId="0" borderId="13" xfId="0" applyNumberFormat="1" applyFont="1" applyFill="1" applyBorder="1"/>
    <xf numFmtId="9" fontId="31" fillId="0" borderId="89" xfId="3" applyFont="1" applyFill="1" applyBorder="1"/>
    <xf numFmtId="166" fontId="92" fillId="0" borderId="0" xfId="1" applyNumberFormat="1" applyFont="1" applyFill="1"/>
    <xf numFmtId="43" fontId="30" fillId="0" borderId="16" xfId="1" applyFont="1" applyBorder="1"/>
    <xf numFmtId="43" fontId="30" fillId="0" borderId="22" xfId="1" applyFont="1" applyFill="1" applyBorder="1"/>
    <xf numFmtId="43" fontId="0" fillId="0" borderId="0" xfId="1" applyFont="1" applyFill="1" applyBorder="1"/>
    <xf numFmtId="43" fontId="36" fillId="0" borderId="0" xfId="633" applyNumberFormat="1" applyFont="1"/>
    <xf numFmtId="168" fontId="27" fillId="0" borderId="0" xfId="5" applyNumberFormat="1"/>
    <xf numFmtId="0" fontId="31" fillId="0" borderId="11" xfId="0" applyFont="1" applyBorder="1" applyAlignment="1">
      <alignment horizontal="center"/>
    </xf>
    <xf numFmtId="0" fontId="88" fillId="15" borderId="0" xfId="695" applyFont="1" applyFill="1"/>
    <xf numFmtId="0" fontId="19" fillId="0" borderId="0" xfId="695"/>
    <xf numFmtId="166" fontId="0" fillId="0" borderId="0" xfId="7" applyNumberFormat="1" applyFont="1"/>
    <xf numFmtId="9" fontId="0" fillId="0" borderId="0" xfId="421" applyFont="1"/>
    <xf numFmtId="177" fontId="0" fillId="0" borderId="0" xfId="421" applyNumberFormat="1" applyFont="1"/>
    <xf numFmtId="9" fontId="0" fillId="0" borderId="15" xfId="696" applyFont="1" applyBorder="1"/>
    <xf numFmtId="166" fontId="19" fillId="0" borderId="0" xfId="695" applyNumberFormat="1"/>
    <xf numFmtId="9" fontId="0" fillId="0" borderId="0" xfId="696" applyNumberFormat="1" applyFont="1"/>
    <xf numFmtId="166" fontId="0" fillId="0" borderId="0" xfId="7" applyNumberFormat="1" applyFont="1" applyAlignment="1">
      <alignment horizontal="right"/>
    </xf>
    <xf numFmtId="0" fontId="102" fillId="0" borderId="0" xfId="695" applyFont="1" applyBorder="1"/>
    <xf numFmtId="0" fontId="103" fillId="0" borderId="0" xfId="695" applyFont="1" applyBorder="1"/>
    <xf numFmtId="166" fontId="0" fillId="15" borderId="0" xfId="1" applyNumberFormat="1" applyFont="1" applyFill="1"/>
    <xf numFmtId="0" fontId="29" fillId="0" borderId="12" xfId="0" applyFont="1" applyBorder="1"/>
    <xf numFmtId="0" fontId="0" fillId="0" borderId="9" xfId="0" applyBorder="1"/>
    <xf numFmtId="0" fontId="0" fillId="0" borderId="16" xfId="0" applyBorder="1"/>
    <xf numFmtId="0" fontId="0" fillId="0" borderId="0" xfId="0" applyBorder="1"/>
    <xf numFmtId="1" fontId="0" fillId="0" borderId="0" xfId="0" applyNumberFormat="1" applyBorder="1"/>
    <xf numFmtId="166" fontId="0" fillId="112" borderId="0" xfId="1" applyNumberFormat="1" applyFont="1" applyFill="1" applyBorder="1"/>
    <xf numFmtId="166" fontId="0" fillId="79" borderId="0" xfId="1" applyNumberFormat="1" applyFont="1" applyFill="1" applyBorder="1"/>
    <xf numFmtId="0" fontId="0" fillId="0" borderId="16" xfId="0" quotePrefix="1" applyBorder="1"/>
    <xf numFmtId="0" fontId="0" fillId="0" borderId="21" xfId="0" quotePrefix="1" applyBorder="1"/>
    <xf numFmtId="0" fontId="0" fillId="0" borderId="22" xfId="0" applyBorder="1"/>
    <xf numFmtId="166" fontId="0" fillId="112" borderId="22" xfId="1" applyNumberFormat="1" applyFont="1" applyFill="1" applyBorder="1"/>
    <xf numFmtId="170" fontId="0" fillId="0" borderId="0" xfId="1" applyNumberFormat="1" applyFont="1"/>
    <xf numFmtId="9" fontId="0" fillId="79" borderId="0" xfId="3" applyFont="1" applyFill="1" applyBorder="1"/>
    <xf numFmtId="9" fontId="0" fillId="112" borderId="0" xfId="3" applyFont="1" applyFill="1" applyBorder="1"/>
    <xf numFmtId="170" fontId="0" fillId="0" borderId="0" xfId="0" applyNumberFormat="1"/>
    <xf numFmtId="0" fontId="0" fillId="0" borderId="8" xfId="0" applyBorder="1"/>
    <xf numFmtId="0" fontId="0" fillId="0" borderId="13" xfId="0" applyBorder="1"/>
    <xf numFmtId="9" fontId="0" fillId="112" borderId="13" xfId="0" applyNumberFormat="1" applyFill="1" applyBorder="1"/>
    <xf numFmtId="9" fontId="0" fillId="113" borderId="13" xfId="0" applyNumberFormat="1" applyFill="1" applyBorder="1"/>
    <xf numFmtId="9" fontId="0" fillId="112" borderId="24" xfId="0" applyNumberFormat="1" applyFill="1" applyBorder="1"/>
    <xf numFmtId="43" fontId="0" fillId="0" borderId="0" xfId="0" applyNumberFormat="1"/>
    <xf numFmtId="9" fontId="0" fillId="79" borderId="13" xfId="0" applyNumberFormat="1" applyFill="1" applyBorder="1"/>
    <xf numFmtId="176" fontId="36" fillId="0" borderId="0" xfId="2" applyNumberFormat="1" applyFont="1"/>
    <xf numFmtId="0" fontId="0" fillId="0" borderId="0" xfId="0" applyAlignment="1">
      <alignment horizontal="right"/>
    </xf>
    <xf numFmtId="0" fontId="30" fillId="0" borderId="0" xfId="0" applyFont="1" applyAlignment="1">
      <alignment horizontal="right"/>
    </xf>
    <xf numFmtId="9" fontId="30" fillId="15" borderId="0" xfId="3" applyFont="1" applyFill="1" applyBorder="1"/>
    <xf numFmtId="0" fontId="30" fillId="15" borderId="0" xfId="0" applyFont="1" applyFill="1" applyBorder="1"/>
    <xf numFmtId="9" fontId="31" fillId="15" borderId="0" xfId="3" applyFont="1" applyFill="1" applyBorder="1"/>
    <xf numFmtId="9" fontId="31" fillId="15" borderId="0" xfId="3" applyNumberFormat="1" applyFont="1" applyFill="1"/>
    <xf numFmtId="170" fontId="36" fillId="0" borderId="0" xfId="1" applyNumberFormat="1" applyFont="1"/>
    <xf numFmtId="9" fontId="36" fillId="0" borderId="0" xfId="3" applyFont="1"/>
    <xf numFmtId="176" fontId="36" fillId="0" borderId="9" xfId="2" applyNumberFormat="1" applyFont="1" applyBorder="1"/>
    <xf numFmtId="170" fontId="36" fillId="0" borderId="9" xfId="1" applyNumberFormat="1" applyFont="1" applyBorder="1"/>
    <xf numFmtId="9" fontId="36" fillId="0" borderId="9" xfId="3" applyFont="1" applyBorder="1"/>
    <xf numFmtId="9" fontId="36" fillId="0" borderId="11" xfId="3" applyFont="1" applyBorder="1"/>
    <xf numFmtId="176" fontId="36" fillId="0" borderId="0" xfId="2" applyNumberFormat="1" applyFont="1" applyBorder="1"/>
    <xf numFmtId="170" fontId="36" fillId="0" borderId="0" xfId="1" applyNumberFormat="1" applyFont="1" applyBorder="1"/>
    <xf numFmtId="9" fontId="36" fillId="0" borderId="0" xfId="3" applyFont="1" applyBorder="1"/>
    <xf numFmtId="9" fontId="36" fillId="0" borderId="15" xfId="3" applyFont="1" applyBorder="1"/>
    <xf numFmtId="176" fontId="36" fillId="0" borderId="22" xfId="2" applyNumberFormat="1" applyFont="1" applyBorder="1"/>
    <xf numFmtId="170" fontId="36" fillId="0" borderId="22" xfId="1" applyNumberFormat="1" applyFont="1" applyBorder="1"/>
    <xf numFmtId="9" fontId="36" fillId="0" borderId="22" xfId="3" applyFont="1" applyBorder="1"/>
    <xf numFmtId="9" fontId="36" fillId="0" borderId="23" xfId="3" applyFont="1" applyBorder="1"/>
    <xf numFmtId="9" fontId="30" fillId="0" borderId="19" xfId="3" applyNumberFormat="1" applyFont="1" applyFill="1" applyBorder="1"/>
    <xf numFmtId="9" fontId="30" fillId="0" borderId="14" xfId="3" applyNumberFormat="1" applyFont="1" applyFill="1" applyBorder="1"/>
    <xf numFmtId="9" fontId="31" fillId="0" borderId="19" xfId="3" applyNumberFormat="1" applyFont="1" applyFill="1" applyBorder="1"/>
    <xf numFmtId="0" fontId="32" fillId="0" borderId="0" xfId="0" applyFont="1" applyFill="1" applyBorder="1" applyAlignment="1">
      <alignment horizontal="center" vertical="center" wrapText="1"/>
    </xf>
    <xf numFmtId="169" fontId="33" fillId="0" borderId="0" xfId="0" applyNumberFormat="1" applyFont="1" applyFill="1" applyBorder="1" applyAlignment="1">
      <alignment horizontal="right" vertical="top"/>
    </xf>
    <xf numFmtId="169" fontId="32" fillId="0" borderId="0" xfId="0" applyNumberFormat="1" applyFont="1" applyFill="1" applyBorder="1" applyAlignment="1">
      <alignment horizontal="right" vertical="top"/>
    </xf>
    <xf numFmtId="17" fontId="95" fillId="0" borderId="8" xfId="0" applyNumberFormat="1" applyFont="1" applyBorder="1" applyAlignment="1">
      <alignment horizontal="center"/>
    </xf>
    <xf numFmtId="166" fontId="30" fillId="0" borderId="0" xfId="0" applyNumberFormat="1" applyFont="1" applyFill="1"/>
    <xf numFmtId="44" fontId="30" fillId="0" borderId="0" xfId="2" applyFont="1" applyFill="1"/>
    <xf numFmtId="166" fontId="36" fillId="0" borderId="0" xfId="634" applyNumberFormat="1" applyFont="1" applyFill="1" applyBorder="1"/>
    <xf numFmtId="0" fontId="106" fillId="0" borderId="9" xfId="0" applyFont="1" applyBorder="1" applyAlignment="1">
      <alignment horizontal="center" wrapText="1"/>
    </xf>
    <xf numFmtId="0" fontId="106" fillId="0" borderId="11" xfId="0" applyFont="1" applyBorder="1" applyAlignment="1">
      <alignment horizontal="center" wrapText="1"/>
    </xf>
    <xf numFmtId="0" fontId="106" fillId="0" borderId="12" xfId="0" applyFont="1" applyBorder="1" applyAlignment="1">
      <alignment horizontal="center" wrapText="1"/>
    </xf>
    <xf numFmtId="8" fontId="30" fillId="0" borderId="16" xfId="0" applyNumberFormat="1" applyFont="1" applyFill="1" applyBorder="1"/>
    <xf numFmtId="0" fontId="99" fillId="0" borderId="9" xfId="0" applyFont="1" applyFill="1" applyBorder="1" applyAlignment="1"/>
    <xf numFmtId="166" fontId="0" fillId="0" borderId="0" xfId="1" applyNumberFormat="1" applyFont="1" applyFill="1"/>
    <xf numFmtId="0" fontId="107" fillId="0" borderId="0" xfId="0" applyFont="1"/>
    <xf numFmtId="0" fontId="107" fillId="0" borderId="0" xfId="0" applyFont="1" applyAlignment="1">
      <alignment horizontal="center"/>
    </xf>
    <xf numFmtId="0" fontId="0" fillId="0" borderId="9" xfId="1" applyNumberFormat="1" applyFont="1" applyBorder="1" applyAlignment="1">
      <alignment horizontal="center"/>
    </xf>
    <xf numFmtId="0" fontId="0" fillId="0" borderId="11" xfId="1" applyNumberFormat="1" applyFont="1" applyBorder="1" applyAlignment="1">
      <alignment horizontal="center"/>
    </xf>
    <xf numFmtId="168" fontId="105" fillId="0" borderId="0" xfId="1298" applyNumberFormat="1"/>
    <xf numFmtId="0" fontId="0" fillId="0" borderId="0" xfId="0" applyAlignment="1">
      <alignment wrapText="1"/>
    </xf>
    <xf numFmtId="1" fontId="0" fillId="0" borderId="0" xfId="3" applyNumberFormat="1" applyFont="1"/>
    <xf numFmtId="168" fontId="30" fillId="0" borderId="0" xfId="0" applyNumberFormat="1" applyFont="1"/>
    <xf numFmtId="168" fontId="109" fillId="0" borderId="0" xfId="1298" applyNumberFormat="1" applyFont="1"/>
    <xf numFmtId="1" fontId="30" fillId="0" borderId="0" xfId="0" applyNumberFormat="1" applyFont="1"/>
    <xf numFmtId="168" fontId="36" fillId="0" borderId="0" xfId="5" applyNumberFormat="1" applyFont="1"/>
    <xf numFmtId="3" fontId="36" fillId="0" borderId="0" xfId="5" applyNumberFormat="1" applyFont="1"/>
    <xf numFmtId="17" fontId="95" fillId="15" borderId="0" xfId="0" applyNumberFormat="1" applyFont="1" applyFill="1"/>
    <xf numFmtId="43" fontId="30" fillId="0" borderId="0" xfId="1" applyFont="1" applyFill="1" applyAlignment="1">
      <alignment horizontal="right"/>
    </xf>
    <xf numFmtId="43" fontId="104" fillId="15" borderId="0" xfId="1" applyFont="1" applyFill="1" applyBorder="1" applyAlignment="1">
      <alignment horizontal="right" vertical="top"/>
    </xf>
    <xf numFmtId="43" fontId="36" fillId="15" borderId="0" xfId="1" applyFont="1" applyFill="1"/>
    <xf numFmtId="43" fontId="104" fillId="15" borderId="90" xfId="1" applyFont="1" applyFill="1" applyBorder="1" applyAlignment="1">
      <alignment horizontal="right" vertical="top"/>
    </xf>
    <xf numFmtId="43" fontId="33" fillId="15" borderId="0" xfId="1" applyFont="1" applyFill="1" applyBorder="1" applyAlignment="1">
      <alignment horizontal="right" vertical="top"/>
    </xf>
    <xf numFmtId="166" fontId="36" fillId="0" borderId="0" xfId="633" applyNumberFormat="1" applyFont="1" applyFill="1"/>
    <xf numFmtId="177" fontId="0" fillId="0" borderId="0" xfId="3" applyNumberFormat="1" applyFont="1"/>
    <xf numFmtId="43" fontId="36" fillId="104" borderId="0" xfId="1" applyFont="1" applyFill="1"/>
    <xf numFmtId="9" fontId="104" fillId="15" borderId="29" xfId="3" applyFont="1" applyFill="1" applyBorder="1" applyAlignment="1">
      <alignment horizontal="right" vertical="top"/>
    </xf>
    <xf numFmtId="9" fontId="113" fillId="15" borderId="37" xfId="3" applyFont="1" applyFill="1" applyBorder="1" applyAlignment="1">
      <alignment horizontal="right" vertical="top"/>
    </xf>
    <xf numFmtId="168" fontId="36" fillId="0" borderId="0" xfId="461" applyNumberFormat="1" applyFont="1"/>
    <xf numFmtId="0" fontId="104" fillId="0" borderId="31" xfId="0" applyFont="1" applyFill="1" applyBorder="1" applyAlignment="1">
      <alignment horizontal="left" vertical="top"/>
    </xf>
    <xf numFmtId="0" fontId="113" fillId="15" borderId="31" xfId="0" applyFont="1" applyFill="1" applyBorder="1" applyAlignment="1">
      <alignment horizontal="left" vertical="top"/>
    </xf>
    <xf numFmtId="0" fontId="113" fillId="15" borderId="39" xfId="0" applyFont="1" applyFill="1" applyBorder="1" applyAlignment="1">
      <alignment horizontal="left" vertical="top"/>
    </xf>
    <xf numFmtId="176" fontId="0" fillId="0" borderId="0" xfId="2" applyNumberFormat="1" applyFont="1"/>
    <xf numFmtId="176" fontId="0" fillId="0" borderId="0" xfId="0" applyNumberFormat="1"/>
    <xf numFmtId="176" fontId="0" fillId="15" borderId="0" xfId="2" applyNumberFormat="1" applyFont="1" applyFill="1"/>
    <xf numFmtId="176" fontId="0" fillId="0" borderId="0" xfId="2" applyNumberFormat="1" applyFont="1" applyAlignment="1">
      <alignment horizontal="right"/>
    </xf>
    <xf numFmtId="176" fontId="0" fillId="15" borderId="0" xfId="0" applyNumberFormat="1" applyFill="1"/>
    <xf numFmtId="176" fontId="0" fillId="98" borderId="0" xfId="2" applyNumberFormat="1" applyFont="1" applyFill="1"/>
    <xf numFmtId="43" fontId="115" fillId="0" borderId="0" xfId="1" applyFont="1"/>
    <xf numFmtId="43" fontId="31" fillId="0" borderId="12" xfId="1" applyFont="1" applyBorder="1"/>
    <xf numFmtId="43" fontId="31" fillId="98" borderId="9" xfId="1" applyFont="1" applyFill="1" applyBorder="1"/>
    <xf numFmtId="43" fontId="31" fillId="0" borderId="9" xfId="1" applyFont="1" applyBorder="1"/>
    <xf numFmtId="43" fontId="31" fillId="0" borderId="11" xfId="1" applyFont="1" applyBorder="1"/>
    <xf numFmtId="43" fontId="30" fillId="0" borderId="21" xfId="1" applyFont="1" applyBorder="1"/>
    <xf numFmtId="43" fontId="30" fillId="0" borderId="23" xfId="1" applyFont="1" applyBorder="1"/>
    <xf numFmtId="43" fontId="30" fillId="0" borderId="12" xfId="1" applyFont="1" applyBorder="1"/>
    <xf numFmtId="166" fontId="30" fillId="0" borderId="9" xfId="1" applyNumberFormat="1" applyFont="1" applyBorder="1"/>
    <xf numFmtId="166" fontId="30" fillId="0" borderId="12" xfId="1" applyNumberFormat="1" applyFont="1" applyBorder="1"/>
    <xf numFmtId="166" fontId="30" fillId="0" borderId="11" xfId="1" applyNumberFormat="1" applyFont="1" applyBorder="1"/>
    <xf numFmtId="43" fontId="31" fillId="0" borderId="23" xfId="1" applyFont="1" applyBorder="1"/>
    <xf numFmtId="43" fontId="30" fillId="0" borderId="0" xfId="1" applyFont="1" applyBorder="1"/>
    <xf numFmtId="43" fontId="30" fillId="0" borderId="15" xfId="1" applyFont="1" applyBorder="1"/>
    <xf numFmtId="43" fontId="31" fillId="0" borderId="0" xfId="1" applyFont="1"/>
    <xf numFmtId="43" fontId="30" fillId="0" borderId="9" xfId="1" applyFont="1" applyBorder="1"/>
    <xf numFmtId="43" fontId="31" fillId="0" borderId="9" xfId="1" applyFont="1" applyFill="1" applyBorder="1"/>
    <xf numFmtId="43" fontId="30" fillId="0" borderId="16" xfId="1" applyFont="1" applyFill="1" applyBorder="1"/>
    <xf numFmtId="43" fontId="30" fillId="15" borderId="0" xfId="1" applyFont="1" applyFill="1" applyBorder="1"/>
    <xf numFmtId="43" fontId="30" fillId="0" borderId="0" xfId="1" applyFont="1" applyFill="1" applyBorder="1"/>
    <xf numFmtId="43" fontId="31" fillId="0" borderId="12" xfId="1" applyFont="1" applyFill="1" applyBorder="1"/>
    <xf numFmtId="43" fontId="31" fillId="0" borderId="11" xfId="1" applyFont="1" applyFill="1" applyBorder="1"/>
    <xf numFmtId="43" fontId="30" fillId="0" borderId="21" xfId="1" applyFont="1" applyFill="1" applyBorder="1"/>
    <xf numFmtId="43" fontId="30" fillId="0" borderId="23" xfId="1" applyFont="1" applyFill="1" applyBorder="1"/>
    <xf numFmtId="43" fontId="30" fillId="0" borderId="15" xfId="1" applyFont="1" applyFill="1" applyBorder="1"/>
    <xf numFmtId="164" fontId="0" fillId="0" borderId="91" xfId="0" applyNumberFormat="1" applyFont="1" applyFill="1" applyBorder="1" applyAlignment="1">
      <alignment horizontal="right" vertical="center"/>
    </xf>
    <xf numFmtId="177" fontId="0" fillId="0" borderId="91" xfId="0" applyNumberFormat="1" applyFont="1" applyFill="1" applyBorder="1" applyAlignment="1">
      <alignment horizontal="right" vertical="center"/>
    </xf>
    <xf numFmtId="0" fontId="0" fillId="0" borderId="11" xfId="0" applyBorder="1"/>
    <xf numFmtId="168" fontId="0" fillId="0" borderId="16" xfId="0" applyNumberFormat="1" applyBorder="1"/>
    <xf numFmtId="9" fontId="0" fillId="0" borderId="15" xfId="3" applyFont="1" applyBorder="1"/>
    <xf numFmtId="168" fontId="0" fillId="0" borderId="21" xfId="0" applyNumberFormat="1" applyBorder="1"/>
    <xf numFmtId="9" fontId="0" fillId="0" borderId="23" xfId="3" applyFont="1" applyBorder="1"/>
    <xf numFmtId="0" fontId="0" fillId="0" borderId="12" xfId="0" applyBorder="1" applyAlignment="1">
      <alignment horizontal="right"/>
    </xf>
    <xf numFmtId="0" fontId="0" fillId="0" borderId="11" xfId="0" applyBorder="1" applyAlignment="1">
      <alignment horizontal="right"/>
    </xf>
    <xf numFmtId="9" fontId="0" fillId="112" borderId="15" xfId="3" applyFont="1" applyFill="1" applyBorder="1"/>
    <xf numFmtId="9" fontId="0" fillId="112" borderId="23" xfId="3" applyFont="1" applyFill="1" applyBorder="1"/>
    <xf numFmtId="9" fontId="0" fillId="115" borderId="15" xfId="3" applyFont="1" applyFill="1" applyBorder="1"/>
    <xf numFmtId="10" fontId="0" fillId="0" borderId="0" xfId="3" applyNumberFormat="1" applyFont="1"/>
    <xf numFmtId="9" fontId="27" fillId="0" borderId="0" xfId="3" applyFont="1"/>
    <xf numFmtId="0" fontId="108" fillId="0" borderId="0" xfId="0" applyFont="1" applyFill="1" applyBorder="1" applyAlignment="1">
      <alignment horizontal="center" vertical="center" wrapText="1"/>
    </xf>
    <xf numFmtId="166" fontId="92" fillId="0" borderId="0" xfId="1" applyNumberFormat="1" applyFont="1" applyFill="1" applyAlignment="1">
      <alignment horizontal="center"/>
    </xf>
    <xf numFmtId="168" fontId="104" fillId="0" borderId="0" xfId="0" applyNumberFormat="1" applyFont="1" applyFill="1" applyBorder="1" applyAlignment="1">
      <alignment horizontal="right" vertical="top"/>
    </xf>
    <xf numFmtId="166" fontId="36" fillId="0" borderId="0" xfId="1" applyNumberFormat="1" applyFont="1" applyFill="1"/>
    <xf numFmtId="168" fontId="111" fillId="0" borderId="0" xfId="0" applyNumberFormat="1" applyFont="1" applyFill="1" applyBorder="1" applyAlignment="1">
      <alignment horizontal="right" vertical="top"/>
    </xf>
    <xf numFmtId="168" fontId="112" fillId="0" borderId="0" xfId="0" applyNumberFormat="1" applyFont="1" applyFill="1" applyBorder="1" applyAlignment="1">
      <alignment horizontal="right" vertical="top"/>
    </xf>
    <xf numFmtId="168" fontId="110" fillId="0" borderId="0" xfId="0" applyNumberFormat="1" applyFont="1" applyFill="1" applyBorder="1" applyAlignment="1">
      <alignment horizontal="right" vertical="top"/>
    </xf>
    <xf numFmtId="168" fontId="110" fillId="15" borderId="0" xfId="0" applyNumberFormat="1" applyFont="1" applyFill="1" applyBorder="1" applyAlignment="1">
      <alignment horizontal="right" vertical="top"/>
    </xf>
    <xf numFmtId="0" fontId="88" fillId="0" borderId="0" xfId="633" applyFont="1" applyFill="1" applyBorder="1"/>
    <xf numFmtId="167" fontId="74" fillId="0" borderId="16" xfId="2" applyNumberFormat="1" applyFont="1" applyFill="1" applyBorder="1"/>
    <xf numFmtId="167" fontId="74" fillId="0" borderId="12" xfId="2" applyNumberFormat="1" applyFont="1" applyFill="1" applyBorder="1"/>
    <xf numFmtId="166" fontId="74" fillId="0" borderId="16" xfId="1" applyNumberFormat="1" applyFont="1" applyFill="1" applyBorder="1"/>
    <xf numFmtId="167" fontId="74" fillId="0" borderId="16" xfId="0" applyNumberFormat="1" applyFont="1" applyFill="1" applyBorder="1"/>
    <xf numFmtId="166" fontId="106" fillId="0" borderId="21" xfId="1" applyNumberFormat="1" applyFont="1" applyFill="1" applyBorder="1"/>
    <xf numFmtId="0" fontId="74" fillId="0" borderId="12" xfId="0" applyFont="1" applyFill="1" applyBorder="1"/>
    <xf numFmtId="166" fontId="106" fillId="0" borderId="78" xfId="1" applyNumberFormat="1" applyFont="1" applyFill="1" applyBorder="1"/>
    <xf numFmtId="166" fontId="74" fillId="0" borderId="15" xfId="1" applyNumberFormat="1" applyFont="1" applyFill="1" applyBorder="1"/>
    <xf numFmtId="1" fontId="74" fillId="0" borderId="15" xfId="0" applyNumberFormat="1" applyFont="1" applyFill="1" applyBorder="1"/>
    <xf numFmtId="166" fontId="74" fillId="0" borderId="23" xfId="1" applyNumberFormat="1" applyFont="1" applyFill="1" applyBorder="1"/>
    <xf numFmtId="166" fontId="74" fillId="0" borderId="21" xfId="1" applyNumberFormat="1" applyFont="1" applyFill="1" applyBorder="1"/>
    <xf numFmtId="168" fontId="35" fillId="21" borderId="66" xfId="0" applyNumberFormat="1" applyFont="1" applyFill="1" applyBorder="1" applyAlignment="1">
      <alignment horizontal="right" vertical="top"/>
    </xf>
    <xf numFmtId="168" fontId="37" fillId="21" borderId="57" xfId="0" applyNumberFormat="1" applyFont="1" applyFill="1" applyBorder="1" applyAlignment="1">
      <alignment horizontal="right" vertical="top"/>
    </xf>
    <xf numFmtId="168" fontId="37" fillId="21" borderId="37" xfId="0" applyNumberFormat="1" applyFont="1" applyFill="1" applyBorder="1" applyAlignment="1">
      <alignment horizontal="right" vertical="top"/>
    </xf>
    <xf numFmtId="168" fontId="104" fillId="16" borderId="29" xfId="0" applyNumberFormat="1" applyFont="1" applyFill="1" applyBorder="1" applyAlignment="1">
      <alignment horizontal="right" vertical="top"/>
    </xf>
    <xf numFmtId="0" fontId="15" fillId="0" borderId="0" xfId="633" applyFont="1"/>
    <xf numFmtId="0" fontId="88" fillId="0" borderId="93" xfId="633" applyFont="1" applyBorder="1" applyAlignment="1">
      <alignment horizontal="center"/>
    </xf>
    <xf numFmtId="0" fontId="15" fillId="0" borderId="0" xfId="633" applyFont="1" applyFill="1"/>
    <xf numFmtId="17" fontId="116" fillId="0" borderId="86" xfId="633" applyNumberFormat="1" applyFont="1" applyBorder="1"/>
    <xf numFmtId="1" fontId="15" fillId="0" borderId="0" xfId="633" applyNumberFormat="1" applyFont="1" applyFill="1"/>
    <xf numFmtId="166" fontId="15" fillId="0" borderId="0" xfId="633" applyNumberFormat="1" applyFont="1" applyFill="1"/>
    <xf numFmtId="9" fontId="15" fillId="0" borderId="0" xfId="3" applyFont="1" applyFill="1"/>
    <xf numFmtId="166" fontId="117" fillId="0" borderId="0" xfId="1068" applyNumberFormat="1" applyFont="1" applyFill="1"/>
    <xf numFmtId="166" fontId="15" fillId="0" borderId="0" xfId="634" applyNumberFormat="1" applyFont="1" applyFill="1"/>
    <xf numFmtId="43" fontId="15" fillId="0" borderId="0" xfId="633" applyNumberFormat="1" applyFont="1" applyFill="1"/>
    <xf numFmtId="166" fontId="15" fillId="0" borderId="0" xfId="634" applyNumberFormat="1" applyFont="1" applyFill="1" applyBorder="1"/>
    <xf numFmtId="177" fontId="113" fillId="15" borderId="49" xfId="3" applyNumberFormat="1" applyFont="1" applyFill="1" applyBorder="1" applyAlignment="1">
      <alignment horizontal="right" vertical="top"/>
    </xf>
    <xf numFmtId="177" fontId="113" fillId="15" borderId="51" xfId="0" applyNumberFormat="1" applyFont="1" applyFill="1" applyBorder="1" applyAlignment="1">
      <alignment horizontal="left" vertical="top"/>
    </xf>
    <xf numFmtId="0" fontId="30" fillId="116" borderId="0" xfId="0" applyFont="1" applyFill="1" applyBorder="1"/>
    <xf numFmtId="1" fontId="30" fillId="116" borderId="0" xfId="0" applyNumberFormat="1" applyFont="1" applyFill="1" applyBorder="1"/>
    <xf numFmtId="0" fontId="31" fillId="116" borderId="0" xfId="0" applyFont="1" applyFill="1" applyBorder="1"/>
    <xf numFmtId="168" fontId="110" fillId="16" borderId="29" xfId="0" applyNumberFormat="1" applyFont="1" applyFill="1" applyBorder="1" applyAlignment="1">
      <alignment horizontal="right" vertical="top"/>
    </xf>
    <xf numFmtId="168" fontId="104" fillId="16" borderId="57" xfId="0" applyNumberFormat="1" applyFont="1" applyFill="1" applyBorder="1" applyAlignment="1">
      <alignment horizontal="right" vertical="top"/>
    </xf>
    <xf numFmtId="168" fontId="110" fillId="16" borderId="33" xfId="0" applyNumberFormat="1" applyFont="1" applyFill="1" applyBorder="1" applyAlignment="1">
      <alignment horizontal="right" vertical="top"/>
    </xf>
    <xf numFmtId="168" fontId="110" fillId="19" borderId="37" xfId="0" applyNumberFormat="1" applyFont="1" applyFill="1" applyBorder="1" applyAlignment="1">
      <alignment horizontal="right" vertical="top"/>
    </xf>
    <xf numFmtId="168" fontId="104" fillId="0" borderId="29" xfId="0" applyNumberFormat="1" applyFont="1" applyFill="1" applyBorder="1" applyAlignment="1">
      <alignment horizontal="right" vertical="top"/>
    </xf>
    <xf numFmtId="168" fontId="104" fillId="0" borderId="30" xfId="0" applyNumberFormat="1" applyFont="1" applyFill="1" applyBorder="1" applyAlignment="1">
      <alignment horizontal="right" vertical="top"/>
    </xf>
    <xf numFmtId="168" fontId="104" fillId="17" borderId="32" xfId="0" applyNumberFormat="1" applyFont="1" applyFill="1" applyBorder="1" applyAlignment="1">
      <alignment horizontal="right" vertical="top"/>
    </xf>
    <xf numFmtId="168" fontId="110" fillId="0" borderId="29" xfId="0" applyNumberFormat="1" applyFont="1" applyFill="1" applyBorder="1" applyAlignment="1">
      <alignment horizontal="right" vertical="top"/>
    </xf>
    <xf numFmtId="168" fontId="110" fillId="0" borderId="30" xfId="0" applyNumberFormat="1" applyFont="1" applyFill="1" applyBorder="1" applyAlignment="1">
      <alignment horizontal="right" vertical="top"/>
    </xf>
    <xf numFmtId="0" fontId="110" fillId="0" borderId="31" xfId="0" applyFont="1" applyFill="1" applyBorder="1" applyAlignment="1">
      <alignment horizontal="left" vertical="top"/>
    </xf>
    <xf numFmtId="168" fontId="110" fillId="17" borderId="32" xfId="0" applyNumberFormat="1" applyFont="1" applyFill="1" applyBorder="1" applyAlignment="1">
      <alignment horizontal="right" vertical="top"/>
    </xf>
    <xf numFmtId="168" fontId="104" fillId="0" borderId="57" xfId="0" applyNumberFormat="1" applyFont="1" applyFill="1" applyBorder="1" applyAlignment="1">
      <alignment horizontal="right" vertical="top"/>
    </xf>
    <xf numFmtId="168" fontId="104" fillId="0" borderId="58" xfId="0" applyNumberFormat="1" applyFont="1" applyFill="1" applyBorder="1" applyAlignment="1">
      <alignment horizontal="right" vertical="top"/>
    </xf>
    <xf numFmtId="0" fontId="104" fillId="0" borderId="59" xfId="0" applyFont="1" applyFill="1" applyBorder="1" applyAlignment="1">
      <alignment horizontal="left" vertical="top"/>
    </xf>
    <xf numFmtId="168" fontId="104" fillId="17" borderId="60" xfId="0" applyNumberFormat="1" applyFont="1" applyFill="1" applyBorder="1" applyAlignment="1">
      <alignment horizontal="right" vertical="top"/>
    </xf>
    <xf numFmtId="168" fontId="110" fillId="0" borderId="33" xfId="0" applyNumberFormat="1" applyFont="1" applyFill="1" applyBorder="1" applyAlignment="1">
      <alignment horizontal="right" vertical="top"/>
    </xf>
    <xf numFmtId="168" fontId="110" fillId="0" borderId="34" xfId="0" applyNumberFormat="1" applyFont="1" applyFill="1" applyBorder="1" applyAlignment="1">
      <alignment horizontal="right" vertical="top"/>
    </xf>
    <xf numFmtId="0" fontId="110" fillId="0" borderId="35" xfId="0" applyFont="1" applyFill="1" applyBorder="1" applyAlignment="1">
      <alignment horizontal="left" vertical="top"/>
    </xf>
    <xf numFmtId="168" fontId="110" fillId="17" borderId="36" xfId="0" applyNumberFormat="1" applyFont="1" applyFill="1" applyBorder="1" applyAlignment="1">
      <alignment horizontal="right" vertical="top"/>
    </xf>
    <xf numFmtId="168" fontId="110" fillId="19" borderId="38" xfId="0" applyNumberFormat="1" applyFont="1" applyFill="1" applyBorder="1" applyAlignment="1">
      <alignment horizontal="right" vertical="top"/>
    </xf>
    <xf numFmtId="0" fontId="110" fillId="19" borderId="39" xfId="0" applyFont="1" applyFill="1" applyBorder="1" applyAlignment="1">
      <alignment horizontal="left" vertical="top"/>
    </xf>
    <xf numFmtId="168" fontId="110" fillId="19" borderId="40" xfId="0" applyNumberFormat="1" applyFont="1" applyFill="1" applyBorder="1" applyAlignment="1">
      <alignment horizontal="right" vertical="top"/>
    </xf>
    <xf numFmtId="168" fontId="110" fillId="105" borderId="45" xfId="0" applyNumberFormat="1" applyFont="1" applyFill="1" applyBorder="1" applyAlignment="1">
      <alignment horizontal="right" vertical="top"/>
    </xf>
    <xf numFmtId="168" fontId="110" fillId="105" borderId="46" xfId="0" applyNumberFormat="1" applyFont="1" applyFill="1" applyBorder="1" applyAlignment="1">
      <alignment horizontal="right" vertical="top"/>
    </xf>
    <xf numFmtId="0" fontId="110" fillId="105" borderId="47" xfId="0" applyFont="1" applyFill="1" applyBorder="1" applyAlignment="1">
      <alignment horizontal="left" vertical="top"/>
    </xf>
    <xf numFmtId="168" fontId="110" fillId="105" borderId="48" xfId="0" applyNumberFormat="1" applyFont="1" applyFill="1" applyBorder="1" applyAlignment="1">
      <alignment horizontal="right" vertical="top"/>
    </xf>
    <xf numFmtId="168" fontId="110" fillId="105" borderId="29" xfId="0" applyNumberFormat="1" applyFont="1" applyFill="1" applyBorder="1" applyAlignment="1">
      <alignment horizontal="right" vertical="top"/>
    </xf>
    <xf numFmtId="168" fontId="110" fillId="105" borderId="30" xfId="0" applyNumberFormat="1" applyFont="1" applyFill="1" applyBorder="1" applyAlignment="1">
      <alignment horizontal="right" vertical="top"/>
    </xf>
    <xf numFmtId="0" fontId="110" fillId="105" borderId="31" xfId="0" applyFont="1" applyFill="1" applyBorder="1" applyAlignment="1">
      <alignment horizontal="left" vertical="top"/>
    </xf>
    <xf numFmtId="168" fontId="110" fillId="105" borderId="32" xfId="0" applyNumberFormat="1" applyFont="1" applyFill="1" applyBorder="1" applyAlignment="1">
      <alignment horizontal="right" vertical="top"/>
    </xf>
    <xf numFmtId="44" fontId="0" fillId="0" borderId="0" xfId="0" applyNumberFormat="1"/>
    <xf numFmtId="171" fontId="36" fillId="0" borderId="0" xfId="7" applyNumberFormat="1" applyFont="1" applyFill="1"/>
    <xf numFmtId="171" fontId="36" fillId="0" borderId="0" xfId="1" applyNumberFormat="1" applyFont="1" applyFill="1"/>
    <xf numFmtId="171" fontId="30" fillId="0" borderId="0" xfId="1" applyNumberFormat="1" applyFont="1" applyFill="1"/>
    <xf numFmtId="171" fontId="36" fillId="0" borderId="0" xfId="2" applyNumberFormat="1" applyFont="1"/>
    <xf numFmtId="171" fontId="36" fillId="15" borderId="0" xfId="2" applyNumberFormat="1" applyFont="1" applyFill="1"/>
    <xf numFmtId="10" fontId="30" fillId="0" borderId="0" xfId="3" applyNumberFormat="1" applyFont="1"/>
    <xf numFmtId="0" fontId="30" fillId="15" borderId="0" xfId="0" applyFont="1" applyFill="1"/>
    <xf numFmtId="10" fontId="30" fillId="15" borderId="0" xfId="3" applyNumberFormat="1" applyFont="1" applyFill="1"/>
    <xf numFmtId="177" fontId="113" fillId="15" borderId="29" xfId="3" applyNumberFormat="1" applyFont="1" applyFill="1" applyBorder="1" applyAlignment="1">
      <alignment horizontal="right" vertical="top"/>
    </xf>
    <xf numFmtId="180" fontId="0" fillId="0" borderId="0" xfId="1" applyNumberFormat="1" applyFont="1"/>
    <xf numFmtId="0" fontId="106" fillId="0" borderId="0" xfId="0" applyFont="1" applyFill="1" applyBorder="1"/>
    <xf numFmtId="0" fontId="106" fillId="116" borderId="0" xfId="0" applyFont="1" applyFill="1" applyBorder="1"/>
    <xf numFmtId="0" fontId="74" fillId="0" borderId="0" xfId="0" applyFont="1" applyFill="1" applyBorder="1"/>
    <xf numFmtId="1" fontId="74" fillId="0" borderId="0" xfId="0" applyNumberFormat="1" applyFont="1" applyFill="1" applyBorder="1"/>
    <xf numFmtId="0" fontId="92" fillId="15" borderId="0" xfId="461" applyFont="1" applyFill="1"/>
    <xf numFmtId="3" fontId="36" fillId="0" borderId="0" xfId="461" applyNumberFormat="1" applyFont="1" applyFill="1"/>
    <xf numFmtId="168" fontId="36" fillId="0" borderId="0" xfId="461" applyNumberFormat="1" applyFont="1" applyFill="1"/>
    <xf numFmtId="168" fontId="36" fillId="79" borderId="0" xfId="461" applyNumberFormat="1" applyFont="1" applyFill="1"/>
    <xf numFmtId="176" fontId="36" fillId="0" borderId="0" xfId="2" applyNumberFormat="1" applyFont="1" applyFill="1"/>
    <xf numFmtId="43" fontId="36" fillId="0" borderId="0" xfId="461" applyNumberFormat="1" applyFont="1" applyFill="1"/>
    <xf numFmtId="43" fontId="30" fillId="0" borderId="0" xfId="0" applyNumberFormat="1" applyFont="1" applyFill="1"/>
    <xf numFmtId="9" fontId="88" fillId="0" borderId="0" xfId="3" applyFont="1" applyFill="1"/>
    <xf numFmtId="177" fontId="110" fillId="15" borderId="29" xfId="3" applyNumberFormat="1" applyFont="1" applyFill="1" applyBorder="1" applyAlignment="1">
      <alignment horizontal="right" vertical="top"/>
    </xf>
    <xf numFmtId="168" fontId="110" fillId="15" borderId="29" xfId="0" applyNumberFormat="1" applyFont="1" applyFill="1" applyBorder="1" applyAlignment="1">
      <alignment horizontal="right" vertical="top"/>
    </xf>
    <xf numFmtId="0" fontId="110" fillId="15" borderId="31" xfId="0" applyFont="1" applyFill="1" applyBorder="1" applyAlignment="1">
      <alignment horizontal="left" vertical="top"/>
    </xf>
    <xf numFmtId="43" fontId="0" fillId="0" borderId="21" xfId="1" applyFont="1" applyFill="1" applyBorder="1"/>
    <xf numFmtId="43" fontId="0" fillId="0" borderId="22" xfId="1" applyFont="1" applyFill="1" applyBorder="1"/>
    <xf numFmtId="43" fontId="0" fillId="0" borderId="23" xfId="1" applyFont="1" applyFill="1" applyBorder="1"/>
    <xf numFmtId="43" fontId="0" fillId="0" borderId="0" xfId="1" applyFont="1" applyFill="1"/>
    <xf numFmtId="0" fontId="104" fillId="15" borderId="31" xfId="0" applyFont="1" applyFill="1" applyBorder="1" applyAlignment="1">
      <alignment horizontal="left" vertical="top"/>
    </xf>
    <xf numFmtId="168" fontId="36" fillId="15" borderId="0" xfId="461" applyNumberFormat="1" applyFont="1" applyFill="1"/>
    <xf numFmtId="9" fontId="36" fillId="0" borderId="0" xfId="3" applyFont="1" applyFill="1"/>
    <xf numFmtId="177" fontId="36" fillId="0" borderId="0" xfId="3" applyNumberFormat="1" applyFont="1" applyFill="1"/>
    <xf numFmtId="0" fontId="0" fillId="116" borderId="0" xfId="0" applyFill="1"/>
    <xf numFmtId="9" fontId="73" fillId="0" borderId="0" xfId="3" applyFont="1"/>
    <xf numFmtId="166" fontId="14" fillId="0" borderId="0" xfId="634" applyNumberFormat="1" applyFont="1" applyFill="1"/>
    <xf numFmtId="0" fontId="31" fillId="0" borderId="9" xfId="0" applyFont="1" applyBorder="1" applyAlignment="1">
      <alignment horizontal="center" wrapText="1"/>
    </xf>
    <xf numFmtId="0" fontId="99" fillId="0" borderId="11" xfId="0" applyFont="1" applyFill="1" applyBorder="1" applyAlignment="1"/>
    <xf numFmtId="0" fontId="30" fillId="0" borderId="22" xfId="0" applyFont="1" applyFill="1" applyBorder="1"/>
    <xf numFmtId="0" fontId="30" fillId="0" borderId="23" xfId="0" applyFont="1" applyFill="1" applyBorder="1"/>
    <xf numFmtId="167" fontId="30" fillId="15" borderId="16" xfId="2" applyNumberFormat="1" applyFont="1" applyFill="1" applyBorder="1"/>
    <xf numFmtId="167" fontId="30" fillId="15" borderId="15" xfId="2" applyNumberFormat="1" applyFont="1" applyFill="1" applyBorder="1"/>
    <xf numFmtId="167" fontId="30" fillId="15" borderId="16" xfId="0" applyNumberFormat="1" applyFont="1" applyFill="1" applyBorder="1"/>
    <xf numFmtId="0" fontId="30" fillId="15" borderId="15" xfId="0" applyFont="1" applyFill="1" applyBorder="1"/>
    <xf numFmtId="167" fontId="28" fillId="15" borderId="16" xfId="2" applyNumberFormat="1" applyFont="1" applyFill="1" applyBorder="1"/>
    <xf numFmtId="167" fontId="28" fillId="15" borderId="15" xfId="2" applyNumberFormat="1" applyFont="1" applyFill="1" applyBorder="1"/>
    <xf numFmtId="17" fontId="116" fillId="0" borderId="93" xfId="633" applyNumberFormat="1" applyFont="1" applyBorder="1"/>
    <xf numFmtId="168" fontId="104" fillId="16" borderId="41" xfId="0" applyNumberFormat="1" applyFont="1" applyFill="1" applyBorder="1" applyAlignment="1">
      <alignment horizontal="right" vertical="top"/>
    </xf>
    <xf numFmtId="168" fontId="104" fillId="0" borderId="41" xfId="0" applyNumberFormat="1" applyFont="1" applyFill="1" applyBorder="1" applyAlignment="1">
      <alignment horizontal="right" vertical="top"/>
    </xf>
    <xf numFmtId="168" fontId="104" fillId="0" borderId="42" xfId="0" applyNumberFormat="1" applyFont="1" applyFill="1" applyBorder="1" applyAlignment="1">
      <alignment horizontal="right" vertical="top"/>
    </xf>
    <xf numFmtId="0" fontId="104" fillId="0" borderId="43" xfId="0" applyFont="1" applyFill="1" applyBorder="1" applyAlignment="1">
      <alignment horizontal="left" vertical="top"/>
    </xf>
    <xf numFmtId="168" fontId="104" fillId="17" borderId="44" xfId="0" applyNumberFormat="1" applyFont="1" applyFill="1" applyBorder="1" applyAlignment="1">
      <alignment horizontal="right" vertical="top"/>
    </xf>
    <xf numFmtId="168" fontId="110" fillId="20" borderId="37" xfId="0" applyNumberFormat="1" applyFont="1" applyFill="1" applyBorder="1" applyAlignment="1">
      <alignment horizontal="right" vertical="top"/>
    </xf>
    <xf numFmtId="168" fontId="110" fillId="20" borderId="38" xfId="0" applyNumberFormat="1" applyFont="1" applyFill="1" applyBorder="1" applyAlignment="1">
      <alignment horizontal="right" vertical="top"/>
    </xf>
    <xf numFmtId="0" fontId="110" fillId="20" borderId="39" xfId="0" applyFont="1" applyFill="1" applyBorder="1" applyAlignment="1">
      <alignment horizontal="left" vertical="top"/>
    </xf>
    <xf numFmtId="168" fontId="110" fillId="20" borderId="40" xfId="0" applyNumberFormat="1" applyFont="1" applyFill="1" applyBorder="1" applyAlignment="1">
      <alignment horizontal="right" vertical="top"/>
    </xf>
    <xf numFmtId="0" fontId="12" fillId="0" borderId="0" xfId="633" applyFont="1" applyFill="1"/>
    <xf numFmtId="9" fontId="15" fillId="112" borderId="0" xfId="3" applyFont="1" applyFill="1"/>
    <xf numFmtId="0" fontId="11" fillId="0" borderId="0" xfId="633" applyFont="1" applyFill="1"/>
    <xf numFmtId="0" fontId="9" fillId="0" borderId="0" xfId="633" applyFont="1"/>
    <xf numFmtId="176" fontId="36" fillId="111" borderId="0" xfId="2" applyNumberFormat="1" applyFont="1" applyFill="1"/>
    <xf numFmtId="176" fontId="36" fillId="15" borderId="0" xfId="2" applyNumberFormat="1" applyFont="1" applyFill="1"/>
    <xf numFmtId="177" fontId="36" fillId="111" borderId="0" xfId="3" applyNumberFormat="1" applyFont="1" applyFill="1"/>
    <xf numFmtId="177" fontId="92" fillId="15" borderId="0" xfId="3" applyNumberFormat="1" applyFont="1" applyFill="1"/>
    <xf numFmtId="176" fontId="36" fillId="115" borderId="0" xfId="2" applyNumberFormat="1" applyFont="1" applyFill="1"/>
    <xf numFmtId="177" fontId="36" fillId="115" borderId="0" xfId="3" applyNumberFormat="1" applyFont="1" applyFill="1"/>
    <xf numFmtId="177" fontId="36" fillId="117" borderId="0" xfId="3" applyNumberFormat="1" applyFont="1" applyFill="1"/>
    <xf numFmtId="176" fontId="36" fillId="117" borderId="0" xfId="2" applyNumberFormat="1" applyFont="1" applyFill="1"/>
    <xf numFmtId="43" fontId="92" fillId="0" borderId="0" xfId="1" applyFont="1" applyFill="1"/>
    <xf numFmtId="0" fontId="8" fillId="0" borderId="0" xfId="633" applyFont="1"/>
    <xf numFmtId="0" fontId="7" fillId="0" borderId="0" xfId="633" applyFont="1"/>
    <xf numFmtId="9" fontId="33" fillId="0" borderId="0" xfId="3" applyFont="1" applyFill="1" applyBorder="1" applyAlignment="1">
      <alignment horizontal="right" vertical="top"/>
    </xf>
    <xf numFmtId="176" fontId="33" fillId="0" borderId="0" xfId="2" applyNumberFormat="1" applyFont="1" applyFill="1" applyBorder="1" applyAlignment="1">
      <alignment horizontal="right" vertical="top"/>
    </xf>
    <xf numFmtId="167" fontId="30" fillId="15" borderId="26" xfId="2" applyNumberFormat="1" applyFont="1" applyFill="1" applyBorder="1"/>
    <xf numFmtId="167" fontId="30" fillId="15" borderId="28" xfId="2" applyNumberFormat="1" applyFont="1" applyFill="1" applyBorder="1"/>
    <xf numFmtId="43" fontId="30" fillId="0" borderId="0" xfId="0" applyNumberFormat="1" applyFont="1" applyFill="1" applyBorder="1"/>
    <xf numFmtId="176" fontId="31" fillId="0" borderId="0" xfId="2" applyNumberFormat="1" applyFont="1"/>
    <xf numFmtId="0" fontId="92" fillId="110" borderId="0" xfId="1299" applyFont="1" applyFill="1" applyBorder="1" applyAlignment="1">
      <alignment horizontal="center"/>
    </xf>
    <xf numFmtId="1" fontId="118" fillId="102" borderId="86" xfId="1299" applyNumberFormat="1" applyFont="1" applyFill="1" applyBorder="1"/>
    <xf numFmtId="1" fontId="93" fillId="102" borderId="86" xfId="1299" applyNumberFormat="1" applyFont="1" applyFill="1" applyBorder="1"/>
    <xf numFmtId="1" fontId="93" fillId="102" borderId="0" xfId="1299" applyNumberFormat="1" applyFont="1" applyFill="1" applyBorder="1"/>
    <xf numFmtId="0" fontId="92" fillId="102" borderId="0" xfId="1299" applyFont="1" applyFill="1"/>
    <xf numFmtId="0" fontId="92" fillId="0" borderId="0" xfId="1299" applyFont="1" applyFill="1"/>
    <xf numFmtId="17" fontId="93" fillId="102" borderId="86" xfId="1299" applyNumberFormat="1" applyFont="1" applyFill="1" applyBorder="1"/>
    <xf numFmtId="171" fontId="92" fillId="102" borderId="86" xfId="1299" applyNumberFormat="1" applyFont="1" applyFill="1" applyBorder="1" applyAlignment="1">
      <alignment horizontal="center"/>
    </xf>
    <xf numFmtId="171" fontId="92" fillId="102" borderId="0" xfId="1299" applyNumberFormat="1" applyFont="1" applyFill="1" applyBorder="1" applyAlignment="1">
      <alignment horizontal="center"/>
    </xf>
    <xf numFmtId="0" fontId="36" fillId="0" borderId="0" xfId="1299" applyNumberFormat="1" applyFont="1" applyFill="1"/>
    <xf numFmtId="0" fontId="36" fillId="0" borderId="0" xfId="1299" applyFont="1"/>
    <xf numFmtId="171" fontId="36" fillId="0" borderId="0" xfId="1299" applyNumberFormat="1" applyFont="1"/>
    <xf numFmtId="0" fontId="92" fillId="15" borderId="0" xfId="1299" applyFont="1" applyFill="1"/>
    <xf numFmtId="0" fontId="92" fillId="0" borderId="0" xfId="1299" applyFont="1"/>
    <xf numFmtId="17" fontId="92" fillId="15" borderId="0" xfId="1299" applyNumberFormat="1" applyFont="1" applyFill="1"/>
    <xf numFmtId="17" fontId="92" fillId="0" borderId="0" xfId="1299" applyNumberFormat="1" applyFont="1"/>
    <xf numFmtId="0" fontId="92" fillId="102" borderId="86" xfId="1299" applyFont="1" applyFill="1" applyBorder="1"/>
    <xf numFmtId="0" fontId="92" fillId="102" borderId="0" xfId="1299" applyFont="1" applyFill="1" applyBorder="1"/>
    <xf numFmtId="17" fontId="93" fillId="102" borderId="0" xfId="1299" applyNumberFormat="1" applyFont="1" applyFill="1" applyBorder="1"/>
    <xf numFmtId="171" fontId="36" fillId="0" borderId="0" xfId="1299" applyNumberFormat="1" applyFont="1" applyFill="1"/>
    <xf numFmtId="2" fontId="36" fillId="0" borderId="0" xfId="1299" applyNumberFormat="1" applyFont="1" applyFill="1"/>
    <xf numFmtId="0" fontId="36" fillId="0" borderId="0" xfId="1299" applyFont="1" applyFill="1"/>
    <xf numFmtId="171" fontId="36" fillId="0" borderId="0" xfId="1299" applyNumberFormat="1" applyFont="1" applyFill="1" applyBorder="1"/>
    <xf numFmtId="171" fontId="114" fillId="0" borderId="0" xfId="1300" applyNumberFormat="1" applyFont="1" applyFill="1"/>
    <xf numFmtId="0" fontId="36" fillId="0" borderId="0" xfId="1299" quotePrefix="1" applyFont="1" applyFill="1"/>
    <xf numFmtId="2" fontId="36" fillId="0" borderId="0" xfId="1299" applyNumberFormat="1" applyFont="1"/>
    <xf numFmtId="0" fontId="36" fillId="79" borderId="0" xfId="1299" applyFont="1" applyFill="1"/>
    <xf numFmtId="171" fontId="36" fillId="79" borderId="0" xfId="1299" applyNumberFormat="1" applyFont="1" applyFill="1"/>
    <xf numFmtId="0" fontId="92" fillId="112" borderId="0" xfId="1299" applyFont="1" applyFill="1"/>
    <xf numFmtId="0" fontId="36" fillId="112" borderId="0" xfId="1299" applyNumberFormat="1" applyFont="1" applyFill="1"/>
    <xf numFmtId="171" fontId="36" fillId="112" borderId="0" xfId="1299" applyNumberFormat="1" applyFont="1" applyFill="1"/>
    <xf numFmtId="171" fontId="36" fillId="15" borderId="0" xfId="1299" applyNumberFormat="1" applyFont="1" applyFill="1"/>
    <xf numFmtId="0" fontId="92" fillId="0" borderId="12" xfId="1299" applyFont="1" applyBorder="1"/>
    <xf numFmtId="0" fontId="92" fillId="0" borderId="9" xfId="1299" applyNumberFormat="1" applyFont="1" applyFill="1" applyBorder="1"/>
    <xf numFmtId="171" fontId="92" fillId="0" borderId="9" xfId="1299" applyNumberFormat="1" applyFont="1" applyBorder="1"/>
    <xf numFmtId="2" fontId="92" fillId="0" borderId="9" xfId="1299" applyNumberFormat="1" applyFont="1" applyBorder="1"/>
    <xf numFmtId="171" fontId="92" fillId="0" borderId="9" xfId="1299" applyNumberFormat="1" applyFont="1" applyBorder="1" applyAlignment="1">
      <alignment horizontal="right"/>
    </xf>
    <xf numFmtId="0" fontId="92" fillId="0" borderId="9" xfId="1299" applyFont="1" applyBorder="1" applyAlignment="1">
      <alignment horizontal="right"/>
    </xf>
    <xf numFmtId="0" fontId="92" fillId="0" borderId="11" xfId="1299" applyFont="1" applyBorder="1" applyAlignment="1">
      <alignment horizontal="right"/>
    </xf>
    <xf numFmtId="0" fontId="92" fillId="0" borderId="21" xfId="1299" applyFont="1" applyBorder="1"/>
    <xf numFmtId="0" fontId="92" fillId="0" borderId="22" xfId="1299" applyFont="1" applyBorder="1"/>
    <xf numFmtId="171" fontId="92" fillId="0" borderId="22" xfId="1299" applyNumberFormat="1" applyFont="1" applyBorder="1"/>
    <xf numFmtId="2" fontId="92" fillId="0" borderId="22" xfId="1299" applyNumberFormat="1" applyFont="1" applyBorder="1"/>
    <xf numFmtId="171" fontId="92" fillId="0" borderId="22" xfId="1299" applyNumberFormat="1" applyFont="1" applyBorder="1" applyAlignment="1">
      <alignment horizontal="right"/>
    </xf>
    <xf numFmtId="0" fontId="92" fillId="0" borderId="22" xfId="1299" applyFont="1" applyBorder="1" applyAlignment="1">
      <alignment horizontal="right"/>
    </xf>
    <xf numFmtId="0" fontId="92" fillId="0" borderId="23" xfId="1299" applyFont="1" applyBorder="1" applyAlignment="1">
      <alignment horizontal="right"/>
    </xf>
    <xf numFmtId="0" fontId="92" fillId="0" borderId="12" xfId="1299" applyFont="1" applyFill="1" applyBorder="1"/>
    <xf numFmtId="0" fontId="36" fillId="0" borderId="9" xfId="1299" applyFont="1" applyBorder="1"/>
    <xf numFmtId="171" fontId="36" fillId="0" borderId="9" xfId="1299" applyNumberFormat="1" applyFont="1" applyBorder="1"/>
    <xf numFmtId="2" fontId="36" fillId="0" borderId="9" xfId="1299" applyNumberFormat="1" applyFont="1" applyBorder="1"/>
    <xf numFmtId="0" fontId="92" fillId="0" borderId="16" xfId="1299" applyFont="1" applyFill="1" applyBorder="1"/>
    <xf numFmtId="0" fontId="36" fillId="0" borderId="0" xfId="1299" applyFont="1" applyBorder="1"/>
    <xf numFmtId="171" fontId="36" fillId="0" borderId="0" xfId="1299" applyNumberFormat="1" applyFont="1" applyBorder="1"/>
    <xf numFmtId="2" fontId="36" fillId="0" borderId="0" xfId="1299" applyNumberFormat="1" applyFont="1" applyBorder="1"/>
    <xf numFmtId="0" fontId="92" fillId="0" borderId="21" xfId="1299" applyFont="1" applyFill="1" applyBorder="1"/>
    <xf numFmtId="0" fontId="36" fillId="0" borderId="22" xfId="1299" applyFont="1" applyBorder="1"/>
    <xf numFmtId="171" fontId="36" fillId="0" borderId="22" xfId="1299" applyNumberFormat="1" applyFont="1" applyBorder="1"/>
    <xf numFmtId="2" fontId="36" fillId="0" borderId="22" xfId="1299" applyNumberFormat="1" applyFont="1" applyBorder="1"/>
    <xf numFmtId="0" fontId="36" fillId="0" borderId="12" xfId="1299" applyFont="1" applyBorder="1"/>
    <xf numFmtId="0" fontId="36" fillId="0" borderId="16" xfId="1299" applyFont="1" applyBorder="1"/>
    <xf numFmtId="0" fontId="36" fillId="0" borderId="21" xfId="1299" applyFont="1" applyBorder="1"/>
    <xf numFmtId="176" fontId="36" fillId="0" borderId="0" xfId="1299" applyNumberFormat="1" applyFont="1"/>
    <xf numFmtId="0" fontId="5" fillId="0" borderId="0" xfId="633" applyFont="1"/>
    <xf numFmtId="0" fontId="108" fillId="0" borderId="29" xfId="0" applyFont="1" applyFill="1" applyBorder="1" applyAlignment="1">
      <alignment horizontal="center" vertical="center" wrapText="1"/>
    </xf>
    <xf numFmtId="169" fontId="104" fillId="0" borderId="29" xfId="0" applyNumberFormat="1" applyFont="1" applyFill="1" applyBorder="1" applyAlignment="1">
      <alignment horizontal="right" vertical="top"/>
    </xf>
    <xf numFmtId="168" fontId="30" fillId="15" borderId="0" xfId="0" applyNumberFormat="1" applyFont="1" applyFill="1"/>
    <xf numFmtId="168" fontId="104" fillId="0" borderId="33" xfId="0" applyNumberFormat="1" applyFont="1" applyFill="1" applyBorder="1" applyAlignment="1">
      <alignment horizontal="right" vertical="top"/>
    </xf>
    <xf numFmtId="169" fontId="104" fillId="0" borderId="33" xfId="0" applyNumberFormat="1" applyFont="1" applyFill="1" applyBorder="1" applyAlignment="1">
      <alignment horizontal="right" vertical="top"/>
    </xf>
    <xf numFmtId="169" fontId="108" fillId="0" borderId="57" xfId="0" applyNumberFormat="1" applyFont="1" applyFill="1" applyBorder="1" applyAlignment="1">
      <alignment horizontal="right" vertical="top"/>
    </xf>
    <xf numFmtId="9" fontId="31" fillId="15" borderId="0" xfId="3" applyFont="1" applyFill="1"/>
    <xf numFmtId="9" fontId="30" fillId="0" borderId="0" xfId="0" applyNumberFormat="1" applyFont="1"/>
    <xf numFmtId="0" fontId="31" fillId="0" borderId="0" xfId="0" applyFont="1" applyAlignment="1">
      <alignment horizontal="right"/>
    </xf>
    <xf numFmtId="43" fontId="30" fillId="0" borderId="0" xfId="1" applyFont="1" applyAlignment="1">
      <alignment horizontal="right"/>
    </xf>
    <xf numFmtId="43" fontId="30" fillId="114" borderId="0" xfId="0" applyNumberFormat="1" applyFont="1" applyFill="1"/>
    <xf numFmtId="170" fontId="30" fillId="15" borderId="0" xfId="1" applyNumberFormat="1" applyFont="1" applyFill="1"/>
    <xf numFmtId="43" fontId="0" fillId="110" borderId="0" xfId="1" applyFont="1" applyFill="1" applyBorder="1"/>
    <xf numFmtId="168" fontId="30" fillId="0" borderId="0" xfId="0" applyNumberFormat="1" applyFont="1" applyFill="1"/>
    <xf numFmtId="171" fontId="27" fillId="0" borderId="0" xfId="5" applyNumberFormat="1" applyFill="1"/>
    <xf numFmtId="0" fontId="13" fillId="0" borderId="0" xfId="633" applyFont="1" applyFill="1"/>
    <xf numFmtId="0" fontId="10" fillId="0" borderId="0" xfId="633" applyFont="1" applyFill="1"/>
    <xf numFmtId="0" fontId="92" fillId="118" borderId="0" xfId="1299" applyFont="1" applyFill="1"/>
    <xf numFmtId="0" fontId="36" fillId="118" borderId="0" xfId="1299" applyNumberFormat="1" applyFont="1" applyFill="1"/>
    <xf numFmtId="171" fontId="36" fillId="118" borderId="0" xfId="7" applyNumberFormat="1" applyFont="1" applyFill="1"/>
    <xf numFmtId="171" fontId="36" fillId="118" borderId="0" xfId="1299" applyNumberFormat="1" applyFont="1" applyFill="1"/>
    <xf numFmtId="2" fontId="36" fillId="118" borderId="0" xfId="1299" applyNumberFormat="1" applyFont="1" applyFill="1"/>
    <xf numFmtId="171" fontId="36" fillId="118" borderId="0" xfId="1" applyNumberFormat="1" applyFont="1" applyFill="1"/>
    <xf numFmtId="0" fontId="4" fillId="0" borderId="0" xfId="633" applyFont="1"/>
    <xf numFmtId="0" fontId="3" fillId="0" borderId="0" xfId="5" applyFont="1"/>
    <xf numFmtId="168" fontId="110" fillId="20" borderId="33" xfId="0" applyNumberFormat="1" applyFont="1" applyFill="1" applyBorder="1" applyAlignment="1">
      <alignment horizontal="right" vertical="top"/>
    </xf>
    <xf numFmtId="168" fontId="110" fillId="20" borderId="34" xfId="0" applyNumberFormat="1" applyFont="1" applyFill="1" applyBorder="1" applyAlignment="1">
      <alignment horizontal="right" vertical="top"/>
    </xf>
    <xf numFmtId="0" fontId="110" fillId="20" borderId="35" xfId="0" applyFont="1" applyFill="1" applyBorder="1" applyAlignment="1">
      <alignment horizontal="left" vertical="top"/>
    </xf>
    <xf numFmtId="168" fontId="110" fillId="20" borderId="36" xfId="0" applyNumberFormat="1" applyFont="1" applyFill="1" applyBorder="1" applyAlignment="1">
      <alignment horizontal="right" vertical="top"/>
    </xf>
    <xf numFmtId="168" fontId="110" fillId="20" borderId="61" xfId="0" applyNumberFormat="1" applyFont="1" applyFill="1" applyBorder="1" applyAlignment="1">
      <alignment horizontal="right" vertical="top"/>
    </xf>
    <xf numFmtId="168" fontId="110" fillId="20" borderId="62" xfId="0" applyNumberFormat="1" applyFont="1" applyFill="1" applyBorder="1" applyAlignment="1">
      <alignment horizontal="right" vertical="top"/>
    </xf>
    <xf numFmtId="0" fontId="110" fillId="20" borderId="63" xfId="0" applyFont="1" applyFill="1" applyBorder="1" applyAlignment="1">
      <alignment horizontal="left" vertical="top"/>
    </xf>
    <xf numFmtId="168" fontId="110" fillId="20" borderId="92" xfId="0" applyNumberFormat="1" applyFont="1" applyFill="1" applyBorder="1" applyAlignment="1">
      <alignment horizontal="right" vertical="top"/>
    </xf>
    <xf numFmtId="168" fontId="111" fillId="16" borderId="29" xfId="0" applyNumberFormat="1" applyFont="1" applyFill="1" applyBorder="1" applyAlignment="1">
      <alignment horizontal="right" vertical="top"/>
    </xf>
    <xf numFmtId="168" fontId="111" fillId="0" borderId="29" xfId="0" applyNumberFormat="1" applyFont="1" applyFill="1" applyBorder="1" applyAlignment="1">
      <alignment horizontal="right" vertical="top"/>
    </xf>
    <xf numFmtId="168" fontId="111" fillId="0" borderId="30" xfId="0" applyNumberFormat="1" applyFont="1" applyFill="1" applyBorder="1" applyAlignment="1">
      <alignment horizontal="right" vertical="top"/>
    </xf>
    <xf numFmtId="0" fontId="111" fillId="0" borderId="31" xfId="0" applyFont="1" applyFill="1" applyBorder="1" applyAlignment="1">
      <alignment horizontal="left" vertical="top"/>
    </xf>
    <xf numFmtId="168" fontId="111" fillId="17" borderId="32" xfId="0" applyNumberFormat="1" applyFont="1" applyFill="1" applyBorder="1" applyAlignment="1">
      <alignment horizontal="right" vertical="top"/>
    </xf>
    <xf numFmtId="168" fontId="104" fillId="16" borderId="33" xfId="0" applyNumberFormat="1" applyFont="1" applyFill="1" applyBorder="1" applyAlignment="1">
      <alignment horizontal="right" vertical="top"/>
    </xf>
    <xf numFmtId="168" fontId="104" fillId="0" borderId="34" xfId="0" applyNumberFormat="1" applyFont="1" applyFill="1" applyBorder="1" applyAlignment="1">
      <alignment horizontal="right" vertical="top"/>
    </xf>
    <xf numFmtId="0" fontId="104" fillId="0" borderId="35" xfId="0" applyFont="1" applyFill="1" applyBorder="1" applyAlignment="1">
      <alignment horizontal="left" vertical="top"/>
    </xf>
    <xf numFmtId="168" fontId="104" fillId="17" borderId="36" xfId="0" applyNumberFormat="1" applyFont="1" applyFill="1" applyBorder="1" applyAlignment="1">
      <alignment horizontal="right" vertical="top"/>
    </xf>
    <xf numFmtId="168" fontId="112" fillId="18" borderId="37" xfId="0" applyNumberFormat="1" applyFont="1" applyFill="1" applyBorder="1" applyAlignment="1">
      <alignment horizontal="right" vertical="top"/>
    </xf>
    <xf numFmtId="168" fontId="112" fillId="18" borderId="38" xfId="0" applyNumberFormat="1" applyFont="1" applyFill="1" applyBorder="1" applyAlignment="1">
      <alignment horizontal="right" vertical="top"/>
    </xf>
    <xf numFmtId="0" fontId="112" fillId="18" borderId="39" xfId="0" applyFont="1" applyFill="1" applyBorder="1" applyAlignment="1">
      <alignment horizontal="left" vertical="top"/>
    </xf>
    <xf numFmtId="168" fontId="112" fillId="18" borderId="40" xfId="0" applyNumberFormat="1" applyFont="1" applyFill="1" applyBorder="1" applyAlignment="1">
      <alignment horizontal="right" vertical="top"/>
    </xf>
    <xf numFmtId="168" fontId="110" fillId="16" borderId="45" xfId="0" applyNumberFormat="1" applyFont="1" applyFill="1" applyBorder="1" applyAlignment="1">
      <alignment horizontal="right" vertical="top"/>
    </xf>
    <xf numFmtId="168" fontId="110" fillId="0" borderId="45" xfId="0" applyNumberFormat="1" applyFont="1" applyFill="1" applyBorder="1" applyAlignment="1">
      <alignment horizontal="right" vertical="top"/>
    </xf>
    <xf numFmtId="168" fontId="110" fillId="0" borderId="46" xfId="0" applyNumberFormat="1" applyFont="1" applyFill="1" applyBorder="1" applyAlignment="1">
      <alignment horizontal="right" vertical="top"/>
    </xf>
    <xf numFmtId="0" fontId="110" fillId="0" borderId="47" xfId="0" applyFont="1" applyFill="1" applyBorder="1" applyAlignment="1">
      <alignment horizontal="left" vertical="top"/>
    </xf>
    <xf numFmtId="168" fontId="110" fillId="17" borderId="48" xfId="0" applyNumberFormat="1" applyFont="1" applyFill="1" applyBorder="1" applyAlignment="1">
      <alignment horizontal="right" vertical="top"/>
    </xf>
    <xf numFmtId="168" fontId="110" fillId="19" borderId="49" xfId="0" applyNumberFormat="1" applyFont="1" applyFill="1" applyBorder="1" applyAlignment="1">
      <alignment horizontal="right" vertical="top"/>
    </xf>
    <xf numFmtId="168" fontId="110" fillId="19" borderId="50" xfId="0" applyNumberFormat="1" applyFont="1" applyFill="1" applyBorder="1" applyAlignment="1">
      <alignment horizontal="right" vertical="top"/>
    </xf>
    <xf numFmtId="0" fontId="110" fillId="19" borderId="51" xfId="0" applyFont="1" applyFill="1" applyBorder="1" applyAlignment="1">
      <alignment horizontal="left" vertical="top"/>
    </xf>
    <xf numFmtId="168" fontId="110" fillId="19" borderId="52" xfId="0" applyNumberFormat="1" applyFont="1" applyFill="1" applyBorder="1" applyAlignment="1">
      <alignment horizontal="right" vertical="top"/>
    </xf>
    <xf numFmtId="168" fontId="110" fillId="20" borderId="53" xfId="0" applyNumberFormat="1" applyFont="1" applyFill="1" applyBorder="1" applyAlignment="1">
      <alignment horizontal="right" vertical="top"/>
    </xf>
    <xf numFmtId="168" fontId="110" fillId="20" borderId="54" xfId="0" applyNumberFormat="1" applyFont="1" applyFill="1" applyBorder="1" applyAlignment="1">
      <alignment horizontal="right" vertical="top"/>
    </xf>
    <xf numFmtId="0" fontId="110" fillId="20" borderId="55" xfId="0" applyFont="1" applyFill="1" applyBorder="1" applyAlignment="1">
      <alignment horizontal="left" vertical="top"/>
    </xf>
    <xf numFmtId="168" fontId="110" fillId="20" borderId="56" xfId="0" applyNumberFormat="1" applyFont="1" applyFill="1" applyBorder="1" applyAlignment="1">
      <alignment horizontal="right" vertical="top"/>
    </xf>
    <xf numFmtId="166" fontId="15" fillId="0" borderId="0" xfId="633" applyNumberFormat="1" applyFont="1" applyFill="1" applyBorder="1"/>
    <xf numFmtId="43" fontId="15" fillId="0" borderId="0" xfId="633" applyNumberFormat="1" applyFont="1" applyFill="1" applyBorder="1"/>
    <xf numFmtId="0" fontId="15" fillId="0" borderId="0" xfId="633" applyFont="1" applyFill="1" applyBorder="1"/>
    <xf numFmtId="0" fontId="36" fillId="0" borderId="0" xfId="633" applyFont="1" applyFill="1" applyBorder="1"/>
    <xf numFmtId="0" fontId="92" fillId="0" borderId="0" xfId="633" applyFont="1" applyFill="1" applyBorder="1"/>
    <xf numFmtId="166" fontId="0" fillId="0" borderId="0" xfId="0" applyNumberFormat="1" applyFill="1" applyBorder="1"/>
    <xf numFmtId="3" fontId="15" fillId="0" borderId="0" xfId="633" applyNumberFormat="1" applyFont="1" applyFill="1"/>
    <xf numFmtId="3" fontId="36" fillId="0" borderId="0" xfId="633" applyNumberFormat="1" applyFont="1" applyFill="1"/>
    <xf numFmtId="166" fontId="0" fillId="15" borderId="0" xfId="0" applyNumberFormat="1" applyFill="1" applyBorder="1"/>
    <xf numFmtId="166" fontId="15" fillId="15" borderId="0" xfId="634" applyNumberFormat="1" applyFont="1" applyFill="1" applyBorder="1"/>
    <xf numFmtId="166" fontId="36" fillId="15" borderId="0" xfId="634" applyNumberFormat="1" applyFont="1" applyFill="1" applyBorder="1"/>
    <xf numFmtId="9" fontId="31" fillId="79" borderId="13" xfId="3" applyFont="1" applyFill="1" applyBorder="1"/>
    <xf numFmtId="166" fontId="30" fillId="79" borderId="0" xfId="1" applyNumberFormat="1" applyFont="1" applyFill="1" applyBorder="1"/>
    <xf numFmtId="0" fontId="2" fillId="0" borderId="0" xfId="633" applyFont="1" applyFill="1"/>
    <xf numFmtId="0" fontId="1" fillId="0" borderId="0" xfId="633" applyFont="1" applyFill="1"/>
    <xf numFmtId="0" fontId="36" fillId="118" borderId="0" xfId="1299" applyFont="1" applyFill="1"/>
    <xf numFmtId="43" fontId="73" fillId="0" borderId="0" xfId="1" applyFont="1" applyFill="1"/>
    <xf numFmtId="168" fontId="35" fillId="21" borderId="57" xfId="0" applyNumberFormat="1" applyFont="1" applyFill="1" applyBorder="1" applyAlignment="1">
      <alignment horizontal="right" vertical="top"/>
    </xf>
    <xf numFmtId="168" fontId="38" fillId="0" borderId="87" xfId="0" applyNumberFormat="1" applyFont="1" applyFill="1" applyBorder="1" applyAlignment="1">
      <alignment horizontal="right" vertical="top"/>
    </xf>
    <xf numFmtId="168" fontId="32" fillId="21" borderId="60" xfId="0" applyNumberFormat="1" applyFont="1" applyFill="1" applyBorder="1" applyAlignment="1">
      <alignment horizontal="right" vertical="top"/>
    </xf>
    <xf numFmtId="168" fontId="32" fillId="0" borderId="60" xfId="0" applyNumberFormat="1" applyFont="1" applyFill="1" applyBorder="1" applyAlignment="1">
      <alignment horizontal="right" vertical="top"/>
    </xf>
    <xf numFmtId="168" fontId="32" fillId="0" borderId="66" xfId="0" applyNumberFormat="1" applyFont="1" applyFill="1" applyBorder="1" applyAlignment="1">
      <alignment horizontal="right" vertical="top"/>
    </xf>
    <xf numFmtId="168" fontId="32" fillId="21" borderId="66" xfId="0" applyNumberFormat="1" applyFont="1" applyFill="1" applyBorder="1" applyAlignment="1">
      <alignment horizontal="right" vertical="top"/>
    </xf>
    <xf numFmtId="168" fontId="38" fillId="22" borderId="32" xfId="0" applyNumberFormat="1" applyFont="1" applyFill="1" applyBorder="1" applyAlignment="1">
      <alignment horizontal="right" vertical="top"/>
    </xf>
    <xf numFmtId="0" fontId="31" fillId="0" borderId="0" xfId="0" applyFont="1" applyFill="1" applyBorder="1" applyAlignment="1">
      <alignment horizontal="center"/>
    </xf>
    <xf numFmtId="0" fontId="97" fillId="0" borderId="13" xfId="0" applyFont="1" applyBorder="1" applyAlignment="1">
      <alignment horizontal="center"/>
    </xf>
    <xf numFmtId="0" fontId="97" fillId="0" borderId="24" xfId="0" applyFont="1" applyBorder="1" applyAlignment="1">
      <alignment horizontal="center"/>
    </xf>
    <xf numFmtId="0" fontId="31" fillId="0" borderId="9" xfId="0" applyFont="1" applyBorder="1" applyAlignment="1">
      <alignment horizontal="center" wrapText="1"/>
    </xf>
    <xf numFmtId="0" fontId="31" fillId="0" borderId="10" xfId="0" applyFont="1" applyBorder="1" applyAlignment="1">
      <alignment horizontal="center" wrapText="1"/>
    </xf>
    <xf numFmtId="0" fontId="31" fillId="0" borderId="9" xfId="0" applyFont="1" applyBorder="1" applyAlignment="1">
      <alignment horizontal="center"/>
    </xf>
    <xf numFmtId="0" fontId="31" fillId="0" borderId="10" xfId="0" applyFont="1" applyBorder="1" applyAlignment="1">
      <alignment horizontal="center"/>
    </xf>
    <xf numFmtId="0" fontId="31" fillId="0" borderId="11" xfId="0" applyFont="1" applyBorder="1" applyAlignment="1">
      <alignment horizontal="center"/>
    </xf>
    <xf numFmtId="0" fontId="96" fillId="0" borderId="8" xfId="0" applyFont="1" applyBorder="1" applyAlignment="1">
      <alignment horizontal="center" wrapText="1"/>
    </xf>
    <xf numFmtId="0" fontId="96" fillId="0" borderId="13" xfId="0" applyFont="1" applyBorder="1" applyAlignment="1">
      <alignment horizontal="center" wrapText="1"/>
    </xf>
    <xf numFmtId="0" fontId="97" fillId="0" borderId="13" xfId="0" applyFont="1" applyFill="1" applyBorder="1" applyAlignment="1">
      <alignment horizontal="center"/>
    </xf>
    <xf numFmtId="0" fontId="97" fillId="0" borderId="24" xfId="0" applyFont="1" applyFill="1" applyBorder="1" applyAlignment="1">
      <alignment horizontal="center"/>
    </xf>
    <xf numFmtId="0" fontId="96" fillId="0" borderId="12" xfId="0" applyFont="1" applyBorder="1" applyAlignment="1">
      <alignment horizontal="center" wrapText="1"/>
    </xf>
    <xf numFmtId="0" fontId="96" fillId="0" borderId="16" xfId="0" applyFont="1" applyBorder="1" applyAlignment="1">
      <alignment horizontal="center" wrapText="1"/>
    </xf>
    <xf numFmtId="0" fontId="88" fillId="99" borderId="85" xfId="633" applyFont="1" applyFill="1" applyBorder="1" applyAlignment="1">
      <alignment horizontal="center"/>
    </xf>
    <xf numFmtId="0" fontId="88" fillId="99" borderId="18" xfId="633" applyFont="1" applyFill="1" applyBorder="1" applyAlignment="1">
      <alignment horizontal="center"/>
    </xf>
    <xf numFmtId="0" fontId="88" fillId="99" borderId="19" xfId="633" applyFont="1" applyFill="1" applyBorder="1" applyAlignment="1">
      <alignment horizontal="center"/>
    </xf>
    <xf numFmtId="0" fontId="88" fillId="100" borderId="85" xfId="633" applyFont="1" applyFill="1" applyBorder="1" applyAlignment="1">
      <alignment horizontal="center"/>
    </xf>
    <xf numFmtId="0" fontId="88" fillId="100" borderId="18" xfId="633" applyFont="1" applyFill="1" applyBorder="1" applyAlignment="1">
      <alignment horizontal="center"/>
    </xf>
    <xf numFmtId="0" fontId="88" fillId="100" borderId="19" xfId="633" applyFont="1" applyFill="1" applyBorder="1" applyAlignment="1">
      <alignment horizontal="center"/>
    </xf>
    <xf numFmtId="0" fontId="88" fillId="101" borderId="85" xfId="633" applyFont="1" applyFill="1" applyBorder="1" applyAlignment="1">
      <alignment horizontal="center"/>
    </xf>
    <xf numFmtId="0" fontId="88" fillId="101" borderId="18" xfId="633" applyFont="1" applyFill="1" applyBorder="1" applyAlignment="1">
      <alignment horizontal="center"/>
    </xf>
    <xf numFmtId="0" fontId="88" fillId="101" borderId="19" xfId="633" applyFont="1" applyFill="1" applyBorder="1" applyAlignment="1">
      <alignment horizontal="center"/>
    </xf>
    <xf numFmtId="0" fontId="92" fillId="99" borderId="85" xfId="1299" applyFont="1" applyFill="1" applyBorder="1" applyAlignment="1">
      <alignment horizontal="center"/>
    </xf>
    <xf numFmtId="0" fontId="92" fillId="99" borderId="18" xfId="1299" applyFont="1" applyFill="1" applyBorder="1" applyAlignment="1">
      <alignment horizontal="center"/>
    </xf>
    <xf numFmtId="0" fontId="92" fillId="100" borderId="85" xfId="1299" applyFont="1" applyFill="1" applyBorder="1" applyAlignment="1">
      <alignment horizontal="center"/>
    </xf>
    <xf numFmtId="0" fontId="92" fillId="100" borderId="18" xfId="1299" applyFont="1" applyFill="1" applyBorder="1" applyAlignment="1">
      <alignment horizontal="center"/>
    </xf>
    <xf numFmtId="0" fontId="92" fillId="100" borderId="19" xfId="1299" applyFont="1" applyFill="1" applyBorder="1" applyAlignment="1">
      <alignment horizontal="center"/>
    </xf>
    <xf numFmtId="0" fontId="92" fillId="101" borderId="85" xfId="1299" applyFont="1" applyFill="1" applyBorder="1" applyAlignment="1">
      <alignment horizontal="center"/>
    </xf>
    <xf numFmtId="0" fontId="92" fillId="101" borderId="18" xfId="1299" applyFont="1" applyFill="1" applyBorder="1" applyAlignment="1">
      <alignment horizontal="center"/>
    </xf>
    <xf numFmtId="0" fontId="92" fillId="101" borderId="19" xfId="1299" applyFont="1" applyFill="1" applyBorder="1" applyAlignment="1">
      <alignment horizontal="center"/>
    </xf>
    <xf numFmtId="0" fontId="92" fillId="110" borderId="85" xfId="1299" applyFont="1" applyFill="1" applyBorder="1" applyAlignment="1">
      <alignment horizontal="center"/>
    </xf>
    <xf numFmtId="0" fontId="92" fillId="110" borderId="18" xfId="1299" applyFont="1" applyFill="1" applyBorder="1" applyAlignment="1">
      <alignment horizontal="center"/>
    </xf>
    <xf numFmtId="0" fontId="92" fillId="110" borderId="19" xfId="1299" applyFont="1" applyFill="1" applyBorder="1" applyAlignment="1">
      <alignment horizontal="center"/>
    </xf>
  </cellXfs>
  <cellStyles count="1301">
    <cellStyle name="20 % - Accent1" xfId="8"/>
    <cellStyle name="20 % - Accent1 2" xfId="9"/>
    <cellStyle name="20 % - Accent1 2 2" xfId="919"/>
    <cellStyle name="20 % - Accent1 2 3" xfId="851"/>
    <cellStyle name="20 % - Accent2" xfId="10"/>
    <cellStyle name="20 % - Accent2 2" xfId="11"/>
    <cellStyle name="20 % - Accent2 2 2" xfId="920"/>
    <cellStyle name="20 % - Accent2 2 3" xfId="852"/>
    <cellStyle name="20 % - Accent3" xfId="12"/>
    <cellStyle name="20 % - Accent3 2" xfId="13"/>
    <cellStyle name="20 % - Accent3 2 2" xfId="921"/>
    <cellStyle name="20 % - Accent3 2 3" xfId="853"/>
    <cellStyle name="20 % - Accent4" xfId="14"/>
    <cellStyle name="20 % - Accent4 2" xfId="15"/>
    <cellStyle name="20 % - Accent4 2 2" xfId="922"/>
    <cellStyle name="20 % - Accent4 2 3" xfId="854"/>
    <cellStyle name="20 % - Accent5" xfId="16"/>
    <cellStyle name="20 % - Accent5 2" xfId="17"/>
    <cellStyle name="20 % - Accent5 2 2" xfId="923"/>
    <cellStyle name="20 % - Accent5 2 3" xfId="855"/>
    <cellStyle name="20 % - Accent6" xfId="18"/>
    <cellStyle name="20 % - Accent6 2" xfId="19"/>
    <cellStyle name="20 % - Accent6 2 2" xfId="924"/>
    <cellStyle name="20 % - Accent6 2 3" xfId="856"/>
    <cellStyle name="20% - Accent1" xfId="485" builtinId="30" customBuiltin="1"/>
    <cellStyle name="20% - Accent1 2" xfId="20"/>
    <cellStyle name="20% - Accent1 2 2" xfId="21"/>
    <cellStyle name="20% - Accent1 2 3" xfId="523"/>
    <cellStyle name="20% - Accent1 2 3 2" xfId="1176"/>
    <cellStyle name="20% - Accent1 2 4" xfId="639"/>
    <cellStyle name="20% - Accent1 2 4 2" xfId="1242"/>
    <cellStyle name="20% - Accent1 2 5" xfId="925"/>
    <cellStyle name="20% - Accent1 2 6" xfId="1093"/>
    <cellStyle name="20% - Accent1 2_Mngt-P&amp;L (Overall)" xfId="798"/>
    <cellStyle name="20% - Accent1 3" xfId="22"/>
    <cellStyle name="20% - Accent1 3 2" xfId="524"/>
    <cellStyle name="20% - Accent1 3 2 2" xfId="1177"/>
    <cellStyle name="20% - Accent1 3 3" xfId="640"/>
    <cellStyle name="20% - Accent1 3 3 2" xfId="1243"/>
    <cellStyle name="20% - Accent1 3 4" xfId="926"/>
    <cellStyle name="20% - Accent1 3 5" xfId="1094"/>
    <cellStyle name="20% - Accent1 3_Mngt-P&amp;L (Overall)" xfId="799"/>
    <cellStyle name="20% - Accent1 4" xfId="1051"/>
    <cellStyle name="20% - Accent1 5" xfId="1073"/>
    <cellStyle name="20% - Accent2" xfId="489" builtinId="34" customBuiltin="1"/>
    <cellStyle name="20% - Accent2 2" xfId="23"/>
    <cellStyle name="20% - Accent2 2 2" xfId="24"/>
    <cellStyle name="20% - Accent2 2 3" xfId="525"/>
    <cellStyle name="20% - Accent2 2 3 2" xfId="1178"/>
    <cellStyle name="20% - Accent2 2 4" xfId="641"/>
    <cellStyle name="20% - Accent2 2 4 2" xfId="1244"/>
    <cellStyle name="20% - Accent2 2 5" xfId="927"/>
    <cellStyle name="20% - Accent2 2 6" xfId="1095"/>
    <cellStyle name="20% - Accent2 2_Mngt-P&amp;L (Overall)" xfId="800"/>
    <cellStyle name="20% - Accent2 3" xfId="25"/>
    <cellStyle name="20% - Accent2 3 2" xfId="526"/>
    <cellStyle name="20% - Accent2 3 2 2" xfId="1179"/>
    <cellStyle name="20% - Accent2 3 3" xfId="642"/>
    <cellStyle name="20% - Accent2 3 3 2" xfId="1245"/>
    <cellStyle name="20% - Accent2 3 4" xfId="928"/>
    <cellStyle name="20% - Accent2 3 5" xfId="1096"/>
    <cellStyle name="20% - Accent2 3_Mngt-P&amp;L (Overall)" xfId="801"/>
    <cellStyle name="20% - Accent2 4" xfId="1053"/>
    <cellStyle name="20% - Accent2 5" xfId="1075"/>
    <cellStyle name="20% - Accent3" xfId="493" builtinId="38" customBuiltin="1"/>
    <cellStyle name="20% - Accent3 2" xfId="26"/>
    <cellStyle name="20% - Accent3 2 2" xfId="27"/>
    <cellStyle name="20% - Accent3 2 3" xfId="527"/>
    <cellStyle name="20% - Accent3 2 3 2" xfId="1180"/>
    <cellStyle name="20% - Accent3 2 4" xfId="643"/>
    <cellStyle name="20% - Accent3 2 4 2" xfId="1246"/>
    <cellStyle name="20% - Accent3 2 5" xfId="929"/>
    <cellStyle name="20% - Accent3 2 6" xfId="1097"/>
    <cellStyle name="20% - Accent3 2_Mngt-P&amp;L (Overall)" xfId="802"/>
    <cellStyle name="20% - Accent3 3" xfId="28"/>
    <cellStyle name="20% - Accent3 3 2" xfId="528"/>
    <cellStyle name="20% - Accent3 3 2 2" xfId="1181"/>
    <cellStyle name="20% - Accent3 3 3" xfId="644"/>
    <cellStyle name="20% - Accent3 3 3 2" xfId="1247"/>
    <cellStyle name="20% - Accent3 3 4" xfId="930"/>
    <cellStyle name="20% - Accent3 3 5" xfId="1098"/>
    <cellStyle name="20% - Accent3 3_Mngt-P&amp;L (Overall)" xfId="803"/>
    <cellStyle name="20% - Accent3 4" xfId="1055"/>
    <cellStyle name="20% - Accent3 5" xfId="1077"/>
    <cellStyle name="20% - Accent4" xfId="497" builtinId="42" customBuiltin="1"/>
    <cellStyle name="20% - Accent4 2" xfId="29"/>
    <cellStyle name="20% - Accent4 2 2" xfId="30"/>
    <cellStyle name="20% - Accent4 2 3" xfId="529"/>
    <cellStyle name="20% - Accent4 2 3 2" xfId="1182"/>
    <cellStyle name="20% - Accent4 2 4" xfId="645"/>
    <cellStyle name="20% - Accent4 2 4 2" xfId="1248"/>
    <cellStyle name="20% - Accent4 2 5" xfId="931"/>
    <cellStyle name="20% - Accent4 2 6" xfId="1099"/>
    <cellStyle name="20% - Accent4 2_Mngt-P&amp;L (Overall)" xfId="804"/>
    <cellStyle name="20% - Accent4 3" xfId="31"/>
    <cellStyle name="20% - Accent4 3 2" xfId="530"/>
    <cellStyle name="20% - Accent4 3 2 2" xfId="1183"/>
    <cellStyle name="20% - Accent4 3 3" xfId="646"/>
    <cellStyle name="20% - Accent4 3 3 2" xfId="1249"/>
    <cellStyle name="20% - Accent4 3 4" xfId="932"/>
    <cellStyle name="20% - Accent4 3 5" xfId="1100"/>
    <cellStyle name="20% - Accent4 3_Mngt-P&amp;L (Overall)" xfId="805"/>
    <cellStyle name="20% - Accent4 4" xfId="1057"/>
    <cellStyle name="20% - Accent4 5" xfId="1079"/>
    <cellStyle name="20% - Accent5" xfId="501" builtinId="46" customBuiltin="1"/>
    <cellStyle name="20% - Accent5 2" xfId="32"/>
    <cellStyle name="20% - Accent5 2 2" xfId="33"/>
    <cellStyle name="20% - Accent5 2 3" xfId="531"/>
    <cellStyle name="20% - Accent5 2 3 2" xfId="1184"/>
    <cellStyle name="20% - Accent5 2 4" xfId="647"/>
    <cellStyle name="20% - Accent5 2 4 2" xfId="1250"/>
    <cellStyle name="20% - Accent5 2 5" xfId="933"/>
    <cellStyle name="20% - Accent5 2 6" xfId="1101"/>
    <cellStyle name="20% - Accent5 2_Mngt-P&amp;L (Overall)" xfId="806"/>
    <cellStyle name="20% - Accent5 3" xfId="34"/>
    <cellStyle name="20% - Accent5 3 2" xfId="532"/>
    <cellStyle name="20% - Accent5 3 2 2" xfId="1185"/>
    <cellStyle name="20% - Accent5 3 3" xfId="648"/>
    <cellStyle name="20% - Accent5 3 3 2" xfId="1251"/>
    <cellStyle name="20% - Accent5 3 4" xfId="934"/>
    <cellStyle name="20% - Accent5 3 5" xfId="1102"/>
    <cellStyle name="20% - Accent5 3_Mngt-P&amp;L (Overall)" xfId="807"/>
    <cellStyle name="20% - Accent5 4" xfId="1059"/>
    <cellStyle name="20% - Accent5 5" xfId="1081"/>
    <cellStyle name="20% - Accent6" xfId="505" builtinId="50" customBuiltin="1"/>
    <cellStyle name="20% - Accent6 2" xfId="35"/>
    <cellStyle name="20% - Accent6 2 2" xfId="36"/>
    <cellStyle name="20% - Accent6 2 3" xfId="533"/>
    <cellStyle name="20% - Accent6 2 3 2" xfId="1186"/>
    <cellStyle name="20% - Accent6 2 4" xfId="649"/>
    <cellStyle name="20% - Accent6 2 4 2" xfId="1252"/>
    <cellStyle name="20% - Accent6 2 5" xfId="935"/>
    <cellStyle name="20% - Accent6 2 6" xfId="1103"/>
    <cellStyle name="20% - Accent6 2_Mngt-P&amp;L (Overall)" xfId="808"/>
    <cellStyle name="20% - Accent6 3" xfId="37"/>
    <cellStyle name="20% - Accent6 3 2" xfId="534"/>
    <cellStyle name="20% - Accent6 3 2 2" xfId="1187"/>
    <cellStyle name="20% - Accent6 3 3" xfId="650"/>
    <cellStyle name="20% - Accent6 3 3 2" xfId="1253"/>
    <cellStyle name="20% - Accent6 3 4" xfId="936"/>
    <cellStyle name="20% - Accent6 3 5" xfId="1104"/>
    <cellStyle name="20% - Accent6 3_Mngt-P&amp;L (Overall)" xfId="809"/>
    <cellStyle name="20% - Accent6 4" xfId="1061"/>
    <cellStyle name="20% - Accent6 5" xfId="1083"/>
    <cellStyle name="20% - Énfasis1" xfId="38"/>
    <cellStyle name="20% - Énfasis2" xfId="39"/>
    <cellStyle name="20% - Énfasis3" xfId="40"/>
    <cellStyle name="20% - Énfasis4" xfId="41"/>
    <cellStyle name="20% - Énfasis5" xfId="42"/>
    <cellStyle name="20% - Énfasis6" xfId="43"/>
    <cellStyle name="40 % - Accent1" xfId="44"/>
    <cellStyle name="40 % - Accent1 2" xfId="45"/>
    <cellStyle name="40 % - Accent1 2 2" xfId="937"/>
    <cellStyle name="40 % - Accent1 2 3" xfId="857"/>
    <cellStyle name="40 % - Accent2" xfId="46"/>
    <cellStyle name="40 % - Accent2 2" xfId="47"/>
    <cellStyle name="40 % - Accent2 2 2" xfId="938"/>
    <cellStyle name="40 % - Accent2 2 3" xfId="858"/>
    <cellStyle name="40 % - Accent3" xfId="48"/>
    <cellStyle name="40 % - Accent3 2" xfId="49"/>
    <cellStyle name="40 % - Accent3 2 2" xfId="939"/>
    <cellStyle name="40 % - Accent3 2 3" xfId="859"/>
    <cellStyle name="40 % - Accent4" xfId="50"/>
    <cellStyle name="40 % - Accent4 2" xfId="51"/>
    <cellStyle name="40 % - Accent4 2 2" xfId="940"/>
    <cellStyle name="40 % - Accent4 2 3" xfId="860"/>
    <cellStyle name="40 % - Accent5" xfId="52"/>
    <cellStyle name="40 % - Accent5 2" xfId="53"/>
    <cellStyle name="40 % - Accent5 2 2" xfId="941"/>
    <cellStyle name="40 % - Accent5 2 3" xfId="861"/>
    <cellStyle name="40 % - Accent6" xfId="54"/>
    <cellStyle name="40 % - Accent6 2" xfId="55"/>
    <cellStyle name="40 % - Accent6 2 2" xfId="942"/>
    <cellStyle name="40 % - Accent6 2 3" xfId="862"/>
    <cellStyle name="40% - Accent1" xfId="486" builtinId="31" customBuiltin="1"/>
    <cellStyle name="40% - Accent1 2" xfId="56"/>
    <cellStyle name="40% - Accent1 2 2" xfId="57"/>
    <cellStyle name="40% - Accent1 2 3" xfId="535"/>
    <cellStyle name="40% - Accent1 2 3 2" xfId="1188"/>
    <cellStyle name="40% - Accent1 2 4" xfId="651"/>
    <cellStyle name="40% - Accent1 2 4 2" xfId="1254"/>
    <cellStyle name="40% - Accent1 2 5" xfId="943"/>
    <cellStyle name="40% - Accent1 2 6" xfId="1105"/>
    <cellStyle name="40% - Accent1 2_Mngt-P&amp;L (Overall)" xfId="810"/>
    <cellStyle name="40% - Accent1 3" xfId="58"/>
    <cellStyle name="40% - Accent1 3 2" xfId="536"/>
    <cellStyle name="40% - Accent1 3 2 2" xfId="1189"/>
    <cellStyle name="40% - Accent1 3 3" xfId="652"/>
    <cellStyle name="40% - Accent1 3 3 2" xfId="1255"/>
    <cellStyle name="40% - Accent1 3 4" xfId="944"/>
    <cellStyle name="40% - Accent1 3 5" xfId="1106"/>
    <cellStyle name="40% - Accent1 3_Mngt-P&amp;L (Overall)" xfId="811"/>
    <cellStyle name="40% - Accent1 4" xfId="1052"/>
    <cellStyle name="40% - Accent1 5" xfId="1074"/>
    <cellStyle name="40% - Accent2" xfId="490" builtinId="35" customBuiltin="1"/>
    <cellStyle name="40% - Accent2 2" xfId="59"/>
    <cellStyle name="40% - Accent2 2 2" xfId="60"/>
    <cellStyle name="40% - Accent2 2 3" xfId="537"/>
    <cellStyle name="40% - Accent2 2 3 2" xfId="1190"/>
    <cellStyle name="40% - Accent2 2 4" xfId="653"/>
    <cellStyle name="40% - Accent2 2 4 2" xfId="1256"/>
    <cellStyle name="40% - Accent2 2 5" xfId="945"/>
    <cellStyle name="40% - Accent2 2 6" xfId="1107"/>
    <cellStyle name="40% - Accent2 2_Mngt-P&amp;L (Overall)" xfId="812"/>
    <cellStyle name="40% - Accent2 3" xfId="61"/>
    <cellStyle name="40% - Accent2 3 2" xfId="538"/>
    <cellStyle name="40% - Accent2 3 2 2" xfId="1191"/>
    <cellStyle name="40% - Accent2 3 3" xfId="654"/>
    <cellStyle name="40% - Accent2 3 3 2" xfId="1257"/>
    <cellStyle name="40% - Accent2 3 4" xfId="946"/>
    <cellStyle name="40% - Accent2 3 5" xfId="1108"/>
    <cellStyle name="40% - Accent2 3_Mngt-P&amp;L (Overall)" xfId="813"/>
    <cellStyle name="40% - Accent2 4" xfId="1054"/>
    <cellStyle name="40% - Accent2 5" xfId="1076"/>
    <cellStyle name="40% - Accent3" xfId="494" builtinId="39" customBuiltin="1"/>
    <cellStyle name="40% - Accent3 2" xfId="62"/>
    <cellStyle name="40% - Accent3 2 2" xfId="63"/>
    <cellStyle name="40% - Accent3 2 3" xfId="539"/>
    <cellStyle name="40% - Accent3 2 3 2" xfId="1192"/>
    <cellStyle name="40% - Accent3 2 4" xfId="655"/>
    <cellStyle name="40% - Accent3 2 4 2" xfId="1258"/>
    <cellStyle name="40% - Accent3 2 5" xfId="947"/>
    <cellStyle name="40% - Accent3 2 6" xfId="1109"/>
    <cellStyle name="40% - Accent3 2_Mngt-P&amp;L (Overall)" xfId="814"/>
    <cellStyle name="40% - Accent3 3" xfId="64"/>
    <cellStyle name="40% - Accent3 3 2" xfId="540"/>
    <cellStyle name="40% - Accent3 3 2 2" xfId="1193"/>
    <cellStyle name="40% - Accent3 3 3" xfId="656"/>
    <cellStyle name="40% - Accent3 3 3 2" xfId="1259"/>
    <cellStyle name="40% - Accent3 3 4" xfId="948"/>
    <cellStyle name="40% - Accent3 3 5" xfId="1110"/>
    <cellStyle name="40% - Accent3 3_Mngt-P&amp;L (Overall)" xfId="815"/>
    <cellStyle name="40% - Accent3 4" xfId="1056"/>
    <cellStyle name="40% - Accent3 5" xfId="1078"/>
    <cellStyle name="40% - Accent4" xfId="498" builtinId="43" customBuiltin="1"/>
    <cellStyle name="40% - Accent4 2" xfId="65"/>
    <cellStyle name="40% - Accent4 2 2" xfId="66"/>
    <cellStyle name="40% - Accent4 2 3" xfId="541"/>
    <cellStyle name="40% - Accent4 2 3 2" xfId="1194"/>
    <cellStyle name="40% - Accent4 2 4" xfId="657"/>
    <cellStyle name="40% - Accent4 2 4 2" xfId="1260"/>
    <cellStyle name="40% - Accent4 2 5" xfId="949"/>
    <cellStyle name="40% - Accent4 2 6" xfId="1111"/>
    <cellStyle name="40% - Accent4 2_Mngt-P&amp;L (Overall)" xfId="816"/>
    <cellStyle name="40% - Accent4 3" xfId="67"/>
    <cellStyle name="40% - Accent4 3 2" xfId="542"/>
    <cellStyle name="40% - Accent4 3 2 2" xfId="1195"/>
    <cellStyle name="40% - Accent4 3 3" xfId="658"/>
    <cellStyle name="40% - Accent4 3 3 2" xfId="1261"/>
    <cellStyle name="40% - Accent4 3 4" xfId="950"/>
    <cellStyle name="40% - Accent4 3 5" xfId="1112"/>
    <cellStyle name="40% - Accent4 3_Mngt-P&amp;L (Overall)" xfId="817"/>
    <cellStyle name="40% - Accent4 4" xfId="1058"/>
    <cellStyle name="40% - Accent4 5" xfId="1080"/>
    <cellStyle name="40% - Accent5" xfId="502" builtinId="47" customBuiltin="1"/>
    <cellStyle name="40% - Accent5 2" xfId="68"/>
    <cellStyle name="40% - Accent5 2 2" xfId="69"/>
    <cellStyle name="40% - Accent5 2 3" xfId="543"/>
    <cellStyle name="40% - Accent5 2 3 2" xfId="1196"/>
    <cellStyle name="40% - Accent5 2 4" xfId="659"/>
    <cellStyle name="40% - Accent5 2 4 2" xfId="1262"/>
    <cellStyle name="40% - Accent5 2 5" xfId="951"/>
    <cellStyle name="40% - Accent5 2 6" xfId="1113"/>
    <cellStyle name="40% - Accent5 2_Mngt-P&amp;L (Overall)" xfId="818"/>
    <cellStyle name="40% - Accent5 3" xfId="70"/>
    <cellStyle name="40% - Accent5 3 2" xfId="544"/>
    <cellStyle name="40% - Accent5 3 2 2" xfId="1197"/>
    <cellStyle name="40% - Accent5 3 3" xfId="660"/>
    <cellStyle name="40% - Accent5 3 3 2" xfId="1263"/>
    <cellStyle name="40% - Accent5 3 4" xfId="952"/>
    <cellStyle name="40% - Accent5 3 5" xfId="1114"/>
    <cellStyle name="40% - Accent5 3_Mngt-P&amp;L (Overall)" xfId="819"/>
    <cellStyle name="40% - Accent5 4" xfId="1060"/>
    <cellStyle name="40% - Accent5 5" xfId="1082"/>
    <cellStyle name="40% - Accent6" xfId="506" builtinId="51" customBuiltin="1"/>
    <cellStyle name="40% - Accent6 2" xfId="71"/>
    <cellStyle name="40% - Accent6 2 2" xfId="72"/>
    <cellStyle name="40% - Accent6 2 3" xfId="545"/>
    <cellStyle name="40% - Accent6 2 3 2" xfId="1198"/>
    <cellStyle name="40% - Accent6 2 4" xfId="661"/>
    <cellStyle name="40% - Accent6 2 4 2" xfId="1264"/>
    <cellStyle name="40% - Accent6 2 5" xfId="953"/>
    <cellStyle name="40% - Accent6 2 6" xfId="1115"/>
    <cellStyle name="40% - Accent6 2_Mngt-P&amp;L (Overall)" xfId="820"/>
    <cellStyle name="40% - Accent6 3" xfId="73"/>
    <cellStyle name="40% - Accent6 3 2" xfId="546"/>
    <cellStyle name="40% - Accent6 3 2 2" xfId="1199"/>
    <cellStyle name="40% - Accent6 3 3" xfId="662"/>
    <cellStyle name="40% - Accent6 3 3 2" xfId="1265"/>
    <cellStyle name="40% - Accent6 3 4" xfId="954"/>
    <cellStyle name="40% - Accent6 3 5" xfId="1116"/>
    <cellStyle name="40% - Accent6 3_Mngt-P&amp;L (Overall)" xfId="821"/>
    <cellStyle name="40% - Accent6 4" xfId="1062"/>
    <cellStyle name="40% - Accent6 5" xfId="1084"/>
    <cellStyle name="40% - Énfasis1" xfId="74"/>
    <cellStyle name="40% - Énfasis2" xfId="75"/>
    <cellStyle name="40% - Énfasis3" xfId="76"/>
    <cellStyle name="40% - Énfasis4" xfId="77"/>
    <cellStyle name="40% - Énfasis5" xfId="78"/>
    <cellStyle name="40% - Énfasis6" xfId="79"/>
    <cellStyle name="60 % - Accent1" xfId="80"/>
    <cellStyle name="60 % - Accent1 2" xfId="81"/>
    <cellStyle name="60 % - Accent1 2 2" xfId="955"/>
    <cellStyle name="60 % - Accent1 2 3" xfId="863"/>
    <cellStyle name="60 % - Accent2" xfId="82"/>
    <cellStyle name="60 % - Accent2 2" xfId="83"/>
    <cellStyle name="60 % - Accent2 2 2" xfId="956"/>
    <cellStyle name="60 % - Accent2 2 3" xfId="864"/>
    <cellStyle name="60 % - Accent3" xfId="84"/>
    <cellStyle name="60 % - Accent3 2" xfId="85"/>
    <cellStyle name="60 % - Accent3 2 2" xfId="957"/>
    <cellStyle name="60 % - Accent3 2 3" xfId="865"/>
    <cellStyle name="60 % - Accent4" xfId="86"/>
    <cellStyle name="60 % - Accent4 2" xfId="87"/>
    <cellStyle name="60 % - Accent4 2 2" xfId="958"/>
    <cellStyle name="60 % - Accent4 2 3" xfId="866"/>
    <cellStyle name="60 % - Accent5" xfId="88"/>
    <cellStyle name="60 % - Accent5 2" xfId="89"/>
    <cellStyle name="60 % - Accent5 2 2" xfId="959"/>
    <cellStyle name="60 % - Accent5 2 3" xfId="867"/>
    <cellStyle name="60 % - Accent6" xfId="90"/>
    <cellStyle name="60 % - Accent6 2" xfId="91"/>
    <cellStyle name="60 % - Accent6 2 2" xfId="960"/>
    <cellStyle name="60 % - Accent6 2 3" xfId="868"/>
    <cellStyle name="60% - Accent1" xfId="487" builtinId="32" customBuiltin="1"/>
    <cellStyle name="60% - Accent1 2" xfId="92"/>
    <cellStyle name="60% - Accent2" xfId="491" builtinId="36" customBuiltin="1"/>
    <cellStyle name="60% - Accent2 2" xfId="93"/>
    <cellStyle name="60% - Accent3" xfId="495" builtinId="40" customBuiltin="1"/>
    <cellStyle name="60% - Accent3 2" xfId="94"/>
    <cellStyle name="60% - Accent4" xfId="499" builtinId="44" customBuiltin="1"/>
    <cellStyle name="60% - Accent4 2" xfId="95"/>
    <cellStyle name="60% - Accent5" xfId="503" builtinId="48" customBuiltin="1"/>
    <cellStyle name="60% - Accent5 2" xfId="96"/>
    <cellStyle name="60% - Accent6" xfId="507" builtinId="52" customBuiltin="1"/>
    <cellStyle name="60% - Accent6 2" xfId="97"/>
    <cellStyle name="60% - Énfasis1" xfId="98"/>
    <cellStyle name="60% - Énfasis2" xfId="99"/>
    <cellStyle name="60% - Énfasis3" xfId="100"/>
    <cellStyle name="60% - Énfasis4" xfId="101"/>
    <cellStyle name="60% - Énfasis5" xfId="102"/>
    <cellStyle name="60% - Énfasis6" xfId="103"/>
    <cellStyle name="Accent1" xfId="484" builtinId="29" customBuiltin="1"/>
    <cellStyle name="Accent1 2" xfId="104"/>
    <cellStyle name="Accent2" xfId="488" builtinId="33" customBuiltin="1"/>
    <cellStyle name="Accent2 2" xfId="105"/>
    <cellStyle name="Accent3" xfId="492" builtinId="37" customBuiltin="1"/>
    <cellStyle name="Accent3 2" xfId="106"/>
    <cellStyle name="Accent4" xfId="496" builtinId="41" customBuiltin="1"/>
    <cellStyle name="Accent4 2" xfId="107"/>
    <cellStyle name="Accent5" xfId="500" builtinId="45" customBuiltin="1"/>
    <cellStyle name="Accent5 2" xfId="108"/>
    <cellStyle name="Accent6" xfId="504" builtinId="49" customBuiltin="1"/>
    <cellStyle name="Accent6 2" xfId="109"/>
    <cellStyle name="Avertissement" xfId="110"/>
    <cellStyle name="Avertissement 2" xfId="869"/>
    <cellStyle name="Bad" xfId="474" builtinId="27" customBuiltin="1"/>
    <cellStyle name="Bad 2" xfId="111"/>
    <cellStyle name="Buena" xfId="112"/>
    <cellStyle name="Calcul" xfId="113"/>
    <cellStyle name="Calcul 2" xfId="114"/>
    <cellStyle name="Calcul 2 2" xfId="961"/>
    <cellStyle name="Calcul 2 3" xfId="870"/>
    <cellStyle name="Calculation" xfId="478" builtinId="22" customBuiltin="1"/>
    <cellStyle name="Calculation 2" xfId="115"/>
    <cellStyle name="Cálculo" xfId="116"/>
    <cellStyle name="Celda de comprobación" xfId="117"/>
    <cellStyle name="Celda vinculada" xfId="118"/>
    <cellStyle name="Cellule liée" xfId="119"/>
    <cellStyle name="Cellule liée 2" xfId="120"/>
    <cellStyle name="Cellule liée 2 2" xfId="962"/>
    <cellStyle name="Cellule liée 2 3" xfId="871"/>
    <cellStyle name="Check Cell" xfId="480" builtinId="23" customBuiltin="1"/>
    <cellStyle name="Check Cell 2" xfId="121"/>
    <cellStyle name="Comma" xfId="1" builtinId="3"/>
    <cellStyle name="Comma [0] 2" xfId="636"/>
    <cellStyle name="Comma [0] 2 2" xfId="1017"/>
    <cellStyle name="Comma [0] 2 3" xfId="893"/>
    <cellStyle name="Comma [0] 3" xfId="1026"/>
    <cellStyle name="Comma [0] 4" xfId="1011"/>
    <cellStyle name="Comma 10" xfId="7"/>
    <cellStyle name="Comma 10 2" xfId="1044"/>
    <cellStyle name="Comma 100" xfId="122"/>
    <cellStyle name="Comma 100 2" xfId="547"/>
    <cellStyle name="Comma 101" xfId="123"/>
    <cellStyle name="Comma 101 2" xfId="548"/>
    <cellStyle name="Comma 102" xfId="124"/>
    <cellStyle name="Comma 102 2" xfId="549"/>
    <cellStyle name="Comma 103" xfId="125"/>
    <cellStyle name="Comma 103 2" xfId="550"/>
    <cellStyle name="Comma 104" xfId="126"/>
    <cellStyle name="Comma 104 2" xfId="551"/>
    <cellStyle name="Comma 105" xfId="127"/>
    <cellStyle name="Comma 105 2" xfId="552"/>
    <cellStyle name="Comma 106" xfId="128"/>
    <cellStyle name="Comma 106 2" xfId="553"/>
    <cellStyle name="Comma 107" xfId="129"/>
    <cellStyle name="Comma 107 2" xfId="554"/>
    <cellStyle name="Comma 108" xfId="130"/>
    <cellStyle name="Comma 108 2" xfId="555"/>
    <cellStyle name="Comma 109" xfId="131"/>
    <cellStyle name="Comma 109 2" xfId="556"/>
    <cellStyle name="Comma 11" xfId="132"/>
    <cellStyle name="Comma 11 2" xfId="697"/>
    <cellStyle name="Comma 11 3" xfId="1042"/>
    <cellStyle name="Comma 11 4" xfId="903"/>
    <cellStyle name="Comma 11 5" xfId="1090"/>
    <cellStyle name="Comma 110" xfId="133"/>
    <cellStyle name="Comma 110 2" xfId="557"/>
    <cellStyle name="Comma 111" xfId="134"/>
    <cellStyle name="Comma 111 2" xfId="558"/>
    <cellStyle name="Comma 112" xfId="135"/>
    <cellStyle name="Comma 112 2" xfId="559"/>
    <cellStyle name="Comma 113" xfId="136"/>
    <cellStyle name="Comma 113 2" xfId="560"/>
    <cellStyle name="Comma 114" xfId="467"/>
    <cellStyle name="Comma 114 2" xfId="625"/>
    <cellStyle name="Comma 114 2 2" xfId="1232"/>
    <cellStyle name="Comma 114 3" xfId="698"/>
    <cellStyle name="Comma 114 3 2" xfId="1165"/>
    <cellStyle name="Comma 114 4" xfId="996"/>
    <cellStyle name="Comma 114 5" xfId="1149"/>
    <cellStyle name="Comma 115" xfId="517"/>
    <cellStyle name="Comma 116" xfId="631"/>
    <cellStyle name="Comma 116 2" xfId="699"/>
    <cellStyle name="Comma 116 2 2" xfId="1238"/>
    <cellStyle name="Comma 116 3" xfId="998"/>
    <cellStyle name="Comma 116 4" xfId="1155"/>
    <cellStyle name="Comma 117" xfId="634"/>
    <cellStyle name="Comma 117 2" xfId="700"/>
    <cellStyle name="Comma 117 2 2" xfId="1240"/>
    <cellStyle name="Comma 117 3" xfId="1156"/>
    <cellStyle name="Comma 118" xfId="701"/>
    <cellStyle name="Comma 119" xfId="702"/>
    <cellStyle name="Comma 12" xfId="137"/>
    <cellStyle name="Comma 12 2" xfId="703"/>
    <cellStyle name="Comma 12 2 2" xfId="1045"/>
    <cellStyle name="Comma 12 3" xfId="1144"/>
    <cellStyle name="Comma 120" xfId="704"/>
    <cellStyle name="Comma 121" xfId="705"/>
    <cellStyle name="Comma 122" xfId="706"/>
    <cellStyle name="Comma 123" xfId="707"/>
    <cellStyle name="Comma 124" xfId="708"/>
    <cellStyle name="Comma 125" xfId="709"/>
    <cellStyle name="Comma 126" xfId="710"/>
    <cellStyle name="Comma 127" xfId="711"/>
    <cellStyle name="Comma 128" xfId="712"/>
    <cellStyle name="Comma 129" xfId="713"/>
    <cellStyle name="Comma 13" xfId="138"/>
    <cellStyle name="Comma 13 2" xfId="714"/>
    <cellStyle name="Comma 13 3" xfId="1147"/>
    <cellStyle name="Comma 130" xfId="715"/>
    <cellStyle name="Comma 131" xfId="716"/>
    <cellStyle name="Comma 132" xfId="717"/>
    <cellStyle name="Comma 133" xfId="718"/>
    <cellStyle name="Comma 134" xfId="719"/>
    <cellStyle name="Comma 135" xfId="720"/>
    <cellStyle name="Comma 136" xfId="721"/>
    <cellStyle name="Comma 137" xfId="722"/>
    <cellStyle name="Comma 138" xfId="723"/>
    <cellStyle name="Comma 139" xfId="724"/>
    <cellStyle name="Comma 14" xfId="139"/>
    <cellStyle name="Comma 140" xfId="725"/>
    <cellStyle name="Comma 141" xfId="726"/>
    <cellStyle name="Comma 142" xfId="727"/>
    <cellStyle name="Comma 143" xfId="728"/>
    <cellStyle name="Comma 144" xfId="729"/>
    <cellStyle name="Comma 145" xfId="730"/>
    <cellStyle name="Comma 146" xfId="731"/>
    <cellStyle name="Comma 147" xfId="732"/>
    <cellStyle name="Comma 148" xfId="733"/>
    <cellStyle name="Comma 149" xfId="734"/>
    <cellStyle name="Comma 15" xfId="140"/>
    <cellStyle name="Comma 150" xfId="735"/>
    <cellStyle name="Comma 151" xfId="736"/>
    <cellStyle name="Comma 152" xfId="737"/>
    <cellStyle name="Comma 153" xfId="738"/>
    <cellStyle name="Comma 154" xfId="739"/>
    <cellStyle name="Comma 155" xfId="740"/>
    <cellStyle name="Comma 156" xfId="741"/>
    <cellStyle name="Comma 157" xfId="742"/>
    <cellStyle name="Comma 158" xfId="743"/>
    <cellStyle name="Comma 159" xfId="744"/>
    <cellStyle name="Comma 16" xfId="141"/>
    <cellStyle name="Comma 160" xfId="846"/>
    <cellStyle name="Comma 161" xfId="1063"/>
    <cellStyle name="Comma 162" xfId="1068"/>
    <cellStyle name="Comma 17" xfId="142"/>
    <cellStyle name="Comma 18" xfId="143"/>
    <cellStyle name="Comma 19" xfId="144"/>
    <cellStyle name="Comma 2" xfId="145"/>
    <cellStyle name="Comma 2 2" xfId="146"/>
    <cellStyle name="Comma 2 2 2" xfId="904"/>
    <cellStyle name="Comma 2 2 2 2" xfId="1018"/>
    <cellStyle name="Comma 2 2 3" xfId="895"/>
    <cellStyle name="Comma 2 3" xfId="147"/>
    <cellStyle name="Comma 2 3 2" xfId="1027"/>
    <cellStyle name="Comma 2 4" xfId="1012"/>
    <cellStyle name="Comma 2_Brisbane Milk Testing" xfId="148"/>
    <cellStyle name="Comma 20" xfId="149"/>
    <cellStyle name="Comma 21" xfId="150"/>
    <cellStyle name="Comma 22" xfId="151"/>
    <cellStyle name="Comma 23" xfId="152"/>
    <cellStyle name="Comma 24" xfId="153"/>
    <cellStyle name="Comma 25" xfId="154"/>
    <cellStyle name="Comma 26" xfId="155"/>
    <cellStyle name="Comma 27" xfId="156"/>
    <cellStyle name="Comma 28" xfId="157"/>
    <cellStyle name="Comma 29" xfId="158"/>
    <cellStyle name="Comma 3" xfId="159"/>
    <cellStyle name="Comma 3 2" xfId="160"/>
    <cellStyle name="Comma 3 2 2" xfId="745"/>
    <cellStyle name="Comma 3 2 2 2" xfId="1028"/>
    <cellStyle name="Comma 3 3" xfId="161"/>
    <cellStyle name="Comma 3 3 2" xfId="963"/>
    <cellStyle name="Comma 3 3 3" xfId="1016"/>
    <cellStyle name="Comma 3 3 4" xfId="905"/>
    <cellStyle name="Comma 3 4" xfId="1001"/>
    <cellStyle name="Comma 3 5" xfId="875"/>
    <cellStyle name="Comma 30" xfId="162"/>
    <cellStyle name="Comma 31" xfId="163"/>
    <cellStyle name="Comma 32" xfId="164"/>
    <cellStyle name="Comma 33" xfId="165"/>
    <cellStyle name="Comma 34" xfId="166"/>
    <cellStyle name="Comma 35" xfId="167"/>
    <cellStyle name="Comma 36" xfId="168"/>
    <cellStyle name="Comma 37" xfId="169"/>
    <cellStyle name="Comma 38" xfId="170"/>
    <cellStyle name="Comma 39" xfId="171"/>
    <cellStyle name="Comma 4" xfId="172"/>
    <cellStyle name="Comma 4 2" xfId="173"/>
    <cellStyle name="Comma 4 2 2" xfId="561"/>
    <cellStyle name="Comma 4 2 2 2" xfId="964"/>
    <cellStyle name="Comma 4 2 2 3" xfId="1200"/>
    <cellStyle name="Comma 4 2 3" xfId="693"/>
    <cellStyle name="Comma 4 2 3 2" xfId="1020"/>
    <cellStyle name="Comma 4 2 3 3" xfId="1296"/>
    <cellStyle name="Comma 4 2 4" xfId="906"/>
    <cellStyle name="Comma 4 2 5" xfId="1151"/>
    <cellStyle name="Comma 4 3" xfId="892"/>
    <cellStyle name="Comma 40" xfId="174"/>
    <cellStyle name="Comma 41" xfId="175"/>
    <cellStyle name="Comma 42" xfId="176"/>
    <cellStyle name="Comma 43" xfId="177"/>
    <cellStyle name="Comma 44" xfId="178"/>
    <cellStyle name="Comma 45" xfId="179"/>
    <cellStyle name="Comma 46" xfId="180"/>
    <cellStyle name="Comma 47" xfId="181"/>
    <cellStyle name="Comma 48" xfId="182"/>
    <cellStyle name="Comma 49" xfId="183"/>
    <cellStyle name="Comma 5" xfId="184"/>
    <cellStyle name="Comma 5 10" xfId="1069"/>
    <cellStyle name="Comma 5 2" xfId="185"/>
    <cellStyle name="Comma 5 2 2" xfId="562"/>
    <cellStyle name="Comma 5 2 2 2" xfId="1025"/>
    <cellStyle name="Comma 5 2 2 3" xfId="1201"/>
    <cellStyle name="Comma 5 2 3" xfId="664"/>
    <cellStyle name="Comma 5 2 3 2" xfId="1267"/>
    <cellStyle name="Comma 5 2 4" xfId="907"/>
    <cellStyle name="Comma 5 2 5" xfId="1117"/>
    <cellStyle name="Comma 5 3" xfId="186"/>
    <cellStyle name="Comma 5 3 2" xfId="563"/>
    <cellStyle name="Comma 5 3 2 2" xfId="1202"/>
    <cellStyle name="Comma 5 3 3" xfId="665"/>
    <cellStyle name="Comma 5 3 3 2" xfId="1268"/>
    <cellStyle name="Comma 5 3 4" xfId="965"/>
    <cellStyle name="Comma 5 3 5" xfId="1118"/>
    <cellStyle name="Comma 5 4" xfId="187"/>
    <cellStyle name="Comma 5 5" xfId="463"/>
    <cellStyle name="Comma 5 5 2" xfId="621"/>
    <cellStyle name="Comma 5 5 2 2" xfId="1228"/>
    <cellStyle name="Comma 5 5 3" xfId="992"/>
    <cellStyle name="Comma 5 5 4" xfId="1161"/>
    <cellStyle name="Comma 5 6" xfId="509"/>
    <cellStyle name="Comma 5 6 2" xfId="1167"/>
    <cellStyle name="Comma 5 7" xfId="627"/>
    <cellStyle name="Comma 5 7 2" xfId="1234"/>
    <cellStyle name="Comma 5 8" xfId="663"/>
    <cellStyle name="Comma 5 8 2" xfId="1266"/>
    <cellStyle name="Comma 5 9" xfId="899"/>
    <cellStyle name="Comma 50" xfId="188"/>
    <cellStyle name="Comma 51" xfId="189"/>
    <cellStyle name="Comma 52" xfId="190"/>
    <cellStyle name="Comma 53" xfId="191"/>
    <cellStyle name="Comma 54" xfId="192"/>
    <cellStyle name="Comma 55" xfId="193"/>
    <cellStyle name="Comma 56" xfId="194"/>
    <cellStyle name="Comma 57" xfId="195"/>
    <cellStyle name="Comma 58" xfId="196"/>
    <cellStyle name="Comma 59" xfId="197"/>
    <cellStyle name="Comma 6" xfId="198"/>
    <cellStyle name="Comma 6 2" xfId="746"/>
    <cellStyle name="Comma 6 2 2" xfId="1041"/>
    <cellStyle name="Comma 6 3" xfId="747"/>
    <cellStyle name="Comma 6 3 2" xfId="1004"/>
    <cellStyle name="Comma 60" xfId="199"/>
    <cellStyle name="Comma 61" xfId="200"/>
    <cellStyle name="Comma 62" xfId="201"/>
    <cellStyle name="Comma 63" xfId="202"/>
    <cellStyle name="Comma 64" xfId="203"/>
    <cellStyle name="Comma 65" xfId="204"/>
    <cellStyle name="Comma 66" xfId="205"/>
    <cellStyle name="Comma 67" xfId="206"/>
    <cellStyle name="Comma 68" xfId="207"/>
    <cellStyle name="Comma 69" xfId="208"/>
    <cellStyle name="Comma 7" xfId="209"/>
    <cellStyle name="Comma 7 2" xfId="210"/>
    <cellStyle name="Comma 7 2 2" xfId="211"/>
    <cellStyle name="Comma 7 2 2 2" xfId="564"/>
    <cellStyle name="Comma 7 2 2 2 2" xfId="1203"/>
    <cellStyle name="Comma 7 2 2 3" xfId="667"/>
    <cellStyle name="Comma 7 2 2 3 2" xfId="1270"/>
    <cellStyle name="Comma 7 2 2 4" xfId="967"/>
    <cellStyle name="Comma 7 2 2 5" xfId="1120"/>
    <cellStyle name="Comma 7 2 3" xfId="212"/>
    <cellStyle name="Comma 7 2 3 2" xfId="565"/>
    <cellStyle name="Comma 7 2 3 2 2" xfId="1204"/>
    <cellStyle name="Comma 7 2 3 3" xfId="668"/>
    <cellStyle name="Comma 7 2 3 3 2" xfId="1271"/>
    <cellStyle name="Comma 7 2 3 4" xfId="968"/>
    <cellStyle name="Comma 7 2 3 5" xfId="1121"/>
    <cellStyle name="Comma 7 2 4" xfId="514"/>
    <cellStyle name="Comma 7 2 4 2" xfId="1172"/>
    <cellStyle name="Comma 7 2 5" xfId="666"/>
    <cellStyle name="Comma 7 2 5 2" xfId="1269"/>
    <cellStyle name="Comma 7 2 6" xfId="966"/>
    <cellStyle name="Comma 7 2 7" xfId="1119"/>
    <cellStyle name="Comma 7 3" xfId="748"/>
    <cellStyle name="Comma 7 3 2" xfId="999"/>
    <cellStyle name="Comma 7 4" xfId="749"/>
    <cellStyle name="Comma 7 5" xfId="1085"/>
    <cellStyle name="Comma 70" xfId="213"/>
    <cellStyle name="Comma 71" xfId="214"/>
    <cellStyle name="Comma 72" xfId="215"/>
    <cellStyle name="Comma 73" xfId="216"/>
    <cellStyle name="Comma 74" xfId="217"/>
    <cellStyle name="Comma 75" xfId="218"/>
    <cellStyle name="Comma 76" xfId="219"/>
    <cellStyle name="Comma 77" xfId="220"/>
    <cellStyle name="Comma 78" xfId="221"/>
    <cellStyle name="Comma 79" xfId="222"/>
    <cellStyle name="Comma 8" xfId="223"/>
    <cellStyle name="Comma 8 2" xfId="1003"/>
    <cellStyle name="Comma 80" xfId="224"/>
    <cellStyle name="Comma 81" xfId="225"/>
    <cellStyle name="Comma 82" xfId="226"/>
    <cellStyle name="Comma 83" xfId="227"/>
    <cellStyle name="Comma 84" xfId="228"/>
    <cellStyle name="Comma 85" xfId="229"/>
    <cellStyle name="Comma 86" xfId="230"/>
    <cellStyle name="Comma 87" xfId="231"/>
    <cellStyle name="Comma 88" xfId="232"/>
    <cellStyle name="Comma 89" xfId="233"/>
    <cellStyle name="Comma 9" xfId="234"/>
    <cellStyle name="Comma 9 2" xfId="1010"/>
    <cellStyle name="Comma 90" xfId="235"/>
    <cellStyle name="Comma 91" xfId="236"/>
    <cellStyle name="Comma 92" xfId="237"/>
    <cellStyle name="Comma 92 2" xfId="566"/>
    <cellStyle name="Comma 93" xfId="238"/>
    <cellStyle name="Comma 93 2" xfId="567"/>
    <cellStyle name="Comma 94" xfId="239"/>
    <cellStyle name="Comma 94 2" xfId="568"/>
    <cellStyle name="Comma 95" xfId="240"/>
    <cellStyle name="Comma 95 2" xfId="569"/>
    <cellStyle name="Comma 96" xfId="241"/>
    <cellStyle name="Comma 96 2" xfId="570"/>
    <cellStyle name="Comma 97" xfId="242"/>
    <cellStyle name="Comma 97 2" xfId="571"/>
    <cellStyle name="Comma 98" xfId="243"/>
    <cellStyle name="Comma 98 2" xfId="572"/>
    <cellStyle name="Comma 99" xfId="244"/>
    <cellStyle name="Comma 99 2" xfId="573"/>
    <cellStyle name="Commentaire" xfId="245"/>
    <cellStyle name="Commentaire 2" xfId="246"/>
    <cellStyle name="Commentaire 2 2" xfId="969"/>
    <cellStyle name="Commentaire 2 3" xfId="872"/>
    <cellStyle name="Currency" xfId="2" builtinId="4"/>
    <cellStyle name="Currency [0] 2" xfId="635"/>
    <cellStyle name="Currency [0] 2 2" xfId="1015"/>
    <cellStyle name="Currency [0] 2 3" xfId="891"/>
    <cellStyle name="Currency [0] 3" xfId="1024"/>
    <cellStyle name="Currency [0] 4" xfId="1009"/>
    <cellStyle name="Currency 10" xfId="247"/>
    <cellStyle name="Currency 10 2" xfId="1047"/>
    <cellStyle name="Currency 100" xfId="248"/>
    <cellStyle name="Currency 100 2" xfId="574"/>
    <cellStyle name="Currency 101" xfId="249"/>
    <cellStyle name="Currency 101 2" xfId="575"/>
    <cellStyle name="Currency 102" xfId="250"/>
    <cellStyle name="Currency 102 2" xfId="576"/>
    <cellStyle name="Currency 103" xfId="251"/>
    <cellStyle name="Currency 103 2" xfId="577"/>
    <cellStyle name="Currency 104" xfId="252"/>
    <cellStyle name="Currency 104 2" xfId="578"/>
    <cellStyle name="Currency 105" xfId="253"/>
    <cellStyle name="Currency 105 2" xfId="579"/>
    <cellStyle name="Currency 106" xfId="254"/>
    <cellStyle name="Currency 106 2" xfId="580"/>
    <cellStyle name="Currency 107" xfId="518"/>
    <cellStyle name="Currency 108" xfId="750"/>
    <cellStyle name="Currency 108 2" xfId="997"/>
    <cellStyle name="Currency 109" xfId="751"/>
    <cellStyle name="Currency 11" xfId="255"/>
    <cellStyle name="Currency 11 2" xfId="1046"/>
    <cellStyle name="Currency 110" xfId="752"/>
    <cellStyle name="Currency 111" xfId="753"/>
    <cellStyle name="Currency 112" xfId="754"/>
    <cellStyle name="Currency 113" xfId="755"/>
    <cellStyle name="Currency 114" xfId="756"/>
    <cellStyle name="Currency 115" xfId="757"/>
    <cellStyle name="Currency 116" xfId="758"/>
    <cellStyle name="Currency 117" xfId="759"/>
    <cellStyle name="Currency 118" xfId="760"/>
    <cellStyle name="Currency 119" xfId="761"/>
    <cellStyle name="Currency 12" xfId="256"/>
    <cellStyle name="Currency 120" xfId="762"/>
    <cellStyle name="Currency 121" xfId="763"/>
    <cellStyle name="Currency 122" xfId="764"/>
    <cellStyle name="Currency 123" xfId="765"/>
    <cellStyle name="Currency 124" xfId="766"/>
    <cellStyle name="Currency 125" xfId="767"/>
    <cellStyle name="Currency 126" xfId="768"/>
    <cellStyle name="Currency 127" xfId="769"/>
    <cellStyle name="Currency 128" xfId="770"/>
    <cellStyle name="Currency 129" xfId="771"/>
    <cellStyle name="Currency 13" xfId="257"/>
    <cellStyle name="Currency 130" xfId="772"/>
    <cellStyle name="Currency 131" xfId="773"/>
    <cellStyle name="Currency 132" xfId="774"/>
    <cellStyle name="Currency 133" xfId="775"/>
    <cellStyle name="Currency 134" xfId="776"/>
    <cellStyle name="Currency 135" xfId="777"/>
    <cellStyle name="Currency 136" xfId="778"/>
    <cellStyle name="Currency 137" xfId="779"/>
    <cellStyle name="Currency 138" xfId="780"/>
    <cellStyle name="Currency 139" xfId="781"/>
    <cellStyle name="Currency 14" xfId="258"/>
    <cellStyle name="Currency 140" xfId="782"/>
    <cellStyle name="Currency 15" xfId="259"/>
    <cellStyle name="Currency 16" xfId="260"/>
    <cellStyle name="Currency 17" xfId="261"/>
    <cellStyle name="Currency 18" xfId="262"/>
    <cellStyle name="Currency 19" xfId="263"/>
    <cellStyle name="Currency 2" xfId="264"/>
    <cellStyle name="Currency 2 2" xfId="265"/>
    <cellStyle name="Currency 2 2 2" xfId="1014"/>
    <cellStyle name="Currency 2 3" xfId="266"/>
    <cellStyle name="Currency 2 4" xfId="1000"/>
    <cellStyle name="Currency 20" xfId="267"/>
    <cellStyle name="Currency 21" xfId="268"/>
    <cellStyle name="Currency 22" xfId="269"/>
    <cellStyle name="Currency 23" xfId="270"/>
    <cellStyle name="Currency 24" xfId="271"/>
    <cellStyle name="Currency 25" xfId="272"/>
    <cellStyle name="Currency 26" xfId="273"/>
    <cellStyle name="Currency 27" xfId="274"/>
    <cellStyle name="Currency 28" xfId="275"/>
    <cellStyle name="Currency 29" xfId="276"/>
    <cellStyle name="Currency 3" xfId="277"/>
    <cellStyle name="Currency 3 10" xfId="1070"/>
    <cellStyle name="Currency 3 2" xfId="278"/>
    <cellStyle name="Currency 3 2 2" xfId="581"/>
    <cellStyle name="Currency 3 2 2 2" xfId="1021"/>
    <cellStyle name="Currency 3 2 2 3" xfId="1205"/>
    <cellStyle name="Currency 3 2 3" xfId="670"/>
    <cellStyle name="Currency 3 2 3 2" xfId="1273"/>
    <cellStyle name="Currency 3 2 4" xfId="783"/>
    <cellStyle name="Currency 3 2 5" xfId="908"/>
    <cellStyle name="Currency 3 2 6" xfId="1122"/>
    <cellStyle name="Currency 3 3" xfId="279"/>
    <cellStyle name="Currency 3 3 2" xfId="582"/>
    <cellStyle name="Currency 3 3 2 2" xfId="1206"/>
    <cellStyle name="Currency 3 3 3" xfId="671"/>
    <cellStyle name="Currency 3 3 3 2" xfId="1274"/>
    <cellStyle name="Currency 3 3 4" xfId="970"/>
    <cellStyle name="Currency 3 3 5" xfId="1123"/>
    <cellStyle name="Currency 3 4" xfId="464"/>
    <cellStyle name="Currency 3 4 2" xfId="622"/>
    <cellStyle name="Currency 3 4 2 2" xfId="1229"/>
    <cellStyle name="Currency 3 4 3" xfId="993"/>
    <cellStyle name="Currency 3 4 4" xfId="1162"/>
    <cellStyle name="Currency 3 5" xfId="510"/>
    <cellStyle name="Currency 3 5 2" xfId="1168"/>
    <cellStyle name="Currency 3 6" xfId="628"/>
    <cellStyle name="Currency 3 6 2" xfId="1235"/>
    <cellStyle name="Currency 3 7" xfId="669"/>
    <cellStyle name="Currency 3 7 2" xfId="1272"/>
    <cellStyle name="Currency 3 8" xfId="784"/>
    <cellStyle name="Currency 3 9" xfId="890"/>
    <cellStyle name="Currency 30" xfId="280"/>
    <cellStyle name="Currency 31" xfId="281"/>
    <cellStyle name="Currency 32" xfId="282"/>
    <cellStyle name="Currency 33" xfId="283"/>
    <cellStyle name="Currency 34" xfId="284"/>
    <cellStyle name="Currency 35" xfId="285"/>
    <cellStyle name="Currency 36" xfId="286"/>
    <cellStyle name="Currency 37" xfId="287"/>
    <cellStyle name="Currency 38" xfId="288"/>
    <cellStyle name="Currency 39" xfId="289"/>
    <cellStyle name="Currency 4" xfId="290"/>
    <cellStyle name="Currency 4 2" xfId="785"/>
    <cellStyle name="Currency 4 2 2" xfId="1023"/>
    <cellStyle name="Currency 4 3" xfId="898"/>
    <cellStyle name="Currency 4 4" xfId="1089"/>
    <cellStyle name="Currency 40" xfId="291"/>
    <cellStyle name="Currency 41" xfId="292"/>
    <cellStyle name="Currency 42" xfId="293"/>
    <cellStyle name="Currency 43" xfId="294"/>
    <cellStyle name="Currency 44" xfId="295"/>
    <cellStyle name="Currency 45" xfId="296"/>
    <cellStyle name="Currency 46" xfId="297"/>
    <cellStyle name="Currency 47" xfId="298"/>
    <cellStyle name="Currency 48" xfId="299"/>
    <cellStyle name="Currency 49" xfId="300"/>
    <cellStyle name="Currency 5" xfId="301"/>
    <cellStyle name="Currency 5 2" xfId="786"/>
    <cellStyle name="Currency 5 2 2" xfId="1033"/>
    <cellStyle name="Currency 5 3" xfId="1005"/>
    <cellStyle name="Currency 5 4" xfId="1145"/>
    <cellStyle name="Currency 50" xfId="302"/>
    <cellStyle name="Currency 51" xfId="303"/>
    <cellStyle name="Currency 52" xfId="304"/>
    <cellStyle name="Currency 53" xfId="305"/>
    <cellStyle name="Currency 54" xfId="306"/>
    <cellStyle name="Currency 55" xfId="307"/>
    <cellStyle name="Currency 56" xfId="308"/>
    <cellStyle name="Currency 57" xfId="309"/>
    <cellStyle name="Currency 58" xfId="310"/>
    <cellStyle name="Currency 59" xfId="311"/>
    <cellStyle name="Currency 6" xfId="312"/>
    <cellStyle name="Currency 6 2" xfId="787"/>
    <cellStyle name="Currency 6 2 2" xfId="1006"/>
    <cellStyle name="Currency 6 3" xfId="1148"/>
    <cellStyle name="Currency 60" xfId="313"/>
    <cellStyle name="Currency 61" xfId="314"/>
    <cellStyle name="Currency 62" xfId="315"/>
    <cellStyle name="Currency 63" xfId="316"/>
    <cellStyle name="Currency 64" xfId="317"/>
    <cellStyle name="Currency 65" xfId="318"/>
    <cellStyle name="Currency 66" xfId="319"/>
    <cellStyle name="Currency 67" xfId="320"/>
    <cellStyle name="Currency 68" xfId="321"/>
    <cellStyle name="Currency 69" xfId="322"/>
    <cellStyle name="Currency 7" xfId="323"/>
    <cellStyle name="Currency 7 2" xfId="1007"/>
    <cellStyle name="Currency 70" xfId="324"/>
    <cellStyle name="Currency 71" xfId="325"/>
    <cellStyle name="Currency 72" xfId="326"/>
    <cellStyle name="Currency 73" xfId="327"/>
    <cellStyle name="Currency 74" xfId="328"/>
    <cellStyle name="Currency 75" xfId="329"/>
    <cellStyle name="Currency 76" xfId="330"/>
    <cellStyle name="Currency 77" xfId="331"/>
    <cellStyle name="Currency 78" xfId="332"/>
    <cellStyle name="Currency 79" xfId="333"/>
    <cellStyle name="Currency 8" xfId="334"/>
    <cellStyle name="Currency 8 2" xfId="1008"/>
    <cellStyle name="Currency 80" xfId="335"/>
    <cellStyle name="Currency 81" xfId="336"/>
    <cellStyle name="Currency 82" xfId="337"/>
    <cellStyle name="Currency 83" xfId="338"/>
    <cellStyle name="Currency 84" xfId="339"/>
    <cellStyle name="Currency 85" xfId="340"/>
    <cellStyle name="Currency 85 2" xfId="583"/>
    <cellStyle name="Currency 86" xfId="341"/>
    <cellStyle name="Currency 86 2" xfId="584"/>
    <cellStyle name="Currency 87" xfId="342"/>
    <cellStyle name="Currency 87 2" xfId="585"/>
    <cellStyle name="Currency 88" xfId="343"/>
    <cellStyle name="Currency 88 2" xfId="586"/>
    <cellStyle name="Currency 89" xfId="344"/>
    <cellStyle name="Currency 89 2" xfId="587"/>
    <cellStyle name="Currency 9" xfId="345"/>
    <cellStyle name="Currency 9 2" xfId="1043"/>
    <cellStyle name="Currency 90" xfId="346"/>
    <cellStyle name="Currency 90 2" xfId="588"/>
    <cellStyle name="Currency 91" xfId="347"/>
    <cellStyle name="Currency 91 2" xfId="589"/>
    <cellStyle name="Currency 92" xfId="348"/>
    <cellStyle name="Currency 92 2" xfId="590"/>
    <cellStyle name="Currency 93" xfId="349"/>
    <cellStyle name="Currency 93 2" xfId="591"/>
    <cellStyle name="Currency 94" xfId="350"/>
    <cellStyle name="Currency 94 2" xfId="592"/>
    <cellStyle name="Currency 95" xfId="351"/>
    <cellStyle name="Currency 95 2" xfId="593"/>
    <cellStyle name="Currency 96" xfId="352"/>
    <cellStyle name="Currency 96 2" xfId="594"/>
    <cellStyle name="Currency 97" xfId="353"/>
    <cellStyle name="Currency 97 2" xfId="595"/>
    <cellStyle name="Currency 98" xfId="354"/>
    <cellStyle name="Currency 98 2" xfId="596"/>
    <cellStyle name="Currency 99" xfId="355"/>
    <cellStyle name="Currency 99 2" xfId="597"/>
    <cellStyle name="Encabezado 4" xfId="356"/>
    <cellStyle name="Énfasis1" xfId="357"/>
    <cellStyle name="Énfasis2" xfId="358"/>
    <cellStyle name="Énfasis3" xfId="359"/>
    <cellStyle name="Énfasis4" xfId="360"/>
    <cellStyle name="Énfasis5" xfId="361"/>
    <cellStyle name="Énfasis6" xfId="362"/>
    <cellStyle name="Entrada" xfId="363"/>
    <cellStyle name="Entrée" xfId="364"/>
    <cellStyle name="Entrée 2" xfId="365"/>
    <cellStyle name="Entrée 2 2" xfId="971"/>
    <cellStyle name="Entrée 2 3" xfId="873"/>
    <cellStyle name="Euro" xfId="366"/>
    <cellStyle name="Euro 2" xfId="367"/>
    <cellStyle name="Euro 2 2" xfId="909"/>
    <cellStyle name="Euro 2 3" xfId="876"/>
    <cellStyle name="Euro 3" xfId="368"/>
    <cellStyle name="Euro 4" xfId="369"/>
    <cellStyle name="Euro 5" xfId="877"/>
    <cellStyle name="Euro_Brisbane Micro" xfId="370"/>
    <cellStyle name="Explanatory Text" xfId="482" builtinId="53" customBuiltin="1"/>
    <cellStyle name="Explanatory Text 2" xfId="371"/>
    <cellStyle name="Good" xfId="473" builtinId="26" customBuiltin="1"/>
    <cellStyle name="Good 2" xfId="372"/>
    <cellStyle name="Heading 1" xfId="469" builtinId="16" customBuiltin="1"/>
    <cellStyle name="Heading 1 2" xfId="373"/>
    <cellStyle name="Heading 2" xfId="470" builtinId="17" customBuiltin="1"/>
    <cellStyle name="Heading 2 2" xfId="374"/>
    <cellStyle name="Heading 3" xfId="471" builtinId="18" customBuiltin="1"/>
    <cellStyle name="Heading 3 2" xfId="375"/>
    <cellStyle name="Heading 4" xfId="472" builtinId="19" customBuiltin="1"/>
    <cellStyle name="Heading 4 2" xfId="376"/>
    <cellStyle name="Hyperlink" xfId="1298" builtinId="8"/>
    <cellStyle name="Hyperlink 2" xfId="377"/>
    <cellStyle name="Hyperlink 2 2" xfId="1022"/>
    <cellStyle name="Hyperlink 3" xfId="788"/>
    <cellStyle name="Incorrecto" xfId="378"/>
    <cellStyle name="Input" xfId="476" builtinId="20" customBuiltin="1"/>
    <cellStyle name="Input 2" xfId="379"/>
    <cellStyle name="Insatisfaisant" xfId="380"/>
    <cellStyle name="Insatisfaisant 2" xfId="381"/>
    <cellStyle name="Lien hypertexte" xfId="896"/>
    <cellStyle name="Linked Cell" xfId="479" builtinId="24" customBuiltin="1"/>
    <cellStyle name="Linked Cell 2" xfId="382"/>
    <cellStyle name="Milliers" xfId="894"/>
    <cellStyle name="Milliers 2" xfId="848"/>
    <cellStyle name="Milliers 2 2" xfId="1019"/>
    <cellStyle name="Milliers 2 3" xfId="1002"/>
    <cellStyle name="Milliers 3" xfId="850"/>
    <cellStyle name="Milliers 3 2" xfId="874"/>
    <cellStyle name="Milliers 3 3" xfId="1029"/>
    <cellStyle name="Milliers 4" xfId="1013"/>
    <cellStyle name="Milliers_FY2007 Activity NATemplate Markham v4" xfId="383"/>
    <cellStyle name="Neutral" xfId="475" builtinId="28" customBuiltin="1"/>
    <cellStyle name="Neutral 2" xfId="384"/>
    <cellStyle name="Neutre" xfId="385"/>
    <cellStyle name="Neutre 2" xfId="386"/>
    <cellStyle name="Normal" xfId="0" builtinId="0"/>
    <cellStyle name="Normal 10" xfId="6"/>
    <cellStyle name="Normal 10 2" xfId="387"/>
    <cellStyle name="Normal 10 2 2" xfId="598"/>
    <cellStyle name="Normal 10 2 2 2" xfId="1207"/>
    <cellStyle name="Normal 10 2 3" xfId="673"/>
    <cellStyle name="Normal 10 2 3 2" xfId="1276"/>
    <cellStyle name="Normal 10 2 4" xfId="902"/>
    <cellStyle name="Normal 10 2 5" xfId="1125"/>
    <cellStyle name="Normal 10 2_Mngt-P&amp;L (Overall)" xfId="823"/>
    <cellStyle name="Normal 10 3" xfId="388"/>
    <cellStyle name="Normal 10 3 2" xfId="599"/>
    <cellStyle name="Normal 10 3 2 2" xfId="1208"/>
    <cellStyle name="Normal 10 3 3" xfId="674"/>
    <cellStyle name="Normal 10 3 3 2" xfId="1277"/>
    <cellStyle name="Normal 10 3 4" xfId="972"/>
    <cellStyle name="Normal 10 3 5" xfId="1126"/>
    <cellStyle name="Normal 10 3_Mngt-P&amp;L (Overall)" xfId="824"/>
    <cellStyle name="Normal 10 4" xfId="522"/>
    <cellStyle name="Normal 10 4 2" xfId="1030"/>
    <cellStyle name="Normal 10 4 3" xfId="1175"/>
    <cellStyle name="Normal 10 5" xfId="672"/>
    <cellStyle name="Normal 10 5 2" xfId="1275"/>
    <cellStyle name="Normal 10 6" xfId="900"/>
    <cellStyle name="Normal 10 7" xfId="1124"/>
    <cellStyle name="Normal 10_Mngt-P&amp;L (Overall)" xfId="822"/>
    <cellStyle name="Normal 11" xfId="389"/>
    <cellStyle name="Normal 11 2" xfId="600"/>
    <cellStyle name="Normal 11 2 2" xfId="789"/>
    <cellStyle name="Normal 11 2 3" xfId="1039"/>
    <cellStyle name="Normal 11 3" xfId="1087"/>
    <cellStyle name="Normal 11_Mngt-P&amp;L (Overall)" xfId="825"/>
    <cellStyle name="Normal 12" xfId="461"/>
    <cellStyle name="Normal 12 2" xfId="619"/>
    <cellStyle name="Normal 12 2 2" xfId="1226"/>
    <cellStyle name="Normal 12 3" xfId="790"/>
    <cellStyle name="Normal 12 3 2" xfId="1159"/>
    <cellStyle name="Normal 12 4" xfId="990"/>
    <cellStyle name="Normal 12 5" xfId="1157"/>
    <cellStyle name="Normal 12_Mngt-P&amp;L (Overall)" xfId="826"/>
    <cellStyle name="Normal 13" xfId="462"/>
    <cellStyle name="Normal 13 2" xfId="620"/>
    <cellStyle name="Normal 13 2 2" xfId="1227"/>
    <cellStyle name="Normal 13 3" xfId="991"/>
    <cellStyle name="Normal 13 4" xfId="1160"/>
    <cellStyle name="Normal 13_Mngt-P&amp;L (Overall)" xfId="827"/>
    <cellStyle name="Normal 14" xfId="516"/>
    <cellStyle name="Normal 14 2" xfId="1040"/>
    <cellStyle name="Normal 15" xfId="508"/>
    <cellStyle name="Normal 15 2" xfId="1031"/>
    <cellStyle name="Normal 15 3" xfId="1166"/>
    <cellStyle name="Normal 16" xfId="626"/>
    <cellStyle name="Normal 16 2" xfId="1032"/>
    <cellStyle name="Normal 16 3" xfId="1233"/>
    <cellStyle name="Normal 17" xfId="633"/>
    <cellStyle name="Normal 17 2" xfId="1239"/>
    <cellStyle name="Normal 17 3" xfId="1299"/>
    <cellStyle name="Normal 18" xfId="695"/>
    <cellStyle name="Normal 19" xfId="845"/>
    <cellStyle name="Normal 2" xfId="4"/>
    <cellStyle name="Normal 2 10" xfId="791"/>
    <cellStyle name="Normal 2 10 2" xfId="1154"/>
    <cellStyle name="Normal 2 11" xfId="1067"/>
    <cellStyle name="Normal 2 2" xfId="390"/>
    <cellStyle name="Normal 2 2 2" xfId="391"/>
    <cellStyle name="Normal 2 2_117 - MR NB" xfId="878"/>
    <cellStyle name="Normal 2 3" xfId="392"/>
    <cellStyle name="Normal 2 4" xfId="393"/>
    <cellStyle name="Normal 2 4 2" xfId="394"/>
    <cellStyle name="Normal 2 4 3" xfId="973"/>
    <cellStyle name="Normal 2 5" xfId="5"/>
    <cellStyle name="Normal 2 5 2" xfId="395"/>
    <cellStyle name="Normal 2 5 2 2" xfId="601"/>
    <cellStyle name="Normal 2 5 2 2 2" xfId="1209"/>
    <cellStyle name="Normal 2 5 2 3" xfId="974"/>
    <cellStyle name="Normal 2 5 2 4" xfId="1152"/>
    <cellStyle name="Normal 2 5 2_Mngt-P&amp;L (Overall)" xfId="829"/>
    <cellStyle name="Normal 2 5 3" xfId="521"/>
    <cellStyle name="Normal 2 5 3 2" xfId="1174"/>
    <cellStyle name="Normal 2 5 4" xfId="638"/>
    <cellStyle name="Normal 2 5 4 2" xfId="1241"/>
    <cellStyle name="Normal 2 5 5" xfId="901"/>
    <cellStyle name="Normal 2 5 6" xfId="1092"/>
    <cellStyle name="Normal 2 5_Mngt-P&amp;L (Overall)" xfId="828"/>
    <cellStyle name="Normal 2 6" xfId="520"/>
    <cellStyle name="Normal 2 6 2" xfId="918"/>
    <cellStyle name="Normal 2 6 3" xfId="1091"/>
    <cellStyle name="Normal 2 7" xfId="637"/>
    <cellStyle name="Normal 2 7 2" xfId="1143"/>
    <cellStyle name="Normal 2 8" xfId="792"/>
    <cellStyle name="Normal 2 8 2" xfId="1146"/>
    <cellStyle name="Normal 2 9" xfId="793"/>
    <cellStyle name="Normal 2 9 2" xfId="1150"/>
    <cellStyle name="Normal 2_117 - MR NB" xfId="879"/>
    <cellStyle name="Normal 20" xfId="1048"/>
    <cellStyle name="Normal 20 2" xfId="1300"/>
    <cellStyle name="Normal 21" xfId="1050"/>
    <cellStyle name="Normal 3" xfId="396"/>
    <cellStyle name="Normal 3 10" xfId="1071"/>
    <cellStyle name="Normal 3 2" xfId="397"/>
    <cellStyle name="Normal 3 2 2" xfId="398"/>
    <cellStyle name="Normal 3 2 3" xfId="602"/>
    <cellStyle name="Normal 3 2 3 2" xfId="1210"/>
    <cellStyle name="Normal 3 2 4" xfId="676"/>
    <cellStyle name="Normal 3 2 4 2" xfId="1279"/>
    <cellStyle name="Normal 3 2 5" xfId="910"/>
    <cellStyle name="Normal 3 2 6" xfId="1127"/>
    <cellStyle name="Normal 3 2_Mngt-P&amp;L (Overall)" xfId="831"/>
    <cellStyle name="Normal 3 3" xfId="399"/>
    <cellStyle name="Normal 3 3 2" xfId="603"/>
    <cellStyle name="Normal 3 3 2 2" xfId="1211"/>
    <cellStyle name="Normal 3 3 3" xfId="677"/>
    <cellStyle name="Normal 3 3 3 2" xfId="1280"/>
    <cellStyle name="Normal 3 3 4" xfId="975"/>
    <cellStyle name="Normal 3 3 5" xfId="1128"/>
    <cellStyle name="Normal 3 3_Mngt-P&amp;L (Overall)" xfId="832"/>
    <cellStyle name="Normal 3 4" xfId="400"/>
    <cellStyle name="Normal 3 4 2" xfId="604"/>
    <cellStyle name="Normal 3 4 2 2" xfId="1212"/>
    <cellStyle name="Normal 3 4 3" xfId="694"/>
    <cellStyle name="Normal 3 4 3 2" xfId="1297"/>
    <cellStyle name="Normal 3 4 4" xfId="976"/>
    <cellStyle name="Normal 3 4 5" xfId="1153"/>
    <cellStyle name="Normal 3 4_Mngt-P&amp;L (Overall)" xfId="833"/>
    <cellStyle name="Normal 3 5" xfId="465"/>
    <cellStyle name="Normal 3 5 2" xfId="623"/>
    <cellStyle name="Normal 3 5 2 2" xfId="1230"/>
    <cellStyle name="Normal 3 5 3" xfId="994"/>
    <cellStyle name="Normal 3 5 4" xfId="1163"/>
    <cellStyle name="Normal 3 5_Mngt-P&amp;L (Overall)" xfId="834"/>
    <cellStyle name="Normal 3 6" xfId="511"/>
    <cellStyle name="Normal 3 6 2" xfId="1169"/>
    <cellStyle name="Normal 3 7" xfId="629"/>
    <cellStyle name="Normal 3 7 2" xfId="1236"/>
    <cellStyle name="Normal 3 8" xfId="675"/>
    <cellStyle name="Normal 3 8 2" xfId="1278"/>
    <cellStyle name="Normal 3 9" xfId="1066"/>
    <cellStyle name="Normal 3_Mngt-P&amp;L (Overall)" xfId="830"/>
    <cellStyle name="Normal 4" xfId="401"/>
    <cellStyle name="Normal 4 2" xfId="1038"/>
    <cellStyle name="Normal 5" xfId="402"/>
    <cellStyle name="Normal 5 2" xfId="403"/>
    <cellStyle name="Normal 5 3" xfId="911"/>
    <cellStyle name="Normal 5 4" xfId="1034"/>
    <cellStyle name="Normal 5 5" xfId="880"/>
    <cellStyle name="Normal 6" xfId="404"/>
    <cellStyle name="Normal 6 2" xfId="405"/>
    <cellStyle name="Normal 6 2 2" xfId="605"/>
    <cellStyle name="Normal 6 2 2 2" xfId="1213"/>
    <cellStyle name="Normal 6 2 3" xfId="679"/>
    <cellStyle name="Normal 6 2 3 2" xfId="1282"/>
    <cellStyle name="Normal 6 2 4" xfId="912"/>
    <cellStyle name="Normal 6 2 5" xfId="1129"/>
    <cellStyle name="Normal 6 2_Mngt-P&amp;L (Overall)" xfId="836"/>
    <cellStyle name="Normal 6 3" xfId="406"/>
    <cellStyle name="Normal 6 3 2" xfId="606"/>
    <cellStyle name="Normal 6 3 2 2" xfId="1214"/>
    <cellStyle name="Normal 6 3 3" xfId="680"/>
    <cellStyle name="Normal 6 3 3 2" xfId="1283"/>
    <cellStyle name="Normal 6 3 4" xfId="977"/>
    <cellStyle name="Normal 6 3 5" xfId="1130"/>
    <cellStyle name="Normal 6 3_Mngt-P&amp;L (Overall)" xfId="837"/>
    <cellStyle name="Normal 6 4" xfId="466"/>
    <cellStyle name="Normal 6 4 2" xfId="624"/>
    <cellStyle name="Normal 6 4 2 2" xfId="1231"/>
    <cellStyle name="Normal 6 4 3" xfId="995"/>
    <cellStyle name="Normal 6 4 4" xfId="1164"/>
    <cellStyle name="Normal 6 4_Mngt-P&amp;L (Overall)" xfId="838"/>
    <cellStyle name="Normal 6 5" xfId="512"/>
    <cellStyle name="Normal 6 5 2" xfId="1170"/>
    <cellStyle name="Normal 6 6" xfId="630"/>
    <cellStyle name="Normal 6 6 2" xfId="1237"/>
    <cellStyle name="Normal 6 7" xfId="678"/>
    <cellStyle name="Normal 6 7 2" xfId="1281"/>
    <cellStyle name="Normal 6 8" xfId="881"/>
    <cellStyle name="Normal 6 9" xfId="1072"/>
    <cellStyle name="Normal 6_Mngt-P&amp;L (Overall)" xfId="835"/>
    <cellStyle name="Normal 7" xfId="407"/>
    <cellStyle name="Normal 7 2" xfId="913"/>
    <cellStyle name="Normal 7 3" xfId="882"/>
    <cellStyle name="Normal 8" xfId="408"/>
    <cellStyle name="Normal 8 2" xfId="914"/>
    <cellStyle name="Normal 8 3" xfId="883"/>
    <cellStyle name="Normal 9" xfId="409"/>
    <cellStyle name="Normal 9 2" xfId="410"/>
    <cellStyle name="Normal 9 2 2" xfId="411"/>
    <cellStyle name="Normal 9 2 2 2" xfId="609"/>
    <cellStyle name="Normal 9 2 2 2 2" xfId="1217"/>
    <cellStyle name="Normal 9 2 2 3" xfId="683"/>
    <cellStyle name="Normal 9 2 2 3 2" xfId="1286"/>
    <cellStyle name="Normal 9 2 2 4" xfId="980"/>
    <cellStyle name="Normal 9 2 2 5" xfId="1133"/>
    <cellStyle name="Normal 9 2 2_Mngt-P&amp;L (Overall)" xfId="841"/>
    <cellStyle name="Normal 9 2 3" xfId="412"/>
    <cellStyle name="Normal 9 2 3 2" xfId="610"/>
    <cellStyle name="Normal 9 2 3 2 2" xfId="1218"/>
    <cellStyle name="Normal 9 2 3 3" xfId="684"/>
    <cellStyle name="Normal 9 2 3 3 2" xfId="1287"/>
    <cellStyle name="Normal 9 2 3 4" xfId="981"/>
    <cellStyle name="Normal 9 2 3 5" xfId="1134"/>
    <cellStyle name="Normal 9 2 3_Mngt-P&amp;L (Overall)" xfId="842"/>
    <cellStyle name="Normal 9 2 4" xfId="608"/>
    <cellStyle name="Normal 9 2 4 2" xfId="1216"/>
    <cellStyle name="Normal 9 2 5" xfId="682"/>
    <cellStyle name="Normal 9 2 5 2" xfId="1285"/>
    <cellStyle name="Normal 9 2 6" xfId="979"/>
    <cellStyle name="Normal 9 2 7" xfId="1132"/>
    <cellStyle name="Normal 9 2_Mngt-P&amp;L (Overall)" xfId="840"/>
    <cellStyle name="Normal 9 3" xfId="413"/>
    <cellStyle name="Normal 9 3 2" xfId="611"/>
    <cellStyle name="Normal 9 3 2 2" xfId="1219"/>
    <cellStyle name="Normal 9 3 3" xfId="685"/>
    <cellStyle name="Normal 9 3 3 2" xfId="1288"/>
    <cellStyle name="Normal 9 3 4" xfId="982"/>
    <cellStyle name="Normal 9 3 5" xfId="1135"/>
    <cellStyle name="Normal 9 3_Mngt-P&amp;L (Overall)" xfId="843"/>
    <cellStyle name="Normal 9 4" xfId="414"/>
    <cellStyle name="Normal 9 4 2" xfId="612"/>
    <cellStyle name="Normal 9 4 2 2" xfId="1220"/>
    <cellStyle name="Normal 9 4 3" xfId="686"/>
    <cellStyle name="Normal 9 4 3 2" xfId="1289"/>
    <cellStyle name="Normal 9 4 4" xfId="983"/>
    <cellStyle name="Normal 9 4 5" xfId="1136"/>
    <cellStyle name="Normal 9 4_Mngt-P&amp;L (Overall)" xfId="844"/>
    <cellStyle name="Normal 9 5" xfId="607"/>
    <cellStyle name="Normal 9 5 2" xfId="978"/>
    <cellStyle name="Normal 9 5 3" xfId="1215"/>
    <cellStyle name="Normal 9 6" xfId="681"/>
    <cellStyle name="Normal 9 6 2" xfId="1284"/>
    <cellStyle name="Normal 9 7" xfId="884"/>
    <cellStyle name="Normal 9 8" xfId="1131"/>
    <cellStyle name="Normal 9_Mngt-P&amp;L (Overall)" xfId="839"/>
    <cellStyle name="Notas" xfId="415"/>
    <cellStyle name="Note 2" xfId="416"/>
    <cellStyle name="Note 2 2" xfId="417"/>
    <cellStyle name="Note 2 2 2" xfId="614"/>
    <cellStyle name="Note 2 2 2 2" xfId="1222"/>
    <cellStyle name="Note 2 2 3" xfId="688"/>
    <cellStyle name="Note 2 2 3 2" xfId="1291"/>
    <cellStyle name="Note 2 2 4" xfId="985"/>
    <cellStyle name="Note 2 2 5" xfId="1137"/>
    <cellStyle name="Note 2 3" xfId="418"/>
    <cellStyle name="Note 2 3 2" xfId="615"/>
    <cellStyle name="Note 2 3 2 2" xfId="1223"/>
    <cellStyle name="Note 2 3 3" xfId="689"/>
    <cellStyle name="Note 2 3 3 2" xfId="1292"/>
    <cellStyle name="Note 2 3 4" xfId="986"/>
    <cellStyle name="Note 2 3 5" xfId="1138"/>
    <cellStyle name="Note 2 4" xfId="419"/>
    <cellStyle name="Note 2 5" xfId="613"/>
    <cellStyle name="Note 2 5 2" xfId="1221"/>
    <cellStyle name="Note 2 6" xfId="687"/>
    <cellStyle name="Note 2 6 2" xfId="1290"/>
    <cellStyle name="Note 2 7" xfId="984"/>
    <cellStyle name="Note 2 8" xfId="1065"/>
    <cellStyle name="Note 3" xfId="513"/>
    <cellStyle name="Note 3 2" xfId="1171"/>
    <cellStyle name="Note 4" xfId="1049"/>
    <cellStyle name="Output" xfId="477" builtinId="21" customBuiltin="1"/>
    <cellStyle name="Output 2" xfId="420"/>
    <cellStyle name="Percent" xfId="3" builtinId="5"/>
    <cellStyle name="Percent 10" xfId="847"/>
    <cellStyle name="Percent 11" xfId="1064"/>
    <cellStyle name="Percent 15" xfId="1035"/>
    <cellStyle name="Percent 2" xfId="421"/>
    <cellStyle name="Percent 2 2" xfId="422"/>
    <cellStyle name="Percent 2 3" xfId="916"/>
    <cellStyle name="Percent 2 4" xfId="1036"/>
    <cellStyle name="Percent 2 5" xfId="885"/>
    <cellStyle name="Percent 3" xfId="423"/>
    <cellStyle name="Percent 3 2" xfId="794"/>
    <cellStyle name="Percent 3 3" xfId="886"/>
    <cellStyle name="Percent 4" xfId="424"/>
    <cellStyle name="Percent 4 2" xfId="795"/>
    <cellStyle name="Percent 4 2 2" xfId="917"/>
    <cellStyle name="Percent 5" xfId="425"/>
    <cellStyle name="Percent 5 2" xfId="426"/>
    <cellStyle name="Percent 5 2 2" xfId="427"/>
    <cellStyle name="Percent 5 2 2 2" xfId="616"/>
    <cellStyle name="Percent 5 2 2 2 2" xfId="1224"/>
    <cellStyle name="Percent 5 2 2 3" xfId="691"/>
    <cellStyle name="Percent 5 2 2 3 2" xfId="1294"/>
    <cellStyle name="Percent 5 2 2 4" xfId="988"/>
    <cellStyle name="Percent 5 2 2 5" xfId="1141"/>
    <cellStyle name="Percent 5 2 3" xfId="428"/>
    <cellStyle name="Percent 5 2 3 2" xfId="617"/>
    <cellStyle name="Percent 5 2 3 2 2" xfId="1225"/>
    <cellStyle name="Percent 5 2 3 3" xfId="692"/>
    <cellStyle name="Percent 5 2 3 3 2" xfId="1295"/>
    <cellStyle name="Percent 5 2 3 4" xfId="989"/>
    <cellStyle name="Percent 5 2 3 5" xfId="1142"/>
    <cellStyle name="Percent 5 2 4" xfId="515"/>
    <cellStyle name="Percent 5 2 4 2" xfId="987"/>
    <cellStyle name="Percent 5 2 4 3" xfId="1173"/>
    <cellStyle name="Percent 5 2 5" xfId="690"/>
    <cellStyle name="Percent 5 2 5 2" xfId="1293"/>
    <cellStyle name="Percent 5 2 6" xfId="915"/>
    <cellStyle name="Percent 5 2 7" xfId="1140"/>
    <cellStyle name="Percent 5 3" xfId="696"/>
    <cellStyle name="Percent 5 3 2" xfId="1139"/>
    <cellStyle name="Percent 5 4" xfId="887"/>
    <cellStyle name="Percent 5 5" xfId="1086"/>
    <cellStyle name="Percent 6" xfId="429"/>
    <cellStyle name="Percent 6 2" xfId="618"/>
    <cellStyle name="Percent 6 2 2" xfId="796"/>
    <cellStyle name="Percent 6 3" xfId="1088"/>
    <cellStyle name="Percent 7" xfId="519"/>
    <cellStyle name="Percent 7 2" xfId="797"/>
    <cellStyle name="Percent 7 3" xfId="888"/>
    <cellStyle name="Percent 7 4" xfId="1158"/>
    <cellStyle name="Percent 8" xfId="889"/>
    <cellStyle name="Percent 9" xfId="1037"/>
    <cellStyle name="Pourcentage" xfId="897"/>
    <cellStyle name="Pourcentage 2" xfId="849"/>
    <cellStyle name="Pourcentage_FY2007 Activity Prato" xfId="430"/>
    <cellStyle name="Salida" xfId="431"/>
    <cellStyle name="Satisfaisant" xfId="432"/>
    <cellStyle name="Satisfaisant 2" xfId="433"/>
    <cellStyle name="Sortie" xfId="434"/>
    <cellStyle name="Sortie 2" xfId="435"/>
    <cellStyle name="Texte explicatif" xfId="436"/>
    <cellStyle name="Texte explicatif 2" xfId="437"/>
    <cellStyle name="Texto de advertencia" xfId="438"/>
    <cellStyle name="Texto explicativo" xfId="439"/>
    <cellStyle name="Title" xfId="468" builtinId="15" customBuiltin="1"/>
    <cellStyle name="Title 2" xfId="440"/>
    <cellStyle name="Titre" xfId="441"/>
    <cellStyle name="Titre 2" xfId="442"/>
    <cellStyle name="Titre 1" xfId="443"/>
    <cellStyle name="Titre 1 2" xfId="444"/>
    <cellStyle name="Titre 2" xfId="445"/>
    <cellStyle name="Titre 2 2" xfId="446"/>
    <cellStyle name="Titre 2_BS du Social au Conso" xfId="447"/>
    <cellStyle name="Titre 3" xfId="448"/>
    <cellStyle name="Titre 3 2" xfId="449"/>
    <cellStyle name="Titre 4" xfId="450"/>
    <cellStyle name="Titre 4 2" xfId="451"/>
    <cellStyle name="Titre_Balance Sheet" xfId="452"/>
    <cellStyle name="Título" xfId="453"/>
    <cellStyle name="Título 1" xfId="454"/>
    <cellStyle name="Título 2" xfId="455"/>
    <cellStyle name="Título 3" xfId="456"/>
    <cellStyle name="Total" xfId="483" builtinId="25" customBuiltin="1"/>
    <cellStyle name="Total 2" xfId="457"/>
    <cellStyle name="Vérification" xfId="458"/>
    <cellStyle name="Vérification 2" xfId="459"/>
    <cellStyle name="Vírgula 2" xfId="632"/>
    <cellStyle name="Warning Text" xfId="481" builtinId="11" customBuiltin="1"/>
    <cellStyle name="Warning Text 2" xfId="460"/>
  </cellStyles>
  <dxfs count="0"/>
  <tableStyles count="0" defaultTableStyle="TableStyleMedium2" defaultPivotStyle="PivotStyleLight16"/>
  <colors>
    <mruColors>
      <color rgb="FFCCFF99"/>
      <color rgb="FF00FFFF"/>
      <color rgb="FFFFFF00"/>
      <color rgb="FFFF33CC"/>
      <color rgb="FFFF7C80"/>
      <color rgb="FF666699"/>
      <color rgb="FF6600FF"/>
      <color rgb="FFCCCC00"/>
      <color rgb="FF66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Payroll</a:t>
            </a:r>
            <a:r>
              <a:rPr lang="en-AU" baseline="0"/>
              <a:t> FY21 vs FY20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'Mngt-Payroll'!$E$50:$F$50</c:f>
              <c:strCache>
                <c:ptCount val="2"/>
                <c:pt idx="0">
                  <c:v>O/T FTE</c:v>
                </c:pt>
                <c:pt idx="1">
                  <c:v>FY20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'Mngt-Payroll'!$G$47:$R$47</c:f>
            </c:multiLvlStrRef>
          </c:cat>
          <c:val>
            <c:numRef>
              <c:f>'Mngt-Payroll'!$G$50:$R$50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973-462D-BB9F-C559859A8F8D}"/>
            </c:ext>
          </c:extLst>
        </c:ser>
        <c:ser>
          <c:idx val="3"/>
          <c:order val="3"/>
          <c:tx>
            <c:strRef>
              <c:f>'Mngt-Payroll'!$E$51:$F$51</c:f>
              <c:strCache>
                <c:ptCount val="2"/>
                <c:pt idx="0">
                  <c:v>O/T FTE</c:v>
                </c:pt>
                <c:pt idx="1">
                  <c:v>FY21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'Mngt-Payroll'!$G$47:$R$47</c:f>
            </c:multiLvlStrRef>
          </c:cat>
          <c:val>
            <c:numRef>
              <c:f>'Mngt-Payroll'!$G$51:$R$51</c:f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973-462D-BB9F-C559859A8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762217632"/>
        <c:axId val="-1762214368"/>
      </c:barChart>
      <c:lineChart>
        <c:grouping val="standard"/>
        <c:varyColors val="0"/>
        <c:ser>
          <c:idx val="0"/>
          <c:order val="0"/>
          <c:tx>
            <c:strRef>
              <c:f>'Mngt-Payroll'!$E$48:$F$48</c:f>
              <c:strCache>
                <c:ptCount val="2"/>
                <c:pt idx="0">
                  <c:v>Paroll / revenue</c:v>
                </c:pt>
                <c:pt idx="1">
                  <c:v>FY20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'Mngt-Payroll'!$G$47:$R$47</c:f>
            </c:multiLvlStrRef>
          </c:cat>
          <c:val>
            <c:numRef>
              <c:f>'Mngt-Payroll'!$G$48:$R$48</c:f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973-462D-BB9F-C559859A8F8D}"/>
            </c:ext>
          </c:extLst>
        </c:ser>
        <c:ser>
          <c:idx val="1"/>
          <c:order val="1"/>
          <c:tx>
            <c:strRef>
              <c:f>'Mngt-Payroll'!$E$49:$F$49</c:f>
              <c:strCache>
                <c:ptCount val="2"/>
                <c:pt idx="0">
                  <c:v>Paroll / revenue</c:v>
                </c:pt>
                <c:pt idx="1">
                  <c:v>FY21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'Mngt-Payroll'!$G$47:$R$47</c:f>
            </c:multiLvlStrRef>
          </c:cat>
          <c:val>
            <c:numRef>
              <c:f>'Mngt-Payroll'!$G$49:$R$49</c:f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973-462D-BB9F-C559859A8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762213280"/>
        <c:axId val="-1762213824"/>
      </c:lineChart>
      <c:catAx>
        <c:axId val="-176221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214368"/>
        <c:crosses val="autoZero"/>
        <c:auto val="1"/>
        <c:lblAlgn val="ctr"/>
        <c:lblOffset val="100"/>
        <c:noMultiLvlLbl val="0"/>
      </c:catAx>
      <c:valAx>
        <c:axId val="-176221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217632"/>
        <c:crosses val="autoZero"/>
        <c:crossBetween val="between"/>
      </c:valAx>
      <c:valAx>
        <c:axId val="-1762213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2213280"/>
        <c:crosses val="max"/>
        <c:crossBetween val="between"/>
      </c:valAx>
      <c:catAx>
        <c:axId val="-1762213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762213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MICRO FTE O/T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'Mngt-Payroll'!$E$71:$F$71</c:f>
              <c:strCache>
                <c:ptCount val="2"/>
                <c:pt idx="0">
                  <c:v>Total MICRO O/T FTE</c:v>
                </c:pt>
                <c:pt idx="1">
                  <c:v>FY20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'Mngt-Payroll'!$G$70:$M$70</c:f>
            </c:multiLvlStrRef>
          </c:cat>
          <c:val>
            <c:numRef>
              <c:f>'Mngt-Payroll'!$G$71:$M$71</c:f>
              <c:extLst xmlns:c16r2="http://schemas.microsoft.com/office/drawing/2015/06/chart"/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45E-474C-8051-A442B33C3EC2}"/>
            </c:ext>
          </c:extLst>
        </c:ser>
        <c:ser>
          <c:idx val="1"/>
          <c:order val="1"/>
          <c:tx>
            <c:strRef>
              <c:f>'Mngt-Payroll'!$E$72:$F$72</c:f>
              <c:strCache>
                <c:ptCount val="2"/>
                <c:pt idx="0">
                  <c:v>Total MICRO O/T FTE</c:v>
                </c:pt>
                <c:pt idx="1">
                  <c:v>FY21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'Mngt-Payroll'!$G$70:$M$70</c:f>
            </c:multiLvlStrRef>
          </c:cat>
          <c:val>
            <c:numRef>
              <c:f>'Mngt-Payroll'!$G$72:$M$72</c:f>
              <c:extLst xmlns:c16r2="http://schemas.microsoft.com/office/drawing/2015/06/chart"/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45E-474C-8051-A442B33C3EC2}"/>
            </c:ext>
          </c:extLst>
        </c:ser>
        <c:ser>
          <c:idx val="9"/>
          <c:order val="2"/>
          <c:tx>
            <c:strRef>
              <c:f>'Mngt-Payroll'!$E$80:$F$80</c:f>
              <c:strCache>
                <c:ptCount val="2"/>
                <c:pt idx="0">
                  <c:v>MEL MICRO O/T FTE</c:v>
                </c:pt>
                <c:pt idx="1">
                  <c:v>FY20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'Mngt-Payroll'!$G$70:$M$70</c:f>
            </c:multiLvlStrRef>
          </c:cat>
          <c:val>
            <c:numRef>
              <c:f>'Mngt-Payroll'!$G$80:$M$80</c:f>
              <c:extLst xmlns:c16r2="http://schemas.microsoft.com/office/drawing/2015/06/chart"/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45E-474C-8051-A442B33C3EC2}"/>
            </c:ext>
          </c:extLst>
        </c:ser>
        <c:ser>
          <c:idx val="10"/>
          <c:order val="3"/>
          <c:tx>
            <c:strRef>
              <c:f>'Mngt-Payroll'!$E$81:$F$81</c:f>
              <c:strCache>
                <c:ptCount val="2"/>
                <c:pt idx="0">
                  <c:v>MEL MICRO O/T FTE</c:v>
                </c:pt>
                <c:pt idx="1">
                  <c:v>FY21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'Mngt-Payroll'!$G$70:$M$70</c:f>
            </c:multiLvlStrRef>
          </c:cat>
          <c:val>
            <c:numRef>
              <c:f>'Mngt-Payroll'!$G$81:$M$81</c:f>
              <c:extLst xmlns:c16r2="http://schemas.microsoft.com/office/drawing/2015/06/chart"/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45E-474C-8051-A442B33C3EC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967582768"/>
        <c:axId val="-1669543088"/>
      </c:lineChart>
      <c:catAx>
        <c:axId val="-1967582768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9543088"/>
        <c:crosses val="autoZero"/>
        <c:auto val="1"/>
        <c:lblAlgn val="ctr"/>
        <c:lblOffset val="100"/>
        <c:noMultiLvlLbl val="0"/>
      </c:catAx>
      <c:valAx>
        <c:axId val="-166954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FTE's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6758276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FY19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'Test Number'!$AG$40:$AR$40</c:f>
              <c:numCache>
                <c:formatCode>_-* #,##0_-;\-* #,##0_-;_-* "-"??_-;_-@_-</c:formatCode>
                <c:ptCount val="12"/>
                <c:pt idx="0">
                  <c:v>63542</c:v>
                </c:pt>
                <c:pt idx="1">
                  <c:v>65531</c:v>
                </c:pt>
                <c:pt idx="2">
                  <c:v>62019</c:v>
                </c:pt>
                <c:pt idx="3">
                  <c:v>50323</c:v>
                </c:pt>
                <c:pt idx="4">
                  <c:v>57496</c:v>
                </c:pt>
                <c:pt idx="5">
                  <c:v>63259</c:v>
                </c:pt>
                <c:pt idx="6">
                  <c:v>62546</c:v>
                </c:pt>
                <c:pt idx="7">
                  <c:v>66819</c:v>
                </c:pt>
                <c:pt idx="8">
                  <c:v>60800</c:v>
                </c:pt>
                <c:pt idx="9">
                  <c:v>65896</c:v>
                </c:pt>
                <c:pt idx="10">
                  <c:v>64948</c:v>
                </c:pt>
                <c:pt idx="11">
                  <c:v>60294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3DF-441F-B8C6-524FEC3359ED}"/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'Test Number'!$G$43:$R$43</c15:sqref>
                        </c15:formulaRef>
                      </c:ext>
                    </c:extLst>
                    <c:strCache>
                      <c:ptCount val="12"/>
                      <c:pt idx="0">
                        <c:v>Oct</c:v>
                      </c:pt>
                      <c:pt idx="1">
                        <c:v>Nov</c:v>
                      </c:pt>
                      <c:pt idx="2">
                        <c:v>Dec</c:v>
                      </c:pt>
                      <c:pt idx="3">
                        <c:v>Jan</c:v>
                      </c:pt>
                      <c:pt idx="4">
                        <c:v>Feb</c:v>
                      </c:pt>
                      <c:pt idx="5">
                        <c:v>Mar</c:v>
                      </c:pt>
                      <c:pt idx="6">
                        <c:v>Apr</c:v>
                      </c:pt>
                      <c:pt idx="7">
                        <c:v>May</c:v>
                      </c:pt>
                      <c:pt idx="8">
                        <c:v>Jun</c:v>
                      </c:pt>
                      <c:pt idx="9">
                        <c:v>Jul</c:v>
                      </c:pt>
                      <c:pt idx="10">
                        <c:v>Aug</c:v>
                      </c:pt>
                      <c:pt idx="11">
                        <c:v>Sep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tx>
            <c:v>FY20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'Test Number'!$G$40:$R$40</c:f>
              <c:numCache>
                <c:formatCode>_-* #,##0_-;\-* #,##0_-;_-* "-"??_-;_-@_-</c:formatCode>
                <c:ptCount val="12"/>
                <c:pt idx="0">
                  <c:v>70091</c:v>
                </c:pt>
                <c:pt idx="1">
                  <c:v>65802</c:v>
                </c:pt>
                <c:pt idx="2">
                  <c:v>64018</c:v>
                </c:pt>
                <c:pt idx="3">
                  <c:v>56125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3DF-441F-B8C6-524FEC3359ED}"/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'Test Number'!$G$43:$R$43</c15:sqref>
                        </c15:formulaRef>
                      </c:ext>
                    </c:extLst>
                    <c:strCache>
                      <c:ptCount val="12"/>
                      <c:pt idx="0">
                        <c:v>Oct</c:v>
                      </c:pt>
                      <c:pt idx="1">
                        <c:v>Nov</c:v>
                      </c:pt>
                      <c:pt idx="2">
                        <c:v>Dec</c:v>
                      </c:pt>
                      <c:pt idx="3">
                        <c:v>Jan</c:v>
                      </c:pt>
                      <c:pt idx="4">
                        <c:v>Feb</c:v>
                      </c:pt>
                      <c:pt idx="5">
                        <c:v>Mar</c:v>
                      </c:pt>
                      <c:pt idx="6">
                        <c:v>Apr</c:v>
                      </c:pt>
                      <c:pt idx="7">
                        <c:v>May</c:v>
                      </c:pt>
                      <c:pt idx="8">
                        <c:v>Jun</c:v>
                      </c:pt>
                      <c:pt idx="9">
                        <c:v>Jul</c:v>
                      </c:pt>
                      <c:pt idx="10">
                        <c:v>Aug</c:v>
                      </c:pt>
                      <c:pt idx="11">
                        <c:v>Sep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669537648"/>
        <c:axId val="-1669535472"/>
      </c:lineChart>
      <c:catAx>
        <c:axId val="-1669537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1669535472"/>
        <c:crosses val="autoZero"/>
        <c:auto val="1"/>
        <c:lblAlgn val="ctr"/>
        <c:lblOffset val="100"/>
        <c:noMultiLvlLbl val="0"/>
      </c:catAx>
      <c:valAx>
        <c:axId val="-1669535472"/>
        <c:scaling>
          <c:orientation val="minMax"/>
        </c:scaling>
        <c:delete val="0"/>
        <c:axPos val="l"/>
        <c:majorGridlines/>
        <c:numFmt formatCode="_-* #,##0_-;\-* #,##0_-;_-* &quot;-&quot;??_-;_-@_-" sourceLinked="1"/>
        <c:majorTickMark val="out"/>
        <c:minorTickMark val="none"/>
        <c:tickLblPos val="nextTo"/>
        <c:crossAx val="-1669537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FY20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'Test Number'!$G$37:$R$37</c:f>
              <c:numCache>
                <c:formatCode>_-* #,##0_-;\-* #,##0_-;_-* "-"??_-;_-@_-</c:formatCode>
                <c:ptCount val="12"/>
                <c:pt idx="0">
                  <c:v>58127</c:v>
                </c:pt>
                <c:pt idx="1">
                  <c:v>54110</c:v>
                </c:pt>
                <c:pt idx="2">
                  <c:v>53293</c:v>
                </c:pt>
                <c:pt idx="3">
                  <c:v>45526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423-4BCB-B1CA-2C21374D8206}"/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'Test Number'!$G$43:$R$43</c15:sqref>
                        </c15:formulaRef>
                      </c:ext>
                    </c:extLst>
                    <c:strCache>
                      <c:ptCount val="12"/>
                      <c:pt idx="0">
                        <c:v>Oct</c:v>
                      </c:pt>
                      <c:pt idx="1">
                        <c:v>Nov</c:v>
                      </c:pt>
                      <c:pt idx="2">
                        <c:v>Dec</c:v>
                      </c:pt>
                      <c:pt idx="3">
                        <c:v>Jan</c:v>
                      </c:pt>
                      <c:pt idx="4">
                        <c:v>Feb</c:v>
                      </c:pt>
                      <c:pt idx="5">
                        <c:v>Mar</c:v>
                      </c:pt>
                      <c:pt idx="6">
                        <c:v>Apr</c:v>
                      </c:pt>
                      <c:pt idx="7">
                        <c:v>May</c:v>
                      </c:pt>
                      <c:pt idx="8">
                        <c:v>Jun</c:v>
                      </c:pt>
                      <c:pt idx="9">
                        <c:v>Jul</c:v>
                      </c:pt>
                      <c:pt idx="10">
                        <c:v>Aug</c:v>
                      </c:pt>
                      <c:pt idx="11">
                        <c:v>Sep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tx>
            <c:v>FY19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'Test Number'!$AG$37:$AR$37</c:f>
              <c:numCache>
                <c:formatCode>_-* #,##0_-;\-* #,##0_-;_-* "-"??_-;_-@_-</c:formatCode>
                <c:ptCount val="12"/>
                <c:pt idx="0">
                  <c:v>53015</c:v>
                </c:pt>
                <c:pt idx="1">
                  <c:v>54113</c:v>
                </c:pt>
                <c:pt idx="2">
                  <c:v>51129</c:v>
                </c:pt>
                <c:pt idx="3">
                  <c:v>41319</c:v>
                </c:pt>
                <c:pt idx="4">
                  <c:v>47177</c:v>
                </c:pt>
                <c:pt idx="5">
                  <c:v>50832</c:v>
                </c:pt>
                <c:pt idx="6">
                  <c:v>50982</c:v>
                </c:pt>
                <c:pt idx="7">
                  <c:v>53873</c:v>
                </c:pt>
                <c:pt idx="8">
                  <c:v>48776</c:v>
                </c:pt>
                <c:pt idx="9">
                  <c:v>54204</c:v>
                </c:pt>
                <c:pt idx="10">
                  <c:v>52000</c:v>
                </c:pt>
                <c:pt idx="11">
                  <c:v>47919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423-4BCB-B1CA-2C21374D8206}"/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'Test Number'!$G$43:$R$43</c15:sqref>
                        </c15:formulaRef>
                      </c:ext>
                    </c:extLst>
                    <c:strCache>
                      <c:ptCount val="12"/>
                      <c:pt idx="0">
                        <c:v>Oct</c:v>
                      </c:pt>
                      <c:pt idx="1">
                        <c:v>Nov</c:v>
                      </c:pt>
                      <c:pt idx="2">
                        <c:v>Dec</c:v>
                      </c:pt>
                      <c:pt idx="3">
                        <c:v>Jan</c:v>
                      </c:pt>
                      <c:pt idx="4">
                        <c:v>Feb</c:v>
                      </c:pt>
                      <c:pt idx="5">
                        <c:v>Mar</c:v>
                      </c:pt>
                      <c:pt idx="6">
                        <c:v>Apr</c:v>
                      </c:pt>
                      <c:pt idx="7">
                        <c:v>May</c:v>
                      </c:pt>
                      <c:pt idx="8">
                        <c:v>Jun</c:v>
                      </c:pt>
                      <c:pt idx="9">
                        <c:v>Jul</c:v>
                      </c:pt>
                      <c:pt idx="10">
                        <c:v>Aug</c:v>
                      </c:pt>
                      <c:pt idx="11">
                        <c:v>Sep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669544176"/>
        <c:axId val="-1669545264"/>
      </c:lineChart>
      <c:catAx>
        <c:axId val="-16695441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1669545264"/>
        <c:crosses val="autoZero"/>
        <c:auto val="1"/>
        <c:lblAlgn val="ctr"/>
        <c:lblOffset val="100"/>
        <c:noMultiLvlLbl val="0"/>
      </c:catAx>
      <c:valAx>
        <c:axId val="-1669545264"/>
        <c:scaling>
          <c:orientation val="minMax"/>
        </c:scaling>
        <c:delete val="0"/>
        <c:axPos val="l"/>
        <c:majorGridlines/>
        <c:numFmt formatCode="_-* #,##0_-;\-* #,##0_-;_-* &quot;-&quot;??_-;_-@_-" sourceLinked="1"/>
        <c:majorTickMark val="out"/>
        <c:minorTickMark val="none"/>
        <c:tickLblPos val="nextTo"/>
        <c:crossAx val="-1669544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FY20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'Test Number'!$G$42:$R$42</c:f>
              <c:numCache>
                <c:formatCode>_-* #,##0_-;\-* #,##0_-;_-* "-"??_-;_-@_-</c:formatCode>
                <c:ptCount val="12"/>
                <c:pt idx="0">
                  <c:v>70091</c:v>
                </c:pt>
                <c:pt idx="1">
                  <c:v>135893</c:v>
                </c:pt>
                <c:pt idx="2">
                  <c:v>199911</c:v>
                </c:pt>
                <c:pt idx="3">
                  <c:v>256036</c:v>
                </c:pt>
                <c:pt idx="4">
                  <c:v>256036</c:v>
                </c:pt>
                <c:pt idx="5">
                  <c:v>256036</c:v>
                </c:pt>
                <c:pt idx="6">
                  <c:v>256036</c:v>
                </c:pt>
                <c:pt idx="7">
                  <c:v>256036</c:v>
                </c:pt>
                <c:pt idx="8">
                  <c:v>256036</c:v>
                </c:pt>
                <c:pt idx="9">
                  <c:v>256036</c:v>
                </c:pt>
                <c:pt idx="10">
                  <c:v>256036</c:v>
                </c:pt>
                <c:pt idx="11">
                  <c:v>256036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1F1-4D6A-A7CA-D275741A843C}"/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'Test Number'!$G$43:$R$43</c15:sqref>
                        </c15:formulaRef>
                      </c:ext>
                    </c:extLst>
                    <c:strCache>
                      <c:ptCount val="12"/>
                      <c:pt idx="0">
                        <c:v>Oct</c:v>
                      </c:pt>
                      <c:pt idx="1">
                        <c:v>Nov</c:v>
                      </c:pt>
                      <c:pt idx="2">
                        <c:v>Dec</c:v>
                      </c:pt>
                      <c:pt idx="3">
                        <c:v>Jan</c:v>
                      </c:pt>
                      <c:pt idx="4">
                        <c:v>Feb</c:v>
                      </c:pt>
                      <c:pt idx="5">
                        <c:v>Mar</c:v>
                      </c:pt>
                      <c:pt idx="6">
                        <c:v>Apr</c:v>
                      </c:pt>
                      <c:pt idx="7">
                        <c:v>May</c:v>
                      </c:pt>
                      <c:pt idx="8">
                        <c:v>Jun</c:v>
                      </c:pt>
                      <c:pt idx="9">
                        <c:v>Jul</c:v>
                      </c:pt>
                      <c:pt idx="10">
                        <c:v>Aug</c:v>
                      </c:pt>
                      <c:pt idx="11">
                        <c:v>Sep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tx>
            <c:v>FY19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'Test Number'!$AG$42:$AR$42</c:f>
              <c:numCache>
                <c:formatCode>_-* #,##0_-;\-* #,##0_-;_-* "-"??_-;_-@_-</c:formatCode>
                <c:ptCount val="12"/>
                <c:pt idx="0">
                  <c:v>63542</c:v>
                </c:pt>
                <c:pt idx="1">
                  <c:v>129073</c:v>
                </c:pt>
                <c:pt idx="2">
                  <c:v>191092</c:v>
                </c:pt>
                <c:pt idx="3">
                  <c:v>241415</c:v>
                </c:pt>
                <c:pt idx="4">
                  <c:v>298911</c:v>
                </c:pt>
                <c:pt idx="5">
                  <c:v>362170</c:v>
                </c:pt>
                <c:pt idx="6">
                  <c:v>424716</c:v>
                </c:pt>
                <c:pt idx="7">
                  <c:v>491535</c:v>
                </c:pt>
                <c:pt idx="8">
                  <c:v>552335</c:v>
                </c:pt>
                <c:pt idx="9">
                  <c:v>618231</c:v>
                </c:pt>
                <c:pt idx="10">
                  <c:v>683179</c:v>
                </c:pt>
                <c:pt idx="11">
                  <c:v>743473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1F1-4D6A-A7CA-D275741A843C}"/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'Test Number'!$G$43:$R$43</c15:sqref>
                        </c15:formulaRef>
                      </c:ext>
                    </c:extLst>
                    <c:strCache>
                      <c:ptCount val="12"/>
                      <c:pt idx="0">
                        <c:v>Oct</c:v>
                      </c:pt>
                      <c:pt idx="1">
                        <c:v>Nov</c:v>
                      </c:pt>
                      <c:pt idx="2">
                        <c:v>Dec</c:v>
                      </c:pt>
                      <c:pt idx="3">
                        <c:v>Jan</c:v>
                      </c:pt>
                      <c:pt idx="4">
                        <c:v>Feb</c:v>
                      </c:pt>
                      <c:pt idx="5">
                        <c:v>Mar</c:v>
                      </c:pt>
                      <c:pt idx="6">
                        <c:v>Apr</c:v>
                      </c:pt>
                      <c:pt idx="7">
                        <c:v>May</c:v>
                      </c:pt>
                      <c:pt idx="8">
                        <c:v>Jun</c:v>
                      </c:pt>
                      <c:pt idx="9">
                        <c:v>Jul</c:v>
                      </c:pt>
                      <c:pt idx="10">
                        <c:v>Aug</c:v>
                      </c:pt>
                      <c:pt idx="11">
                        <c:v>Sep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669544720"/>
        <c:axId val="-1669534928"/>
      </c:lineChart>
      <c:catAx>
        <c:axId val="-16695447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1669534928"/>
        <c:crosses val="autoZero"/>
        <c:auto val="1"/>
        <c:lblAlgn val="ctr"/>
        <c:lblOffset val="100"/>
        <c:noMultiLvlLbl val="0"/>
      </c:catAx>
      <c:valAx>
        <c:axId val="-1669534928"/>
        <c:scaling>
          <c:orientation val="minMax"/>
        </c:scaling>
        <c:delete val="0"/>
        <c:axPos val="l"/>
        <c:majorGridlines/>
        <c:numFmt formatCode="_-* #,##0_-;\-* #,##0_-;_-* &quot;-&quot;??_-;_-@_-" sourceLinked="1"/>
        <c:majorTickMark val="out"/>
        <c:minorTickMark val="none"/>
        <c:tickLblPos val="nextTo"/>
        <c:crossAx val="-16695447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FY20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'Test Number'!$G$44:$R$44</c:f>
              <c:numCache>
                <c:formatCode>_-* #,##0_-;\-* #,##0_-;_-* "-"??_-;_-@_-</c:formatCode>
                <c:ptCount val="12"/>
                <c:pt idx="0">
                  <c:v>58127</c:v>
                </c:pt>
                <c:pt idx="1">
                  <c:v>112237</c:v>
                </c:pt>
                <c:pt idx="2">
                  <c:v>165530</c:v>
                </c:pt>
                <c:pt idx="3">
                  <c:v>211056</c:v>
                </c:pt>
                <c:pt idx="4">
                  <c:v>211056</c:v>
                </c:pt>
                <c:pt idx="5">
                  <c:v>211056</c:v>
                </c:pt>
                <c:pt idx="6">
                  <c:v>211056</c:v>
                </c:pt>
                <c:pt idx="7">
                  <c:v>211056</c:v>
                </c:pt>
                <c:pt idx="8">
                  <c:v>211056</c:v>
                </c:pt>
                <c:pt idx="9">
                  <c:v>211056</c:v>
                </c:pt>
                <c:pt idx="10">
                  <c:v>211056</c:v>
                </c:pt>
                <c:pt idx="11">
                  <c:v>211056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42-4B81-B455-4E223DB0736E}"/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'Test Number'!$G$43:$R$43</c15:sqref>
                        </c15:formulaRef>
                      </c:ext>
                    </c:extLst>
                    <c:strCache>
                      <c:ptCount val="12"/>
                      <c:pt idx="0">
                        <c:v>Oct</c:v>
                      </c:pt>
                      <c:pt idx="1">
                        <c:v>Nov</c:v>
                      </c:pt>
                      <c:pt idx="2">
                        <c:v>Dec</c:v>
                      </c:pt>
                      <c:pt idx="3">
                        <c:v>Jan</c:v>
                      </c:pt>
                      <c:pt idx="4">
                        <c:v>Feb</c:v>
                      </c:pt>
                      <c:pt idx="5">
                        <c:v>Mar</c:v>
                      </c:pt>
                      <c:pt idx="6">
                        <c:v>Apr</c:v>
                      </c:pt>
                      <c:pt idx="7">
                        <c:v>May</c:v>
                      </c:pt>
                      <c:pt idx="8">
                        <c:v>Jun</c:v>
                      </c:pt>
                      <c:pt idx="9">
                        <c:v>Jul</c:v>
                      </c:pt>
                      <c:pt idx="10">
                        <c:v>Aug</c:v>
                      </c:pt>
                      <c:pt idx="11">
                        <c:v>Sep</c:v>
                      </c:pt>
                    </c:strCache>
                  </c:strRef>
                </c15:cat>
              </c15:filteredCategoryTitle>
            </c:ext>
          </c:extLst>
        </c:ser>
        <c:ser>
          <c:idx val="1"/>
          <c:order val="1"/>
          <c:tx>
            <c:v>FY19</c:v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'Test Number'!$AG$44:$AR$44</c:f>
              <c:numCache>
                <c:formatCode>_-* #,##0_-;\-* #,##0_-;_-* "-"??_-;_-@_-</c:formatCode>
                <c:ptCount val="12"/>
                <c:pt idx="0">
                  <c:v>53015</c:v>
                </c:pt>
                <c:pt idx="1">
                  <c:v>107128</c:v>
                </c:pt>
                <c:pt idx="2">
                  <c:v>158257</c:v>
                </c:pt>
                <c:pt idx="3">
                  <c:v>199576</c:v>
                </c:pt>
                <c:pt idx="4">
                  <c:v>246753</c:v>
                </c:pt>
                <c:pt idx="5">
                  <c:v>297585</c:v>
                </c:pt>
                <c:pt idx="6">
                  <c:v>348567</c:v>
                </c:pt>
                <c:pt idx="7">
                  <c:v>402440</c:v>
                </c:pt>
                <c:pt idx="8">
                  <c:v>451216</c:v>
                </c:pt>
                <c:pt idx="9">
                  <c:v>505420</c:v>
                </c:pt>
                <c:pt idx="10">
                  <c:v>557420</c:v>
                </c:pt>
                <c:pt idx="11">
                  <c:v>605339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42-4B81-B455-4E223DB0736E}"/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'Test Number'!$G$43:$R$43</c15:sqref>
                        </c15:formulaRef>
                      </c:ext>
                    </c:extLst>
                    <c:strCache>
                      <c:ptCount val="12"/>
                      <c:pt idx="0">
                        <c:v>Oct</c:v>
                      </c:pt>
                      <c:pt idx="1">
                        <c:v>Nov</c:v>
                      </c:pt>
                      <c:pt idx="2">
                        <c:v>Dec</c:v>
                      </c:pt>
                      <c:pt idx="3">
                        <c:v>Jan</c:v>
                      </c:pt>
                      <c:pt idx="4">
                        <c:v>Feb</c:v>
                      </c:pt>
                      <c:pt idx="5">
                        <c:v>Mar</c:v>
                      </c:pt>
                      <c:pt idx="6">
                        <c:v>Apr</c:v>
                      </c:pt>
                      <c:pt idx="7">
                        <c:v>May</c:v>
                      </c:pt>
                      <c:pt idx="8">
                        <c:v>Jun</c:v>
                      </c:pt>
                      <c:pt idx="9">
                        <c:v>Jul</c:v>
                      </c:pt>
                      <c:pt idx="10">
                        <c:v>Aug</c:v>
                      </c:pt>
                      <c:pt idx="11">
                        <c:v>Sep</c:v>
                      </c:pt>
                    </c:strCache>
                  </c: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669541456"/>
        <c:axId val="-1669537104"/>
      </c:lineChart>
      <c:catAx>
        <c:axId val="-16695414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1669537104"/>
        <c:crosses val="autoZero"/>
        <c:auto val="1"/>
        <c:lblAlgn val="ctr"/>
        <c:lblOffset val="100"/>
        <c:noMultiLvlLbl val="0"/>
      </c:catAx>
      <c:valAx>
        <c:axId val="-1669537104"/>
        <c:scaling>
          <c:orientation val="minMax"/>
        </c:scaling>
        <c:delete val="0"/>
        <c:axPos val="l"/>
        <c:majorGridlines/>
        <c:numFmt formatCode="_-* #,##0_-;\-* #,##0_-;_-* &quot;-&quot;??_-;_-@_-" sourceLinked="1"/>
        <c:majorTickMark val="out"/>
        <c:minorTickMark val="none"/>
        <c:tickLblPos val="nextTo"/>
        <c:crossAx val="-16695414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90069991251093"/>
          <c:y val="0.16708333333333336"/>
          <c:w val="0.84732152230971125"/>
          <c:h val="0.72088764946048411"/>
        </c:manualLayout>
      </c:layout>
      <c:barChart>
        <c:barDir val="col"/>
        <c:grouping val="clustered"/>
        <c:varyColors val="0"/>
        <c:ser>
          <c:idx val="1"/>
          <c:order val="0"/>
          <c:tx>
            <c:v>FY19 July YTD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'Test Number'!$E$47:$E$50</c:f>
              <c:strCache>
                <c:ptCount val="4"/>
                <c:pt idx="0">
                  <c:v>Brisbane tests</c:v>
                </c:pt>
                <c:pt idx="1">
                  <c:v>Melbourne tests</c:v>
                </c:pt>
                <c:pt idx="2">
                  <c:v>Perth tests </c:v>
                </c:pt>
                <c:pt idx="3">
                  <c:v>Sydney tests</c:v>
                </c:pt>
              </c:strCache>
            </c:strRef>
          </c:cat>
          <c:val>
            <c:numRef>
              <c:f>'Test Number'!$AR$47:$AR$50</c:f>
              <c:numCache>
                <c:formatCode>_-* #,##0_-;\-* #,##0_-;_-* "-"??_-;_-@_-</c:formatCode>
                <c:ptCount val="4"/>
                <c:pt idx="0">
                  <c:v>165017</c:v>
                </c:pt>
                <c:pt idx="1">
                  <c:v>198536</c:v>
                </c:pt>
                <c:pt idx="2">
                  <c:v>67340</c:v>
                </c:pt>
                <c:pt idx="3">
                  <c:v>187338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C7-4695-8356-9FEE89934A14}"/>
            </c:ext>
          </c:extLst>
        </c:ser>
        <c:ser>
          <c:idx val="0"/>
          <c:order val="1"/>
          <c:tx>
            <c:v>FY20 July YTD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'Test Number'!$E$47:$E$50</c:f>
              <c:strCache>
                <c:ptCount val="4"/>
                <c:pt idx="0">
                  <c:v>Brisbane tests</c:v>
                </c:pt>
                <c:pt idx="1">
                  <c:v>Melbourne tests</c:v>
                </c:pt>
                <c:pt idx="2">
                  <c:v>Perth tests </c:v>
                </c:pt>
                <c:pt idx="3">
                  <c:v>Sydney tests</c:v>
                </c:pt>
              </c:strCache>
            </c:strRef>
          </c:cat>
          <c:val>
            <c:numRef>
              <c:f>'Test Number'!$S$47:$S$50</c:f>
              <c:numCache>
                <c:formatCode>_-* #,##0_-;\-* #,##0_-;_-* "-"??_-;_-@_-</c:formatCode>
                <c:ptCount val="4"/>
                <c:pt idx="0">
                  <c:v>59854</c:v>
                </c:pt>
                <c:pt idx="1">
                  <c:v>93683</c:v>
                </c:pt>
                <c:pt idx="2">
                  <c:v>30400</c:v>
                </c:pt>
                <c:pt idx="3">
                  <c:v>72099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4C7-4695-8356-9FEE89934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669540368"/>
        <c:axId val="-1669540912"/>
      </c:barChart>
      <c:catAx>
        <c:axId val="-166954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9540912"/>
        <c:crosses val="autoZero"/>
        <c:auto val="1"/>
        <c:lblAlgn val="ctr"/>
        <c:lblOffset val="100"/>
        <c:noMultiLvlLbl val="0"/>
      </c:catAx>
      <c:valAx>
        <c:axId val="-1669540912"/>
        <c:scaling>
          <c:orientation val="minMax"/>
          <c:max val="350000"/>
          <c:min val="8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954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043919510061243"/>
          <c:y val="6.5392971711869377E-2"/>
          <c:w val="0.18233858267716535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595311</xdr:colOff>
      <xdr:row>52</xdr:row>
      <xdr:rowOff>76200</xdr:rowOff>
    </xdr:from>
    <xdr:to>
      <xdr:col>10</xdr:col>
      <xdr:colOff>295275</xdr:colOff>
      <xdr:row>69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476250</xdr:colOff>
      <xdr:row>88</xdr:row>
      <xdr:rowOff>120650</xdr:rowOff>
    </xdr:from>
    <xdr:to>
      <xdr:col>13</xdr:col>
      <xdr:colOff>628650</xdr:colOff>
      <xdr:row>123</xdr:row>
      <xdr:rowOff>6350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391886</xdr:colOff>
      <xdr:row>110</xdr:row>
      <xdr:rowOff>19047</xdr:rowOff>
    </xdr:from>
    <xdr:to>
      <xdr:col>17</xdr:col>
      <xdr:colOff>625929</xdr:colOff>
      <xdr:row>131</xdr:row>
      <xdr:rowOff>141512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3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10884</xdr:colOff>
      <xdr:row>133</xdr:row>
      <xdr:rowOff>19049</xdr:rowOff>
    </xdr:from>
    <xdr:to>
      <xdr:col>17</xdr:col>
      <xdr:colOff>593271</xdr:colOff>
      <xdr:row>153</xdr:row>
      <xdr:rowOff>10885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3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21770</xdr:colOff>
      <xdr:row>154</xdr:row>
      <xdr:rowOff>19049</xdr:rowOff>
    </xdr:from>
    <xdr:to>
      <xdr:col>18</xdr:col>
      <xdr:colOff>27213</xdr:colOff>
      <xdr:row>173</xdr:row>
      <xdr:rowOff>43542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3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32655</xdr:colOff>
      <xdr:row>175</xdr:row>
      <xdr:rowOff>35378</xdr:rowOff>
    </xdr:from>
    <xdr:to>
      <xdr:col>17</xdr:col>
      <xdr:colOff>615043</xdr:colOff>
      <xdr:row>193</xdr:row>
      <xdr:rowOff>157843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3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149225</xdr:colOff>
      <xdr:row>54</xdr:row>
      <xdr:rowOff>107950</xdr:rowOff>
    </xdr:from>
    <xdr:to>
      <xdr:col>39</xdr:col>
      <xdr:colOff>276225</xdr:colOff>
      <xdr:row>69</xdr:row>
      <xdr:rowOff>88900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3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inancial%20Reporting\FY23\04%20Jan%202023\Worked%20FTE%20-%20Jan%2020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Pivot"/>
      <sheetName val="Ops - Pivot"/>
      <sheetName val="Overtime"/>
      <sheetName val="Sheet1"/>
      <sheetName val="Summary - Monthly"/>
      <sheetName val="TRANS EMP EXTRACT - COST CENTRE"/>
      <sheetName val="TRANS EMP EXTRACT - EMP CATEGOR"/>
      <sheetName val="Leave Balance"/>
      <sheetName val="Departments"/>
      <sheetName val="Managemen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4">
          <cell r="F4" t="str">
            <v>Bris Customer CareOVERTIME FTE</v>
          </cell>
          <cell r="G4" t="str">
            <v>Bris Customer Care</v>
          </cell>
          <cell r="H4" t="str">
            <v>OVERTIME FTE</v>
          </cell>
          <cell r="I4">
            <v>0</v>
          </cell>
        </row>
        <row r="5">
          <cell r="F5" t="str">
            <v>Brisbane Lab AdminOVERTIME FTE</v>
          </cell>
          <cell r="G5" t="str">
            <v>Brisbane Lab Admin</v>
          </cell>
          <cell r="H5" t="str">
            <v>OVERTIME FTE</v>
          </cell>
          <cell r="I5">
            <v>0</v>
          </cell>
        </row>
        <row r="6">
          <cell r="F6" t="str">
            <v>Brisbane MicroOVERTIME FTE</v>
          </cell>
          <cell r="G6" t="str">
            <v>Brisbane Micro</v>
          </cell>
          <cell r="H6" t="str">
            <v>OVERTIME FTE</v>
          </cell>
          <cell r="I6">
            <v>0.57697543859649136</v>
          </cell>
        </row>
        <row r="7">
          <cell r="F7" t="str">
            <v>Brisbane Milk TestingOVERTIME FTE</v>
          </cell>
          <cell r="G7" t="str">
            <v>Brisbane Milk Testing</v>
          </cell>
          <cell r="H7" t="str">
            <v>OVERTIME FTE</v>
          </cell>
          <cell r="I7">
            <v>0.17865438596491226</v>
          </cell>
        </row>
        <row r="8">
          <cell r="F8" t="str">
            <v>Central Lab AdminOVERTIME FTE</v>
          </cell>
          <cell r="G8" t="str">
            <v>Central Lab Admin</v>
          </cell>
          <cell r="H8" t="str">
            <v>OVERTIME FTE</v>
          </cell>
          <cell r="I8">
            <v>0</v>
          </cell>
        </row>
        <row r="9">
          <cell r="F9" t="str">
            <v>Consulting Micro  SCOVERTIME FTE</v>
          </cell>
          <cell r="G9" t="str">
            <v>Consulting Micro  SC</v>
          </cell>
          <cell r="H9" t="str">
            <v>OVERTIME FTE</v>
          </cell>
          <cell r="I9">
            <v>0</v>
          </cell>
        </row>
        <row r="10">
          <cell r="F10" t="str">
            <v>G&amp;AOVERTIME FTE</v>
          </cell>
          <cell r="G10" t="str">
            <v>G&amp;A</v>
          </cell>
          <cell r="H10" t="str">
            <v>OVERTIME FTE</v>
          </cell>
          <cell r="I10">
            <v>0</v>
          </cell>
        </row>
        <row r="11">
          <cell r="F11" t="str">
            <v>ITOVERTIME FTE</v>
          </cell>
          <cell r="G11" t="str">
            <v>IT</v>
          </cell>
          <cell r="H11" t="str">
            <v>OVERTIME FTE</v>
          </cell>
          <cell r="I11">
            <v>0</v>
          </cell>
        </row>
        <row r="12">
          <cell r="F12" t="str">
            <v>Melb Customer CareOVERTIME FTE</v>
          </cell>
          <cell r="G12" t="str">
            <v>Melb Customer Care</v>
          </cell>
          <cell r="H12" t="str">
            <v>OVERTIME FTE</v>
          </cell>
          <cell r="I12">
            <v>0</v>
          </cell>
        </row>
        <row r="13">
          <cell r="F13" t="str">
            <v>Melbourne Lab AdminOVERTIME FTE</v>
          </cell>
          <cell r="G13" t="str">
            <v>Melbourne Lab Admin</v>
          </cell>
          <cell r="H13" t="str">
            <v>OVERTIME FTE</v>
          </cell>
          <cell r="I13">
            <v>0</v>
          </cell>
        </row>
        <row r="14">
          <cell r="F14" t="str">
            <v>Melbourne MicroOVERTIME FTE</v>
          </cell>
          <cell r="G14" t="str">
            <v>Melbourne Micro</v>
          </cell>
          <cell r="H14" t="str">
            <v>OVERTIME FTE</v>
          </cell>
          <cell r="I14">
            <v>3.3913736842105267</v>
          </cell>
        </row>
        <row r="15">
          <cell r="F15" t="str">
            <v>Perth Customer CareOVERTIME FTE</v>
          </cell>
          <cell r="G15" t="str">
            <v>Perth Customer Care</v>
          </cell>
          <cell r="H15" t="str">
            <v>OVERTIME FTE</v>
          </cell>
          <cell r="I15">
            <v>0</v>
          </cell>
        </row>
        <row r="16">
          <cell r="F16" t="str">
            <v>Perth MicroOVERTIME FTE</v>
          </cell>
          <cell r="G16" t="str">
            <v>Perth Micro</v>
          </cell>
          <cell r="H16" t="str">
            <v>OVERTIME FTE</v>
          </cell>
          <cell r="I16">
            <v>0.61842105263157887</v>
          </cell>
        </row>
        <row r="17">
          <cell r="F17" t="str">
            <v>QualityOVERTIME FTE</v>
          </cell>
          <cell r="G17" t="str">
            <v>Quality</v>
          </cell>
          <cell r="H17" t="str">
            <v>OVERTIME FTE</v>
          </cell>
          <cell r="I17">
            <v>0</v>
          </cell>
        </row>
        <row r="18">
          <cell r="F18" t="str">
            <v>R&amp;DOVERTIME FTE</v>
          </cell>
          <cell r="G18" t="str">
            <v>R&amp;D</v>
          </cell>
          <cell r="H18" t="str">
            <v>OVERTIME FTE</v>
          </cell>
          <cell r="I18">
            <v>0</v>
          </cell>
        </row>
        <row r="19">
          <cell r="F19" t="str">
            <v>S&amp;MOVERTIME FTE</v>
          </cell>
          <cell r="G19" t="str">
            <v>S&amp;M</v>
          </cell>
          <cell r="H19" t="str">
            <v>OVERTIME FTE</v>
          </cell>
          <cell r="I19">
            <v>0</v>
          </cell>
        </row>
        <row r="20">
          <cell r="F20" t="str">
            <v>Senior AuditOVERTIME FTE</v>
          </cell>
          <cell r="G20" t="str">
            <v>Senior Audit</v>
          </cell>
          <cell r="H20" t="str">
            <v>OVERTIME FTE</v>
          </cell>
          <cell r="I20">
            <v>0</v>
          </cell>
        </row>
        <row r="21">
          <cell r="F21" t="str">
            <v>Sydney ChemOVERTIME FTE</v>
          </cell>
          <cell r="G21" t="str">
            <v>Sydney Chem</v>
          </cell>
          <cell r="H21" t="str">
            <v>OVERTIME FTE</v>
          </cell>
          <cell r="I21">
            <v>0.49678421052631583</v>
          </cell>
        </row>
        <row r="22">
          <cell r="F22" t="str">
            <v>Sydney Customer CareOVERTIME FTE</v>
          </cell>
          <cell r="G22" t="str">
            <v>Sydney Customer Care</v>
          </cell>
          <cell r="H22" t="str">
            <v>OVERTIME FTE</v>
          </cell>
          <cell r="I22">
            <v>0</v>
          </cell>
        </row>
        <row r="23">
          <cell r="F23" t="str">
            <v>Sydney Lab AdminOVERTIME FTE</v>
          </cell>
          <cell r="G23" t="str">
            <v>Sydney Lab Admin</v>
          </cell>
          <cell r="H23" t="str">
            <v>OVERTIME FTE</v>
          </cell>
          <cell r="I23">
            <v>0</v>
          </cell>
        </row>
        <row r="24">
          <cell r="F24" t="str">
            <v>Sydney MicroOVERTIME FTE</v>
          </cell>
          <cell r="G24" t="str">
            <v>Sydney Micro</v>
          </cell>
          <cell r="H24" t="str">
            <v>OVERTIME FTE</v>
          </cell>
          <cell r="I24">
            <v>1.1008035087719299</v>
          </cell>
        </row>
        <row r="25">
          <cell r="F25" t="str">
            <v>Bris Customer CarePAID FTE</v>
          </cell>
          <cell r="G25" t="str">
            <v>Bris Customer Care</v>
          </cell>
          <cell r="H25" t="str">
            <v>PAID FTE</v>
          </cell>
          <cell r="I25">
            <v>1</v>
          </cell>
        </row>
        <row r="26">
          <cell r="F26" t="str">
            <v>Brisbane Lab AdminPAID FTE</v>
          </cell>
          <cell r="G26" t="str">
            <v>Brisbane Lab Admin</v>
          </cell>
          <cell r="H26" t="str">
            <v>PAID FTE</v>
          </cell>
          <cell r="I26">
            <v>1.9</v>
          </cell>
        </row>
        <row r="27">
          <cell r="F27" t="str">
            <v>Brisbane MicroPAID FTE</v>
          </cell>
          <cell r="G27" t="str">
            <v>Brisbane Micro</v>
          </cell>
          <cell r="H27" t="str">
            <v>PAID FTE</v>
          </cell>
          <cell r="I27">
            <v>11.448685964912279</v>
          </cell>
        </row>
        <row r="28">
          <cell r="F28" t="str">
            <v>Brisbane Milk TestingPAID FTE</v>
          </cell>
          <cell r="G28" t="str">
            <v>Brisbane Milk Testing</v>
          </cell>
          <cell r="H28" t="str">
            <v>PAID FTE</v>
          </cell>
          <cell r="I28">
            <v>0.96608114035087722</v>
          </cell>
        </row>
        <row r="29">
          <cell r="F29" t="str">
            <v>Central Lab AdminPAID FTE</v>
          </cell>
          <cell r="G29" t="str">
            <v>Central Lab Admin</v>
          </cell>
          <cell r="H29" t="str">
            <v>PAID FTE</v>
          </cell>
          <cell r="I29">
            <v>3</v>
          </cell>
        </row>
        <row r="30">
          <cell r="F30" t="str">
            <v>Consulting Micro  SCPAID FTE</v>
          </cell>
          <cell r="G30" t="str">
            <v>Consulting Micro  SC</v>
          </cell>
          <cell r="H30" t="str">
            <v>PAID FTE</v>
          </cell>
          <cell r="I30">
            <v>1</v>
          </cell>
        </row>
        <row r="31">
          <cell r="F31" t="str">
            <v>G&amp;APAID FTE</v>
          </cell>
          <cell r="G31" t="str">
            <v>G&amp;A</v>
          </cell>
          <cell r="H31" t="str">
            <v>PAID FTE</v>
          </cell>
          <cell r="I31">
            <v>9</v>
          </cell>
        </row>
        <row r="32">
          <cell r="F32" t="str">
            <v>ITPAID FTE</v>
          </cell>
          <cell r="G32" t="str">
            <v>IT</v>
          </cell>
          <cell r="H32" t="str">
            <v>PAID FTE</v>
          </cell>
          <cell r="I32">
            <v>1.0000000000000002</v>
          </cell>
        </row>
        <row r="33">
          <cell r="F33" t="str">
            <v>Melb Customer CarePAID FTE</v>
          </cell>
          <cell r="G33" t="str">
            <v>Melb Customer Care</v>
          </cell>
          <cell r="H33" t="str">
            <v>PAID FTE</v>
          </cell>
          <cell r="I33">
            <v>1.9000000000000001</v>
          </cell>
        </row>
        <row r="34">
          <cell r="F34" t="str">
            <v>Melbourne Lab AdminPAID FTE</v>
          </cell>
          <cell r="G34" t="str">
            <v>Melbourne Lab Admin</v>
          </cell>
          <cell r="H34" t="str">
            <v>PAID FTE</v>
          </cell>
          <cell r="I34">
            <v>1</v>
          </cell>
        </row>
        <row r="35">
          <cell r="F35" t="str">
            <v>Melbourne MicroPAID FTE</v>
          </cell>
          <cell r="G35" t="str">
            <v>Melbourne Micro</v>
          </cell>
          <cell r="H35" t="str">
            <v>PAID FTE</v>
          </cell>
          <cell r="I35">
            <v>29.203215350877198</v>
          </cell>
        </row>
        <row r="36">
          <cell r="F36" t="str">
            <v>Perth Customer CarePAID FTE</v>
          </cell>
          <cell r="G36" t="str">
            <v>Perth Customer Care</v>
          </cell>
          <cell r="H36" t="str">
            <v>PAID FTE</v>
          </cell>
          <cell r="I36">
            <v>1.0000000000000002</v>
          </cell>
        </row>
        <row r="37">
          <cell r="F37" t="str">
            <v>Perth MicroPAID FTE</v>
          </cell>
          <cell r="G37" t="str">
            <v>Perth Micro</v>
          </cell>
          <cell r="H37" t="str">
            <v>PAID FTE</v>
          </cell>
          <cell r="I37">
            <v>9.8128649122807001</v>
          </cell>
        </row>
        <row r="38">
          <cell r="F38" t="str">
            <v>QualityPAID FTE</v>
          </cell>
          <cell r="G38" t="str">
            <v>Quality</v>
          </cell>
          <cell r="H38" t="str">
            <v>PAID FTE</v>
          </cell>
          <cell r="I38">
            <v>2</v>
          </cell>
        </row>
        <row r="39">
          <cell r="F39" t="str">
            <v>R&amp;DPAID FTE</v>
          </cell>
          <cell r="G39" t="str">
            <v>R&amp;D</v>
          </cell>
          <cell r="H39" t="str">
            <v>PAID FTE</v>
          </cell>
          <cell r="I39">
            <v>1</v>
          </cell>
        </row>
        <row r="40">
          <cell r="F40" t="str">
            <v>S&amp;MPAID FTE</v>
          </cell>
          <cell r="G40" t="str">
            <v>S&amp;M</v>
          </cell>
          <cell r="H40" t="str">
            <v>PAID FTE</v>
          </cell>
          <cell r="I40">
            <v>8.2000000000000011</v>
          </cell>
        </row>
        <row r="41">
          <cell r="F41" t="str">
            <v>Senior AuditPAID FTE</v>
          </cell>
          <cell r="G41" t="str">
            <v>Senior Audit</v>
          </cell>
          <cell r="H41" t="str">
            <v>PAID FTE</v>
          </cell>
          <cell r="I41">
            <v>6</v>
          </cell>
        </row>
        <row r="42">
          <cell r="F42" t="str">
            <v>Sydney ChemPAID FTE</v>
          </cell>
          <cell r="G42" t="str">
            <v>Sydney Chem</v>
          </cell>
          <cell r="H42" t="str">
            <v>PAID FTE</v>
          </cell>
          <cell r="I42">
            <v>13.453216666666668</v>
          </cell>
        </row>
        <row r="43">
          <cell r="F43" t="str">
            <v>Sydney Customer CarePAID FTE</v>
          </cell>
          <cell r="G43" t="str">
            <v>Sydney Customer Care</v>
          </cell>
          <cell r="H43" t="str">
            <v>PAID FTE</v>
          </cell>
          <cell r="I43">
            <v>1</v>
          </cell>
        </row>
        <row r="44">
          <cell r="F44" t="str">
            <v>Sydney Lab AdminPAID FTE</v>
          </cell>
          <cell r="G44" t="str">
            <v>Sydney Lab Admin</v>
          </cell>
          <cell r="H44" t="str">
            <v>PAID FTE</v>
          </cell>
          <cell r="I44">
            <v>1.1263157894736842</v>
          </cell>
        </row>
        <row r="45">
          <cell r="F45" t="str">
            <v>Sydney MicroPAID FTE</v>
          </cell>
          <cell r="G45" t="str">
            <v>Sydney Micro</v>
          </cell>
          <cell r="H45" t="str">
            <v>PAID FTE</v>
          </cell>
          <cell r="I45">
            <v>25.133698245614035</v>
          </cell>
        </row>
        <row r="46">
          <cell r="F46" t="str">
            <v>Bris Customer CareWORKED FTE</v>
          </cell>
          <cell r="G46" t="str">
            <v>Bris Customer Care</v>
          </cell>
          <cell r="H46" t="str">
            <v>WORKED FTE</v>
          </cell>
          <cell r="I46">
            <v>0.73333333333333328</v>
          </cell>
        </row>
        <row r="47">
          <cell r="F47" t="str">
            <v>Brisbane Lab AdminWORKED FTE</v>
          </cell>
          <cell r="G47" t="str">
            <v>Brisbane Lab Admin</v>
          </cell>
          <cell r="H47" t="str">
            <v>WORKED FTE</v>
          </cell>
          <cell r="I47">
            <v>1.5</v>
          </cell>
        </row>
        <row r="48">
          <cell r="F48" t="str">
            <v>Brisbane MicroWORKED FTE</v>
          </cell>
          <cell r="G48" t="str">
            <v>Brisbane Micro</v>
          </cell>
          <cell r="H48" t="str">
            <v>WORKED FTE</v>
          </cell>
          <cell r="I48">
            <v>8.2600894736842108</v>
          </cell>
        </row>
        <row r="49">
          <cell r="F49" t="str">
            <v>Brisbane Milk TestingWORKED FTE</v>
          </cell>
          <cell r="G49" t="str">
            <v>Brisbane Milk Testing</v>
          </cell>
          <cell r="H49" t="str">
            <v>WORKED FTE</v>
          </cell>
          <cell r="I49">
            <v>0.66608114035087718</v>
          </cell>
        </row>
        <row r="50">
          <cell r="F50" t="str">
            <v>Central Lab AdminWORKED FTE</v>
          </cell>
          <cell r="G50" t="str">
            <v>Central Lab Admin</v>
          </cell>
          <cell r="H50" t="str">
            <v>WORKED FTE</v>
          </cell>
          <cell r="I50">
            <v>1.5999999999999999</v>
          </cell>
        </row>
        <row r="51">
          <cell r="F51" t="str">
            <v>Consulting Micro  SCWORKED FTE</v>
          </cell>
          <cell r="G51" t="str">
            <v>Consulting Micro  SC</v>
          </cell>
          <cell r="H51" t="str">
            <v>WORKED FTE</v>
          </cell>
          <cell r="I51">
            <v>0.72982456140350882</v>
          </cell>
        </row>
        <row r="52">
          <cell r="F52" t="str">
            <v>G&amp;AWORKED FTE</v>
          </cell>
          <cell r="G52" t="str">
            <v>G&amp;A</v>
          </cell>
          <cell r="H52" t="str">
            <v>WORKED FTE</v>
          </cell>
          <cell r="I52">
            <v>6.098245614035088</v>
          </cell>
        </row>
        <row r="53">
          <cell r="F53" t="str">
            <v>ITWORKED FTE</v>
          </cell>
          <cell r="G53" t="str">
            <v>IT</v>
          </cell>
          <cell r="H53" t="str">
            <v>WORKED FTE</v>
          </cell>
          <cell r="I53">
            <v>0.76666666666666672</v>
          </cell>
        </row>
        <row r="54">
          <cell r="F54" t="str">
            <v>Melb Customer CareWORKED FTE</v>
          </cell>
          <cell r="G54" t="str">
            <v>Melb Customer Care</v>
          </cell>
          <cell r="H54" t="str">
            <v>WORKED FTE</v>
          </cell>
          <cell r="I54">
            <v>1.5</v>
          </cell>
        </row>
        <row r="55">
          <cell r="F55" t="str">
            <v>Melbourne Lab AdminWORKED FTE</v>
          </cell>
          <cell r="G55" t="str">
            <v>Melbourne Lab Admin</v>
          </cell>
          <cell r="H55" t="str">
            <v>WORKED FTE</v>
          </cell>
          <cell r="I55">
            <v>0.5</v>
          </cell>
        </row>
        <row r="56">
          <cell r="F56" t="str">
            <v>Melbourne MicroWORKED FTE</v>
          </cell>
          <cell r="G56" t="str">
            <v>Melbourne Micro</v>
          </cell>
          <cell r="H56" t="str">
            <v>WORKED FTE</v>
          </cell>
          <cell r="I56">
            <v>22.51988201754385</v>
          </cell>
        </row>
        <row r="57">
          <cell r="F57" t="str">
            <v>Perth Customer CareWORKED FTE</v>
          </cell>
          <cell r="G57" t="str">
            <v>Perth Customer Care</v>
          </cell>
          <cell r="H57" t="str">
            <v>WORKED FTE</v>
          </cell>
          <cell r="I57">
            <v>0.76666666666666672</v>
          </cell>
        </row>
        <row r="58">
          <cell r="F58" t="str">
            <v>Perth MicroWORKED FTE</v>
          </cell>
          <cell r="G58" t="str">
            <v>Perth Micro</v>
          </cell>
          <cell r="H58" t="str">
            <v>WORKED FTE</v>
          </cell>
          <cell r="I58">
            <v>6.9531425438596486</v>
          </cell>
        </row>
        <row r="59">
          <cell r="F59" t="str">
            <v>QualityWORKED FTE</v>
          </cell>
          <cell r="G59" t="str">
            <v>Quality</v>
          </cell>
          <cell r="H59" t="str">
            <v>WORKED FTE</v>
          </cell>
          <cell r="I59">
            <v>0.8</v>
          </cell>
        </row>
        <row r="60">
          <cell r="F60" t="str">
            <v>R&amp;DWORKED FTE</v>
          </cell>
          <cell r="G60" t="str">
            <v>R&amp;D</v>
          </cell>
          <cell r="H60" t="str">
            <v>WORKED FTE</v>
          </cell>
          <cell r="I60">
            <v>0.76666666666666672</v>
          </cell>
        </row>
        <row r="61">
          <cell r="F61" t="str">
            <v>S&amp;MWORKED FTE</v>
          </cell>
          <cell r="G61" t="str">
            <v>S&amp;M</v>
          </cell>
          <cell r="H61" t="str">
            <v>WORKED FTE</v>
          </cell>
          <cell r="I61">
            <v>5.7333333333333334</v>
          </cell>
        </row>
        <row r="62">
          <cell r="F62" t="str">
            <v>Senior AuditWORKED FTE</v>
          </cell>
          <cell r="G62" t="str">
            <v>Senior Audit</v>
          </cell>
          <cell r="H62" t="str">
            <v>WORKED FTE</v>
          </cell>
          <cell r="I62">
            <v>4.4333333333333336</v>
          </cell>
        </row>
        <row r="63">
          <cell r="F63" t="str">
            <v>Sydney ChemWORKED FTE</v>
          </cell>
          <cell r="G63" t="str">
            <v>Sydney Chem</v>
          </cell>
          <cell r="H63" t="str">
            <v>WORKED FTE</v>
          </cell>
          <cell r="I63">
            <v>8.8032166666666658</v>
          </cell>
        </row>
        <row r="64">
          <cell r="F64" t="str">
            <v>Sydney Customer CareWORKED FTE</v>
          </cell>
          <cell r="G64" t="str">
            <v>Sydney Customer Care</v>
          </cell>
          <cell r="H64" t="str">
            <v>WORKED FTE</v>
          </cell>
          <cell r="I64">
            <v>0.7</v>
          </cell>
        </row>
        <row r="65">
          <cell r="F65" t="str">
            <v>Sydney Lab AdminWORKED FTE</v>
          </cell>
          <cell r="G65" t="str">
            <v>Sydney Lab Admin</v>
          </cell>
          <cell r="H65" t="str">
            <v>WORKED FTE</v>
          </cell>
          <cell r="I65">
            <v>0.8637425438596491</v>
          </cell>
        </row>
        <row r="66">
          <cell r="F66" t="str">
            <v>Sydney MicroWORKED FTE</v>
          </cell>
          <cell r="G66" t="str">
            <v>Sydney Micro</v>
          </cell>
          <cell r="H66" t="str">
            <v>WORKED FTE</v>
          </cell>
          <cell r="I66">
            <v>19.416154385964912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+@sum(AG2:AR2)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=@sum(ag2.ar2)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mailto:+AF75-@sum(T64:AE64)" TargetMode="External"/><Relationship Id="rId1" Type="http://schemas.openxmlformats.org/officeDocument/2006/relationships/hyperlink" Target="mailto:+@sum(T17:AE18)+@sum(T22:AE22)+@sum(T33:AE33)+@sum(T48:AE48)+@sum(T62:AE62)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hyperlink" Target="mailto:+AF75-@sum(T64:AE64)" TargetMode="External"/><Relationship Id="rId1" Type="http://schemas.openxmlformats.org/officeDocument/2006/relationships/hyperlink" Target="mailto:+@sum(T17:AE18)+@sum(T22:AE22)+@sum(T33:AE33)+@sum(T48:AE48)+@sum(T62:AE62)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hyperlink" Target="mailto:+AF75-@sum(T64:AE64)" TargetMode="External"/><Relationship Id="rId1" Type="http://schemas.openxmlformats.org/officeDocument/2006/relationships/hyperlink" Target="mailto:+@sum(T17:AE18)+@sum(T22:AE22)+@sum(T33:AE33)+@sum(T48:AE48)+@sum(T62:AE62)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+AF75-@sum(T64:AE64)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hyperlink" Target="mailto:+AF75-@sum(T64:AE64)" TargetMode="External"/><Relationship Id="rId1" Type="http://schemas.openxmlformats.org/officeDocument/2006/relationships/hyperlink" Target="mailto:+@sum(T17:AE18)+@sum(T22:AE22)+@sum(T33:AE33)+@sum(T48:AE48)+@sum(T62:AE62)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hyperlink" Target="mailto:+AF75-@sum(T64:AE64)" TargetMode="External"/><Relationship Id="rId1" Type="http://schemas.openxmlformats.org/officeDocument/2006/relationships/hyperlink" Target="mailto:+@sum(T17:AE18)+@sum(T22:AE22)+@sum(T33:AE33)+@sum(T48:AE48)+@sum(T62:AE62)" TargetMode="Externa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+AF75-@sum(T64:AE64)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hyperlink" Target="mailto:+AF75-@sum(T64:AE64)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hyperlink" Target="mailto:+AF75-@sum(T64:AE64)" TargetMode="External"/><Relationship Id="rId1" Type="http://schemas.openxmlformats.org/officeDocument/2006/relationships/hyperlink" Target="mailto:+@sum(T17:AE18)+@sum(T22:AE22)+@sum(T33:AE33)+@sum(T48:AE48)+@sum(T62:AE62)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hyperlink" Target="mailto:+AF75-@sum(T64:AE64)" TargetMode="External"/><Relationship Id="rId1" Type="http://schemas.openxmlformats.org/officeDocument/2006/relationships/hyperlink" Target="mailto:+@sum(T17:AE18)+@sum(T22:AE22)+@sum(T33:AE33)+@sum(T48:AE48)+@sum(T62:AE62)" TargetMode="Externa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hyperlink" Target="mailto:+AF75-@sum(T64:AE64)" TargetMode="External"/><Relationship Id="rId1" Type="http://schemas.openxmlformats.org/officeDocument/2006/relationships/hyperlink" Target="mailto:+@sum(T17:AE18)+@sum(T22:AE22)+@sum(T33:AE33)+@sum(T48:AE48)+@sum(T62:AE62)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hyperlink" Target="mailto:+AF75-@sum(T64:AE64)" TargetMode="External"/><Relationship Id="rId1" Type="http://schemas.openxmlformats.org/officeDocument/2006/relationships/hyperlink" Target="mailto:+@sum(T17:AE18)+@sum(T22:AE22)+@sum(T33:AE33)+@sum(T48:AE48)+@sum(T62:AE62)" TargetMode="Externa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hyperlink" Target="mailto:+AF75-@sum(T64:AE64)" TargetMode="External"/><Relationship Id="rId1" Type="http://schemas.openxmlformats.org/officeDocument/2006/relationships/hyperlink" Target="mailto:+@sum(T17:AE18)+@sum(T22:AE22)+@sum(T33:AE33)+@sum(T48:AE48)+@sum(T62:AE62)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9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0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1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6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23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B17"/>
  <sheetViews>
    <sheetView workbookViewId="0">
      <selection activeCell="C26" sqref="C26"/>
    </sheetView>
  </sheetViews>
  <sheetFormatPr defaultRowHeight="12.75" x14ac:dyDescent="0.2"/>
  <cols>
    <col min="1" max="1" width="22.42578125" bestFit="1" customWidth="1"/>
  </cols>
  <sheetData>
    <row r="3" spans="1:2" x14ac:dyDescent="0.2">
      <c r="A3" t="s">
        <v>266</v>
      </c>
      <c r="B3" s="195"/>
    </row>
    <row r="4" spans="1:2" x14ac:dyDescent="0.2">
      <c r="A4" t="s">
        <v>276</v>
      </c>
      <c r="B4" s="190"/>
    </row>
    <row r="5" spans="1:2" x14ac:dyDescent="0.2">
      <c r="A5" t="s">
        <v>341</v>
      </c>
      <c r="B5" s="191"/>
    </row>
    <row r="6" spans="1:2" x14ac:dyDescent="0.2">
      <c r="A6" t="s">
        <v>305</v>
      </c>
      <c r="B6" s="192"/>
    </row>
    <row r="7" spans="1:2" x14ac:dyDescent="0.2">
      <c r="A7" t="s">
        <v>299</v>
      </c>
      <c r="B7" s="197"/>
    </row>
    <row r="8" spans="1:2" x14ac:dyDescent="0.2">
      <c r="A8" t="s">
        <v>298</v>
      </c>
      <c r="B8" s="198"/>
    </row>
    <row r="9" spans="1:2" x14ac:dyDescent="0.2">
      <c r="A9" t="s">
        <v>343</v>
      </c>
      <c r="B9" s="199"/>
    </row>
    <row r="10" spans="1:2" x14ac:dyDescent="0.2">
      <c r="A10" t="s">
        <v>344</v>
      </c>
      <c r="B10" s="196"/>
    </row>
    <row r="11" spans="1:2" x14ac:dyDescent="0.2">
      <c r="A11" t="s">
        <v>297</v>
      </c>
      <c r="B11" s="194"/>
    </row>
    <row r="12" spans="1:2" x14ac:dyDescent="0.2">
      <c r="A12" t="s">
        <v>345</v>
      </c>
      <c r="B12" s="200"/>
    </row>
    <row r="13" spans="1:2" x14ac:dyDescent="0.2">
      <c r="A13" t="s">
        <v>300</v>
      </c>
      <c r="B13" s="201"/>
    </row>
    <row r="14" spans="1:2" x14ac:dyDescent="0.2">
      <c r="A14" t="s">
        <v>342</v>
      </c>
      <c r="B14" s="193"/>
    </row>
    <row r="15" spans="1:2" x14ac:dyDescent="0.2">
      <c r="A15" t="s">
        <v>289</v>
      </c>
      <c r="B15" s="193"/>
    </row>
    <row r="16" spans="1:2" x14ac:dyDescent="0.2">
      <c r="A16" t="s">
        <v>290</v>
      </c>
      <c r="B16" s="193"/>
    </row>
    <row r="17" spans="2:2" x14ac:dyDescent="0.2">
      <c r="B17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2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8" sqref="B38"/>
    </sheetView>
  </sheetViews>
  <sheetFormatPr defaultRowHeight="12.75" outlineLevelCol="1" x14ac:dyDescent="0.2"/>
  <cols>
    <col min="1" max="1" width="36.42578125" bestFit="1" customWidth="1"/>
    <col min="2" max="6" width="10.42578125" customWidth="1"/>
    <col min="7" max="12" width="9.42578125" customWidth="1"/>
    <col min="13" max="13" width="9.42578125" hidden="1" customWidth="1" outlineLevel="1"/>
    <col min="14" max="14" width="9.42578125" collapsed="1"/>
    <col min="15" max="16" width="9.42578125" style="6" bestFit="1" customWidth="1"/>
    <col min="17" max="18" width="9.42578125" style="6" customWidth="1"/>
    <col min="19" max="19" width="13.42578125" style="6" bestFit="1" customWidth="1"/>
    <col min="21" max="21" width="10.42578125" customWidth="1"/>
  </cols>
  <sheetData>
    <row r="1" spans="1:25" x14ac:dyDescent="0.2">
      <c r="B1">
        <v>22</v>
      </c>
      <c r="C1" s="365">
        <f>21-1</f>
        <v>20</v>
      </c>
      <c r="D1">
        <v>21</v>
      </c>
      <c r="E1">
        <v>19</v>
      </c>
      <c r="F1">
        <v>20</v>
      </c>
      <c r="G1">
        <v>22</v>
      </c>
      <c r="H1">
        <f>22-2</f>
        <v>20</v>
      </c>
      <c r="I1">
        <v>21</v>
      </c>
      <c r="J1">
        <f>22-1</f>
        <v>21</v>
      </c>
      <c r="K1">
        <v>22</v>
      </c>
      <c r="L1">
        <v>22</v>
      </c>
      <c r="M1">
        <f>22-1</f>
        <v>21</v>
      </c>
      <c r="O1" s="418">
        <f>SUM(B1)</f>
        <v>22</v>
      </c>
      <c r="P1" s="418">
        <f>+O1</f>
        <v>22</v>
      </c>
      <c r="Q1" s="477" t="s">
        <v>555</v>
      </c>
      <c r="R1" s="477" t="s">
        <v>458</v>
      </c>
      <c r="S1" s="477" t="s">
        <v>436</v>
      </c>
      <c r="T1" s="477" t="s">
        <v>554</v>
      </c>
      <c r="U1" s="477" t="s">
        <v>459</v>
      </c>
      <c r="V1" s="477" t="s">
        <v>437</v>
      </c>
      <c r="W1" s="434"/>
    </row>
    <row r="2" spans="1:25" ht="13.5" thickBot="1" x14ac:dyDescent="0.25">
      <c r="B2" s="204">
        <v>44105</v>
      </c>
      <c r="C2" s="204">
        <v>44136</v>
      </c>
      <c r="D2" s="204">
        <v>44166</v>
      </c>
      <c r="E2" s="204">
        <v>44197</v>
      </c>
      <c r="F2" s="204">
        <v>44228</v>
      </c>
      <c r="G2" s="204">
        <v>44256</v>
      </c>
      <c r="H2" s="204">
        <v>44287</v>
      </c>
      <c r="I2" s="204">
        <v>44317</v>
      </c>
      <c r="J2" s="204">
        <v>44348</v>
      </c>
      <c r="K2" s="204">
        <v>44378</v>
      </c>
      <c r="L2" s="204">
        <v>44409</v>
      </c>
      <c r="M2" s="204">
        <v>44440</v>
      </c>
      <c r="O2" s="418" t="s">
        <v>457</v>
      </c>
      <c r="P2" s="418" t="s">
        <v>457</v>
      </c>
      <c r="T2" s="479" t="s">
        <v>462</v>
      </c>
      <c r="U2" s="478" t="s">
        <v>461</v>
      </c>
      <c r="W2" s="435"/>
    </row>
    <row r="3" spans="1:25" x14ac:dyDescent="0.2">
      <c r="A3" s="419" t="s">
        <v>350</v>
      </c>
      <c r="B3" s="420"/>
      <c r="C3" s="420"/>
      <c r="D3" s="420"/>
      <c r="E3" s="420"/>
      <c r="F3" s="420"/>
      <c r="G3" s="420"/>
      <c r="H3" s="420"/>
      <c r="I3" s="420"/>
      <c r="J3" s="420"/>
      <c r="K3" s="420"/>
      <c r="L3" s="420"/>
      <c r="M3" s="420"/>
      <c r="N3" s="420"/>
      <c r="O3" s="480">
        <v>2021</v>
      </c>
      <c r="P3" s="481">
        <v>2020</v>
      </c>
      <c r="Q3" s="3"/>
      <c r="R3" s="3"/>
      <c r="S3" s="3"/>
      <c r="W3" s="435"/>
    </row>
    <row r="4" spans="1:25" x14ac:dyDescent="0.2">
      <c r="A4" s="421"/>
      <c r="B4" s="422"/>
      <c r="C4" s="422"/>
      <c r="D4" s="422"/>
      <c r="E4" s="422"/>
      <c r="F4" s="422"/>
      <c r="G4" s="422"/>
      <c r="H4" s="422"/>
      <c r="I4" s="422"/>
      <c r="J4" s="422"/>
      <c r="K4" s="422"/>
      <c r="L4" s="422"/>
      <c r="M4" s="422"/>
      <c r="N4" s="422"/>
      <c r="O4" s="3"/>
      <c r="P4" s="39"/>
      <c r="Q4" s="3"/>
      <c r="R4" s="3"/>
      <c r="S4" s="3"/>
      <c r="W4" s="435"/>
    </row>
    <row r="5" spans="1:25" x14ac:dyDescent="0.2">
      <c r="A5" s="421" t="s">
        <v>347</v>
      </c>
      <c r="B5" s="3">
        <f>'Test Number'!G16/Analysis!B1</f>
        <v>1187.6363636363637</v>
      </c>
      <c r="C5" s="3">
        <f>'Test Number'!H16/Analysis!C1</f>
        <v>1175.3</v>
      </c>
      <c r="D5" s="3">
        <f>'Test Number'!I16/Analysis!D1</f>
        <v>1049.2380952380952</v>
      </c>
      <c r="E5" s="3">
        <f>'Test Number'!J16/Analysis!E1</f>
        <v>1040.578947368421</v>
      </c>
      <c r="F5" s="3">
        <f>'Test Number'!K16/Analysis!F1</f>
        <v>0</v>
      </c>
      <c r="G5" s="3">
        <f>'Test Number'!L16/Analysis!G1</f>
        <v>0</v>
      </c>
      <c r="H5" s="3">
        <f>'Test Number'!M16/Analysis!H1</f>
        <v>0</v>
      </c>
      <c r="I5" s="3">
        <f>'Test Number'!N16/Analysis!I1</f>
        <v>0</v>
      </c>
      <c r="J5" s="3">
        <f>'Test Number'!O16/Analysis!J1</f>
        <v>0</v>
      </c>
      <c r="K5" s="3">
        <f>'Test Number'!P16/Analysis!K1</f>
        <v>0</v>
      </c>
      <c r="L5" s="3">
        <f>'Test Number'!Q16/Analysis!L1</f>
        <v>0</v>
      </c>
      <c r="M5" s="3">
        <f>'Test Number'!R16/Analysis!M1</f>
        <v>0</v>
      </c>
      <c r="N5" s="422"/>
      <c r="O5" s="425">
        <f>+'Test Number'!S16/Analysis!O1</f>
        <v>4156.318181818182</v>
      </c>
      <c r="P5" s="39">
        <v>10504.304347826086</v>
      </c>
      <c r="Q5" s="3">
        <f>+O5*O$1</f>
        <v>91439</v>
      </c>
      <c r="R5" s="3">
        <f>+P5*P$1</f>
        <v>231094.69565217389</v>
      </c>
      <c r="S5" s="431">
        <f>+Q5/R5</f>
        <v>0.3956776235904047</v>
      </c>
      <c r="T5" s="430" t="e">
        <f>#REF!</f>
        <v>#REF!</v>
      </c>
      <c r="U5" s="430">
        <v>23.376666666666665</v>
      </c>
      <c r="V5" s="94" t="e">
        <f>+T5/U5</f>
        <v>#REF!</v>
      </c>
      <c r="W5" s="436" t="e">
        <f>+V5-S5</f>
        <v>#REF!</v>
      </c>
    </row>
    <row r="6" spans="1:25" x14ac:dyDescent="0.2">
      <c r="A6" s="421" t="s">
        <v>15</v>
      </c>
      <c r="B6" s="3">
        <f>'Test Number'!G15/B1</f>
        <v>751.68181818181813</v>
      </c>
      <c r="C6" s="3">
        <f>'Test Number'!H15/C1</f>
        <v>760.75</v>
      </c>
      <c r="D6" s="3">
        <f>'Test Number'!I15/D1</f>
        <v>730.42857142857144</v>
      </c>
      <c r="E6" s="3">
        <f>'Test Number'!J15/E1</f>
        <v>688.73684210526312</v>
      </c>
      <c r="F6" s="3">
        <f>'Test Number'!K15/F1</f>
        <v>0</v>
      </c>
      <c r="G6" s="3">
        <f>'Test Number'!L15/G1</f>
        <v>0</v>
      </c>
      <c r="H6" s="3">
        <f>'Test Number'!M15/H1</f>
        <v>0</v>
      </c>
      <c r="I6" s="3">
        <f>'Test Number'!N15/I1</f>
        <v>0</v>
      </c>
      <c r="J6" s="3">
        <f>'Test Number'!O15/J1</f>
        <v>0</v>
      </c>
      <c r="K6" s="3">
        <f>'Test Number'!P15/K1</f>
        <v>0</v>
      </c>
      <c r="L6" s="3">
        <f>'Test Number'!Q15/L1</f>
        <v>0</v>
      </c>
      <c r="M6" s="3">
        <f>'Test Number'!R15/M1</f>
        <v>0</v>
      </c>
      <c r="N6" s="422"/>
      <c r="O6" s="425">
        <f>+'Test Number'!S15/Analysis!O1</f>
        <v>2735.318181818182</v>
      </c>
      <c r="P6" s="39">
        <v>9023.6956521739139</v>
      </c>
      <c r="Q6" s="3">
        <f t="shared" ref="Q6:R8" si="0">+O6*O$1</f>
        <v>60177</v>
      </c>
      <c r="R6" s="3">
        <f t="shared" si="0"/>
        <v>198521.30434782611</v>
      </c>
      <c r="S6" s="431">
        <f>+Q6/R6</f>
        <v>0.30312615664948889</v>
      </c>
      <c r="T6" s="430" t="e">
        <f>#REF!</f>
        <v>#REF!</v>
      </c>
      <c r="U6" s="430">
        <v>20.340666666666667</v>
      </c>
      <c r="V6" s="94" t="e">
        <f>+T6/U6</f>
        <v>#REF!</v>
      </c>
      <c r="W6" s="436" t="e">
        <f>+V6-S6</f>
        <v>#REF!</v>
      </c>
      <c r="Y6" t="s">
        <v>463</v>
      </c>
    </row>
    <row r="7" spans="1:25" x14ac:dyDescent="0.2">
      <c r="A7" s="421" t="s">
        <v>16</v>
      </c>
      <c r="B7" s="3">
        <f>'Test Number'!G14/B1</f>
        <v>342.54545454545456</v>
      </c>
      <c r="C7" s="3">
        <f>'Test Number'!H14/C1</f>
        <v>316.45</v>
      </c>
      <c r="D7" s="3">
        <f>'Test Number'!I14/D1</f>
        <v>372.14285714285717</v>
      </c>
      <c r="E7" s="3">
        <f>'Test Number'!J14/E1</f>
        <v>305.68421052631578</v>
      </c>
      <c r="F7" s="3">
        <f>'Test Number'!K14/F1</f>
        <v>0</v>
      </c>
      <c r="G7" s="3">
        <f>'Test Number'!L14/G1</f>
        <v>0</v>
      </c>
      <c r="H7" s="3">
        <f>'Test Number'!M14/H1</f>
        <v>0</v>
      </c>
      <c r="I7" s="3">
        <f>'Test Number'!N14/I1</f>
        <v>0</v>
      </c>
      <c r="J7" s="3">
        <f>'Test Number'!O14/J1</f>
        <v>0</v>
      </c>
      <c r="K7" s="3">
        <f>'Test Number'!P14/K1</f>
        <v>0</v>
      </c>
      <c r="L7" s="3">
        <f>'Test Number'!Q14/L1</f>
        <v>0</v>
      </c>
      <c r="M7" s="3">
        <f>'Test Number'!R14/M1</f>
        <v>0</v>
      </c>
      <c r="N7" s="422"/>
      <c r="O7" s="424">
        <f>+'Test Number'!S14/Analysis!O1</f>
        <v>1249.4545454545455</v>
      </c>
      <c r="P7" s="39">
        <v>4404.739130434783</v>
      </c>
      <c r="Q7" s="3">
        <f t="shared" si="0"/>
        <v>27488</v>
      </c>
      <c r="R7" s="3">
        <f t="shared" si="0"/>
        <v>96904.260869565231</v>
      </c>
      <c r="S7" s="432">
        <f>+Q7/R7</f>
        <v>0.28366141749947726</v>
      </c>
      <c r="T7" s="430" t="e">
        <f>#REF!</f>
        <v>#REF!</v>
      </c>
      <c r="U7" s="430">
        <v>9.6107500000000012</v>
      </c>
      <c r="V7" s="94" t="e">
        <f>+T7/U7</f>
        <v>#REF!</v>
      </c>
      <c r="W7" s="436" t="e">
        <f>+V7-S7</f>
        <v>#REF!</v>
      </c>
    </row>
    <row r="8" spans="1:25" x14ac:dyDescent="0.2">
      <c r="A8" s="421" t="s">
        <v>17</v>
      </c>
      <c r="B8" s="3">
        <f>'Test Number'!G13/B1</f>
        <v>360.27272727272725</v>
      </c>
      <c r="C8" s="3">
        <f>'Test Number'!H13/C1</f>
        <v>453</v>
      </c>
      <c r="D8" s="3">
        <f>'Test Number'!I13/D1</f>
        <v>385.95238095238096</v>
      </c>
      <c r="E8" s="3">
        <f>'Test Number'!J13/E1</f>
        <v>361.10526315789474</v>
      </c>
      <c r="F8" s="3">
        <f>'Test Number'!K13/F1</f>
        <v>0</v>
      </c>
      <c r="G8" s="3">
        <f>'Test Number'!L13/G1</f>
        <v>0</v>
      </c>
      <c r="H8" s="3">
        <f>'Test Number'!M13/H1</f>
        <v>0</v>
      </c>
      <c r="I8" s="3">
        <f>'Test Number'!N13/I1</f>
        <v>0</v>
      </c>
      <c r="J8" s="3">
        <f>'Test Number'!O13/J1</f>
        <v>0</v>
      </c>
      <c r="K8" s="3">
        <f>'Test Number'!P13/K1</f>
        <v>0</v>
      </c>
      <c r="L8" s="3">
        <f>'Test Number'!Q13/L1</f>
        <v>0</v>
      </c>
      <c r="M8" s="3">
        <f>'Test Number'!R13/M1</f>
        <v>0</v>
      </c>
      <c r="N8" s="422"/>
      <c r="O8" s="425">
        <f>+'Test Number'!S13/Analysis!O1</f>
        <v>1452.3636363636363</v>
      </c>
      <c r="P8" s="39">
        <v>5576</v>
      </c>
      <c r="Q8" s="3">
        <f t="shared" si="0"/>
        <v>31951.999999999996</v>
      </c>
      <c r="R8" s="3">
        <f t="shared" si="0"/>
        <v>122672</v>
      </c>
      <c r="S8" s="431">
        <f>+Q8/R8</f>
        <v>0.26046693622016431</v>
      </c>
      <c r="T8" s="430" t="e">
        <f>#REF!</f>
        <v>#REF!</v>
      </c>
      <c r="U8" s="430">
        <v>9.8285833333333343</v>
      </c>
      <c r="V8" s="94" t="e">
        <f>+T8/U8</f>
        <v>#REF!</v>
      </c>
      <c r="W8" s="437" t="e">
        <f>+V8-S8</f>
        <v>#REF!</v>
      </c>
    </row>
    <row r="9" spans="1:25" x14ac:dyDescent="0.2">
      <c r="A9" s="421"/>
      <c r="B9" s="422"/>
      <c r="C9" s="422"/>
      <c r="D9" s="422"/>
      <c r="E9" s="422"/>
      <c r="F9" s="422"/>
      <c r="G9" s="422"/>
      <c r="H9" s="422"/>
      <c r="I9" s="422"/>
      <c r="J9" s="422"/>
      <c r="K9" s="422"/>
      <c r="L9" s="422"/>
      <c r="M9" s="422"/>
      <c r="N9" s="422"/>
      <c r="O9" s="3"/>
      <c r="P9" s="39"/>
      <c r="Q9" s="3"/>
      <c r="R9" s="3"/>
      <c r="S9" s="3"/>
      <c r="T9" s="430"/>
      <c r="U9" s="430"/>
      <c r="W9" s="435"/>
    </row>
    <row r="10" spans="1:25" x14ac:dyDescent="0.2">
      <c r="A10" s="421" t="s">
        <v>252</v>
      </c>
      <c r="B10" s="3">
        <f>'Test Number'!G11</f>
        <v>3466</v>
      </c>
      <c r="C10" s="3">
        <f>'Test Number'!H11/C1</f>
        <v>163.69999999999999</v>
      </c>
      <c r="D10" s="3">
        <f>'Test Number'!I11/D1</f>
        <v>111.04761904761905</v>
      </c>
      <c r="E10" s="3">
        <f>'Test Number'!J11/E1</f>
        <v>108.36842105263158</v>
      </c>
      <c r="F10" s="3">
        <f>'Test Number'!K11/F1</f>
        <v>0</v>
      </c>
      <c r="G10" s="3">
        <f>'Test Number'!L11/G1</f>
        <v>0</v>
      </c>
      <c r="H10" s="3">
        <f>'Test Number'!M11/H1</f>
        <v>0</v>
      </c>
      <c r="I10" s="3">
        <f>'Test Number'!N11/I1</f>
        <v>0</v>
      </c>
      <c r="J10" s="3">
        <f>'Test Number'!O11/J1</f>
        <v>0</v>
      </c>
      <c r="K10" s="3">
        <f>'Test Number'!P11/K1</f>
        <v>0</v>
      </c>
      <c r="L10" s="3">
        <f>'Test Number'!Q11/L1</f>
        <v>0</v>
      </c>
      <c r="M10" s="3">
        <f>'Test Number'!R11/M1</f>
        <v>0</v>
      </c>
      <c r="N10" s="422"/>
      <c r="O10" s="425">
        <f>+'Test Number'!S11/Analysis!O1</f>
        <v>505.95454545454544</v>
      </c>
      <c r="P10" s="39">
        <v>1978.391304347826</v>
      </c>
      <c r="Q10" s="3">
        <f t="shared" ref="Q10:R14" si="1">+O10*O$1</f>
        <v>11131</v>
      </c>
      <c r="R10" s="3">
        <f t="shared" si="1"/>
        <v>43524.608695652176</v>
      </c>
      <c r="S10" s="431">
        <f>+Q10/R10</f>
        <v>0.25574038075411609</v>
      </c>
      <c r="T10" s="430" t="e">
        <f>#REF!</f>
        <v>#REF!</v>
      </c>
      <c r="U10" s="430">
        <v>12.24</v>
      </c>
      <c r="V10" s="94" t="e">
        <f>+T10/U10</f>
        <v>#REF!</v>
      </c>
      <c r="W10" s="440" t="e">
        <f>+V10-S10</f>
        <v>#REF!</v>
      </c>
      <c r="Y10" s="365" t="s">
        <v>463</v>
      </c>
    </row>
    <row r="11" spans="1:25" x14ac:dyDescent="0.2">
      <c r="A11" s="421" t="s">
        <v>251</v>
      </c>
      <c r="B11" s="3">
        <f>'Test Number'!G10+'Test Number'!G9+'Test Number'!G8+'Test Number'!G7</f>
        <v>1447</v>
      </c>
      <c r="C11" s="3">
        <f>('Test Number'!H10+'Test Number'!H9+'Test Number'!H8+'Test Number'!H7)/C1</f>
        <v>89.8</v>
      </c>
      <c r="D11" s="3">
        <f>('Test Number'!I10+'Test Number'!I9+'Test Number'!I8+'Test Number'!I7)/D1</f>
        <v>78.61904761904762</v>
      </c>
      <c r="E11" s="3">
        <f>('Test Number'!J10+'Test Number'!J9+'Test Number'!J8+'Test Number'!J7)/E1</f>
        <v>88.631578947368425</v>
      </c>
      <c r="F11" s="3">
        <f>('Test Number'!K10+'Test Number'!K9+'Test Number'!K8+'Test Number'!K7)/F1</f>
        <v>0</v>
      </c>
      <c r="G11" s="3">
        <f>('Test Number'!L10+'Test Number'!L9+'Test Number'!L8+'Test Number'!L7)/G1</f>
        <v>0</v>
      </c>
      <c r="H11" s="3">
        <f>('Test Number'!M10+'Test Number'!M9+'Test Number'!M8+'Test Number'!M7)/H1</f>
        <v>0</v>
      </c>
      <c r="I11" s="3">
        <f>('Test Number'!N10+'Test Number'!N9+'Test Number'!N8+'Test Number'!N7)/I1</f>
        <v>0</v>
      </c>
      <c r="J11" s="3">
        <f>('Test Number'!O10+'Test Number'!O9+'Test Number'!O8+'Test Number'!O7)/J1</f>
        <v>0</v>
      </c>
      <c r="K11" s="3">
        <f>('Test Number'!P10+'Test Number'!P9+'Test Number'!P8+'Test Number'!P7)/K1</f>
        <v>0</v>
      </c>
      <c r="L11" s="3">
        <f>('Test Number'!Q10+'Test Number'!Q9+'Test Number'!Q8+'Test Number'!Q7)/L1</f>
        <v>0</v>
      </c>
      <c r="M11" s="3">
        <f>('Test Number'!R10+'Test Number'!R9+'Test Number'!R8+'Test Number'!R7)/M1</f>
        <v>0</v>
      </c>
      <c r="N11" s="422"/>
      <c r="O11" s="424">
        <f>('Test Number'!S10+'Test Number'!S9+'Test Number'!S8+'Test Number'!S7)/O1</f>
        <v>299</v>
      </c>
      <c r="P11" s="39">
        <v>471</v>
      </c>
      <c r="Q11" s="3">
        <f t="shared" si="1"/>
        <v>6578</v>
      </c>
      <c r="R11" s="3">
        <f t="shared" si="1"/>
        <v>10362</v>
      </c>
      <c r="S11" s="432">
        <f>+Q11/R11</f>
        <v>0.63481953290870485</v>
      </c>
      <c r="T11" s="430"/>
      <c r="U11" s="430"/>
      <c r="W11" s="435"/>
    </row>
    <row r="12" spans="1:25" x14ac:dyDescent="0.2">
      <c r="A12" s="421" t="s">
        <v>253</v>
      </c>
      <c r="B12" s="3">
        <f>'Test Number'!G6/B1</f>
        <v>320.5</v>
      </c>
      <c r="C12" s="3">
        <f>'Test Number'!H6/C1</f>
        <v>331.1</v>
      </c>
      <c r="D12" s="3">
        <f>'Test Number'!I6/D1</f>
        <v>321.04761904761904</v>
      </c>
      <c r="E12" s="3">
        <f>'Test Number'!J6/E1</f>
        <v>360.84210526315792</v>
      </c>
      <c r="F12" s="3">
        <f>'Test Number'!K6/F1</f>
        <v>0</v>
      </c>
      <c r="G12" s="3">
        <f>'Test Number'!L6/G1</f>
        <v>0</v>
      </c>
      <c r="H12" s="3">
        <f>'Test Number'!M6/H1</f>
        <v>0</v>
      </c>
      <c r="I12" s="3">
        <f>'Test Number'!N6/I1</f>
        <v>0</v>
      </c>
      <c r="J12" s="3">
        <f>'Test Number'!O6/J1</f>
        <v>0</v>
      </c>
      <c r="K12" s="3">
        <f>'Test Number'!P6/K1</f>
        <v>0</v>
      </c>
      <c r="L12" s="3">
        <f>'Test Number'!Q6/L1</f>
        <v>0</v>
      </c>
      <c r="M12" s="3">
        <f>'Test Number'!R6/M1</f>
        <v>0</v>
      </c>
      <c r="N12" s="422"/>
      <c r="O12" s="424">
        <f>+'Test Number'!S6/Analysis!O1</f>
        <v>1239.590909090909</v>
      </c>
      <c r="P12" s="39">
        <v>11652.521739130434</v>
      </c>
      <c r="Q12" s="3">
        <f t="shared" si="1"/>
        <v>27271</v>
      </c>
      <c r="R12" s="3">
        <f t="shared" si="1"/>
        <v>256355.47826086954</v>
      </c>
      <c r="S12" s="432">
        <f>+Q12/R12</f>
        <v>0.10637962638835748</v>
      </c>
      <c r="T12" s="430" t="e">
        <f>SUM(T13:T14)</f>
        <v>#REF!</v>
      </c>
      <c r="U12" s="430">
        <v>4.8241666666666667</v>
      </c>
      <c r="V12" s="94" t="e">
        <f>+T12/U12</f>
        <v>#REF!</v>
      </c>
      <c r="W12" s="436" t="e">
        <f>+V12-S12</f>
        <v>#REF!</v>
      </c>
    </row>
    <row r="13" spans="1:25" x14ac:dyDescent="0.2">
      <c r="A13" s="426" t="s">
        <v>434</v>
      </c>
      <c r="B13" s="422"/>
      <c r="C13" s="422"/>
      <c r="D13" s="422"/>
      <c r="E13" s="422"/>
      <c r="F13" s="422"/>
      <c r="G13" s="422"/>
      <c r="H13" s="422"/>
      <c r="I13" s="422"/>
      <c r="J13" s="422"/>
      <c r="K13" s="422"/>
      <c r="L13" s="422"/>
      <c r="M13" s="422"/>
      <c r="N13" s="422"/>
      <c r="O13" s="424">
        <f>+'Test Number'!S4/Analysis!O1</f>
        <v>1221.8636363636363</v>
      </c>
      <c r="P13" s="39">
        <v>6189.391304347826</v>
      </c>
      <c r="Q13" s="3">
        <f t="shared" si="1"/>
        <v>26880.999999999996</v>
      </c>
      <c r="R13" s="3">
        <f t="shared" si="1"/>
        <v>136166.60869565216</v>
      </c>
      <c r="S13" s="432">
        <f>+Q13/R13</f>
        <v>0.19741256874570537</v>
      </c>
      <c r="T13" s="430" t="e">
        <f>#REF!</f>
        <v>#REF!</v>
      </c>
      <c r="U13" s="430">
        <v>1.7758333333333332</v>
      </c>
      <c r="V13" s="94" t="e">
        <f>+T13/U13</f>
        <v>#REF!</v>
      </c>
      <c r="W13" s="436" t="e">
        <f>+V13-S13</f>
        <v>#REF!</v>
      </c>
    </row>
    <row r="14" spans="1:25" ht="13.5" thickBot="1" x14ac:dyDescent="0.25">
      <c r="A14" s="427" t="s">
        <v>435</v>
      </c>
      <c r="B14" s="428"/>
      <c r="C14" s="428"/>
      <c r="D14" s="428"/>
      <c r="E14" s="428"/>
      <c r="F14" s="428"/>
      <c r="G14" s="428"/>
      <c r="H14" s="428"/>
      <c r="I14" s="428"/>
      <c r="J14" s="428"/>
      <c r="K14" s="428"/>
      <c r="L14" s="428"/>
      <c r="M14" s="428"/>
      <c r="N14" s="428"/>
      <c r="O14" s="429">
        <f>+'Test Number'!S5/Analysis!O1</f>
        <v>17.727272727272727</v>
      </c>
      <c r="P14" s="37">
        <v>5463.130434782609</v>
      </c>
      <c r="Q14" s="3">
        <f t="shared" si="1"/>
        <v>390</v>
      </c>
      <c r="R14" s="3">
        <f t="shared" si="1"/>
        <v>120188.86956521739</v>
      </c>
      <c r="S14" s="432">
        <f>+Q14/R14</f>
        <v>3.2448928208645522E-3</v>
      </c>
      <c r="T14" s="430" t="e">
        <f>#REF!</f>
        <v>#REF!</v>
      </c>
      <c r="U14" s="430">
        <v>3.0483333333333338</v>
      </c>
      <c r="V14" s="94" t="e">
        <f>+T14/U14</f>
        <v>#REF!</v>
      </c>
      <c r="W14" s="438" t="e">
        <f>+V14-S14</f>
        <v>#REF!</v>
      </c>
    </row>
    <row r="15" spans="1:25" ht="13.5" thickBot="1" x14ac:dyDescent="0.25"/>
    <row r="16" spans="1:25" x14ac:dyDescent="0.2">
      <c r="A16" s="419" t="s">
        <v>351</v>
      </c>
      <c r="B16" s="420"/>
      <c r="C16" s="420"/>
      <c r="D16" s="420"/>
      <c r="E16" s="420"/>
      <c r="F16" s="420"/>
      <c r="G16" s="420"/>
      <c r="H16" s="420"/>
      <c r="I16" s="420"/>
      <c r="J16" s="420"/>
      <c r="K16" s="420"/>
      <c r="L16" s="420"/>
      <c r="M16" s="420"/>
      <c r="N16" s="420"/>
      <c r="O16" s="154"/>
      <c r="P16" s="156"/>
      <c r="Q16" s="3"/>
      <c r="R16" s="3"/>
      <c r="S16" s="3"/>
      <c r="T16" s="433" t="e">
        <f>SUM(T5:T12)</f>
        <v>#REF!</v>
      </c>
      <c r="U16" s="433">
        <v>80.220833333333331</v>
      </c>
    </row>
    <row r="17" spans="1:23" x14ac:dyDescent="0.2">
      <c r="A17" s="421"/>
      <c r="B17" s="422"/>
      <c r="C17" s="422"/>
      <c r="D17" s="422"/>
      <c r="E17" s="422"/>
      <c r="F17" s="422"/>
      <c r="G17" s="422"/>
      <c r="H17" s="422"/>
      <c r="I17" s="422"/>
      <c r="J17" s="422"/>
      <c r="K17" s="422"/>
      <c r="L17" s="422"/>
      <c r="M17" s="422"/>
      <c r="N17" s="422"/>
      <c r="O17" s="3"/>
      <c r="P17" s="39"/>
      <c r="Q17" s="3"/>
      <c r="R17" s="3"/>
      <c r="S17" s="3"/>
    </row>
    <row r="18" spans="1:23" x14ac:dyDescent="0.2">
      <c r="A18" s="421" t="s">
        <v>347</v>
      </c>
      <c r="B18" s="423" t="e">
        <f>'Test Number'!G16/#REF!</f>
        <v>#REF!</v>
      </c>
      <c r="C18" s="423" t="e">
        <f>'Test Number'!H16/#REF!</f>
        <v>#REF!</v>
      </c>
      <c r="D18" s="423" t="e">
        <f>'Test Number'!I16/#REF!</f>
        <v>#REF!</v>
      </c>
      <c r="E18" s="423" t="e">
        <f>'Test Number'!J16/#REF!</f>
        <v>#REF!</v>
      </c>
      <c r="F18" s="423" t="e">
        <f>'Test Number'!K16/#REF!</f>
        <v>#REF!</v>
      </c>
      <c r="G18" s="3" t="e">
        <f>'Test Number'!L16/#REF!</f>
        <v>#REF!</v>
      </c>
      <c r="H18" s="3" t="e">
        <f>'Test Number'!M16/#REF!</f>
        <v>#REF!</v>
      </c>
      <c r="I18" s="3" t="e">
        <f>'Test Number'!N16/#REF!</f>
        <v>#REF!</v>
      </c>
      <c r="J18" s="3" t="e">
        <f>'Test Number'!O16/#REF!</f>
        <v>#REF!</v>
      </c>
      <c r="K18" s="3" t="e">
        <f>'Test Number'!P16/#REF!</f>
        <v>#REF!</v>
      </c>
      <c r="L18" s="3" t="e">
        <f>'Test Number'!Q16/#REF!</f>
        <v>#REF!</v>
      </c>
      <c r="M18" s="3" t="e">
        <f>'Test Number'!R16/#REF!</f>
        <v>#REF!</v>
      </c>
      <c r="N18" s="422"/>
      <c r="O18" s="424" t="e">
        <f>#REF!</f>
        <v>#REF!</v>
      </c>
      <c r="P18" s="39">
        <v>23.376666666666665</v>
      </c>
      <c r="Q18" s="3"/>
      <c r="R18" s="3"/>
      <c r="S18" s="3" t="s">
        <v>438</v>
      </c>
      <c r="T18" s="439" t="e">
        <f>+T8+T13</f>
        <v>#REF!</v>
      </c>
      <c r="U18" s="439">
        <v>11.604416666666667</v>
      </c>
      <c r="V18" s="94" t="e">
        <f>+T18/U18</f>
        <v>#REF!</v>
      </c>
    </row>
    <row r="19" spans="1:23" x14ac:dyDescent="0.2">
      <c r="A19" s="421" t="s">
        <v>15</v>
      </c>
      <c r="B19" s="423" t="e">
        <f>'Test Number'!G15/#REF!</f>
        <v>#REF!</v>
      </c>
      <c r="C19" s="423" t="e">
        <f>'Test Number'!H15/#REF!</f>
        <v>#REF!</v>
      </c>
      <c r="D19" s="423" t="e">
        <f>'Test Number'!I15/#REF!</f>
        <v>#REF!</v>
      </c>
      <c r="E19" s="423" t="e">
        <f>'Test Number'!J15/#REF!</f>
        <v>#REF!</v>
      </c>
      <c r="F19" s="423" t="e">
        <f>'Test Number'!K15/#REF!</f>
        <v>#REF!</v>
      </c>
      <c r="G19" s="3" t="e">
        <f>'Test Number'!L15/#REF!</f>
        <v>#REF!</v>
      </c>
      <c r="H19" s="3" t="e">
        <f>'Test Number'!M15/#REF!</f>
        <v>#REF!</v>
      </c>
      <c r="I19" s="3" t="e">
        <f>'Test Number'!N15/#REF!</f>
        <v>#REF!</v>
      </c>
      <c r="J19" s="3" t="e">
        <f>'Test Number'!O15/#REF!</f>
        <v>#REF!</v>
      </c>
      <c r="K19" s="3" t="e">
        <f>'Test Number'!P15/#REF!</f>
        <v>#REF!</v>
      </c>
      <c r="L19" s="3" t="e">
        <f>'Test Number'!Q15/#REF!</f>
        <v>#REF!</v>
      </c>
      <c r="M19" s="3" t="e">
        <f>'Test Number'!R15/#REF!</f>
        <v>#REF!</v>
      </c>
      <c r="N19" s="422"/>
      <c r="O19" s="424" t="e">
        <f>#REF!</f>
        <v>#REF!</v>
      </c>
      <c r="P19" s="39">
        <v>20.340666666666667</v>
      </c>
      <c r="Q19" s="3"/>
      <c r="R19" s="3"/>
      <c r="S19" s="3"/>
    </row>
    <row r="20" spans="1:23" x14ac:dyDescent="0.2">
      <c r="A20" s="421" t="s">
        <v>16</v>
      </c>
      <c r="B20" s="423" t="e">
        <f>'Test Number'!G14/#REF!</f>
        <v>#REF!</v>
      </c>
      <c r="C20" s="423" t="e">
        <f>'Test Number'!H14/#REF!</f>
        <v>#REF!</v>
      </c>
      <c r="D20" s="423" t="e">
        <f>'Test Number'!I14/#REF!</f>
        <v>#REF!</v>
      </c>
      <c r="E20" s="423" t="e">
        <f>'Test Number'!J14/#REF!</f>
        <v>#REF!</v>
      </c>
      <c r="F20" s="423" t="e">
        <f>'Test Number'!K14/#REF!</f>
        <v>#REF!</v>
      </c>
      <c r="G20" s="3" t="e">
        <f>'Test Number'!L14/#REF!</f>
        <v>#REF!</v>
      </c>
      <c r="H20" s="3" t="e">
        <f>'Test Number'!M14/#REF!</f>
        <v>#REF!</v>
      </c>
      <c r="I20" s="3" t="e">
        <f>'Test Number'!N14/#REF!</f>
        <v>#REF!</v>
      </c>
      <c r="J20" s="3" t="e">
        <f>'Test Number'!O14/#REF!</f>
        <v>#REF!</v>
      </c>
      <c r="K20" s="3" t="e">
        <f>'Test Number'!P14/#REF!</f>
        <v>#REF!</v>
      </c>
      <c r="L20" s="3" t="e">
        <f>'Test Number'!Q14/#REF!</f>
        <v>#REF!</v>
      </c>
      <c r="M20" s="3" t="e">
        <f>'Test Number'!R14/#REF!</f>
        <v>#REF!</v>
      </c>
      <c r="N20" s="422"/>
      <c r="O20" s="424" t="e">
        <f>#REF!</f>
        <v>#REF!</v>
      </c>
      <c r="P20" s="39">
        <v>9.6107500000000012</v>
      </c>
      <c r="Q20" s="3"/>
      <c r="R20" s="3"/>
      <c r="S20" s="3"/>
    </row>
    <row r="21" spans="1:23" x14ac:dyDescent="0.2">
      <c r="A21" s="421" t="s">
        <v>17</v>
      </c>
      <c r="B21" s="423" t="e">
        <f>'Test Number'!G13/#REF!</f>
        <v>#REF!</v>
      </c>
      <c r="C21" s="423" t="e">
        <f>'Test Number'!H13/#REF!</f>
        <v>#REF!</v>
      </c>
      <c r="D21" s="423" t="e">
        <f>'Test Number'!I13/#REF!</f>
        <v>#REF!</v>
      </c>
      <c r="E21" s="423" t="e">
        <f>'Test Number'!J13/#REF!</f>
        <v>#REF!</v>
      </c>
      <c r="F21" s="423" t="e">
        <f>'Test Number'!K13/#REF!</f>
        <v>#REF!</v>
      </c>
      <c r="G21" s="3" t="e">
        <f>'Test Number'!L13/#REF!</f>
        <v>#REF!</v>
      </c>
      <c r="H21" s="3" t="e">
        <f>'Test Number'!M13/#REF!</f>
        <v>#REF!</v>
      </c>
      <c r="I21" s="3" t="e">
        <f>'Test Number'!N13/#REF!</f>
        <v>#REF!</v>
      </c>
      <c r="J21" s="3" t="e">
        <f>'Test Number'!O13/#REF!</f>
        <v>#REF!</v>
      </c>
      <c r="K21" s="3" t="e">
        <f>'Test Number'!P13/#REF!</f>
        <v>#REF!</v>
      </c>
      <c r="L21" s="3" t="e">
        <f>'Test Number'!Q13/#REF!</f>
        <v>#REF!</v>
      </c>
      <c r="M21" s="3" t="e">
        <f>'Test Number'!R13/#REF!</f>
        <v>#REF!</v>
      </c>
      <c r="N21" s="422"/>
      <c r="O21" s="425" t="e">
        <f>#REF!</f>
        <v>#REF!</v>
      </c>
      <c r="P21" s="39">
        <v>9.8285833333333343</v>
      </c>
      <c r="Q21" s="3"/>
      <c r="R21" s="3"/>
      <c r="S21" s="3"/>
      <c r="T21" s="94"/>
      <c r="V21" s="365"/>
      <c r="W21" s="94"/>
    </row>
    <row r="22" spans="1:23" x14ac:dyDescent="0.2">
      <c r="A22" s="421"/>
      <c r="B22" s="422"/>
      <c r="C22" s="422"/>
      <c r="D22" s="422"/>
      <c r="E22" s="422"/>
      <c r="F22" s="422"/>
      <c r="G22" s="3"/>
      <c r="H22" s="3"/>
      <c r="I22" s="3"/>
      <c r="J22" s="3"/>
      <c r="K22" s="3"/>
      <c r="L22" s="3"/>
      <c r="M22" s="3"/>
      <c r="N22" s="422"/>
      <c r="O22" s="3"/>
      <c r="P22" s="39"/>
      <c r="Q22" s="3"/>
      <c r="R22" s="3"/>
      <c r="S22" s="3"/>
    </row>
    <row r="23" spans="1:23" x14ac:dyDescent="0.2">
      <c r="A23" s="421" t="s">
        <v>252</v>
      </c>
      <c r="B23" s="423" t="e">
        <f>'Test Number'!G11/#REF!</f>
        <v>#REF!</v>
      </c>
      <c r="C23" s="423" t="e">
        <f>'Test Number'!H11/#REF!</f>
        <v>#REF!</v>
      </c>
      <c r="D23" s="423" t="e">
        <f>'Test Number'!I11/#REF!</f>
        <v>#REF!</v>
      </c>
      <c r="E23" s="423" t="e">
        <f>'Test Number'!J11/#REF!</f>
        <v>#REF!</v>
      </c>
      <c r="F23" s="423" t="e">
        <f>'Test Number'!K11/#REF!</f>
        <v>#REF!</v>
      </c>
      <c r="G23" s="3" t="e">
        <f>'Test Number'!L11/#REF!</f>
        <v>#REF!</v>
      </c>
      <c r="H23" s="3" t="e">
        <f>'Test Number'!M11/#REF!</f>
        <v>#REF!</v>
      </c>
      <c r="I23" s="3" t="e">
        <f>'Test Number'!N11/#REF!</f>
        <v>#REF!</v>
      </c>
      <c r="J23" s="3" t="e">
        <f>'Test Number'!O11/#REF!</f>
        <v>#REF!</v>
      </c>
      <c r="K23" s="3" t="e">
        <f>'Test Number'!P11/#REF!</f>
        <v>#REF!</v>
      </c>
      <c r="L23" s="3" t="e">
        <f>'Test Number'!Q11/#REF!</f>
        <v>#REF!</v>
      </c>
      <c r="M23" s="3" t="e">
        <f>'Test Number'!R11/#REF!</f>
        <v>#REF!</v>
      </c>
      <c r="N23" s="422"/>
      <c r="O23" s="425" t="e">
        <f>#REF!</f>
        <v>#REF!</v>
      </c>
      <c r="P23" s="39">
        <v>12.24</v>
      </c>
      <c r="Q23" s="3"/>
      <c r="R23" s="3"/>
      <c r="S23" s="3"/>
    </row>
    <row r="24" spans="1:23" x14ac:dyDescent="0.2">
      <c r="A24" s="421" t="s">
        <v>251</v>
      </c>
      <c r="B24" s="422">
        <v>0</v>
      </c>
      <c r="C24" s="422">
        <v>0</v>
      </c>
      <c r="D24" s="422">
        <v>0</v>
      </c>
      <c r="E24" s="422">
        <v>0</v>
      </c>
      <c r="F24" s="422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422"/>
      <c r="O24" s="3">
        <v>0</v>
      </c>
      <c r="P24" s="39">
        <v>0</v>
      </c>
      <c r="Q24" s="3"/>
      <c r="R24" s="3"/>
      <c r="S24" s="3"/>
    </row>
    <row r="25" spans="1:23" x14ac:dyDescent="0.2">
      <c r="A25" s="421" t="s">
        <v>253</v>
      </c>
      <c r="B25" s="423" t="e">
        <f>'Test Number'!G6/#REF!</f>
        <v>#REF!</v>
      </c>
      <c r="C25" s="423" t="e">
        <f>'Test Number'!H6/#REF!</f>
        <v>#REF!</v>
      </c>
      <c r="D25" s="423" t="e">
        <f>'Test Number'!I6/#REF!</f>
        <v>#REF!</v>
      </c>
      <c r="E25" s="423" t="e">
        <f>'Test Number'!J6/#REF!</f>
        <v>#REF!</v>
      </c>
      <c r="F25" s="423" t="e">
        <f>'Test Number'!K6/#REF!</f>
        <v>#REF!</v>
      </c>
      <c r="G25" s="3" t="e">
        <f>'Test Number'!L6/#REF!</f>
        <v>#REF!</v>
      </c>
      <c r="H25" s="3" t="e">
        <f>'Test Number'!M6/#REF!</f>
        <v>#REF!</v>
      </c>
      <c r="I25" s="3" t="e">
        <f>'Test Number'!N6/#REF!</f>
        <v>#REF!</v>
      </c>
      <c r="J25" s="3" t="e">
        <f>'Test Number'!O6/#REF!</f>
        <v>#REF!</v>
      </c>
      <c r="K25" s="3" t="e">
        <f>'Test Number'!P6/#REF!</f>
        <v>#REF!</v>
      </c>
      <c r="L25" s="3" t="e">
        <f>'Test Number'!Q6/#REF!</f>
        <v>#REF!</v>
      </c>
      <c r="M25" s="3" t="e">
        <f>'Test Number'!R6/#REF!</f>
        <v>#REF!</v>
      </c>
      <c r="N25" s="422"/>
      <c r="O25" s="424" t="e">
        <f>(#REF!+#REF!)</f>
        <v>#REF!</v>
      </c>
      <c r="P25" s="39">
        <v>4.8241666666666667</v>
      </c>
      <c r="Q25" s="3"/>
      <c r="R25" s="3"/>
      <c r="S25" s="3"/>
    </row>
    <row r="26" spans="1:23" x14ac:dyDescent="0.2">
      <c r="A26" s="426" t="s">
        <v>434</v>
      </c>
      <c r="B26" s="422"/>
      <c r="C26" s="422"/>
      <c r="D26" s="422"/>
      <c r="E26" s="422"/>
      <c r="F26" s="422"/>
      <c r="G26" s="422"/>
      <c r="H26" s="422"/>
      <c r="I26" s="422"/>
      <c r="J26" s="422"/>
      <c r="K26" s="422"/>
      <c r="L26" s="422"/>
      <c r="M26" s="422"/>
      <c r="N26" s="422"/>
      <c r="O26" s="424" t="e">
        <f>#REF!</f>
        <v>#REF!</v>
      </c>
      <c r="P26" s="39">
        <v>1.7758333333333332</v>
      </c>
      <c r="Q26" s="3"/>
      <c r="R26" s="3"/>
      <c r="S26" s="3"/>
      <c r="T26" s="94"/>
      <c r="W26" s="94"/>
    </row>
    <row r="27" spans="1:23" ht="13.5" thickBot="1" x14ac:dyDescent="0.25">
      <c r="A27" s="427" t="s">
        <v>435</v>
      </c>
      <c r="B27" s="428"/>
      <c r="C27" s="428"/>
      <c r="D27" s="428"/>
      <c r="E27" s="428"/>
      <c r="F27" s="428"/>
      <c r="G27" s="428"/>
      <c r="H27" s="428"/>
      <c r="I27" s="428"/>
      <c r="J27" s="428"/>
      <c r="K27" s="428"/>
      <c r="L27" s="428"/>
      <c r="M27" s="428"/>
      <c r="N27" s="428"/>
      <c r="O27" s="429" t="e">
        <f>#REF!</f>
        <v>#REF!</v>
      </c>
      <c r="P27" s="37">
        <v>3.0483333333333338</v>
      </c>
      <c r="Q27" s="3"/>
      <c r="R27" s="3"/>
      <c r="S2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  <pageSetUpPr fitToPage="1"/>
  </sheetPr>
  <dimension ref="A1:AO70"/>
  <sheetViews>
    <sheetView showGridLines="0" zoomScale="90" zoomScaleNormal="90" workbookViewId="0">
      <pane xSplit="1" ySplit="5" topLeftCell="B6" activePane="bottomRight" state="frozen"/>
      <selection activeCell="O56" sqref="O56"/>
      <selection pane="topRight" activeCell="O56" sqref="O56"/>
      <selection pane="bottomLeft" activeCell="O56" sqref="O56"/>
      <selection pane="bottomRight" activeCell="K6" sqref="K6:L6"/>
    </sheetView>
  </sheetViews>
  <sheetFormatPr defaultColWidth="9.42578125" defaultRowHeight="12.75" outlineLevelRow="1" outlineLevelCol="2" x14ac:dyDescent="0.2"/>
  <cols>
    <col min="1" max="1" width="25.42578125" style="8" customWidth="1"/>
    <col min="2" max="2" width="9.5703125" style="8" customWidth="1"/>
    <col min="3" max="3" width="8.5703125" style="8" customWidth="1"/>
    <col min="4" max="4" width="7.28515625" style="8" bestFit="1" customWidth="1"/>
    <col min="5" max="5" width="9.5703125" style="8" customWidth="1"/>
    <col min="6" max="6" width="8.42578125" style="8" customWidth="1"/>
    <col min="7" max="7" width="6.5703125" style="8" customWidth="1"/>
    <col min="8" max="9" width="9.5703125" style="8" hidden="1" customWidth="1" outlineLevel="1"/>
    <col min="10" max="10" width="8.5703125" style="8" hidden="1" customWidth="1" outlineLevel="1"/>
    <col min="11" max="11" width="7" style="8" customWidth="1" collapsed="1"/>
    <col min="12" max="12" width="6.5703125" style="8" customWidth="1"/>
    <col min="13" max="13" width="6.5703125" style="8" hidden="1" customWidth="1" outlineLevel="1"/>
    <col min="14" max="14" width="10.42578125" style="8" customWidth="1" collapsed="1"/>
    <col min="15" max="15" width="8" style="8" customWidth="1"/>
    <col min="16" max="16" width="8.5703125" style="8" customWidth="1"/>
    <col min="17" max="17" width="7.5703125" style="8" hidden="1" customWidth="1" outlineLevel="2"/>
    <col min="18" max="18" width="11.42578125" style="8" hidden="1" customWidth="1" outlineLevel="2"/>
    <col min="19" max="19" width="10.28515625" style="8" hidden="1" customWidth="1" outlineLevel="2"/>
    <col min="20" max="20" width="19.7109375" style="8" customWidth="1" collapsed="1"/>
    <col min="21" max="21" width="11" style="4" customWidth="1"/>
    <col min="22" max="22" width="9.5703125" style="4" customWidth="1" outlineLevel="1"/>
    <col min="23" max="23" width="8.5703125" style="4" customWidth="1" outlineLevel="1"/>
    <col min="24" max="24" width="8.42578125" style="4" customWidth="1" outlineLevel="1"/>
    <col min="25" max="25" width="16.42578125" style="8" customWidth="1" outlineLevel="1"/>
    <col min="26" max="26" width="22.5703125" style="8" customWidth="1" outlineLevel="1"/>
    <col min="27" max="27" width="10.42578125" style="8" customWidth="1" outlineLevel="1"/>
    <col min="28" max="28" width="10.5703125" style="8" customWidth="1" outlineLevel="1"/>
    <col min="29" max="29" width="11" style="8" customWidth="1" outlineLevel="1"/>
    <col min="30" max="31" width="9.5703125" style="8" customWidth="1" outlineLevel="1"/>
    <col min="32" max="33" width="7.42578125" style="8" customWidth="1"/>
    <col min="34" max="34" width="7.42578125" style="8" hidden="1" customWidth="1"/>
    <col min="35" max="35" width="12.5703125" style="8" customWidth="1" outlineLevel="1"/>
    <col min="36" max="36" width="16" style="8" customWidth="1" outlineLevel="1"/>
    <col min="37" max="37" width="11.140625" style="8" bestFit="1" customWidth="1"/>
    <col min="38" max="38" width="8.42578125" style="8" customWidth="1"/>
    <col min="39" max="16384" width="9.42578125" style="8"/>
  </cols>
  <sheetData>
    <row r="1" spans="1:41" ht="26.25" thickBot="1" x14ac:dyDescent="0.25">
      <c r="A1" s="222" t="s">
        <v>0</v>
      </c>
      <c r="B1" s="490">
        <v>44927</v>
      </c>
      <c r="C1" s="223"/>
      <c r="D1" s="224" t="s">
        <v>1</v>
      </c>
    </row>
    <row r="2" spans="1:41" hidden="1" outlineLevel="1" x14ac:dyDescent="0.2"/>
    <row r="3" spans="1:41" hidden="1" outlineLevel="1" x14ac:dyDescent="0.2">
      <c r="B3" s="8">
        <v>1000</v>
      </c>
    </row>
    <row r="4" spans="1:41" hidden="1" outlineLevel="1" x14ac:dyDescent="0.2"/>
    <row r="5" spans="1:41" ht="13.5" hidden="1" outlineLevel="1" thickBot="1" x14ac:dyDescent="0.25">
      <c r="B5" s="223"/>
      <c r="AF5" s="225"/>
      <c r="AG5" s="225"/>
      <c r="AJ5" s="28"/>
    </row>
    <row r="6" spans="1:41" ht="39.75" customHeight="1" collapsed="1" x14ac:dyDescent="0.2">
      <c r="A6" s="468">
        <f>B1</f>
        <v>44927</v>
      </c>
      <c r="B6" s="847" t="s">
        <v>2</v>
      </c>
      <c r="C6" s="847"/>
      <c r="D6" s="848"/>
      <c r="E6" s="849" t="s">
        <v>3</v>
      </c>
      <c r="F6" s="849"/>
      <c r="G6" s="850"/>
      <c r="H6" s="849" t="s">
        <v>4</v>
      </c>
      <c r="I6" s="849"/>
      <c r="J6" s="851"/>
      <c r="K6" s="228" t="s">
        <v>701</v>
      </c>
      <c r="L6" s="227" t="s">
        <v>599</v>
      </c>
      <c r="M6" s="227" t="s">
        <v>551</v>
      </c>
      <c r="N6" s="852" t="s">
        <v>5</v>
      </c>
      <c r="O6" s="228" t="s">
        <v>701</v>
      </c>
      <c r="P6" s="227" t="s">
        <v>599</v>
      </c>
      <c r="Q6" s="227" t="s">
        <v>551</v>
      </c>
      <c r="R6" s="472" t="s">
        <v>552</v>
      </c>
      <c r="S6" s="657" t="s">
        <v>261</v>
      </c>
      <c r="T6" s="228" t="s">
        <v>701</v>
      </c>
      <c r="U6" s="227" t="s">
        <v>599</v>
      </c>
      <c r="V6" s="227" t="s">
        <v>551</v>
      </c>
      <c r="W6" s="474" t="s">
        <v>456</v>
      </c>
      <c r="X6" s="473" t="s">
        <v>600</v>
      </c>
      <c r="Z6" s="2"/>
      <c r="AA6" s="2"/>
      <c r="AB6" s="2"/>
      <c r="AC6" s="2"/>
      <c r="AD6" s="28"/>
      <c r="AE6" s="28"/>
      <c r="AF6" s="228" t="str">
        <f>O6</f>
        <v>FY23</v>
      </c>
      <c r="AG6" s="227" t="str">
        <f>P6</f>
        <v>FY22</v>
      </c>
      <c r="AH6" s="227" t="str">
        <f>Q6</f>
        <v>BU21</v>
      </c>
      <c r="AI6" s="474" t="s">
        <v>456</v>
      </c>
      <c r="AJ6" s="473" t="s">
        <v>552</v>
      </c>
    </row>
    <row r="7" spans="1:41" s="4" customFormat="1" ht="61.5" customHeight="1" x14ac:dyDescent="0.2">
      <c r="A7" s="229"/>
      <c r="B7" s="174" t="s">
        <v>7</v>
      </c>
      <c r="C7" s="230" t="s">
        <v>303</v>
      </c>
      <c r="D7" s="231" t="s">
        <v>304</v>
      </c>
      <c r="E7" s="174" t="s">
        <v>7</v>
      </c>
      <c r="F7" s="230" t="s">
        <v>303</v>
      </c>
      <c r="G7" s="231" t="s">
        <v>304</v>
      </c>
      <c r="H7" s="174" t="s">
        <v>7</v>
      </c>
      <c r="I7" s="230" t="s">
        <v>303</v>
      </c>
      <c r="J7" s="232" t="s">
        <v>304</v>
      </c>
      <c r="K7" s="230" t="s">
        <v>293</v>
      </c>
      <c r="L7" s="233" t="s">
        <v>293</v>
      </c>
      <c r="M7" s="234" t="s">
        <v>293</v>
      </c>
      <c r="N7" s="853"/>
      <c r="O7" s="233" t="s">
        <v>10</v>
      </c>
      <c r="P7" s="233" t="s">
        <v>10</v>
      </c>
      <c r="Q7" s="234" t="s">
        <v>10</v>
      </c>
      <c r="R7" s="233" t="s">
        <v>10</v>
      </c>
      <c r="S7" s="233" t="s">
        <v>10</v>
      </c>
      <c r="T7" s="236" t="s">
        <v>11</v>
      </c>
      <c r="U7" s="234" t="s">
        <v>11</v>
      </c>
      <c r="V7" s="234" t="s">
        <v>11</v>
      </c>
      <c r="W7" s="236" t="s">
        <v>11</v>
      </c>
      <c r="X7" s="234" t="s">
        <v>11</v>
      </c>
      <c r="Z7" s="230" t="s">
        <v>601</v>
      </c>
      <c r="AA7" s="174" t="s">
        <v>12</v>
      </c>
      <c r="AB7" s="174" t="s">
        <v>602</v>
      </c>
      <c r="AC7" s="174" t="s">
        <v>553</v>
      </c>
      <c r="AD7" s="237" t="s">
        <v>13</v>
      </c>
      <c r="AE7" s="237" t="s">
        <v>14</v>
      </c>
      <c r="AF7" s="235" t="s">
        <v>256</v>
      </c>
      <c r="AG7" s="234" t="s">
        <v>256</v>
      </c>
      <c r="AH7" s="234" t="s">
        <v>256</v>
      </c>
      <c r="AI7" s="236" t="s">
        <v>256</v>
      </c>
      <c r="AJ7" s="234" t="s">
        <v>256</v>
      </c>
    </row>
    <row r="8" spans="1:41" s="4" customFormat="1" ht="25.5" x14ac:dyDescent="0.2">
      <c r="A8" s="238" t="s">
        <v>149</v>
      </c>
      <c r="B8" s="220">
        <f>-('Mngt-Revenue '!S13)/Snapshot!$B$3</f>
        <v>2229.6399100000003</v>
      </c>
      <c r="C8" s="220">
        <f>B8-((SUM('Mngt-Melbourne Micro '!$S$10:$S$17))/Snapshot!$B$3)</f>
        <v>948.84853000000044</v>
      </c>
      <c r="D8" s="239">
        <f>C8/B8</f>
        <v>0.4255613320089881</v>
      </c>
      <c r="E8" s="220">
        <f>-('Mngt-Revenue '!$AS$13)/Snapshot!$B$3</f>
        <v>1817.90282</v>
      </c>
      <c r="F8" s="220">
        <f>E8-((SUM('Mngt-Melbourne Micro '!$AS$10:$AS$17))/Snapshot!$B$3)</f>
        <v>569.10801000000015</v>
      </c>
      <c r="G8" s="240">
        <f>F8/E8</f>
        <v>0.3130574438517017</v>
      </c>
      <c r="H8" s="220">
        <f>-('Mngt-Revenue '!$AF$13)/Snapshot!$B$3</f>
        <v>0</v>
      </c>
      <c r="I8" s="220">
        <f>H8-((SUM('Mngt-Melbourne Micro '!$AF$10:$AF$17))/Snapshot!$B$3)</f>
        <v>0</v>
      </c>
      <c r="J8" s="241" t="e">
        <f t="shared" ref="J8:J17" si="0">I8/H8</f>
        <v>#DIV/0!</v>
      </c>
      <c r="K8" s="43">
        <f>AF8/B8</f>
        <v>0.30762888972506774</v>
      </c>
      <c r="L8" s="43">
        <f>AG8/E8</f>
        <v>0.3597307198192255</v>
      </c>
      <c r="M8" s="44" t="e">
        <f>AH8/H8</f>
        <v>#DIV/0!</v>
      </c>
      <c r="N8" s="831">
        <f>AD8</f>
        <v>1.4207868485658348</v>
      </c>
      <c r="O8" s="43">
        <f>SUM('Mngt-Melbourne Micro '!S11:S13)/1000/B8</f>
        <v>0.21455604909763204</v>
      </c>
      <c r="P8" s="43">
        <f>SUM('Mngt-Melbourne Micro '!AS11:AS13)/1000/E8</f>
        <v>0.25004485113236141</v>
      </c>
      <c r="Q8" s="44" t="e">
        <f>SUM('Mngt-Melbourne Micro '!AF11:AF13)/1000/H8</f>
        <v>#DIV/0!</v>
      </c>
      <c r="R8" s="43">
        <v>0.22</v>
      </c>
      <c r="S8" s="43">
        <v>0.18</v>
      </c>
      <c r="T8" s="661">
        <v>22.3</v>
      </c>
      <c r="U8" s="662">
        <v>22</v>
      </c>
      <c r="V8" s="243" t="e">
        <f>H8*1000/AA8</f>
        <v>#DIV/0!</v>
      </c>
      <c r="W8" s="559"/>
      <c r="X8" s="50">
        <v>23.484572847797132</v>
      </c>
      <c r="Y8" s="641">
        <f>+B8/E8</f>
        <v>1.22649015418767</v>
      </c>
      <c r="Z8" s="587">
        <f>+'Test Number'!S16</f>
        <v>91439</v>
      </c>
      <c r="AA8" s="2">
        <f>'Test Number'!AF16</f>
        <v>0</v>
      </c>
      <c r="AB8" s="2">
        <f>Z8</f>
        <v>91439</v>
      </c>
      <c r="AC8" s="587">
        <f>+'Test Number'!AS16</f>
        <v>64358</v>
      </c>
      <c r="AD8" s="444">
        <f>AB8/AC8</f>
        <v>1.4207868485658348</v>
      </c>
      <c r="AE8" s="43">
        <f>AB36/AC36</f>
        <v>1.1251595771842926</v>
      </c>
      <c r="AF8" s="219">
        <f>SUM('Mngt-Payroll'!S10)/Snapshot!B3</f>
        <v>685.90165000000002</v>
      </c>
      <c r="AG8" s="221">
        <f>SUM('Mngt-Payroll'!AS10)/Snapshot!B3</f>
        <v>653.95548999999994</v>
      </c>
      <c r="AH8" s="221">
        <f>SUM('Mngt-Payroll'!AG10)/Snapshot!B3</f>
        <v>149.19576000000001</v>
      </c>
      <c r="AI8" s="561">
        <v>1477</v>
      </c>
      <c r="AJ8" s="566">
        <v>1631.52</v>
      </c>
      <c r="AK8" s="469"/>
      <c r="AM8" s="470"/>
      <c r="AN8" s="283"/>
    </row>
    <row r="9" spans="1:41" s="4" customFormat="1" x14ac:dyDescent="0.2">
      <c r="A9" s="244" t="s">
        <v>15</v>
      </c>
      <c r="B9" s="220">
        <f>-'Mngt-Revenue '!S14/Snapshot!$B$3</f>
        <v>1908.19642</v>
      </c>
      <c r="C9" s="220">
        <f>B9-(SUM('Mngt-Sydney Micro '!$S$9:$S$16)/Snapshot!$B$3)</f>
        <v>715.75327000000016</v>
      </c>
      <c r="D9" s="239">
        <f t="shared" ref="D9:D19" si="1">C9/B9</f>
        <v>0.37509412684046445</v>
      </c>
      <c r="E9" s="220">
        <f>-'Mngt-Revenue '!AS14/Snapshot!$B$3</f>
        <v>1774.2056499999999</v>
      </c>
      <c r="F9" s="220">
        <f>E9-(SUM('Mngt-Sydney Micro '!AS9:AS16)/Snapshot!$B$3)</f>
        <v>827.80080999999996</v>
      </c>
      <c r="G9" s="240">
        <f t="shared" ref="G9:G17" si="2">F9/E9</f>
        <v>0.46657545589486765</v>
      </c>
      <c r="H9" s="220">
        <f>-'Mngt-Revenue '!AF14/Snapshot!$B$3</f>
        <v>0</v>
      </c>
      <c r="I9" s="220">
        <f>H9-(SUM('Mngt-Sydney Micro '!AF9:AF16)/Snapshot!$B$3)</f>
        <v>0</v>
      </c>
      <c r="J9" s="241" t="e">
        <f t="shared" si="0"/>
        <v>#DIV/0!</v>
      </c>
      <c r="K9" s="43">
        <f t="shared" ref="K9:K11" si="3">AF9/B9</f>
        <v>0.32994865905890336</v>
      </c>
      <c r="L9" s="43">
        <f t="shared" ref="L9:L11" si="4">AG9/E9</f>
        <v>0.32397504765019774</v>
      </c>
      <c r="M9" s="44" t="e">
        <f t="shared" ref="M9:M11" si="5">AH9/H9</f>
        <v>#DIV/0!</v>
      </c>
      <c r="N9" s="172">
        <f>AD9</f>
        <v>1.2858058588491699</v>
      </c>
      <c r="O9" s="43">
        <f>SUM('Mngt-Sydney Micro '!S10:S12)/1000/B9</f>
        <v>0.50340200826914872</v>
      </c>
      <c r="P9" s="43">
        <f>SUM('Mngt-Sydney Micro '!AS10:AS12)/1000/E9</f>
        <v>0.43270884635047807</v>
      </c>
      <c r="Q9" s="44" t="e">
        <f>SUM('Mngt-Sydney Micro '!AF10:AF12)/1000/H9</f>
        <v>#DIV/0!</v>
      </c>
      <c r="R9" s="43">
        <v>0.19</v>
      </c>
      <c r="S9" s="43">
        <v>0.17</v>
      </c>
      <c r="T9" s="661">
        <v>26.57</v>
      </c>
      <c r="U9" s="662">
        <v>26.52</v>
      </c>
      <c r="V9" s="243" t="e">
        <f t="shared" ref="V9:V11" si="6">H9*1000/AA9</f>
        <v>#DIV/0!</v>
      </c>
      <c r="W9" s="559"/>
      <c r="X9" s="50">
        <v>27.054664858433359</v>
      </c>
      <c r="Y9" s="641">
        <f>+B9/E9</f>
        <v>1.0755215552379738</v>
      </c>
      <c r="Z9" s="587">
        <f>+'Test Number'!S15</f>
        <v>60177</v>
      </c>
      <c r="AA9" s="2">
        <f>'Test Number'!AF15</f>
        <v>0</v>
      </c>
      <c r="AB9" s="2">
        <f>Z9</f>
        <v>60177</v>
      </c>
      <c r="AC9" s="587">
        <f>+'Test Number'!AS15</f>
        <v>46801</v>
      </c>
      <c r="AD9" s="444">
        <f>AB9/AC9</f>
        <v>1.2858058588491699</v>
      </c>
      <c r="AE9" s="43">
        <f>AB37/AC37</f>
        <v>1.0648385977091288</v>
      </c>
      <c r="AF9" s="219">
        <f>'Mngt-Payroll'!S11/Snapshot!B3</f>
        <v>629.60685000000001</v>
      </c>
      <c r="AG9" s="221">
        <f>'Mngt-Payroll'!AS11/Snapshot!B3</f>
        <v>574.79836</v>
      </c>
      <c r="AH9" s="221">
        <f>'Mngt-Payroll'!AG11/Snapshot!B3</f>
        <v>136.68701999999999</v>
      </c>
      <c r="AI9" s="561">
        <v>1592</v>
      </c>
      <c r="AJ9" s="566">
        <v>1372.8720000000001</v>
      </c>
      <c r="AK9" s="469"/>
      <c r="AM9" s="470"/>
      <c r="AN9" s="283"/>
    </row>
    <row r="10" spans="1:41" s="4" customFormat="1" x14ac:dyDescent="0.2">
      <c r="A10" s="244" t="s">
        <v>16</v>
      </c>
      <c r="B10" s="220">
        <f>-'Mngt-Revenue '!S12/Snapshot!$B$3</f>
        <v>742.47552000000007</v>
      </c>
      <c r="C10" s="220">
        <f>B10-(SUM('Mngt-Perth Micro '!$S$9:$S$16)/Snapshot!$B$3)</f>
        <v>307.7499600000001</v>
      </c>
      <c r="D10" s="239">
        <f t="shared" si="1"/>
        <v>0.41449172627267233</v>
      </c>
      <c r="E10" s="220">
        <f>-'Mngt-Revenue '!AS12/Snapshot!$B$3</f>
        <v>602.02756000000011</v>
      </c>
      <c r="F10" s="220">
        <f>E10-(SUM('Mngt-Perth Micro '!AS9:AS16)/Snapshot!$B$3)</f>
        <v>176.56828000000007</v>
      </c>
      <c r="G10" s="240">
        <f t="shared" si="2"/>
        <v>0.29328936369624015</v>
      </c>
      <c r="H10" s="220">
        <f>-'Mngt-Revenue '!AF12/Snapshot!$B$3</f>
        <v>0</v>
      </c>
      <c r="I10" s="220">
        <f>H10-(SUM('Mngt-Perth Micro '!AF9:AF16)/Snapshot!$B$3)</f>
        <v>0</v>
      </c>
      <c r="J10" s="241" t="e">
        <f t="shared" si="0"/>
        <v>#DIV/0!</v>
      </c>
      <c r="K10" s="43">
        <f t="shared" si="3"/>
        <v>0.32648226570486794</v>
      </c>
      <c r="L10" s="43">
        <f t="shared" si="4"/>
        <v>0.45183159056704969</v>
      </c>
      <c r="M10" s="44" t="e">
        <f>AH10/H10</f>
        <v>#DIV/0!</v>
      </c>
      <c r="N10" s="831">
        <f>AD10</f>
        <v>1.4015194003976954</v>
      </c>
      <c r="O10" s="43">
        <f>SUM('Mngt-Perth Micro '!S10:S12)/1000/B10</f>
        <v>0.15803482652195724</v>
      </c>
      <c r="P10" s="43">
        <f>SUM('Mngt-Perth Micro '!AS10:AS12)/1000/E10</f>
        <v>0.15061169292648327</v>
      </c>
      <c r="Q10" s="44" t="e">
        <f>SUM('Mngt-Perth Micro '!AF10:AF12)/1000/H10</f>
        <v>#DIV/0!</v>
      </c>
      <c r="R10" s="43">
        <v>0.16</v>
      </c>
      <c r="S10" s="43">
        <v>0.13</v>
      </c>
      <c r="T10" s="661">
        <v>23.79</v>
      </c>
      <c r="U10" s="662">
        <v>21.17</v>
      </c>
      <c r="V10" s="243" t="e">
        <f t="shared" si="6"/>
        <v>#DIV/0!</v>
      </c>
      <c r="W10" s="559"/>
      <c r="X10" s="50">
        <v>21.990847484267224</v>
      </c>
      <c r="Y10" s="641">
        <f>+B10/E10</f>
        <v>1.2332915788772194</v>
      </c>
      <c r="Z10" s="587">
        <f>+'Test Number'!S14</f>
        <v>27488</v>
      </c>
      <c r="AA10" s="2">
        <f>'Test Number'!AF14</f>
        <v>0</v>
      </c>
      <c r="AB10" s="2">
        <f>Z10</f>
        <v>27488</v>
      </c>
      <c r="AC10" s="587">
        <f>+'Test Number'!AS14</f>
        <v>19613</v>
      </c>
      <c r="AD10" s="444">
        <f t="shared" ref="AD10" si="7">AB10/AC10</f>
        <v>1.4015194003976954</v>
      </c>
      <c r="AE10" s="43">
        <f>AB38/AC38</f>
        <v>1.1290089569488586</v>
      </c>
      <c r="AF10" s="219">
        <f>'Mngt-Payroll'!S9/Snapshot!B3</f>
        <v>242.40509</v>
      </c>
      <c r="AG10" s="221">
        <f>'Mngt-Payroll'!AS9/Snapshot!B3</f>
        <v>272.01506999999998</v>
      </c>
      <c r="AH10" s="221">
        <f>'Mngt-Payroll'!AG9/Snapshot!B3</f>
        <v>64.249970000000005</v>
      </c>
      <c r="AI10" s="561">
        <v>748</v>
      </c>
      <c r="AJ10" s="566">
        <v>703.83100000000002</v>
      </c>
      <c r="AK10" s="469"/>
      <c r="AM10" s="470"/>
      <c r="AN10" s="283"/>
    </row>
    <row r="11" spans="1:41" s="4" customFormat="1" ht="13.5" thickBot="1" x14ac:dyDescent="0.25">
      <c r="A11" s="244" t="s">
        <v>17</v>
      </c>
      <c r="B11" s="220">
        <f>-'Mngt-Revenue '!S11/Snapshot!$B$3</f>
        <v>674.33487000000002</v>
      </c>
      <c r="C11" s="220">
        <f>B11-(SUM('Mngt-Brisbane Micro '!$S$10:$S$17)/Snapshot!$B$3)</f>
        <v>137.83542999999997</v>
      </c>
      <c r="D11" s="239">
        <f t="shared" si="1"/>
        <v>0.2044020502751103</v>
      </c>
      <c r="E11" s="220">
        <f>-'Mngt-Revenue '!AS11/Snapshot!$B$3</f>
        <v>771.20579000000009</v>
      </c>
      <c r="F11" s="220">
        <f>E11-(SUM('Mngt-Brisbane Micro '!AS10:AS17)/Snapshot!$B$3)</f>
        <v>211.29876000000002</v>
      </c>
      <c r="G11" s="240">
        <f t="shared" si="2"/>
        <v>0.27398492430924304</v>
      </c>
      <c r="H11" s="220">
        <f>-'Mngt-Revenue '!AF11/Snapshot!$B$3</f>
        <v>0</v>
      </c>
      <c r="I11" s="220">
        <f>H11-(SUM('Mngt-Brisbane Micro '!AF10:AF17)/Snapshot!$B$3)</f>
        <v>0</v>
      </c>
      <c r="J11" s="241" t="e">
        <f t="shared" si="0"/>
        <v>#DIV/0!</v>
      </c>
      <c r="K11" s="43">
        <f t="shared" si="3"/>
        <v>0.40400692907961294</v>
      </c>
      <c r="L11" s="43">
        <f t="shared" si="4"/>
        <v>0.36364666038101184</v>
      </c>
      <c r="M11" s="44" t="e">
        <f t="shared" si="5"/>
        <v>#DIV/0!</v>
      </c>
      <c r="N11" s="172">
        <f>AD11</f>
        <v>1.1625250136438057</v>
      </c>
      <c r="O11" s="43">
        <f>SUM('Mngt-Brisbane Micro '!S11:S13)/1000/B11</f>
        <v>0.22288678323871933</v>
      </c>
      <c r="P11" s="43">
        <f>SUM('Mngt-Brisbane Micro '!AS11:AS13)/1000/E11</f>
        <v>0.20962664193690764</v>
      </c>
      <c r="Q11" s="44" t="e">
        <f>SUM('Mngt-Brisbane Micro '!AF11:AF13)/1000/H11</f>
        <v>#DIV/0!</v>
      </c>
      <c r="R11" s="43">
        <v>0.24</v>
      </c>
      <c r="S11" s="43">
        <v>0.21</v>
      </c>
      <c r="T11" s="661">
        <v>19.54</v>
      </c>
      <c r="U11" s="662">
        <v>18.8</v>
      </c>
      <c r="V11" s="243" t="e">
        <f t="shared" si="6"/>
        <v>#DIV/0!</v>
      </c>
      <c r="W11" s="559"/>
      <c r="X11" s="50">
        <v>18.749369177287736</v>
      </c>
      <c r="Y11" s="641">
        <f>+B11/E11</f>
        <v>0.87439031026984371</v>
      </c>
      <c r="Z11" s="587">
        <f>+'Test Number'!S13</f>
        <v>31952</v>
      </c>
      <c r="AA11" s="176">
        <f>'Test Number'!AF13</f>
        <v>0</v>
      </c>
      <c r="AB11" s="2">
        <f>Z11</f>
        <v>31952</v>
      </c>
      <c r="AC11" s="588">
        <f>+'Test Number'!AS13</f>
        <v>27485</v>
      </c>
      <c r="AD11" s="444">
        <f>AB11/AC11</f>
        <v>1.1625250136438057</v>
      </c>
      <c r="AE11" s="43">
        <f>AB39/AC39</f>
        <v>0.79313044329190718</v>
      </c>
      <c r="AF11" s="219">
        <f>'Mngt-Payroll'!S8/Snapshot!B3</f>
        <v>272.43596000000002</v>
      </c>
      <c r="AG11" s="221">
        <f>'Mngt-Payroll'!AS8/Snapshot!B3</f>
        <v>280.44640999999996</v>
      </c>
      <c r="AH11" s="221">
        <f>'Mngt-Payroll'!AG8/Snapshot!B3</f>
        <v>60.270209999999999</v>
      </c>
      <c r="AI11" s="561">
        <v>729</v>
      </c>
      <c r="AJ11" s="566">
        <v>733.70500000000004</v>
      </c>
      <c r="AK11" s="469"/>
      <c r="AM11" s="470"/>
      <c r="AN11" s="283"/>
    </row>
    <row r="12" spans="1:41" s="4" customFormat="1" ht="13.5" hidden="1" customHeight="1" outlineLevel="1" thickBot="1" x14ac:dyDescent="0.25">
      <c r="A12" s="244"/>
      <c r="B12" s="220"/>
      <c r="C12" s="220"/>
      <c r="D12" s="239"/>
      <c r="E12" s="220"/>
      <c r="F12" s="220"/>
      <c r="G12" s="240"/>
      <c r="H12" s="220"/>
      <c r="I12" s="220"/>
      <c r="J12" s="241"/>
      <c r="K12" s="2"/>
      <c r="L12" s="245"/>
      <c r="M12" s="246"/>
      <c r="N12" s="398"/>
      <c r="O12" s="2"/>
      <c r="P12" s="245"/>
      <c r="Q12" s="246"/>
      <c r="R12" s="245"/>
      <c r="S12" s="245"/>
      <c r="T12" s="663"/>
      <c r="U12" s="664"/>
      <c r="V12" s="50"/>
      <c r="W12" s="475"/>
      <c r="X12" s="248"/>
      <c r="Y12" s="396"/>
      <c r="Z12" s="174">
        <f>SUM(Z8:Z11)</f>
        <v>211056</v>
      </c>
      <c r="AA12" s="174">
        <f>SUM(AA8:AA11)</f>
        <v>0</v>
      </c>
      <c r="AB12" s="174">
        <f>SUM(AB8:AB11)</f>
        <v>211056</v>
      </c>
      <c r="AC12" s="589">
        <f>SUM(AC8:AC11)</f>
        <v>158257</v>
      </c>
      <c r="AD12" s="445"/>
      <c r="AE12" s="2"/>
      <c r="AF12" s="35"/>
      <c r="AG12" s="246"/>
      <c r="AH12" s="246"/>
      <c r="AI12" s="562"/>
      <c r="AJ12" s="246"/>
    </row>
    <row r="13" spans="1:41" s="4" customFormat="1" ht="13.5" collapsed="1" thickBot="1" x14ac:dyDescent="0.25">
      <c r="A13" s="249" t="s">
        <v>18</v>
      </c>
      <c r="B13" s="250">
        <f>SUM(B8:B11)</f>
        <v>5554.6467199999997</v>
      </c>
      <c r="C13" s="250">
        <f>SUM(C8:C11)</f>
        <v>2110.1871900000006</v>
      </c>
      <c r="D13" s="251">
        <f t="shared" si="1"/>
        <v>0.37989584151267153</v>
      </c>
      <c r="E13" s="250">
        <f>SUM(E8:E11)</f>
        <v>4965.3418200000006</v>
      </c>
      <c r="F13" s="250">
        <f>SUM(F8:F11)</f>
        <v>1784.7758600000002</v>
      </c>
      <c r="G13" s="462">
        <f t="shared" si="2"/>
        <v>0.35944672586508858</v>
      </c>
      <c r="H13" s="250">
        <f>SUM(H8:H11)</f>
        <v>0</v>
      </c>
      <c r="I13" s="250">
        <f>SUM(I8:I11)</f>
        <v>0</v>
      </c>
      <c r="J13" s="252" t="e">
        <f t="shared" si="0"/>
        <v>#DIV/0!</v>
      </c>
      <c r="K13" s="253">
        <f>AF13/B13</f>
        <v>0.32951682478917399</v>
      </c>
      <c r="L13" s="253">
        <f t="shared" ref="L13" si="8">AG13/E13</f>
        <v>0.3587296493517137</v>
      </c>
      <c r="M13" s="254" t="e">
        <f t="shared" ref="M13" si="9">AH13/H13</f>
        <v>#DIV/0!</v>
      </c>
      <c r="N13" s="399">
        <f>AD13</f>
        <v>1.3336282123381589</v>
      </c>
      <c r="O13" s="253">
        <f>SUM('Mngt-Microbiology '!S11:S13)/1000/B13</f>
        <v>0.20400652770947061</v>
      </c>
      <c r="P13" s="253">
        <f>SUM('Mngt-Microbiology '!AS11:AS13)/1000/E13</f>
        <v>0.19527937353565716</v>
      </c>
      <c r="Q13" s="254" t="e">
        <f>SUM('Mngt-Microbiology '!AF10:AF12)/1000/H13</f>
        <v>#DIV/0!</v>
      </c>
      <c r="R13" s="253">
        <v>0.2</v>
      </c>
      <c r="S13" s="253">
        <v>0.17</v>
      </c>
      <c r="T13" s="694">
        <v>23.29</v>
      </c>
      <c r="U13" s="695">
        <v>22.68</v>
      </c>
      <c r="V13" s="257" t="e">
        <f>H13*1000/AA12</f>
        <v>#DIV/0!</v>
      </c>
      <c r="W13" s="256"/>
      <c r="X13" s="257">
        <v>23.546065698184499</v>
      </c>
      <c r="Y13" s="641">
        <f>+B13/E13</f>
        <v>1.1186836518739407</v>
      </c>
      <c r="Z13" s="174">
        <f>+Z11+Z10+Z9+Z8</f>
        <v>211056</v>
      </c>
      <c r="AA13" s="174">
        <f t="shared" ref="AA13" si="10">+AA11+AA10+AA9+AA8</f>
        <v>0</v>
      </c>
      <c r="AB13" s="631">
        <f>+AB11+AB10+AB9+AB8</f>
        <v>211056</v>
      </c>
      <c r="AC13" s="632">
        <f>+AC11+AC10+AC9+AC8</f>
        <v>158257</v>
      </c>
      <c r="AD13" s="446">
        <f>AB12/AC12</f>
        <v>1.3336282123381589</v>
      </c>
      <c r="AE13" s="258">
        <f>AB40/AC40</f>
        <v>1.0423243169238592</v>
      </c>
      <c r="AF13" s="259">
        <f>SUM(AF8:AF11)</f>
        <v>1830.3495499999999</v>
      </c>
      <c r="AG13" s="260">
        <f t="shared" ref="AG13:AJ13" si="11">SUM(AG8:AG11)</f>
        <v>1781.21533</v>
      </c>
      <c r="AH13" s="260">
        <f>SUM(AH8:AH11)</f>
        <v>410.40296000000006</v>
      </c>
      <c r="AI13" s="563">
        <f t="shared" si="11"/>
        <v>4546</v>
      </c>
      <c r="AJ13" s="260">
        <f t="shared" si="11"/>
        <v>4441.9279999999999</v>
      </c>
      <c r="AK13" s="641">
        <f>+N13*E13</f>
        <v>6621.9199350545014</v>
      </c>
    </row>
    <row r="14" spans="1:41" s="4" customFormat="1" x14ac:dyDescent="0.2">
      <c r="A14" s="261" t="s">
        <v>251</v>
      </c>
      <c r="B14" s="220">
        <f>-SUM('Mngt-Revenue '!S5,'Mngt-Revenue '!S7,'Mngt-Revenue '!S9,'Mngt-Revenue '!S15)/Snapshot!$B$3</f>
        <v>387.19195999999994</v>
      </c>
      <c r="C14" s="220">
        <f>B14-('Mngt-Chemistry '!$S$14/$B$3)</f>
        <v>108.88296999999994</v>
      </c>
      <c r="D14" s="239">
        <f t="shared" si="1"/>
        <v>0.28121185677512506</v>
      </c>
      <c r="E14" s="220">
        <f>-SUM('Mngt-Revenue '!AS5,'Mngt-Revenue '!AS7,'Mngt-Revenue '!AS9,'Mngt-Revenue '!AS15)/Snapshot!$B$3</f>
        <v>374.72834</v>
      </c>
      <c r="F14" s="220">
        <f>E14-('Mngt-Chemistry '!AS14/B3)</f>
        <v>95.061080000000004</v>
      </c>
      <c r="G14" s="463">
        <f t="shared" si="2"/>
        <v>0.25367998587990437</v>
      </c>
      <c r="H14" s="220">
        <f>-SUM('Mngt-Revenue '!AF5,'Mngt-Revenue '!AF7,'Mngt-Revenue '!AF9,'Mngt-Revenue '!AF15)/Snapshot!$B$3</f>
        <v>0</v>
      </c>
      <c r="I14" s="220">
        <f>H14-('Mngt-Chemistry '!AF14/B3)</f>
        <v>0</v>
      </c>
      <c r="J14" s="44" t="e">
        <f t="shared" si="0"/>
        <v>#DIV/0!</v>
      </c>
      <c r="K14" s="47"/>
      <c r="L14" s="47"/>
      <c r="M14" s="47"/>
      <c r="N14" s="171">
        <f>AD14</f>
        <v>1.9200233508464681</v>
      </c>
      <c r="O14" s="47"/>
      <c r="P14" s="47"/>
      <c r="Q14" s="47"/>
      <c r="R14" s="48"/>
      <c r="S14" s="49"/>
      <c r="T14" s="665"/>
      <c r="U14" s="666"/>
      <c r="V14" s="243" t="e">
        <f>H14*1000/AA14</f>
        <v>#DIV/0!</v>
      </c>
      <c r="W14" s="560"/>
      <c r="X14" s="49">
        <v>103.55583242485594</v>
      </c>
      <c r="Y14" s="641">
        <f>+B14/E14</f>
        <v>1.0332604147313755</v>
      </c>
      <c r="Z14" s="2">
        <f>'Mngt-Revenue '!S30</f>
        <v>6578</v>
      </c>
      <c r="AA14" s="176">
        <f>'Mngt-Revenue '!AH30</f>
        <v>0</v>
      </c>
      <c r="AB14" s="633">
        <f>Z14</f>
        <v>6578</v>
      </c>
      <c r="AC14" s="633">
        <f>'Mngt-Revenue '!AU30</f>
        <v>3426</v>
      </c>
      <c r="AD14" s="444">
        <f t="shared" ref="AD14:AD15" si="12">AB14/AC14</f>
        <v>1.9200233508464681</v>
      </c>
      <c r="AE14" s="43"/>
      <c r="AF14" s="262"/>
      <c r="AG14" s="264"/>
      <c r="AH14" s="264"/>
      <c r="AI14" s="564"/>
      <c r="AJ14" s="264"/>
      <c r="AK14" s="469"/>
      <c r="AL14" s="641">
        <f>+AK13-E13</f>
        <v>1656.5781150545008</v>
      </c>
      <c r="AM14" s="470"/>
      <c r="AN14" s="283"/>
    </row>
    <row r="15" spans="1:41" s="4" customFormat="1" x14ac:dyDescent="0.2">
      <c r="A15" s="261" t="s">
        <v>252</v>
      </c>
      <c r="B15" s="220">
        <f>-SUM('Mngt-Revenue '!S4,'Mngt-Revenue '!S6,'Mngt-Revenue '!S8,'Mngt-Revenue '!S16)/Snapshot!$B$3</f>
        <v>566.92277000000001</v>
      </c>
      <c r="C15" s="220">
        <f>B15-((SUM('Mngt-Chemistry '!$S$9:$S$16)-'Mngt-Chemistry '!S14-SUM('Mngt-Chem Milk Testing '!$S$9:$S$16))/Snapshot!$B$3)</f>
        <v>128.61476999999996</v>
      </c>
      <c r="D15" s="239">
        <f t="shared" si="1"/>
        <v>0.22686471033788247</v>
      </c>
      <c r="E15" s="220">
        <f>-SUM('Mngt-Revenue '!AS4,'Mngt-Revenue '!AS6,'Mngt-Revenue '!AS8,'Mngt-Revenue '!AS16)/Snapshot!$B$3</f>
        <v>651.63588000000004</v>
      </c>
      <c r="F15" s="220">
        <f>E15-((SUM('Mngt-Chemistry '!AS9:AS16)-'Mngt-Chemistry '!AS14-SUM('Mngt-Chem Milk Testing '!AS9:AS16))/Snapshot!B3)</f>
        <v>208.55704000000009</v>
      </c>
      <c r="G15" s="463">
        <f t="shared" si="2"/>
        <v>0.32005149869893607</v>
      </c>
      <c r="H15" s="220">
        <f>-SUM('Mngt-Revenue '!AF4,'Mngt-Revenue '!AF6,'Mngt-Revenue '!AF8,'Mngt-Revenue '!AF16)/Snapshot!$B$3</f>
        <v>0</v>
      </c>
      <c r="I15" s="220">
        <f>H15-((SUM('Mngt-Chemistry '!AF9:AF16)-'Mngt-Chemistry '!AF14-SUM('Mngt-Chem Milk Testing '!AF9:AF16))/Snapshot!B3)</f>
        <v>0</v>
      </c>
      <c r="J15" s="44" t="e">
        <f t="shared" si="0"/>
        <v>#DIV/0!</v>
      </c>
      <c r="K15" s="43">
        <f>AF15/B15</f>
        <v>0.62054140108008005</v>
      </c>
      <c r="L15" s="43">
        <f>AG15/E15</f>
        <v>0.5486414897841414</v>
      </c>
      <c r="M15" s="43" t="e">
        <f>AH15/H15</f>
        <v>#DIV/0!</v>
      </c>
      <c r="N15" s="172">
        <f>AD15</f>
        <v>1.2584511023176936</v>
      </c>
      <c r="O15" s="43" t="e">
        <f>(SUM('Mngt-Chemistry '!S10:S14)-SUM('Mngt-Chem Milk Testing '!S10:S14))/'Mngt-Revenue '!S26</f>
        <v>#DIV/0!</v>
      </c>
      <c r="P15" s="43" t="e">
        <f>(SUM('Mngt-Chemistry '!AS10:AS14)-SUM('Mngt-Chem Milk Testing '!AS10:AS14))/'Mngt-Revenue '!AS26</f>
        <v>#DIV/0!</v>
      </c>
      <c r="Q15" s="43" t="e">
        <f>(SUM('Mngt-Chemistry '!AF10:AF13)-SUM('Mngt-Chem Milk Testing '!AF10:AF13))/'Mngt-Revenue '!AF26</f>
        <v>#DIV/0!</v>
      </c>
      <c r="R15" s="42">
        <v>0.17</v>
      </c>
      <c r="S15" s="44" t="e">
        <f>(SUM('Mngt-Chemistry '!$AS$10:$AS$13)-SUM('Mngt-Chem Milk Testing '!$AS$10:$AS$13))/'Mngt-Revenue '!$AU$26</f>
        <v>#DIV/0!</v>
      </c>
      <c r="T15" s="665"/>
      <c r="U15" s="666"/>
      <c r="V15" s="243" t="e">
        <f>H15*1000/AA15</f>
        <v>#DIV/0!</v>
      </c>
      <c r="W15" s="559"/>
      <c r="X15" s="50">
        <v>48.250362935003523</v>
      </c>
      <c r="Y15" s="641">
        <f>+B15/E15</f>
        <v>0.86999931618252813</v>
      </c>
      <c r="Z15" s="2">
        <f>'Mngt-Revenue '!S31</f>
        <v>11131</v>
      </c>
      <c r="AA15" s="175">
        <f>'Mngt-Revenue '!AH31</f>
        <v>0</v>
      </c>
      <c r="AB15" s="633">
        <f>Z15</f>
        <v>11131</v>
      </c>
      <c r="AC15" s="633">
        <f>'Mngt-Revenue '!AU31</f>
        <v>8845</v>
      </c>
      <c r="AD15" s="444">
        <f t="shared" si="12"/>
        <v>1.2584511023176936</v>
      </c>
      <c r="AE15" s="43"/>
      <c r="AF15" s="219">
        <f>'Mngt-Payroll'!$S$6/Snapshot!$B$3</f>
        <v>351.79904999999997</v>
      </c>
      <c r="AG15" s="221">
        <f>SUM('Mngt-Payroll'!$AS$6)/Snapshot!$B$3</f>
        <v>357.51447999999999</v>
      </c>
      <c r="AH15" s="221">
        <f>SUM('Mngt-Payroll'!$AG$6)/Snapshot!$B$3</f>
        <v>103.74460999999999</v>
      </c>
      <c r="AI15" s="561">
        <v>988</v>
      </c>
      <c r="AJ15" s="566">
        <v>904.58</v>
      </c>
      <c r="AK15" s="469"/>
      <c r="AM15" s="470"/>
      <c r="AN15" s="283"/>
    </row>
    <row r="16" spans="1:41" s="4" customFormat="1" ht="13.5" thickBot="1" x14ac:dyDescent="0.25">
      <c r="A16" s="261" t="s">
        <v>253</v>
      </c>
      <c r="B16" s="220">
        <f>-SUM('Mngt-Revenue '!S2:S3)/Snapshot!$B$3</f>
        <v>86.72757</v>
      </c>
      <c r="C16" s="220">
        <f>B16-(SUM('Mngt-Chem Milk Testing '!$S$9:$S$16)/Snapshot!$B$3)</f>
        <v>30.66874</v>
      </c>
      <c r="D16" s="239">
        <f t="shared" si="1"/>
        <v>0.35362157616084483</v>
      </c>
      <c r="E16" s="220">
        <f>-SUM('Mngt-Revenue '!AS2:AS3)/Snapshot!$B$3</f>
        <v>94.139440000000008</v>
      </c>
      <c r="F16" s="220">
        <f>E16-(SUM('Mngt-Chem Milk Testing '!AS9:AS16)/Snapshot!B3)</f>
        <v>21.880310000000009</v>
      </c>
      <c r="G16" s="463">
        <f t="shared" si="2"/>
        <v>0.23242447586261408</v>
      </c>
      <c r="H16" s="220">
        <f>-SUM('Mngt-Revenue '!AF2:AF3)/Snapshot!$B$3</f>
        <v>0</v>
      </c>
      <c r="I16" s="220">
        <f>H16-(SUM('Mngt-Chem Milk Testing '!AF9:AF16)/Snapshot!B3)</f>
        <v>0</v>
      </c>
      <c r="J16" s="44" t="e">
        <f t="shared" si="0"/>
        <v>#DIV/0!</v>
      </c>
      <c r="K16" s="43">
        <f>AF16/B16</f>
        <v>0.21113343772920193</v>
      </c>
      <c r="L16" s="43">
        <f>AG16/E16</f>
        <v>0.53225980524209615</v>
      </c>
      <c r="M16" s="43" t="e">
        <f>AH16/H16</f>
        <v>#DIV/0!</v>
      </c>
      <c r="N16" s="173">
        <f>AD16</f>
        <v>1.3261524995137133</v>
      </c>
      <c r="O16" s="43">
        <f>SUM('Mngt-Chem Milk Testing '!S10:S14)/'Mngt-Chem Milk Testing '!S2</f>
        <v>0.18024706561016293</v>
      </c>
      <c r="P16" s="43">
        <f>SUM('Mngt-Chem Milk Testing '!AS10:AS14)/'Mngt-Chem Milk Testing '!AS2</f>
        <v>5.9980067865285792E-2</v>
      </c>
      <c r="Q16" s="43" t="e">
        <f>SUM('Mngt-Chem Milk Testing '!AF10:AF13)/'Mngt-Chem Milk Testing '!AF2</f>
        <v>#DIV/0!</v>
      </c>
      <c r="R16" s="42">
        <v>0.09</v>
      </c>
      <c r="S16" s="44">
        <f>SUM('Mngt-Chem Milk Testing '!$AS$10:$AS$13)/'Mngt-Chem Milk Testing '!$AS$2</f>
        <v>5.9980067865285792E-2</v>
      </c>
      <c r="T16" s="665"/>
      <c r="U16" s="666"/>
      <c r="V16" s="243" t="e">
        <f>H16*1000/AA16</f>
        <v>#DIV/0!</v>
      </c>
      <c r="W16" s="559"/>
      <c r="X16" s="50">
        <v>2.6914872556297946</v>
      </c>
      <c r="Y16" s="641">
        <f>+B16/E16</f>
        <v>0.92126711185025101</v>
      </c>
      <c r="Z16" s="176">
        <f>'Test Number'!S6</f>
        <v>27271</v>
      </c>
      <c r="AA16" s="176">
        <f>'Test Number'!AF6</f>
        <v>0</v>
      </c>
      <c r="AB16" s="633">
        <f>Z16</f>
        <v>27271</v>
      </c>
      <c r="AC16" s="634">
        <f>'Test Number'!AS6</f>
        <v>20564</v>
      </c>
      <c r="AD16" s="444">
        <f>AB16/AC16</f>
        <v>1.3261524995137133</v>
      </c>
      <c r="AF16" s="219">
        <f>('Mngt-Payroll'!$S$2+'Mngt-Payroll'!$T$3)/Snapshot!$B$3</f>
        <v>18.31109</v>
      </c>
      <c r="AG16" s="221">
        <f>SUM('Mngt-Payroll'!$AS$2+'Mngt-Payroll'!$AT$3)/Snapshot!$B$3</f>
        <v>50.106639999999999</v>
      </c>
      <c r="AH16" s="221">
        <f>SUM('Mngt-Payroll'!$AG$2+'Mngt-Payroll'!$AG$3)/Snapshot!$B$3</f>
        <v>9.0990200000000012</v>
      </c>
      <c r="AI16" s="561">
        <v>457</v>
      </c>
      <c r="AJ16" s="566">
        <v>334.75400000000002</v>
      </c>
      <c r="AK16" s="469"/>
      <c r="AM16" s="470"/>
      <c r="AN16" s="283"/>
      <c r="AO16" s="265"/>
    </row>
    <row r="17" spans="1:41" s="4" customFormat="1" ht="13.5" thickBot="1" x14ac:dyDescent="0.25">
      <c r="A17" s="266" t="s">
        <v>19</v>
      </c>
      <c r="B17" s="250">
        <f>SUM(B14:B16)</f>
        <v>1040.8423</v>
      </c>
      <c r="C17" s="250">
        <f>SUM(C14:C16)</f>
        <v>268.16647999999992</v>
      </c>
      <c r="D17" s="267">
        <f t="shared" si="1"/>
        <v>0.25764371797725738</v>
      </c>
      <c r="E17" s="250">
        <f>SUM(E14:E16)</f>
        <v>1120.5036599999999</v>
      </c>
      <c r="F17" s="250">
        <f>SUM(F14:F16)</f>
        <v>325.4984300000001</v>
      </c>
      <c r="G17" s="464">
        <f t="shared" si="2"/>
        <v>0.29049296456559559</v>
      </c>
      <c r="H17" s="250">
        <f>SUM(H14:H16)</f>
        <v>0</v>
      </c>
      <c r="I17" s="250">
        <f>SUM(I14:I16)</f>
        <v>0</v>
      </c>
      <c r="J17" s="268" t="e">
        <f t="shared" si="0"/>
        <v>#DIV/0!</v>
      </c>
      <c r="K17" s="40">
        <f>AF17/B17</f>
        <v>0.35724480067729764</v>
      </c>
      <c r="L17" s="40">
        <f>AG17/E17</f>
        <v>0.36378383627948174</v>
      </c>
      <c r="M17" s="40" t="e">
        <f>AH17/H17</f>
        <v>#DIV/0!</v>
      </c>
      <c r="N17" s="397">
        <f>+AD17</f>
        <v>1.3698797015379931</v>
      </c>
      <c r="O17" s="40">
        <f>SUM('Mngt-Chemistry '!S10:S14)/Snapshot!$B$3/SUM(Snapshot!B15:B16)</f>
        <v>0.56590525142234305</v>
      </c>
      <c r="P17" s="40">
        <f>SUM('Mngt-Chemistry '!AS10:AS14)/Snapshot!$B$3/SUM(Snapshot!E15:E16)</f>
        <v>0.46194693061175579</v>
      </c>
      <c r="Q17" s="40" t="e">
        <f>SUM('Mngt-Chemistry '!AF10:AF13)/Snapshot!$B$3/SUM(Snapshot!H15:H16)</f>
        <v>#DIV/0!</v>
      </c>
      <c r="R17" s="51">
        <v>0.15</v>
      </c>
      <c r="S17" s="52">
        <f>SUM('Mngt-Chemistry '!$S$10:$S$13)/1000/Snapshot!$B$14</f>
        <v>0.23656268585742335</v>
      </c>
      <c r="T17" s="694">
        <v>52.62</v>
      </c>
      <c r="U17" s="694">
        <v>67.040000000000006</v>
      </c>
      <c r="V17" s="257" t="e">
        <f>H17*1000/(AA15+AA14)</f>
        <v>#DIV/0!</v>
      </c>
      <c r="W17" s="41"/>
      <c r="X17" s="53">
        <v>63.444579102522113</v>
      </c>
      <c r="Z17" s="174">
        <f t="shared" ref="Z17:AA17" si="13">SUM(Z14:Z16)</f>
        <v>44980</v>
      </c>
      <c r="AA17" s="174">
        <f t="shared" si="13"/>
        <v>0</v>
      </c>
      <c r="AB17" s="631">
        <f>SUM(AB14:AB16)</f>
        <v>44980</v>
      </c>
      <c r="AC17" s="631">
        <f>SUM(AC14:AC16)</f>
        <v>32835</v>
      </c>
      <c r="AD17" s="444">
        <f>AB17/AC17</f>
        <v>1.3698797015379931</v>
      </c>
      <c r="AF17" s="207">
        <f>SUM('Mngt-Payroll'!S2:S6)/1000</f>
        <v>371.83550000000002</v>
      </c>
      <c r="AG17" s="208">
        <f>SUM('Mngt-Payroll'!AS2:AS6)/$B$3</f>
        <v>407.62112000000002</v>
      </c>
      <c r="AH17" s="208">
        <f>SUM('Mngt-Payroll'!AG2:AG6)/$B$3</f>
        <v>112.84363</v>
      </c>
      <c r="AI17" s="565">
        <f>SUM(AI15:AI16)</f>
        <v>1445</v>
      </c>
      <c r="AJ17" s="208">
        <f>SUM(AJ15:AJ16)</f>
        <v>1239.3340000000001</v>
      </c>
      <c r="AK17" s="469">
        <f>+E17-B17</f>
        <v>79.661359999999831</v>
      </c>
      <c r="AN17" s="265"/>
      <c r="AO17" s="265"/>
    </row>
    <row r="18" spans="1:41" s="4" customFormat="1" x14ac:dyDescent="0.2">
      <c r="A18" s="244" t="s">
        <v>306</v>
      </c>
      <c r="B18" s="2"/>
      <c r="C18" s="220">
        <f>B18-(SUM('Mngt-Lab Admin Total'!S10:S15)/$B$3)</f>
        <v>-32.077809999999999</v>
      </c>
      <c r="D18" s="239"/>
      <c r="E18" s="220">
        <v>0</v>
      </c>
      <c r="F18" s="220">
        <f>E18-(SUM('Mngt-Lab Admin Total'!$AS$10:$AS$15)/$B$3)</f>
        <v>-45.168690000000005</v>
      </c>
      <c r="G18" s="239"/>
      <c r="H18" s="220">
        <v>0</v>
      </c>
      <c r="I18" s="220">
        <f>H18-(SUM('Mngt-Lab Admin Total'!$AF$10:$AF$15)/$B$3)</f>
        <v>0</v>
      </c>
      <c r="J18" s="44"/>
      <c r="K18" s="269"/>
      <c r="L18" s="47"/>
      <c r="M18" s="270"/>
      <c r="N18" s="2"/>
      <c r="O18" s="2"/>
      <c r="P18" s="2"/>
      <c r="Q18" s="2"/>
      <c r="R18" s="2"/>
      <c r="S18" s="2"/>
      <c r="T18" s="476" t="s">
        <v>403</v>
      </c>
      <c r="U18" s="658"/>
      <c r="V18" s="476"/>
      <c r="Z18" s="2"/>
      <c r="AA18" s="2"/>
      <c r="AB18" s="2">
        <f>+AB13+AB17</f>
        <v>256036</v>
      </c>
      <c r="AC18" s="2">
        <f>+AC13+AC17</f>
        <v>191092</v>
      </c>
      <c r="AD18" s="444">
        <f>AB18/AC18</f>
        <v>1.3398572415381074</v>
      </c>
      <c r="AF18" s="262"/>
      <c r="AG18" s="264"/>
      <c r="AH18" s="264"/>
      <c r="AI18" s="2"/>
      <c r="AJ18" s="2"/>
    </row>
    <row r="19" spans="1:41" s="4" customFormat="1" ht="12" customHeight="1" x14ac:dyDescent="0.2">
      <c r="A19" s="244" t="s">
        <v>352</v>
      </c>
      <c r="B19" s="220">
        <f>-('Mngt-Revenue '!S10)/Snapshot!$B$3</f>
        <v>135.21799999999999</v>
      </c>
      <c r="C19" s="220">
        <f>B19-(SUM('Mngt-Consulting Micro SC '!$S$10:$S$17))/Snapshot!$B$3</f>
        <v>99.54670999999999</v>
      </c>
      <c r="D19" s="239">
        <f t="shared" si="1"/>
        <v>0.73619421970447718</v>
      </c>
      <c r="E19" s="220">
        <f>-('Mngt-Revenue '!$AS$10)/Snapshot!$B$3</f>
        <v>140.68582999999998</v>
      </c>
      <c r="F19" s="220">
        <f>E19-(SUM('Mngt-Consulting Micro SC '!$AS$10:$AS$17))/Snapshot!$B$3</f>
        <v>25.227349999999987</v>
      </c>
      <c r="G19" s="239">
        <f t="shared" ref="G19" si="14">F19/E19</f>
        <v>0.17931692196719451</v>
      </c>
      <c r="H19" s="220">
        <f>-('Mngt-Revenue '!$AF$10)/Snapshot!$B$3</f>
        <v>0</v>
      </c>
      <c r="I19" s="220">
        <f>H19-(SUM('Mngt-Consulting Micro SC '!$AF$10:$AF$17))/Snapshot!$B$3</f>
        <v>0</v>
      </c>
      <c r="J19" s="239" t="e">
        <f t="shared" ref="J19" si="15">I19/H19</f>
        <v>#DIV/0!</v>
      </c>
      <c r="K19" s="42">
        <f>AF19/B19</f>
        <v>0</v>
      </c>
      <c r="L19" s="43">
        <f>AG19/E19</f>
        <v>0</v>
      </c>
      <c r="M19" s="44" t="e">
        <f>AH19/H19</f>
        <v>#DIV/0!</v>
      </c>
      <c r="N19" s="2"/>
      <c r="O19" s="2"/>
      <c r="P19" s="2"/>
      <c r="Q19" s="2"/>
      <c r="R19" s="2"/>
      <c r="S19" s="2"/>
      <c r="T19" s="2"/>
      <c r="U19" s="248"/>
      <c r="Z19" s="2"/>
      <c r="AA19" s="2"/>
      <c r="AB19" s="2"/>
      <c r="AC19" s="2"/>
      <c r="AD19" s="2"/>
      <c r="AF19" s="219">
        <f>'Mngt-Payroll'!$T$7/Snapshot!$B$3</f>
        <v>0</v>
      </c>
      <c r="AG19" s="221">
        <f>'Mngt-Payroll'!$AT$7/Snapshot!$B$3</f>
        <v>0</v>
      </c>
      <c r="AH19" s="221">
        <f>'Mngt-Payroll'!$AG$7/Snapshot!$B$3</f>
        <v>24.8475</v>
      </c>
      <c r="AI19" s="2"/>
      <c r="AJ19" s="2"/>
    </row>
    <row r="20" spans="1:41" s="4" customFormat="1" x14ac:dyDescent="0.2">
      <c r="A20" s="854" t="s">
        <v>20</v>
      </c>
      <c r="B20" s="271"/>
      <c r="C20" s="271"/>
      <c r="D20" s="272"/>
      <c r="E20" s="271"/>
      <c r="F20" s="271"/>
      <c r="G20" s="272"/>
      <c r="H20" s="2"/>
      <c r="I20" s="2"/>
      <c r="J20" s="273"/>
      <c r="K20" s="247"/>
      <c r="L20" s="274"/>
      <c r="M20" s="273"/>
      <c r="N20" s="2"/>
      <c r="O20" s="2"/>
      <c r="P20" s="2"/>
      <c r="Q20" s="2"/>
      <c r="R20" s="2"/>
      <c r="S20" s="2"/>
      <c r="T20" s="2"/>
      <c r="U20" s="248"/>
      <c r="AF20" s="35"/>
      <c r="AG20" s="248"/>
      <c r="AH20" s="248"/>
      <c r="AI20" s="2"/>
      <c r="AJ20" s="2"/>
    </row>
    <row r="21" spans="1:41" s="4" customFormat="1" ht="13.5" thickBot="1" x14ac:dyDescent="0.25">
      <c r="A21" s="855"/>
      <c r="B21" s="275">
        <f>+B13+B17+B18+B19</f>
        <v>6730.7070199999998</v>
      </c>
      <c r="C21" s="275">
        <f>+C13+C17+C18+C19</f>
        <v>2445.8225700000007</v>
      </c>
      <c r="D21" s="276">
        <f>C21/B21</f>
        <v>0.3633827119101079</v>
      </c>
      <c r="E21" s="275">
        <f>+E13+E17+E18+E19</f>
        <v>6226.5313100000003</v>
      </c>
      <c r="F21" s="275">
        <f>+F13+F17+F18+F19</f>
        <v>2090.3329500000004</v>
      </c>
      <c r="G21" s="276">
        <f>F21/E21</f>
        <v>0.3357138743754266</v>
      </c>
      <c r="H21" s="275">
        <f>+H13+H17+H18+H19</f>
        <v>0</v>
      </c>
      <c r="I21" s="275">
        <f>+I13+I17+I18+I19</f>
        <v>0</v>
      </c>
      <c r="J21" s="277" t="e">
        <f>I21/H21</f>
        <v>#DIV/0!</v>
      </c>
      <c r="K21" s="278">
        <f>AF21/B21</f>
        <v>0.32718480294214325</v>
      </c>
      <c r="L21" s="279">
        <f>AG21/E21</f>
        <v>0.35153383818766981</v>
      </c>
      <c r="M21" s="277" t="e">
        <f>AH21/H21</f>
        <v>#DIV/0!</v>
      </c>
      <c r="N21" s="43"/>
      <c r="O21" s="2"/>
      <c r="P21" s="2"/>
      <c r="Q21" s="2"/>
      <c r="R21" s="2"/>
      <c r="S21" s="2"/>
      <c r="T21" s="2"/>
      <c r="U21" s="248"/>
      <c r="AF21" s="280">
        <f>AF19+AF17+AF13</f>
        <v>2202.18505</v>
      </c>
      <c r="AG21" s="281">
        <f t="shared" ref="AG21:AH21" si="16">AG19+AG17+AG13</f>
        <v>2188.8364499999998</v>
      </c>
      <c r="AH21" s="281">
        <f t="shared" si="16"/>
        <v>548.09409000000005</v>
      </c>
    </row>
    <row r="22" spans="1:41" s="4" customFormat="1" ht="13.5" thickBot="1" x14ac:dyDescent="0.25">
      <c r="A22" s="35"/>
      <c r="B22" s="220"/>
      <c r="C22" s="220">
        <v>0</v>
      </c>
      <c r="D22" s="2"/>
      <c r="E22" s="220"/>
      <c r="F22" s="220"/>
      <c r="G22" s="2"/>
      <c r="H22" s="220"/>
      <c r="I22" s="220"/>
      <c r="J22" s="2"/>
      <c r="K22" s="262"/>
      <c r="L22" s="263"/>
      <c r="M22" s="264"/>
      <c r="N22" s="2"/>
      <c r="O22" s="2"/>
      <c r="P22" s="2"/>
      <c r="Q22" s="2"/>
      <c r="R22" s="2"/>
      <c r="S22" s="2"/>
      <c r="T22" s="2"/>
      <c r="U22" s="248"/>
      <c r="V22" s="4">
        <v>0</v>
      </c>
      <c r="W22" s="4">
        <v>0</v>
      </c>
      <c r="X22" s="4">
        <v>0</v>
      </c>
      <c r="Y22" s="4">
        <v>0</v>
      </c>
      <c r="Z22" s="4">
        <v>105580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35">
        <v>0</v>
      </c>
      <c r="AG22" s="248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49227.5</v>
      </c>
      <c r="AO22" s="4">
        <v>50302.899999999994</v>
      </c>
    </row>
    <row r="23" spans="1:41" s="4" customFormat="1" x14ac:dyDescent="0.2">
      <c r="A23" s="35" t="s">
        <v>254</v>
      </c>
      <c r="B23" s="220">
        <f>-'Mngt-Revenue '!S18/Snapshot!$B$3</f>
        <v>-0.79500000000000004</v>
      </c>
      <c r="C23" s="220"/>
      <c r="D23" s="43"/>
      <c r="E23" s="220">
        <f>-'Mngt-Revenue '!AS18/Snapshot!$B$3</f>
        <v>0</v>
      </c>
      <c r="F23" s="220"/>
      <c r="G23" s="43"/>
      <c r="H23" s="220">
        <f>-'Mngt-Revenue '!AF18/Snapshot!$B$3</f>
        <v>0</v>
      </c>
      <c r="I23" s="220"/>
      <c r="J23" s="43"/>
      <c r="K23" s="35"/>
      <c r="L23" s="2"/>
      <c r="M23" s="248"/>
      <c r="N23" s="2"/>
      <c r="O23" s="2"/>
      <c r="P23" s="2"/>
      <c r="Q23" s="2"/>
      <c r="R23" s="2"/>
      <c r="S23" s="2"/>
      <c r="T23" s="2"/>
      <c r="U23" s="248"/>
      <c r="AF23" s="262"/>
      <c r="AG23" s="264"/>
      <c r="AH23" s="264"/>
      <c r="AI23" s="262"/>
      <c r="AJ23" s="264"/>
    </row>
    <row r="24" spans="1:41" s="4" customFormat="1" x14ac:dyDescent="0.2">
      <c r="A24" s="35" t="s">
        <v>353</v>
      </c>
      <c r="B24" s="220">
        <f>-'Mngt-Revenue '!S19/Snapshot!$B$3</f>
        <v>6.4762500000000003</v>
      </c>
      <c r="C24" s="220"/>
      <c r="D24" s="43"/>
      <c r="E24" s="220">
        <f>-'Mngt-Revenue '!AS19/Snapshot!$B$3</f>
        <v>0</v>
      </c>
      <c r="F24" s="220"/>
      <c r="G24" s="43"/>
      <c r="H24" s="220">
        <f>-'Mngt-Revenue '!AF19/Snapshot!$B$3</f>
        <v>0</v>
      </c>
      <c r="I24" s="220"/>
      <c r="J24" s="43"/>
      <c r="K24" s="35"/>
      <c r="L24" s="43"/>
      <c r="M24" s="248"/>
      <c r="N24" s="2"/>
      <c r="O24" s="2"/>
      <c r="P24" s="696"/>
      <c r="Q24" s="2"/>
      <c r="R24" s="2"/>
      <c r="S24" s="2"/>
      <c r="T24" s="2"/>
      <c r="U24" s="248"/>
      <c r="AF24" s="35"/>
      <c r="AG24" s="248"/>
      <c r="AH24" s="248"/>
      <c r="AI24" s="35"/>
      <c r="AJ24" s="248"/>
    </row>
    <row r="25" spans="1:41" s="4" customFormat="1" x14ac:dyDescent="0.2">
      <c r="A25" s="32" t="s">
        <v>21</v>
      </c>
      <c r="B25" s="220">
        <f>SUM(B23:B24)</f>
        <v>5.6812500000000004</v>
      </c>
      <c r="C25" s="220">
        <f>B25-(SUM('Mngt-Consulting '!$S$9:$S$16)/$B$3)</f>
        <v>7.9474099999999996</v>
      </c>
      <c r="D25" s="258">
        <f>IFERROR(C25/B25,"")</f>
        <v>1.3988840484048404</v>
      </c>
      <c r="E25" s="220">
        <f>SUM(E23:E24)</f>
        <v>0</v>
      </c>
      <c r="F25" s="220">
        <f>E25-(SUM('Mngt-Consulting '!AS9:AS16)/$B$3)</f>
        <v>-2.1376900000000001</v>
      </c>
      <c r="G25" s="258" t="str">
        <f>IFERROR(F25/E25,"")</f>
        <v/>
      </c>
      <c r="H25" s="220">
        <f>SUM(H23:H24)</f>
        <v>0</v>
      </c>
      <c r="I25" s="220">
        <f>H25-(SUM('Mngt-Consulting '!AF9:AF16)/$B$3)</f>
        <v>0</v>
      </c>
      <c r="J25" s="258" t="e">
        <f>I25/H25</f>
        <v>#DIV/0!</v>
      </c>
      <c r="K25" s="42">
        <f>AF25/B25</f>
        <v>0</v>
      </c>
      <c r="L25" s="43" t="e">
        <f>AG25/E25</f>
        <v>#DIV/0!</v>
      </c>
      <c r="M25" s="44" t="e">
        <f>AH25/H25</f>
        <v>#DIV/0!</v>
      </c>
      <c r="N25" s="43"/>
      <c r="O25" s="2"/>
      <c r="P25" s="2"/>
      <c r="Q25" s="2"/>
      <c r="R25" s="2"/>
      <c r="S25" s="2"/>
      <c r="T25" s="2"/>
      <c r="U25" s="248"/>
      <c r="Y25" s="4">
        <v>21.59</v>
      </c>
      <c r="Z25" s="4">
        <v>22.33</v>
      </c>
      <c r="AF25" s="219">
        <f>'Mngt-Payroll'!T27/B3</f>
        <v>0</v>
      </c>
      <c r="AG25" s="221">
        <f>'Mngt-Payroll'!AT27/Snapshot!B3</f>
        <v>0</v>
      </c>
      <c r="AH25" s="221">
        <f>'Mngt-Payroll'!AG27/Snapshot!B3</f>
        <v>2.08609</v>
      </c>
      <c r="AI25" s="561">
        <v>1883</v>
      </c>
      <c r="AJ25" s="567">
        <v>665.72500000000002</v>
      </c>
    </row>
    <row r="26" spans="1:41" s="4" customFormat="1" ht="13.5" thickBot="1" x14ac:dyDescent="0.25">
      <c r="A26" s="32" t="s">
        <v>22</v>
      </c>
      <c r="B26" s="832">
        <f>-SUM('Mngt-Revenue '!$S$17)/Snapshot!$B$3</f>
        <v>1098.3483999999999</v>
      </c>
      <c r="C26" s="220">
        <f>B26-(SUM('Mngt-Senior Audit '!$S$9:$S$16)/$B$3)</f>
        <v>288.32415999999989</v>
      </c>
      <c r="D26" s="258">
        <f>C26/B26</f>
        <v>0.26250701507827562</v>
      </c>
      <c r="E26" s="220">
        <f>-SUM('Mngt-Revenue '!AS17)/Snapshot!$B$3</f>
        <v>686.52561000000003</v>
      </c>
      <c r="F26" s="220">
        <f>E26-(SUM('Mngt-Senior Audit '!AS9:AS16)/$B$3)</f>
        <v>154.96900000000005</v>
      </c>
      <c r="G26" s="258">
        <f>F26/E26</f>
        <v>0.2257293795638593</v>
      </c>
      <c r="H26" s="220">
        <f>-SUM('Mngt-Revenue '!AF17)/Snapshot!$B$3</f>
        <v>0</v>
      </c>
      <c r="I26" s="220">
        <f>H26-(SUM('Mngt-Senior Audit '!AF9:AF16)/$B$3)</f>
        <v>0</v>
      </c>
      <c r="J26" s="258" t="e">
        <f>I26/H26</f>
        <v>#DIV/0!</v>
      </c>
      <c r="K26" s="42">
        <f>AF26/B26</f>
        <v>0</v>
      </c>
      <c r="L26" s="43">
        <f>AG26/E26</f>
        <v>0</v>
      </c>
      <c r="M26" s="44" t="e">
        <f>AH26/H26</f>
        <v>#DIV/0!</v>
      </c>
      <c r="N26" s="43"/>
      <c r="O26" s="2"/>
      <c r="P26" s="2"/>
      <c r="Q26" s="2"/>
      <c r="R26" s="2"/>
      <c r="S26" s="2"/>
      <c r="T26" s="2"/>
      <c r="U26" s="248"/>
      <c r="Y26" s="4">
        <v>26.44</v>
      </c>
      <c r="Z26" s="4">
        <v>25.65</v>
      </c>
      <c r="AF26" s="285">
        <f>'Mngt-Payroll'!T26/Snapshot!B3</f>
        <v>0</v>
      </c>
      <c r="AG26" s="286">
        <f>'Mngt-Payroll'!AT26/Snapshot!B3</f>
        <v>0</v>
      </c>
      <c r="AH26" s="286">
        <f>'Mngt-Payroll'!AG26/Snapshot!B3</f>
        <v>42.006680000000003</v>
      </c>
      <c r="AI26" s="569">
        <v>276</v>
      </c>
      <c r="AJ26" s="568">
        <v>269.28100000000001</v>
      </c>
    </row>
    <row r="27" spans="1:41" s="4" customFormat="1" x14ac:dyDescent="0.2">
      <c r="A27" s="32" t="s">
        <v>263</v>
      </c>
      <c r="B27" s="220">
        <f>'Mngt-Digital Solution'!$S$2/$B$3</f>
        <v>67.256799999999998</v>
      </c>
      <c r="C27" s="220">
        <f>B27-(SUM('Mngt-Digital Solution'!$S$9:$S$16)/Snapshot!$B$3)</f>
        <v>21.790819999999997</v>
      </c>
      <c r="D27" s="258">
        <f>C27/B27</f>
        <v>0.32399430243484667</v>
      </c>
      <c r="E27" s="220">
        <f>'Mngt-Digital Solution'!AS2/Snapshot!$B$3</f>
        <v>73.368499999999997</v>
      </c>
      <c r="F27" s="220">
        <f>E27-(SUM('Mngt-Digital Solution'!AS9:AS16)/Snapshot!$B$3)</f>
        <v>24.551779999999994</v>
      </c>
      <c r="G27" s="258">
        <f>F27/E27</f>
        <v>0.33463652657475612</v>
      </c>
      <c r="H27" s="220">
        <f>'Mngt-Digital Solution'!AF2/Snapshot!$B$3</f>
        <v>0</v>
      </c>
      <c r="I27" s="220">
        <f>H27-(SUM('Mngt-Digital Solution'!AF9:AF16)/Snapshot!$B$3)</f>
        <v>0</v>
      </c>
      <c r="J27" s="258" t="e">
        <f>I27/H27</f>
        <v>#DIV/0!</v>
      </c>
      <c r="K27" s="242"/>
      <c r="L27" s="258"/>
      <c r="M27" s="287"/>
      <c r="N27" s="43"/>
      <c r="O27" s="2"/>
      <c r="P27" s="2"/>
      <c r="Q27" s="2"/>
      <c r="R27" s="2"/>
      <c r="S27" s="2"/>
      <c r="T27" s="2"/>
      <c r="U27" s="248"/>
      <c r="Y27" s="4">
        <v>21.8</v>
      </c>
      <c r="Z27" s="4">
        <v>21.03</v>
      </c>
      <c r="AF27" s="219"/>
      <c r="AG27" s="221"/>
      <c r="AH27" s="220"/>
      <c r="AI27" s="220"/>
      <c r="AJ27" s="220"/>
    </row>
    <row r="28" spans="1:41" s="4" customFormat="1" ht="13.5" thickBot="1" x14ac:dyDescent="0.25">
      <c r="A28" s="35"/>
      <c r="B28" s="2"/>
      <c r="C28" s="2"/>
      <c r="D28" s="2"/>
      <c r="E28" s="2"/>
      <c r="F28" s="2"/>
      <c r="G28" s="2"/>
      <c r="H28" s="2"/>
      <c r="I28" s="2"/>
      <c r="J28" s="2"/>
      <c r="K28" s="35"/>
      <c r="L28" s="2"/>
      <c r="M28" s="248"/>
      <c r="N28" s="2"/>
      <c r="O28" s="2"/>
      <c r="P28" s="2"/>
      <c r="Q28" s="2"/>
      <c r="R28" s="2"/>
      <c r="S28" s="2"/>
      <c r="T28" s="2"/>
      <c r="U28" s="248"/>
      <c r="Y28" s="4">
        <v>18.22</v>
      </c>
      <c r="Z28" s="4">
        <v>18.79</v>
      </c>
      <c r="AF28" s="35"/>
      <c r="AG28" s="248"/>
    </row>
    <row r="29" spans="1:41" s="4" customFormat="1" ht="16.5" thickBot="1" x14ac:dyDescent="0.3">
      <c r="A29" s="288" t="s">
        <v>23</v>
      </c>
      <c r="B29" s="289">
        <f>SUM(B21,B25:B27)</f>
        <v>7901.9934699999994</v>
      </c>
      <c r="C29" s="289">
        <f>SUM(C21,C25:C27)</f>
        <v>2763.8849600000012</v>
      </c>
      <c r="D29" s="290">
        <f>C29/B29</f>
        <v>0.3497705952925827</v>
      </c>
      <c r="E29" s="289">
        <f>SUM(E21,E25:E27)</f>
        <v>6986.4254199999996</v>
      </c>
      <c r="F29" s="289">
        <f>SUM(F21,F25:F27)</f>
        <v>2267.7160400000002</v>
      </c>
      <c r="G29" s="290">
        <f>F29/E29</f>
        <v>0.32458888539885111</v>
      </c>
      <c r="H29" s="289">
        <f>SUM(H21,H25:H27)</f>
        <v>0</v>
      </c>
      <c r="I29" s="289">
        <f>SUM(I21,I25:I27)</f>
        <v>0</v>
      </c>
      <c r="J29" s="290" t="e">
        <f>I29/H29</f>
        <v>#DIV/0!</v>
      </c>
      <c r="K29" s="255">
        <f>AF29/B29</f>
        <v>0.27868727788255188</v>
      </c>
      <c r="L29" s="253">
        <f>AG29/E29</f>
        <v>0.31329847789314841</v>
      </c>
      <c r="M29" s="254" t="e">
        <f>AH29/H29</f>
        <v>#DIV/0!</v>
      </c>
      <c r="N29" s="659"/>
      <c r="O29" s="659"/>
      <c r="P29" s="659"/>
      <c r="Q29" s="659"/>
      <c r="R29" s="659"/>
      <c r="S29" s="659"/>
      <c r="T29" s="659"/>
      <c r="U29" s="660"/>
      <c r="AF29" s="280">
        <f>AF26+AF25+AF21</f>
        <v>2202.18505</v>
      </c>
      <c r="AG29" s="281">
        <f t="shared" ref="AG29:AH29" si="17">AG26+AG25+AG21</f>
        <v>2188.8364499999998</v>
      </c>
      <c r="AH29" s="291">
        <f t="shared" si="17"/>
        <v>592.18686000000002</v>
      </c>
    </row>
    <row r="30" spans="1:41" x14ac:dyDescent="0.2">
      <c r="Y30" s="8">
        <v>22.45</v>
      </c>
      <c r="Z30" s="8">
        <v>22.47</v>
      </c>
    </row>
    <row r="33" spans="1:38" ht="13.5" thickBot="1" x14ac:dyDescent="0.25">
      <c r="B33" s="223">
        <f>B1</f>
        <v>44927</v>
      </c>
      <c r="C33" s="223"/>
      <c r="D33" s="224" t="s">
        <v>234</v>
      </c>
    </row>
    <row r="34" spans="1:38" ht="12.75" customHeight="1" collapsed="1" thickBot="1" x14ac:dyDescent="0.25">
      <c r="A34" s="292"/>
      <c r="B34" s="847" t="s">
        <v>24</v>
      </c>
      <c r="C34" s="847"/>
      <c r="D34" s="848"/>
      <c r="E34" s="849" t="s">
        <v>25</v>
      </c>
      <c r="F34" s="849"/>
      <c r="G34" s="850"/>
      <c r="H34" s="849" t="s">
        <v>26</v>
      </c>
      <c r="I34" s="849"/>
      <c r="J34" s="851"/>
      <c r="K34" s="226" t="s">
        <v>599</v>
      </c>
      <c r="L34" s="226" t="s">
        <v>550</v>
      </c>
      <c r="M34" s="227" t="s">
        <v>551</v>
      </c>
      <c r="N34" s="856" t="s">
        <v>5</v>
      </c>
      <c r="O34" s="226" t="s">
        <v>599</v>
      </c>
      <c r="P34" s="226" t="s">
        <v>550</v>
      </c>
      <c r="Q34" s="227" t="s">
        <v>551</v>
      </c>
      <c r="R34" s="228" t="s">
        <v>455</v>
      </c>
      <c r="S34" s="226" t="s">
        <v>6</v>
      </c>
      <c r="T34" s="227" t="s">
        <v>551</v>
      </c>
      <c r="U34" s="293"/>
      <c r="V34" s="293"/>
      <c r="W34" s="293"/>
      <c r="X34" s="293"/>
      <c r="Y34" s="293"/>
      <c r="Z34" s="4"/>
      <c r="AA34" s="4"/>
      <c r="AB34" s="4"/>
      <c r="AC34" s="4"/>
      <c r="AF34" s="228" t="str">
        <f>O34</f>
        <v>FY22</v>
      </c>
      <c r="AG34" s="226" t="str">
        <f>P34</f>
        <v>FY21</v>
      </c>
      <c r="AH34" s="227" t="str">
        <f>Q34</f>
        <v>BU21</v>
      </c>
      <c r="AJ34" s="844" t="s">
        <v>260</v>
      </c>
      <c r="AK34" s="844"/>
      <c r="AL34" s="844"/>
    </row>
    <row r="35" spans="1:38" ht="45.75" customHeight="1" x14ac:dyDescent="0.2">
      <c r="A35" s="294"/>
      <c r="B35" s="293" t="s">
        <v>7</v>
      </c>
      <c r="C35" s="230" t="s">
        <v>303</v>
      </c>
      <c r="D35" s="231" t="s">
        <v>304</v>
      </c>
      <c r="E35" s="293" t="s">
        <v>7</v>
      </c>
      <c r="F35" s="230" t="s">
        <v>303</v>
      </c>
      <c r="G35" s="231" t="s">
        <v>304</v>
      </c>
      <c r="H35" s="293" t="s">
        <v>7</v>
      </c>
      <c r="I35" s="230" t="s">
        <v>303</v>
      </c>
      <c r="J35" s="232" t="s">
        <v>304</v>
      </c>
      <c r="K35" s="230" t="s">
        <v>293</v>
      </c>
      <c r="L35" s="233" t="s">
        <v>293</v>
      </c>
      <c r="M35" s="234" t="s">
        <v>293</v>
      </c>
      <c r="N35" s="857"/>
      <c r="O35" s="295" t="s">
        <v>10</v>
      </c>
      <c r="P35" s="296" t="s">
        <v>10</v>
      </c>
      <c r="Q35" s="297" t="s">
        <v>10</v>
      </c>
      <c r="R35" s="298" t="s">
        <v>11</v>
      </c>
      <c r="S35" s="296" t="s">
        <v>11</v>
      </c>
      <c r="T35" s="297" t="s">
        <v>11</v>
      </c>
      <c r="U35" s="296"/>
      <c r="V35" s="296"/>
      <c r="W35" s="296"/>
      <c r="X35" s="296"/>
      <c r="Y35" s="296"/>
      <c r="Z35" s="202" t="s">
        <v>464</v>
      </c>
      <c r="AA35" s="30" t="s">
        <v>12</v>
      </c>
      <c r="AB35" s="30" t="s">
        <v>460</v>
      </c>
      <c r="AC35" s="30" t="s">
        <v>259</v>
      </c>
      <c r="AF35" s="235" t="s">
        <v>256</v>
      </c>
      <c r="AG35" s="233" t="s">
        <v>256</v>
      </c>
      <c r="AH35" s="234" t="s">
        <v>256</v>
      </c>
      <c r="AI35" s="4"/>
      <c r="AJ35" s="228" t="s">
        <v>7</v>
      </c>
      <c r="AK35" s="299" t="s">
        <v>8</v>
      </c>
      <c r="AL35" s="406" t="s">
        <v>9</v>
      </c>
    </row>
    <row r="36" spans="1:38" ht="25.5" x14ac:dyDescent="0.2">
      <c r="A36" s="300" t="s">
        <v>149</v>
      </c>
      <c r="B36" s="220">
        <f>-('Mngt-Revenue '!$B$13)/Snapshot!$B$3</f>
        <v>525.23755000000006</v>
      </c>
      <c r="C36" s="220">
        <f>B36-((SUM('Mngt-Melbourne Micro '!$B$10:$B$17))/Snapshot!$B$3)</f>
        <v>220.46105000000006</v>
      </c>
      <c r="D36" s="239">
        <f>C36/B36</f>
        <v>0.41973588902773618</v>
      </c>
      <c r="E36" s="220">
        <f>-('Mngt-Revenue '!$D$13)/Snapshot!$B$3</f>
        <v>329.34484000000003</v>
      </c>
      <c r="F36" s="220">
        <f>E36-((SUM('Mngt-Melbourne Micro '!$D$10:$D$17)))/Snapshot!$B$3</f>
        <v>15.491280000000017</v>
      </c>
      <c r="G36" s="240">
        <f t="shared" ref="G36:G39" si="18">F36/E36</f>
        <v>4.7036656168652942E-2</v>
      </c>
      <c r="H36" s="220">
        <f>-('Mngt-Revenue '!$C$13)/Snapshot!$B$3</f>
        <v>0</v>
      </c>
      <c r="I36" s="220">
        <f>H36-((SUM('Mngt-Melbourne Micro '!$C$10:$C$17))/Snapshot!$B$3)</f>
        <v>0</v>
      </c>
      <c r="J36" s="301" t="e">
        <f t="shared" ref="J36:J39" si="19">I36/H36</f>
        <v>#DIV/0!</v>
      </c>
      <c r="K36" s="43">
        <f>AF36/B36</f>
        <v>0.30119607785086955</v>
      </c>
      <c r="L36" s="43">
        <f>AG36/E36</f>
        <v>0.46121108197717625</v>
      </c>
      <c r="M36" s="43" t="e">
        <f>AH36/H36</f>
        <v>#DIV/0!</v>
      </c>
      <c r="N36" s="42">
        <f>AE8</f>
        <v>1.1251595771842926</v>
      </c>
      <c r="O36" s="42">
        <f>SUM('Mngt-Melbourne Micro '!B11:B13)/1000/B36</f>
        <v>0.22788585850345236</v>
      </c>
      <c r="P36" s="43">
        <f>SUM('Mngt-Melbourne Micro '!D11:D13)/1000/E36</f>
        <v>0.3460979075913258</v>
      </c>
      <c r="Q36" s="44" t="e">
        <f>SUM('Mngt-Melbourne Micro '!C11:C13)/1000/H36</f>
        <v>#DIV/0!</v>
      </c>
      <c r="R36" s="302">
        <f>B36*1000/Z36</f>
        <v>23.837594172642284</v>
      </c>
      <c r="S36" s="303">
        <f>E36*1000/AC36</f>
        <v>16.81789511310831</v>
      </c>
      <c r="T36" s="304" t="e">
        <f>H36*1000/AA36</f>
        <v>#DIV/0!</v>
      </c>
      <c r="U36" s="303"/>
      <c r="V36" s="303"/>
      <c r="W36" s="303"/>
      <c r="X36" s="303"/>
      <c r="Y36" s="303"/>
      <c r="Z36" s="46">
        <f>'Test Number'!B16</f>
        <v>22034</v>
      </c>
      <c r="AA36" s="46">
        <f>'Test Number'!C16</f>
        <v>0</v>
      </c>
      <c r="AB36" s="4">
        <f>Z36</f>
        <v>22034</v>
      </c>
      <c r="AC36" s="46">
        <f>'Test Number'!D16</f>
        <v>19583</v>
      </c>
      <c r="AD36" s="4"/>
      <c r="AF36" s="219">
        <f>SUM('Mngt-Payroll'!B10)/Snapshot!B3</f>
        <v>158.19949</v>
      </c>
      <c r="AG36" s="220">
        <f>SUM('Mngt-Payroll'!D10)/Snapshot!B3</f>
        <v>151.89749</v>
      </c>
      <c r="AH36" s="221">
        <f>SUM('Mngt-Payroll'!C10)/Snapshot!B3</f>
        <v>0</v>
      </c>
      <c r="AI36" s="4"/>
      <c r="AJ36" s="31">
        <v>427.44600000000003</v>
      </c>
      <c r="AK36" s="28"/>
      <c r="AL36" s="305"/>
    </row>
    <row r="37" spans="1:38" x14ac:dyDescent="0.2">
      <c r="A37" s="306" t="s">
        <v>15</v>
      </c>
      <c r="B37" s="220">
        <f>-'Mngt-Revenue '!B14/Snapshot!$B$3</f>
        <v>408.52542999999997</v>
      </c>
      <c r="C37" s="220">
        <f>B37-(SUM('Mngt-Sydney Micro '!$B$9:$B$16)/Snapshot!$B$3)</f>
        <v>112.42921000000001</v>
      </c>
      <c r="D37" s="239">
        <f t="shared" ref="D37:D39" si="20">C37/B37</f>
        <v>0.27520737203556711</v>
      </c>
      <c r="E37" s="220">
        <f>-'Mngt-Revenue '!D14/Snapshot!$B$3</f>
        <v>322.01590999999996</v>
      </c>
      <c r="F37" s="220">
        <f>E37-(SUM('Mngt-Sydney Micro '!$D$9:$D$16)/Snapshot!$B$3)</f>
        <v>120.69862999999998</v>
      </c>
      <c r="G37" s="240">
        <f t="shared" si="18"/>
        <v>0.37482194590944279</v>
      </c>
      <c r="H37" s="220">
        <f>-'Mngt-Revenue '!C14/Snapshot!$B$3</f>
        <v>0</v>
      </c>
      <c r="I37" s="220">
        <f>H37-(SUM('Mngt-Sydney Micro '!$C$9:$C$16)/Snapshot!$B$3)</f>
        <v>0</v>
      </c>
      <c r="J37" s="301" t="e">
        <f t="shared" si="19"/>
        <v>#DIV/0!</v>
      </c>
      <c r="K37" s="43">
        <f>AF37/B37</f>
        <v>0.39424351135252467</v>
      </c>
      <c r="L37" s="43">
        <f>AG37/E37</f>
        <v>0.43856208843842537</v>
      </c>
      <c r="M37" s="43" t="e">
        <f>AH37/H37</f>
        <v>#DIV/0!</v>
      </c>
      <c r="N37" s="42">
        <f>AE9</f>
        <v>1.0648385977091288</v>
      </c>
      <c r="O37" s="42">
        <f>SUM('Mngt-Sydney Micro '!B10:B12)/1000/B37</f>
        <v>0.57840191245866879</v>
      </c>
      <c r="P37" s="43">
        <f>SUM('Mngt-Sydney Micro '!D10:D12)/1000/E37</f>
        <v>0.52636945795628554</v>
      </c>
      <c r="Q37" s="44" t="e">
        <f>SUM('Mngt-Sydney Micro '!C10:C12)/1000/H37</f>
        <v>#DIV/0!</v>
      </c>
      <c r="R37" s="302">
        <f>B37*1000/Z37</f>
        <v>26.633120151248452</v>
      </c>
      <c r="S37" s="303">
        <f>E37*1000/AC37</f>
        <v>22.354454009024643</v>
      </c>
      <c r="T37" s="304" t="e">
        <f>H37*1000/AA37</f>
        <v>#DIV/0!</v>
      </c>
      <c r="U37" s="303"/>
      <c r="V37" s="303"/>
      <c r="W37" s="303"/>
      <c r="X37" s="303"/>
      <c r="Y37" s="303"/>
      <c r="Z37" s="46">
        <f>'Test Number'!B15</f>
        <v>15339</v>
      </c>
      <c r="AA37" s="46">
        <f>'Test Number'!C15</f>
        <v>0</v>
      </c>
      <c r="AB37" s="4">
        <f>Z37</f>
        <v>15339</v>
      </c>
      <c r="AC37" s="46">
        <f>'Test Number'!D15</f>
        <v>14405</v>
      </c>
      <c r="AD37" s="4"/>
      <c r="AF37" s="219">
        <f>'Mngt-Payroll'!B11/Snapshot!B3</f>
        <v>161.05850000000001</v>
      </c>
      <c r="AG37" s="220">
        <f>'Mngt-Payroll'!D11/Snapshot!B3</f>
        <v>141.22397000000001</v>
      </c>
      <c r="AH37" s="221">
        <f>'Mngt-Payroll'!C11/Snapshot!B3</f>
        <v>0</v>
      </c>
      <c r="AI37" s="4"/>
      <c r="AJ37" s="31">
        <v>426.71499999999997</v>
      </c>
      <c r="AK37" s="28"/>
      <c r="AL37" s="305"/>
    </row>
    <row r="38" spans="1:38" x14ac:dyDescent="0.2">
      <c r="A38" s="306" t="s">
        <v>16</v>
      </c>
      <c r="B38" s="220">
        <f>-'Mngt-Revenue '!B12/Snapshot!$B$3</f>
        <v>158.37878000000001</v>
      </c>
      <c r="C38" s="220">
        <f>B38-(SUM('Mngt-Perth Micro '!$B$9:$B$16)/Snapshot!$B$3)</f>
        <v>65.392330000000001</v>
      </c>
      <c r="D38" s="239">
        <f t="shared" si="20"/>
        <v>0.41288567824553263</v>
      </c>
      <c r="E38" s="220">
        <f>-'Mngt-Revenue '!D12/Snapshot!$B$3</f>
        <v>140.49564000000001</v>
      </c>
      <c r="F38" s="220">
        <f>E38-(SUM('Mngt-Perth Micro '!$D$9:$D$16)/Snapshot!$B$3)</f>
        <v>53.115939999999995</v>
      </c>
      <c r="G38" s="240">
        <f t="shared" si="18"/>
        <v>0.37806112702145056</v>
      </c>
      <c r="H38" s="220">
        <f>-'Mngt-Revenue '!C12/Snapshot!$B$3</f>
        <v>0</v>
      </c>
      <c r="I38" s="220">
        <f>H38-(SUM('Mngt-Perth Micro '!$C$9:$C$16)/Snapshot!$B$3)</f>
        <v>0</v>
      </c>
      <c r="J38" s="301" t="e">
        <f t="shared" si="19"/>
        <v>#DIV/0!</v>
      </c>
      <c r="K38" s="43">
        <f>AF38/B38</f>
        <v>0.32938137293392455</v>
      </c>
      <c r="L38" s="43">
        <f>AG38/E38</f>
        <v>0.45896093288019468</v>
      </c>
      <c r="M38" s="43" t="e">
        <f>AH38/H38</f>
        <v>#DIV/0!</v>
      </c>
      <c r="N38" s="42">
        <f>AE10</f>
        <v>1.1290089569488586</v>
      </c>
      <c r="O38" s="42">
        <f>SUM('Mngt-Perth Micro '!B10:B12)/1000/B38</f>
        <v>0.18411456383235178</v>
      </c>
      <c r="P38" s="43">
        <f>SUM('Mngt-Perth Micro '!D10:D12)/1000/E38</f>
        <v>7.041001414705822E-2</v>
      </c>
      <c r="Q38" s="44" t="e">
        <f>SUM('Mngt-Perth Micro '!C10:C12)/1000/H38</f>
        <v>#DIV/0!</v>
      </c>
      <c r="R38" s="302">
        <f>B38*1000/Z38</f>
        <v>20.26599872040947</v>
      </c>
      <c r="S38" s="303">
        <f>E38*1000/AC38</f>
        <v>20.296971973418088</v>
      </c>
      <c r="T38" s="304" t="e">
        <f>H38*1000/AA38</f>
        <v>#DIV/0!</v>
      </c>
      <c r="U38" s="303"/>
      <c r="V38" s="303"/>
      <c r="W38" s="303"/>
      <c r="X38" s="303"/>
      <c r="Y38" s="303"/>
      <c r="Z38" s="46">
        <f>'Test Number'!B14</f>
        <v>7815</v>
      </c>
      <c r="AA38" s="46">
        <f>'Test Number'!C14</f>
        <v>0</v>
      </c>
      <c r="AB38" s="4">
        <f>Z38</f>
        <v>7815</v>
      </c>
      <c r="AC38" s="46">
        <f>'Test Number'!D14</f>
        <v>6922</v>
      </c>
      <c r="AD38" s="4"/>
      <c r="AF38" s="219">
        <f>'Mngt-Payroll'!B9/Snapshot!B3</f>
        <v>52.167019999999994</v>
      </c>
      <c r="AG38" s="220">
        <f>'Mngt-Payroll'!D9/Snapshot!B3</f>
        <v>64.482010000000002</v>
      </c>
      <c r="AH38" s="221">
        <f>'Mngt-Payroll'!C9/Snapshot!B3</f>
        <v>0</v>
      </c>
      <c r="AI38" s="4"/>
      <c r="AJ38" s="31">
        <v>211.06299999999999</v>
      </c>
      <c r="AK38" s="28"/>
      <c r="AL38" s="305"/>
    </row>
    <row r="39" spans="1:38" x14ac:dyDescent="0.2">
      <c r="A39" s="306" t="s">
        <v>17</v>
      </c>
      <c r="B39" s="220">
        <f>-'Mngt-Revenue '!B11/Snapshot!$B$3</f>
        <v>152.34421</v>
      </c>
      <c r="C39" s="220">
        <f>B39-(SUM('Mngt-Brisbane Micro '!$B$10:$B$17)/Snapshot!$B$3)</f>
        <v>21.655619999999999</v>
      </c>
      <c r="D39" s="239">
        <f t="shared" si="20"/>
        <v>0.14214928155129755</v>
      </c>
      <c r="E39" s="220">
        <f>-'Mngt-Revenue '!D11/Snapshot!$B$3</f>
        <v>176.39512999999999</v>
      </c>
      <c r="F39" s="220">
        <f>E39-(SUM('Mngt-Brisbane Micro '!$D$10:$D$17)/Snapshot!$B$3)</f>
        <v>42.96651</v>
      </c>
      <c r="G39" s="240">
        <f t="shared" si="18"/>
        <v>0.24358104444266687</v>
      </c>
      <c r="H39" s="220">
        <f>-'Mngt-Revenue '!C11/Snapshot!$B$3</f>
        <v>0</v>
      </c>
      <c r="I39" s="220">
        <f>H39-(SUM('Mngt-Brisbane Micro '!$C$10:$C$17)/Snapshot!$B$3)</f>
        <v>0</v>
      </c>
      <c r="J39" s="301" t="e">
        <f t="shared" si="19"/>
        <v>#DIV/0!</v>
      </c>
      <c r="K39" s="43">
        <f>AF39/B39</f>
        <v>0.38646555717476888</v>
      </c>
      <c r="L39" s="43">
        <f>AG39/E39</f>
        <v>0.40751510543403324</v>
      </c>
      <c r="M39" s="43" t="e">
        <f>AH39/H39</f>
        <v>#DIV/0!</v>
      </c>
      <c r="N39" s="42">
        <f>AE11</f>
        <v>0.79313044329190718</v>
      </c>
      <c r="O39" s="42">
        <f>SUM('Mngt-Brisbane Micro '!B11:B13)/1000/B39</f>
        <v>0.20191669903306464</v>
      </c>
      <c r="P39" s="43">
        <f>SUM('Mngt-Brisbane Micro '!C11:C13)/1000/E39</f>
        <v>0</v>
      </c>
      <c r="Q39" s="44" t="e">
        <f>SUM('Mngt-Brisbane Micro '!C11:C13)/1000/H39</f>
        <v>#DIV/0!</v>
      </c>
      <c r="R39" s="302">
        <f>B39*1000/Z39</f>
        <v>18.796324491054904</v>
      </c>
      <c r="S39" s="303">
        <f>E39*1000/AC39</f>
        <v>17.261486446814757</v>
      </c>
      <c r="T39" s="304" t="e">
        <f>H39*1000/AA39</f>
        <v>#DIV/0!</v>
      </c>
      <c r="U39" s="303"/>
      <c r="V39" s="303"/>
      <c r="W39" s="303"/>
      <c r="X39" s="303"/>
      <c r="Y39" s="303"/>
      <c r="Z39" s="46">
        <f>'Test Number'!B13</f>
        <v>8105</v>
      </c>
      <c r="AA39" s="46">
        <f>'Test Number'!C13</f>
        <v>0</v>
      </c>
      <c r="AB39" s="4">
        <f>Z39</f>
        <v>8105</v>
      </c>
      <c r="AC39" s="46">
        <f>'Test Number'!D13</f>
        <v>10219</v>
      </c>
      <c r="AD39" s="4"/>
      <c r="AF39" s="219">
        <f>'Mngt-Payroll'!B8/Snapshot!B3</f>
        <v>58.875790000000002</v>
      </c>
      <c r="AG39" s="220">
        <f>'Mngt-Payroll'!D8/Snapshot!B3</f>
        <v>71.883679999999998</v>
      </c>
      <c r="AH39" s="221">
        <f>'Mngt-Payroll'!C8/Snapshot!B3</f>
        <v>0</v>
      </c>
      <c r="AI39" s="4"/>
      <c r="AJ39" s="31">
        <v>194.95</v>
      </c>
      <c r="AK39" s="28"/>
      <c r="AL39" s="305"/>
    </row>
    <row r="40" spans="1:38" ht="13.5" thickBot="1" x14ac:dyDescent="0.25">
      <c r="A40" s="306"/>
      <c r="B40" s="220"/>
      <c r="C40" s="220"/>
      <c r="D40" s="239"/>
      <c r="E40" s="220"/>
      <c r="F40" s="220"/>
      <c r="G40" s="240"/>
      <c r="H40" s="220"/>
      <c r="I40" s="165"/>
      <c r="J40" s="301"/>
      <c r="K40" s="28"/>
      <c r="L40" s="307"/>
      <c r="M40" s="308"/>
      <c r="N40" s="309"/>
      <c r="O40" s="310"/>
      <c r="P40" s="307"/>
      <c r="Q40" s="308"/>
      <c r="R40" s="311"/>
      <c r="S40" s="28"/>
      <c r="T40" s="304"/>
      <c r="U40" s="303"/>
      <c r="V40" s="303"/>
      <c r="W40" s="303"/>
      <c r="X40" s="303"/>
      <c r="Y40" s="303"/>
      <c r="Z40" s="30">
        <f>SUM(Z36:Z39)</f>
        <v>53293</v>
      </c>
      <c r="AA40" s="30">
        <f>SUM(AA36:AA39)</f>
        <v>0</v>
      </c>
      <c r="AB40" s="30">
        <f>SUM(AB36:AB39)</f>
        <v>53293</v>
      </c>
      <c r="AC40" s="30">
        <f>SUM(AC36:AC39)</f>
        <v>51129</v>
      </c>
      <c r="AD40" s="4"/>
      <c r="AF40" s="35"/>
      <c r="AG40" s="245"/>
      <c r="AH40" s="246"/>
      <c r="AI40" s="4"/>
      <c r="AJ40" s="32"/>
      <c r="AK40" s="165"/>
      <c r="AL40" s="305"/>
    </row>
    <row r="41" spans="1:38" ht="13.5" thickBot="1" x14ac:dyDescent="0.25">
      <c r="A41" s="312" t="s">
        <v>18</v>
      </c>
      <c r="B41" s="250">
        <f>SUM(B36:B39)</f>
        <v>1244.48597</v>
      </c>
      <c r="C41" s="250">
        <f>SUM(C36:C39)</f>
        <v>419.93821000000008</v>
      </c>
      <c r="D41" s="251">
        <f t="shared" ref="D41:D45" si="21">C41/B41</f>
        <v>0.33743908740088097</v>
      </c>
      <c r="E41" s="250">
        <f>SUM(E36:E39)</f>
        <v>968.25152000000003</v>
      </c>
      <c r="F41" s="250">
        <f>SUM(F36:F39)</f>
        <v>232.27235999999999</v>
      </c>
      <c r="G41" s="251">
        <f t="shared" ref="G41:G45" si="22">F41/E41</f>
        <v>0.23988845377696902</v>
      </c>
      <c r="H41" s="250">
        <f>SUM(H36:H39)</f>
        <v>0</v>
      </c>
      <c r="I41" s="313">
        <f>SUM(I36:I39)</f>
        <v>0</v>
      </c>
      <c r="J41" s="314" t="e">
        <f t="shared" ref="J41:J45" si="23">I41/H41</f>
        <v>#DIV/0!</v>
      </c>
      <c r="K41" s="315">
        <f>AF41/B41</f>
        <v>0.34576589079586006</v>
      </c>
      <c r="L41" s="316">
        <f>AG41/E41</f>
        <v>0.44356981747883034</v>
      </c>
      <c r="M41" s="317" t="e">
        <f>AH41/H41</f>
        <v>#DIV/0!</v>
      </c>
      <c r="N41" s="318">
        <f>AE13</f>
        <v>1.0423243169238592</v>
      </c>
      <c r="O41" s="318">
        <f>SUM('Mngt-Microbiology '!B10:B12)/1000/B41</f>
        <v>0.5230013963114426</v>
      </c>
      <c r="P41" s="319">
        <f>SUM('Mngt-Microbiology '!D10:D12)/1000/E41</f>
        <v>0.62737613879501064</v>
      </c>
      <c r="Q41" s="320" t="e">
        <f>SUM('Mngt-Microbiology '!C10:C12)/1000/H41</f>
        <v>#DIV/0!</v>
      </c>
      <c r="R41" s="321">
        <f>B41*1000/Z40</f>
        <v>23.35177171485936</v>
      </c>
      <c r="S41" s="322">
        <f>E41*1000/AC40</f>
        <v>18.937423380077842</v>
      </c>
      <c r="T41" s="323">
        <v>20</v>
      </c>
      <c r="U41" s="324"/>
      <c r="V41" s="324"/>
      <c r="W41" s="324"/>
      <c r="X41" s="324"/>
      <c r="Y41" s="324"/>
      <c r="Z41" s="29">
        <f>B41*1000/(Z40)</f>
        <v>23.35177171485936</v>
      </c>
      <c r="AA41" s="4"/>
      <c r="AB41" s="4"/>
      <c r="AC41" s="4"/>
      <c r="AD41" s="4"/>
      <c r="AF41" s="325">
        <f>SUM(AF36:AF39)</f>
        <v>430.30079999999998</v>
      </c>
      <c r="AG41" s="326">
        <f t="shared" ref="AG41:AH41" si="24">SUM(AG36:AG39)</f>
        <v>429.48715000000004</v>
      </c>
      <c r="AH41" s="327">
        <f t="shared" si="24"/>
        <v>0</v>
      </c>
      <c r="AJ41" s="34">
        <f>SUM(AJ36:AJ40)</f>
        <v>1260.1740000000002</v>
      </c>
      <c r="AK41" s="328">
        <f>+AJ41*0.41</f>
        <v>516.6713400000001</v>
      </c>
      <c r="AL41" s="329">
        <f>+AK41/AJ41</f>
        <v>0.41000000000000003</v>
      </c>
    </row>
    <row r="42" spans="1:38" ht="13.5" thickBot="1" x14ac:dyDescent="0.25">
      <c r="A42" s="330" t="s">
        <v>251</v>
      </c>
      <c r="B42" s="220">
        <f>-SUM('Mngt-Revenue '!B5,'Mngt-Revenue '!B7,'Mngt-Revenue '!B9,'Mngt-Revenue '!B15)/Snapshot!$B$3</f>
        <v>114.27052999999999</v>
      </c>
      <c r="C42" s="220">
        <f>B42-('Mngt-Chemistry '!$B$14/$B$3)</f>
        <v>85.43186</v>
      </c>
      <c r="D42" s="239">
        <f t="shared" si="21"/>
        <v>0.74762810673933167</v>
      </c>
      <c r="E42" s="220">
        <f>-SUM('Mngt-Revenue '!D5,'Mngt-Revenue '!D7,'Mngt-Revenue '!D9,'Mngt-Revenue '!D15)/Snapshot!$B$3</f>
        <v>85.119500000000002</v>
      </c>
      <c r="F42" s="220">
        <f>E42-('Mngt-Chemistry '!$D$14/$B$3)</f>
        <v>27.546940000000006</v>
      </c>
      <c r="G42" s="239">
        <f t="shared" si="22"/>
        <v>0.32362666604009666</v>
      </c>
      <c r="H42" s="220">
        <f>-SUM('Mngt-Revenue '!C5,'Mngt-Revenue '!C7,'Mngt-Revenue '!C9,'Mngt-Revenue '!C15)/Snapshot!$B$3</f>
        <v>0</v>
      </c>
      <c r="I42" s="220">
        <f>H42-('Mngt-Chemistry '!$C$14/$B$3)</f>
        <v>0</v>
      </c>
      <c r="J42" s="331" t="e">
        <f t="shared" si="23"/>
        <v>#DIV/0!</v>
      </c>
      <c r="K42" s="332"/>
      <c r="L42" s="332"/>
      <c r="M42" s="333"/>
      <c r="N42" s="334"/>
      <c r="O42" s="334"/>
      <c r="P42" s="334"/>
      <c r="Q42" s="334"/>
      <c r="R42" s="324"/>
      <c r="S42" s="324"/>
      <c r="T42" s="324"/>
      <c r="U42" s="324"/>
      <c r="V42" s="324"/>
      <c r="W42" s="324"/>
      <c r="X42" s="324"/>
      <c r="Y42" s="324"/>
      <c r="Z42" s="46">
        <f>'Mngt-Revenue '!B30</f>
        <v>1651</v>
      </c>
      <c r="AA42" s="46">
        <f>'Mngt-Revenue '!C30</f>
        <v>0</v>
      </c>
      <c r="AB42" s="4">
        <f>Z42</f>
        <v>1651</v>
      </c>
      <c r="AC42" s="46">
        <f>'Mngt-Revenue '!D30</f>
        <v>1012</v>
      </c>
      <c r="AD42" s="4"/>
      <c r="AF42" s="335"/>
      <c r="AG42" s="336"/>
      <c r="AH42" s="337"/>
      <c r="AJ42" s="33"/>
      <c r="AK42" s="328"/>
      <c r="AL42" s="329"/>
    </row>
    <row r="43" spans="1:38" ht="13.5" thickBot="1" x14ac:dyDescent="0.25">
      <c r="A43" s="330" t="s">
        <v>252</v>
      </c>
      <c r="B43" s="220">
        <f>-SUM('Mngt-Revenue '!B4,'Mngt-Revenue '!B6,'Mngt-Revenue '!B8,'Mngt-Revenue '!B16)/Snapshot!$B$3</f>
        <v>109.40046000000001</v>
      </c>
      <c r="C43" s="220">
        <f>B43-((SUM('Mngt-Chemistry '!$B$9:$B$16)-'Mngt-Chemistry '!B14-SUM('Mngt-Chem Milk Testing '!$B$9:$B$16))/Snapshot!$B$3)</f>
        <v>22.749820000000028</v>
      </c>
      <c r="D43" s="239">
        <f t="shared" si="21"/>
        <v>0.20794994829089408</v>
      </c>
      <c r="E43" s="220">
        <f>-SUM('Mngt-Revenue '!D4,'Mngt-Revenue '!D6,'Mngt-Revenue '!D8,'Mngt-Revenue '!D16)/Snapshot!$B$3</f>
        <v>114.59542</v>
      </c>
      <c r="F43" s="220">
        <f>E43-((SUM('Mngt-Chemistry '!$D$9:$D$16)-'Mngt-Chemistry '!D14-SUM('Mngt-Chem Milk Testing '!$D$9:$D$16))/Snapshot!$B$3)</f>
        <v>6.5131300000000323</v>
      </c>
      <c r="G43" s="239">
        <f t="shared" si="22"/>
        <v>5.6835866564301014E-2</v>
      </c>
      <c r="H43" s="220">
        <f>-SUM('Mngt-Revenue '!C4,'Mngt-Revenue '!C6,'Mngt-Revenue '!C8,'Mngt-Revenue '!C16)/Snapshot!$B$3</f>
        <v>0</v>
      </c>
      <c r="I43" s="220">
        <f>H43-((SUM('Mngt-Chemistry '!$C$9:$C$16)-'Mngt-Chemistry '!C14-SUM('Mngt-Chem Milk Testing '!$C$9:$C$16))/Snapshot!$B$3)</f>
        <v>0</v>
      </c>
      <c r="J43" s="331" t="e">
        <f t="shared" si="23"/>
        <v>#DIV/0!</v>
      </c>
      <c r="K43" s="338">
        <f>SUM('Mngt-Payroll'!B4:B6)/1000/Snapshot!B43</f>
        <v>0.68036807157849233</v>
      </c>
      <c r="L43" s="338">
        <f>SUM('Mngt-Payroll'!D4:D6)/1000/Snapshot!E43</f>
        <v>0.67194003041308281</v>
      </c>
      <c r="M43" s="331" t="e">
        <f>SUM('Mngt-Payroll'!C4:C6)/1000/Snapshot!H43</f>
        <v>#DIV/0!</v>
      </c>
      <c r="N43" s="334"/>
      <c r="O43" s="334"/>
      <c r="P43" s="334"/>
      <c r="Q43" s="334"/>
      <c r="R43" s="324"/>
      <c r="S43" s="324"/>
      <c r="T43" s="324"/>
      <c r="U43" s="324"/>
      <c r="V43" s="324"/>
      <c r="W43" s="324"/>
      <c r="X43" s="324"/>
      <c r="Y43" s="324"/>
      <c r="Z43" s="46">
        <f>'Mngt-Revenue '!B31</f>
        <v>2332</v>
      </c>
      <c r="AA43" s="46">
        <f>'Mngt-Revenue '!C31</f>
        <v>0</v>
      </c>
      <c r="AB43" s="4">
        <f>Z43</f>
        <v>2332</v>
      </c>
      <c r="AC43" s="46">
        <f>'Mngt-Revenue '!D31</f>
        <v>2781</v>
      </c>
      <c r="AD43" s="4"/>
      <c r="AF43" s="219">
        <f>'Mngt-Payroll'!$B$6/Snapshot!$B$3</f>
        <v>74.283899999999988</v>
      </c>
      <c r="AG43" s="220">
        <f>SUM('Mngt-Payroll'!$D$6)/Snapshot!$B$3</f>
        <v>77.001249999999999</v>
      </c>
      <c r="AH43" s="221">
        <f>SUM('Mngt-Payroll'!$C$6)/Snapshot!$B$3</f>
        <v>0</v>
      </c>
      <c r="AJ43" s="33"/>
      <c r="AK43" s="328"/>
      <c r="AL43" s="329"/>
    </row>
    <row r="44" spans="1:38" ht="13.5" thickBot="1" x14ac:dyDescent="0.25">
      <c r="A44" s="330" t="s">
        <v>253</v>
      </c>
      <c r="B44" s="220">
        <f>-SUM('Mngt-Revenue '!B2:B3)/Snapshot!$B$3</f>
        <v>19.272419999999997</v>
      </c>
      <c r="C44" s="220">
        <f>B44-(SUM('Mngt-Chem Milk Testing '!$B$9:$B$16)/Snapshot!$B$3)</f>
        <v>7.5587099999999978</v>
      </c>
      <c r="D44" s="239">
        <f t="shared" si="21"/>
        <v>0.39220347003645617</v>
      </c>
      <c r="E44" s="220">
        <f>-SUM('Mngt-Revenue '!D2:D3)/Snapshot!$B$3</f>
        <v>26.311580000000003</v>
      </c>
      <c r="F44" s="220">
        <f>E44-(SUM('Mngt-Chem Milk Testing '!$D$9:$D$16)/Snapshot!$B$3)</f>
        <v>5.5220200000000048</v>
      </c>
      <c r="G44" s="239">
        <f t="shared" si="22"/>
        <v>0.20987033085812423</v>
      </c>
      <c r="H44" s="220">
        <f>-SUM('Mngt-Revenue '!C2:C3)/Snapshot!$B$3</f>
        <v>0</v>
      </c>
      <c r="I44" s="220">
        <f>H44-(SUM('Mngt-Chem Milk Testing '!$C$9:$C$16)/Snapshot!$B$3)</f>
        <v>0</v>
      </c>
      <c r="J44" s="331" t="e">
        <f t="shared" si="23"/>
        <v>#DIV/0!</v>
      </c>
      <c r="K44" s="338">
        <f>SUM('Mngt-Payroll'!B2:B3)/1000/Snapshot!B44</f>
        <v>0.26714963663099917</v>
      </c>
      <c r="L44" s="338">
        <f>SUM('Mngt-Payroll'!D2:D3)/1000/Snapshot!E44</f>
        <v>0.55008099095531315</v>
      </c>
      <c r="M44" s="331" t="e">
        <f>SUM('Mngt-Payroll'!C2:C3)/1000/Snapshot!H44</f>
        <v>#DIV/0!</v>
      </c>
      <c r="N44" s="334"/>
      <c r="O44" s="334"/>
      <c r="P44" s="334"/>
      <c r="Q44" s="334"/>
      <c r="R44" s="324"/>
      <c r="S44" s="324"/>
      <c r="T44" s="324"/>
      <c r="U44" s="324"/>
      <c r="V44" s="324"/>
      <c r="W44" s="324"/>
      <c r="X44" s="324"/>
      <c r="Y44" s="324"/>
      <c r="Z44" s="46">
        <f>'Test Number'!B6</f>
        <v>6742</v>
      </c>
      <c r="AA44" s="46">
        <f>'Test Number'!C6</f>
        <v>0</v>
      </c>
      <c r="AB44" s="4">
        <f>Z44</f>
        <v>6742</v>
      </c>
      <c r="AC44" s="46">
        <f>'Test Number'!D6</f>
        <v>7097</v>
      </c>
      <c r="AD44" s="4"/>
      <c r="AF44" s="219">
        <f>('Mngt-Payroll'!$B$2+'Mngt-Payroll'!$B$3)/Snapshot!$B$3</f>
        <v>5.1486200000000002</v>
      </c>
      <c r="AG44" s="220">
        <f>SUM('Mngt-Payroll'!$D$2+'Mngt-Payroll'!$D$3)/Snapshot!$B$3</f>
        <v>14.4735</v>
      </c>
      <c r="AH44" s="221">
        <f>SUM('Mngt-Payroll'!$C$2+'Mngt-Payroll'!$C$3)/Snapshot!$B$3</f>
        <v>0</v>
      </c>
      <c r="AJ44" s="33"/>
      <c r="AK44" s="328"/>
      <c r="AL44" s="329"/>
    </row>
    <row r="45" spans="1:38" ht="13.5" thickBot="1" x14ac:dyDescent="0.25">
      <c r="A45" s="339" t="s">
        <v>19</v>
      </c>
      <c r="B45" s="250">
        <f>SUM(B42:B44)</f>
        <v>242.94341000000003</v>
      </c>
      <c r="C45" s="250">
        <f>SUM(C42:C44)</f>
        <v>115.74039000000002</v>
      </c>
      <c r="D45" s="267">
        <f t="shared" si="21"/>
        <v>0.4764088476406913</v>
      </c>
      <c r="E45" s="250">
        <f>SUM(E42:E44)</f>
        <v>226.0265</v>
      </c>
      <c r="F45" s="250">
        <f>SUM(F42:F44)</f>
        <v>39.582090000000044</v>
      </c>
      <c r="G45" s="267">
        <f t="shared" si="22"/>
        <v>0.1751214569972992</v>
      </c>
      <c r="H45" s="250">
        <f>SUM(H42:H44)</f>
        <v>0</v>
      </c>
      <c r="I45" s="250">
        <f>SUM(I42:I44)</f>
        <v>0</v>
      </c>
      <c r="J45" s="268" t="e">
        <f t="shared" si="23"/>
        <v>#DIV/0!</v>
      </c>
      <c r="K45" s="340">
        <f>SUM('Mngt-Payroll'!B2:B6)/1000/Snapshot!B45</f>
        <v>0.32757093514082142</v>
      </c>
      <c r="L45" s="341">
        <f>SUM('Mngt-Payroll'!D2:D6)/1000/Snapshot!E45</f>
        <v>0.40470807626539368</v>
      </c>
      <c r="M45" s="342" t="e">
        <f>SUM('Mngt-Payroll'!D2:D6)/1000/Snapshot!H45</f>
        <v>#DIV/0!</v>
      </c>
      <c r="N45" s="2"/>
      <c r="U45" s="8"/>
      <c r="V45" s="8"/>
      <c r="W45" s="8"/>
      <c r="X45" s="8"/>
      <c r="Z45" s="58">
        <f t="shared" ref="Z45:AA45" si="25">SUM(Z42:Z44)</f>
        <v>10725</v>
      </c>
      <c r="AA45" s="58">
        <f t="shared" si="25"/>
        <v>0</v>
      </c>
      <c r="AB45" s="58">
        <f>SUM(AB42:AB44)</f>
        <v>10725</v>
      </c>
      <c r="AC45" s="58">
        <f>SUM(AC42:AC44)</f>
        <v>10890</v>
      </c>
      <c r="AD45" s="4"/>
      <c r="AF45" s="343">
        <f>SUM('Mngt-Payroll'!B2:B6)/1000</f>
        <v>79.581199999999995</v>
      </c>
      <c r="AG45" s="326">
        <f>SUM('Mngt-Payroll'!D2:D6)/1000</f>
        <v>91.47475</v>
      </c>
      <c r="AH45" s="327">
        <f>SUM('Mngt-Payroll'!C2:C6)/1000</f>
        <v>0</v>
      </c>
      <c r="AJ45" s="34">
        <v>326.47000000000003</v>
      </c>
      <c r="AK45" s="328">
        <f>+AJ45*0.2</f>
        <v>65.294000000000011</v>
      </c>
      <c r="AL45" s="329">
        <f>+AK45/AJ45</f>
        <v>0.2</v>
      </c>
    </row>
    <row r="46" spans="1:38" x14ac:dyDescent="0.2">
      <c r="A46" s="244" t="s">
        <v>306</v>
      </c>
      <c r="B46" s="344"/>
      <c r="C46" s="220">
        <f>B46-(SUM('Mngt-Lab Admin Total'!$B$10:$B$16)/$B$3)</f>
        <v>-5.1553000000000004</v>
      </c>
      <c r="D46" s="345"/>
      <c r="E46" s="344"/>
      <c r="F46" s="220">
        <f>E46-(SUM('Mngt-Lab Admin Total'!$D$10:$D$16)/$B$3)</f>
        <v>-9.4001500000000018</v>
      </c>
      <c r="G46" s="345"/>
      <c r="H46" s="28"/>
      <c r="I46" s="220">
        <f>H46-(SUM('Mngt-Lab Admin Total'!$C$10:$C$16)/$B$3)</f>
        <v>0</v>
      </c>
      <c r="J46" s="273"/>
      <c r="K46" s="346"/>
      <c r="L46" s="347"/>
      <c r="M46" s="348"/>
      <c r="N46" s="2"/>
      <c r="U46" s="8"/>
      <c r="V46" s="8"/>
      <c r="W46" s="8"/>
      <c r="X46" s="8"/>
      <c r="Z46" s="46"/>
      <c r="AA46" s="46"/>
      <c r="AB46" s="46"/>
      <c r="AC46" s="46"/>
      <c r="AF46" s="335"/>
      <c r="AG46" s="336"/>
      <c r="AH46" s="337"/>
      <c r="AJ46" s="35"/>
      <c r="AK46" s="28"/>
      <c r="AL46" s="305"/>
    </row>
    <row r="47" spans="1:38" x14ac:dyDescent="0.2">
      <c r="A47" s="244" t="s">
        <v>352</v>
      </c>
      <c r="B47" s="220">
        <f>-('Mngt-Revenue '!$B$10)/Snapshot!$B$3</f>
        <v>47.383789999999998</v>
      </c>
      <c r="C47" s="220">
        <f>B47-(SUM('Mngt-Consulting Micro SC '!$B$10:$B$17))/Snapshot!$B$3</f>
        <v>40.30003</v>
      </c>
      <c r="D47" s="345"/>
      <c r="E47" s="220">
        <f>-('Mngt-Revenue '!$D$10)/Snapshot!$B$3</f>
        <v>21.254759999999997</v>
      </c>
      <c r="F47" s="220">
        <f>E47-(SUM('Mngt-Consulting Micro SC '!$D$10:$D$17))/Snapshot!$B$3</f>
        <v>-2.422270000000001</v>
      </c>
      <c r="G47" s="345"/>
      <c r="H47" s="220">
        <f>-('Mngt-Revenue '!$C$10)/Snapshot!$B$3</f>
        <v>0</v>
      </c>
      <c r="I47" s="220">
        <f>H47-((SUM('Mngt-Consulting Micro SC '!$C$10:$C$17))/Snapshot!$B$3)</f>
        <v>0</v>
      </c>
      <c r="J47" s="273"/>
      <c r="K47" s="42">
        <f>AF47/B47</f>
        <v>0.14949753913732947</v>
      </c>
      <c r="L47" s="43">
        <f>AG47/E47</f>
        <v>1.1139636486132989</v>
      </c>
      <c r="M47" s="44" t="e">
        <f>AH47/H47</f>
        <v>#DIV/0!</v>
      </c>
      <c r="N47" s="2"/>
      <c r="U47" s="8"/>
      <c r="V47" s="8"/>
      <c r="W47" s="8"/>
      <c r="X47" s="8"/>
      <c r="Z47" s="46"/>
      <c r="AA47" s="46"/>
      <c r="AB47" s="46"/>
      <c r="AC47" s="46"/>
      <c r="AF47" s="219">
        <f>'Mngt-Payroll'!$B$7/Snapshot!$B$3</f>
        <v>7.0837599999999998</v>
      </c>
      <c r="AG47" s="220">
        <f>'Mngt-Payroll'!$D$7/Snapshot!$B$3</f>
        <v>23.677029999999998</v>
      </c>
      <c r="AH47" s="221">
        <f>'Mngt-Payroll'!$C$7/Snapshot!$B$3</f>
        <v>0</v>
      </c>
      <c r="AJ47" s="35"/>
      <c r="AK47" s="28"/>
      <c r="AL47" s="305"/>
    </row>
    <row r="48" spans="1:38" x14ac:dyDescent="0.2">
      <c r="A48" s="845" t="s">
        <v>20</v>
      </c>
      <c r="B48" s="344"/>
      <c r="C48" s="344"/>
      <c r="D48" s="345"/>
      <c r="E48" s="344"/>
      <c r="F48" s="344"/>
      <c r="G48" s="345"/>
      <c r="H48" s="28"/>
      <c r="I48" s="28"/>
      <c r="J48" s="273"/>
      <c r="K48" s="247"/>
      <c r="L48" s="274"/>
      <c r="M48" s="273"/>
      <c r="N48" s="2"/>
      <c r="U48" s="8"/>
      <c r="V48" s="8"/>
      <c r="W48" s="8"/>
      <c r="X48" s="8"/>
      <c r="Z48" s="4"/>
      <c r="AA48" s="4"/>
      <c r="AB48" s="4"/>
      <c r="AC48" s="4"/>
      <c r="AF48" s="310"/>
      <c r="AG48" s="28"/>
      <c r="AH48" s="305"/>
      <c r="AJ48" s="35"/>
      <c r="AK48" s="28"/>
      <c r="AL48" s="305"/>
    </row>
    <row r="49" spans="1:38" ht="13.5" thickBot="1" x14ac:dyDescent="0.25">
      <c r="A49" s="846"/>
      <c r="B49" s="349">
        <f>B41+B45+B46+B47</f>
        <v>1534.8131700000001</v>
      </c>
      <c r="C49" s="349">
        <f>C41+C45+C46+C47</f>
        <v>570.82333000000006</v>
      </c>
      <c r="D49" s="350">
        <f>C49/B49</f>
        <v>0.37191714350483451</v>
      </c>
      <c r="E49" s="349">
        <f>E41+E45+E46+E47</f>
        <v>1215.53278</v>
      </c>
      <c r="F49" s="349">
        <f>F41+F45+F46+F47</f>
        <v>260.03203000000002</v>
      </c>
      <c r="G49" s="350">
        <f>F49/E49</f>
        <v>0.2139243254303681</v>
      </c>
      <c r="H49" s="349">
        <f>H41+H45+H46+H47</f>
        <v>0</v>
      </c>
      <c r="I49" s="349">
        <f>I41+I45+I46+I47</f>
        <v>0</v>
      </c>
      <c r="J49" s="320" t="e">
        <f>I49/H49</f>
        <v>#DIV/0!</v>
      </c>
      <c r="K49" s="318"/>
      <c r="L49" s="319"/>
      <c r="M49" s="320"/>
      <c r="N49" s="43"/>
      <c r="U49" s="8"/>
      <c r="V49" s="8"/>
      <c r="W49" s="8"/>
      <c r="X49" s="8"/>
      <c r="Z49" s="4"/>
      <c r="AA49" s="4"/>
      <c r="AB49" s="4"/>
      <c r="AC49" s="4"/>
      <c r="AF49" s="351"/>
      <c r="AG49" s="352"/>
      <c r="AH49" s="353"/>
      <c r="AJ49" s="35"/>
      <c r="AK49" s="28"/>
      <c r="AL49" s="305"/>
    </row>
    <row r="50" spans="1:38" ht="13.5" thickBot="1" x14ac:dyDescent="0.25">
      <c r="B50" s="209">
        <v>0</v>
      </c>
      <c r="C50" s="209">
        <v>0</v>
      </c>
      <c r="E50" s="209">
        <v>0</v>
      </c>
      <c r="F50" s="209">
        <v>0</v>
      </c>
      <c r="H50" s="209">
        <v>0</v>
      </c>
      <c r="I50" s="209">
        <v>0</v>
      </c>
      <c r="N50" s="2"/>
      <c r="U50" s="8"/>
      <c r="V50" s="8"/>
      <c r="W50" s="8"/>
      <c r="X50" s="8"/>
      <c r="Z50" s="4"/>
      <c r="AA50" s="4"/>
      <c r="AB50" s="4"/>
      <c r="AC50" s="4"/>
      <c r="AJ50" s="35"/>
      <c r="AK50" s="28"/>
      <c r="AL50" s="305"/>
    </row>
    <row r="51" spans="1:38" x14ac:dyDescent="0.2">
      <c r="A51" s="8" t="s">
        <v>254</v>
      </c>
      <c r="B51" s="282">
        <f>-'Mngt-Revenue '!B18/1000</f>
        <v>-0.79500000000000004</v>
      </c>
      <c r="C51" s="282"/>
      <c r="D51" s="4"/>
      <c r="E51" s="282">
        <f>-'Mngt-Revenue '!D18/1000</f>
        <v>0</v>
      </c>
      <c r="F51" s="282"/>
      <c r="G51" s="4"/>
      <c r="H51" s="282">
        <f>-'Mngt-Revenue '!C18/1000</f>
        <v>0</v>
      </c>
      <c r="I51" s="282"/>
      <c r="J51" s="4"/>
      <c r="N51" s="2"/>
      <c r="U51" s="8"/>
      <c r="V51" s="8"/>
      <c r="W51" s="8"/>
      <c r="X51" s="8"/>
      <c r="Z51" s="4"/>
      <c r="AA51" s="4"/>
      <c r="AB51" s="4"/>
      <c r="AC51" s="4"/>
      <c r="AF51" s="335"/>
      <c r="AG51" s="336"/>
      <c r="AH51" s="337"/>
      <c r="AJ51" s="35"/>
      <c r="AK51" s="28"/>
      <c r="AL51" s="305"/>
    </row>
    <row r="52" spans="1:38" x14ac:dyDescent="0.2">
      <c r="A52" s="4" t="s">
        <v>255</v>
      </c>
      <c r="B52" s="282">
        <f>-'Mngt-Revenue '!B19/1000</f>
        <v>2.42</v>
      </c>
      <c r="C52" s="282"/>
      <c r="D52" s="4"/>
      <c r="E52" s="282">
        <f>-'Mngt-Revenue '!D19/1000</f>
        <v>0</v>
      </c>
      <c r="F52" s="282"/>
      <c r="G52" s="4"/>
      <c r="H52" s="282">
        <f>-'Mngt-Revenue '!C19/1000</f>
        <v>0</v>
      </c>
      <c r="I52" s="282"/>
      <c r="J52" s="4"/>
      <c r="K52" s="4"/>
      <c r="L52" s="4"/>
      <c r="M52" s="4"/>
      <c r="N52" s="2"/>
      <c r="U52" s="8"/>
      <c r="V52" s="8"/>
      <c r="W52" s="8"/>
      <c r="X52" s="8"/>
      <c r="Z52" s="4"/>
      <c r="AA52" s="4"/>
      <c r="AB52" s="4"/>
      <c r="AC52" s="4"/>
      <c r="AF52" s="310"/>
      <c r="AG52" s="28"/>
      <c r="AH52" s="305"/>
      <c r="AJ52" s="35"/>
      <c r="AK52" s="28"/>
      <c r="AL52" s="305"/>
    </row>
    <row r="53" spans="1:38" x14ac:dyDescent="0.2">
      <c r="A53" s="174" t="s">
        <v>21</v>
      </c>
      <c r="B53" s="282">
        <f>SUM(B51:B52)</f>
        <v>1.625</v>
      </c>
      <c r="C53" s="282">
        <f>B53-(SUM('Mngt-Consulting '!$B$9:$B$16)/$B$3)</f>
        <v>1.625</v>
      </c>
      <c r="D53" s="284">
        <f>C53/B53</f>
        <v>1</v>
      </c>
      <c r="E53" s="282">
        <f>SUM(E51:E52)</f>
        <v>0</v>
      </c>
      <c r="F53" s="282">
        <f>E53-(SUM('Mngt-Consulting '!$D$9:$D$16)/$B$3)</f>
        <v>-0.39072000000000001</v>
      </c>
      <c r="G53" s="284" t="e">
        <f>F53/E53</f>
        <v>#DIV/0!</v>
      </c>
      <c r="H53" s="282">
        <f>SUM(H51:H52)</f>
        <v>0</v>
      </c>
      <c r="I53" s="282">
        <f>H53-(SUM('Mngt-Consulting '!$C$9:$C$16)/$B$3)</f>
        <v>0</v>
      </c>
      <c r="J53" s="284" t="e">
        <f>I53/H53</f>
        <v>#DIV/0!</v>
      </c>
      <c r="K53" s="284"/>
      <c r="L53" s="284"/>
      <c r="M53" s="284"/>
      <c r="N53" s="43"/>
      <c r="U53" s="8"/>
      <c r="V53" s="8"/>
      <c r="W53" s="8"/>
      <c r="X53" s="8"/>
      <c r="Z53" s="4"/>
      <c r="AA53" s="4"/>
      <c r="AB53" s="4"/>
      <c r="AC53" s="4"/>
      <c r="AF53" s="354">
        <f>'Mngt-Payroll'!B27/B3</f>
        <v>0</v>
      </c>
      <c r="AG53" s="165">
        <f>'Mngt-Payroll'!D27/Snapshot!B3</f>
        <v>0.39072000000000001</v>
      </c>
      <c r="AH53" s="355">
        <f>'Mngt-Payroll'!C27/Snapshot!B3</f>
        <v>0</v>
      </c>
      <c r="AJ53" s="35">
        <v>280</v>
      </c>
      <c r="AK53" s="165">
        <f>+AJ53*0.2</f>
        <v>56</v>
      </c>
      <c r="AL53" s="331">
        <f t="shared" ref="AL53:AL54" si="26">+AK53/AJ53</f>
        <v>0.2</v>
      </c>
    </row>
    <row r="54" spans="1:38" ht="13.5" thickBot="1" x14ac:dyDescent="0.25">
      <c r="A54" s="174" t="s">
        <v>22</v>
      </c>
      <c r="B54" s="282">
        <f>-SUM('Mngt-Revenue '!B17)/Snapshot!$B$3</f>
        <v>288.61339000000004</v>
      </c>
      <c r="C54" s="282">
        <f>B54-(SUM('Mngt-Senior Audit '!$B$9:$B$16)/$B$3)</f>
        <v>81.727330000000052</v>
      </c>
      <c r="D54" s="284">
        <f>C54/B54</f>
        <v>0.28317234345918613</v>
      </c>
      <c r="E54" s="282">
        <f>-SUM('Mngt-Revenue '!D17)/Snapshot!$B$3</f>
        <v>157.60929999999999</v>
      </c>
      <c r="F54" s="282">
        <f>E54-(SUM('Mngt-Senior Audit '!$D$9:$D$16)/$B$3)</f>
        <v>51.216979999999978</v>
      </c>
      <c r="G54" s="284">
        <f>F54/E54</f>
        <v>0.32496166152631845</v>
      </c>
      <c r="H54" s="282">
        <f>-SUM('Mngt-Revenue '!C17)/Snapshot!$B$3</f>
        <v>0</v>
      </c>
      <c r="I54" s="282">
        <f>H54-(SUM('Mngt-Senior Audit '!$C$9:$C$16)/$B$3)</f>
        <v>0</v>
      </c>
      <c r="J54" s="284" t="e">
        <f>I54/H54</f>
        <v>#DIV/0!</v>
      </c>
      <c r="K54" s="284"/>
      <c r="L54" s="284"/>
      <c r="M54" s="284"/>
      <c r="N54" s="43"/>
      <c r="U54" s="8"/>
      <c r="V54" s="8"/>
      <c r="W54" s="8"/>
      <c r="X54" s="8"/>
      <c r="Z54" s="4"/>
      <c r="AA54" s="4"/>
      <c r="AB54" s="4"/>
      <c r="AC54" s="4"/>
      <c r="AF54" s="356">
        <f>'Mngt-Payroll'!B26/Snapshot!B3</f>
        <v>56.062269999999998</v>
      </c>
      <c r="AG54" s="349">
        <f>'Mngt-Payroll'!D26/Snapshot!B3</f>
        <v>38.500629999999994</v>
      </c>
      <c r="AH54" s="357">
        <f>'Mngt-Payroll'!C26/Snapshot!B3</f>
        <v>0</v>
      </c>
      <c r="AJ54" s="35">
        <v>100</v>
      </c>
      <c r="AK54" s="28">
        <f>+AJ54*0.37</f>
        <v>37</v>
      </c>
      <c r="AL54" s="331">
        <f t="shared" si="26"/>
        <v>0.37</v>
      </c>
    </row>
    <row r="55" spans="1:38" x14ac:dyDescent="0.2">
      <c r="A55" s="174" t="s">
        <v>263</v>
      </c>
      <c r="B55" s="282">
        <f>'Mngt-Digital Solution'!$B$2/$B$3</f>
        <v>15.201700000000001</v>
      </c>
      <c r="C55" s="282">
        <f>B55-(SUM('Mngt-Digital Solution'!$B$9:$B$16)/Snapshot!$B$3)</f>
        <v>4.2504500000000007</v>
      </c>
      <c r="D55" s="284">
        <f>C55/B55</f>
        <v>0.2796035969661288</v>
      </c>
      <c r="E55" s="282">
        <f>'Mngt-Digital Solution'!$D$2/$B$3</f>
        <v>17.351700000000001</v>
      </c>
      <c r="F55" s="282">
        <f>E55-(SUM('Mngt-Digital Solution'!$D$9:$D$16)/Snapshot!$B$3)</f>
        <v>5.1248000000000022</v>
      </c>
      <c r="G55" s="284">
        <f>F55/E55</f>
        <v>0.29534858255963403</v>
      </c>
      <c r="H55" s="282">
        <f>'Mngt-Digital Solution'!$C$2/$B$3</f>
        <v>0</v>
      </c>
      <c r="I55" s="282">
        <f>H55-(SUM('Mngt-Digital Solution'!$C$9:$C$16)/Snapshot!$B$3)</f>
        <v>0</v>
      </c>
      <c r="J55" s="284" t="e">
        <f>I55/H55</f>
        <v>#DIV/0!</v>
      </c>
      <c r="K55" s="284"/>
      <c r="L55" s="284"/>
      <c r="M55" s="284"/>
      <c r="N55" s="43"/>
      <c r="U55" s="8"/>
      <c r="V55" s="8"/>
      <c r="W55" s="8"/>
      <c r="X55" s="8"/>
      <c r="Z55" s="4"/>
      <c r="AA55" s="4"/>
      <c r="AB55" s="4"/>
      <c r="AC55" s="4"/>
      <c r="AF55" s="165"/>
      <c r="AG55" s="165"/>
      <c r="AH55" s="165"/>
      <c r="AJ55" s="35"/>
      <c r="AK55" s="28"/>
      <c r="AL55" s="331"/>
    </row>
    <row r="56" spans="1:38" ht="13.5" thickBot="1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2"/>
      <c r="U56" s="8"/>
      <c r="V56" s="8"/>
      <c r="W56" s="8"/>
      <c r="X56" s="8"/>
      <c r="Z56" s="4"/>
      <c r="AA56" s="4"/>
      <c r="AB56" s="4"/>
      <c r="AC56" s="4"/>
      <c r="AJ56" s="358">
        <f>SUM(AJ40:AJ54)</f>
        <v>1966.6440000000002</v>
      </c>
      <c r="AK56" s="344">
        <f>SUM(AK40:AK54)</f>
        <v>674.96534000000008</v>
      </c>
      <c r="AL56" s="331">
        <f>+AK56/AJ56</f>
        <v>0.34320667085654549</v>
      </c>
    </row>
    <row r="57" spans="1:38" ht="16.5" thickBot="1" x14ac:dyDescent="0.3">
      <c r="A57" s="288" t="s">
        <v>23</v>
      </c>
      <c r="B57" s="289">
        <f>SUM(B49,B53:B55)</f>
        <v>1840.2532600000002</v>
      </c>
      <c r="C57" s="289">
        <f>SUM(C49,C53:C55)</f>
        <v>658.42611000000011</v>
      </c>
      <c r="D57" s="290">
        <f>C57/B57</f>
        <v>0.35779103034981175</v>
      </c>
      <c r="E57" s="289">
        <f t="shared" ref="E57:F57" si="27">SUM(E49,E53:E55)</f>
        <v>1390.49378</v>
      </c>
      <c r="F57" s="289">
        <f t="shared" si="27"/>
        <v>315.98309</v>
      </c>
      <c r="G57" s="290">
        <f>F57/E57</f>
        <v>0.22724523801897192</v>
      </c>
      <c r="H57" s="289">
        <f t="shared" ref="H57:I57" si="28">SUM(H49,H53:H55)</f>
        <v>0</v>
      </c>
      <c r="I57" s="289">
        <f t="shared" si="28"/>
        <v>0</v>
      </c>
      <c r="J57" s="359" t="e">
        <f>I57/H57</f>
        <v>#DIV/0!</v>
      </c>
      <c r="K57" s="360"/>
      <c r="L57" s="360"/>
      <c r="M57" s="360"/>
      <c r="N57" s="2"/>
      <c r="U57" s="8"/>
      <c r="V57" s="8"/>
      <c r="W57" s="8"/>
      <c r="X57" s="8"/>
      <c r="Z57" s="4"/>
      <c r="AA57" s="4"/>
      <c r="AB57" s="4"/>
      <c r="AC57" s="4"/>
      <c r="AJ57" s="310"/>
      <c r="AK57" s="28"/>
      <c r="AL57" s="305"/>
    </row>
    <row r="58" spans="1:38" x14ac:dyDescent="0.2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U58" s="8"/>
      <c r="V58" s="8"/>
      <c r="W58" s="8"/>
      <c r="X58" s="8"/>
      <c r="Z58" s="4"/>
      <c r="AA58" s="4"/>
      <c r="AB58" s="4"/>
      <c r="AC58" s="4"/>
      <c r="AJ58" s="310" t="s">
        <v>236</v>
      </c>
      <c r="AK58" s="28">
        <v>-354</v>
      </c>
      <c r="AL58" s="305"/>
    </row>
    <row r="59" spans="1:38" x14ac:dyDescent="0.2">
      <c r="U59" s="8"/>
      <c r="V59" s="8"/>
      <c r="W59" s="8"/>
      <c r="X59" s="8"/>
      <c r="Z59" s="4"/>
      <c r="AA59" s="4"/>
      <c r="AB59" s="4"/>
      <c r="AC59" s="4"/>
      <c r="AJ59" s="310" t="s">
        <v>235</v>
      </c>
      <c r="AK59" s="28">
        <v>-247</v>
      </c>
      <c r="AL59" s="305"/>
    </row>
    <row r="60" spans="1:38" ht="13.5" thickBot="1" x14ac:dyDescent="0.25">
      <c r="U60" s="8"/>
      <c r="V60" s="8"/>
      <c r="W60" s="8"/>
      <c r="X60" s="8"/>
      <c r="Z60" s="4"/>
      <c r="AA60" s="4"/>
      <c r="AB60" s="4"/>
      <c r="AC60" s="4"/>
      <c r="AJ60" s="361" t="s">
        <v>237</v>
      </c>
      <c r="AK60" s="362">
        <f>SUM(AK56:AK59)</f>
        <v>73.965340000000083</v>
      </c>
      <c r="AL60" s="353"/>
    </row>
    <row r="61" spans="1:38" x14ac:dyDescent="0.2">
      <c r="U61" s="8"/>
      <c r="V61" s="8"/>
      <c r="W61" s="8"/>
      <c r="X61" s="8"/>
      <c r="Z61" s="4"/>
      <c r="AA61" s="4"/>
      <c r="AB61" s="4"/>
      <c r="AC61" s="4"/>
    </row>
    <row r="62" spans="1:38" x14ac:dyDescent="0.2">
      <c r="U62" s="8"/>
      <c r="V62" s="8"/>
      <c r="W62" s="8"/>
      <c r="X62" s="8"/>
      <c r="Z62" s="4"/>
      <c r="AA62" s="4"/>
      <c r="AB62" s="4"/>
      <c r="AC62" s="4"/>
    </row>
    <row r="63" spans="1:38" x14ac:dyDescent="0.2">
      <c r="U63" s="8"/>
      <c r="V63" s="8"/>
      <c r="W63" s="8"/>
      <c r="X63" s="8"/>
      <c r="Z63" s="4"/>
      <c r="AA63" s="4"/>
      <c r="AB63" s="4"/>
      <c r="AC63" s="4"/>
    </row>
    <row r="64" spans="1:38" x14ac:dyDescent="0.2">
      <c r="U64" s="8"/>
      <c r="V64" s="8"/>
      <c r="W64" s="8"/>
      <c r="X64" s="8"/>
      <c r="Z64" s="4"/>
      <c r="AA64" s="4"/>
      <c r="AB64" s="4"/>
      <c r="AC64" s="4"/>
    </row>
    <row r="65" spans="21:29" x14ac:dyDescent="0.2">
      <c r="U65" s="8"/>
      <c r="V65" s="8"/>
      <c r="W65" s="8"/>
      <c r="X65" s="8"/>
      <c r="Z65" s="4"/>
      <c r="AA65" s="4"/>
      <c r="AB65" s="4"/>
      <c r="AC65" s="4"/>
    </row>
    <row r="66" spans="21:29" x14ac:dyDescent="0.2">
      <c r="U66" s="8"/>
      <c r="V66" s="8"/>
      <c r="W66" s="8"/>
      <c r="X66" s="8"/>
      <c r="Z66" s="4"/>
      <c r="AA66" s="4"/>
      <c r="AB66" s="4"/>
      <c r="AC66" s="4"/>
    </row>
    <row r="67" spans="21:29" x14ac:dyDescent="0.2">
      <c r="U67" s="8"/>
      <c r="V67" s="8"/>
      <c r="W67" s="8"/>
      <c r="X67" s="8"/>
      <c r="Z67" s="4"/>
      <c r="AA67" s="4"/>
      <c r="AB67" s="4"/>
      <c r="AC67" s="4"/>
    </row>
    <row r="68" spans="21:29" x14ac:dyDescent="0.2">
      <c r="U68" s="8"/>
      <c r="V68" s="8"/>
      <c r="W68" s="8"/>
      <c r="X68" s="8"/>
      <c r="Z68" s="4"/>
      <c r="AA68" s="4"/>
      <c r="AB68" s="4"/>
      <c r="AC68" s="4"/>
    </row>
    <row r="69" spans="21:29" x14ac:dyDescent="0.2">
      <c r="U69" s="8"/>
      <c r="V69" s="8"/>
      <c r="W69" s="8"/>
      <c r="X69" s="8"/>
      <c r="Z69" s="4"/>
      <c r="AA69" s="4"/>
      <c r="AB69" s="4"/>
      <c r="AC69" s="4"/>
    </row>
    <row r="70" spans="21:29" x14ac:dyDescent="0.2">
      <c r="U70" s="8"/>
      <c r="V70" s="8"/>
      <c r="W70" s="8"/>
      <c r="X70" s="8"/>
      <c r="Z70" s="4"/>
      <c r="AA70" s="4"/>
      <c r="AB70" s="4"/>
      <c r="AC70" s="4"/>
    </row>
  </sheetData>
  <mergeCells count="11">
    <mergeCell ref="AJ34:AL34"/>
    <mergeCell ref="A48:A49"/>
    <mergeCell ref="B6:D6"/>
    <mergeCell ref="E6:G6"/>
    <mergeCell ref="H6:J6"/>
    <mergeCell ref="N6:N7"/>
    <mergeCell ref="A20:A21"/>
    <mergeCell ref="B34:D34"/>
    <mergeCell ref="E34:G34"/>
    <mergeCell ref="H34:J34"/>
    <mergeCell ref="N34:N35"/>
  </mergeCells>
  <pageMargins left="0.70866141732283472" right="0.70866141732283472" top="0.74803149606299213" bottom="0.74803149606299213" header="0.31496062992125984" footer="0.31496062992125984"/>
  <pageSetup paperSize="9" scale="54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P191"/>
  <sheetViews>
    <sheetView tabSelected="1" zoomScale="80" zoomScaleNormal="80" workbookViewId="0">
      <pane ySplit="1" topLeftCell="A145" activePane="bottomLeft" state="frozen"/>
      <selection pane="bottomLeft" activeCell="D181" sqref="D181"/>
    </sheetView>
  </sheetViews>
  <sheetFormatPr defaultColWidth="9.42578125" defaultRowHeight="15" outlineLevelRow="2" outlineLevelCol="1" x14ac:dyDescent="0.25"/>
  <cols>
    <col min="1" max="1" width="15.42578125" style="363" customWidth="1"/>
    <col min="2" max="2" width="17.5703125" style="363" hidden="1" customWidth="1" outlineLevel="1"/>
    <col min="3" max="3" width="16" style="363" customWidth="1" collapsed="1"/>
    <col min="4" max="4" width="69" style="363" bestFit="1" customWidth="1"/>
    <col min="5" max="5" width="21.5703125" style="363" bestFit="1" customWidth="1"/>
    <col min="6" max="6" width="21.5703125" style="363" hidden="1" customWidth="1" outlineLevel="1"/>
    <col min="7" max="7" width="15.42578125" style="363" bestFit="1" customWidth="1" collapsed="1"/>
    <col min="8" max="11" width="14.42578125" style="376" hidden="1" customWidth="1" outlineLevel="1"/>
    <col min="12" max="12" width="15.42578125" style="364" hidden="1" customWidth="1" outlineLevel="1"/>
    <col min="13" max="13" width="11" style="363" hidden="1" customWidth="1" outlineLevel="1"/>
    <col min="14" max="15" width="13.5703125" style="363" hidden="1" customWidth="1" outlineLevel="1"/>
    <col min="16" max="16" width="12.42578125" style="363" hidden="1" customWidth="1" outlineLevel="1"/>
    <col min="17" max="17" width="14.42578125" style="363" hidden="1" customWidth="1" outlineLevel="1"/>
    <col min="18" max="19" width="12.42578125" style="363" hidden="1" customWidth="1" outlineLevel="1"/>
    <col min="20" max="20" width="13.5703125" style="363" hidden="1" customWidth="1" outlineLevel="1"/>
    <col min="21" max="21" width="12.42578125" style="363" hidden="1" customWidth="1" outlineLevel="1"/>
    <col min="22" max="22" width="14.5703125" style="8" hidden="1" customWidth="1" outlineLevel="1"/>
    <col min="23" max="23" width="12.42578125" style="8" hidden="1" customWidth="1" outlineLevel="1"/>
    <col min="24" max="24" width="13.5703125" style="363" hidden="1" customWidth="1" outlineLevel="1"/>
    <col min="25" max="25" width="12.42578125" style="363" hidden="1" customWidth="1" outlineLevel="1"/>
    <col min="26" max="26" width="15" style="8" hidden="1" customWidth="1" outlineLevel="1"/>
    <col min="27" max="27" width="13.5703125" style="372" hidden="1" customWidth="1" outlineLevel="1"/>
    <col min="28" max="28" width="23.5703125" style="363" hidden="1" customWidth="1" outlineLevel="1"/>
    <col min="29" max="29" width="13.5703125" style="363" hidden="1" customWidth="1" outlineLevel="1"/>
    <col min="30" max="30" width="12.42578125" style="363" hidden="1" customWidth="1" outlineLevel="1"/>
    <col min="31" max="31" width="14.42578125" style="363" hidden="1" customWidth="1" outlineLevel="1"/>
    <col min="32" max="33" width="12.42578125" style="363" hidden="1" customWidth="1" outlineLevel="1"/>
    <col min="34" max="35" width="13.5703125" style="363" hidden="1" customWidth="1" outlineLevel="1"/>
    <col min="36" max="37" width="12.42578125" style="363" hidden="1" customWidth="1" outlineLevel="1"/>
    <col min="38" max="38" width="13.42578125" style="363" hidden="1" customWidth="1" outlineLevel="1"/>
    <col min="39" max="39" width="11.42578125" style="363" hidden="1" customWidth="1" outlineLevel="1"/>
    <col min="40" max="40" width="15" style="363" hidden="1" customWidth="1" outlineLevel="1"/>
    <col min="41" max="41" width="13.5703125" style="372" hidden="1" customWidth="1" outlineLevel="1"/>
    <col min="42" max="43" width="13.5703125" style="363" hidden="1" customWidth="1" outlineLevel="1"/>
    <col min="44" max="44" width="12.42578125" style="363" hidden="1" customWidth="1" outlineLevel="1"/>
    <col min="45" max="45" width="14.42578125" style="363" hidden="1" customWidth="1" outlineLevel="1"/>
    <col min="46" max="46" width="11.42578125" style="363" hidden="1" customWidth="1" outlineLevel="1"/>
    <col min="47" max="47" width="12.42578125" style="363" hidden="1" customWidth="1" outlineLevel="1"/>
    <col min="48" max="48" width="13.5703125" style="363" hidden="1" customWidth="1" outlineLevel="1"/>
    <col min="49" max="49" width="12.42578125" style="363" hidden="1" customWidth="1" outlineLevel="1"/>
    <col min="50" max="50" width="14.5703125" style="363" hidden="1" customWidth="1" outlineLevel="1"/>
    <col min="51" max="51" width="12.42578125" style="363" hidden="1" customWidth="1" outlineLevel="1"/>
    <col min="52" max="52" width="13.5703125" style="363" hidden="1" customWidth="1" outlineLevel="1"/>
    <col min="53" max="53" width="11.42578125" style="363" hidden="1" customWidth="1" outlineLevel="1"/>
    <col min="54" max="54" width="15" style="363" hidden="1" customWidth="1" outlineLevel="1"/>
    <col min="55" max="55" width="11.42578125" style="372" hidden="1" customWidth="1" outlineLevel="1"/>
    <col min="56" max="56" width="13.85546875" style="681" hidden="1" customWidth="1" outlineLevel="1"/>
    <col min="57" max="57" width="16" style="167" customWidth="1" collapsed="1"/>
    <col min="58" max="58" width="17.5703125" style="553" bestFit="1" customWidth="1"/>
    <col min="59" max="59" width="18.42578125" style="376" bestFit="1" customWidth="1"/>
    <col min="60" max="60" width="12.28515625" style="363" bestFit="1" customWidth="1"/>
    <col min="61" max="61" width="9.42578125" style="363"/>
    <col min="62" max="62" width="13.42578125" style="376" bestFit="1" customWidth="1"/>
    <col min="63" max="64" width="13.5703125" style="363" bestFit="1" customWidth="1"/>
    <col min="65" max="67" width="13.42578125" style="363" bestFit="1" customWidth="1"/>
    <col min="68" max="16384" width="9.42578125" style="363"/>
  </cols>
  <sheetData>
    <row r="1" spans="1:68" ht="43.5" customHeight="1" x14ac:dyDescent="0.25">
      <c r="A1" s="761" t="s">
        <v>707</v>
      </c>
      <c r="B1" s="761" t="s">
        <v>708</v>
      </c>
      <c r="C1" s="761" t="s">
        <v>27</v>
      </c>
      <c r="D1" s="761" t="s">
        <v>28</v>
      </c>
      <c r="E1" s="761" t="s">
        <v>709</v>
      </c>
      <c r="F1" s="761" t="s">
        <v>710</v>
      </c>
      <c r="G1" s="761" t="s">
        <v>29</v>
      </c>
      <c r="H1" s="550"/>
      <c r="I1" s="550"/>
      <c r="J1" s="550"/>
      <c r="K1" s="550"/>
      <c r="L1" s="367" t="s">
        <v>525</v>
      </c>
      <c r="M1" s="368" t="s">
        <v>526</v>
      </c>
      <c r="N1" s="368" t="s">
        <v>287</v>
      </c>
      <c r="O1" s="368" t="s">
        <v>527</v>
      </c>
      <c r="P1" s="368" t="s">
        <v>299</v>
      </c>
      <c r="Q1" s="368" t="s">
        <v>528</v>
      </c>
      <c r="R1" s="368" t="s">
        <v>297</v>
      </c>
      <c r="S1" s="368" t="s">
        <v>298</v>
      </c>
      <c r="T1" s="368" t="s">
        <v>290</v>
      </c>
      <c r="U1" s="368" t="s">
        <v>529</v>
      </c>
      <c r="V1" s="369" t="s">
        <v>305</v>
      </c>
      <c r="W1" s="369" t="s">
        <v>295</v>
      </c>
      <c r="X1" s="368" t="s">
        <v>296</v>
      </c>
      <c r="Y1" s="368" t="s">
        <v>294</v>
      </c>
      <c r="Z1" s="369" t="s">
        <v>272</v>
      </c>
      <c r="AA1" s="370" t="s">
        <v>530</v>
      </c>
      <c r="AB1" s="368" t="s">
        <v>287</v>
      </c>
      <c r="AC1" s="368" t="s">
        <v>527</v>
      </c>
      <c r="AD1" s="368" t="s">
        <v>299</v>
      </c>
      <c r="AE1" s="368" t="s">
        <v>528</v>
      </c>
      <c r="AF1" s="368" t="s">
        <v>297</v>
      </c>
      <c r="AG1" s="368" t="s">
        <v>298</v>
      </c>
      <c r="AH1" s="368" t="s">
        <v>290</v>
      </c>
      <c r="AI1" s="368" t="s">
        <v>529</v>
      </c>
      <c r="AJ1" s="369" t="s">
        <v>305</v>
      </c>
      <c r="AK1" s="369" t="s">
        <v>295</v>
      </c>
      <c r="AL1" s="368" t="s">
        <v>296</v>
      </c>
      <c r="AM1" s="368" t="s">
        <v>294</v>
      </c>
      <c r="AN1" s="369" t="s">
        <v>272</v>
      </c>
      <c r="AO1" s="370" t="s">
        <v>530</v>
      </c>
      <c r="AP1" s="368" t="s">
        <v>287</v>
      </c>
      <c r="AQ1" s="368" t="s">
        <v>527</v>
      </c>
      <c r="AR1" s="368" t="s">
        <v>299</v>
      </c>
      <c r="AS1" s="368" t="s">
        <v>528</v>
      </c>
      <c r="AT1" s="368" t="s">
        <v>297</v>
      </c>
      <c r="AU1" s="368" t="s">
        <v>298</v>
      </c>
      <c r="AV1" s="368" t="s">
        <v>290</v>
      </c>
      <c r="AW1" s="368" t="s">
        <v>529</v>
      </c>
      <c r="AX1" s="369" t="s">
        <v>305</v>
      </c>
      <c r="AY1" s="369" t="s">
        <v>295</v>
      </c>
      <c r="AZ1" s="368" t="s">
        <v>296</v>
      </c>
      <c r="BA1" s="368" t="s">
        <v>294</v>
      </c>
      <c r="BB1" s="369" t="s">
        <v>272</v>
      </c>
      <c r="BC1" s="370" t="s">
        <v>530</v>
      </c>
      <c r="BD1" s="684">
        <v>1.0449999999999999</v>
      </c>
      <c r="BE1" s="689" t="s">
        <v>711</v>
      </c>
      <c r="BF1" s="551" t="s">
        <v>586</v>
      </c>
      <c r="BG1" s="369"/>
      <c r="BH1" s="635">
        <v>12</v>
      </c>
      <c r="BJ1" s="376" t="s">
        <v>704</v>
      </c>
      <c r="BK1" s="363" t="s">
        <v>705</v>
      </c>
      <c r="BL1" s="363" t="s">
        <v>156</v>
      </c>
      <c r="BN1" s="363" t="s">
        <v>706</v>
      </c>
    </row>
    <row r="2" spans="1:68" ht="15" customHeight="1" outlineLevel="1" x14ac:dyDescent="0.25">
      <c r="A2" s="573">
        <v>1299805</v>
      </c>
      <c r="B2" s="594">
        <v>0</v>
      </c>
      <c r="C2" s="595">
        <v>994659</v>
      </c>
      <c r="D2" s="502" t="s">
        <v>30</v>
      </c>
      <c r="E2" s="596">
        <v>5728812</v>
      </c>
      <c r="F2" s="594">
        <v>0</v>
      </c>
      <c r="G2" s="594">
        <v>5123729</v>
      </c>
      <c r="H2" s="552"/>
      <c r="I2" s="552"/>
      <c r="J2" s="552"/>
      <c r="K2" s="552"/>
      <c r="O2" s="166"/>
      <c r="P2" s="166"/>
      <c r="Q2" s="166"/>
      <c r="R2" s="166"/>
      <c r="S2" s="166"/>
      <c r="T2" s="166"/>
      <c r="U2" s="166"/>
      <c r="V2" s="169"/>
      <c r="W2" s="169"/>
      <c r="X2" s="166"/>
      <c r="Y2" s="166"/>
      <c r="Z2" s="170"/>
      <c r="AA2" s="371"/>
      <c r="BD2" s="683"/>
    </row>
    <row r="3" spans="1:68" ht="15" customHeight="1" outlineLevel="1" x14ac:dyDescent="0.25">
      <c r="A3" s="573">
        <v>243960</v>
      </c>
      <c r="B3" s="594">
        <v>0</v>
      </c>
      <c r="C3" s="595">
        <v>226593</v>
      </c>
      <c r="D3" s="502" t="s">
        <v>19</v>
      </c>
      <c r="E3" s="596">
        <v>1045849</v>
      </c>
      <c r="F3" s="594">
        <v>0</v>
      </c>
      <c r="G3" s="594">
        <v>1123182</v>
      </c>
      <c r="H3" s="552"/>
      <c r="I3" s="552"/>
      <c r="J3" s="552"/>
      <c r="K3" s="552"/>
      <c r="N3" s="166"/>
      <c r="P3" s="166"/>
      <c r="Q3" s="166"/>
      <c r="R3" s="166"/>
      <c r="S3" s="166"/>
      <c r="T3" s="166"/>
      <c r="U3" s="166"/>
      <c r="V3" s="169"/>
      <c r="W3" s="169"/>
      <c r="X3" s="166"/>
      <c r="Y3" s="166"/>
      <c r="Z3" s="170"/>
      <c r="AA3" s="371"/>
      <c r="BD3" s="683"/>
    </row>
    <row r="4" spans="1:68" ht="15" customHeight="1" outlineLevel="1" x14ac:dyDescent="0.25">
      <c r="A4" s="573">
        <v>286299</v>
      </c>
      <c r="B4" s="594">
        <v>0</v>
      </c>
      <c r="C4" s="595">
        <v>156010</v>
      </c>
      <c r="D4" s="502" t="s">
        <v>31</v>
      </c>
      <c r="E4" s="596">
        <v>1072368</v>
      </c>
      <c r="F4" s="594">
        <v>0</v>
      </c>
      <c r="G4" s="594">
        <v>660612</v>
      </c>
      <c r="H4" s="552"/>
      <c r="I4" s="552"/>
      <c r="J4" s="552"/>
      <c r="K4" s="552"/>
      <c r="N4" s="166"/>
      <c r="O4" s="166"/>
      <c r="P4" s="166"/>
      <c r="Q4" s="166"/>
      <c r="R4" s="166"/>
      <c r="S4" s="166"/>
      <c r="T4" s="166"/>
      <c r="V4" s="169"/>
      <c r="W4" s="169"/>
      <c r="X4" s="166"/>
      <c r="Y4" s="166"/>
      <c r="Z4" s="170"/>
      <c r="AA4" s="371"/>
      <c r="BD4" s="683"/>
    </row>
    <row r="5" spans="1:68" ht="15" customHeight="1" outlineLevel="1" x14ac:dyDescent="0.25">
      <c r="A5" s="573">
        <v>1120</v>
      </c>
      <c r="B5" s="594">
        <v>0</v>
      </c>
      <c r="C5" s="595">
        <v>0</v>
      </c>
      <c r="D5" s="502" t="s">
        <v>32</v>
      </c>
      <c r="E5" s="596">
        <v>2125</v>
      </c>
      <c r="F5" s="594">
        <v>0</v>
      </c>
      <c r="G5" s="594">
        <v>0</v>
      </c>
      <c r="H5" s="552"/>
      <c r="I5" s="552"/>
      <c r="J5" s="552"/>
      <c r="K5" s="552"/>
      <c r="N5" s="166"/>
      <c r="O5" s="166"/>
      <c r="P5" s="166"/>
      <c r="Q5" s="166"/>
      <c r="R5" s="166"/>
      <c r="S5" s="166"/>
      <c r="U5" s="166"/>
      <c r="V5" s="169"/>
      <c r="W5" s="169"/>
      <c r="X5" s="166"/>
      <c r="Y5" s="166"/>
      <c r="Z5" s="170"/>
      <c r="AA5" s="371"/>
      <c r="BD5" s="683"/>
    </row>
    <row r="6" spans="1:68" ht="15" customHeight="1" outlineLevel="1" x14ac:dyDescent="0.25">
      <c r="A6" s="573">
        <v>14340</v>
      </c>
      <c r="B6" s="594">
        <v>0</v>
      </c>
      <c r="C6" s="595">
        <v>16490</v>
      </c>
      <c r="D6" s="502" t="s">
        <v>233</v>
      </c>
      <c r="E6" s="596">
        <v>63810</v>
      </c>
      <c r="F6" s="594">
        <v>0</v>
      </c>
      <c r="G6" s="594">
        <v>69010</v>
      </c>
      <c r="H6" s="552"/>
      <c r="I6" s="552"/>
      <c r="J6" s="552"/>
      <c r="K6" s="552"/>
      <c r="N6" s="166"/>
      <c r="O6" s="166"/>
      <c r="P6" s="166"/>
      <c r="Q6" s="166"/>
      <c r="R6" s="166"/>
      <c r="S6" s="166"/>
      <c r="T6" s="166"/>
      <c r="U6" s="166"/>
      <c r="W6" s="169"/>
      <c r="X6" s="166"/>
      <c r="Y6" s="166"/>
      <c r="Z6" s="170"/>
      <c r="AA6" s="371"/>
      <c r="BD6" s="683"/>
    </row>
    <row r="7" spans="1:68" x14ac:dyDescent="0.25">
      <c r="A7" s="794">
        <v>1845525</v>
      </c>
      <c r="B7" s="795">
        <v>0</v>
      </c>
      <c r="C7" s="796">
        <v>1393752</v>
      </c>
      <c r="D7" s="797" t="s">
        <v>33</v>
      </c>
      <c r="E7" s="798">
        <v>7912964</v>
      </c>
      <c r="F7" s="795">
        <v>0</v>
      </c>
      <c r="G7" s="795">
        <v>6976533</v>
      </c>
      <c r="H7" s="554"/>
      <c r="I7" s="554"/>
      <c r="J7" s="554"/>
      <c r="K7" s="554"/>
      <c r="N7" s="166"/>
      <c r="O7" s="166"/>
      <c r="P7" s="166"/>
      <c r="Q7" s="166"/>
      <c r="R7" s="166"/>
      <c r="S7" s="166"/>
      <c r="T7" s="166"/>
      <c r="U7" s="166"/>
      <c r="V7" s="169"/>
      <c r="W7" s="169"/>
      <c r="X7" s="166"/>
      <c r="Y7" s="166"/>
      <c r="Z7" s="170"/>
      <c r="AA7" s="371"/>
      <c r="BD7" s="686">
        <v>1.0349999999999999</v>
      </c>
      <c r="BG7" s="636"/>
      <c r="BJ7" s="639"/>
      <c r="BK7" s="441"/>
      <c r="BL7" s="441"/>
      <c r="BM7" s="441"/>
      <c r="BN7" s="441"/>
      <c r="BO7" s="441"/>
    </row>
    <row r="8" spans="1:68" x14ac:dyDescent="0.25">
      <c r="A8" s="573"/>
      <c r="B8" s="594"/>
      <c r="C8" s="595"/>
      <c r="D8" s="502"/>
      <c r="E8" s="596"/>
      <c r="F8" s="594"/>
      <c r="G8" s="594"/>
      <c r="H8" s="552"/>
      <c r="I8" s="552"/>
      <c r="J8" s="552"/>
      <c r="K8" s="552"/>
      <c r="N8" s="166"/>
      <c r="O8" s="166"/>
      <c r="P8" s="166"/>
      <c r="Q8" s="166"/>
      <c r="R8" s="166"/>
      <c r="S8" s="166"/>
      <c r="T8" s="166"/>
      <c r="U8" s="166"/>
      <c r="V8" s="169"/>
      <c r="W8" s="169"/>
      <c r="X8" s="166"/>
      <c r="Y8" s="166"/>
      <c r="Z8" s="170"/>
      <c r="AA8" s="371"/>
      <c r="BD8" s="687">
        <v>1.0549999999999999</v>
      </c>
      <c r="BJ8" s="639"/>
      <c r="BK8" s="441"/>
      <c r="BL8" s="441"/>
      <c r="BM8" s="441"/>
      <c r="BN8" s="441"/>
      <c r="BO8" s="441"/>
    </row>
    <row r="9" spans="1:68" ht="15" customHeight="1" outlineLevel="1" x14ac:dyDescent="0.25">
      <c r="A9" s="573">
        <v>1845525</v>
      </c>
      <c r="B9" s="594">
        <v>0</v>
      </c>
      <c r="C9" s="595">
        <v>1393752</v>
      </c>
      <c r="D9" s="502" t="s">
        <v>34</v>
      </c>
      <c r="E9" s="596">
        <v>7912964</v>
      </c>
      <c r="F9" s="594">
        <v>0</v>
      </c>
      <c r="G9" s="594">
        <v>6976533</v>
      </c>
      <c r="H9" s="552"/>
      <c r="I9" s="552"/>
      <c r="J9" s="552"/>
      <c r="K9" s="552"/>
      <c r="N9" s="166"/>
      <c r="O9" s="166"/>
      <c r="P9" s="166"/>
      <c r="Q9" s="166"/>
      <c r="R9" s="166"/>
      <c r="S9" s="166"/>
      <c r="T9" s="166"/>
      <c r="U9" s="166"/>
      <c r="V9" s="169"/>
      <c r="W9" s="169"/>
      <c r="X9" s="166"/>
      <c r="Y9" s="166"/>
      <c r="Z9" s="170"/>
      <c r="AA9" s="371"/>
      <c r="BG9" s="636"/>
      <c r="BJ9" s="639"/>
      <c r="BK9" s="441"/>
      <c r="BL9" s="441"/>
      <c r="BM9" s="441"/>
      <c r="BN9" s="441"/>
      <c r="BO9" s="441"/>
    </row>
    <row r="10" spans="1:68" ht="15" customHeight="1" outlineLevel="1" x14ac:dyDescent="0.25">
      <c r="A10" s="573">
        <v>3681</v>
      </c>
      <c r="B10" s="594">
        <v>0</v>
      </c>
      <c r="C10" s="595">
        <v>2461</v>
      </c>
      <c r="D10" s="502" t="s">
        <v>35</v>
      </c>
      <c r="E10" s="596">
        <v>32984</v>
      </c>
      <c r="F10" s="594">
        <v>0</v>
      </c>
      <c r="G10" s="594">
        <v>30272</v>
      </c>
      <c r="H10" s="552"/>
      <c r="I10" s="552"/>
      <c r="J10" s="552"/>
      <c r="K10" s="552"/>
      <c r="N10" s="166"/>
      <c r="O10" s="166"/>
      <c r="P10" s="166"/>
      <c r="Q10" s="166"/>
      <c r="R10" s="166"/>
      <c r="S10" s="166"/>
      <c r="T10" s="166"/>
      <c r="U10" s="166"/>
      <c r="V10" s="169"/>
      <c r="W10" s="169"/>
      <c r="X10" s="166"/>
      <c r="Y10" s="166"/>
      <c r="Z10" s="170"/>
      <c r="AA10" s="371"/>
      <c r="BG10" s="636"/>
      <c r="BJ10" s="639"/>
      <c r="BK10" s="441"/>
      <c r="BL10" s="441"/>
      <c r="BM10" s="441"/>
      <c r="BN10" s="441"/>
      <c r="BO10" s="441"/>
    </row>
    <row r="11" spans="1:68" ht="15.75" customHeight="1" outlineLevel="1" thickBot="1" x14ac:dyDescent="0.3">
      <c r="A11" s="799">
        <v>-8952</v>
      </c>
      <c r="B11" s="764">
        <v>0</v>
      </c>
      <c r="C11" s="800">
        <v>-5719</v>
      </c>
      <c r="D11" s="801" t="s">
        <v>36</v>
      </c>
      <c r="E11" s="802">
        <v>-43954</v>
      </c>
      <c r="F11" s="764">
        <v>0</v>
      </c>
      <c r="G11" s="764">
        <v>-20380</v>
      </c>
      <c r="H11" s="552"/>
      <c r="I11" s="552"/>
      <c r="J11" s="552"/>
      <c r="K11" s="552"/>
      <c r="N11" s="166"/>
      <c r="O11" s="166"/>
      <c r="P11" s="166"/>
      <c r="Q11" s="166"/>
      <c r="R11" s="166"/>
      <c r="S11" s="166"/>
      <c r="T11" s="166"/>
      <c r="U11" s="166"/>
      <c r="V11" s="169"/>
      <c r="W11" s="169"/>
      <c r="X11" s="166"/>
      <c r="Y11" s="166"/>
      <c r="Z11" s="170"/>
      <c r="AA11" s="371"/>
      <c r="BG11" s="636"/>
      <c r="BJ11" s="639"/>
      <c r="BK11" s="441"/>
      <c r="BL11" s="441"/>
      <c r="BM11" s="441"/>
      <c r="BN11" s="441"/>
      <c r="BO11" s="441"/>
    </row>
    <row r="12" spans="1:68" ht="16.5" thickBot="1" x14ac:dyDescent="0.3">
      <c r="A12" s="803">
        <v>1840253</v>
      </c>
      <c r="B12" s="803">
        <v>0</v>
      </c>
      <c r="C12" s="804">
        <v>1390494</v>
      </c>
      <c r="D12" s="805" t="s">
        <v>37</v>
      </c>
      <c r="E12" s="806">
        <v>7901993</v>
      </c>
      <c r="F12" s="803">
        <v>0</v>
      </c>
      <c r="G12" s="803">
        <v>6986425</v>
      </c>
      <c r="H12" s="555" t="s">
        <v>479</v>
      </c>
      <c r="I12" s="555"/>
      <c r="J12" s="555"/>
      <c r="K12" s="555"/>
      <c r="L12" s="373" t="s">
        <v>356</v>
      </c>
      <c r="N12" s="166">
        <f>'Mngt-Microbiology '!$S$2</f>
        <v>5689864.7199999997</v>
      </c>
      <c r="O12" s="166" t="e">
        <v>#REF!</v>
      </c>
      <c r="P12" s="166"/>
      <c r="Q12" s="166"/>
      <c r="R12" s="166"/>
      <c r="S12" s="166"/>
      <c r="T12" s="166">
        <f>'Mngt-Consulting '!$S$2</f>
        <v>5681.25</v>
      </c>
      <c r="U12" s="166" t="e">
        <v>#REF!</v>
      </c>
      <c r="V12" s="169">
        <f>'Mngt-Digital Solution'!$S$2</f>
        <v>67256.800000000003</v>
      </c>
      <c r="W12" s="169"/>
      <c r="X12" s="166"/>
      <c r="Y12" s="166"/>
      <c r="Z12" s="170" t="e">
        <f>SUM(N12:X12)</f>
        <v>#REF!</v>
      </c>
      <c r="AA12" s="371" t="e">
        <f>Z12-E12</f>
        <v>#REF!</v>
      </c>
      <c r="AB12" s="166">
        <f>'Mngt-Microbiology '!$AF$2</f>
        <v>0</v>
      </c>
      <c r="AC12" s="166">
        <f>'Mngt-Chemistry '!$AF$2</f>
        <v>0</v>
      </c>
      <c r="AD12" s="166"/>
      <c r="AE12" s="166"/>
      <c r="AF12" s="166"/>
      <c r="AG12" s="166"/>
      <c r="AH12" s="166">
        <f>'Mngt-Consulting '!$AF$2</f>
        <v>0</v>
      </c>
      <c r="AI12" s="166">
        <f>'Mngt-Senior Audit '!$AF$2</f>
        <v>0</v>
      </c>
      <c r="AJ12" s="169">
        <f>'Mngt-Digital Solution'!$AF$2</f>
        <v>0</v>
      </c>
      <c r="AN12" s="374">
        <f>SUM(AB12:AL12)</f>
        <v>0</v>
      </c>
      <c r="AO12" s="375">
        <f>AN12-F12</f>
        <v>0</v>
      </c>
      <c r="AP12" s="166">
        <f>'Mngt-Microbiology '!$AS$2</f>
        <v>5106027.6500000004</v>
      </c>
      <c r="AQ12" s="166">
        <f>'Mngt-Chemistry '!$AS$2</f>
        <v>1120503.6599999999</v>
      </c>
      <c r="AR12" s="166"/>
      <c r="AS12" s="166"/>
      <c r="AT12" s="166"/>
      <c r="AU12" s="166"/>
      <c r="AV12" s="166">
        <f>'Mngt-Consulting '!$AS$2</f>
        <v>0</v>
      </c>
      <c r="AW12" s="166">
        <f>'Mngt-Senior Audit '!$AS$2</f>
        <v>686525.61</v>
      </c>
      <c r="AX12" s="169">
        <f>'Mngt-Digital Solution'!$AS$2</f>
        <v>73368.5</v>
      </c>
      <c r="BB12" s="374">
        <f>SUM(AP12:AZ12)</f>
        <v>6986425.4200000009</v>
      </c>
      <c r="BC12" s="375">
        <f>BB12-G12</f>
        <v>0.42000000085681677</v>
      </c>
      <c r="BE12" s="836">
        <v>1748269</v>
      </c>
      <c r="BF12" s="553">
        <v>1849914.83333333</v>
      </c>
      <c r="BG12" s="637"/>
      <c r="BH12" s="638">
        <f>+A12-BE12</f>
        <v>91984</v>
      </c>
      <c r="BJ12" s="682">
        <f>+(374925/12*3)+(33024/12*9)+(784000/12*1)+25000</f>
        <v>208832.58333333334</v>
      </c>
      <c r="BK12" s="441">
        <f>+BM12-BJ12</f>
        <v>706735.41666666663</v>
      </c>
      <c r="BL12" s="441">
        <f>+BJ12+BK12</f>
        <v>915568</v>
      </c>
      <c r="BM12" s="441">
        <f>+E12-G12</f>
        <v>915568</v>
      </c>
      <c r="BN12" s="441">
        <f>+BL12-BM12</f>
        <v>0</v>
      </c>
      <c r="BO12" s="441"/>
      <c r="BP12" s="363">
        <f>+BK12/G12</f>
        <v>0.10115837737708007</v>
      </c>
    </row>
    <row r="13" spans="1:68" x14ac:dyDescent="0.25">
      <c r="A13" s="668"/>
      <c r="B13" s="669"/>
      <c r="C13" s="670"/>
      <c r="D13" s="671"/>
      <c r="E13" s="672"/>
      <c r="F13" s="669"/>
      <c r="G13" s="669"/>
      <c r="H13" s="552"/>
      <c r="I13" s="552"/>
      <c r="J13" s="552"/>
      <c r="K13" s="552"/>
      <c r="N13" s="166"/>
      <c r="O13" s="166"/>
      <c r="P13" s="166"/>
      <c r="Q13" s="166"/>
      <c r="R13" s="166"/>
      <c r="S13" s="166"/>
      <c r="T13" s="166"/>
      <c r="U13" s="166"/>
      <c r="V13" s="169"/>
      <c r="W13" s="169"/>
      <c r="X13" s="166"/>
      <c r="Y13" s="166"/>
      <c r="Z13" s="170">
        <f t="shared" ref="Z13:Z36" si="0">SUM(N13:X13)</f>
        <v>0</v>
      </c>
      <c r="AA13" s="371">
        <f>Z13-C13</f>
        <v>0</v>
      </c>
      <c r="BJ13" s="639"/>
      <c r="BK13" s="441"/>
      <c r="BL13" s="441"/>
      <c r="BM13" s="441"/>
      <c r="BN13" s="441"/>
      <c r="BO13" s="441"/>
    </row>
    <row r="14" spans="1:68" ht="15" customHeight="1" outlineLevel="1" x14ac:dyDescent="0.25">
      <c r="A14" s="573">
        <v>443254</v>
      </c>
      <c r="B14" s="594">
        <v>0</v>
      </c>
      <c r="C14" s="595">
        <v>405741</v>
      </c>
      <c r="D14" s="502" t="s">
        <v>397</v>
      </c>
      <c r="E14" s="596">
        <v>1919386</v>
      </c>
      <c r="F14" s="594">
        <v>0</v>
      </c>
      <c r="G14" s="594">
        <v>1873880</v>
      </c>
      <c r="H14" s="552"/>
      <c r="I14" s="552"/>
      <c r="J14" s="552"/>
      <c r="K14" s="552"/>
      <c r="L14" s="364">
        <v>4010</v>
      </c>
      <c r="N14" s="166"/>
      <c r="O14" s="166"/>
      <c r="P14" s="166"/>
      <c r="Q14" s="166"/>
      <c r="R14" s="166"/>
      <c r="S14" s="166"/>
      <c r="T14" s="166"/>
      <c r="U14" s="166"/>
      <c r="V14" s="169"/>
      <c r="W14" s="169"/>
      <c r="X14" s="166"/>
      <c r="Y14" s="166"/>
      <c r="Z14" s="170">
        <f t="shared" si="0"/>
        <v>0</v>
      </c>
      <c r="AA14" s="371"/>
      <c r="BJ14" s="639"/>
      <c r="BK14" s="441"/>
      <c r="BL14" s="441"/>
      <c r="BM14" s="441"/>
      <c r="BN14" s="441"/>
      <c r="BO14" s="441"/>
    </row>
    <row r="15" spans="1:68" ht="15" customHeight="1" outlineLevel="1" x14ac:dyDescent="0.25">
      <c r="A15" s="573">
        <v>29588</v>
      </c>
      <c r="B15" s="594">
        <v>0</v>
      </c>
      <c r="C15" s="595">
        <v>27067</v>
      </c>
      <c r="D15" s="502" t="s">
        <v>38</v>
      </c>
      <c r="E15" s="596">
        <v>125551</v>
      </c>
      <c r="F15" s="594">
        <v>0</v>
      </c>
      <c r="G15" s="594">
        <v>119152</v>
      </c>
      <c r="H15" s="552"/>
      <c r="I15" s="552"/>
      <c r="J15" s="552"/>
      <c r="K15" s="552"/>
      <c r="L15" s="364">
        <v>4020</v>
      </c>
      <c r="N15" s="166"/>
      <c r="O15" s="166"/>
      <c r="P15" s="166"/>
      <c r="Q15" s="166"/>
      <c r="R15" s="166"/>
      <c r="S15" s="166"/>
      <c r="T15" s="166"/>
      <c r="U15" s="166"/>
      <c r="V15" s="169"/>
      <c r="W15" s="169"/>
      <c r="X15" s="166"/>
      <c r="Y15" s="166"/>
      <c r="Z15" s="170">
        <f t="shared" si="0"/>
        <v>0</v>
      </c>
      <c r="AA15" s="371"/>
      <c r="BJ15" s="639"/>
      <c r="BK15" s="441"/>
      <c r="BL15" s="441"/>
      <c r="BM15" s="441"/>
      <c r="BN15" s="441"/>
      <c r="BO15" s="441"/>
    </row>
    <row r="16" spans="1:68" ht="15" customHeight="1" outlineLevel="1" x14ac:dyDescent="0.25">
      <c r="A16" s="573">
        <v>1433</v>
      </c>
      <c r="B16" s="594">
        <v>0</v>
      </c>
      <c r="C16" s="595">
        <v>4275</v>
      </c>
      <c r="D16" s="502" t="s">
        <v>39</v>
      </c>
      <c r="E16" s="596">
        <v>668</v>
      </c>
      <c r="F16" s="594">
        <v>0</v>
      </c>
      <c r="G16" s="594">
        <v>15232</v>
      </c>
      <c r="H16" s="552"/>
      <c r="I16" s="552"/>
      <c r="J16" s="552"/>
      <c r="K16" s="552"/>
      <c r="L16" s="364" t="s">
        <v>357</v>
      </c>
      <c r="N16" s="166"/>
      <c r="O16" s="166"/>
      <c r="P16" s="166"/>
      <c r="Q16" s="166"/>
      <c r="R16" s="166"/>
      <c r="S16" s="166"/>
      <c r="T16" s="166"/>
      <c r="U16" s="166"/>
      <c r="V16" s="169"/>
      <c r="W16" s="169"/>
      <c r="X16" s="166"/>
      <c r="Y16" s="166"/>
      <c r="Z16" s="170">
        <f t="shared" si="0"/>
        <v>0</v>
      </c>
      <c r="AA16" s="371"/>
      <c r="BJ16" s="639"/>
      <c r="BK16" s="441"/>
      <c r="BL16" s="441"/>
      <c r="BM16" s="441"/>
      <c r="BN16" s="441"/>
      <c r="BO16" s="441"/>
    </row>
    <row r="17" spans="1:68" ht="15" customHeight="1" outlineLevel="1" x14ac:dyDescent="0.25">
      <c r="A17" s="573">
        <v>42108</v>
      </c>
      <c r="B17" s="594">
        <v>0</v>
      </c>
      <c r="C17" s="595">
        <v>91310</v>
      </c>
      <c r="D17" s="502" t="s">
        <v>40</v>
      </c>
      <c r="E17" s="596">
        <v>176111</v>
      </c>
      <c r="F17" s="594">
        <v>0</v>
      </c>
      <c r="G17" s="594">
        <v>228357</v>
      </c>
      <c r="H17" s="552"/>
      <c r="I17" s="552"/>
      <c r="J17" s="552"/>
      <c r="K17" s="552"/>
      <c r="L17" s="364">
        <v>4040</v>
      </c>
      <c r="N17" s="166"/>
      <c r="O17" s="166"/>
      <c r="P17" s="166"/>
      <c r="Q17" s="166"/>
      <c r="R17" s="166"/>
      <c r="S17" s="166"/>
      <c r="T17" s="166"/>
      <c r="U17" s="166"/>
      <c r="V17" s="169"/>
      <c r="W17" s="169"/>
      <c r="X17" s="166"/>
      <c r="Y17" s="166"/>
      <c r="Z17" s="170">
        <f t="shared" si="0"/>
        <v>0</v>
      </c>
      <c r="AA17" s="371"/>
      <c r="BF17" s="652"/>
      <c r="BJ17" s="639"/>
      <c r="BK17" s="441"/>
      <c r="BL17" s="441"/>
      <c r="BM17" s="441"/>
      <c r="BN17" s="441"/>
      <c r="BO17" s="441"/>
    </row>
    <row r="18" spans="1:68" ht="15" customHeight="1" outlineLevel="1" x14ac:dyDescent="0.25">
      <c r="A18" s="573">
        <v>1075</v>
      </c>
      <c r="B18" s="594">
        <v>0</v>
      </c>
      <c r="C18" s="595">
        <v>4375</v>
      </c>
      <c r="D18" s="502" t="s">
        <v>41</v>
      </c>
      <c r="E18" s="596">
        <v>4300</v>
      </c>
      <c r="F18" s="594">
        <v>0</v>
      </c>
      <c r="G18" s="594">
        <v>23851</v>
      </c>
      <c r="H18" s="552"/>
      <c r="I18" s="552"/>
      <c r="J18" s="552"/>
      <c r="K18" s="552"/>
      <c r="L18" s="364">
        <v>4050</v>
      </c>
      <c r="N18" s="166"/>
      <c r="O18" s="166"/>
      <c r="P18" s="166"/>
      <c r="Q18" s="166"/>
      <c r="R18" s="166"/>
      <c r="S18" s="166"/>
      <c r="T18" s="166"/>
      <c r="U18" s="166"/>
      <c r="V18" s="169"/>
      <c r="W18" s="169"/>
      <c r="X18" s="166"/>
      <c r="Y18" s="166"/>
      <c r="Z18" s="170">
        <f t="shared" si="0"/>
        <v>0</v>
      </c>
      <c r="AA18" s="371"/>
      <c r="BJ18" s="639"/>
      <c r="BK18" s="441"/>
      <c r="BL18" s="441"/>
      <c r="BM18" s="441"/>
      <c r="BN18" s="441"/>
      <c r="BO18" s="441"/>
    </row>
    <row r="19" spans="1:68" ht="15" customHeight="1" outlineLevel="1" x14ac:dyDescent="0.25">
      <c r="A19" s="573">
        <v>5216</v>
      </c>
      <c r="B19" s="594">
        <v>0</v>
      </c>
      <c r="C19" s="595">
        <v>4299</v>
      </c>
      <c r="D19" s="502" t="s">
        <v>42</v>
      </c>
      <c r="E19" s="596">
        <v>18199</v>
      </c>
      <c r="F19" s="594">
        <v>0</v>
      </c>
      <c r="G19" s="594">
        <v>12929</v>
      </c>
      <c r="H19" s="552"/>
      <c r="I19" s="552"/>
      <c r="J19" s="552"/>
      <c r="K19" s="552"/>
      <c r="L19" s="364">
        <v>4060</v>
      </c>
      <c r="N19" s="166"/>
      <c r="O19" s="166"/>
      <c r="P19" s="166"/>
      <c r="Q19" s="166"/>
      <c r="R19" s="166"/>
      <c r="S19" s="166"/>
      <c r="T19" s="166"/>
      <c r="U19" s="166"/>
      <c r="V19" s="169"/>
      <c r="W19" s="169"/>
      <c r="X19" s="166"/>
      <c r="Y19" s="166"/>
      <c r="Z19" s="170">
        <f t="shared" si="0"/>
        <v>0</v>
      </c>
      <c r="AA19" s="371"/>
      <c r="BJ19" s="639"/>
      <c r="BK19" s="441"/>
      <c r="BL19" s="441"/>
      <c r="BM19" s="441"/>
      <c r="BN19" s="441"/>
      <c r="BO19" s="441"/>
    </row>
    <row r="20" spans="1:68" ht="15" customHeight="1" outlineLevel="1" x14ac:dyDescent="0.25">
      <c r="A20" s="573">
        <v>50354</v>
      </c>
      <c r="B20" s="594">
        <v>0</v>
      </c>
      <c r="C20" s="595">
        <v>46463</v>
      </c>
      <c r="D20" s="502" t="s">
        <v>43</v>
      </c>
      <c r="E20" s="596">
        <v>205525</v>
      </c>
      <c r="F20" s="594">
        <v>0</v>
      </c>
      <c r="G20" s="594">
        <v>189444</v>
      </c>
      <c r="H20" s="552"/>
      <c r="I20" s="552"/>
      <c r="J20" s="552"/>
      <c r="K20" s="552"/>
      <c r="L20" s="364">
        <v>4080</v>
      </c>
      <c r="N20" s="166"/>
      <c r="O20" s="166"/>
      <c r="P20" s="166"/>
      <c r="Q20" s="166"/>
      <c r="R20" s="166"/>
      <c r="S20" s="166"/>
      <c r="T20" s="166"/>
      <c r="U20" s="166"/>
      <c r="V20" s="169"/>
      <c r="W20" s="169"/>
      <c r="X20" s="166"/>
      <c r="Y20" s="166"/>
      <c r="Z20" s="170">
        <f t="shared" si="0"/>
        <v>0</v>
      </c>
      <c r="AA20" s="371"/>
      <c r="BJ20" s="639"/>
      <c r="BK20" s="441"/>
      <c r="BL20" s="441"/>
      <c r="BM20" s="441"/>
      <c r="BN20" s="441"/>
      <c r="BO20" s="441"/>
    </row>
    <row r="21" spans="1:68" x14ac:dyDescent="0.25">
      <c r="A21" s="590">
        <v>573028</v>
      </c>
      <c r="B21" s="597">
        <v>0</v>
      </c>
      <c r="C21" s="598">
        <v>583530</v>
      </c>
      <c r="D21" s="599" t="s">
        <v>44</v>
      </c>
      <c r="E21" s="600">
        <v>2449741</v>
      </c>
      <c r="F21" s="597">
        <v>0</v>
      </c>
      <c r="G21" s="597">
        <v>2462847</v>
      </c>
      <c r="H21" s="556"/>
      <c r="I21" s="556"/>
      <c r="J21" s="556"/>
      <c r="K21" s="556"/>
      <c r="N21" s="166">
        <f>'Mngt-Microbiology '!$S$9</f>
        <v>152777.57999999999</v>
      </c>
      <c r="O21" s="166">
        <f>'Mngt-Chemistry '!$S$9</f>
        <v>371835.5</v>
      </c>
      <c r="P21" s="166"/>
      <c r="Q21" s="166"/>
      <c r="R21" s="166"/>
      <c r="S21" s="166"/>
      <c r="T21" s="166">
        <f>'Mngt-Consulting '!$S$9</f>
        <v>-2266.16</v>
      </c>
      <c r="U21" s="166">
        <f>'Mngt-Senior Audit '!$S$9</f>
        <v>214151.28</v>
      </c>
      <c r="V21" s="169"/>
      <c r="W21" s="169"/>
      <c r="X21" s="166"/>
      <c r="Y21" s="166"/>
      <c r="Z21" s="170">
        <f t="shared" si="0"/>
        <v>736498.2</v>
      </c>
      <c r="AA21" s="371">
        <f>Z21-E21</f>
        <v>-1713242.8</v>
      </c>
      <c r="AB21" s="166">
        <f>'Mngt-Microbiology '!$AF$9</f>
        <v>0</v>
      </c>
      <c r="AC21" s="166">
        <f>'Mngt-Chemistry '!$AF$9</f>
        <v>0</v>
      </c>
      <c r="AD21" s="166"/>
      <c r="AE21" s="166"/>
      <c r="AF21" s="166"/>
      <c r="AG21" s="166"/>
      <c r="AH21" s="166">
        <f>'Mngt-Consulting '!$AF$9</f>
        <v>0</v>
      </c>
      <c r="AI21" s="166">
        <f>'Mngt-Senior Audit '!$AF$9</f>
        <v>0</v>
      </c>
      <c r="AN21" s="374">
        <f>SUM(AB21:AL21)</f>
        <v>0</v>
      </c>
      <c r="AO21" s="375">
        <f>AN21-F21</f>
        <v>0</v>
      </c>
      <c r="AP21" s="166">
        <f>'Mngt-Microbiology '!$AS$9</f>
        <v>143541.85999999999</v>
      </c>
      <c r="AQ21" s="166">
        <f>'Mngt-Chemistry '!$AS$9</f>
        <v>407621.12</v>
      </c>
      <c r="AR21" s="166"/>
      <c r="AS21" s="166"/>
      <c r="AT21" s="166"/>
      <c r="AU21" s="166"/>
      <c r="AV21" s="166">
        <f>'Mngt-Consulting '!$AS$9</f>
        <v>2137.69</v>
      </c>
      <c r="AW21" s="166">
        <f>'Mngt-Senior Audit '!$AS$9</f>
        <v>169913.95</v>
      </c>
      <c r="BB21" s="374">
        <f>SUM(AP21:AZ21)</f>
        <v>723214.61999999988</v>
      </c>
      <c r="BC21" s="375">
        <f>BB21-G21</f>
        <v>-1739632.3800000001</v>
      </c>
      <c r="BD21" s="682">
        <f>+E21*$BD$1</f>
        <v>2559979.3449999997</v>
      </c>
      <c r="BF21" s="553">
        <v>629595.33333333337</v>
      </c>
      <c r="BG21" s="637">
        <f>+E21-A21</f>
        <v>1876713</v>
      </c>
      <c r="BJ21" s="682">
        <f>-(G21*0.05)</f>
        <v>-123142.35</v>
      </c>
      <c r="BK21" s="441">
        <f>+BM21-BJ21</f>
        <v>136248.35</v>
      </c>
      <c r="BL21" s="441">
        <f>+BJ21+BK21</f>
        <v>13106</v>
      </c>
      <c r="BM21" s="441">
        <f>+G21-E21</f>
        <v>13106</v>
      </c>
      <c r="BN21" s="441">
        <f>+BL21-BM21</f>
        <v>0</v>
      </c>
      <c r="BO21" s="441"/>
      <c r="BP21" s="363">
        <f>+BK21/G21</f>
        <v>5.5321483632560203E-2</v>
      </c>
    </row>
    <row r="22" spans="1:68" x14ac:dyDescent="0.25">
      <c r="A22" s="629">
        <f>+A21/A12</f>
        <v>0.31138544537082674</v>
      </c>
      <c r="B22" s="629"/>
      <c r="C22" s="629">
        <f>+C21/C12</f>
        <v>0.41965661124751347</v>
      </c>
      <c r="D22" s="503"/>
      <c r="E22" s="629">
        <f>+E21/E12</f>
        <v>0.31001558720692363</v>
      </c>
      <c r="F22" s="629"/>
      <c r="G22" s="629">
        <f>+G21/G12</f>
        <v>0.35251892062106155</v>
      </c>
      <c r="H22" s="552"/>
      <c r="I22" s="552"/>
      <c r="J22" s="552"/>
      <c r="K22" s="552"/>
      <c r="N22" s="166"/>
      <c r="O22" s="166"/>
      <c r="P22" s="166"/>
      <c r="Q22" s="166"/>
      <c r="R22" s="166"/>
      <c r="S22" s="166"/>
      <c r="T22" s="166"/>
      <c r="U22" s="166"/>
      <c r="V22" s="169"/>
      <c r="W22" s="169"/>
      <c r="X22" s="166"/>
      <c r="Y22" s="166"/>
      <c r="Z22" s="170">
        <f t="shared" si="0"/>
        <v>0</v>
      </c>
      <c r="AA22" s="371">
        <f>Z22-C22</f>
        <v>-0.41965661124751347</v>
      </c>
      <c r="BE22" s="167">
        <v>34</v>
      </c>
      <c r="BF22" s="653">
        <f>+BF21/BF12</f>
        <v>0.34033746958981687</v>
      </c>
      <c r="BG22" s="653">
        <f>+BG21/BE12</f>
        <v>1.0734692430055099</v>
      </c>
      <c r="BJ22" s="639"/>
      <c r="BK22" s="441"/>
      <c r="BL22" s="441"/>
      <c r="BM22" s="441"/>
      <c r="BN22" s="441"/>
      <c r="BO22" s="441"/>
    </row>
    <row r="23" spans="1:68" ht="15" customHeight="1" outlineLevel="1" x14ac:dyDescent="0.25">
      <c r="A23" s="573">
        <v>154250</v>
      </c>
      <c r="B23" s="594">
        <v>0</v>
      </c>
      <c r="C23" s="595">
        <v>141468</v>
      </c>
      <c r="D23" s="502" t="s">
        <v>45</v>
      </c>
      <c r="E23" s="596">
        <v>827499</v>
      </c>
      <c r="F23" s="594">
        <v>0</v>
      </c>
      <c r="G23" s="594">
        <v>655485</v>
      </c>
      <c r="H23" s="552"/>
      <c r="I23" s="552"/>
      <c r="J23" s="552"/>
      <c r="K23" s="552"/>
      <c r="L23" s="364" t="s">
        <v>358</v>
      </c>
      <c r="N23" s="166"/>
      <c r="O23" s="166"/>
      <c r="P23" s="166"/>
      <c r="Q23" s="166"/>
      <c r="R23" s="166"/>
      <c r="S23" s="166"/>
      <c r="T23" s="166"/>
      <c r="U23" s="166"/>
      <c r="V23" s="169"/>
      <c r="W23" s="169"/>
      <c r="X23" s="166"/>
      <c r="Y23" s="166"/>
      <c r="Z23" s="170">
        <f t="shared" si="0"/>
        <v>0</v>
      </c>
      <c r="AA23" s="371"/>
      <c r="BJ23" s="639"/>
      <c r="BK23" s="441"/>
      <c r="BL23" s="441"/>
      <c r="BM23" s="441"/>
      <c r="BN23" s="441"/>
      <c r="BO23" s="441"/>
    </row>
    <row r="24" spans="1:68" ht="15" customHeight="1" outlineLevel="1" x14ac:dyDescent="0.25">
      <c r="A24" s="573"/>
      <c r="B24" s="594"/>
      <c r="C24" s="595"/>
      <c r="D24" s="502" t="s">
        <v>46</v>
      </c>
      <c r="E24" s="596"/>
      <c r="F24" s="594"/>
      <c r="G24" s="594"/>
      <c r="H24" s="552"/>
      <c r="I24" s="552"/>
      <c r="J24" s="552"/>
      <c r="K24" s="552"/>
      <c r="N24" s="166"/>
      <c r="O24" s="166"/>
      <c r="P24" s="166"/>
      <c r="Q24" s="166"/>
      <c r="R24" s="166"/>
      <c r="S24" s="166"/>
      <c r="T24" s="166"/>
      <c r="U24" s="166"/>
      <c r="V24" s="169"/>
      <c r="W24" s="169"/>
      <c r="X24" s="166"/>
      <c r="Y24" s="166"/>
      <c r="Z24" s="170">
        <f t="shared" si="0"/>
        <v>0</v>
      </c>
      <c r="AA24" s="371"/>
      <c r="BJ24" s="639"/>
      <c r="BK24" s="441"/>
      <c r="BL24" s="441"/>
      <c r="BM24" s="441"/>
      <c r="BN24" s="441"/>
      <c r="BO24" s="441"/>
    </row>
    <row r="25" spans="1:68" ht="15" customHeight="1" outlineLevel="1" x14ac:dyDescent="0.25">
      <c r="A25" s="573">
        <v>26709</v>
      </c>
      <c r="B25" s="594">
        <v>0</v>
      </c>
      <c r="C25" s="595">
        <v>33878</v>
      </c>
      <c r="D25" s="502" t="s">
        <v>47</v>
      </c>
      <c r="E25" s="596">
        <v>169067</v>
      </c>
      <c r="F25" s="594">
        <v>0</v>
      </c>
      <c r="G25" s="594">
        <v>175768</v>
      </c>
      <c r="H25" s="552"/>
      <c r="I25" s="552"/>
      <c r="J25" s="552"/>
      <c r="K25" s="552"/>
      <c r="L25" s="364" t="s">
        <v>359</v>
      </c>
      <c r="N25" s="166"/>
      <c r="O25" s="166"/>
      <c r="P25" s="166"/>
      <c r="Q25" s="166"/>
      <c r="R25" s="166"/>
      <c r="S25" s="166"/>
      <c r="T25" s="166"/>
      <c r="U25" s="166"/>
      <c r="V25" s="169"/>
      <c r="W25" s="169"/>
      <c r="X25" s="166"/>
      <c r="Y25" s="166"/>
      <c r="Z25" s="170">
        <f t="shared" si="0"/>
        <v>0</v>
      </c>
      <c r="AA25" s="371"/>
      <c r="BJ25" s="639"/>
      <c r="BK25" s="441"/>
      <c r="BL25" s="441"/>
      <c r="BM25" s="441"/>
      <c r="BN25" s="441"/>
      <c r="BO25" s="441"/>
    </row>
    <row r="26" spans="1:68" ht="15" customHeight="1" outlineLevel="1" x14ac:dyDescent="0.25">
      <c r="A26" s="573">
        <v>57473</v>
      </c>
      <c r="B26" s="594">
        <v>0</v>
      </c>
      <c r="C26" s="595">
        <v>42680</v>
      </c>
      <c r="D26" s="502" t="s">
        <v>48</v>
      </c>
      <c r="E26" s="596">
        <v>213676</v>
      </c>
      <c r="F26" s="594">
        <v>0</v>
      </c>
      <c r="G26" s="594">
        <v>226085</v>
      </c>
      <c r="H26" s="552"/>
      <c r="I26" s="552"/>
      <c r="J26" s="552"/>
      <c r="K26" s="552"/>
      <c r="L26" s="364" t="s">
        <v>360</v>
      </c>
      <c r="N26" s="166"/>
      <c r="O26" s="166"/>
      <c r="P26" s="166"/>
      <c r="Q26" s="166"/>
      <c r="R26" s="166"/>
      <c r="S26" s="166"/>
      <c r="T26" s="166"/>
      <c r="U26" s="166"/>
      <c r="V26" s="169"/>
      <c r="W26" s="169"/>
      <c r="X26" s="166"/>
      <c r="Y26" s="166"/>
      <c r="Z26" s="170">
        <f t="shared" si="0"/>
        <v>0</v>
      </c>
      <c r="AA26" s="371"/>
      <c r="BJ26" s="639"/>
      <c r="BK26" s="441"/>
      <c r="BL26" s="441"/>
      <c r="BM26" s="441"/>
      <c r="BN26" s="441"/>
      <c r="BO26" s="441"/>
    </row>
    <row r="27" spans="1:68" x14ac:dyDescent="0.25">
      <c r="A27" s="590">
        <v>238432</v>
      </c>
      <c r="B27" s="597">
        <v>0</v>
      </c>
      <c r="C27" s="598">
        <v>218027</v>
      </c>
      <c r="D27" s="599" t="s">
        <v>49</v>
      </c>
      <c r="E27" s="600">
        <v>1210242</v>
      </c>
      <c r="F27" s="597">
        <v>0</v>
      </c>
      <c r="G27" s="597">
        <v>1057338</v>
      </c>
      <c r="H27" s="556"/>
      <c r="I27" s="556"/>
      <c r="J27" s="556"/>
      <c r="K27" s="556"/>
      <c r="N27" s="166">
        <f>'Mngt-Microbiology '!$S$10+'Mngt-Microbiology '!$S$11+'Mngt-Microbiology '!$S$12</f>
        <v>2833409.23</v>
      </c>
      <c r="O27" s="166">
        <f>'Mngt-Chemistry '!$S$10+'Mngt-Chemistry '!$S$11+'Mngt-Chemistry '!$S$12</f>
        <v>91530.260000000009</v>
      </c>
      <c r="P27" s="166">
        <f>SUM('Mngt-Lab Admin Total'!$S$10:$S$13)</f>
        <v>25527.629999999997</v>
      </c>
      <c r="Q27" s="166">
        <f>'Mngt-Customer Care Total '!$S$9+'Mngt-Customer Care Total '!$S$10+'Mngt-Customer Care Total '!$S$11</f>
        <v>0</v>
      </c>
      <c r="R27" s="166">
        <f>'Mngt-Quality '!$S$9+'Mngt-Quality '!$S$10+'Mngt-Quality '!$S$11</f>
        <v>0</v>
      </c>
      <c r="S27" s="166">
        <f>'Mngt-IT'!$S$10+'Mngt-IT'!$S$11+'Mngt-IT'!$S$12</f>
        <v>0</v>
      </c>
      <c r="T27" s="166">
        <f>'Mngt-Consulting '!$S$10+'Mngt-Consulting '!$S$11+'Mngt-Consulting '!$S$12</f>
        <v>0</v>
      </c>
      <c r="U27" s="166">
        <f>'Mngt-Senior Audit '!$S$10+'Mngt-Senior Audit '!$S$11+'Mngt-Senior Audit '!$S$12</f>
        <v>0</v>
      </c>
      <c r="W27" s="169"/>
      <c r="X27" s="166"/>
      <c r="Y27" s="166"/>
      <c r="Z27" s="170">
        <f t="shared" si="0"/>
        <v>2950467.12</v>
      </c>
      <c r="AA27" s="371">
        <f>Z27-E27</f>
        <v>1740225.12</v>
      </c>
      <c r="AB27" s="166">
        <f>'Mngt-Microbiology '!$AF$10+'Mngt-Microbiology '!$AF$11+'Mngt-Microbiology '!$AF$12</f>
        <v>0</v>
      </c>
      <c r="AC27" s="166">
        <f>'Mngt-Chemistry '!$AF$10+'Mngt-Chemistry '!$AF$11+'Mngt-Chemistry '!$AF$12</f>
        <v>0</v>
      </c>
      <c r="AD27" s="166">
        <f>SUM('Mngt-Lab Admin Total'!$AF$10:$AF$13)</f>
        <v>0</v>
      </c>
      <c r="AE27" s="166">
        <f>'Mngt-Customer Care Total '!$AF$9+'Mngt-Customer Care Total '!$AF$10+'Mngt-Customer Care Total '!$AF$11</f>
        <v>0</v>
      </c>
      <c r="AF27" s="166">
        <f>'Mngt-Quality '!$AF$9+'Mngt-Quality '!$AF$10+'Mngt-Quality '!$AF$11</f>
        <v>0</v>
      </c>
      <c r="AG27" s="166">
        <f>'Mngt-IT'!$AF$10+'Mngt-IT'!$AF$11+'Mngt-IT'!$AF$12</f>
        <v>0</v>
      </c>
      <c r="AH27" s="166">
        <f>'Mngt-Consulting '!$AF$10+'Mngt-Consulting '!$AF$11+'Mngt-Consulting '!$AF$12</f>
        <v>0</v>
      </c>
      <c r="AI27" s="166">
        <f>'Mngt-Senior Audit '!$AF$10+'Mngt-Senior Audit '!$AF$11+'Mngt-Senior Audit '!$AF$12</f>
        <v>0</v>
      </c>
      <c r="AN27" s="374">
        <f>SUM(AB27:AL27)</f>
        <v>0</v>
      </c>
      <c r="AO27" s="375">
        <f>AN27-F27</f>
        <v>0</v>
      </c>
      <c r="AP27" s="166">
        <f>'Mngt-Microbiology '!$AS$10+'Mngt-Microbiology '!$AS$11+'Mngt-Microbiology '!$AS$12</f>
        <v>2669639.59</v>
      </c>
      <c r="AQ27" s="166">
        <f>'Mngt-Chemistry '!$AS$10+'Mngt-Chemistry '!$AS$11+'Mngt-Chemistry '!$AS$12</f>
        <v>64737.759999999995</v>
      </c>
      <c r="AR27" s="166">
        <f>SUM('Mngt-Lab Admin Total'!$AS$10:$AS$13)</f>
        <v>22971.599999999999</v>
      </c>
      <c r="AS27" s="166">
        <f>'Mngt-Customer Care Total '!$AS$9+'Mngt-Customer Care Total '!$AS$10+'Mngt-Customer Care Total '!$AS$11</f>
        <v>0</v>
      </c>
      <c r="AT27" s="166">
        <f>'Mngt-Quality '!$AS$9+'Mngt-Quality '!$AS$10+'Mngt-Quality '!$AS$11</f>
        <v>0</v>
      </c>
      <c r="AU27" s="166">
        <f>'Mngt-IT'!$AS$10+'Mngt-IT'!$AS$11+'Mngt-IT'!$AS$12</f>
        <v>0</v>
      </c>
      <c r="AV27" s="166">
        <f>'Mngt-Consulting '!$AS$10+'Mngt-Consulting '!$AS$11+'Mngt-Consulting '!$AS$12</f>
        <v>0</v>
      </c>
      <c r="AW27" s="166">
        <f>'Mngt-Senior Audit '!$AS$10+'Mngt-Senior Audit '!$AS$11+'Mngt-Senior Audit '!$AS$12</f>
        <v>0</v>
      </c>
      <c r="BB27" s="374">
        <f>SUM(AP27:AZ27)</f>
        <v>2757348.9499999997</v>
      </c>
      <c r="BC27" s="375">
        <f>BB27-G27</f>
        <v>1700010.9499999997</v>
      </c>
      <c r="BD27" s="685">
        <f>+E27*$BD$7</f>
        <v>1252600.47</v>
      </c>
      <c r="BF27" s="553">
        <v>275073</v>
      </c>
      <c r="BG27" s="637"/>
      <c r="BJ27" s="639">
        <f>+BM27-BK27</f>
        <v>-100037.1</v>
      </c>
      <c r="BK27" s="682">
        <f>-G27*0.05</f>
        <v>-52866.9</v>
      </c>
      <c r="BL27" s="441">
        <f>+BJ27+BK27</f>
        <v>-152904</v>
      </c>
      <c r="BM27" s="441">
        <f>+G27-E27</f>
        <v>-152904</v>
      </c>
      <c r="BN27" s="441">
        <f>+BL27-BM27</f>
        <v>0</v>
      </c>
      <c r="BO27" s="441"/>
      <c r="BP27" s="363">
        <f>+BK27/G27</f>
        <v>-0.05</v>
      </c>
    </row>
    <row r="28" spans="1:68" x14ac:dyDescent="0.25">
      <c r="A28" s="629">
        <f>A27/A12</f>
        <v>0.12956479353654091</v>
      </c>
      <c r="B28" s="629" t="e">
        <f>B27/B12</f>
        <v>#DIV/0!</v>
      </c>
      <c r="C28" s="629">
        <f>C27/C12</f>
        <v>0.15679823141991264</v>
      </c>
      <c r="D28" s="503"/>
      <c r="E28" s="629">
        <f t="shared" ref="E28:G28" si="1">E27/E12</f>
        <v>0.15315655177117976</v>
      </c>
      <c r="F28" s="629" t="e">
        <f t="shared" si="1"/>
        <v>#DIV/0!</v>
      </c>
      <c r="G28" s="629">
        <f t="shared" si="1"/>
        <v>0.15134178066750878</v>
      </c>
      <c r="H28" s="556"/>
      <c r="I28" s="556"/>
      <c r="J28" s="556"/>
      <c r="K28" s="556"/>
      <c r="N28" s="166"/>
      <c r="O28" s="166"/>
      <c r="P28" s="166"/>
      <c r="Q28" s="166"/>
      <c r="R28" s="166"/>
      <c r="S28" s="166"/>
      <c r="T28" s="166"/>
      <c r="U28" s="166"/>
      <c r="W28" s="169"/>
      <c r="X28" s="166"/>
      <c r="Y28" s="166"/>
      <c r="Z28" s="170"/>
      <c r="AA28" s="371"/>
      <c r="AB28" s="166"/>
      <c r="AC28" s="166"/>
      <c r="AD28" s="166"/>
      <c r="AE28" s="166"/>
      <c r="AF28" s="166"/>
      <c r="AG28" s="166"/>
      <c r="AH28" s="166"/>
      <c r="AI28" s="166"/>
      <c r="AN28" s="374"/>
      <c r="AO28" s="375"/>
      <c r="AP28" s="166"/>
      <c r="AQ28" s="166"/>
      <c r="AR28" s="166"/>
      <c r="AS28" s="166"/>
      <c r="AT28" s="166"/>
      <c r="AU28" s="166"/>
      <c r="AV28" s="166"/>
      <c r="AW28" s="166"/>
      <c r="BB28" s="374"/>
      <c r="BC28" s="375"/>
      <c r="BE28" s="167">
        <v>14.9</v>
      </c>
      <c r="BG28" s="637"/>
      <c r="BH28" s="501"/>
      <c r="BJ28" s="639"/>
      <c r="BK28" s="441"/>
      <c r="BL28" s="441"/>
      <c r="BM28" s="441"/>
      <c r="BN28" s="441"/>
      <c r="BO28" s="441"/>
    </row>
    <row r="29" spans="1:68" collapsed="1" x14ac:dyDescent="0.25">
      <c r="A29" s="573">
        <v>382</v>
      </c>
      <c r="B29" s="594">
        <v>0</v>
      </c>
      <c r="C29" s="595">
        <v>1632</v>
      </c>
      <c r="D29" s="502" t="s">
        <v>50</v>
      </c>
      <c r="E29" s="596">
        <v>2472</v>
      </c>
      <c r="F29" s="594">
        <v>0</v>
      </c>
      <c r="G29" s="594">
        <v>3546</v>
      </c>
      <c r="H29" s="556"/>
      <c r="I29" s="556"/>
      <c r="J29" s="556"/>
      <c r="K29" s="556"/>
      <c r="L29" s="373">
        <v>4155</v>
      </c>
      <c r="N29" s="166">
        <f>'Mngt-Microbiology '!S13</f>
        <v>165795.79999999999</v>
      </c>
      <c r="O29" s="166">
        <f>'Mngt-Chemistry '!S13</f>
        <v>64.91</v>
      </c>
      <c r="Q29" s="166">
        <f>'Mngt-Customer Care Total '!S12</f>
        <v>0</v>
      </c>
      <c r="R29" s="166">
        <f>'Mngt-Quality '!S12</f>
        <v>0</v>
      </c>
      <c r="S29" s="166">
        <f>'Mngt-IT'!S13</f>
        <v>0</v>
      </c>
      <c r="T29" s="166">
        <f>'Mngt-Consulting '!S13</f>
        <v>0</v>
      </c>
      <c r="U29" s="167">
        <f>'Mngt-Senior Audit '!S13</f>
        <v>0</v>
      </c>
      <c r="V29" s="168"/>
      <c r="W29" s="169"/>
      <c r="X29" s="166"/>
      <c r="Y29" s="166"/>
      <c r="Z29" s="170">
        <f t="shared" si="0"/>
        <v>165860.71</v>
      </c>
      <c r="AA29" s="371">
        <f>Z29-E29</f>
        <v>163388.71</v>
      </c>
      <c r="AB29" s="166"/>
      <c r="AC29" s="166"/>
      <c r="AE29" s="166"/>
      <c r="AF29" s="166"/>
      <c r="AG29" s="166"/>
      <c r="AH29" s="166"/>
      <c r="AI29" s="167"/>
      <c r="AJ29" s="168"/>
      <c r="AK29" s="169"/>
      <c r="AL29" s="166"/>
      <c r="AM29" s="166"/>
      <c r="AN29" s="374"/>
      <c r="AO29" s="375"/>
      <c r="AP29" s="166"/>
      <c r="AQ29" s="166"/>
      <c r="AS29" s="166"/>
      <c r="AT29" s="166"/>
      <c r="AU29" s="166"/>
      <c r="AV29" s="166"/>
      <c r="AW29" s="167"/>
      <c r="AX29" s="168"/>
      <c r="BB29" s="374"/>
      <c r="BC29" s="375"/>
      <c r="BD29" s="685">
        <f>+E29*$BD$7</f>
        <v>2558.52</v>
      </c>
      <c r="BG29" s="637"/>
      <c r="BJ29" s="639">
        <v>-176</v>
      </c>
      <c r="BK29" s="441">
        <v>0</v>
      </c>
      <c r="BL29" s="441">
        <f>+BJ29+BK29</f>
        <v>-176</v>
      </c>
      <c r="BM29" s="441">
        <f>+G29-E29</f>
        <v>1074</v>
      </c>
      <c r="BN29" s="441">
        <f>+BL29-BM29</f>
        <v>-1250</v>
      </c>
      <c r="BO29" s="441"/>
    </row>
    <row r="30" spans="1:68" ht="15" customHeight="1" outlineLevel="1" x14ac:dyDescent="0.25">
      <c r="A30" s="573">
        <v>202943</v>
      </c>
      <c r="B30" s="594">
        <v>0</v>
      </c>
      <c r="C30" s="595">
        <v>138077</v>
      </c>
      <c r="D30" s="502" t="s">
        <v>51</v>
      </c>
      <c r="E30" s="596">
        <v>906820</v>
      </c>
      <c r="F30" s="594">
        <v>0</v>
      </c>
      <c r="G30" s="594">
        <v>681251</v>
      </c>
      <c r="H30" s="552"/>
      <c r="I30" s="552"/>
      <c r="J30" s="552"/>
      <c r="K30" s="552"/>
      <c r="L30" s="364" t="s">
        <v>361</v>
      </c>
      <c r="N30" s="166"/>
      <c r="O30" s="166"/>
      <c r="P30" s="166"/>
      <c r="Q30" s="166"/>
      <c r="R30" s="166"/>
      <c r="S30" s="166"/>
      <c r="T30" s="166"/>
      <c r="U30" s="166"/>
      <c r="V30" s="169"/>
      <c r="W30" s="169"/>
      <c r="X30" s="166"/>
      <c r="Y30" s="166"/>
      <c r="Z30" s="170"/>
      <c r="AA30" s="371"/>
      <c r="BH30" s="501"/>
      <c r="BJ30" s="639"/>
      <c r="BK30" s="441"/>
      <c r="BL30" s="441"/>
      <c r="BM30" s="441"/>
      <c r="BN30" s="441"/>
      <c r="BO30" s="441"/>
    </row>
    <row r="31" spans="1:68" ht="15" customHeight="1" outlineLevel="1" x14ac:dyDescent="0.25">
      <c r="A31" s="573">
        <v>34620</v>
      </c>
      <c r="B31" s="594"/>
      <c r="C31" s="595">
        <v>17480</v>
      </c>
      <c r="D31" s="502" t="s">
        <v>52</v>
      </c>
      <c r="E31" s="596">
        <v>110704</v>
      </c>
      <c r="F31" s="594"/>
      <c r="G31" s="594">
        <v>82395</v>
      </c>
      <c r="H31" s="552"/>
      <c r="I31" s="552"/>
      <c r="J31" s="552"/>
      <c r="K31" s="552"/>
      <c r="L31" s="364">
        <v>4166</v>
      </c>
      <c r="N31" s="166"/>
      <c r="O31" s="166"/>
      <c r="P31" s="166"/>
      <c r="Q31" s="166"/>
      <c r="R31" s="166"/>
      <c r="S31" s="166"/>
      <c r="T31" s="166"/>
      <c r="U31" s="166"/>
      <c r="V31" s="169"/>
      <c r="W31" s="169"/>
      <c r="X31" s="166"/>
      <c r="Y31" s="166"/>
      <c r="Z31" s="170"/>
      <c r="AA31" s="371"/>
      <c r="BJ31" s="639"/>
      <c r="BK31" s="441"/>
      <c r="BL31" s="441"/>
      <c r="BM31" s="441"/>
      <c r="BN31" s="441"/>
      <c r="BO31" s="441"/>
    </row>
    <row r="32" spans="1:68" x14ac:dyDescent="0.25">
      <c r="A32" s="590">
        <v>237563</v>
      </c>
      <c r="B32" s="597">
        <v>0</v>
      </c>
      <c r="C32" s="598">
        <v>155557</v>
      </c>
      <c r="D32" s="599" t="s">
        <v>53</v>
      </c>
      <c r="E32" s="600">
        <v>1017524</v>
      </c>
      <c r="F32" s="597">
        <v>0</v>
      </c>
      <c r="G32" s="597">
        <v>763645</v>
      </c>
      <c r="H32" s="556"/>
      <c r="I32" s="556"/>
      <c r="J32" s="556"/>
      <c r="K32" s="556"/>
      <c r="L32" s="373" t="s">
        <v>480</v>
      </c>
      <c r="N32" s="166">
        <f>+'Mngt-Microbiology '!$S$14</f>
        <v>2406.9299999999998</v>
      </c>
      <c r="O32" s="166">
        <f>'Mngt-Chemistry '!$S$14</f>
        <v>278308.99</v>
      </c>
      <c r="Q32" s="166">
        <f>'Mngt-Customer Care Total '!$S$12+'Mngt-Customer Care Total '!$S$13</f>
        <v>0</v>
      </c>
      <c r="R32" s="166">
        <f>'Mngt-Quality '!$S$12+'Mngt-Quality '!$S$14</f>
        <v>0</v>
      </c>
      <c r="S32" s="166">
        <f>'Mngt-IT'!$S$13+'Mngt-IT'!$S$14</f>
        <v>0</v>
      </c>
      <c r="T32" s="166">
        <f>'Mngt-Consulting '!$S$14</f>
        <v>0</v>
      </c>
      <c r="U32" s="167">
        <f>'Mngt-Senior Audit '!$S$14</f>
        <v>595872.96</v>
      </c>
      <c r="V32" s="168">
        <f>'Mngt-Digital Solution'!$S$14</f>
        <v>45465.98</v>
      </c>
      <c r="W32" s="169"/>
      <c r="X32" s="166"/>
      <c r="Y32" s="166"/>
      <c r="Z32" s="170">
        <f t="shared" si="0"/>
        <v>922054.85999999987</v>
      </c>
      <c r="AA32" s="371">
        <f>Z32-E32</f>
        <v>-95469.14000000013</v>
      </c>
      <c r="AB32" s="166">
        <f>+'Mngt-Microbiology '!$AF$14</f>
        <v>0</v>
      </c>
      <c r="AC32" s="166">
        <f>'Mngt-Chemistry '!$AF$14</f>
        <v>0</v>
      </c>
      <c r="AE32" s="166">
        <f>'Mngt-Customer Care Total '!$AF$12+'Mngt-Customer Care Total '!$AF$13</f>
        <v>0</v>
      </c>
      <c r="AF32" s="166">
        <f>'Mngt-Quality '!$AF$12+'Mngt-Quality '!$AF$14</f>
        <v>0</v>
      </c>
      <c r="AG32" s="166">
        <f>'Mngt-IT'!$AF$13+'Mngt-IT'!$AF$14</f>
        <v>0</v>
      </c>
      <c r="AH32" s="166">
        <f>'Mngt-Consulting '!$AF$14</f>
        <v>0</v>
      </c>
      <c r="AI32" s="167">
        <f>'Mngt-Senior Audit '!$AF$14</f>
        <v>0</v>
      </c>
      <c r="AJ32" s="168">
        <f>'Mngt-Digital Solution'!$AF$14</f>
        <v>0</v>
      </c>
      <c r="AK32" s="169"/>
      <c r="AL32" s="166"/>
      <c r="AM32" s="166"/>
      <c r="AN32" s="374">
        <f>SUM(AB32:AL32)</f>
        <v>0</v>
      </c>
      <c r="AO32" s="375">
        <f>AN32-F32</f>
        <v>0</v>
      </c>
      <c r="AP32" s="166">
        <f>+'Mngt-Microbiology '!$AS$14</f>
        <v>3442.35</v>
      </c>
      <c r="AQ32" s="166">
        <f>'Mngt-Chemistry '!$AS$14</f>
        <v>279667.26</v>
      </c>
      <c r="AS32" s="166">
        <f>'Mngt-Customer Care Total '!$AS$12+'Mngt-Customer Care Total '!$AS$13</f>
        <v>0</v>
      </c>
      <c r="AT32" s="166">
        <f>'Mngt-Quality '!$AS$12+'Mngt-Quality '!$AS$14</f>
        <v>0</v>
      </c>
      <c r="AU32" s="166">
        <f>'Mngt-IT'!$AS$13+'Mngt-IT'!$AS$14</f>
        <v>0</v>
      </c>
      <c r="AV32" s="166">
        <f>'Mngt-Consulting '!$AS$14</f>
        <v>0</v>
      </c>
      <c r="AW32" s="167">
        <f>'Mngt-Senior Audit '!$AS$14</f>
        <v>361642.66</v>
      </c>
      <c r="AX32" s="168">
        <f>'Mngt-Digital Solution'!$AS$14</f>
        <v>48816.72</v>
      </c>
      <c r="BB32" s="374">
        <f>SUM(AP32:AZ32)</f>
        <v>693568.99</v>
      </c>
      <c r="BC32" s="375">
        <f>BB32-G32</f>
        <v>-70076.010000000009</v>
      </c>
      <c r="BD32" s="685">
        <f>+E32*$BD$7</f>
        <v>1053137.3399999999</v>
      </c>
      <c r="BF32" s="553">
        <v>217029.16666666666</v>
      </c>
      <c r="BG32" s="637"/>
      <c r="BJ32" s="682">
        <f>+BM32-BK32</f>
        <v>-62967.75</v>
      </c>
      <c r="BK32" s="682">
        <f>+G32*-0.25</f>
        <v>-190911.25</v>
      </c>
      <c r="BL32" s="441">
        <f>+BJ32+BK32</f>
        <v>-253879</v>
      </c>
      <c r="BM32" s="441">
        <f>+G32-E32</f>
        <v>-253879</v>
      </c>
      <c r="BN32" s="441">
        <f>+BL32-BM32</f>
        <v>0</v>
      </c>
      <c r="BO32" s="441"/>
      <c r="BP32" s="363">
        <f>+BK32/G32</f>
        <v>-0.25</v>
      </c>
    </row>
    <row r="33" spans="1:68" x14ac:dyDescent="0.25">
      <c r="A33" s="643">
        <f>+A32/A12</f>
        <v>0.12909257585777609</v>
      </c>
      <c r="B33" s="644"/>
      <c r="C33" s="643">
        <f>+C32/C12</f>
        <v>0.11187175205358671</v>
      </c>
      <c r="D33" s="645"/>
      <c r="E33" s="643">
        <f>+E32/E12</f>
        <v>0.1287680209283911</v>
      </c>
      <c r="F33" s="644"/>
      <c r="G33" s="643">
        <f>+G32/G12</f>
        <v>0.10930411476542008</v>
      </c>
      <c r="H33" s="556"/>
      <c r="I33" s="556"/>
      <c r="J33" s="556"/>
      <c r="K33" s="556"/>
      <c r="L33" s="373"/>
      <c r="N33" s="166"/>
      <c r="O33" s="166"/>
      <c r="Q33" s="166"/>
      <c r="R33" s="166"/>
      <c r="S33" s="166"/>
      <c r="T33" s="166"/>
      <c r="U33" s="167"/>
      <c r="V33" s="168"/>
      <c r="W33" s="169"/>
      <c r="X33" s="166"/>
      <c r="Y33" s="166"/>
      <c r="Z33" s="170"/>
      <c r="AA33" s="371"/>
      <c r="AB33" s="166"/>
      <c r="AC33" s="166"/>
      <c r="AE33" s="166"/>
      <c r="AF33" s="166"/>
      <c r="AG33" s="166"/>
      <c r="AH33" s="166"/>
      <c r="AI33" s="167"/>
      <c r="AJ33" s="168"/>
      <c r="AK33" s="169"/>
      <c r="AL33" s="166"/>
      <c r="AM33" s="166"/>
      <c r="AN33" s="374"/>
      <c r="AO33" s="375"/>
      <c r="AP33" s="166"/>
      <c r="AQ33" s="166"/>
      <c r="AS33" s="166"/>
      <c r="AT33" s="166"/>
      <c r="AU33" s="166"/>
      <c r="AV33" s="166"/>
      <c r="AW33" s="167"/>
      <c r="AX33" s="168"/>
      <c r="BB33" s="374"/>
      <c r="BC33" s="375"/>
      <c r="BE33" s="167">
        <v>11.7</v>
      </c>
      <c r="BG33" s="637"/>
      <c r="BJ33" s="639"/>
      <c r="BK33" s="441"/>
      <c r="BL33" s="441"/>
      <c r="BM33" s="441"/>
      <c r="BN33" s="441"/>
      <c r="BO33" s="441"/>
    </row>
    <row r="34" spans="1:68" x14ac:dyDescent="0.25">
      <c r="A34" s="573">
        <v>76147</v>
      </c>
      <c r="B34" s="594">
        <v>0</v>
      </c>
      <c r="C34" s="595">
        <v>100537</v>
      </c>
      <c r="D34" s="502" t="s">
        <v>54</v>
      </c>
      <c r="E34" s="596">
        <v>343179</v>
      </c>
      <c r="F34" s="594">
        <v>0</v>
      </c>
      <c r="G34" s="594">
        <v>373115</v>
      </c>
      <c r="H34" s="556"/>
      <c r="I34" s="556"/>
      <c r="J34" s="556"/>
      <c r="K34" s="556"/>
      <c r="L34" s="364" t="s">
        <v>362</v>
      </c>
      <c r="N34" s="166">
        <f>'Mngt-Microbiology '!$S$15</f>
        <v>97876.07</v>
      </c>
      <c r="O34" s="166">
        <f>'Mngt-Chemistry '!$S$15</f>
        <v>30048.240000000002</v>
      </c>
      <c r="P34" s="498">
        <f>'Mngt-Lab Admin Total'!$S$15+'Mngt-Lab Admin Total'!$S$16</f>
        <v>6550.18</v>
      </c>
      <c r="Q34" s="166">
        <f>'Mngt-Customer Care Total '!$S$13</f>
        <v>0</v>
      </c>
      <c r="R34" s="166">
        <f>'Mngt-Quality '!$S$15</f>
        <v>0</v>
      </c>
      <c r="S34" s="166">
        <f>'Mngt-IT'!$S$15</f>
        <v>0</v>
      </c>
      <c r="T34" s="498">
        <f>'Mngt-Consulting '!$S$15</f>
        <v>0</v>
      </c>
      <c r="U34" s="166">
        <f>'Mngt-Senior Audit '!$S$15</f>
        <v>0</v>
      </c>
      <c r="V34" s="169">
        <f>'Mngt-Digital Solution'!$S$15</f>
        <v>0</v>
      </c>
      <c r="W34" s="169"/>
      <c r="X34" s="166"/>
      <c r="Y34" s="166"/>
      <c r="Z34" s="170">
        <f t="shared" si="0"/>
        <v>134474.49000000002</v>
      </c>
      <c r="AA34" s="371">
        <f>Z34-E34</f>
        <v>-208704.50999999998</v>
      </c>
      <c r="AB34" s="166">
        <f>'Mngt-Microbiology '!$AF$15</f>
        <v>0</v>
      </c>
      <c r="AC34" s="166">
        <f>'Mngt-Chemistry '!$AF$15</f>
        <v>0</v>
      </c>
      <c r="AD34" s="166">
        <f>'Mngt-Lab Admin Total'!$AF$15+'Mngt-Lab Admin Total'!$AF$16</f>
        <v>0</v>
      </c>
      <c r="AE34" s="166">
        <f>'Mngt-Customer Care Total '!$AF$13</f>
        <v>0</v>
      </c>
      <c r="AF34" s="166">
        <f>'Mngt-Quality '!$AF$15</f>
        <v>0</v>
      </c>
      <c r="AG34" s="166">
        <f>'Mngt-IT'!$AF$15</f>
        <v>0</v>
      </c>
      <c r="AH34" s="166">
        <f>'Mngt-Consulting '!$AF$15</f>
        <v>0</v>
      </c>
      <c r="AI34" s="166">
        <f>'Mngt-Senior Audit '!$AF$15</f>
        <v>0</v>
      </c>
      <c r="AJ34" s="169">
        <f>'Mngt-Digital Solution'!$SF$15</f>
        <v>0</v>
      </c>
      <c r="AK34" s="169"/>
      <c r="AL34" s="166"/>
      <c r="AM34" s="166"/>
      <c r="AN34" s="374">
        <f>SUM(AB34:AL34)</f>
        <v>0</v>
      </c>
      <c r="AO34" s="375">
        <f>AN34-F34</f>
        <v>0</v>
      </c>
      <c r="AP34" s="166">
        <f>'Mngt-Microbiology '!$AS$15</f>
        <v>73518.679999999993</v>
      </c>
      <c r="AQ34" s="166">
        <f>'Mngt-Chemistry '!$AS$15</f>
        <v>41894.239999999998</v>
      </c>
      <c r="AR34" s="166">
        <f>'Mngt-Lab Admin Total'!$AS$15+'Mngt-Lab Admin Total'!$AS$16</f>
        <v>22197.09</v>
      </c>
      <c r="AS34" s="166">
        <f>'Mngt-Customer Care Total '!$AS$13</f>
        <v>0</v>
      </c>
      <c r="AT34" s="166">
        <f>'Mngt-Quality '!$AS$15</f>
        <v>0</v>
      </c>
      <c r="AU34" s="166">
        <f>'Mngt-IT'!$AS$15</f>
        <v>0</v>
      </c>
      <c r="AV34" s="166">
        <f>'Mngt-Consulting '!$AS$15</f>
        <v>0</v>
      </c>
      <c r="AW34" s="166">
        <f>'Mngt-Senior Audit '!$AS$15</f>
        <v>0</v>
      </c>
      <c r="AX34" s="169">
        <f>'Mngt-Digital Solution'!$SF$15</f>
        <v>0</v>
      </c>
      <c r="BB34" s="374">
        <f>SUM(AP34:AZ34)</f>
        <v>137610.00999999998</v>
      </c>
      <c r="BC34" s="375">
        <f>BB34-G34</f>
        <v>-235504.99000000002</v>
      </c>
      <c r="BD34" s="688">
        <f>+E34*$BD$8</f>
        <v>362053.84499999997</v>
      </c>
      <c r="BG34" s="639"/>
      <c r="BJ34" s="639">
        <f>+BM34-BK34</f>
        <v>48591.75</v>
      </c>
      <c r="BK34" s="682">
        <f>+G34*-0.05</f>
        <v>-18655.75</v>
      </c>
      <c r="BL34" s="441">
        <f>+BJ34+BK34</f>
        <v>29936</v>
      </c>
      <c r="BM34" s="441">
        <f>+G34-E34</f>
        <v>29936</v>
      </c>
      <c r="BN34" s="441">
        <f>+BL34-BM34</f>
        <v>0</v>
      </c>
      <c r="BO34" s="441"/>
    </row>
    <row r="35" spans="1:68" x14ac:dyDescent="0.25">
      <c r="A35" s="643">
        <f>+A34/A12</f>
        <v>4.137854957986755E-2</v>
      </c>
      <c r="B35" s="644"/>
      <c r="C35" s="643">
        <f>+C34/C12</f>
        <v>7.2303080775609249E-2</v>
      </c>
      <c r="D35" s="645"/>
      <c r="E35" s="643">
        <f>+E34/E12</f>
        <v>4.3429423437859285E-2</v>
      </c>
      <c r="F35" s="644"/>
      <c r="G35" s="643">
        <f>+G34/G12</f>
        <v>5.3405711791080557E-2</v>
      </c>
      <c r="H35" s="556"/>
      <c r="I35" s="556"/>
      <c r="J35" s="556"/>
      <c r="K35" s="556"/>
      <c r="L35" s="373"/>
      <c r="N35" s="166"/>
      <c r="O35" s="166"/>
      <c r="Q35" s="166"/>
      <c r="R35" s="166"/>
      <c r="S35" s="166"/>
      <c r="T35" s="166"/>
      <c r="U35" s="167"/>
      <c r="V35" s="168"/>
      <c r="W35" s="169"/>
      <c r="X35" s="166"/>
      <c r="Y35" s="166"/>
      <c r="Z35" s="170"/>
      <c r="AA35" s="371"/>
      <c r="AB35" s="166"/>
      <c r="AC35" s="166"/>
      <c r="AE35" s="166"/>
      <c r="AF35" s="166"/>
      <c r="AG35" s="166"/>
      <c r="AH35" s="166"/>
      <c r="AI35" s="167"/>
      <c r="AJ35" s="168"/>
      <c r="AK35" s="169"/>
      <c r="AL35" s="166"/>
      <c r="AM35" s="166"/>
      <c r="AN35" s="374"/>
      <c r="AO35" s="375"/>
      <c r="AP35" s="166"/>
      <c r="AQ35" s="166"/>
      <c r="AS35" s="166"/>
      <c r="AT35" s="166"/>
      <c r="AU35" s="166"/>
      <c r="AV35" s="166"/>
      <c r="AW35" s="167"/>
      <c r="AX35" s="168"/>
      <c r="BB35" s="374"/>
      <c r="BC35" s="375"/>
      <c r="BE35" s="167">
        <v>5.5</v>
      </c>
      <c r="BG35" s="637"/>
      <c r="BJ35" s="639"/>
      <c r="BK35" s="441"/>
      <c r="BL35" s="441"/>
      <c r="BM35" s="441"/>
      <c r="BN35" s="441"/>
      <c r="BO35" s="441"/>
    </row>
    <row r="36" spans="1:68" x14ac:dyDescent="0.25">
      <c r="A36" s="807">
        <v>315</v>
      </c>
      <c r="B36" s="808">
        <v>0</v>
      </c>
      <c r="C36" s="809">
        <v>2577</v>
      </c>
      <c r="D36" s="810" t="s">
        <v>398</v>
      </c>
      <c r="E36" s="811">
        <v>15404</v>
      </c>
      <c r="F36" s="808">
        <v>0</v>
      </c>
      <c r="G36" s="808">
        <v>9763</v>
      </c>
      <c r="H36" s="556"/>
      <c r="I36" s="556"/>
      <c r="J36" s="556"/>
      <c r="K36" s="556"/>
      <c r="L36" s="364">
        <v>4181</v>
      </c>
      <c r="N36" s="166">
        <f>'Mngt-Microbiology '!$S$16</f>
        <v>306580.56</v>
      </c>
      <c r="O36" s="166">
        <f>'Mngt-Chemistry '!$S$16</f>
        <v>887.92</v>
      </c>
      <c r="P36" s="166">
        <f>'Mngt-Lab Admin Total'!$S$16</f>
        <v>0</v>
      </c>
      <c r="Q36" s="166">
        <f>'Mngt-Customer Care Total '!$S$14</f>
        <v>0</v>
      </c>
      <c r="R36" s="166">
        <f>'Mngt-Quality '!$S$16</f>
        <v>0</v>
      </c>
      <c r="S36" s="166">
        <f>'Mngt-IT'!$S$16</f>
        <v>0</v>
      </c>
      <c r="T36" s="166">
        <f>'Mngt-Consulting '!$S$16</f>
        <v>0</v>
      </c>
      <c r="U36" s="166">
        <f>'Mngt-Senior Audit '!$S$16</f>
        <v>0</v>
      </c>
      <c r="V36" s="169">
        <f>'Mngt-Digital Solution'!$S$16</f>
        <v>0</v>
      </c>
      <c r="W36" s="169"/>
      <c r="X36" s="166"/>
      <c r="Y36" s="166"/>
      <c r="Z36" s="170">
        <f t="shared" si="0"/>
        <v>307468.48</v>
      </c>
      <c r="AA36" s="371">
        <f>Z36-E36</f>
        <v>292064.48</v>
      </c>
      <c r="AB36" s="166">
        <f>'Mngt-Microbiology '!$AF$16</f>
        <v>0</v>
      </c>
      <c r="AC36" s="166">
        <f>'Mngt-Chemistry '!$AF$16</f>
        <v>0</v>
      </c>
      <c r="AD36" s="166">
        <f>'Mngt-Lab Admin Total'!$AF$16</f>
        <v>0</v>
      </c>
      <c r="AE36" s="166">
        <f>'Mngt-Customer Care Total '!$AF$14</f>
        <v>0</v>
      </c>
      <c r="AF36" s="166">
        <f>'Mngt-Quality '!$AF$16</f>
        <v>0</v>
      </c>
      <c r="AG36" s="166">
        <f>'Mngt-IT'!$SF$16</f>
        <v>0</v>
      </c>
      <c r="AH36" s="166">
        <f>'Mngt-Consulting '!$AF$16</f>
        <v>0</v>
      </c>
      <c r="AI36" s="166">
        <f>'Mngt-Senior Audit '!$AF$16</f>
        <v>0</v>
      </c>
      <c r="AJ36" s="169">
        <f>'Mngt-Digital Solution'!$SF$16</f>
        <v>0</v>
      </c>
      <c r="AK36" s="169"/>
      <c r="AL36" s="166"/>
      <c r="AM36" s="166"/>
      <c r="AN36" s="374">
        <f>SUM(AB36:AL36)</f>
        <v>0</v>
      </c>
      <c r="AO36" s="375">
        <f>AN36-F36</f>
        <v>0</v>
      </c>
      <c r="AP36" s="166">
        <f>'Mngt-Microbiology '!$AS$16</f>
        <v>309023.90000000002</v>
      </c>
      <c r="AQ36" s="166">
        <f>'Mngt-Chemistry '!$AS$16</f>
        <v>981.25</v>
      </c>
      <c r="AR36" s="166">
        <f>'Mngt-Lab Admin Total'!$AS$16</f>
        <v>0</v>
      </c>
      <c r="AS36" s="166">
        <f>'Mngt-Customer Care Total '!$AS$14</f>
        <v>0</v>
      </c>
      <c r="AT36" s="166">
        <f>'Mngt-Quality '!$AS$16</f>
        <v>0</v>
      </c>
      <c r="AU36" s="166">
        <f>'Mngt-IT'!$SF$16</f>
        <v>0</v>
      </c>
      <c r="AV36" s="166">
        <f>'Mngt-Consulting '!$AS$16</f>
        <v>0</v>
      </c>
      <c r="AW36" s="166">
        <f>'Mngt-Senior Audit '!$AS$16</f>
        <v>0</v>
      </c>
      <c r="AX36" s="169">
        <f>'Mngt-Digital Solution'!$SF$16</f>
        <v>0</v>
      </c>
      <c r="BB36" s="374">
        <f>SUM(AP36:AZ36)</f>
        <v>310005.15000000002</v>
      </c>
      <c r="BC36" s="375">
        <f>BB36-G36</f>
        <v>300242.15000000002</v>
      </c>
      <c r="BD36" s="681">
        <f>+E36</f>
        <v>15404</v>
      </c>
      <c r="BF36" s="553">
        <v>1883.8333333333333</v>
      </c>
      <c r="BG36" s="637"/>
      <c r="BJ36" s="639"/>
      <c r="BK36" s="441">
        <f>+BM36</f>
        <v>-5641</v>
      </c>
      <c r="BL36" s="441">
        <f>+BJ36+BK36</f>
        <v>-5641</v>
      </c>
      <c r="BM36" s="441">
        <f>+G36-E36</f>
        <v>-5641</v>
      </c>
      <c r="BN36" s="441">
        <f>+BL36-BM36</f>
        <v>0</v>
      </c>
      <c r="BO36" s="441"/>
    </row>
    <row r="37" spans="1:68" x14ac:dyDescent="0.25">
      <c r="A37" s="812">
        <v>1125867</v>
      </c>
      <c r="B37" s="812">
        <v>0</v>
      </c>
      <c r="C37" s="813">
        <v>1061859</v>
      </c>
      <c r="D37" s="814" t="s">
        <v>55</v>
      </c>
      <c r="E37" s="815">
        <v>5038562</v>
      </c>
      <c r="F37" s="812">
        <v>0</v>
      </c>
      <c r="G37" s="812">
        <v>4670254</v>
      </c>
      <c r="H37" s="556"/>
      <c r="I37" s="556"/>
      <c r="J37" s="556"/>
      <c r="K37" s="556"/>
      <c r="N37" s="166"/>
      <c r="O37" s="166"/>
      <c r="P37" s="166"/>
      <c r="Q37" s="166"/>
      <c r="R37" s="166"/>
      <c r="S37" s="166"/>
      <c r="T37" s="166"/>
      <c r="U37" s="166"/>
      <c r="V37" s="169"/>
      <c r="W37" s="169"/>
      <c r="X37" s="166"/>
      <c r="Y37" s="166"/>
      <c r="Z37" s="170"/>
      <c r="AA37" s="371"/>
      <c r="BG37" s="637">
        <f>+E37-A37</f>
        <v>3912695</v>
      </c>
      <c r="BH37" s="638">
        <f>+A37-BG37</f>
        <v>-2786828</v>
      </c>
      <c r="BJ37" s="639"/>
      <c r="BK37" s="441"/>
      <c r="BL37" s="441"/>
      <c r="BM37" s="441"/>
      <c r="BN37" s="441"/>
      <c r="BO37" s="441"/>
      <c r="BP37" s="501">
        <f>+E37-G37</f>
        <v>368308</v>
      </c>
    </row>
    <row r="38" spans="1:68" x14ac:dyDescent="0.25">
      <c r="A38" s="585">
        <f>+A37/A12</f>
        <v>0.61180011661440026</v>
      </c>
      <c r="B38" s="585" t="e">
        <f>+B37/B12</f>
        <v>#DIV/0!</v>
      </c>
      <c r="C38" s="585">
        <f>+C37/C12</f>
        <v>0.76365593810545029</v>
      </c>
      <c r="D38" s="586"/>
      <c r="E38" s="585">
        <f>+E37/E12</f>
        <v>0.63763179744654297</v>
      </c>
      <c r="F38" s="585" t="e">
        <f>+F37/F12</f>
        <v>#DIV/0!</v>
      </c>
      <c r="G38" s="585">
        <f>+G37/G12</f>
        <v>0.66847550785988541</v>
      </c>
      <c r="H38" s="556"/>
      <c r="I38" s="556"/>
      <c r="J38" s="556"/>
      <c r="K38" s="556"/>
      <c r="N38" s="166"/>
      <c r="O38" s="166"/>
      <c r="P38" s="166"/>
      <c r="Q38" s="166"/>
      <c r="R38" s="166"/>
      <c r="S38" s="166"/>
      <c r="T38" s="166"/>
      <c r="U38" s="166"/>
      <c r="V38" s="169"/>
      <c r="W38" s="169"/>
      <c r="X38" s="166"/>
      <c r="Y38" s="166"/>
      <c r="Z38" s="170"/>
      <c r="AA38" s="371"/>
      <c r="BE38" s="167">
        <v>66.3</v>
      </c>
      <c r="BG38" s="637"/>
      <c r="BJ38" s="639"/>
      <c r="BK38" s="441"/>
      <c r="BL38" s="441"/>
      <c r="BM38" s="441"/>
      <c r="BN38" s="441"/>
      <c r="BO38" s="441"/>
    </row>
    <row r="39" spans="1:68" x14ac:dyDescent="0.25">
      <c r="A39" s="816">
        <v>714387</v>
      </c>
      <c r="B39" s="816">
        <v>0</v>
      </c>
      <c r="C39" s="817">
        <v>328634</v>
      </c>
      <c r="D39" s="818" t="s">
        <v>56</v>
      </c>
      <c r="E39" s="819">
        <v>2863431</v>
      </c>
      <c r="F39" s="816">
        <v>0</v>
      </c>
      <c r="G39" s="816">
        <v>2316171</v>
      </c>
      <c r="H39" s="556"/>
      <c r="I39" s="556"/>
      <c r="J39" s="556"/>
      <c r="K39" s="556"/>
      <c r="N39" s="166"/>
      <c r="O39" s="166"/>
      <c r="P39" s="166"/>
      <c r="Q39" s="166"/>
      <c r="R39" s="166"/>
      <c r="S39" s="166"/>
      <c r="T39" s="166"/>
      <c r="U39" s="166"/>
      <c r="V39" s="169"/>
      <c r="W39" s="169"/>
      <c r="X39" s="166"/>
      <c r="Y39" s="166"/>
      <c r="Z39" s="170"/>
      <c r="AA39" s="371"/>
      <c r="BG39" s="637">
        <f>+E39-A39</f>
        <v>2149044</v>
      </c>
      <c r="BH39" s="638">
        <f>+E39-A39</f>
        <v>2149044</v>
      </c>
      <c r="BJ39" s="639"/>
      <c r="BK39" s="441"/>
      <c r="BL39" s="441"/>
      <c r="BM39" s="441"/>
      <c r="BN39" s="441"/>
      <c r="BO39" s="441"/>
      <c r="BP39" s="501">
        <f>+E39-G39</f>
        <v>547260</v>
      </c>
    </row>
    <row r="40" spans="1:68" ht="15" customHeight="1" outlineLevel="1" x14ac:dyDescent="0.25">
      <c r="A40" s="591">
        <v>123082</v>
      </c>
      <c r="B40" s="601">
        <v>0</v>
      </c>
      <c r="C40" s="602">
        <v>109601</v>
      </c>
      <c r="D40" s="603" t="s">
        <v>399</v>
      </c>
      <c r="E40" s="604">
        <v>418902</v>
      </c>
      <c r="F40" s="601">
        <v>0</v>
      </c>
      <c r="G40" s="601">
        <v>485931</v>
      </c>
      <c r="H40" s="552"/>
      <c r="I40" s="552"/>
      <c r="J40" s="552"/>
      <c r="K40" s="552"/>
      <c r="L40" s="364">
        <v>4010</v>
      </c>
      <c r="N40" s="166"/>
      <c r="O40" s="166"/>
      <c r="P40" s="166"/>
      <c r="Q40" s="166"/>
      <c r="R40" s="166"/>
      <c r="S40" s="166"/>
      <c r="T40" s="166"/>
      <c r="U40" s="166"/>
      <c r="V40" s="169"/>
      <c r="W40" s="169"/>
      <c r="X40" s="166"/>
      <c r="Y40" s="166"/>
      <c r="Z40" s="170">
        <f t="shared" ref="Z40:Z47" si="2">SUM(N40:X40)</f>
        <v>0</v>
      </c>
      <c r="AA40" s="371"/>
      <c r="BG40" s="640">
        <f>+E40-A40</f>
        <v>295820</v>
      </c>
      <c r="BJ40" s="639"/>
      <c r="BK40" s="441"/>
      <c r="BL40" s="441"/>
      <c r="BM40" s="441"/>
      <c r="BN40" s="441"/>
      <c r="BO40" s="441"/>
    </row>
    <row r="41" spans="1:68" ht="15" customHeight="1" outlineLevel="1" x14ac:dyDescent="0.25">
      <c r="A41" s="573">
        <v>5946</v>
      </c>
      <c r="B41" s="594">
        <v>0</v>
      </c>
      <c r="C41" s="595">
        <v>7259</v>
      </c>
      <c r="D41" s="502" t="s">
        <v>57</v>
      </c>
      <c r="E41" s="596">
        <v>25017</v>
      </c>
      <c r="F41" s="594">
        <v>0</v>
      </c>
      <c r="G41" s="594">
        <v>28590</v>
      </c>
      <c r="H41" s="552"/>
      <c r="I41" s="552"/>
      <c r="J41" s="552"/>
      <c r="K41" s="552"/>
      <c r="L41" s="364">
        <v>4020</v>
      </c>
      <c r="N41" s="166"/>
      <c r="O41" s="166"/>
      <c r="P41" s="166"/>
      <c r="Q41" s="166"/>
      <c r="R41" s="166"/>
      <c r="S41" s="166"/>
      <c r="T41" s="166"/>
      <c r="U41" s="166"/>
      <c r="V41" s="169"/>
      <c r="W41" s="169"/>
      <c r="X41" s="166"/>
      <c r="Y41" s="166"/>
      <c r="Z41" s="170">
        <f t="shared" si="2"/>
        <v>0</v>
      </c>
      <c r="AA41" s="371"/>
      <c r="BJ41" s="639"/>
      <c r="BK41" s="441"/>
      <c r="BL41" s="441"/>
      <c r="BM41" s="441"/>
      <c r="BN41" s="441"/>
      <c r="BO41" s="441"/>
    </row>
    <row r="42" spans="1:68" ht="15" customHeight="1" outlineLevel="1" x14ac:dyDescent="0.25">
      <c r="A42" s="573">
        <v>-1500</v>
      </c>
      <c r="B42" s="594">
        <v>0</v>
      </c>
      <c r="C42" s="595">
        <v>-1500</v>
      </c>
      <c r="D42" s="502" t="s">
        <v>58</v>
      </c>
      <c r="E42" s="596">
        <v>-6000</v>
      </c>
      <c r="F42" s="594">
        <v>0</v>
      </c>
      <c r="G42" s="594">
        <v>-6000</v>
      </c>
      <c r="H42" s="552"/>
      <c r="I42" s="552"/>
      <c r="J42" s="552"/>
      <c r="K42" s="552"/>
      <c r="N42" s="166"/>
      <c r="O42" s="166"/>
      <c r="P42" s="166"/>
      <c r="Q42" s="166"/>
      <c r="R42" s="166"/>
      <c r="S42" s="166"/>
      <c r="T42" s="166"/>
      <c r="U42" s="166"/>
      <c r="V42" s="169"/>
      <c r="W42" s="169"/>
      <c r="X42" s="166"/>
      <c r="Y42" s="166"/>
      <c r="Z42" s="170">
        <f t="shared" si="2"/>
        <v>0</v>
      </c>
      <c r="AA42" s="371">
        <f>Z42-C42</f>
        <v>1500</v>
      </c>
      <c r="BJ42" s="639"/>
      <c r="BK42" s="441"/>
      <c r="BL42" s="441"/>
      <c r="BM42" s="441"/>
      <c r="BN42" s="441"/>
      <c r="BO42" s="441"/>
    </row>
    <row r="43" spans="1:68" ht="15" customHeight="1" outlineLevel="1" x14ac:dyDescent="0.25">
      <c r="A43" s="573">
        <v>0</v>
      </c>
      <c r="B43" s="594">
        <v>0</v>
      </c>
      <c r="C43" s="595">
        <v>0</v>
      </c>
      <c r="D43" s="502" t="s">
        <v>232</v>
      </c>
      <c r="E43" s="596">
        <v>0</v>
      </c>
      <c r="F43" s="594">
        <v>0</v>
      </c>
      <c r="G43" s="594">
        <v>0</v>
      </c>
      <c r="H43" s="552"/>
      <c r="I43" s="552"/>
      <c r="J43" s="552"/>
      <c r="K43" s="552"/>
      <c r="L43" s="363"/>
      <c r="N43" s="166"/>
      <c r="O43" s="167"/>
      <c r="P43" s="167"/>
      <c r="Q43" s="167"/>
      <c r="R43" s="167"/>
      <c r="S43" s="167"/>
      <c r="T43" s="167"/>
      <c r="U43" s="167"/>
      <c r="V43" s="169"/>
      <c r="W43" s="169"/>
      <c r="X43" s="166"/>
      <c r="Y43" s="166"/>
      <c r="Z43" s="170">
        <f t="shared" si="2"/>
        <v>0</v>
      </c>
      <c r="AA43" s="371"/>
      <c r="BJ43" s="639"/>
      <c r="BK43" s="441"/>
      <c r="BL43" s="441"/>
      <c r="BM43" s="441"/>
      <c r="BN43" s="441"/>
      <c r="BO43" s="441"/>
    </row>
    <row r="44" spans="1:68" ht="15" customHeight="1" outlineLevel="1" x14ac:dyDescent="0.25">
      <c r="A44" s="573">
        <v>28332</v>
      </c>
      <c r="B44" s="594">
        <v>0</v>
      </c>
      <c r="C44" s="595">
        <v>39518</v>
      </c>
      <c r="D44" s="502" t="s">
        <v>59</v>
      </c>
      <c r="E44" s="596">
        <v>38540</v>
      </c>
      <c r="F44" s="594">
        <v>0</v>
      </c>
      <c r="G44" s="594">
        <v>88520</v>
      </c>
      <c r="H44" s="552"/>
      <c r="I44" s="552"/>
      <c r="J44" s="552"/>
      <c r="K44" s="552"/>
      <c r="L44" s="364">
        <v>4040</v>
      </c>
      <c r="N44" s="166"/>
      <c r="O44" s="167"/>
      <c r="P44" s="167"/>
      <c r="Q44" s="167"/>
      <c r="R44" s="167"/>
      <c r="S44" s="167"/>
      <c r="T44" s="167"/>
      <c r="U44" s="167"/>
      <c r="V44" s="169"/>
      <c r="W44" s="169"/>
      <c r="X44" s="166"/>
      <c r="Y44" s="166"/>
      <c r="Z44" s="170">
        <f t="shared" si="2"/>
        <v>0</v>
      </c>
      <c r="AA44" s="371"/>
      <c r="BJ44" s="639"/>
      <c r="BK44" s="441"/>
      <c r="BL44" s="441"/>
      <c r="BM44" s="441"/>
      <c r="BN44" s="441"/>
      <c r="BO44" s="441"/>
    </row>
    <row r="45" spans="1:68" ht="15" customHeight="1" outlineLevel="1" x14ac:dyDescent="0.25">
      <c r="A45" s="573">
        <v>5240</v>
      </c>
      <c r="B45" s="594">
        <v>0</v>
      </c>
      <c r="C45" s="595">
        <v>4272</v>
      </c>
      <c r="D45" s="502" t="s">
        <v>60</v>
      </c>
      <c r="E45" s="596">
        <v>20960</v>
      </c>
      <c r="F45" s="594">
        <v>0</v>
      </c>
      <c r="G45" s="594">
        <v>13368</v>
      </c>
      <c r="H45" s="552"/>
      <c r="I45" s="552"/>
      <c r="J45" s="552"/>
      <c r="K45" s="552"/>
      <c r="L45" s="364">
        <v>4050</v>
      </c>
      <c r="N45" s="166"/>
      <c r="O45" s="167"/>
      <c r="P45" s="167"/>
      <c r="Q45" s="167"/>
      <c r="R45" s="167"/>
      <c r="S45" s="167"/>
      <c r="T45" s="167"/>
      <c r="U45" s="167"/>
      <c r="V45" s="169"/>
      <c r="W45" s="169"/>
      <c r="X45" s="166"/>
      <c r="Y45" s="166"/>
      <c r="Z45" s="170">
        <f t="shared" si="2"/>
        <v>0</v>
      </c>
      <c r="AA45" s="371"/>
      <c r="BJ45" s="639"/>
      <c r="BK45" s="441"/>
      <c r="BL45" s="441"/>
      <c r="BM45" s="441"/>
      <c r="BN45" s="441"/>
      <c r="BO45" s="441"/>
    </row>
    <row r="46" spans="1:68" ht="15" customHeight="1" outlineLevel="1" x14ac:dyDescent="0.25">
      <c r="A46" s="573">
        <v>1597</v>
      </c>
      <c r="B46" s="594">
        <v>0</v>
      </c>
      <c r="C46" s="595">
        <v>1212</v>
      </c>
      <c r="D46" s="502" t="s">
        <v>61</v>
      </c>
      <c r="E46" s="596">
        <v>6684</v>
      </c>
      <c r="F46" s="594">
        <v>0</v>
      </c>
      <c r="G46" s="594">
        <v>3234</v>
      </c>
      <c r="H46" s="552"/>
      <c r="I46" s="552"/>
      <c r="J46" s="552"/>
      <c r="K46" s="552"/>
      <c r="L46" s="364">
        <v>4060</v>
      </c>
      <c r="N46" s="166"/>
      <c r="O46" s="167"/>
      <c r="P46" s="167"/>
      <c r="Q46" s="167"/>
      <c r="R46" s="167"/>
      <c r="S46" s="167"/>
      <c r="T46" s="167"/>
      <c r="U46" s="167"/>
      <c r="V46" s="169"/>
      <c r="W46" s="169"/>
      <c r="X46" s="166"/>
      <c r="Y46" s="166"/>
      <c r="Z46" s="170">
        <f t="shared" si="2"/>
        <v>0</v>
      </c>
      <c r="AA46" s="371"/>
      <c r="BJ46" s="639"/>
      <c r="BK46" s="441"/>
      <c r="BL46" s="441"/>
      <c r="BM46" s="441"/>
      <c r="BN46" s="441"/>
      <c r="BO46" s="441"/>
    </row>
    <row r="47" spans="1:68" ht="15" customHeight="1" outlineLevel="1" x14ac:dyDescent="0.25">
      <c r="A47" s="573">
        <v>13072</v>
      </c>
      <c r="B47" s="594">
        <v>0</v>
      </c>
      <c r="C47" s="595">
        <v>14472</v>
      </c>
      <c r="D47" s="502" t="s">
        <v>62</v>
      </c>
      <c r="E47" s="596">
        <v>49093</v>
      </c>
      <c r="F47" s="594">
        <v>0</v>
      </c>
      <c r="G47" s="594">
        <v>54478</v>
      </c>
      <c r="H47" s="552"/>
      <c r="I47" s="552"/>
      <c r="J47" s="552"/>
      <c r="K47" s="552"/>
      <c r="L47" s="364">
        <v>4080</v>
      </c>
      <c r="N47" s="166"/>
      <c r="O47" s="167"/>
      <c r="P47" s="167"/>
      <c r="Q47" s="167"/>
      <c r="R47" s="167"/>
      <c r="S47" s="167"/>
      <c r="T47" s="167"/>
      <c r="U47" s="167"/>
      <c r="V47" s="169"/>
      <c r="W47" s="169"/>
      <c r="X47" s="166"/>
      <c r="Y47" s="166"/>
      <c r="Z47" s="170">
        <f t="shared" si="2"/>
        <v>0</v>
      </c>
      <c r="AA47" s="371"/>
      <c r="BJ47" s="639"/>
      <c r="BK47" s="441"/>
      <c r="BL47" s="441"/>
      <c r="BM47" s="441"/>
      <c r="BN47" s="441"/>
      <c r="BO47" s="441"/>
    </row>
    <row r="48" spans="1:68" ht="15" customHeight="1" outlineLevel="1" x14ac:dyDescent="0.25">
      <c r="A48" s="499">
        <f>+A39/A12</f>
        <v>0.38820042678914257</v>
      </c>
      <c r="B48" s="499" t="e">
        <f>+B39/B12</f>
        <v>#DIV/0!</v>
      </c>
      <c r="C48" s="499">
        <f>+C39/C12</f>
        <v>0.23634334272567878</v>
      </c>
      <c r="D48" s="650"/>
      <c r="E48" s="499">
        <f>+E39/E12</f>
        <v>0.36236820255345709</v>
      </c>
      <c r="F48" s="499" t="e">
        <f>+F39/F12</f>
        <v>#DIV/0!</v>
      </c>
      <c r="G48" s="499">
        <f>+G39/G12</f>
        <v>0.33152449214011459</v>
      </c>
      <c r="H48" s="552"/>
      <c r="I48" s="552"/>
      <c r="J48" s="552"/>
      <c r="K48" s="552"/>
      <c r="N48" s="166"/>
      <c r="O48" s="167"/>
      <c r="P48" s="167"/>
      <c r="Q48" s="167"/>
      <c r="R48" s="167"/>
      <c r="S48" s="167"/>
      <c r="T48" s="167"/>
      <c r="U48" s="167"/>
      <c r="V48" s="169"/>
      <c r="W48" s="169"/>
      <c r="X48" s="166"/>
      <c r="Y48" s="166"/>
      <c r="Z48" s="170"/>
      <c r="AA48" s="371"/>
      <c r="BJ48" s="639"/>
      <c r="BK48" s="441"/>
      <c r="BL48" s="441"/>
      <c r="BM48" s="441"/>
      <c r="BN48" s="441"/>
      <c r="BO48" s="441"/>
    </row>
    <row r="49" spans="1:67" x14ac:dyDescent="0.25">
      <c r="A49" s="616">
        <v>175769</v>
      </c>
      <c r="B49" s="616">
        <v>0</v>
      </c>
      <c r="C49" s="617">
        <v>174833</v>
      </c>
      <c r="D49" s="618" t="s">
        <v>63</v>
      </c>
      <c r="E49" s="619">
        <v>553197</v>
      </c>
      <c r="F49" s="616">
        <v>0</v>
      </c>
      <c r="G49" s="616">
        <v>668121</v>
      </c>
      <c r="H49" s="556"/>
      <c r="I49" s="556"/>
      <c r="J49" s="556"/>
      <c r="K49" s="556"/>
      <c r="N49" s="166"/>
      <c r="O49" s="167"/>
      <c r="P49" s="167">
        <f>'Mngt-Lab Admin Total'!S9</f>
        <v>304482.19</v>
      </c>
      <c r="Q49" s="167">
        <f>'Mngt-Customer Care Total '!S8</f>
        <v>155748.04</v>
      </c>
      <c r="R49" s="167">
        <f>'Mngt-Quality '!S8</f>
        <v>57876.63</v>
      </c>
      <c r="S49" s="167">
        <f>'Mngt-IT'!S9</f>
        <v>35090.32</v>
      </c>
      <c r="T49" s="376"/>
      <c r="U49" s="376"/>
      <c r="V49" s="169">
        <f>'Mngt-Digital Solution'!S9</f>
        <v>0</v>
      </c>
      <c r="W49" s="169"/>
      <c r="X49" s="166"/>
      <c r="Y49" s="166"/>
      <c r="Z49" s="170">
        <f>SUM(N49:X49)</f>
        <v>553197.17999999993</v>
      </c>
      <c r="AA49" s="371">
        <f>Z49-E49</f>
        <v>0.17999999993480742</v>
      </c>
      <c r="AB49" s="167"/>
      <c r="AC49" s="167"/>
      <c r="AD49" s="167">
        <f>'Mngt-Lab Admin Total'!AF9</f>
        <v>0</v>
      </c>
      <c r="AE49" s="167">
        <f>'Mngt-Customer Care Total '!AF8</f>
        <v>0</v>
      </c>
      <c r="AF49" s="167">
        <f>'Mngt-Quality '!AF8</f>
        <v>0</v>
      </c>
      <c r="AG49" s="167">
        <f>'Mngt-IT'!AF9</f>
        <v>0</v>
      </c>
      <c r="AH49" s="376"/>
      <c r="AI49" s="376"/>
      <c r="AJ49" s="169">
        <f>'Mngt-Digital Solution'!AF9</f>
        <v>0</v>
      </c>
      <c r="AN49" s="374">
        <f>SUM(AB49:AL49)</f>
        <v>0</v>
      </c>
      <c r="AO49" s="375">
        <f>AN49-F49</f>
        <v>0</v>
      </c>
      <c r="AP49" s="166"/>
      <c r="AQ49" s="166"/>
      <c r="AR49" s="166">
        <f>'Mngt-Lab Admin Total'!AS9</f>
        <v>308570.07</v>
      </c>
      <c r="AS49" s="166">
        <f>'Mngt-Customer Care Total '!AS8</f>
        <v>187511.63</v>
      </c>
      <c r="AT49" s="166">
        <f>'Mngt-Quality '!AS8</f>
        <v>86803.08</v>
      </c>
      <c r="AU49" s="166">
        <f>'Mngt-IT'!AS9</f>
        <v>85236.24</v>
      </c>
      <c r="AX49" s="169">
        <f>'Mngt-Digital Solution'!AS9</f>
        <v>0</v>
      </c>
      <c r="BB49" s="374">
        <f>SUM(AP49:AZ49)</f>
        <v>668121.02</v>
      </c>
      <c r="BC49" s="375">
        <f>BB49-G49</f>
        <v>2.0000000018626451E-2</v>
      </c>
      <c r="BD49" s="685">
        <f>+E49*$BD$7</f>
        <v>572558.8949999999</v>
      </c>
      <c r="BF49" s="553">
        <v>182720.91666666666</v>
      </c>
      <c r="BG49" s="637">
        <f>+E49-A49</f>
        <v>377428</v>
      </c>
      <c r="BH49" s="651">
        <f>+BG49-A49</f>
        <v>201659</v>
      </c>
      <c r="BJ49" s="682">
        <f>+G49*-0.05</f>
        <v>-33406.050000000003</v>
      </c>
      <c r="BK49" s="441">
        <f>+BM49-BJ49</f>
        <v>148330.04999999999</v>
      </c>
      <c r="BL49" s="441">
        <f>+BJ49+BK49</f>
        <v>114923.99999999999</v>
      </c>
      <c r="BM49" s="441">
        <f>+G49-E49</f>
        <v>114924</v>
      </c>
      <c r="BN49" s="441">
        <f>+BL49-BM49</f>
        <v>0</v>
      </c>
      <c r="BO49" s="441"/>
    </row>
    <row r="50" spans="1:67" ht="15" customHeight="1" outlineLevel="1" x14ac:dyDescent="0.25">
      <c r="A50" s="573">
        <v>45720</v>
      </c>
      <c r="B50" s="594">
        <v>0</v>
      </c>
      <c r="C50" s="595">
        <v>56304</v>
      </c>
      <c r="D50" s="502" t="s">
        <v>64</v>
      </c>
      <c r="E50" s="596">
        <v>186399</v>
      </c>
      <c r="F50" s="594">
        <v>0</v>
      </c>
      <c r="G50" s="594">
        <v>223478</v>
      </c>
      <c r="H50" s="552"/>
      <c r="I50" s="552"/>
      <c r="J50" s="552"/>
      <c r="K50" s="552"/>
      <c r="L50" s="364">
        <v>4405</v>
      </c>
      <c r="N50" s="166"/>
      <c r="O50" s="167"/>
      <c r="P50" s="167"/>
      <c r="Q50" s="167"/>
      <c r="R50" s="167"/>
      <c r="S50" s="167"/>
      <c r="T50" s="167"/>
      <c r="U50" s="167"/>
      <c r="V50" s="169"/>
      <c r="W50" s="169"/>
      <c r="X50" s="166"/>
      <c r="Y50" s="166"/>
      <c r="Z50" s="170"/>
      <c r="AA50" s="371"/>
      <c r="AB50" s="167"/>
      <c r="AC50" s="167"/>
      <c r="AD50" s="167"/>
      <c r="AE50" s="167"/>
      <c r="AF50" s="167"/>
      <c r="AG50" s="167"/>
      <c r="AH50" s="167"/>
      <c r="AI50" s="167"/>
      <c r="AJ50" s="169"/>
      <c r="AP50" s="166"/>
      <c r="AQ50" s="166"/>
      <c r="AR50" s="166"/>
      <c r="AS50" s="166"/>
      <c r="AT50" s="166"/>
      <c r="AU50" s="166"/>
      <c r="AV50" s="166"/>
      <c r="AW50" s="166"/>
      <c r="AX50" s="169"/>
      <c r="BJ50" s="639"/>
      <c r="BK50" s="441"/>
      <c r="BL50" s="441"/>
      <c r="BM50" s="441"/>
      <c r="BN50" s="441"/>
      <c r="BO50" s="441"/>
    </row>
    <row r="51" spans="1:67" ht="15" customHeight="1" outlineLevel="1" x14ac:dyDescent="0.25">
      <c r="A51" s="573">
        <v>48736</v>
      </c>
      <c r="B51" s="594">
        <v>0</v>
      </c>
      <c r="C51" s="595">
        <v>45707</v>
      </c>
      <c r="D51" s="502" t="s">
        <v>247</v>
      </c>
      <c r="E51" s="596">
        <v>197175</v>
      </c>
      <c r="F51" s="594">
        <v>0</v>
      </c>
      <c r="G51" s="594">
        <v>192918</v>
      </c>
      <c r="H51" s="552"/>
      <c r="I51" s="552"/>
      <c r="J51" s="552"/>
      <c r="K51" s="552"/>
      <c r="L51" s="363">
        <v>4450</v>
      </c>
      <c r="N51" s="166"/>
      <c r="O51" s="167"/>
      <c r="P51" s="167"/>
      <c r="Q51" s="167"/>
      <c r="R51" s="167"/>
      <c r="S51" s="167"/>
      <c r="T51" s="167"/>
      <c r="U51" s="167"/>
      <c r="V51" s="169"/>
      <c r="W51" s="169"/>
      <c r="X51" s="166"/>
      <c r="Y51" s="166"/>
      <c r="Z51" s="170"/>
      <c r="AA51" s="371"/>
      <c r="AB51" s="167"/>
      <c r="AC51" s="167"/>
      <c r="AD51" s="167"/>
      <c r="AE51" s="167"/>
      <c r="AF51" s="167"/>
      <c r="AG51" s="167"/>
      <c r="AH51" s="167"/>
      <c r="AI51" s="167"/>
      <c r="AJ51" s="169"/>
      <c r="AP51" s="166"/>
      <c r="AQ51" s="166"/>
      <c r="AR51" s="166"/>
      <c r="AS51" s="166"/>
      <c r="AT51" s="166"/>
      <c r="AU51" s="166"/>
      <c r="AV51" s="166"/>
      <c r="AW51" s="166"/>
      <c r="AX51" s="169"/>
      <c r="BJ51" s="639"/>
      <c r="BK51" s="441"/>
      <c r="BL51" s="441"/>
      <c r="BM51" s="441"/>
      <c r="BN51" s="441"/>
      <c r="BO51" s="441"/>
    </row>
    <row r="52" spans="1:67" ht="15" customHeight="1" outlineLevel="1" x14ac:dyDescent="0.25">
      <c r="A52" s="573">
        <v>0</v>
      </c>
      <c r="B52" s="594"/>
      <c r="C52" s="595">
        <v>483</v>
      </c>
      <c r="D52" s="502" t="s">
        <v>65</v>
      </c>
      <c r="E52" s="596">
        <v>0</v>
      </c>
      <c r="F52" s="594"/>
      <c r="G52" s="594">
        <v>1934</v>
      </c>
      <c r="H52" s="552"/>
      <c r="I52" s="552"/>
      <c r="J52" s="552"/>
      <c r="K52" s="552"/>
      <c r="L52" s="364">
        <v>4405</v>
      </c>
      <c r="N52" s="166"/>
      <c r="O52" s="167"/>
      <c r="P52" s="167"/>
      <c r="Q52" s="167"/>
      <c r="R52" s="167"/>
      <c r="S52" s="167"/>
      <c r="T52" s="167"/>
      <c r="U52" s="167"/>
      <c r="V52" s="169"/>
      <c r="W52" s="169"/>
      <c r="X52" s="166"/>
      <c r="Y52" s="166"/>
      <c r="Z52" s="170"/>
      <c r="AA52" s="371"/>
      <c r="AB52" s="167"/>
      <c r="AC52" s="167"/>
      <c r="AD52" s="167"/>
      <c r="AE52" s="167"/>
      <c r="AF52" s="167"/>
      <c r="AG52" s="167"/>
      <c r="AH52" s="167"/>
      <c r="AI52" s="167"/>
      <c r="AJ52" s="169"/>
      <c r="AP52" s="166"/>
      <c r="AQ52" s="166"/>
      <c r="AR52" s="166"/>
      <c r="AS52" s="166"/>
      <c r="AT52" s="166"/>
      <c r="AU52" s="166"/>
      <c r="AV52" s="166"/>
      <c r="AW52" s="166"/>
      <c r="AX52" s="169"/>
      <c r="BJ52" s="639"/>
      <c r="BK52" s="441"/>
      <c r="BL52" s="441"/>
      <c r="BM52" s="441"/>
      <c r="BN52" s="441"/>
      <c r="BO52" s="441"/>
    </row>
    <row r="53" spans="1:67" x14ac:dyDescent="0.25">
      <c r="A53" s="590">
        <v>94455</v>
      </c>
      <c r="B53" s="597">
        <v>0</v>
      </c>
      <c r="C53" s="598">
        <v>102495</v>
      </c>
      <c r="D53" s="599" t="s">
        <v>66</v>
      </c>
      <c r="E53" s="600">
        <v>383574</v>
      </c>
      <c r="F53" s="597">
        <v>0</v>
      </c>
      <c r="G53" s="597">
        <v>418330</v>
      </c>
      <c r="H53" s="556"/>
      <c r="I53" s="556"/>
      <c r="J53" s="556"/>
      <c r="K53" s="556"/>
      <c r="N53" s="167">
        <f>'Mngt-Microbiology '!S17+'Mngt-Microbiology '!S18</f>
        <v>127932.17</v>
      </c>
      <c r="O53" s="167">
        <f>'Mngt-Chemistry '!S18+'Mngt-Chemistry '!S17</f>
        <v>86681.52</v>
      </c>
      <c r="P53" s="167">
        <f>'Mngt-Lab Admin Total'!S18+'Mngt-Lab Admin Total'!S17</f>
        <v>19689.37</v>
      </c>
      <c r="Q53" s="167">
        <f>'Mngt-Customer Care Total '!S16+'Mngt-Customer Care Total '!S17</f>
        <v>10424.67</v>
      </c>
      <c r="R53" s="167">
        <f>'Mngt-Quality '!S17</f>
        <v>3413.22</v>
      </c>
      <c r="S53" s="167">
        <f>'Mngt-IT'!S17+'Mngt-IT'!S18</f>
        <v>12718.4</v>
      </c>
      <c r="T53" s="167">
        <f>'Mngt-Consulting '!S17+'Mngt-Consulting '!S18</f>
        <v>0</v>
      </c>
      <c r="U53" s="167">
        <f>'Mngt-Senior Audit '!S17+'Mngt-Senior Audit '!S19</f>
        <v>0</v>
      </c>
      <c r="V53" s="168">
        <f>'Mngt-Digital Solution'!S17</f>
        <v>0</v>
      </c>
      <c r="W53" s="168"/>
      <c r="X53" s="167"/>
      <c r="Y53" s="167"/>
      <c r="Z53" s="170">
        <f>SUM(N53:Y53)</f>
        <v>260859.35</v>
      </c>
      <c r="AA53" s="371">
        <f>Z53-E53</f>
        <v>-122714.65</v>
      </c>
      <c r="AB53" s="167">
        <f>'Mngt-Microbiology '!AF17+'Mngt-Microbiology '!AF18</f>
        <v>0</v>
      </c>
      <c r="AC53" s="167">
        <f>'Mngt-Chemistry '!AF18+'Mngt-Chemistry '!AF17</f>
        <v>0</v>
      </c>
      <c r="AD53" s="167">
        <f>'Mngt-Lab Admin Total'!AF18+'Mngt-Lab Admin Total'!AF17</f>
        <v>0</v>
      </c>
      <c r="AE53" s="167">
        <f>'Mngt-Customer Care Total '!AF16+'Mngt-Customer Care Total '!AF17</f>
        <v>0</v>
      </c>
      <c r="AF53" s="167">
        <f>'Mngt-Quality '!AF17</f>
        <v>0</v>
      </c>
      <c r="AG53" s="167">
        <f>'Mngt-IT'!AF17+'Mngt-IT'!AF18</f>
        <v>0</v>
      </c>
      <c r="AH53" s="167">
        <f>'Mngt-Consulting '!AF17+'Mngt-Consulting '!AF18</f>
        <v>0</v>
      </c>
      <c r="AI53" s="167">
        <f>'Mngt-Senior Audit '!AF17+'Mngt-Senior Audit '!AF19</f>
        <v>0</v>
      </c>
      <c r="AJ53" s="168">
        <f>'Mngt-Digital Solution'!AF17</f>
        <v>0</v>
      </c>
      <c r="AN53" s="374">
        <f>SUM(AB53:AL53)</f>
        <v>0</v>
      </c>
      <c r="AO53" s="375">
        <f>AN53-F53</f>
        <v>0</v>
      </c>
      <c r="AP53" s="167">
        <f>'Mngt-Microbiology '!AS17+'Mngt-Microbiology '!AS18</f>
        <v>138623.45000000001</v>
      </c>
      <c r="AQ53" s="167">
        <f>'Mngt-Chemistry '!AS18+'Mngt-Chemistry '!AS17</f>
        <v>108176.39</v>
      </c>
      <c r="AR53" s="167">
        <f>'Mngt-Lab Admin Total'!AS18+'Mngt-Lab Admin Total'!AS17</f>
        <v>20745.830000000002</v>
      </c>
      <c r="AS53" s="167">
        <f>'Mngt-Customer Care Total '!AS16+'Mngt-Customer Care Total '!AS17</f>
        <v>10914.83</v>
      </c>
      <c r="AT53" s="167">
        <f>'Mngt-Quality '!AS17</f>
        <v>1848.84</v>
      </c>
      <c r="AU53" s="167">
        <f>'Mngt-IT'!AS17+'Mngt-IT'!AS18</f>
        <v>13500.779999999999</v>
      </c>
      <c r="AV53" s="167">
        <f>'Mngt-Consulting '!AS17+'Mngt-Consulting '!AS18</f>
        <v>0</v>
      </c>
      <c r="AW53" s="167">
        <f>'Mngt-Senior Audit '!AS17+'Mngt-Senior Audit '!AS19</f>
        <v>172.23</v>
      </c>
      <c r="AX53" s="168">
        <f>'Mngt-Digital Solution'!AS17</f>
        <v>0</v>
      </c>
      <c r="BB53" s="374">
        <f>SUM(AP53:AZ53)</f>
        <v>293982.35000000009</v>
      </c>
      <c r="BC53" s="375">
        <f>BB53-G53</f>
        <v>-124347.64999999991</v>
      </c>
      <c r="BD53" s="681">
        <f>+E53</f>
        <v>383574</v>
      </c>
      <c r="BF53" s="553">
        <v>100249.33333333333</v>
      </c>
      <c r="BG53" s="637">
        <f>+E53-A53</f>
        <v>289119</v>
      </c>
      <c r="BH53" s="638">
        <f>+BG53-A53</f>
        <v>194664</v>
      </c>
      <c r="BJ53" s="639"/>
      <c r="BK53" s="441"/>
      <c r="BL53" s="441"/>
      <c r="BM53" s="441"/>
      <c r="BN53" s="441"/>
      <c r="BO53" s="441"/>
    </row>
    <row r="54" spans="1:67" x14ac:dyDescent="0.25">
      <c r="A54" s="590">
        <v>6187</v>
      </c>
      <c r="B54" s="597">
        <v>0</v>
      </c>
      <c r="C54" s="598">
        <v>4220</v>
      </c>
      <c r="D54" s="599" t="s">
        <v>67</v>
      </c>
      <c r="E54" s="600">
        <v>24332</v>
      </c>
      <c r="F54" s="597">
        <v>0</v>
      </c>
      <c r="G54" s="597">
        <v>20314</v>
      </c>
      <c r="H54" s="556"/>
      <c r="I54" s="556"/>
      <c r="J54" s="556"/>
      <c r="K54" s="556"/>
      <c r="N54" s="167"/>
      <c r="O54" s="167"/>
      <c r="P54" s="167"/>
      <c r="Q54" s="167"/>
      <c r="R54" s="167"/>
      <c r="S54" s="167"/>
      <c r="T54" s="167"/>
      <c r="U54" s="167"/>
      <c r="V54" s="168"/>
      <c r="W54" s="168"/>
      <c r="X54" s="167"/>
      <c r="Y54" s="167"/>
      <c r="Z54" s="170"/>
      <c r="AA54" s="371"/>
      <c r="AB54" s="167"/>
      <c r="AC54" s="167"/>
      <c r="AD54" s="167"/>
      <c r="AE54" s="167"/>
      <c r="AF54" s="167"/>
      <c r="AG54" s="167"/>
      <c r="AH54" s="167"/>
      <c r="AI54" s="167"/>
      <c r="AJ54" s="168"/>
      <c r="AN54" s="374"/>
      <c r="AO54" s="375"/>
      <c r="AP54" s="167"/>
      <c r="AQ54" s="167"/>
      <c r="AR54" s="167"/>
      <c r="AS54" s="167"/>
      <c r="AT54" s="167"/>
      <c r="AU54" s="167"/>
      <c r="AV54" s="167"/>
      <c r="AW54" s="167"/>
      <c r="AX54" s="168"/>
      <c r="BB54" s="374"/>
      <c r="BC54" s="375"/>
      <c r="BG54" s="637"/>
      <c r="BH54" s="638"/>
      <c r="BJ54" s="639"/>
      <c r="BK54" s="441"/>
      <c r="BL54" s="441"/>
      <c r="BM54" s="441"/>
      <c r="BN54" s="441"/>
      <c r="BO54" s="441"/>
    </row>
    <row r="55" spans="1:67" ht="15" customHeight="1" outlineLevel="1" x14ac:dyDescent="0.25">
      <c r="A55" s="573">
        <v>2339</v>
      </c>
      <c r="B55" s="594">
        <v>0</v>
      </c>
      <c r="C55" s="595">
        <v>5286</v>
      </c>
      <c r="D55" s="502" t="s">
        <v>68</v>
      </c>
      <c r="E55" s="596">
        <v>9691</v>
      </c>
      <c r="F55" s="594">
        <v>0</v>
      </c>
      <c r="G55" s="594">
        <v>22773</v>
      </c>
      <c r="H55" s="552"/>
      <c r="I55" s="552"/>
      <c r="J55" s="552"/>
      <c r="K55" s="552"/>
      <c r="L55" s="364">
        <v>4505</v>
      </c>
      <c r="N55" s="166"/>
      <c r="O55" s="167"/>
      <c r="P55" s="167"/>
      <c r="Q55" s="167"/>
      <c r="R55" s="167"/>
      <c r="S55" s="167"/>
      <c r="T55" s="167"/>
      <c r="U55" s="167"/>
      <c r="V55" s="169"/>
      <c r="W55" s="169"/>
      <c r="X55" s="166"/>
      <c r="Y55" s="166"/>
      <c r="Z55" s="170"/>
      <c r="AA55" s="371"/>
      <c r="AB55" s="166"/>
      <c r="AC55" s="166"/>
      <c r="AD55" s="166"/>
      <c r="AE55" s="166"/>
      <c r="AF55" s="166"/>
      <c r="AG55" s="166"/>
      <c r="AH55" s="166"/>
      <c r="AI55" s="166"/>
      <c r="AJ55" s="169"/>
      <c r="AP55" s="166"/>
      <c r="AQ55" s="166"/>
      <c r="AR55" s="166"/>
      <c r="AS55" s="166"/>
      <c r="AT55" s="166"/>
      <c r="AU55" s="166"/>
      <c r="AV55" s="166"/>
      <c r="AW55" s="166"/>
      <c r="AX55" s="169"/>
      <c r="BJ55" s="639"/>
      <c r="BK55" s="441"/>
      <c r="BL55" s="441"/>
      <c r="BM55" s="441"/>
      <c r="BN55" s="441"/>
      <c r="BO55" s="441"/>
    </row>
    <row r="56" spans="1:67" ht="15" customHeight="1" outlineLevel="1" x14ac:dyDescent="0.25">
      <c r="A56" s="573">
        <v>32297</v>
      </c>
      <c r="B56" s="594">
        <v>0</v>
      </c>
      <c r="C56" s="595">
        <v>10410</v>
      </c>
      <c r="D56" s="502" t="s">
        <v>69</v>
      </c>
      <c r="E56" s="596">
        <v>157935</v>
      </c>
      <c r="F56" s="594">
        <v>0</v>
      </c>
      <c r="G56" s="594">
        <v>88690</v>
      </c>
      <c r="H56" s="552"/>
      <c r="I56" s="552"/>
      <c r="J56" s="552"/>
      <c r="K56" s="552"/>
      <c r="N56" s="166"/>
      <c r="O56" s="167"/>
      <c r="P56" s="167"/>
      <c r="Q56" s="167"/>
      <c r="R56" s="167"/>
      <c r="S56" s="167"/>
      <c r="T56" s="167"/>
      <c r="U56" s="167"/>
      <c r="V56" s="169"/>
      <c r="W56" s="169"/>
      <c r="X56" s="166"/>
      <c r="Y56" s="166"/>
      <c r="Z56" s="170"/>
      <c r="AA56" s="371"/>
      <c r="AB56" s="166"/>
      <c r="AC56" s="166"/>
      <c r="AD56" s="166"/>
      <c r="AE56" s="166"/>
      <c r="AF56" s="166"/>
      <c r="AG56" s="166"/>
      <c r="AH56" s="166"/>
      <c r="AI56" s="166"/>
      <c r="AJ56" s="169"/>
      <c r="AP56" s="166"/>
      <c r="AQ56" s="166"/>
      <c r="AR56" s="166"/>
      <c r="AS56" s="166"/>
      <c r="AT56" s="166"/>
      <c r="AU56" s="166"/>
      <c r="AV56" s="166"/>
      <c r="AW56" s="166"/>
      <c r="AX56" s="169"/>
      <c r="BJ56" s="639"/>
      <c r="BK56" s="441"/>
      <c r="BL56" s="441"/>
      <c r="BM56" s="441"/>
      <c r="BN56" s="441"/>
      <c r="BO56" s="441"/>
    </row>
    <row r="57" spans="1:67" ht="15" customHeight="1" outlineLevel="1" x14ac:dyDescent="0.25">
      <c r="A57" s="573">
        <v>0</v>
      </c>
      <c r="B57" s="594"/>
      <c r="C57" s="595">
        <v>0</v>
      </c>
      <c r="D57" s="502" t="s">
        <v>400</v>
      </c>
      <c r="E57" s="596">
        <v>0</v>
      </c>
      <c r="F57" s="594"/>
      <c r="G57" s="594">
        <v>1236</v>
      </c>
      <c r="H57" s="552"/>
      <c r="I57" s="552"/>
      <c r="J57" s="552"/>
      <c r="K57" s="552"/>
      <c r="L57" s="364">
        <v>4510</v>
      </c>
      <c r="N57" s="166"/>
      <c r="O57" s="167"/>
      <c r="P57" s="167"/>
      <c r="Q57" s="167"/>
      <c r="R57" s="167"/>
      <c r="S57" s="167"/>
      <c r="T57" s="167"/>
      <c r="U57" s="167"/>
      <c r="V57" s="169"/>
      <c r="W57" s="169"/>
      <c r="X57" s="166"/>
      <c r="Y57" s="166"/>
      <c r="Z57" s="170"/>
      <c r="AA57" s="371"/>
      <c r="AB57" s="166"/>
      <c r="AC57" s="166"/>
      <c r="AD57" s="166"/>
      <c r="AE57" s="166"/>
      <c r="AF57" s="166"/>
      <c r="AG57" s="166"/>
      <c r="AH57" s="166"/>
      <c r="AI57" s="166"/>
      <c r="AJ57" s="169"/>
      <c r="AP57" s="166"/>
      <c r="AQ57" s="166"/>
      <c r="AR57" s="166"/>
      <c r="AS57" s="166"/>
      <c r="AT57" s="166"/>
      <c r="AU57" s="166"/>
      <c r="AV57" s="166"/>
      <c r="AW57" s="166"/>
      <c r="AX57" s="169"/>
      <c r="BJ57" s="639"/>
      <c r="BK57" s="441"/>
      <c r="BL57" s="441"/>
      <c r="BM57" s="441"/>
      <c r="BN57" s="441"/>
      <c r="BO57" s="441"/>
    </row>
    <row r="58" spans="1:67" ht="15" customHeight="1" outlineLevel="1" x14ac:dyDescent="0.25">
      <c r="A58" s="573">
        <v>0</v>
      </c>
      <c r="B58" s="594"/>
      <c r="C58" s="595">
        <v>0</v>
      </c>
      <c r="D58" s="502" t="s">
        <v>673</v>
      </c>
      <c r="E58" s="596">
        <v>-4545</v>
      </c>
      <c r="F58" s="594"/>
      <c r="G58" s="594">
        <v>0</v>
      </c>
      <c r="H58" s="552"/>
      <c r="I58" s="552"/>
      <c r="J58" s="552"/>
      <c r="K58" s="552"/>
      <c r="N58" s="166"/>
      <c r="O58" s="167"/>
      <c r="P58" s="167"/>
      <c r="Q58" s="167"/>
      <c r="R58" s="167"/>
      <c r="S58" s="167"/>
      <c r="T58" s="167"/>
      <c r="U58" s="167"/>
      <c r="V58" s="169"/>
      <c r="W58" s="169"/>
      <c r="X58" s="166"/>
      <c r="Y58" s="166"/>
      <c r="Z58" s="170"/>
      <c r="AA58" s="371"/>
      <c r="AB58" s="166"/>
      <c r="AC58" s="166"/>
      <c r="AD58" s="166"/>
      <c r="AE58" s="166"/>
      <c r="AF58" s="166"/>
      <c r="AG58" s="166"/>
      <c r="AH58" s="166"/>
      <c r="AI58" s="166"/>
      <c r="AJ58" s="169"/>
      <c r="AP58" s="166"/>
      <c r="AQ58" s="166"/>
      <c r="AR58" s="166"/>
      <c r="AS58" s="166"/>
      <c r="AT58" s="166"/>
      <c r="AU58" s="166"/>
      <c r="AV58" s="166"/>
      <c r="AW58" s="166"/>
      <c r="AX58" s="169"/>
      <c r="BJ58" s="639"/>
      <c r="BK58" s="441"/>
      <c r="BL58" s="441"/>
      <c r="BM58" s="441"/>
      <c r="BN58" s="441"/>
      <c r="BO58" s="441"/>
    </row>
    <row r="59" spans="1:67" x14ac:dyDescent="0.25">
      <c r="A59" s="590">
        <v>40823</v>
      </c>
      <c r="B59" s="597">
        <v>0</v>
      </c>
      <c r="C59" s="598">
        <v>19917</v>
      </c>
      <c r="D59" s="599" t="s">
        <v>70</v>
      </c>
      <c r="E59" s="600">
        <v>187412</v>
      </c>
      <c r="F59" s="597">
        <v>0</v>
      </c>
      <c r="G59" s="597">
        <v>133012</v>
      </c>
      <c r="H59" s="556"/>
      <c r="I59" s="556"/>
      <c r="J59" s="556"/>
      <c r="K59" s="556"/>
      <c r="N59" s="166">
        <f>'Mngt-Microbiology '!S22</f>
        <v>104521.35</v>
      </c>
      <c r="O59" s="167">
        <f>'Mngt-Chemistry '!S22</f>
        <v>55267.19</v>
      </c>
      <c r="P59" s="167">
        <f>'Mngt-Lab Admin Total'!S22</f>
        <v>3981.26</v>
      </c>
      <c r="Q59" s="167">
        <f>'Mngt-Customer Care Total '!S21</f>
        <v>416</v>
      </c>
      <c r="R59" s="167">
        <f>'Mngt-Quality '!S21</f>
        <v>0</v>
      </c>
      <c r="S59" s="167">
        <f>'Mngt-IT'!S22</f>
        <v>2057.2199999999998</v>
      </c>
      <c r="T59" s="167">
        <f>'Mngt-Consulting '!S22</f>
        <v>0</v>
      </c>
      <c r="U59" s="167">
        <f>'Mngt-Senior Audit '!S22</f>
        <v>348</v>
      </c>
      <c r="V59" s="169">
        <f>'Mngt-Digital Solution'!S21</f>
        <v>0</v>
      </c>
      <c r="W59" s="169"/>
      <c r="X59" s="166"/>
      <c r="Y59" s="166"/>
      <c r="Z59" s="170">
        <f>SUM(N59:Y59)</f>
        <v>166591.02000000002</v>
      </c>
      <c r="AA59" s="371">
        <f>Z59-E59</f>
        <v>-20820.979999999981</v>
      </c>
      <c r="AB59" s="166">
        <f>'Mngt-Microbiology '!AF22</f>
        <v>0</v>
      </c>
      <c r="AC59" s="166">
        <f>'Mngt-Chemistry '!AF22</f>
        <v>0</v>
      </c>
      <c r="AD59" s="166">
        <f>'Mngt-Lab Admin Total'!AF22</f>
        <v>0</v>
      </c>
      <c r="AE59" s="166">
        <f>'Mngt-Customer Care Total '!AF21</f>
        <v>0</v>
      </c>
      <c r="AF59" s="166">
        <f>'Mngt-Quality '!AF21</f>
        <v>0</v>
      </c>
      <c r="AG59" s="166">
        <f>'Mngt-IT'!AF22</f>
        <v>0</v>
      </c>
      <c r="AH59" s="166">
        <f>'Mngt-Consulting '!AF22</f>
        <v>0</v>
      </c>
      <c r="AI59" s="166">
        <f>'Mngt-Senior Audit '!AF22</f>
        <v>0</v>
      </c>
      <c r="AJ59" s="169">
        <f>'Mngt-Digital Solution'!AF21</f>
        <v>0</v>
      </c>
      <c r="AN59" s="374">
        <f>SUM(AB59:AL59)</f>
        <v>0</v>
      </c>
      <c r="AO59" s="375">
        <f>AN59-F59</f>
        <v>0</v>
      </c>
      <c r="AP59" s="166">
        <f>'Mngt-Microbiology '!AS22</f>
        <v>46885.46</v>
      </c>
      <c r="AQ59" s="166">
        <f>'Mngt-Chemistry '!AS22</f>
        <v>43256.83</v>
      </c>
      <c r="AR59" s="166">
        <f>'Mngt-Lab Admin Total'!AS22</f>
        <v>7296.9</v>
      </c>
      <c r="AS59" s="166">
        <f>'Mngt-Customer Care Total '!AS21</f>
        <v>252.66</v>
      </c>
      <c r="AT59" s="166">
        <f>'Mngt-Quality '!AS21</f>
        <v>0</v>
      </c>
      <c r="AU59" s="166">
        <f>'Mngt-IT'!AS22</f>
        <v>1484.91</v>
      </c>
      <c r="AV59" s="166">
        <f>'Mngt-Consulting '!AS22</f>
        <v>0</v>
      </c>
      <c r="AW59" s="166">
        <f>'Mngt-Senior Audit '!AS22</f>
        <v>379.37</v>
      </c>
      <c r="AX59" s="169">
        <f>'Mngt-Digital Solution'!AS21</f>
        <v>0</v>
      </c>
      <c r="BB59" s="374">
        <f>SUM(AP59:AZ59)</f>
        <v>99556.13</v>
      </c>
      <c r="BC59" s="375">
        <f>BB59-G59</f>
        <v>-33455.869999999995</v>
      </c>
      <c r="BD59" s="685">
        <f>+E59*$BD$7</f>
        <v>193971.41999999998</v>
      </c>
      <c r="BF59" s="553">
        <v>36213</v>
      </c>
      <c r="BG59" s="637">
        <f>+E59-A59</f>
        <v>146589</v>
      </c>
      <c r="BH59" s="638">
        <f>+BG59-A59</f>
        <v>105766</v>
      </c>
      <c r="BJ59" s="639"/>
      <c r="BK59" s="441"/>
      <c r="BL59" s="441"/>
      <c r="BM59" s="441"/>
      <c r="BN59" s="441"/>
      <c r="BO59" s="441"/>
    </row>
    <row r="60" spans="1:67" ht="15" customHeight="1" outlineLevel="1" x14ac:dyDescent="0.25">
      <c r="A60" s="573">
        <v>23716</v>
      </c>
      <c r="B60" s="594">
        <v>0</v>
      </c>
      <c r="C60" s="595">
        <v>20011</v>
      </c>
      <c r="D60" s="502" t="s">
        <v>71</v>
      </c>
      <c r="E60" s="596">
        <v>90369</v>
      </c>
      <c r="F60" s="594">
        <v>0</v>
      </c>
      <c r="G60" s="594">
        <v>60295</v>
      </c>
      <c r="H60" s="552"/>
      <c r="I60" s="552"/>
      <c r="J60" s="552"/>
      <c r="K60" s="552"/>
      <c r="L60" s="364" t="s">
        <v>363</v>
      </c>
      <c r="N60" s="166"/>
      <c r="O60" s="167"/>
      <c r="P60" s="167"/>
      <c r="Q60" s="167"/>
      <c r="R60" s="167"/>
      <c r="S60" s="167"/>
      <c r="T60" s="167"/>
      <c r="U60" s="167"/>
      <c r="V60" s="169"/>
      <c r="W60" s="169"/>
      <c r="X60" s="166"/>
      <c r="Y60" s="166"/>
      <c r="Z60" s="170"/>
      <c r="AA60" s="371"/>
      <c r="AB60" s="166"/>
      <c r="AC60" s="166"/>
      <c r="AD60" s="166"/>
      <c r="AE60" s="166"/>
      <c r="AF60" s="166"/>
      <c r="AG60" s="166"/>
      <c r="AH60" s="166"/>
      <c r="AI60" s="166"/>
      <c r="AJ60" s="169"/>
      <c r="AP60" s="166"/>
      <c r="AQ60" s="166"/>
      <c r="AR60" s="166"/>
      <c r="AS60" s="166"/>
      <c r="AT60" s="166"/>
      <c r="AU60" s="166"/>
      <c r="AV60" s="166"/>
      <c r="AW60" s="166"/>
      <c r="AX60" s="169"/>
      <c r="BJ60" s="639"/>
      <c r="BK60" s="441"/>
      <c r="BL60" s="441"/>
      <c r="BM60" s="441"/>
      <c r="BN60" s="441"/>
      <c r="BO60" s="441"/>
    </row>
    <row r="61" spans="1:67" ht="15" customHeight="1" outlineLevel="1" x14ac:dyDescent="0.25">
      <c r="A61" s="573">
        <v>12339</v>
      </c>
      <c r="B61" s="594">
        <v>0</v>
      </c>
      <c r="C61" s="595">
        <v>19662</v>
      </c>
      <c r="D61" s="502" t="s">
        <v>72</v>
      </c>
      <c r="E61" s="596">
        <v>78128</v>
      </c>
      <c r="F61" s="594">
        <v>0</v>
      </c>
      <c r="G61" s="594">
        <v>73547</v>
      </c>
      <c r="H61" s="552"/>
      <c r="I61" s="552"/>
      <c r="J61" s="552"/>
      <c r="K61" s="552"/>
      <c r="L61" s="364">
        <v>4820</v>
      </c>
      <c r="N61" s="166"/>
      <c r="O61" s="167"/>
      <c r="P61" s="167"/>
      <c r="Q61" s="167"/>
      <c r="R61" s="167"/>
      <c r="S61" s="167"/>
      <c r="T61" s="167"/>
      <c r="U61" s="167"/>
      <c r="V61" s="169"/>
      <c r="W61" s="169"/>
      <c r="X61" s="166"/>
      <c r="Y61" s="166"/>
      <c r="Z61" s="170"/>
      <c r="AA61" s="371"/>
      <c r="AB61" s="166"/>
      <c r="AC61" s="166"/>
      <c r="AD61" s="166"/>
      <c r="AE61" s="166"/>
      <c r="AF61" s="166"/>
      <c r="AG61" s="166"/>
      <c r="AH61" s="166"/>
      <c r="AI61" s="166"/>
      <c r="AJ61" s="169"/>
      <c r="AP61" s="166"/>
      <c r="AQ61" s="166"/>
      <c r="AR61" s="166"/>
      <c r="AS61" s="166"/>
      <c r="AT61" s="166"/>
      <c r="AU61" s="166"/>
      <c r="AV61" s="166"/>
      <c r="AW61" s="166"/>
      <c r="AX61" s="169"/>
      <c r="BJ61" s="639"/>
      <c r="BK61" s="441"/>
      <c r="BL61" s="441"/>
      <c r="BM61" s="441"/>
      <c r="BN61" s="441"/>
      <c r="BO61" s="441"/>
    </row>
    <row r="62" spans="1:67" ht="15" customHeight="1" outlineLevel="1" x14ac:dyDescent="0.25">
      <c r="A62" s="573">
        <v>8090</v>
      </c>
      <c r="B62" s="594">
        <v>0</v>
      </c>
      <c r="C62" s="595">
        <v>9246</v>
      </c>
      <c r="D62" s="502" t="s">
        <v>73</v>
      </c>
      <c r="E62" s="596">
        <v>33954</v>
      </c>
      <c r="F62" s="594">
        <v>0</v>
      </c>
      <c r="G62" s="594">
        <v>42766</v>
      </c>
      <c r="H62" s="552"/>
      <c r="I62" s="552"/>
      <c r="J62" s="552"/>
      <c r="K62" s="552"/>
      <c r="L62" s="364" t="s">
        <v>364</v>
      </c>
      <c r="N62" s="166"/>
      <c r="O62" s="167"/>
      <c r="P62" s="167"/>
      <c r="Q62" s="167"/>
      <c r="R62" s="167"/>
      <c r="S62" s="167"/>
      <c r="T62" s="167"/>
      <c r="U62" s="167"/>
      <c r="V62" s="169"/>
      <c r="W62" s="169"/>
      <c r="X62" s="166"/>
      <c r="Y62" s="166"/>
      <c r="Z62" s="170"/>
      <c r="AA62" s="371"/>
      <c r="AB62" s="166"/>
      <c r="AC62" s="166"/>
      <c r="AD62" s="166"/>
      <c r="AE62" s="166"/>
      <c r="AF62" s="166"/>
      <c r="AG62" s="166"/>
      <c r="AH62" s="166"/>
      <c r="AI62" s="166"/>
      <c r="AJ62" s="169"/>
      <c r="AP62" s="166"/>
      <c r="AQ62" s="166"/>
      <c r="AR62" s="166"/>
      <c r="AS62" s="166"/>
      <c r="AT62" s="166"/>
      <c r="AU62" s="166"/>
      <c r="AV62" s="166"/>
      <c r="AW62" s="166"/>
      <c r="AX62" s="169"/>
      <c r="BJ62" s="639"/>
      <c r="BK62" s="441"/>
      <c r="BL62" s="441"/>
      <c r="BM62" s="441"/>
      <c r="BN62" s="441"/>
      <c r="BO62" s="441"/>
    </row>
    <row r="63" spans="1:67" ht="15" customHeight="1" outlineLevel="1" x14ac:dyDescent="0.25">
      <c r="A63" s="573">
        <v>7629</v>
      </c>
      <c r="B63" s="594">
        <v>0</v>
      </c>
      <c r="C63" s="595">
        <v>7622</v>
      </c>
      <c r="D63" s="502" t="s">
        <v>74</v>
      </c>
      <c r="E63" s="596">
        <v>30211</v>
      </c>
      <c r="F63" s="594">
        <v>0</v>
      </c>
      <c r="G63" s="594">
        <v>29578</v>
      </c>
      <c r="H63" s="552"/>
      <c r="I63" s="552"/>
      <c r="J63" s="552"/>
      <c r="K63" s="552"/>
      <c r="L63" s="364">
        <v>4835</v>
      </c>
      <c r="N63" s="166"/>
      <c r="O63" s="167"/>
      <c r="P63" s="167"/>
      <c r="Q63" s="167"/>
      <c r="R63" s="167"/>
      <c r="S63" s="167"/>
      <c r="T63" s="167"/>
      <c r="U63" s="167"/>
      <c r="V63" s="169"/>
      <c r="W63" s="169"/>
      <c r="X63" s="166"/>
      <c r="Y63" s="166"/>
      <c r="Z63" s="170"/>
      <c r="AA63" s="371"/>
      <c r="AB63" s="166"/>
      <c r="AC63" s="166"/>
      <c r="AD63" s="166"/>
      <c r="AE63" s="166"/>
      <c r="AF63" s="166"/>
      <c r="AG63" s="166"/>
      <c r="AH63" s="166"/>
      <c r="AI63" s="166"/>
      <c r="AJ63" s="169"/>
      <c r="AP63" s="166"/>
      <c r="AQ63" s="166"/>
      <c r="AR63" s="166"/>
      <c r="AS63" s="166"/>
      <c r="AT63" s="166"/>
      <c r="AU63" s="166"/>
      <c r="AV63" s="166"/>
      <c r="AW63" s="166"/>
      <c r="AX63" s="169"/>
      <c r="BJ63" s="639"/>
      <c r="BK63" s="441"/>
      <c r="BL63" s="441"/>
      <c r="BM63" s="441"/>
      <c r="BN63" s="441"/>
      <c r="BO63" s="441"/>
    </row>
    <row r="64" spans="1:67" ht="15" customHeight="1" outlineLevel="1" x14ac:dyDescent="0.25">
      <c r="A64" s="573">
        <v>2536</v>
      </c>
      <c r="B64" s="594">
        <v>0</v>
      </c>
      <c r="C64" s="595">
        <v>0</v>
      </c>
      <c r="D64" s="502" t="s">
        <v>75</v>
      </c>
      <c r="E64" s="596">
        <v>4055</v>
      </c>
      <c r="F64" s="594">
        <v>0</v>
      </c>
      <c r="G64" s="594">
        <v>0</v>
      </c>
      <c r="H64" s="552"/>
      <c r="I64" s="552"/>
      <c r="J64" s="552"/>
      <c r="K64" s="552"/>
      <c r="L64" s="364">
        <v>4840</v>
      </c>
      <c r="N64" s="166"/>
      <c r="O64" s="167"/>
      <c r="P64" s="167"/>
      <c r="Q64" s="167"/>
      <c r="R64" s="167"/>
      <c r="S64" s="167"/>
      <c r="T64" s="167"/>
      <c r="U64" s="167"/>
      <c r="V64" s="169"/>
      <c r="W64" s="169"/>
      <c r="X64" s="166"/>
      <c r="Y64" s="166"/>
      <c r="Z64" s="170"/>
      <c r="AA64" s="371"/>
      <c r="AB64" s="166"/>
      <c r="AC64" s="166"/>
      <c r="AD64" s="166"/>
      <c r="AE64" s="166"/>
      <c r="AF64" s="166"/>
      <c r="AG64" s="166"/>
      <c r="AH64" s="166"/>
      <c r="AI64" s="166"/>
      <c r="AJ64" s="169"/>
      <c r="AP64" s="166"/>
      <c r="AQ64" s="166"/>
      <c r="AR64" s="166"/>
      <c r="AS64" s="166"/>
      <c r="AT64" s="166"/>
      <c r="AU64" s="166"/>
      <c r="AV64" s="166"/>
      <c r="AW64" s="166"/>
      <c r="AX64" s="169"/>
      <c r="BJ64" s="639"/>
      <c r="BK64" s="441"/>
      <c r="BL64" s="441"/>
      <c r="BM64" s="441"/>
      <c r="BN64" s="441"/>
      <c r="BO64" s="441"/>
    </row>
    <row r="65" spans="1:67" ht="15" customHeight="1" outlineLevel="1" x14ac:dyDescent="0.25">
      <c r="A65" s="573">
        <v>5461</v>
      </c>
      <c r="B65" s="594">
        <v>0</v>
      </c>
      <c r="C65" s="595">
        <v>15751</v>
      </c>
      <c r="D65" s="502" t="s">
        <v>76</v>
      </c>
      <c r="E65" s="596">
        <v>61666</v>
      </c>
      <c r="F65" s="594">
        <v>0</v>
      </c>
      <c r="G65" s="594">
        <v>57121</v>
      </c>
      <c r="H65" s="552"/>
      <c r="I65" s="552"/>
      <c r="J65" s="552"/>
      <c r="K65" s="552"/>
      <c r="L65" s="364">
        <v>4845</v>
      </c>
      <c r="N65" s="166"/>
      <c r="O65" s="167"/>
      <c r="P65" s="167"/>
      <c r="Q65" s="167"/>
      <c r="R65" s="167"/>
      <c r="S65" s="167"/>
      <c r="T65" s="167"/>
      <c r="U65" s="167"/>
      <c r="V65" s="169"/>
      <c r="W65" s="169"/>
      <c r="X65" s="166"/>
      <c r="Y65" s="166"/>
      <c r="Z65" s="170"/>
      <c r="AA65" s="371"/>
      <c r="AB65" s="166"/>
      <c r="AC65" s="166"/>
      <c r="AD65" s="166"/>
      <c r="AE65" s="166"/>
      <c r="AF65" s="166"/>
      <c r="AG65" s="166"/>
      <c r="AH65" s="166"/>
      <c r="AI65" s="166"/>
      <c r="AJ65" s="169"/>
      <c r="AP65" s="166"/>
      <c r="AQ65" s="166"/>
      <c r="AR65" s="166"/>
      <c r="AS65" s="166"/>
      <c r="AT65" s="166"/>
      <c r="AU65" s="166"/>
      <c r="AV65" s="166"/>
      <c r="AW65" s="166"/>
      <c r="AX65" s="169"/>
      <c r="BJ65" s="639"/>
      <c r="BK65" s="441"/>
      <c r="BL65" s="441"/>
      <c r="BM65" s="441"/>
      <c r="BN65" s="441"/>
      <c r="BO65" s="441"/>
    </row>
    <row r="66" spans="1:67" ht="15" customHeight="1" outlineLevel="1" x14ac:dyDescent="0.25">
      <c r="A66" s="573">
        <v>2107</v>
      </c>
      <c r="B66" s="594">
        <v>0</v>
      </c>
      <c r="C66" s="595">
        <v>2107</v>
      </c>
      <c r="D66" s="502" t="s">
        <v>77</v>
      </c>
      <c r="E66" s="596">
        <v>8428</v>
      </c>
      <c r="F66" s="594">
        <v>0</v>
      </c>
      <c r="G66" s="594">
        <v>8344</v>
      </c>
      <c r="H66" s="552"/>
      <c r="I66" s="552"/>
      <c r="J66" s="552"/>
      <c r="K66" s="552"/>
      <c r="L66" s="364">
        <v>4850</v>
      </c>
      <c r="N66" s="166"/>
      <c r="O66" s="167"/>
      <c r="P66" s="167"/>
      <c r="Q66" s="167"/>
      <c r="R66" s="167"/>
      <c r="S66" s="167"/>
      <c r="T66" s="167"/>
      <c r="U66" s="167"/>
      <c r="V66" s="169"/>
      <c r="W66" s="169"/>
      <c r="X66" s="166"/>
      <c r="Y66" s="166"/>
      <c r="Z66" s="170"/>
      <c r="AA66" s="371"/>
      <c r="AB66" s="166"/>
      <c r="AC66" s="166"/>
      <c r="AD66" s="166"/>
      <c r="AE66" s="166"/>
      <c r="AF66" s="166"/>
      <c r="AG66" s="166"/>
      <c r="AH66" s="166"/>
      <c r="AI66" s="166"/>
      <c r="AJ66" s="169"/>
      <c r="AP66" s="166"/>
      <c r="AQ66" s="166"/>
      <c r="AR66" s="166"/>
      <c r="AS66" s="166"/>
      <c r="AT66" s="166"/>
      <c r="AU66" s="166"/>
      <c r="AV66" s="166"/>
      <c r="AW66" s="166"/>
      <c r="AX66" s="169"/>
      <c r="BJ66" s="639"/>
      <c r="BK66" s="441"/>
      <c r="BL66" s="441"/>
      <c r="BM66" s="441"/>
      <c r="BN66" s="441"/>
      <c r="BO66" s="441"/>
    </row>
    <row r="67" spans="1:67" x14ac:dyDescent="0.25">
      <c r="A67" s="612">
        <v>61878</v>
      </c>
      <c r="B67" s="612">
        <v>0</v>
      </c>
      <c r="C67" s="613">
        <v>74399</v>
      </c>
      <c r="D67" s="614" t="s">
        <v>78</v>
      </c>
      <c r="E67" s="615">
        <v>306810</v>
      </c>
      <c r="F67" s="612">
        <v>0</v>
      </c>
      <c r="G67" s="612">
        <v>271650</v>
      </c>
      <c r="H67" s="556"/>
      <c r="I67" s="556"/>
      <c r="J67" s="556"/>
      <c r="K67" s="556"/>
      <c r="N67" s="166">
        <f>'Mngt-Microbiology '!S33</f>
        <v>5347.72</v>
      </c>
      <c r="O67" s="167">
        <f>'Mngt-Chemistry '!S33</f>
        <v>51192.94</v>
      </c>
      <c r="P67" s="167">
        <f>'Mngt-Lab Admin Total'!S33</f>
        <v>68226.64</v>
      </c>
      <c r="Q67" s="167">
        <f>'Mngt-Customer Care Total '!S32</f>
        <v>11110.58</v>
      </c>
      <c r="R67" s="167">
        <f>'Mngt-Quality '!S31</f>
        <v>1102.23</v>
      </c>
      <c r="S67" s="167">
        <f>'Mngt-IT'!S33</f>
        <v>26183.46</v>
      </c>
      <c r="T67" s="167">
        <f>'Mngt-Consulting '!S33</f>
        <v>1831.99</v>
      </c>
      <c r="U67" s="167">
        <f>'Mngt-Senior Audit '!S33</f>
        <v>20327.14</v>
      </c>
      <c r="V67" s="169">
        <f>'Mngt-Digital Solution'!S32</f>
        <v>0</v>
      </c>
      <c r="W67" s="169"/>
      <c r="X67" s="166"/>
      <c r="Y67" s="166"/>
      <c r="Z67" s="170">
        <f>SUM(N67:Y67)</f>
        <v>185322.7</v>
      </c>
      <c r="AA67" s="371">
        <f>Z67-E67</f>
        <v>-121487.29999999999</v>
      </c>
      <c r="AB67" s="166">
        <f>'Mngt-Microbiology '!AF33</f>
        <v>0</v>
      </c>
      <c r="AC67" s="166">
        <f>'Mngt-Chemistry '!AF33</f>
        <v>0</v>
      </c>
      <c r="AD67" s="166">
        <f>'Mngt-Lab Admin Total'!AF33</f>
        <v>0</v>
      </c>
      <c r="AE67" s="166">
        <f>'Mngt-Customer Care Total '!AF32</f>
        <v>0</v>
      </c>
      <c r="AF67" s="166">
        <f>'Mngt-Quality '!AF31</f>
        <v>0</v>
      </c>
      <c r="AG67" s="166">
        <f>'Mngt-IT'!AF33</f>
        <v>0</v>
      </c>
      <c r="AH67" s="166">
        <f>'Mngt-Consulting '!AF33</f>
        <v>0</v>
      </c>
      <c r="AI67" s="166">
        <f>'Mngt-Senior Audit '!AF33</f>
        <v>0</v>
      </c>
      <c r="AJ67" s="169">
        <f>'Mngt-Digital Solution'!AF32</f>
        <v>0</v>
      </c>
      <c r="AN67" s="374">
        <f>SUM(AB67:AL67)</f>
        <v>0</v>
      </c>
      <c r="AO67" s="375">
        <f>AN67-F67</f>
        <v>0</v>
      </c>
      <c r="AP67" s="166">
        <f>'Mngt-Microbiology '!AS33</f>
        <v>5321.72</v>
      </c>
      <c r="AQ67" s="166">
        <f>'Mngt-Chemistry '!AS33</f>
        <v>35531.769999999997</v>
      </c>
      <c r="AR67" s="166">
        <f>'Mngt-Lab Admin Total'!AS33</f>
        <v>63125.73</v>
      </c>
      <c r="AS67" s="166">
        <f>'Mngt-Customer Care Total '!AS32</f>
        <v>8389.85</v>
      </c>
      <c r="AT67" s="166">
        <f>'Mngt-Quality '!AS31</f>
        <v>1238.21</v>
      </c>
      <c r="AU67" s="166">
        <f>'Mngt-IT'!AS33</f>
        <v>38344.199999999997</v>
      </c>
      <c r="AV67" s="166">
        <f>'Mngt-Consulting '!AS33</f>
        <v>-0.01</v>
      </c>
      <c r="AW67" s="166">
        <f>'Mngt-Senior Audit '!AS33</f>
        <v>3565.33</v>
      </c>
      <c r="AX67" s="169">
        <f>'Mngt-Digital Solution'!AS32</f>
        <v>0</v>
      </c>
      <c r="BB67" s="374">
        <f>SUM(AP67:AZ67)</f>
        <v>155516.79999999999</v>
      </c>
      <c r="BC67" s="375">
        <f>BB67-G67</f>
        <v>-116133.20000000001</v>
      </c>
      <c r="BD67" s="685">
        <f>+E67*$BD$7</f>
        <v>317548.34999999998</v>
      </c>
      <c r="BF67" s="553">
        <v>77503.75</v>
      </c>
      <c r="BG67" s="637">
        <f>+E67-A67</f>
        <v>244932</v>
      </c>
      <c r="BH67" s="638">
        <f>+BG67-A67</f>
        <v>183054</v>
      </c>
      <c r="BJ67" s="639">
        <v>-5000</v>
      </c>
      <c r="BK67" s="441"/>
      <c r="BL67" s="441"/>
      <c r="BM67" s="441"/>
      <c r="BN67" s="441"/>
      <c r="BO67" s="441"/>
    </row>
    <row r="68" spans="1:67" collapsed="1" x14ac:dyDescent="0.25">
      <c r="A68" s="591">
        <v>10667</v>
      </c>
      <c r="B68" s="601">
        <v>0</v>
      </c>
      <c r="C68" s="602">
        <v>840</v>
      </c>
      <c r="D68" s="603" t="s">
        <v>79</v>
      </c>
      <c r="E68" s="604">
        <v>33087</v>
      </c>
      <c r="F68" s="601">
        <v>0</v>
      </c>
      <c r="G68" s="601">
        <v>5025</v>
      </c>
      <c r="H68" s="556"/>
      <c r="I68" s="556"/>
      <c r="J68" s="556"/>
      <c r="K68" s="556"/>
      <c r="L68" s="364">
        <v>4905</v>
      </c>
      <c r="N68" s="166">
        <f>'Mngt-Microbiology '!S48</f>
        <v>0</v>
      </c>
      <c r="O68" s="167">
        <f>'Mngt-Chemistry '!S48</f>
        <v>826.94</v>
      </c>
      <c r="P68" s="167">
        <f>'Mngt-Lab Admin Total'!S48</f>
        <v>8343.74</v>
      </c>
      <c r="Q68" s="167">
        <f>'Mngt-Customer Care Total '!S47</f>
        <v>765.57</v>
      </c>
      <c r="R68" s="167">
        <f>'Mngt-Quality '!S46</f>
        <v>2567.9499999999998</v>
      </c>
      <c r="S68" s="167">
        <f>'Mngt-IT'!S48</f>
        <v>53.32</v>
      </c>
      <c r="T68" s="167">
        <f>'Mngt-Consulting '!S48</f>
        <v>0</v>
      </c>
      <c r="U68" s="167">
        <f>'Mngt-Senior Audit '!S48</f>
        <v>8654.11</v>
      </c>
      <c r="V68" s="169">
        <f>'Mngt-Digital Solution'!S47</f>
        <v>0</v>
      </c>
      <c r="W68" s="169"/>
      <c r="X68" s="166"/>
      <c r="Y68" s="166"/>
      <c r="Z68" s="170">
        <f>SUM(N68:Y68)</f>
        <v>21211.63</v>
      </c>
      <c r="AA68" s="371">
        <f>Z68-E68</f>
        <v>-11875.369999999999</v>
      </c>
      <c r="AB68" s="166">
        <f>'Mngt-Microbiology '!AF48</f>
        <v>0</v>
      </c>
      <c r="AC68" s="166">
        <f>'Mngt-Chemistry '!AF48</f>
        <v>0</v>
      </c>
      <c r="AD68" s="166">
        <f>'Mngt-Lab Admin Total'!AF48</f>
        <v>0</v>
      </c>
      <c r="AE68" s="166">
        <f>'Mngt-Customer Care Total '!AF47</f>
        <v>0</v>
      </c>
      <c r="AF68" s="166">
        <f>'Mngt-Quality '!AF46</f>
        <v>0</v>
      </c>
      <c r="AG68" s="166">
        <f>'Mngt-IT'!AF48</f>
        <v>0</v>
      </c>
      <c r="AH68" s="166">
        <f>'Mngt-Consulting '!AF48</f>
        <v>0</v>
      </c>
      <c r="AI68" s="166">
        <f>'Mngt-Senior Audit '!AF48</f>
        <v>0</v>
      </c>
      <c r="AJ68" s="169">
        <f>'Mngt-Digital Solution'!AF47</f>
        <v>0</v>
      </c>
      <c r="AN68" s="374">
        <f>SUM(AB68:AL68)</f>
        <v>0</v>
      </c>
      <c r="AO68" s="375">
        <f>AN68-F68</f>
        <v>0</v>
      </c>
      <c r="AP68" s="166">
        <f>'Mngt-Microbiology '!AS48</f>
        <v>0</v>
      </c>
      <c r="AQ68" s="166">
        <f>'Mngt-Chemistry '!AS48</f>
        <v>145.94</v>
      </c>
      <c r="AR68" s="166">
        <f>'Mngt-Lab Admin Total'!AS48</f>
        <v>3558.02</v>
      </c>
      <c r="AS68" s="166">
        <f>'Mngt-Customer Care Total '!AS47</f>
        <v>68</v>
      </c>
      <c r="AT68" s="166">
        <f>'Mngt-Quality '!AS46</f>
        <v>32</v>
      </c>
      <c r="AU68" s="166">
        <f>'Mngt-IT'!AS48</f>
        <v>32</v>
      </c>
      <c r="AV68" s="166">
        <f>'Mngt-Consulting '!AS48</f>
        <v>0</v>
      </c>
      <c r="AW68" s="166">
        <f>'Mngt-Senior Audit '!AS48</f>
        <v>114</v>
      </c>
      <c r="AX68" s="169">
        <f>'Mngt-Digital Solution'!AS47</f>
        <v>0</v>
      </c>
      <c r="BB68" s="374">
        <f>SUM(AP68:AZ68)</f>
        <v>3949.96</v>
      </c>
      <c r="BC68" s="375">
        <f>BB68-G68</f>
        <v>-1075.04</v>
      </c>
      <c r="BD68" s="685">
        <f>+E68*$BD$7</f>
        <v>34245.044999999998</v>
      </c>
      <c r="BG68" s="637">
        <f>+E68-A68</f>
        <v>22420</v>
      </c>
      <c r="BH68" s="638">
        <f>+BG68-A68</f>
        <v>11753</v>
      </c>
      <c r="BJ68" s="639"/>
      <c r="BK68" s="441"/>
      <c r="BL68" s="441"/>
      <c r="BM68" s="441"/>
      <c r="BN68" s="441"/>
      <c r="BO68" s="441"/>
    </row>
    <row r="69" spans="1:67" ht="15" customHeight="1" outlineLevel="1" x14ac:dyDescent="0.25">
      <c r="A69" s="573">
        <v>20537</v>
      </c>
      <c r="B69" s="594">
        <v>0</v>
      </c>
      <c r="C69" s="595">
        <v>29489</v>
      </c>
      <c r="D69" s="502" t="s">
        <v>80</v>
      </c>
      <c r="E69" s="596">
        <v>61537</v>
      </c>
      <c r="F69" s="594">
        <v>0</v>
      </c>
      <c r="G69" s="594">
        <v>70317</v>
      </c>
      <c r="H69" s="552"/>
      <c r="I69" s="552"/>
      <c r="J69" s="552"/>
      <c r="K69" s="552"/>
      <c r="L69" s="364">
        <v>5010</v>
      </c>
      <c r="N69" s="166"/>
      <c r="O69" s="167"/>
      <c r="P69" s="167"/>
      <c r="Q69" s="167"/>
      <c r="R69" s="167"/>
      <c r="S69" s="167"/>
      <c r="T69" s="167"/>
      <c r="U69" s="167"/>
      <c r="V69" s="169"/>
      <c r="W69" s="169"/>
      <c r="X69" s="166"/>
      <c r="Y69" s="166"/>
      <c r="Z69" s="170"/>
      <c r="AA69" s="371"/>
      <c r="BG69" s="637">
        <f>+E69-A69</f>
        <v>41000</v>
      </c>
      <c r="BH69" s="638">
        <f>+BG69-A69</f>
        <v>20463</v>
      </c>
      <c r="BJ69" s="639"/>
      <c r="BK69" s="441"/>
      <c r="BL69" s="441"/>
      <c r="BM69" s="441"/>
      <c r="BN69" s="441"/>
      <c r="BO69" s="441"/>
    </row>
    <row r="70" spans="1:67" ht="15" customHeight="1" outlineLevel="1" x14ac:dyDescent="0.25">
      <c r="A70" s="573">
        <v>0</v>
      </c>
      <c r="B70" s="594">
        <v>0</v>
      </c>
      <c r="C70" s="595">
        <v>569</v>
      </c>
      <c r="D70" s="502" t="s">
        <v>81</v>
      </c>
      <c r="E70" s="596">
        <v>1177</v>
      </c>
      <c r="F70" s="594">
        <v>0</v>
      </c>
      <c r="G70" s="594">
        <v>2258</v>
      </c>
      <c r="H70" s="552"/>
      <c r="I70" s="552"/>
      <c r="J70" s="552"/>
      <c r="K70" s="552"/>
      <c r="L70" s="364">
        <v>5015</v>
      </c>
      <c r="N70" s="166"/>
      <c r="O70" s="167"/>
      <c r="P70" s="167"/>
      <c r="Q70" s="167"/>
      <c r="R70" s="167"/>
      <c r="S70" s="167"/>
      <c r="T70" s="167"/>
      <c r="U70" s="167"/>
      <c r="V70" s="169"/>
      <c r="W70" s="169"/>
      <c r="X70" s="166"/>
      <c r="Y70" s="166"/>
      <c r="Z70" s="170"/>
      <c r="AA70" s="371"/>
      <c r="BG70" s="637">
        <f t="shared" ref="BG70:BG78" si="3">+E70-A70</f>
        <v>1177</v>
      </c>
      <c r="BH70" s="638">
        <f t="shared" ref="BH70:BH78" si="4">+BG70-A70</f>
        <v>1177</v>
      </c>
      <c r="BJ70" s="639"/>
      <c r="BK70" s="441"/>
      <c r="BL70" s="441"/>
      <c r="BM70" s="441"/>
      <c r="BN70" s="441"/>
      <c r="BO70" s="441"/>
    </row>
    <row r="71" spans="1:67" ht="15" customHeight="1" outlineLevel="1" x14ac:dyDescent="0.25">
      <c r="A71" s="573">
        <v>349</v>
      </c>
      <c r="B71" s="594">
        <v>0</v>
      </c>
      <c r="C71" s="595">
        <v>172</v>
      </c>
      <c r="D71" s="502" t="s">
        <v>82</v>
      </c>
      <c r="E71" s="596">
        <v>684</v>
      </c>
      <c r="F71" s="594">
        <v>0</v>
      </c>
      <c r="G71" s="594">
        <v>686</v>
      </c>
      <c r="H71" s="552"/>
      <c r="I71" s="552"/>
      <c r="J71" s="552"/>
      <c r="K71" s="552"/>
      <c r="L71" s="364">
        <v>5030</v>
      </c>
      <c r="N71" s="166"/>
      <c r="O71" s="166"/>
      <c r="P71" s="166"/>
      <c r="Q71" s="166"/>
      <c r="R71" s="166"/>
      <c r="S71" s="166"/>
      <c r="T71" s="166"/>
      <c r="U71" s="166"/>
      <c r="V71" s="169"/>
      <c r="W71" s="169"/>
      <c r="X71" s="166"/>
      <c r="Y71" s="166"/>
      <c r="Z71" s="170"/>
      <c r="AA71" s="371"/>
      <c r="BG71" s="637">
        <f t="shared" si="3"/>
        <v>335</v>
      </c>
      <c r="BH71" s="638">
        <f t="shared" si="4"/>
        <v>-14</v>
      </c>
      <c r="BJ71" s="639"/>
      <c r="BK71" s="441"/>
      <c r="BL71" s="441"/>
      <c r="BM71" s="441"/>
      <c r="BN71" s="441"/>
      <c r="BO71" s="441"/>
    </row>
    <row r="72" spans="1:67" ht="15" customHeight="1" outlineLevel="1" x14ac:dyDescent="0.25">
      <c r="A72" s="573">
        <v>4670</v>
      </c>
      <c r="B72" s="594">
        <v>0</v>
      </c>
      <c r="C72" s="595">
        <v>10419</v>
      </c>
      <c r="D72" s="502" t="s">
        <v>83</v>
      </c>
      <c r="E72" s="596">
        <v>54803</v>
      </c>
      <c r="F72" s="594">
        <v>0</v>
      </c>
      <c r="G72" s="594">
        <v>62376</v>
      </c>
      <c r="H72" s="552"/>
      <c r="I72" s="552"/>
      <c r="J72" s="552"/>
      <c r="K72" s="552"/>
      <c r="N72" s="166"/>
      <c r="O72" s="166"/>
      <c r="P72" s="166"/>
      <c r="Q72" s="166"/>
      <c r="R72" s="166"/>
      <c r="S72" s="166"/>
      <c r="T72" s="166"/>
      <c r="U72" s="166"/>
      <c r="V72" s="169"/>
      <c r="W72" s="169"/>
      <c r="X72" s="166"/>
      <c r="Y72" s="166"/>
      <c r="Z72" s="170"/>
      <c r="AA72" s="371"/>
      <c r="BG72" s="637"/>
      <c r="BH72" s="638"/>
      <c r="BJ72" s="639"/>
      <c r="BK72" s="441"/>
      <c r="BL72" s="441"/>
      <c r="BM72" s="441"/>
      <c r="BN72" s="441"/>
      <c r="BO72" s="441"/>
    </row>
    <row r="73" spans="1:67" ht="15" customHeight="1" outlineLevel="1" x14ac:dyDescent="0.25">
      <c r="A73" s="573">
        <v>1800</v>
      </c>
      <c r="B73" s="594">
        <v>0</v>
      </c>
      <c r="C73" s="595">
        <v>0</v>
      </c>
      <c r="D73" s="502" t="s">
        <v>84</v>
      </c>
      <c r="E73" s="596">
        <v>9200</v>
      </c>
      <c r="F73" s="594">
        <v>0</v>
      </c>
      <c r="G73" s="594">
        <v>2837</v>
      </c>
      <c r="H73" s="552"/>
      <c r="I73" s="552"/>
      <c r="J73" s="552"/>
      <c r="K73" s="552"/>
      <c r="N73" s="166"/>
      <c r="O73" s="166"/>
      <c r="P73" s="166"/>
      <c r="Q73" s="166"/>
      <c r="R73" s="166"/>
      <c r="S73" s="166"/>
      <c r="T73" s="166"/>
      <c r="U73" s="166"/>
      <c r="V73" s="169"/>
      <c r="W73" s="169"/>
      <c r="X73" s="166"/>
      <c r="Y73" s="166"/>
      <c r="Z73" s="170"/>
      <c r="AA73" s="371"/>
      <c r="BG73" s="637">
        <f t="shared" si="3"/>
        <v>7400</v>
      </c>
      <c r="BH73" s="638">
        <f t="shared" si="4"/>
        <v>5600</v>
      </c>
      <c r="BJ73" s="639"/>
      <c r="BK73" s="441"/>
      <c r="BL73" s="441"/>
      <c r="BM73" s="441"/>
      <c r="BN73" s="441"/>
      <c r="BO73" s="441"/>
    </row>
    <row r="74" spans="1:67" ht="15" customHeight="1" outlineLevel="1" x14ac:dyDescent="0.25">
      <c r="A74" s="573">
        <v>55367</v>
      </c>
      <c r="B74" s="594">
        <v>0</v>
      </c>
      <c r="C74" s="595">
        <v>33672</v>
      </c>
      <c r="D74" s="502" t="s">
        <v>85</v>
      </c>
      <c r="E74" s="596">
        <v>225449</v>
      </c>
      <c r="F74" s="594">
        <v>0</v>
      </c>
      <c r="G74" s="594">
        <v>144982</v>
      </c>
      <c r="H74" s="552"/>
      <c r="I74" s="552"/>
      <c r="J74" s="552"/>
      <c r="K74" s="552"/>
      <c r="L74" s="364">
        <v>5035</v>
      </c>
      <c r="N74" s="166"/>
      <c r="O74" s="166"/>
      <c r="P74" s="166"/>
      <c r="Q74" s="166"/>
      <c r="R74" s="166"/>
      <c r="S74" s="166"/>
      <c r="T74" s="166"/>
      <c r="U74" s="166"/>
      <c r="V74" s="169"/>
      <c r="W74" s="169"/>
      <c r="X74" s="166"/>
      <c r="Y74" s="166"/>
      <c r="Z74" s="170"/>
      <c r="AA74" s="371"/>
      <c r="BG74" s="637">
        <f t="shared" si="3"/>
        <v>170082</v>
      </c>
      <c r="BH74" s="638">
        <f t="shared" si="4"/>
        <v>114715</v>
      </c>
      <c r="BJ74" s="639"/>
      <c r="BK74" s="441"/>
      <c r="BL74" s="441"/>
      <c r="BM74" s="441"/>
      <c r="BN74" s="441"/>
      <c r="BO74" s="441"/>
    </row>
    <row r="75" spans="1:67" ht="15" customHeight="1" outlineLevel="1" x14ac:dyDescent="0.25">
      <c r="A75" s="573">
        <v>7325</v>
      </c>
      <c r="B75" s="594">
        <v>0</v>
      </c>
      <c r="C75" s="595">
        <v>4597</v>
      </c>
      <c r="D75" s="502" t="s">
        <v>86</v>
      </c>
      <c r="E75" s="596">
        <v>24865</v>
      </c>
      <c r="F75" s="594">
        <v>0</v>
      </c>
      <c r="G75" s="594">
        <v>32007</v>
      </c>
      <c r="H75" s="552"/>
      <c r="I75" s="552"/>
      <c r="J75" s="552"/>
      <c r="K75" s="552"/>
      <c r="N75" s="166"/>
      <c r="O75" s="166"/>
      <c r="P75" s="166"/>
      <c r="Q75" s="166"/>
      <c r="R75" s="166"/>
      <c r="S75" s="166"/>
      <c r="T75" s="166"/>
      <c r="U75" s="166"/>
      <c r="V75" s="169"/>
      <c r="W75" s="169"/>
      <c r="X75" s="166"/>
      <c r="Y75" s="166"/>
      <c r="Z75" s="170"/>
      <c r="AA75" s="371"/>
      <c r="BG75" s="637">
        <f t="shared" si="3"/>
        <v>17540</v>
      </c>
      <c r="BH75" s="638">
        <f t="shared" si="4"/>
        <v>10215</v>
      </c>
      <c r="BI75" s="637"/>
      <c r="BJ75" s="639"/>
      <c r="BK75" s="441"/>
      <c r="BL75" s="441"/>
      <c r="BM75" s="441"/>
      <c r="BN75" s="441"/>
      <c r="BO75" s="441"/>
    </row>
    <row r="76" spans="1:67" ht="15" customHeight="1" outlineLevel="1" x14ac:dyDescent="0.25">
      <c r="A76" s="573">
        <v>1175</v>
      </c>
      <c r="B76" s="594">
        <v>0</v>
      </c>
      <c r="C76" s="595">
        <v>1420</v>
      </c>
      <c r="D76" s="502" t="s">
        <v>87</v>
      </c>
      <c r="E76" s="596">
        <v>1069</v>
      </c>
      <c r="F76" s="594">
        <v>0</v>
      </c>
      <c r="G76" s="594">
        <v>3788</v>
      </c>
      <c r="H76" s="552"/>
      <c r="I76" s="552"/>
      <c r="J76" s="552"/>
      <c r="K76" s="552"/>
      <c r="L76" s="364" t="s">
        <v>365</v>
      </c>
      <c r="N76" s="166"/>
      <c r="O76" s="166"/>
      <c r="P76" s="166"/>
      <c r="Q76" s="166"/>
      <c r="R76" s="166"/>
      <c r="S76" s="166"/>
      <c r="T76" s="166"/>
      <c r="U76" s="166"/>
      <c r="V76" s="169"/>
      <c r="W76" s="169"/>
      <c r="X76" s="166"/>
      <c r="Y76" s="166"/>
      <c r="Z76" s="170"/>
      <c r="AA76" s="371"/>
      <c r="BG76" s="637">
        <f t="shared" si="3"/>
        <v>-106</v>
      </c>
      <c r="BH76" s="638">
        <f t="shared" si="4"/>
        <v>-1281</v>
      </c>
      <c r="BJ76" s="639"/>
      <c r="BK76" s="441"/>
      <c r="BL76" s="441"/>
      <c r="BM76" s="441"/>
      <c r="BN76" s="441"/>
      <c r="BO76" s="441"/>
    </row>
    <row r="77" spans="1:67" ht="15" customHeight="1" outlineLevel="1" x14ac:dyDescent="0.25">
      <c r="A77" s="573">
        <v>26598</v>
      </c>
      <c r="B77" s="594">
        <v>0</v>
      </c>
      <c r="C77" s="595">
        <v>4855</v>
      </c>
      <c r="D77" s="502" t="s">
        <v>88</v>
      </c>
      <c r="E77" s="596">
        <v>41496</v>
      </c>
      <c r="F77" s="594">
        <v>0</v>
      </c>
      <c r="G77" s="594">
        <v>10636</v>
      </c>
      <c r="H77" s="552"/>
      <c r="I77" s="552"/>
      <c r="J77" s="552"/>
      <c r="K77" s="552"/>
      <c r="L77" s="364">
        <v>5155</v>
      </c>
      <c r="N77" s="166"/>
      <c r="O77" s="166"/>
      <c r="P77" s="166"/>
      <c r="Q77" s="166"/>
      <c r="R77" s="166"/>
      <c r="S77" s="166"/>
      <c r="T77" s="166"/>
      <c r="U77" s="166"/>
      <c r="V77" s="169"/>
      <c r="W77" s="169"/>
      <c r="X77" s="166"/>
      <c r="Y77" s="166"/>
      <c r="Z77" s="170"/>
      <c r="AA77" s="371"/>
      <c r="BG77" s="637">
        <f t="shared" si="3"/>
        <v>14898</v>
      </c>
      <c r="BH77" s="638">
        <f t="shared" si="4"/>
        <v>-11700</v>
      </c>
      <c r="BJ77" s="639"/>
      <c r="BK77" s="441"/>
      <c r="BL77" s="441"/>
      <c r="BM77" s="441"/>
      <c r="BN77" s="441"/>
      <c r="BO77" s="441"/>
    </row>
    <row r="78" spans="1:67" ht="15" customHeight="1" outlineLevel="1" x14ac:dyDescent="0.25">
      <c r="A78" s="573">
        <v>677</v>
      </c>
      <c r="B78" s="594">
        <v>0</v>
      </c>
      <c r="C78" s="595">
        <v>43</v>
      </c>
      <c r="D78" s="502" t="s">
        <v>89</v>
      </c>
      <c r="E78" s="596">
        <v>4159</v>
      </c>
      <c r="F78" s="594">
        <v>0</v>
      </c>
      <c r="G78" s="594">
        <v>4207</v>
      </c>
      <c r="H78" s="552"/>
      <c r="I78" s="552"/>
      <c r="J78" s="552"/>
      <c r="K78" s="552"/>
      <c r="N78" s="166"/>
      <c r="O78" s="166"/>
      <c r="P78" s="166"/>
      <c r="Q78" s="166"/>
      <c r="R78" s="166"/>
      <c r="S78" s="166"/>
      <c r="T78" s="166"/>
      <c r="U78" s="166"/>
      <c r="V78" s="169"/>
      <c r="W78" s="169"/>
      <c r="X78" s="166"/>
      <c r="Y78" s="166"/>
      <c r="Z78" s="170"/>
      <c r="AA78" s="371"/>
      <c r="BG78" s="637">
        <f t="shared" si="3"/>
        <v>3482</v>
      </c>
      <c r="BH78" s="638">
        <f t="shared" si="4"/>
        <v>2805</v>
      </c>
      <c r="BJ78" s="639"/>
      <c r="BK78" s="441"/>
      <c r="BL78" s="441"/>
      <c r="BM78" s="441"/>
      <c r="BN78" s="441"/>
      <c r="BO78" s="441"/>
    </row>
    <row r="79" spans="1:67" ht="15.75" thickBot="1" x14ac:dyDescent="0.3">
      <c r="A79" s="592">
        <v>118498</v>
      </c>
      <c r="B79" s="605">
        <v>0</v>
      </c>
      <c r="C79" s="606">
        <v>85236</v>
      </c>
      <c r="D79" s="607" t="s">
        <v>90</v>
      </c>
      <c r="E79" s="608">
        <v>424438</v>
      </c>
      <c r="F79" s="605">
        <v>0</v>
      </c>
      <c r="G79" s="605">
        <v>334094</v>
      </c>
      <c r="H79" s="556"/>
      <c r="I79" s="556"/>
      <c r="J79" s="556"/>
      <c r="K79" s="556"/>
      <c r="N79" s="166">
        <f>'Mngt-Microbiology '!S62</f>
        <v>0</v>
      </c>
      <c r="O79" s="166">
        <f>'Mngt-Chemistry '!S62</f>
        <v>20666.04</v>
      </c>
      <c r="P79" s="166">
        <f>'Mngt-Lab Admin Total'!S61</f>
        <v>38311.06</v>
      </c>
      <c r="Q79" s="166">
        <f>'Mngt-Customer Care Total '!S61</f>
        <v>937.98</v>
      </c>
      <c r="R79" s="166">
        <f>'Mngt-Quality '!S60</f>
        <v>6904.53</v>
      </c>
      <c r="S79" s="166">
        <f>'Mngt-IT'!S62</f>
        <v>218897.84</v>
      </c>
      <c r="T79" s="166">
        <f>'Mngt-Consulting '!S62</f>
        <v>0</v>
      </c>
      <c r="U79" s="166">
        <f>'Mngt-Senior Audit '!S62</f>
        <v>90341.64</v>
      </c>
      <c r="V79" s="169">
        <f>'Mngt-Digital Solution'!S61</f>
        <v>0</v>
      </c>
      <c r="W79" s="169"/>
      <c r="X79" s="166"/>
      <c r="Y79" s="166"/>
      <c r="Z79" s="170">
        <f>SUM(N79:Y79)</f>
        <v>376059.09</v>
      </c>
      <c r="AA79" s="371">
        <f>Z79-E79</f>
        <v>-48378.909999999974</v>
      </c>
      <c r="BD79" s="685">
        <f>+E79*$BD$7</f>
        <v>439293.32999999996</v>
      </c>
      <c r="BG79" s="637">
        <f>+E79-A79</f>
        <v>305940</v>
      </c>
      <c r="BH79" s="651">
        <f>+BG79-A79</f>
        <v>187442</v>
      </c>
      <c r="BJ79" s="639"/>
      <c r="BK79" s="441"/>
      <c r="BL79" s="441"/>
      <c r="BM79" s="441"/>
      <c r="BN79" s="441"/>
      <c r="BO79" s="441"/>
    </row>
    <row r="80" spans="1:67" ht="15.75" thickBot="1" x14ac:dyDescent="0.3">
      <c r="A80" s="593">
        <v>502090</v>
      </c>
      <c r="B80" s="593">
        <v>0</v>
      </c>
      <c r="C80" s="609">
        <v>457720</v>
      </c>
      <c r="D80" s="610" t="s">
        <v>91</v>
      </c>
      <c r="E80" s="611">
        <v>1888518</v>
      </c>
      <c r="F80" s="593">
        <v>0</v>
      </c>
      <c r="G80" s="593">
        <v>1830231</v>
      </c>
      <c r="H80" s="556"/>
      <c r="I80" s="556"/>
      <c r="J80" s="556"/>
      <c r="K80" s="556"/>
      <c r="N80" s="166"/>
      <c r="O80" s="166"/>
      <c r="P80" s="166"/>
      <c r="Q80" s="166"/>
      <c r="R80" s="166"/>
      <c r="S80" s="166"/>
      <c r="T80" s="166"/>
      <c r="U80" s="166"/>
      <c r="V80" s="169"/>
      <c r="W80" s="169"/>
      <c r="X80" s="166"/>
      <c r="Y80" s="166"/>
      <c r="Z80" s="170"/>
      <c r="AA80" s="371"/>
      <c r="BE80" s="167">
        <v>497</v>
      </c>
      <c r="BF80" s="553">
        <v>894149.85</v>
      </c>
      <c r="BG80" s="637">
        <f>+E80-A80</f>
        <v>1386428</v>
      </c>
      <c r="BH80" s="651">
        <f>+BG80-A80</f>
        <v>884338</v>
      </c>
      <c r="BJ80" s="639"/>
      <c r="BK80" s="441"/>
      <c r="BL80" s="441">
        <f>+BJ80+BK80</f>
        <v>0</v>
      </c>
      <c r="BM80" s="441">
        <f>+G79+G68+G67+G59+G53-E79-E68-E67-E59-E53</f>
        <v>-173210</v>
      </c>
      <c r="BN80" s="441"/>
      <c r="BO80" s="441"/>
    </row>
    <row r="81" spans="1:67" ht="15.75" thickBot="1" x14ac:dyDescent="0.3">
      <c r="A81" s="500">
        <f>+A80/A12</f>
        <v>0.2728374848458337</v>
      </c>
      <c r="B81" s="500" t="e">
        <f>+B80/B12</f>
        <v>#DIV/0!</v>
      </c>
      <c r="C81" s="500">
        <f>+C80/C12</f>
        <v>0.32917797559716189</v>
      </c>
      <c r="D81" s="504"/>
      <c r="E81" s="500">
        <f>+E80/E12</f>
        <v>0.23899261869758681</v>
      </c>
      <c r="F81" s="500" t="e">
        <f>+F80/F12</f>
        <v>#DIV/0!</v>
      </c>
      <c r="G81" s="500">
        <f>+G80/G12</f>
        <v>0.26196960534178781</v>
      </c>
      <c r="H81" s="556"/>
      <c r="I81" s="556"/>
      <c r="J81" s="556"/>
      <c r="K81" s="556"/>
      <c r="N81" s="166"/>
      <c r="O81" s="166"/>
      <c r="P81" s="166"/>
      <c r="Q81" s="166"/>
      <c r="R81" s="166"/>
      <c r="S81" s="166"/>
      <c r="T81" s="166"/>
      <c r="U81" s="166"/>
      <c r="V81" s="169"/>
      <c r="W81" s="169"/>
      <c r="X81" s="166"/>
      <c r="Y81" s="166"/>
      <c r="Z81" s="170"/>
      <c r="AA81" s="371"/>
      <c r="BG81" s="637"/>
      <c r="BJ81" s="639"/>
      <c r="BK81" s="441"/>
      <c r="BL81" s="441"/>
      <c r="BM81" s="441"/>
      <c r="BN81" s="441"/>
      <c r="BO81" s="441"/>
    </row>
    <row r="82" spans="1:67" ht="15.75" thickBot="1" x14ac:dyDescent="0.3">
      <c r="A82" s="593">
        <v>1627956</v>
      </c>
      <c r="B82" s="593">
        <v>0</v>
      </c>
      <c r="C82" s="609">
        <v>1519579</v>
      </c>
      <c r="D82" s="610" t="s">
        <v>92</v>
      </c>
      <c r="E82" s="611">
        <v>6927080</v>
      </c>
      <c r="F82" s="593">
        <v>0</v>
      </c>
      <c r="G82" s="593">
        <v>6500486</v>
      </c>
      <c r="H82" s="556"/>
      <c r="I82" s="556"/>
      <c r="J82" s="556"/>
      <c r="K82" s="556"/>
      <c r="N82" s="166"/>
      <c r="O82" s="166"/>
      <c r="P82" s="166"/>
      <c r="Q82" s="166"/>
      <c r="R82" s="166"/>
      <c r="S82" s="166"/>
      <c r="T82" s="166"/>
      <c r="U82" s="166"/>
      <c r="V82" s="169"/>
      <c r="W82" s="169"/>
      <c r="X82" s="166"/>
      <c r="Y82" s="166"/>
      <c r="Z82" s="170"/>
      <c r="AA82" s="371"/>
      <c r="BG82" s="637"/>
      <c r="BJ82" s="639"/>
      <c r="BK82" s="441"/>
      <c r="BL82" s="441"/>
      <c r="BM82" s="441"/>
      <c r="BN82" s="441"/>
      <c r="BO82" s="441"/>
    </row>
    <row r="83" spans="1:67" ht="15.75" thickBot="1" x14ac:dyDescent="0.3">
      <c r="A83" s="673">
        <v>212297</v>
      </c>
      <c r="B83" s="673">
        <v>0</v>
      </c>
      <c r="C83" s="674">
        <v>-129085</v>
      </c>
      <c r="D83" s="675" t="s">
        <v>8</v>
      </c>
      <c r="E83" s="676">
        <v>974913</v>
      </c>
      <c r="F83" s="673">
        <v>0</v>
      </c>
      <c r="G83" s="673">
        <v>485940</v>
      </c>
      <c r="H83" s="556"/>
      <c r="I83" s="556"/>
      <c r="J83" s="556"/>
      <c r="K83" s="556"/>
      <c r="N83" s="166"/>
      <c r="O83" s="166"/>
      <c r="P83" s="166"/>
      <c r="Q83" s="166"/>
      <c r="R83" s="166"/>
      <c r="S83" s="166"/>
      <c r="T83" s="166"/>
      <c r="U83" s="166"/>
      <c r="V83" s="169"/>
      <c r="W83" s="169"/>
      <c r="X83" s="166"/>
      <c r="Y83" s="166"/>
      <c r="Z83" s="170"/>
      <c r="AA83" s="371"/>
      <c r="BG83" s="637">
        <f t="shared" ref="BG83:BG118" si="5">+E83-A83</f>
        <v>762616</v>
      </c>
      <c r="BH83" s="638">
        <f t="shared" ref="BH83:BH118" si="6">+BG83-A83</f>
        <v>550319</v>
      </c>
      <c r="BJ83" s="639"/>
      <c r="BK83" s="441"/>
      <c r="BL83" s="441"/>
      <c r="BM83" s="441"/>
      <c r="BN83" s="441"/>
      <c r="BO83" s="441"/>
    </row>
    <row r="84" spans="1:67" ht="15" customHeight="1" outlineLevel="1" x14ac:dyDescent="0.25">
      <c r="A84" s="668">
        <v>59579</v>
      </c>
      <c r="B84" s="669">
        <v>0</v>
      </c>
      <c r="C84" s="670">
        <v>54428</v>
      </c>
      <c r="D84" s="671" t="s">
        <v>399</v>
      </c>
      <c r="E84" s="672">
        <v>246215</v>
      </c>
      <c r="F84" s="669">
        <v>0</v>
      </c>
      <c r="G84" s="669">
        <v>252872</v>
      </c>
      <c r="H84" s="552"/>
      <c r="I84" s="552"/>
      <c r="J84" s="552"/>
      <c r="K84" s="552"/>
      <c r="L84" s="364">
        <v>4010</v>
      </c>
      <c r="N84" s="166"/>
      <c r="O84" s="166"/>
      <c r="P84" s="166"/>
      <c r="Q84" s="166"/>
      <c r="R84" s="166"/>
      <c r="S84" s="166"/>
      <c r="T84" s="166"/>
      <c r="U84" s="166"/>
      <c r="V84" s="169"/>
      <c r="W84" s="169"/>
      <c r="X84" s="166"/>
      <c r="Y84" s="166"/>
      <c r="Z84" s="170"/>
      <c r="AA84" s="371"/>
      <c r="BG84" s="637">
        <f t="shared" si="5"/>
        <v>186636</v>
      </c>
      <c r="BH84" s="638">
        <f t="shared" si="6"/>
        <v>127057</v>
      </c>
      <c r="BJ84" s="639"/>
      <c r="BK84" s="441"/>
      <c r="BL84" s="441"/>
      <c r="BM84" s="441"/>
      <c r="BN84" s="441"/>
      <c r="BO84" s="441"/>
    </row>
    <row r="85" spans="1:67" ht="15" customHeight="1" outlineLevel="1" x14ac:dyDescent="0.25">
      <c r="A85" s="573">
        <v>3721</v>
      </c>
      <c r="B85" s="594">
        <v>0</v>
      </c>
      <c r="C85" s="595">
        <v>3646</v>
      </c>
      <c r="D85" s="502" t="s">
        <v>93</v>
      </c>
      <c r="E85" s="596">
        <v>15319</v>
      </c>
      <c r="F85" s="594">
        <v>0</v>
      </c>
      <c r="G85" s="594">
        <v>15681</v>
      </c>
      <c r="H85" s="552"/>
      <c r="I85" s="552"/>
      <c r="J85" s="552"/>
      <c r="K85" s="552"/>
      <c r="N85" s="166"/>
      <c r="O85" s="166"/>
      <c r="P85" s="166"/>
      <c r="Q85" s="166"/>
      <c r="R85" s="166"/>
      <c r="S85" s="166"/>
      <c r="T85" s="166"/>
      <c r="U85" s="166"/>
      <c r="V85" s="169"/>
      <c r="W85" s="169"/>
      <c r="X85" s="166"/>
      <c r="Y85" s="166"/>
      <c r="Z85" s="170"/>
      <c r="AA85" s="371"/>
      <c r="BG85" s="637">
        <f t="shared" si="5"/>
        <v>11598</v>
      </c>
      <c r="BH85" s="638">
        <f t="shared" si="6"/>
        <v>7877</v>
      </c>
      <c r="BJ85" s="639"/>
      <c r="BK85" s="441"/>
      <c r="BL85" s="441"/>
      <c r="BM85" s="441"/>
      <c r="BN85" s="441"/>
      <c r="BO85" s="441"/>
    </row>
    <row r="86" spans="1:67" ht="15" customHeight="1" outlineLevel="1" x14ac:dyDescent="0.25">
      <c r="A86" s="573">
        <v>-5247</v>
      </c>
      <c r="B86" s="594"/>
      <c r="C86" s="595">
        <v>-24186</v>
      </c>
      <c r="D86" s="502" t="s">
        <v>564</v>
      </c>
      <c r="E86" s="596">
        <v>-21719</v>
      </c>
      <c r="F86" s="594"/>
      <c r="G86" s="594">
        <v>-61071</v>
      </c>
      <c r="H86" s="552"/>
      <c r="I86" s="552"/>
      <c r="J86" s="552"/>
      <c r="K86" s="552"/>
      <c r="L86" s="364">
        <v>4020</v>
      </c>
      <c r="N86" s="166"/>
      <c r="O86" s="166"/>
      <c r="P86" s="166"/>
      <c r="Q86" s="166"/>
      <c r="R86" s="166"/>
      <c r="S86" s="166"/>
      <c r="T86" s="166"/>
      <c r="U86" s="166"/>
      <c r="V86" s="169"/>
      <c r="W86" s="169"/>
      <c r="X86" s="166"/>
      <c r="Y86" s="166"/>
      <c r="Z86" s="170"/>
      <c r="AA86" s="371"/>
      <c r="BG86" s="637">
        <f t="shared" si="5"/>
        <v>-16472</v>
      </c>
      <c r="BH86" s="638">
        <f t="shared" si="6"/>
        <v>-11225</v>
      </c>
      <c r="BJ86" s="639"/>
      <c r="BK86" s="441"/>
      <c r="BL86" s="441"/>
      <c r="BM86" s="441"/>
      <c r="BN86" s="441"/>
      <c r="BO86" s="441"/>
    </row>
    <row r="87" spans="1:67" ht="15" customHeight="1" outlineLevel="1" x14ac:dyDescent="0.25">
      <c r="A87" s="573">
        <v>11617</v>
      </c>
      <c r="B87" s="594">
        <v>0</v>
      </c>
      <c r="C87" s="595">
        <v>14625</v>
      </c>
      <c r="D87" s="502" t="s">
        <v>94</v>
      </c>
      <c r="E87" s="596">
        <v>20936</v>
      </c>
      <c r="F87" s="594">
        <v>0</v>
      </c>
      <c r="G87" s="594">
        <v>30753</v>
      </c>
      <c r="H87" s="552"/>
      <c r="I87" s="552"/>
      <c r="J87" s="552"/>
      <c r="K87" s="552"/>
      <c r="L87" s="364">
        <v>4060</v>
      </c>
      <c r="N87" s="166"/>
      <c r="O87" s="166"/>
      <c r="P87" s="166"/>
      <c r="Q87" s="166"/>
      <c r="R87" s="166"/>
      <c r="S87" s="166"/>
      <c r="T87" s="166"/>
      <c r="U87" s="166"/>
      <c r="V87" s="169"/>
      <c r="W87" s="169"/>
      <c r="X87" s="166"/>
      <c r="Y87" s="166"/>
      <c r="Z87" s="170"/>
      <c r="AA87" s="371"/>
      <c r="BG87" s="637">
        <f t="shared" si="5"/>
        <v>9319</v>
      </c>
      <c r="BH87" s="638">
        <f t="shared" si="6"/>
        <v>-2298</v>
      </c>
      <c r="BJ87" s="639"/>
      <c r="BK87" s="441"/>
      <c r="BL87" s="441"/>
      <c r="BM87" s="441"/>
      <c r="BN87" s="441"/>
      <c r="BO87" s="441"/>
    </row>
    <row r="88" spans="1:67" ht="15" customHeight="1" outlineLevel="1" x14ac:dyDescent="0.25">
      <c r="A88" s="573">
        <v>1233</v>
      </c>
      <c r="B88" s="594">
        <v>0</v>
      </c>
      <c r="C88" s="595">
        <v>774</v>
      </c>
      <c r="D88" s="502" t="s">
        <v>60</v>
      </c>
      <c r="E88" s="596">
        <v>4932</v>
      </c>
      <c r="F88" s="594">
        <v>0</v>
      </c>
      <c r="G88" s="594">
        <v>774</v>
      </c>
      <c r="H88" s="552"/>
      <c r="I88" s="552"/>
      <c r="J88" s="552"/>
      <c r="K88" s="552"/>
      <c r="L88" s="364">
        <v>4080</v>
      </c>
      <c r="N88" s="166"/>
      <c r="O88" s="166"/>
      <c r="P88" s="166"/>
      <c r="Q88" s="166"/>
      <c r="R88" s="166"/>
      <c r="S88" s="166"/>
      <c r="T88" s="166"/>
      <c r="U88" s="166"/>
      <c r="V88" s="169"/>
      <c r="W88" s="169"/>
      <c r="X88" s="166"/>
      <c r="Y88" s="166"/>
      <c r="Z88" s="170"/>
      <c r="AA88" s="371"/>
      <c r="BG88" s="637">
        <f t="shared" si="5"/>
        <v>3699</v>
      </c>
      <c r="BH88" s="638">
        <f t="shared" si="6"/>
        <v>2466</v>
      </c>
      <c r="BJ88" s="639"/>
      <c r="BK88" s="441"/>
      <c r="BL88" s="441"/>
      <c r="BM88" s="441"/>
      <c r="BN88" s="441"/>
      <c r="BO88" s="441"/>
    </row>
    <row r="89" spans="1:67" ht="15" customHeight="1" outlineLevel="1" x14ac:dyDescent="0.25">
      <c r="A89" s="573">
        <v>616</v>
      </c>
      <c r="B89" s="594">
        <v>0</v>
      </c>
      <c r="C89" s="595">
        <v>204</v>
      </c>
      <c r="D89" s="502" t="s">
        <v>61</v>
      </c>
      <c r="E89" s="596">
        <v>2497</v>
      </c>
      <c r="F89" s="594">
        <v>0</v>
      </c>
      <c r="G89" s="594">
        <v>587</v>
      </c>
      <c r="H89" s="552"/>
      <c r="I89" s="552"/>
      <c r="J89" s="552"/>
      <c r="K89" s="552"/>
      <c r="N89" s="166"/>
      <c r="O89" s="166"/>
      <c r="P89" s="166"/>
      <c r="Q89" s="166"/>
      <c r="R89" s="166"/>
      <c r="S89" s="166"/>
      <c r="T89" s="166"/>
      <c r="U89" s="166"/>
      <c r="V89" s="169"/>
      <c r="W89" s="169"/>
      <c r="X89" s="166"/>
      <c r="Y89" s="166"/>
      <c r="Z89" s="170"/>
      <c r="AA89" s="371"/>
      <c r="BG89" s="637">
        <f t="shared" si="5"/>
        <v>1881</v>
      </c>
      <c r="BH89" s="638">
        <f t="shared" si="6"/>
        <v>1265</v>
      </c>
      <c r="BJ89" s="639"/>
      <c r="BK89" s="441"/>
      <c r="BL89" s="441"/>
      <c r="BM89" s="441"/>
      <c r="BN89" s="441"/>
      <c r="BO89" s="441"/>
    </row>
    <row r="90" spans="1:67" ht="15" customHeight="1" outlineLevel="1" x14ac:dyDescent="0.25">
      <c r="A90" s="573">
        <v>6159</v>
      </c>
      <c r="B90" s="594">
        <v>0</v>
      </c>
      <c r="C90" s="595">
        <v>5937</v>
      </c>
      <c r="D90" s="502" t="s">
        <v>95</v>
      </c>
      <c r="E90" s="596">
        <v>24346</v>
      </c>
      <c r="F90" s="594">
        <v>0</v>
      </c>
      <c r="G90" s="594">
        <v>23984</v>
      </c>
      <c r="H90" s="552"/>
      <c r="I90" s="552"/>
      <c r="J90" s="552"/>
      <c r="K90" s="552"/>
      <c r="N90" s="166"/>
      <c r="O90" s="166"/>
      <c r="P90" s="166"/>
      <c r="Q90" s="166"/>
      <c r="R90" s="166"/>
      <c r="S90" s="166"/>
      <c r="T90" s="166"/>
      <c r="U90" s="166"/>
      <c r="V90" s="169"/>
      <c r="W90" s="169"/>
      <c r="X90" s="166"/>
      <c r="Y90" s="166"/>
      <c r="Z90" s="170"/>
      <c r="AA90" s="371"/>
      <c r="BG90" s="637">
        <f t="shared" si="5"/>
        <v>18187</v>
      </c>
      <c r="BH90" s="638">
        <f t="shared" si="6"/>
        <v>12028</v>
      </c>
      <c r="BJ90" s="639"/>
      <c r="BK90" s="441"/>
      <c r="BL90" s="441"/>
      <c r="BM90" s="441"/>
      <c r="BN90" s="441"/>
      <c r="BO90" s="441"/>
    </row>
    <row r="91" spans="1:67" x14ac:dyDescent="0.25">
      <c r="A91" s="590">
        <v>77678</v>
      </c>
      <c r="B91" s="597">
        <v>0</v>
      </c>
      <c r="C91" s="598">
        <v>55427</v>
      </c>
      <c r="D91" s="599" t="s">
        <v>96</v>
      </c>
      <c r="E91" s="600">
        <v>292525</v>
      </c>
      <c r="F91" s="597">
        <v>0</v>
      </c>
      <c r="G91" s="597">
        <v>263579</v>
      </c>
      <c r="H91" s="556"/>
      <c r="I91" s="556"/>
      <c r="J91" s="556"/>
      <c r="K91" s="556"/>
      <c r="N91" s="166"/>
      <c r="O91" s="166"/>
      <c r="P91" s="166"/>
      <c r="Q91" s="166"/>
      <c r="R91" s="166"/>
      <c r="S91" s="166"/>
      <c r="T91" s="166"/>
      <c r="U91" s="166"/>
      <c r="V91" s="169"/>
      <c r="W91" s="169">
        <f>'Mngt-S&amp;M '!$S$9</f>
        <v>292525.09000000003</v>
      </c>
      <c r="X91" s="166"/>
      <c r="Y91" s="166"/>
      <c r="Z91" s="170">
        <f>W91</f>
        <v>292525.09000000003</v>
      </c>
      <c r="AA91" s="371">
        <f>E91-Z91</f>
        <v>-9.0000000025611371E-2</v>
      </c>
      <c r="AK91" s="169">
        <f>'Mngt-S&amp;M '!$AF$9</f>
        <v>0</v>
      </c>
      <c r="AL91" s="166"/>
      <c r="AM91" s="166"/>
      <c r="AN91" s="170">
        <f>AK91</f>
        <v>0</v>
      </c>
      <c r="AO91" s="375">
        <f>F91-AN91</f>
        <v>0</v>
      </c>
      <c r="AY91" s="169">
        <f>'Mngt-S&amp;M '!$AS$9</f>
        <v>263578.90999999997</v>
      </c>
      <c r="AZ91" s="166"/>
      <c r="BA91" s="166"/>
      <c r="BB91" s="170">
        <f>AY91</f>
        <v>263578.90999999997</v>
      </c>
      <c r="BC91" s="375">
        <f>G91-BB91</f>
        <v>9.0000000025611371E-2</v>
      </c>
      <c r="BD91" s="685">
        <f>+E91*$BD$7</f>
        <v>302763.375</v>
      </c>
      <c r="BF91" s="553">
        <v>79191.833333333328</v>
      </c>
      <c r="BG91" s="637">
        <f t="shared" si="5"/>
        <v>214847</v>
      </c>
      <c r="BH91" s="638">
        <f t="shared" si="6"/>
        <v>137169</v>
      </c>
      <c r="BJ91" s="682">
        <f>+G91*-0.05</f>
        <v>-13178.95</v>
      </c>
      <c r="BK91" s="441">
        <f>+BM91-BJ91</f>
        <v>-15767.05</v>
      </c>
      <c r="BL91" s="441">
        <f>+BJ91+BK91</f>
        <v>-28946</v>
      </c>
      <c r="BM91" s="441">
        <f>+G91-E91</f>
        <v>-28946</v>
      </c>
      <c r="BN91" s="441">
        <f>+BL91-BM91</f>
        <v>0</v>
      </c>
      <c r="BO91" s="441"/>
    </row>
    <row r="92" spans="1:67" collapsed="1" x14ac:dyDescent="0.25">
      <c r="A92" s="573">
        <v>0</v>
      </c>
      <c r="B92" s="594">
        <v>0</v>
      </c>
      <c r="C92" s="595">
        <v>146</v>
      </c>
      <c r="D92" s="502" t="s">
        <v>64</v>
      </c>
      <c r="E92" s="596">
        <v>0</v>
      </c>
      <c r="F92" s="594">
        <v>0</v>
      </c>
      <c r="G92" s="594">
        <v>738</v>
      </c>
      <c r="H92" s="556"/>
      <c r="I92" s="556"/>
      <c r="J92" s="556"/>
      <c r="K92" s="556"/>
      <c r="L92" s="364">
        <v>4405</v>
      </c>
      <c r="N92" s="166"/>
      <c r="O92" s="166"/>
      <c r="P92" s="166"/>
      <c r="Q92" s="166"/>
      <c r="R92" s="166"/>
      <c r="S92" s="166"/>
      <c r="T92" s="166"/>
      <c r="U92" s="166"/>
      <c r="V92" s="169"/>
      <c r="W92" s="169">
        <f>'Mngt-S&amp;M '!$S$17</f>
        <v>0</v>
      </c>
      <c r="X92" s="166"/>
      <c r="Y92" s="166"/>
      <c r="Z92" s="170">
        <f>W92</f>
        <v>0</v>
      </c>
      <c r="AA92" s="371">
        <f>E92-Z92</f>
        <v>0</v>
      </c>
      <c r="AK92" s="169">
        <f>'Mngt-S&amp;M '!$AF$17</f>
        <v>0</v>
      </c>
      <c r="AL92" s="166"/>
      <c r="AM92" s="166"/>
      <c r="AN92" s="170">
        <f>AK92</f>
        <v>0</v>
      </c>
      <c r="AO92" s="375">
        <f>F92-AN92</f>
        <v>0</v>
      </c>
      <c r="AY92" s="169">
        <f>'Mngt-S&amp;M '!$AS$17</f>
        <v>737.73</v>
      </c>
      <c r="AZ92" s="166"/>
      <c r="BA92" s="166"/>
      <c r="BB92" s="170">
        <f>AY92</f>
        <v>737.73</v>
      </c>
      <c r="BC92" s="375">
        <f>G92-BB92</f>
        <v>0.26999999999998181</v>
      </c>
      <c r="BD92" s="681">
        <f>+E92</f>
        <v>0</v>
      </c>
      <c r="BG92" s="637">
        <f t="shared" si="5"/>
        <v>0</v>
      </c>
      <c r="BH92" s="638">
        <f t="shared" si="6"/>
        <v>0</v>
      </c>
      <c r="BJ92" s="639"/>
      <c r="BK92" s="441"/>
      <c r="BL92" s="441"/>
      <c r="BM92" s="441"/>
      <c r="BN92" s="441"/>
      <c r="BO92" s="441"/>
    </row>
    <row r="93" spans="1:67" collapsed="1" x14ac:dyDescent="0.25">
      <c r="A93" s="573">
        <v>3335</v>
      </c>
      <c r="B93" s="594">
        <v>0</v>
      </c>
      <c r="C93" s="595">
        <v>3127</v>
      </c>
      <c r="D93" s="502" t="s">
        <v>247</v>
      </c>
      <c r="E93" s="596">
        <v>13482</v>
      </c>
      <c r="F93" s="594">
        <v>0</v>
      </c>
      <c r="G93" s="594">
        <v>12671</v>
      </c>
      <c r="H93" s="556"/>
      <c r="I93" s="556"/>
      <c r="J93" s="556"/>
      <c r="K93" s="556"/>
      <c r="L93" s="364">
        <v>4450</v>
      </c>
      <c r="N93" s="166"/>
      <c r="O93" s="166"/>
      <c r="P93" s="166"/>
      <c r="Q93" s="166"/>
      <c r="R93" s="166"/>
      <c r="S93" s="166"/>
      <c r="T93" s="166"/>
      <c r="U93" s="166"/>
      <c r="V93" s="169"/>
      <c r="W93" s="169">
        <f>'Mngt-S&amp;M '!$S$18</f>
        <v>13482.23</v>
      </c>
      <c r="X93" s="166"/>
      <c r="Y93" s="166"/>
      <c r="Z93" s="170">
        <f>W93</f>
        <v>13482.23</v>
      </c>
      <c r="AA93" s="371">
        <f>E93-Z93</f>
        <v>-0.22999999999956344</v>
      </c>
      <c r="AK93" s="169">
        <f>'Mngt-S&amp;M '!$AF$18</f>
        <v>0</v>
      </c>
      <c r="AL93" s="166"/>
      <c r="AM93" s="166"/>
      <c r="AN93" s="170">
        <f>AK93</f>
        <v>0</v>
      </c>
      <c r="AO93" s="375">
        <f>F93-AN93</f>
        <v>0</v>
      </c>
      <c r="AY93" s="169">
        <f>'Mngt-S&amp;M '!$AS$18</f>
        <v>12670.8</v>
      </c>
      <c r="AZ93" s="166"/>
      <c r="BA93" s="166"/>
      <c r="BB93" s="170">
        <f>AY93</f>
        <v>12670.8</v>
      </c>
      <c r="BC93" s="375">
        <f>G93-BB93</f>
        <v>0.2000000000007276</v>
      </c>
      <c r="BD93" s="681">
        <f>+E93</f>
        <v>13482</v>
      </c>
      <c r="BG93" s="637">
        <f t="shared" si="5"/>
        <v>10147</v>
      </c>
      <c r="BH93" s="638">
        <f t="shared" si="6"/>
        <v>6812</v>
      </c>
      <c r="BJ93" s="639"/>
      <c r="BK93" s="441"/>
      <c r="BL93" s="441"/>
      <c r="BM93" s="441"/>
      <c r="BN93" s="441"/>
      <c r="BO93" s="441"/>
    </row>
    <row r="94" spans="1:67" ht="15" customHeight="1" outlineLevel="1" x14ac:dyDescent="0.25">
      <c r="A94" s="573">
        <v>0</v>
      </c>
      <c r="B94" s="594">
        <v>0</v>
      </c>
      <c r="C94" s="595">
        <v>0</v>
      </c>
      <c r="D94" s="502" t="s">
        <v>109</v>
      </c>
      <c r="E94" s="596">
        <v>555</v>
      </c>
      <c r="F94" s="594">
        <v>0</v>
      </c>
      <c r="G94" s="594">
        <v>120</v>
      </c>
      <c r="H94" s="552"/>
      <c r="I94" s="552"/>
      <c r="J94" s="552"/>
      <c r="K94" s="552"/>
      <c r="N94" s="166"/>
      <c r="O94" s="166"/>
      <c r="P94" s="166"/>
      <c r="Q94" s="166"/>
      <c r="R94" s="166"/>
      <c r="S94" s="166"/>
      <c r="T94" s="166"/>
      <c r="U94" s="166"/>
      <c r="V94" s="169"/>
      <c r="W94" s="169"/>
      <c r="X94" s="166"/>
      <c r="Y94" s="166"/>
      <c r="Z94" s="170"/>
      <c r="AA94" s="371"/>
      <c r="AK94" s="169"/>
      <c r="AL94" s="166"/>
      <c r="AM94" s="166"/>
      <c r="AN94" s="170"/>
      <c r="AY94" s="169"/>
      <c r="AZ94" s="166"/>
      <c r="BA94" s="166"/>
      <c r="BB94" s="170"/>
      <c r="BG94" s="637">
        <f t="shared" si="5"/>
        <v>555</v>
      </c>
      <c r="BH94" s="638">
        <f t="shared" si="6"/>
        <v>555</v>
      </c>
      <c r="BJ94" s="639"/>
      <c r="BK94" s="441"/>
      <c r="BL94" s="441"/>
      <c r="BM94" s="441"/>
      <c r="BN94" s="441"/>
      <c r="BO94" s="441"/>
    </row>
    <row r="95" spans="1:67" ht="15" customHeight="1" outlineLevel="1" x14ac:dyDescent="0.25">
      <c r="A95" s="573">
        <v>57</v>
      </c>
      <c r="B95" s="594">
        <v>0</v>
      </c>
      <c r="C95" s="595">
        <v>57</v>
      </c>
      <c r="D95" s="502" t="s">
        <v>97</v>
      </c>
      <c r="E95" s="596">
        <v>228</v>
      </c>
      <c r="F95" s="594">
        <v>0</v>
      </c>
      <c r="G95" s="594">
        <v>198</v>
      </c>
      <c r="H95" s="552"/>
      <c r="I95" s="552"/>
      <c r="J95" s="552"/>
      <c r="K95" s="552"/>
      <c r="N95" s="166"/>
      <c r="O95" s="166"/>
      <c r="P95" s="166"/>
      <c r="Q95" s="166"/>
      <c r="R95" s="166"/>
      <c r="S95" s="166"/>
      <c r="T95" s="166"/>
      <c r="U95" s="166"/>
      <c r="V95" s="169"/>
      <c r="W95" s="169"/>
      <c r="X95" s="166"/>
      <c r="Y95" s="166"/>
      <c r="Z95" s="170"/>
      <c r="AA95" s="371"/>
      <c r="AK95" s="169"/>
      <c r="AL95" s="166"/>
      <c r="AM95" s="166"/>
      <c r="AN95" s="170"/>
      <c r="AY95" s="169"/>
      <c r="AZ95" s="166"/>
      <c r="BA95" s="166"/>
      <c r="BB95" s="170"/>
      <c r="BG95" s="637">
        <f t="shared" si="5"/>
        <v>171</v>
      </c>
      <c r="BH95" s="638">
        <f t="shared" si="6"/>
        <v>114</v>
      </c>
      <c r="BJ95" s="639"/>
      <c r="BK95" s="441"/>
      <c r="BL95" s="441"/>
      <c r="BM95" s="441"/>
      <c r="BN95" s="441"/>
      <c r="BO95" s="441"/>
    </row>
    <row r="96" spans="1:67" x14ac:dyDescent="0.25">
      <c r="A96" s="590">
        <v>57</v>
      </c>
      <c r="B96" s="597">
        <v>0</v>
      </c>
      <c r="C96" s="598">
        <v>57</v>
      </c>
      <c r="D96" s="599" t="s">
        <v>98</v>
      </c>
      <c r="E96" s="600">
        <v>783</v>
      </c>
      <c r="F96" s="597">
        <v>0</v>
      </c>
      <c r="G96" s="597">
        <v>318</v>
      </c>
      <c r="H96" s="556"/>
      <c r="I96" s="556"/>
      <c r="J96" s="556"/>
      <c r="K96" s="556"/>
      <c r="N96" s="166"/>
      <c r="O96" s="166"/>
      <c r="P96" s="166"/>
      <c r="Q96" s="166"/>
      <c r="R96" s="166"/>
      <c r="S96" s="166"/>
      <c r="T96" s="166"/>
      <c r="U96" s="166"/>
      <c r="V96" s="169"/>
      <c r="W96" s="169">
        <f>'Mngt-S&amp;M '!$S$22</f>
        <v>783.27</v>
      </c>
      <c r="X96" s="166"/>
      <c r="Y96" s="166"/>
      <c r="Z96" s="170">
        <f>W96</f>
        <v>783.27</v>
      </c>
      <c r="AA96" s="371">
        <f>E96-Z96</f>
        <v>-0.26999999999998181</v>
      </c>
      <c r="AK96" s="169">
        <f>'Mngt-S&amp;M '!$AF$22</f>
        <v>0</v>
      </c>
      <c r="AL96" s="166"/>
      <c r="AM96" s="166"/>
      <c r="AN96" s="170">
        <f>AK96</f>
        <v>0</v>
      </c>
      <c r="AO96" s="375">
        <f>F96-AN96</f>
        <v>0</v>
      </c>
      <c r="AY96" s="169">
        <f>'Mngt-S&amp;M '!$AS$22</f>
        <v>318.2</v>
      </c>
      <c r="AZ96" s="166"/>
      <c r="BA96" s="166"/>
      <c r="BB96" s="170">
        <f>AY96</f>
        <v>318.2</v>
      </c>
      <c r="BC96" s="375">
        <f>G96-BB96</f>
        <v>-0.19999999999998863</v>
      </c>
      <c r="BD96" s="685">
        <f>+E96*$BD$7</f>
        <v>810.40499999999997</v>
      </c>
      <c r="BF96" s="553">
        <v>76.833333333333329</v>
      </c>
      <c r="BG96" s="637">
        <f t="shared" si="5"/>
        <v>726</v>
      </c>
      <c r="BH96" s="638">
        <f t="shared" si="6"/>
        <v>669</v>
      </c>
      <c r="BJ96" s="639"/>
      <c r="BK96" s="441"/>
      <c r="BL96" s="441"/>
      <c r="BM96" s="441"/>
      <c r="BN96" s="441"/>
      <c r="BO96" s="441"/>
    </row>
    <row r="97" spans="1:67" ht="15" customHeight="1" outlineLevel="1" x14ac:dyDescent="0.25">
      <c r="A97" s="573">
        <v>562</v>
      </c>
      <c r="B97" s="594">
        <v>0</v>
      </c>
      <c r="C97" s="595">
        <v>706</v>
      </c>
      <c r="D97" s="502" t="s">
        <v>99</v>
      </c>
      <c r="E97" s="596">
        <v>2225</v>
      </c>
      <c r="F97" s="594">
        <v>0</v>
      </c>
      <c r="G97" s="594">
        <v>1988</v>
      </c>
      <c r="H97" s="552"/>
      <c r="I97" s="552"/>
      <c r="J97" s="552"/>
      <c r="K97" s="552"/>
      <c r="L97" s="364" t="s">
        <v>363</v>
      </c>
      <c r="M97" s="363" t="s">
        <v>366</v>
      </c>
      <c r="N97" s="166"/>
      <c r="O97" s="166"/>
      <c r="P97" s="166"/>
      <c r="Q97" s="166"/>
      <c r="R97" s="166"/>
      <c r="S97" s="166"/>
      <c r="T97" s="166"/>
      <c r="U97" s="166"/>
      <c r="V97" s="169"/>
      <c r="W97" s="169"/>
      <c r="X97" s="166"/>
      <c r="Y97" s="166"/>
      <c r="Z97" s="170"/>
      <c r="AA97" s="371"/>
      <c r="AK97" s="169"/>
      <c r="AL97" s="166"/>
      <c r="AM97" s="166"/>
      <c r="AN97" s="170"/>
      <c r="AY97" s="169"/>
      <c r="AZ97" s="166"/>
      <c r="BA97" s="166"/>
      <c r="BB97" s="170"/>
      <c r="BG97" s="637">
        <f t="shared" si="5"/>
        <v>1663</v>
      </c>
      <c r="BH97" s="638">
        <f t="shared" si="6"/>
        <v>1101</v>
      </c>
      <c r="BJ97" s="639"/>
      <c r="BK97" s="441"/>
      <c r="BL97" s="441"/>
      <c r="BM97" s="441"/>
      <c r="BN97" s="441"/>
      <c r="BO97" s="441"/>
    </row>
    <row r="98" spans="1:67" ht="15" customHeight="1" outlineLevel="1" x14ac:dyDescent="0.25">
      <c r="A98" s="573">
        <v>352</v>
      </c>
      <c r="B98" s="594">
        <v>0</v>
      </c>
      <c r="C98" s="595">
        <v>380</v>
      </c>
      <c r="D98" s="502" t="s">
        <v>100</v>
      </c>
      <c r="E98" s="596">
        <v>2013</v>
      </c>
      <c r="F98" s="594">
        <v>0</v>
      </c>
      <c r="G98" s="594">
        <v>2454</v>
      </c>
      <c r="H98" s="552"/>
      <c r="I98" s="552"/>
      <c r="J98" s="552"/>
      <c r="K98" s="552"/>
      <c r="L98" s="364">
        <v>4820</v>
      </c>
      <c r="M98" s="363" t="s">
        <v>367</v>
      </c>
      <c r="N98" s="166"/>
      <c r="O98" s="166"/>
      <c r="P98" s="166"/>
      <c r="Q98" s="166"/>
      <c r="R98" s="166"/>
      <c r="S98" s="166"/>
      <c r="T98" s="166"/>
      <c r="U98" s="166"/>
      <c r="V98" s="169"/>
      <c r="W98" s="169"/>
      <c r="X98" s="166"/>
      <c r="Y98" s="166"/>
      <c r="Z98" s="170"/>
      <c r="AA98" s="371"/>
      <c r="AK98" s="169"/>
      <c r="AL98" s="166"/>
      <c r="AM98" s="166"/>
      <c r="AN98" s="170"/>
      <c r="AY98" s="169"/>
      <c r="AZ98" s="166"/>
      <c r="BA98" s="166"/>
      <c r="BB98" s="170"/>
      <c r="BG98" s="637">
        <f t="shared" si="5"/>
        <v>1661</v>
      </c>
      <c r="BH98" s="638">
        <f t="shared" si="6"/>
        <v>1309</v>
      </c>
      <c r="BJ98" s="639"/>
      <c r="BK98" s="441"/>
      <c r="BL98" s="441"/>
      <c r="BM98" s="441"/>
      <c r="BN98" s="441"/>
      <c r="BO98" s="441"/>
    </row>
    <row r="99" spans="1:67" ht="15" customHeight="1" outlineLevel="1" x14ac:dyDescent="0.25">
      <c r="A99" s="573">
        <v>638</v>
      </c>
      <c r="B99" s="594">
        <v>0</v>
      </c>
      <c r="C99" s="595">
        <v>228</v>
      </c>
      <c r="D99" s="502" t="s">
        <v>101</v>
      </c>
      <c r="E99" s="596">
        <v>3222</v>
      </c>
      <c r="F99" s="594">
        <v>0</v>
      </c>
      <c r="G99" s="594">
        <v>3208</v>
      </c>
      <c r="H99" s="552"/>
      <c r="I99" s="552"/>
      <c r="J99" s="552"/>
      <c r="K99" s="552"/>
      <c r="L99" s="364" t="s">
        <v>364</v>
      </c>
      <c r="M99" s="363" t="s">
        <v>368</v>
      </c>
      <c r="N99" s="166"/>
      <c r="O99" s="166"/>
      <c r="P99" s="166"/>
      <c r="Q99" s="166"/>
      <c r="R99" s="166"/>
      <c r="S99" s="166"/>
      <c r="T99" s="166"/>
      <c r="U99" s="166"/>
      <c r="V99" s="169"/>
      <c r="W99" s="169"/>
      <c r="X99" s="166"/>
      <c r="Y99" s="166"/>
      <c r="Z99" s="170"/>
      <c r="AA99" s="371"/>
      <c r="AK99" s="169"/>
      <c r="AL99" s="166"/>
      <c r="AM99" s="166"/>
      <c r="AN99" s="170"/>
      <c r="AY99" s="169"/>
      <c r="AZ99" s="166"/>
      <c r="BA99" s="166"/>
      <c r="BB99" s="170"/>
      <c r="BG99" s="637">
        <f t="shared" si="5"/>
        <v>2584</v>
      </c>
      <c r="BH99" s="638">
        <f t="shared" si="6"/>
        <v>1946</v>
      </c>
      <c r="BJ99" s="639"/>
      <c r="BK99" s="441"/>
      <c r="BL99" s="441"/>
      <c r="BM99" s="441"/>
      <c r="BN99" s="441"/>
      <c r="BO99" s="441"/>
    </row>
    <row r="100" spans="1:67" ht="15" customHeight="1" outlineLevel="1" x14ac:dyDescent="0.25">
      <c r="A100" s="573">
        <v>466</v>
      </c>
      <c r="B100" s="594">
        <v>0</v>
      </c>
      <c r="C100" s="595">
        <v>465</v>
      </c>
      <c r="D100" s="502" t="s">
        <v>102</v>
      </c>
      <c r="E100" s="596">
        <v>1846</v>
      </c>
      <c r="F100" s="594">
        <v>0</v>
      </c>
      <c r="G100" s="594">
        <v>1811</v>
      </c>
      <c r="H100" s="552"/>
      <c r="I100" s="552"/>
      <c r="J100" s="552"/>
      <c r="K100" s="552"/>
      <c r="L100" s="364">
        <v>4840</v>
      </c>
      <c r="M100" s="363" t="s">
        <v>369</v>
      </c>
      <c r="N100" s="166"/>
      <c r="O100" s="166"/>
      <c r="P100" s="166"/>
      <c r="Q100" s="166"/>
      <c r="R100" s="166"/>
      <c r="S100" s="166"/>
      <c r="T100" s="166"/>
      <c r="U100" s="166"/>
      <c r="V100" s="169"/>
      <c r="W100" s="169"/>
      <c r="X100" s="166"/>
      <c r="Y100" s="166"/>
      <c r="Z100" s="170"/>
      <c r="AA100" s="371"/>
      <c r="AK100" s="169"/>
      <c r="AL100" s="166"/>
      <c r="AM100" s="166"/>
      <c r="AN100" s="170"/>
      <c r="AY100" s="169"/>
      <c r="AZ100" s="166"/>
      <c r="BA100" s="166"/>
      <c r="BB100" s="170"/>
      <c r="BG100" s="637">
        <f t="shared" si="5"/>
        <v>1380</v>
      </c>
      <c r="BH100" s="638">
        <f t="shared" si="6"/>
        <v>914</v>
      </c>
      <c r="BJ100" s="639"/>
      <c r="BK100" s="441"/>
      <c r="BL100" s="441"/>
      <c r="BM100" s="441"/>
      <c r="BN100" s="441"/>
      <c r="BO100" s="441"/>
    </row>
    <row r="101" spans="1:67" ht="15" customHeight="1" outlineLevel="1" x14ac:dyDescent="0.25">
      <c r="A101" s="573">
        <v>267</v>
      </c>
      <c r="B101" s="594">
        <v>0</v>
      </c>
      <c r="C101" s="595">
        <v>0</v>
      </c>
      <c r="D101" s="502" t="s">
        <v>75</v>
      </c>
      <c r="E101" s="596">
        <v>345</v>
      </c>
      <c r="F101" s="594">
        <v>0</v>
      </c>
      <c r="G101" s="594">
        <v>0</v>
      </c>
      <c r="H101" s="552"/>
      <c r="I101" s="552"/>
      <c r="J101" s="552"/>
      <c r="K101" s="552"/>
      <c r="N101" s="166"/>
      <c r="O101" s="166"/>
      <c r="P101" s="166"/>
      <c r="Q101" s="166"/>
      <c r="R101" s="166"/>
      <c r="S101" s="166"/>
      <c r="T101" s="166"/>
      <c r="U101" s="166"/>
      <c r="V101" s="169"/>
      <c r="W101" s="169"/>
      <c r="X101" s="166"/>
      <c r="Y101" s="166"/>
      <c r="Z101" s="170"/>
      <c r="AA101" s="371"/>
      <c r="AK101" s="169"/>
      <c r="AL101" s="166"/>
      <c r="AM101" s="166"/>
      <c r="AN101" s="170"/>
      <c r="AY101" s="169"/>
      <c r="AZ101" s="166"/>
      <c r="BA101" s="166"/>
      <c r="BB101" s="170"/>
      <c r="BG101" s="637"/>
      <c r="BH101" s="638"/>
      <c r="BJ101" s="639"/>
      <c r="BK101" s="441"/>
      <c r="BL101" s="441"/>
      <c r="BM101" s="441"/>
      <c r="BN101" s="441"/>
      <c r="BO101" s="441"/>
    </row>
    <row r="102" spans="1:67" ht="15" customHeight="1" outlineLevel="1" x14ac:dyDescent="0.25">
      <c r="A102" s="573">
        <v>537</v>
      </c>
      <c r="B102" s="594">
        <v>0</v>
      </c>
      <c r="C102" s="595">
        <v>354</v>
      </c>
      <c r="D102" s="502" t="s">
        <v>76</v>
      </c>
      <c r="E102" s="596">
        <v>2121</v>
      </c>
      <c r="F102" s="594">
        <v>0</v>
      </c>
      <c r="G102" s="594">
        <v>1587</v>
      </c>
      <c r="H102" s="552"/>
      <c r="I102" s="552"/>
      <c r="J102" s="552"/>
      <c r="K102" s="552"/>
      <c r="L102" s="364">
        <v>4845</v>
      </c>
      <c r="M102" s="363" t="s">
        <v>370</v>
      </c>
      <c r="N102" s="166"/>
      <c r="O102" s="166"/>
      <c r="P102" s="166"/>
      <c r="Q102" s="166"/>
      <c r="R102" s="166"/>
      <c r="S102" s="166"/>
      <c r="T102" s="166"/>
      <c r="U102" s="166"/>
      <c r="V102" s="169"/>
      <c r="W102" s="169"/>
      <c r="X102" s="166"/>
      <c r="Y102" s="166"/>
      <c r="Z102" s="170"/>
      <c r="AA102" s="371"/>
      <c r="AK102" s="169"/>
      <c r="AL102" s="166"/>
      <c r="AM102" s="166"/>
      <c r="AN102" s="170"/>
      <c r="AY102" s="169"/>
      <c r="AZ102" s="166"/>
      <c r="BA102" s="166"/>
      <c r="BB102" s="170"/>
      <c r="BG102" s="637">
        <f t="shared" si="5"/>
        <v>1584</v>
      </c>
      <c r="BH102" s="638">
        <f t="shared" si="6"/>
        <v>1047</v>
      </c>
      <c r="BJ102" s="639"/>
      <c r="BK102" s="441"/>
      <c r="BL102" s="441"/>
      <c r="BM102" s="441"/>
      <c r="BN102" s="441"/>
      <c r="BO102" s="441"/>
    </row>
    <row r="103" spans="1:67" ht="15" customHeight="1" outlineLevel="1" x14ac:dyDescent="0.25">
      <c r="A103" s="573">
        <v>80</v>
      </c>
      <c r="B103" s="594">
        <v>0</v>
      </c>
      <c r="C103" s="595">
        <v>80</v>
      </c>
      <c r="D103" s="502" t="s">
        <v>77</v>
      </c>
      <c r="E103" s="596">
        <v>320</v>
      </c>
      <c r="F103" s="594">
        <v>0</v>
      </c>
      <c r="G103" s="594">
        <v>357</v>
      </c>
      <c r="H103" s="552"/>
      <c r="I103" s="552"/>
      <c r="J103" s="552"/>
      <c r="K103" s="552"/>
      <c r="N103" s="166"/>
      <c r="O103" s="166"/>
      <c r="P103" s="166"/>
      <c r="Q103" s="166"/>
      <c r="R103" s="166"/>
      <c r="S103" s="166"/>
      <c r="T103" s="166"/>
      <c r="U103" s="166"/>
      <c r="V103" s="169"/>
      <c r="W103" s="169"/>
      <c r="X103" s="166"/>
      <c r="Y103" s="166"/>
      <c r="Z103" s="170"/>
      <c r="AA103" s="371"/>
      <c r="AK103" s="169"/>
      <c r="AL103" s="166"/>
      <c r="AM103" s="166"/>
      <c r="AN103" s="170"/>
      <c r="AY103" s="169"/>
      <c r="AZ103" s="166"/>
      <c r="BA103" s="166"/>
      <c r="BB103" s="170"/>
      <c r="BG103" s="637"/>
      <c r="BH103" s="638"/>
      <c r="BJ103" s="639"/>
      <c r="BK103" s="441"/>
      <c r="BL103" s="441"/>
      <c r="BM103" s="441"/>
      <c r="BN103" s="441"/>
      <c r="BO103" s="441"/>
    </row>
    <row r="104" spans="1:67" x14ac:dyDescent="0.25">
      <c r="A104" s="590">
        <v>2902</v>
      </c>
      <c r="B104" s="597">
        <v>0</v>
      </c>
      <c r="C104" s="598">
        <v>2214</v>
      </c>
      <c r="D104" s="599" t="s">
        <v>103</v>
      </c>
      <c r="E104" s="600">
        <v>12093</v>
      </c>
      <c r="F104" s="597">
        <v>0</v>
      </c>
      <c r="G104" s="597">
        <v>11405</v>
      </c>
      <c r="H104" s="556"/>
      <c r="I104" s="556"/>
      <c r="J104" s="556"/>
      <c r="K104" s="556"/>
      <c r="N104" s="166"/>
      <c r="O104" s="166"/>
      <c r="P104" s="166"/>
      <c r="Q104" s="166"/>
      <c r="R104" s="166"/>
      <c r="S104" s="166"/>
      <c r="T104" s="166"/>
      <c r="U104" s="166"/>
      <c r="V104" s="169"/>
      <c r="W104" s="169">
        <f>'Mngt-S&amp;M '!$S$33</f>
        <v>12092.82</v>
      </c>
      <c r="X104" s="166"/>
      <c r="Y104" s="166"/>
      <c r="Z104" s="170">
        <f>W104</f>
        <v>12092.82</v>
      </c>
      <c r="AA104" s="371">
        <f>E104-Z104</f>
        <v>0.18000000000029104</v>
      </c>
      <c r="AK104" s="169">
        <f>'Mngt-S&amp;M '!$AF$33</f>
        <v>0</v>
      </c>
      <c r="AL104" s="166"/>
      <c r="AM104" s="166"/>
      <c r="AN104" s="170">
        <f>AK104</f>
        <v>0</v>
      </c>
      <c r="AO104" s="375">
        <f>F104-AN104</f>
        <v>0</v>
      </c>
      <c r="AY104" s="169">
        <f>'Mngt-S&amp;M '!$AS$33</f>
        <v>11405.32</v>
      </c>
      <c r="AZ104" s="166"/>
      <c r="BA104" s="166"/>
      <c r="BB104" s="170">
        <f>AY104</f>
        <v>11405.32</v>
      </c>
      <c r="BC104" s="375">
        <f>G104-BB104</f>
        <v>-0.31999999999970896</v>
      </c>
      <c r="BD104" s="685">
        <f>+E104*$BD$7</f>
        <v>12516.254999999999</v>
      </c>
      <c r="BF104" s="553">
        <v>2671.4166666666665</v>
      </c>
      <c r="BG104" s="637">
        <f t="shared" si="5"/>
        <v>9191</v>
      </c>
      <c r="BH104" s="638">
        <f t="shared" si="6"/>
        <v>6289</v>
      </c>
      <c r="BJ104" s="639"/>
      <c r="BK104" s="441"/>
      <c r="BL104" s="441"/>
      <c r="BM104" s="441"/>
      <c r="BN104" s="441"/>
      <c r="BO104" s="441"/>
    </row>
    <row r="105" spans="1:67" x14ac:dyDescent="0.25">
      <c r="A105" s="590">
        <v>1228</v>
      </c>
      <c r="B105" s="597">
        <v>0</v>
      </c>
      <c r="C105" s="598">
        <v>1946</v>
      </c>
      <c r="D105" s="599" t="s">
        <v>104</v>
      </c>
      <c r="E105" s="600">
        <v>9422</v>
      </c>
      <c r="F105" s="597">
        <v>0</v>
      </c>
      <c r="G105" s="597">
        <v>9135</v>
      </c>
      <c r="H105" s="556"/>
      <c r="I105" s="556"/>
      <c r="J105" s="556"/>
      <c r="K105" s="556"/>
      <c r="L105" s="364">
        <v>4905</v>
      </c>
      <c r="M105" s="363" t="s">
        <v>371</v>
      </c>
      <c r="N105" s="166"/>
      <c r="O105" s="166"/>
      <c r="P105" s="166"/>
      <c r="Q105" s="166"/>
      <c r="R105" s="166"/>
      <c r="S105" s="166"/>
      <c r="T105" s="166"/>
      <c r="U105" s="166"/>
      <c r="V105" s="169"/>
      <c r="W105" s="169">
        <f>'Mngt-S&amp;M '!$S$48</f>
        <v>9422.01</v>
      </c>
      <c r="X105" s="166"/>
      <c r="Y105" s="166"/>
      <c r="Z105" s="170">
        <f>W105</f>
        <v>9422.01</v>
      </c>
      <c r="AA105" s="371">
        <f>E105-Z105</f>
        <v>-1.0000000000218279E-2</v>
      </c>
      <c r="AK105" s="169">
        <f>'Mngt-S&amp;M '!$AF$48</f>
        <v>0</v>
      </c>
      <c r="AL105" s="166"/>
      <c r="AM105" s="166"/>
      <c r="AN105" s="170">
        <f>AK105</f>
        <v>0</v>
      </c>
      <c r="AO105" s="375">
        <f>F105-AN105</f>
        <v>0</v>
      </c>
      <c r="AY105" s="169">
        <f>'Mngt-S&amp;M '!$AS$48</f>
        <v>9134.81</v>
      </c>
      <c r="AZ105" s="166"/>
      <c r="BA105" s="166"/>
      <c r="BB105" s="170">
        <f>AY105</f>
        <v>9134.81</v>
      </c>
      <c r="BC105" s="375">
        <f>G105-BB105</f>
        <v>0.19000000000050932</v>
      </c>
      <c r="BD105" s="685">
        <f>+E105*$BD$7</f>
        <v>9751.7699999999986</v>
      </c>
      <c r="BF105" s="553">
        <v>5846.75</v>
      </c>
      <c r="BG105" s="637">
        <f t="shared" si="5"/>
        <v>8194</v>
      </c>
      <c r="BH105" s="638">
        <f t="shared" si="6"/>
        <v>6966</v>
      </c>
      <c r="BJ105" s="639"/>
      <c r="BK105" s="441"/>
      <c r="BL105" s="441"/>
      <c r="BM105" s="441"/>
      <c r="BN105" s="441"/>
      <c r="BO105" s="441"/>
    </row>
    <row r="106" spans="1:67" x14ac:dyDescent="0.25">
      <c r="A106" s="573">
        <v>0</v>
      </c>
      <c r="B106" s="594">
        <v>0</v>
      </c>
      <c r="C106" s="595">
        <v>0</v>
      </c>
      <c r="D106" s="502" t="s">
        <v>83</v>
      </c>
      <c r="E106" s="596">
        <v>0</v>
      </c>
      <c r="F106" s="594">
        <v>0</v>
      </c>
      <c r="G106" s="594">
        <v>46</v>
      </c>
      <c r="H106" s="556"/>
      <c r="I106" s="556"/>
      <c r="J106" s="556"/>
      <c r="K106" s="556"/>
      <c r="N106" s="166"/>
      <c r="O106" s="166"/>
      <c r="P106" s="166"/>
      <c r="Q106" s="166"/>
      <c r="R106" s="166"/>
      <c r="S106" s="166"/>
      <c r="T106" s="166"/>
      <c r="U106" s="166"/>
      <c r="V106" s="169"/>
      <c r="W106" s="169"/>
      <c r="X106" s="166"/>
      <c r="Y106" s="166"/>
      <c r="Z106" s="170"/>
      <c r="AA106" s="371"/>
      <c r="AK106" s="169"/>
      <c r="AL106" s="166"/>
      <c r="AM106" s="166"/>
      <c r="AN106" s="170"/>
      <c r="AO106" s="375"/>
      <c r="AY106" s="169"/>
      <c r="AZ106" s="166"/>
      <c r="BA106" s="166"/>
      <c r="BB106" s="170"/>
      <c r="BC106" s="375"/>
      <c r="BD106" s="685">
        <f>+E106*$BD$7</f>
        <v>0</v>
      </c>
      <c r="BG106" s="637">
        <f t="shared" si="5"/>
        <v>0</v>
      </c>
      <c r="BH106" s="638">
        <f t="shared" si="6"/>
        <v>0</v>
      </c>
      <c r="BJ106" s="639">
        <v>-5000</v>
      </c>
      <c r="BK106" s="441"/>
      <c r="BL106" s="441"/>
      <c r="BM106" s="441"/>
      <c r="BN106" s="441"/>
      <c r="BO106" s="441"/>
    </row>
    <row r="107" spans="1:67" ht="15" customHeight="1" outlineLevel="1" x14ac:dyDescent="0.25">
      <c r="A107" s="573">
        <v>0</v>
      </c>
      <c r="B107" s="594"/>
      <c r="C107" s="595">
        <v>0</v>
      </c>
      <c r="D107" s="502" t="s">
        <v>698</v>
      </c>
      <c r="E107" s="596">
        <v>140</v>
      </c>
      <c r="F107" s="594"/>
      <c r="G107" s="594">
        <v>0</v>
      </c>
      <c r="H107" s="552"/>
      <c r="I107" s="552"/>
      <c r="J107" s="552"/>
      <c r="K107" s="552"/>
      <c r="L107" s="364">
        <v>5135</v>
      </c>
      <c r="M107" s="363" t="s">
        <v>372</v>
      </c>
      <c r="N107" s="166"/>
      <c r="O107" s="166"/>
      <c r="P107" s="166"/>
      <c r="Q107" s="166"/>
      <c r="R107" s="166"/>
      <c r="S107" s="166"/>
      <c r="T107" s="166"/>
      <c r="U107" s="166"/>
      <c r="V107" s="169"/>
      <c r="W107" s="169"/>
      <c r="X107" s="166"/>
      <c r="Y107" s="166"/>
      <c r="Z107" s="170"/>
      <c r="AA107" s="371"/>
      <c r="AK107" s="169"/>
      <c r="AL107" s="166"/>
      <c r="AM107" s="166"/>
      <c r="AN107" s="170"/>
      <c r="AY107" s="169"/>
      <c r="AZ107" s="166"/>
      <c r="BA107" s="166"/>
      <c r="BB107" s="170"/>
      <c r="BG107" s="637">
        <f t="shared" si="5"/>
        <v>140</v>
      </c>
      <c r="BH107" s="638">
        <f t="shared" si="6"/>
        <v>140</v>
      </c>
      <c r="BJ107" s="639"/>
      <c r="BK107" s="441"/>
      <c r="BL107" s="441"/>
      <c r="BM107" s="441"/>
      <c r="BN107" s="441"/>
      <c r="BO107" s="441"/>
    </row>
    <row r="108" spans="1:67" ht="15" customHeight="1" outlineLevel="1" x14ac:dyDescent="0.25">
      <c r="A108" s="573">
        <v>0</v>
      </c>
      <c r="B108" s="594"/>
      <c r="C108" s="595">
        <v>0</v>
      </c>
      <c r="D108" s="502" t="s">
        <v>699</v>
      </c>
      <c r="E108" s="596">
        <v>0</v>
      </c>
      <c r="F108" s="594"/>
      <c r="G108" s="594">
        <v>-3151</v>
      </c>
      <c r="H108" s="552"/>
      <c r="I108" s="552"/>
      <c r="J108" s="552"/>
      <c r="K108" s="552"/>
      <c r="N108" s="166"/>
      <c r="O108" s="166"/>
      <c r="P108" s="166"/>
      <c r="Q108" s="166"/>
      <c r="R108" s="166"/>
      <c r="S108" s="166"/>
      <c r="T108" s="166"/>
      <c r="U108" s="166"/>
      <c r="V108" s="169"/>
      <c r="W108" s="169"/>
      <c r="X108" s="166"/>
      <c r="Y108" s="166"/>
      <c r="Z108" s="170"/>
      <c r="AA108" s="371"/>
      <c r="AK108" s="169"/>
      <c r="AL108" s="166"/>
      <c r="AM108" s="166"/>
      <c r="AN108" s="170"/>
      <c r="AY108" s="169"/>
      <c r="AZ108" s="166"/>
      <c r="BA108" s="166"/>
      <c r="BB108" s="170"/>
      <c r="BG108" s="637"/>
      <c r="BH108" s="638"/>
      <c r="BJ108" s="639"/>
      <c r="BK108" s="441"/>
      <c r="BL108" s="441"/>
      <c r="BM108" s="441"/>
      <c r="BN108" s="441"/>
      <c r="BO108" s="441"/>
    </row>
    <row r="109" spans="1:67" ht="15" customHeight="1" outlineLevel="1" x14ac:dyDescent="0.25">
      <c r="A109" s="573">
        <v>-168</v>
      </c>
      <c r="B109" s="594">
        <v>0</v>
      </c>
      <c r="C109" s="595">
        <v>0</v>
      </c>
      <c r="D109" s="502" t="s">
        <v>105</v>
      </c>
      <c r="E109" s="596">
        <v>21501</v>
      </c>
      <c r="F109" s="594">
        <v>0</v>
      </c>
      <c r="G109" s="594">
        <v>15390</v>
      </c>
      <c r="H109" s="552"/>
      <c r="I109" s="552"/>
      <c r="J109" s="552"/>
      <c r="K109" s="552"/>
      <c r="N109" s="166"/>
      <c r="O109" s="166"/>
      <c r="P109" s="166"/>
      <c r="Q109" s="166"/>
      <c r="R109" s="166"/>
      <c r="S109" s="166"/>
      <c r="T109" s="166"/>
      <c r="U109" s="166"/>
      <c r="V109" s="169"/>
      <c r="W109" s="169"/>
      <c r="X109" s="166"/>
      <c r="Y109" s="166"/>
      <c r="Z109" s="170"/>
      <c r="AA109" s="371"/>
      <c r="AK109" s="169"/>
      <c r="AL109" s="166"/>
      <c r="AM109" s="166"/>
      <c r="AN109" s="170"/>
      <c r="AY109" s="169"/>
      <c r="AZ109" s="166"/>
      <c r="BA109" s="166"/>
      <c r="BB109" s="170"/>
      <c r="BG109" s="637"/>
      <c r="BH109" s="638"/>
      <c r="BJ109" s="639"/>
      <c r="BK109" s="441"/>
      <c r="BL109" s="441"/>
      <c r="BM109" s="441"/>
      <c r="BN109" s="441"/>
      <c r="BO109" s="441"/>
    </row>
    <row r="110" spans="1:67" ht="15" customHeight="1" outlineLevel="1" x14ac:dyDescent="0.25">
      <c r="A110" s="573">
        <v>0</v>
      </c>
      <c r="B110" s="594">
        <v>0</v>
      </c>
      <c r="C110" s="595">
        <v>420</v>
      </c>
      <c r="D110" s="502" t="s">
        <v>86</v>
      </c>
      <c r="E110" s="596">
        <v>130</v>
      </c>
      <c r="F110" s="594">
        <v>0</v>
      </c>
      <c r="G110" s="594">
        <v>2095</v>
      </c>
      <c r="H110" s="552"/>
      <c r="I110" s="552"/>
      <c r="J110" s="552"/>
      <c r="K110" s="552"/>
      <c r="N110" s="166"/>
      <c r="O110" s="166"/>
      <c r="P110" s="166"/>
      <c r="Q110" s="166"/>
      <c r="R110" s="166"/>
      <c r="S110" s="166"/>
      <c r="T110" s="166"/>
      <c r="U110" s="166"/>
      <c r="V110" s="169"/>
      <c r="W110" s="169"/>
      <c r="X110" s="166"/>
      <c r="Y110" s="166"/>
      <c r="Z110" s="170"/>
      <c r="AA110" s="371"/>
      <c r="AK110" s="169"/>
      <c r="AL110" s="166"/>
      <c r="AM110" s="166"/>
      <c r="AN110" s="170"/>
      <c r="AY110" s="169"/>
      <c r="AZ110" s="166"/>
      <c r="BA110" s="166"/>
      <c r="BB110" s="170"/>
      <c r="BG110" s="637"/>
      <c r="BH110" s="638"/>
      <c r="BJ110" s="639"/>
      <c r="BK110" s="441"/>
      <c r="BL110" s="441"/>
      <c r="BM110" s="441"/>
      <c r="BN110" s="441"/>
      <c r="BO110" s="441"/>
    </row>
    <row r="111" spans="1:67" ht="15" customHeight="1" outlineLevel="1" x14ac:dyDescent="0.25">
      <c r="A111" s="573">
        <v>9</v>
      </c>
      <c r="B111" s="594">
        <v>0</v>
      </c>
      <c r="C111" s="595">
        <v>8</v>
      </c>
      <c r="D111" s="502" t="s">
        <v>106</v>
      </c>
      <c r="E111" s="596">
        <v>-9</v>
      </c>
      <c r="F111" s="594">
        <v>0</v>
      </c>
      <c r="G111" s="594">
        <v>-12</v>
      </c>
      <c r="H111" s="552"/>
      <c r="I111" s="552"/>
      <c r="J111" s="552"/>
      <c r="K111" s="552"/>
      <c r="N111" s="166"/>
      <c r="O111" s="166"/>
      <c r="P111" s="166"/>
      <c r="Q111" s="166"/>
      <c r="R111" s="166"/>
      <c r="S111" s="166"/>
      <c r="T111" s="166"/>
      <c r="U111" s="166"/>
      <c r="V111" s="169"/>
      <c r="W111" s="169"/>
      <c r="X111" s="166"/>
      <c r="Y111" s="166"/>
      <c r="Z111" s="170"/>
      <c r="AA111" s="371"/>
      <c r="AK111" s="169"/>
      <c r="AL111" s="166"/>
      <c r="AM111" s="166"/>
      <c r="AN111" s="170"/>
      <c r="AY111" s="169"/>
      <c r="AZ111" s="166"/>
      <c r="BA111" s="166"/>
      <c r="BB111" s="170"/>
      <c r="BG111" s="637"/>
      <c r="BH111" s="638"/>
      <c r="BJ111" s="639"/>
      <c r="BK111" s="441"/>
      <c r="BL111" s="441"/>
      <c r="BM111" s="441"/>
      <c r="BN111" s="441"/>
      <c r="BO111" s="441"/>
    </row>
    <row r="112" spans="1:67" ht="15" customHeight="1" outlineLevel="1" x14ac:dyDescent="0.25">
      <c r="A112" s="573">
        <v>9665</v>
      </c>
      <c r="B112" s="594">
        <v>0</v>
      </c>
      <c r="C112" s="595">
        <v>710</v>
      </c>
      <c r="D112" s="502" t="s">
        <v>107</v>
      </c>
      <c r="E112" s="596">
        <v>23850</v>
      </c>
      <c r="F112" s="594">
        <v>0</v>
      </c>
      <c r="G112" s="594">
        <v>15494</v>
      </c>
      <c r="H112" s="552"/>
      <c r="I112" s="552"/>
      <c r="J112" s="552"/>
      <c r="K112" s="552"/>
      <c r="N112" s="166"/>
      <c r="O112" s="166"/>
      <c r="P112" s="166"/>
      <c r="Q112" s="166"/>
      <c r="R112" s="166"/>
      <c r="S112" s="166"/>
      <c r="T112" s="166"/>
      <c r="U112" s="166"/>
      <c r="V112" s="169"/>
      <c r="W112" s="169"/>
      <c r="X112" s="166"/>
      <c r="Y112" s="166"/>
      <c r="Z112" s="170"/>
      <c r="AA112" s="371"/>
      <c r="AK112" s="169"/>
      <c r="AL112" s="166"/>
      <c r="AM112" s="166"/>
      <c r="AN112" s="170"/>
      <c r="AY112" s="169"/>
      <c r="AZ112" s="166"/>
      <c r="BA112" s="166"/>
      <c r="BB112" s="170"/>
      <c r="BG112" s="637"/>
      <c r="BH112" s="638"/>
      <c r="BJ112" s="639"/>
      <c r="BK112" s="441"/>
      <c r="BL112" s="441"/>
      <c r="BM112" s="441"/>
      <c r="BN112" s="441"/>
      <c r="BO112" s="441"/>
    </row>
    <row r="113" spans="1:67" ht="15" customHeight="1" outlineLevel="1" x14ac:dyDescent="0.25">
      <c r="A113" s="573">
        <v>0</v>
      </c>
      <c r="B113" s="594">
        <v>0</v>
      </c>
      <c r="C113" s="595">
        <v>1100</v>
      </c>
      <c r="D113" s="502" t="s">
        <v>212</v>
      </c>
      <c r="E113" s="596">
        <v>2277</v>
      </c>
      <c r="F113" s="594">
        <v>0</v>
      </c>
      <c r="G113" s="594">
        <v>3432</v>
      </c>
      <c r="H113" s="552"/>
      <c r="I113" s="552"/>
      <c r="J113" s="552"/>
      <c r="K113" s="552"/>
      <c r="N113" s="166"/>
      <c r="O113" s="166"/>
      <c r="P113" s="166"/>
      <c r="Q113" s="166"/>
      <c r="R113" s="166"/>
      <c r="S113" s="166"/>
      <c r="T113" s="166"/>
      <c r="U113" s="166"/>
      <c r="V113" s="169"/>
      <c r="W113" s="169"/>
      <c r="X113" s="166"/>
      <c r="Y113" s="166"/>
      <c r="Z113" s="170"/>
      <c r="AA113" s="371"/>
      <c r="AK113" s="169"/>
      <c r="AL113" s="166"/>
      <c r="AM113" s="166"/>
      <c r="AN113" s="170"/>
      <c r="AY113" s="169"/>
      <c r="AZ113" s="166"/>
      <c r="BA113" s="166"/>
      <c r="BB113" s="170"/>
      <c r="BG113" s="637">
        <f t="shared" si="5"/>
        <v>2277</v>
      </c>
      <c r="BH113" s="638">
        <f t="shared" si="6"/>
        <v>2277</v>
      </c>
      <c r="BJ113" s="639"/>
      <c r="BK113" s="441"/>
      <c r="BL113" s="441"/>
      <c r="BM113" s="441"/>
      <c r="BN113" s="441"/>
      <c r="BO113" s="441"/>
    </row>
    <row r="114" spans="1:67" ht="15" customHeight="1" outlineLevel="1" x14ac:dyDescent="0.25">
      <c r="A114" s="573">
        <v>0</v>
      </c>
      <c r="B114" s="594">
        <v>0</v>
      </c>
      <c r="C114" s="595">
        <v>0</v>
      </c>
      <c r="D114" s="502" t="s">
        <v>87</v>
      </c>
      <c r="E114" s="596">
        <v>350</v>
      </c>
      <c r="F114" s="594">
        <v>0</v>
      </c>
      <c r="G114" s="594">
        <v>277</v>
      </c>
      <c r="H114" s="552"/>
      <c r="I114" s="552"/>
      <c r="J114" s="552"/>
      <c r="K114" s="552"/>
      <c r="N114" s="166"/>
      <c r="O114" s="166"/>
      <c r="P114" s="166"/>
      <c r="Q114" s="166"/>
      <c r="R114" s="166"/>
      <c r="S114" s="166"/>
      <c r="T114" s="166"/>
      <c r="U114" s="166"/>
      <c r="V114" s="169"/>
      <c r="W114" s="169"/>
      <c r="X114" s="166"/>
      <c r="Y114" s="166"/>
      <c r="Z114" s="170"/>
      <c r="AA114" s="371"/>
      <c r="AK114" s="169"/>
      <c r="AL114" s="166"/>
      <c r="AM114" s="166"/>
      <c r="AN114" s="170"/>
      <c r="AY114" s="169"/>
      <c r="AZ114" s="166"/>
      <c r="BA114" s="166"/>
      <c r="BB114" s="170"/>
      <c r="BG114" s="637">
        <f t="shared" si="5"/>
        <v>350</v>
      </c>
      <c r="BH114" s="638">
        <f t="shared" si="6"/>
        <v>350</v>
      </c>
      <c r="BJ114" s="639"/>
      <c r="BK114" s="441"/>
      <c r="BL114" s="441"/>
      <c r="BM114" s="441"/>
      <c r="BN114" s="441"/>
      <c r="BO114" s="441"/>
    </row>
    <row r="115" spans="1:67" ht="15" customHeight="1" outlineLevel="1" x14ac:dyDescent="0.25">
      <c r="A115" s="573">
        <v>0</v>
      </c>
      <c r="B115" s="594">
        <v>0</v>
      </c>
      <c r="C115" s="595">
        <v>0</v>
      </c>
      <c r="D115" s="502" t="s">
        <v>88</v>
      </c>
      <c r="E115" s="596">
        <v>16168</v>
      </c>
      <c r="F115" s="594">
        <v>0</v>
      </c>
      <c r="G115" s="594">
        <v>0</v>
      </c>
      <c r="H115" s="552"/>
      <c r="I115" s="552"/>
      <c r="J115" s="552"/>
      <c r="K115" s="552"/>
      <c r="N115" s="166"/>
      <c r="O115" s="166"/>
      <c r="P115" s="166"/>
      <c r="Q115" s="166"/>
      <c r="R115" s="166"/>
      <c r="S115" s="166"/>
      <c r="T115" s="166"/>
      <c r="U115" s="166"/>
      <c r="V115" s="169"/>
      <c r="W115" s="169"/>
      <c r="X115" s="166"/>
      <c r="Y115" s="166"/>
      <c r="Z115" s="170"/>
      <c r="AA115" s="371"/>
      <c r="AK115" s="169"/>
      <c r="AL115" s="166"/>
      <c r="AM115" s="166"/>
      <c r="AN115" s="170"/>
      <c r="AY115" s="169"/>
      <c r="AZ115" s="166"/>
      <c r="BA115" s="166"/>
      <c r="BB115" s="170"/>
      <c r="BG115" s="637"/>
      <c r="BH115" s="638"/>
      <c r="BJ115" s="639"/>
      <c r="BK115" s="441"/>
      <c r="BL115" s="441"/>
      <c r="BM115" s="441"/>
      <c r="BN115" s="441"/>
      <c r="BO115" s="441"/>
    </row>
    <row r="116" spans="1:67" ht="15" customHeight="1" outlineLevel="1" x14ac:dyDescent="0.25">
      <c r="A116" s="573">
        <v>0</v>
      </c>
      <c r="B116" s="594">
        <v>0</v>
      </c>
      <c r="C116" s="595">
        <v>0</v>
      </c>
      <c r="D116" s="502" t="s">
        <v>89</v>
      </c>
      <c r="E116" s="596">
        <v>600</v>
      </c>
      <c r="F116" s="594">
        <v>0</v>
      </c>
      <c r="G116" s="594">
        <v>1300</v>
      </c>
      <c r="H116" s="552"/>
      <c r="I116" s="552"/>
      <c r="J116" s="552"/>
      <c r="K116" s="552"/>
      <c r="N116" s="166"/>
      <c r="O116" s="166"/>
      <c r="P116" s="166"/>
      <c r="Q116" s="166"/>
      <c r="R116" s="166"/>
      <c r="S116" s="166"/>
      <c r="T116" s="166"/>
      <c r="U116" s="166"/>
      <c r="V116" s="169"/>
      <c r="W116" s="169"/>
      <c r="X116" s="166"/>
      <c r="Y116" s="166"/>
      <c r="Z116" s="170"/>
      <c r="AA116" s="371"/>
      <c r="AK116" s="169"/>
      <c r="AL116" s="166"/>
      <c r="AM116" s="166"/>
      <c r="AN116" s="170"/>
      <c r="AY116" s="169"/>
      <c r="AZ116" s="166"/>
      <c r="BA116" s="166"/>
      <c r="BB116" s="170"/>
      <c r="BG116" s="637">
        <f t="shared" si="5"/>
        <v>600</v>
      </c>
      <c r="BH116" s="638">
        <f t="shared" si="6"/>
        <v>600</v>
      </c>
      <c r="BJ116" s="639"/>
      <c r="BK116" s="441"/>
      <c r="BL116" s="441"/>
      <c r="BM116" s="441"/>
      <c r="BN116" s="441"/>
      <c r="BO116" s="441"/>
    </row>
    <row r="117" spans="1:67" ht="15" customHeight="1" thickBot="1" x14ac:dyDescent="0.3">
      <c r="A117" s="592">
        <v>9506</v>
      </c>
      <c r="B117" s="605">
        <v>0</v>
      </c>
      <c r="C117" s="606">
        <v>2238</v>
      </c>
      <c r="D117" s="607" t="s">
        <v>90</v>
      </c>
      <c r="E117" s="608">
        <v>65007</v>
      </c>
      <c r="F117" s="605">
        <v>0</v>
      </c>
      <c r="G117" s="605">
        <v>34870</v>
      </c>
      <c r="H117" s="556"/>
      <c r="I117" s="556"/>
      <c r="J117" s="556"/>
      <c r="K117" s="556"/>
      <c r="L117" s="364">
        <v>4010</v>
      </c>
      <c r="M117" s="363" t="s">
        <v>373</v>
      </c>
      <c r="N117" s="166"/>
      <c r="O117" s="166"/>
      <c r="P117" s="166"/>
      <c r="Q117" s="166"/>
      <c r="R117" s="166"/>
      <c r="S117" s="166"/>
      <c r="T117" s="166"/>
      <c r="U117" s="166"/>
      <c r="V117" s="169"/>
      <c r="W117" s="169">
        <f>'Mngt-S&amp;M '!S64</f>
        <v>2276.92</v>
      </c>
      <c r="X117" s="166"/>
      <c r="Y117" s="166"/>
      <c r="Z117" s="170">
        <f t="shared" ref="Z117" si="7">W117</f>
        <v>2276.92</v>
      </c>
      <c r="AA117" s="371">
        <f>E117-Z117</f>
        <v>62730.080000000002</v>
      </c>
      <c r="BD117" s="685">
        <f>+E117*$BD$7</f>
        <v>67282.244999999995</v>
      </c>
      <c r="BG117" s="637">
        <f t="shared" si="5"/>
        <v>55501</v>
      </c>
      <c r="BH117" s="638">
        <f t="shared" si="6"/>
        <v>45995</v>
      </c>
      <c r="BJ117" s="639"/>
      <c r="BK117" s="441"/>
      <c r="BL117" s="441"/>
      <c r="BM117" s="441"/>
      <c r="BN117" s="441"/>
      <c r="BO117" s="441"/>
    </row>
    <row r="118" spans="1:67" ht="15" customHeight="1" thickBot="1" x14ac:dyDescent="0.3">
      <c r="A118" s="593">
        <v>94705</v>
      </c>
      <c r="B118" s="593">
        <v>0</v>
      </c>
      <c r="C118" s="609">
        <v>65154</v>
      </c>
      <c r="D118" s="610" t="s">
        <v>108</v>
      </c>
      <c r="E118" s="611">
        <v>393312</v>
      </c>
      <c r="F118" s="593">
        <v>0</v>
      </c>
      <c r="G118" s="593">
        <v>332716</v>
      </c>
      <c r="H118" s="556"/>
      <c r="I118" s="556"/>
      <c r="J118" s="556"/>
      <c r="K118" s="556"/>
      <c r="L118" s="364">
        <v>4020</v>
      </c>
      <c r="M118" s="363" t="s">
        <v>374</v>
      </c>
      <c r="N118" s="166"/>
      <c r="O118" s="166"/>
      <c r="P118" s="166"/>
      <c r="Q118" s="166"/>
      <c r="R118" s="166"/>
      <c r="S118" s="166"/>
      <c r="T118" s="166"/>
      <c r="U118" s="166"/>
      <c r="V118" s="169"/>
      <c r="W118" s="169"/>
      <c r="X118" s="166"/>
      <c r="Y118" s="166"/>
      <c r="Z118" s="170"/>
      <c r="AA118" s="371"/>
      <c r="BE118" s="167">
        <v>100</v>
      </c>
      <c r="BF118" s="553">
        <v>99992.833333333328</v>
      </c>
      <c r="BG118" s="637">
        <f t="shared" si="5"/>
        <v>298607</v>
      </c>
      <c r="BH118" s="638">
        <f t="shared" si="6"/>
        <v>203902</v>
      </c>
      <c r="BJ118" s="639"/>
      <c r="BK118" s="441"/>
      <c r="BL118" s="441">
        <f>+BJ118+BK118</f>
        <v>0</v>
      </c>
      <c r="BM118" s="441">
        <f>+G117+G106++G105+G104+G96+G93+G92-E117-E106-E105-E104--E96-E93-E92</f>
        <v>-30038</v>
      </c>
      <c r="BN118" s="441"/>
      <c r="BO118" s="441"/>
    </row>
    <row r="119" spans="1:67" ht="15" customHeight="1" outlineLevel="1" x14ac:dyDescent="0.25">
      <c r="A119" s="668">
        <v>72154</v>
      </c>
      <c r="B119" s="669">
        <v>0</v>
      </c>
      <c r="C119" s="670">
        <v>61119</v>
      </c>
      <c r="D119" s="671" t="s">
        <v>399</v>
      </c>
      <c r="E119" s="672">
        <v>302132</v>
      </c>
      <c r="F119" s="669">
        <v>0</v>
      </c>
      <c r="G119" s="669">
        <v>272792</v>
      </c>
      <c r="H119" s="552"/>
      <c r="I119" s="552"/>
      <c r="J119" s="552"/>
      <c r="K119" s="552"/>
      <c r="L119" s="364">
        <v>4030</v>
      </c>
      <c r="M119" s="363" t="s">
        <v>375</v>
      </c>
      <c r="N119" s="166"/>
      <c r="O119" s="166"/>
      <c r="P119" s="166"/>
      <c r="Q119" s="166"/>
      <c r="R119" s="166"/>
      <c r="S119" s="166"/>
      <c r="T119" s="166"/>
      <c r="U119" s="166"/>
      <c r="V119" s="169"/>
      <c r="W119" s="169"/>
      <c r="X119" s="166"/>
      <c r="Y119" s="166"/>
      <c r="Z119" s="170"/>
      <c r="AA119" s="371"/>
      <c r="BJ119" s="639"/>
      <c r="BK119" s="441"/>
      <c r="BL119" s="441"/>
      <c r="BM119" s="441"/>
      <c r="BN119" s="441"/>
      <c r="BO119" s="441"/>
    </row>
    <row r="120" spans="1:67" ht="15" customHeight="1" outlineLevel="1" x14ac:dyDescent="0.25">
      <c r="A120" s="573">
        <v>5260</v>
      </c>
      <c r="B120" s="594">
        <v>0</v>
      </c>
      <c r="C120" s="595">
        <v>4865</v>
      </c>
      <c r="D120" s="502" t="s">
        <v>93</v>
      </c>
      <c r="E120" s="596">
        <v>21778</v>
      </c>
      <c r="F120" s="594">
        <v>0</v>
      </c>
      <c r="G120" s="594">
        <v>21575</v>
      </c>
      <c r="H120" s="552"/>
      <c r="I120" s="552"/>
      <c r="J120" s="552"/>
      <c r="K120" s="552"/>
      <c r="L120" s="364">
        <v>4040</v>
      </c>
      <c r="M120" s="363" t="s">
        <v>376</v>
      </c>
      <c r="N120" s="166"/>
      <c r="O120" s="166"/>
      <c r="P120" s="166"/>
      <c r="Q120" s="166"/>
      <c r="R120" s="166"/>
      <c r="S120" s="166"/>
      <c r="T120" s="166"/>
      <c r="U120" s="166"/>
      <c r="V120" s="169"/>
      <c r="W120" s="169"/>
      <c r="X120" s="166"/>
      <c r="Y120" s="166"/>
      <c r="Z120" s="170"/>
      <c r="AA120" s="371"/>
      <c r="BJ120" s="639"/>
      <c r="BK120" s="441"/>
      <c r="BL120" s="441"/>
      <c r="BM120" s="441"/>
      <c r="BN120" s="441"/>
      <c r="BO120" s="441"/>
    </row>
    <row r="121" spans="1:67" ht="15" customHeight="1" outlineLevel="1" x14ac:dyDescent="0.25">
      <c r="A121" s="573">
        <v>0</v>
      </c>
      <c r="B121" s="594"/>
      <c r="C121" s="595">
        <v>9245</v>
      </c>
      <c r="D121" s="502" t="s">
        <v>262</v>
      </c>
      <c r="E121" s="596">
        <v>0</v>
      </c>
      <c r="F121" s="594"/>
      <c r="G121" s="594">
        <v>21207</v>
      </c>
      <c r="H121" s="552"/>
      <c r="I121" s="552"/>
      <c r="J121" s="552"/>
      <c r="K121" s="552"/>
      <c r="L121" s="364">
        <v>4050</v>
      </c>
      <c r="M121" s="363" t="s">
        <v>377</v>
      </c>
      <c r="N121" s="166"/>
      <c r="O121" s="166"/>
      <c r="P121" s="166"/>
      <c r="Q121" s="166"/>
      <c r="R121" s="166"/>
      <c r="S121" s="166"/>
      <c r="T121" s="166"/>
      <c r="U121" s="166"/>
      <c r="V121" s="169"/>
      <c r="W121" s="169"/>
      <c r="X121" s="166"/>
      <c r="Y121" s="166"/>
      <c r="Z121" s="170"/>
      <c r="AA121" s="371"/>
      <c r="BJ121" s="639"/>
      <c r="BK121" s="441"/>
      <c r="BL121" s="441"/>
      <c r="BM121" s="441"/>
      <c r="BN121" s="441"/>
      <c r="BO121" s="441"/>
    </row>
    <row r="122" spans="1:67" ht="15" customHeight="1" outlineLevel="1" x14ac:dyDescent="0.25">
      <c r="A122" s="573">
        <v>20715</v>
      </c>
      <c r="B122" s="594">
        <v>0</v>
      </c>
      <c r="C122" s="595">
        <v>5666</v>
      </c>
      <c r="D122" s="502" t="s">
        <v>94</v>
      </c>
      <c r="E122" s="596">
        <v>27786</v>
      </c>
      <c r="F122" s="594">
        <v>0</v>
      </c>
      <c r="G122" s="594">
        <v>30669</v>
      </c>
      <c r="H122" s="552"/>
      <c r="I122" s="552"/>
      <c r="J122" s="552"/>
      <c r="K122" s="552"/>
      <c r="L122" s="364">
        <v>4060</v>
      </c>
      <c r="M122" s="363" t="s">
        <v>378</v>
      </c>
      <c r="N122" s="166"/>
      <c r="O122" s="166"/>
      <c r="P122" s="166"/>
      <c r="Q122" s="166"/>
      <c r="R122" s="166"/>
      <c r="S122" s="166"/>
      <c r="T122" s="166"/>
      <c r="U122" s="166"/>
      <c r="V122" s="169"/>
      <c r="W122" s="169"/>
      <c r="X122" s="166"/>
      <c r="Y122" s="166"/>
      <c r="Z122" s="170"/>
      <c r="AA122" s="371"/>
      <c r="BJ122" s="639"/>
      <c r="BK122" s="441"/>
      <c r="BL122" s="441"/>
      <c r="BM122" s="441"/>
      <c r="BN122" s="441"/>
      <c r="BO122" s="441"/>
    </row>
    <row r="123" spans="1:67" ht="15" customHeight="1" outlineLevel="1" x14ac:dyDescent="0.25">
      <c r="A123" s="573">
        <v>7077</v>
      </c>
      <c r="B123" s="594">
        <v>0</v>
      </c>
      <c r="C123" s="595">
        <v>6595</v>
      </c>
      <c r="D123" s="502" t="s">
        <v>60</v>
      </c>
      <c r="E123" s="596">
        <v>28308</v>
      </c>
      <c r="F123" s="594">
        <v>0</v>
      </c>
      <c r="G123" s="594">
        <v>25831</v>
      </c>
      <c r="H123" s="552"/>
      <c r="I123" s="552"/>
      <c r="J123" s="552"/>
      <c r="K123" s="552"/>
      <c r="N123" s="166"/>
      <c r="O123" s="166"/>
      <c r="P123" s="166"/>
      <c r="Q123" s="166"/>
      <c r="R123" s="166"/>
      <c r="S123" s="166"/>
      <c r="T123" s="166"/>
      <c r="U123" s="166"/>
      <c r="V123" s="169"/>
      <c r="W123" s="169"/>
      <c r="X123" s="166"/>
      <c r="Y123" s="166"/>
      <c r="Z123" s="170"/>
      <c r="AA123" s="371"/>
      <c r="BJ123" s="639"/>
      <c r="BK123" s="441"/>
      <c r="BL123" s="441"/>
      <c r="BM123" s="441"/>
      <c r="BN123" s="441"/>
      <c r="BO123" s="441"/>
    </row>
    <row r="124" spans="1:67" ht="15" customHeight="1" outlineLevel="1" x14ac:dyDescent="0.25">
      <c r="A124" s="573">
        <v>366</v>
      </c>
      <c r="B124" s="594">
        <v>0</v>
      </c>
      <c r="C124" s="595">
        <v>397</v>
      </c>
      <c r="D124" s="502" t="s">
        <v>61</v>
      </c>
      <c r="E124" s="596">
        <v>1638</v>
      </c>
      <c r="F124" s="594">
        <v>0</v>
      </c>
      <c r="G124" s="594">
        <v>495</v>
      </c>
      <c r="H124" s="552"/>
      <c r="I124" s="552"/>
      <c r="J124" s="552"/>
      <c r="K124" s="552"/>
      <c r="N124" s="166"/>
      <c r="O124" s="166"/>
      <c r="P124" s="166"/>
      <c r="Q124" s="166"/>
      <c r="R124" s="166"/>
      <c r="S124" s="166"/>
      <c r="T124" s="166"/>
      <c r="U124" s="166"/>
      <c r="V124" s="169"/>
      <c r="X124" s="169">
        <f>'Mngt-G&amp;A Total'!S9</f>
        <v>428131.05</v>
      </c>
      <c r="Y124" s="169"/>
      <c r="Z124" s="170">
        <f>X124</f>
        <v>428131.05</v>
      </c>
      <c r="AA124" s="371">
        <f>E124-Z124</f>
        <v>-426493.05</v>
      </c>
      <c r="BJ124" s="639"/>
      <c r="BK124" s="441"/>
      <c r="BL124" s="441"/>
      <c r="BM124" s="441"/>
      <c r="BN124" s="441"/>
      <c r="BO124" s="441"/>
    </row>
    <row r="125" spans="1:67" ht="15" customHeight="1" outlineLevel="1" x14ac:dyDescent="0.25">
      <c r="A125" s="573">
        <v>11835</v>
      </c>
      <c r="B125" s="594">
        <v>0</v>
      </c>
      <c r="C125" s="595">
        <v>10160</v>
      </c>
      <c r="D125" s="502" t="s">
        <v>95</v>
      </c>
      <c r="E125" s="596">
        <v>46489</v>
      </c>
      <c r="F125" s="594">
        <v>0</v>
      </c>
      <c r="G125" s="594">
        <v>44086</v>
      </c>
      <c r="H125" s="552"/>
      <c r="I125" s="552"/>
      <c r="J125" s="552"/>
      <c r="K125" s="552"/>
      <c r="L125" s="364">
        <v>4405</v>
      </c>
      <c r="M125" s="363" t="s">
        <v>379</v>
      </c>
      <c r="N125" s="166"/>
      <c r="O125" s="166"/>
      <c r="P125" s="166"/>
      <c r="Q125" s="166"/>
      <c r="R125" s="166"/>
      <c r="S125" s="166"/>
      <c r="T125" s="166"/>
      <c r="U125" s="166"/>
      <c r="V125" s="169"/>
      <c r="X125" s="169"/>
      <c r="Y125" s="169"/>
      <c r="Z125" s="170"/>
      <c r="AA125" s="371"/>
      <c r="BJ125" s="639"/>
      <c r="BK125" s="441"/>
      <c r="BL125" s="441"/>
      <c r="BM125" s="441"/>
      <c r="BN125" s="441"/>
      <c r="BO125" s="441"/>
    </row>
    <row r="126" spans="1:67" ht="15" customHeight="1" x14ac:dyDescent="0.25">
      <c r="A126" s="590">
        <v>117407</v>
      </c>
      <c r="B126" s="597">
        <v>0</v>
      </c>
      <c r="C126" s="598">
        <v>98048</v>
      </c>
      <c r="D126" s="599" t="s">
        <v>96</v>
      </c>
      <c r="E126" s="600">
        <v>428131</v>
      </c>
      <c r="F126" s="597">
        <v>0</v>
      </c>
      <c r="G126" s="597">
        <v>416654</v>
      </c>
      <c r="H126" s="556"/>
      <c r="I126" s="556"/>
      <c r="J126" s="556"/>
      <c r="K126" s="556"/>
      <c r="N126" s="166"/>
      <c r="O126" s="166"/>
      <c r="P126" s="166"/>
      <c r="Q126" s="166"/>
      <c r="R126" s="166"/>
      <c r="S126" s="166"/>
      <c r="T126" s="166"/>
      <c r="U126" s="166"/>
      <c r="V126" s="169"/>
      <c r="X126" s="169">
        <f>'Mngt-G&amp;A Total'!S9</f>
        <v>428131.05</v>
      </c>
      <c r="Y126" s="169"/>
      <c r="Z126" s="170">
        <f t="shared" ref="Z126:Z139" si="8">X126</f>
        <v>428131.05</v>
      </c>
      <c r="AA126" s="371">
        <f t="shared" ref="AA126:AA157" si="9">E126-Z126</f>
        <v>-4.9999999988358468E-2</v>
      </c>
      <c r="AL126" s="169">
        <f>'Mngt-G&amp;A Total'!AF9</f>
        <v>0</v>
      </c>
      <c r="AN126" s="170">
        <f>AL126</f>
        <v>0</v>
      </c>
      <c r="AO126" s="375">
        <f t="shared" ref="AO126:AO156" si="10">F126-AN126</f>
        <v>0</v>
      </c>
      <c r="AZ126" s="169">
        <f>'Mngt-G&amp;A Total'!AS9</f>
        <v>416654.01</v>
      </c>
      <c r="BB126" s="374">
        <f>AZ126</f>
        <v>416654.01</v>
      </c>
      <c r="BC126" s="375">
        <f t="shared" ref="BC126:BC156" si="11">G126-BB126</f>
        <v>-1.0000000009313226E-2</v>
      </c>
      <c r="BD126" s="685">
        <f>+E126*$BD$7</f>
        <v>443115.58499999996</v>
      </c>
      <c r="BF126" s="553">
        <v>104480.25</v>
      </c>
      <c r="BG126" s="637">
        <f t="shared" ref="BG126:BG155" si="12">+E126-A126</f>
        <v>310724</v>
      </c>
      <c r="BH126" s="638">
        <f t="shared" ref="BH126:BH156" si="13">+BG126-A126</f>
        <v>193317</v>
      </c>
      <c r="BJ126" s="682">
        <f>+G126*-0.05</f>
        <v>-20832.7</v>
      </c>
      <c r="BK126" s="441">
        <f>+BM126-BJ126</f>
        <v>9355.7000000000007</v>
      </c>
      <c r="BL126" s="441">
        <f>+BJ126+BK126</f>
        <v>-11477</v>
      </c>
      <c r="BM126" s="441">
        <f>+G126-E126</f>
        <v>-11477</v>
      </c>
      <c r="BN126" s="441">
        <f>+BL126-BM126</f>
        <v>0</v>
      </c>
      <c r="BO126" s="441"/>
    </row>
    <row r="127" spans="1:67" ht="15" customHeight="1" outlineLevel="1" x14ac:dyDescent="0.25">
      <c r="A127" s="573">
        <v>0</v>
      </c>
      <c r="B127" s="594">
        <v>0</v>
      </c>
      <c r="C127" s="595">
        <v>566</v>
      </c>
      <c r="D127" s="502" t="s">
        <v>64</v>
      </c>
      <c r="E127" s="596">
        <v>0</v>
      </c>
      <c r="F127" s="594">
        <v>0</v>
      </c>
      <c r="G127" s="594">
        <v>2264</v>
      </c>
      <c r="H127" s="552"/>
      <c r="I127" s="552"/>
      <c r="J127" s="552"/>
      <c r="K127" s="552"/>
      <c r="L127" s="364">
        <v>4405</v>
      </c>
      <c r="N127" s="166"/>
      <c r="O127" s="166"/>
      <c r="P127" s="166"/>
      <c r="Q127" s="166"/>
      <c r="R127" s="166"/>
      <c r="S127" s="166"/>
      <c r="T127" s="166"/>
      <c r="U127" s="166"/>
      <c r="V127" s="169"/>
      <c r="X127" s="169">
        <f>'Mngt-G&amp;A Total'!S17+'Mngt-G&amp;A Total'!S18</f>
        <v>15103.48</v>
      </c>
      <c r="Y127" s="169"/>
      <c r="Z127" s="170">
        <f t="shared" si="8"/>
        <v>15103.48</v>
      </c>
      <c r="AA127" s="371">
        <f t="shared" si="9"/>
        <v>-15103.48</v>
      </c>
      <c r="AL127" s="169">
        <f>'Mngt-G&amp;A Total'!AG17+'Mngt-G&amp;A Total'!AG18</f>
        <v>3059.8199999999997</v>
      </c>
      <c r="AN127" s="170">
        <f t="shared" ref="AN127:AN156" si="14">AL127</f>
        <v>3059.8199999999997</v>
      </c>
      <c r="AO127" s="375">
        <f t="shared" si="10"/>
        <v>-3059.8199999999997</v>
      </c>
      <c r="AZ127" s="169">
        <f>'Mngt-G&amp;A Total'!AU17+'Mngt-G&amp;A Total'!AU18</f>
        <v>114.69217561932794</v>
      </c>
      <c r="BC127" s="375">
        <f t="shared" si="11"/>
        <v>2264</v>
      </c>
      <c r="BG127" s="637">
        <f t="shared" si="12"/>
        <v>0</v>
      </c>
      <c r="BH127" s="638">
        <f t="shared" si="13"/>
        <v>0</v>
      </c>
      <c r="BJ127" s="639"/>
      <c r="BK127" s="441"/>
      <c r="BL127" s="441"/>
      <c r="BM127" s="441"/>
      <c r="BN127" s="441"/>
      <c r="BO127" s="441"/>
    </row>
    <row r="128" spans="1:67" ht="15" customHeight="1" outlineLevel="1" x14ac:dyDescent="0.25">
      <c r="A128" s="573">
        <v>3736</v>
      </c>
      <c r="B128" s="594">
        <v>0</v>
      </c>
      <c r="C128" s="595">
        <v>3503</v>
      </c>
      <c r="D128" s="502" t="s">
        <v>248</v>
      </c>
      <c r="E128" s="596">
        <v>15103</v>
      </c>
      <c r="F128" s="594">
        <v>0</v>
      </c>
      <c r="G128" s="594">
        <v>13169</v>
      </c>
      <c r="H128" s="552"/>
      <c r="I128" s="552"/>
      <c r="J128" s="552"/>
      <c r="K128" s="552"/>
      <c r="L128" s="364">
        <v>4450</v>
      </c>
      <c r="M128" s="363" t="s">
        <v>380</v>
      </c>
      <c r="N128" s="166"/>
      <c r="O128" s="166"/>
      <c r="P128" s="166"/>
      <c r="Q128" s="166"/>
      <c r="R128" s="166"/>
      <c r="S128" s="166"/>
      <c r="T128" s="166"/>
      <c r="U128" s="166"/>
      <c r="V128" s="169"/>
      <c r="X128" s="169"/>
      <c r="Y128" s="169"/>
      <c r="Z128" s="170">
        <f t="shared" si="8"/>
        <v>0</v>
      </c>
      <c r="AA128" s="371">
        <f t="shared" si="9"/>
        <v>15103</v>
      </c>
      <c r="AL128" s="169"/>
      <c r="AN128" s="170">
        <f t="shared" si="14"/>
        <v>0</v>
      </c>
      <c r="AO128" s="375">
        <f t="shared" si="10"/>
        <v>0</v>
      </c>
      <c r="AZ128" s="169"/>
      <c r="BC128" s="375">
        <f t="shared" si="11"/>
        <v>13169</v>
      </c>
      <c r="BG128" s="637">
        <f t="shared" si="12"/>
        <v>11367</v>
      </c>
      <c r="BH128" s="638">
        <f t="shared" si="13"/>
        <v>7631</v>
      </c>
      <c r="BJ128" s="639"/>
      <c r="BK128" s="441"/>
      <c r="BL128" s="441"/>
      <c r="BM128" s="441"/>
      <c r="BN128" s="441"/>
      <c r="BO128" s="441"/>
    </row>
    <row r="129" spans="1:67" ht="15" customHeight="1" x14ac:dyDescent="0.25">
      <c r="A129" s="590">
        <v>3736</v>
      </c>
      <c r="B129" s="597">
        <v>0</v>
      </c>
      <c r="C129" s="598">
        <v>4069</v>
      </c>
      <c r="D129" s="599" t="s">
        <v>66</v>
      </c>
      <c r="E129" s="600">
        <v>15103</v>
      </c>
      <c r="F129" s="597">
        <v>0</v>
      </c>
      <c r="G129" s="597">
        <v>15433</v>
      </c>
      <c r="H129" s="556"/>
      <c r="I129" s="556"/>
      <c r="J129" s="556"/>
      <c r="K129" s="556"/>
      <c r="L129" s="364">
        <v>4510</v>
      </c>
      <c r="M129" s="363" t="s">
        <v>381</v>
      </c>
      <c r="N129" s="166"/>
      <c r="O129" s="166"/>
      <c r="P129" s="166"/>
      <c r="Q129" s="166"/>
      <c r="R129" s="166"/>
      <c r="S129" s="166"/>
      <c r="T129" s="166"/>
      <c r="U129" s="166"/>
      <c r="V129" s="169"/>
      <c r="X129" s="169">
        <f>'Mngt-G&amp;A Total'!S17+'Mngt-G&amp;A Total'!S18</f>
        <v>15103.48</v>
      </c>
      <c r="Y129" s="169"/>
      <c r="Z129" s="170">
        <f t="shared" si="8"/>
        <v>15103.48</v>
      </c>
      <c r="AA129" s="371">
        <f t="shared" si="9"/>
        <v>-0.47999999999956344</v>
      </c>
      <c r="AL129" s="169">
        <f>'Mngt-G&amp;A Total'!AF17+'Mngt-G&amp;A Total'!AF18</f>
        <v>0</v>
      </c>
      <c r="AN129" s="170">
        <f t="shared" si="14"/>
        <v>0</v>
      </c>
      <c r="AO129" s="375">
        <f t="shared" si="10"/>
        <v>0</v>
      </c>
      <c r="AZ129" s="169">
        <f>'Mngt-G&amp;A Total'!AS17+'Mngt-G&amp;A Total'!AS18</f>
        <v>15432.74</v>
      </c>
      <c r="BB129" s="374">
        <f t="shared" ref="BB129:BB156" si="15">AZ129</f>
        <v>15432.74</v>
      </c>
      <c r="BC129" s="375">
        <f t="shared" si="11"/>
        <v>0.26000000000021828</v>
      </c>
      <c r="BD129" s="681">
        <f>+E129</f>
        <v>15103</v>
      </c>
      <c r="BF129" s="553">
        <v>3906</v>
      </c>
      <c r="BG129" s="637">
        <f t="shared" si="12"/>
        <v>11367</v>
      </c>
      <c r="BH129" s="638">
        <f t="shared" si="13"/>
        <v>7631</v>
      </c>
      <c r="BJ129" s="639"/>
      <c r="BK129" s="441"/>
      <c r="BL129" s="441"/>
      <c r="BM129" s="441"/>
      <c r="BN129" s="441"/>
      <c r="BO129" s="441"/>
    </row>
    <row r="130" spans="1:67" ht="15" customHeight="1" x14ac:dyDescent="0.25">
      <c r="A130" s="573">
        <v>273</v>
      </c>
      <c r="B130" s="594">
        <v>0</v>
      </c>
      <c r="C130" s="595">
        <v>273</v>
      </c>
      <c r="D130" s="502" t="s">
        <v>97</v>
      </c>
      <c r="E130" s="596">
        <v>1092</v>
      </c>
      <c r="F130" s="594">
        <v>0</v>
      </c>
      <c r="G130" s="594">
        <v>1567</v>
      </c>
      <c r="H130" s="556"/>
      <c r="I130" s="556"/>
      <c r="J130" s="556"/>
      <c r="K130" s="556"/>
      <c r="N130" s="166"/>
      <c r="O130" s="166"/>
      <c r="P130" s="166"/>
      <c r="Q130" s="166"/>
      <c r="R130" s="166"/>
      <c r="S130" s="166"/>
      <c r="T130" s="166"/>
      <c r="U130" s="166"/>
      <c r="V130" s="169"/>
      <c r="X130" s="169"/>
      <c r="Y130" s="169"/>
      <c r="Z130" s="170"/>
      <c r="AA130" s="371"/>
      <c r="AL130" s="169"/>
      <c r="AN130" s="170"/>
      <c r="AO130" s="375"/>
      <c r="AZ130" s="169"/>
      <c r="BB130" s="374"/>
      <c r="BC130" s="375"/>
      <c r="BG130" s="637"/>
      <c r="BH130" s="638"/>
      <c r="BJ130" s="639"/>
      <c r="BK130" s="441"/>
      <c r="BL130" s="441"/>
      <c r="BM130" s="441"/>
      <c r="BN130" s="441"/>
      <c r="BO130" s="441"/>
    </row>
    <row r="131" spans="1:67" ht="15" customHeight="1" x14ac:dyDescent="0.25">
      <c r="A131" s="590">
        <v>273</v>
      </c>
      <c r="B131" s="597">
        <v>0</v>
      </c>
      <c r="C131" s="598">
        <v>273</v>
      </c>
      <c r="D131" s="599" t="s">
        <v>98</v>
      </c>
      <c r="E131" s="600">
        <v>1092</v>
      </c>
      <c r="F131" s="597">
        <v>0</v>
      </c>
      <c r="G131" s="597">
        <v>1567</v>
      </c>
      <c r="H131" s="556"/>
      <c r="I131" s="556"/>
      <c r="J131" s="556"/>
      <c r="K131" s="556"/>
      <c r="L131" s="364">
        <v>4820</v>
      </c>
      <c r="M131" s="363" t="s">
        <v>382</v>
      </c>
      <c r="N131" s="166"/>
      <c r="O131" s="166"/>
      <c r="P131" s="166"/>
      <c r="Q131" s="166"/>
      <c r="R131" s="166"/>
      <c r="S131" s="166"/>
      <c r="T131" s="166"/>
      <c r="U131" s="166"/>
      <c r="V131" s="169"/>
      <c r="X131" s="169">
        <f>'Mngt-G&amp;A Total'!S22</f>
        <v>1092</v>
      </c>
      <c r="Y131" s="169"/>
      <c r="Z131" s="170">
        <f t="shared" si="8"/>
        <v>1092</v>
      </c>
      <c r="AA131" s="371">
        <f t="shared" si="9"/>
        <v>0</v>
      </c>
      <c r="AL131" s="169">
        <f>'Mngt-G&amp;A Total'!AF22</f>
        <v>0</v>
      </c>
      <c r="AN131" s="170">
        <f t="shared" si="14"/>
        <v>0</v>
      </c>
      <c r="AO131" s="375">
        <f t="shared" si="10"/>
        <v>0</v>
      </c>
      <c r="AZ131" s="169">
        <f>'Mngt-G&amp;A Total'!AS22</f>
        <v>1567.27</v>
      </c>
      <c r="BB131" s="374">
        <f t="shared" si="15"/>
        <v>1567.27</v>
      </c>
      <c r="BC131" s="375">
        <f t="shared" si="11"/>
        <v>-0.26999999999998181</v>
      </c>
      <c r="BD131" s="685">
        <f>+E131*$BD$7</f>
        <v>1130.2199999999998</v>
      </c>
      <c r="BF131" s="553">
        <v>297.75</v>
      </c>
      <c r="BG131" s="637">
        <f>+E131-A131</f>
        <v>819</v>
      </c>
      <c r="BH131" s="638">
        <f t="shared" si="13"/>
        <v>546</v>
      </c>
      <c r="BJ131" s="639"/>
      <c r="BK131" s="441"/>
      <c r="BL131" s="441"/>
      <c r="BM131" s="441"/>
      <c r="BN131" s="441"/>
      <c r="BO131" s="441"/>
    </row>
    <row r="132" spans="1:67" ht="15" customHeight="1" outlineLevel="1" x14ac:dyDescent="0.25">
      <c r="A132" s="573">
        <v>111</v>
      </c>
      <c r="B132" s="594">
        <v>0</v>
      </c>
      <c r="C132" s="595">
        <v>868</v>
      </c>
      <c r="D132" s="502" t="s">
        <v>99</v>
      </c>
      <c r="E132" s="596">
        <v>326</v>
      </c>
      <c r="F132" s="594">
        <v>0</v>
      </c>
      <c r="G132" s="594">
        <v>2096</v>
      </c>
      <c r="H132" s="552"/>
      <c r="I132" s="552"/>
      <c r="J132" s="552"/>
      <c r="K132" s="552"/>
      <c r="L132" s="364" t="s">
        <v>364</v>
      </c>
      <c r="M132" s="363" t="s">
        <v>383</v>
      </c>
      <c r="N132" s="166"/>
      <c r="O132" s="166"/>
      <c r="P132" s="166"/>
      <c r="Q132" s="166"/>
      <c r="R132" s="166"/>
      <c r="S132" s="166"/>
      <c r="T132" s="166"/>
      <c r="U132" s="166"/>
      <c r="V132" s="169"/>
      <c r="X132" s="169"/>
      <c r="Y132" s="169"/>
      <c r="Z132" s="170">
        <f t="shared" si="8"/>
        <v>0</v>
      </c>
      <c r="AA132" s="371">
        <f t="shared" si="9"/>
        <v>326</v>
      </c>
      <c r="AL132" s="169"/>
      <c r="AN132" s="170">
        <f t="shared" si="14"/>
        <v>0</v>
      </c>
      <c r="AO132" s="375">
        <f t="shared" si="10"/>
        <v>0</v>
      </c>
      <c r="AZ132" s="169"/>
      <c r="BB132" s="374">
        <f t="shared" si="15"/>
        <v>0</v>
      </c>
      <c r="BC132" s="375">
        <f t="shared" si="11"/>
        <v>2096</v>
      </c>
      <c r="BG132" s="637">
        <f t="shared" si="12"/>
        <v>215</v>
      </c>
      <c r="BH132" s="638">
        <f t="shared" si="13"/>
        <v>104</v>
      </c>
      <c r="BJ132" s="639"/>
      <c r="BK132" s="441"/>
      <c r="BL132" s="441"/>
      <c r="BM132" s="441"/>
      <c r="BN132" s="441"/>
      <c r="BO132" s="441"/>
    </row>
    <row r="133" spans="1:67" ht="15" customHeight="1" outlineLevel="1" x14ac:dyDescent="0.25">
      <c r="A133" s="573">
        <v>653</v>
      </c>
      <c r="B133" s="594">
        <v>0</v>
      </c>
      <c r="C133" s="595">
        <v>626</v>
      </c>
      <c r="D133" s="502" t="s">
        <v>100</v>
      </c>
      <c r="E133" s="596">
        <v>3080</v>
      </c>
      <c r="F133" s="594">
        <v>0</v>
      </c>
      <c r="G133" s="594">
        <v>4999</v>
      </c>
      <c r="H133" s="552"/>
      <c r="I133" s="552"/>
      <c r="J133" s="552"/>
      <c r="K133" s="552"/>
      <c r="L133" s="364">
        <v>4835</v>
      </c>
      <c r="M133" s="363" t="s">
        <v>384</v>
      </c>
      <c r="N133" s="166"/>
      <c r="O133" s="166"/>
      <c r="P133" s="166"/>
      <c r="Q133" s="166"/>
      <c r="R133" s="166"/>
      <c r="S133" s="166"/>
      <c r="T133" s="166"/>
      <c r="U133" s="166"/>
      <c r="V133" s="169"/>
      <c r="X133" s="169"/>
      <c r="Y133" s="169"/>
      <c r="Z133" s="170">
        <f t="shared" si="8"/>
        <v>0</v>
      </c>
      <c r="AA133" s="371">
        <f t="shared" si="9"/>
        <v>3080</v>
      </c>
      <c r="AL133" s="169"/>
      <c r="AN133" s="170">
        <f t="shared" si="14"/>
        <v>0</v>
      </c>
      <c r="AO133" s="375">
        <f t="shared" si="10"/>
        <v>0</v>
      </c>
      <c r="AZ133" s="169"/>
      <c r="BB133" s="374">
        <f t="shared" si="15"/>
        <v>0</v>
      </c>
      <c r="BC133" s="375">
        <f t="shared" si="11"/>
        <v>4999</v>
      </c>
      <c r="BG133" s="637">
        <f t="shared" si="12"/>
        <v>2427</v>
      </c>
      <c r="BH133" s="638">
        <f t="shared" si="13"/>
        <v>1774</v>
      </c>
      <c r="BJ133" s="639"/>
      <c r="BK133" s="441"/>
      <c r="BL133" s="441"/>
      <c r="BM133" s="441"/>
      <c r="BN133" s="441"/>
      <c r="BO133" s="441"/>
    </row>
    <row r="134" spans="1:67" ht="15" customHeight="1" outlineLevel="1" x14ac:dyDescent="0.25">
      <c r="A134" s="573">
        <v>315</v>
      </c>
      <c r="B134" s="594">
        <v>0</v>
      </c>
      <c r="C134" s="595">
        <v>177</v>
      </c>
      <c r="D134" s="502" t="s">
        <v>101</v>
      </c>
      <c r="E134" s="596">
        <v>2333</v>
      </c>
      <c r="F134" s="594">
        <v>0</v>
      </c>
      <c r="G134" s="594">
        <v>2370</v>
      </c>
      <c r="H134" s="552"/>
      <c r="I134" s="552"/>
      <c r="J134" s="552"/>
      <c r="K134" s="552"/>
      <c r="L134" s="364">
        <v>4840</v>
      </c>
      <c r="M134" s="363" t="s">
        <v>385</v>
      </c>
      <c r="N134" s="166"/>
      <c r="O134" s="166"/>
      <c r="P134" s="166"/>
      <c r="Q134" s="166"/>
      <c r="R134" s="166"/>
      <c r="S134" s="166"/>
      <c r="T134" s="166"/>
      <c r="U134" s="166"/>
      <c r="V134" s="169"/>
      <c r="X134" s="169"/>
      <c r="Y134" s="169"/>
      <c r="Z134" s="170">
        <f t="shared" si="8"/>
        <v>0</v>
      </c>
      <c r="AA134" s="371">
        <f t="shared" si="9"/>
        <v>2333</v>
      </c>
      <c r="AL134" s="169"/>
      <c r="AN134" s="170">
        <f t="shared" si="14"/>
        <v>0</v>
      </c>
      <c r="AO134" s="375">
        <f t="shared" si="10"/>
        <v>0</v>
      </c>
      <c r="AZ134" s="169"/>
      <c r="BB134" s="374">
        <f t="shared" si="15"/>
        <v>0</v>
      </c>
      <c r="BC134" s="375">
        <f t="shared" si="11"/>
        <v>2370</v>
      </c>
      <c r="BG134" s="637">
        <f t="shared" si="12"/>
        <v>2018</v>
      </c>
      <c r="BH134" s="638">
        <f t="shared" si="13"/>
        <v>1703</v>
      </c>
      <c r="BJ134" s="639"/>
      <c r="BK134" s="441"/>
      <c r="BL134" s="441"/>
      <c r="BM134" s="441"/>
      <c r="BN134" s="441"/>
      <c r="BO134" s="441"/>
    </row>
    <row r="135" spans="1:67" ht="15" customHeight="1" outlineLevel="1" x14ac:dyDescent="0.25">
      <c r="A135" s="573">
        <v>213</v>
      </c>
      <c r="B135" s="594">
        <v>0</v>
      </c>
      <c r="C135" s="595">
        <v>0</v>
      </c>
      <c r="D135" s="502" t="s">
        <v>75</v>
      </c>
      <c r="E135" s="596">
        <v>275</v>
      </c>
      <c r="F135" s="594">
        <v>0</v>
      </c>
      <c r="G135" s="594">
        <v>0</v>
      </c>
      <c r="H135" s="552"/>
      <c r="I135" s="552"/>
      <c r="J135" s="552"/>
      <c r="K135" s="552"/>
      <c r="N135" s="166"/>
      <c r="O135" s="166"/>
      <c r="P135" s="166"/>
      <c r="Q135" s="166"/>
      <c r="R135" s="166"/>
      <c r="S135" s="166"/>
      <c r="T135" s="166"/>
      <c r="U135" s="166"/>
      <c r="V135" s="169"/>
      <c r="X135" s="169"/>
      <c r="Y135" s="169"/>
      <c r="Z135" s="170"/>
      <c r="AA135" s="371"/>
      <c r="AL135" s="169"/>
      <c r="AN135" s="170"/>
      <c r="AO135" s="375"/>
      <c r="AZ135" s="169"/>
      <c r="BB135" s="374"/>
      <c r="BC135" s="375"/>
      <c r="BG135" s="637"/>
      <c r="BH135" s="638"/>
      <c r="BJ135" s="639"/>
      <c r="BK135" s="441"/>
      <c r="BL135" s="441"/>
      <c r="BM135" s="441"/>
      <c r="BN135" s="441"/>
      <c r="BO135" s="441"/>
    </row>
    <row r="136" spans="1:67" ht="15" customHeight="1" outlineLevel="1" x14ac:dyDescent="0.25">
      <c r="A136" s="573">
        <v>0</v>
      </c>
      <c r="B136" s="594">
        <v>0</v>
      </c>
      <c r="C136" s="595">
        <v>247</v>
      </c>
      <c r="D136" s="502" t="s">
        <v>76</v>
      </c>
      <c r="E136" s="596">
        <v>1291</v>
      </c>
      <c r="F136" s="594">
        <v>0</v>
      </c>
      <c r="G136" s="594">
        <v>2021</v>
      </c>
      <c r="H136" s="552"/>
      <c r="I136" s="552"/>
      <c r="J136" s="552"/>
      <c r="K136" s="552"/>
      <c r="L136" s="364">
        <v>4845</v>
      </c>
      <c r="M136" s="363" t="s">
        <v>386</v>
      </c>
      <c r="N136" s="166"/>
      <c r="O136" s="166"/>
      <c r="P136" s="166"/>
      <c r="Q136" s="166"/>
      <c r="R136" s="166"/>
      <c r="S136" s="166"/>
      <c r="T136" s="166"/>
      <c r="U136" s="166"/>
      <c r="V136" s="169"/>
      <c r="X136" s="169"/>
      <c r="Y136" s="169"/>
      <c r="Z136" s="170">
        <f t="shared" si="8"/>
        <v>0</v>
      </c>
      <c r="AA136" s="371">
        <f t="shared" si="9"/>
        <v>1291</v>
      </c>
      <c r="AL136" s="169"/>
      <c r="AN136" s="170">
        <f t="shared" si="14"/>
        <v>0</v>
      </c>
      <c r="AO136" s="375">
        <f t="shared" si="10"/>
        <v>0</v>
      </c>
      <c r="AZ136" s="169"/>
      <c r="BB136" s="374">
        <f t="shared" si="15"/>
        <v>0</v>
      </c>
      <c r="BC136" s="375">
        <f t="shared" si="11"/>
        <v>2021</v>
      </c>
      <c r="BG136" s="637">
        <f t="shared" si="12"/>
        <v>1291</v>
      </c>
      <c r="BH136" s="638">
        <f t="shared" si="13"/>
        <v>1291</v>
      </c>
      <c r="BJ136" s="639"/>
      <c r="BK136" s="441"/>
      <c r="BL136" s="441"/>
      <c r="BM136" s="441"/>
      <c r="BN136" s="441"/>
      <c r="BO136" s="441"/>
    </row>
    <row r="137" spans="1:67" ht="15" customHeight="1" outlineLevel="1" x14ac:dyDescent="0.25">
      <c r="A137" s="573">
        <v>313</v>
      </c>
      <c r="B137" s="594">
        <v>0</v>
      </c>
      <c r="C137" s="595">
        <v>313</v>
      </c>
      <c r="D137" s="502" t="s">
        <v>77</v>
      </c>
      <c r="E137" s="596">
        <v>1252</v>
      </c>
      <c r="F137" s="594">
        <v>0</v>
      </c>
      <c r="G137" s="594">
        <v>1299</v>
      </c>
      <c r="H137" s="552"/>
      <c r="I137" s="552"/>
      <c r="J137" s="552"/>
      <c r="K137" s="552"/>
      <c r="L137" s="364">
        <v>4850</v>
      </c>
      <c r="M137" s="363" t="s">
        <v>387</v>
      </c>
      <c r="N137" s="166"/>
      <c r="O137" s="166"/>
      <c r="P137" s="166"/>
      <c r="Q137" s="166"/>
      <c r="R137" s="166"/>
      <c r="S137" s="166"/>
      <c r="T137" s="166"/>
      <c r="U137" s="166"/>
      <c r="V137" s="169"/>
      <c r="X137" s="169"/>
      <c r="Y137" s="169"/>
      <c r="Z137" s="170">
        <f t="shared" si="8"/>
        <v>0</v>
      </c>
      <c r="AA137" s="371">
        <f t="shared" si="9"/>
        <v>1252</v>
      </c>
      <c r="AL137" s="169"/>
      <c r="AN137" s="170">
        <f t="shared" si="14"/>
        <v>0</v>
      </c>
      <c r="AO137" s="375">
        <f t="shared" si="10"/>
        <v>0</v>
      </c>
      <c r="AZ137" s="169"/>
      <c r="BB137" s="374">
        <f t="shared" si="15"/>
        <v>0</v>
      </c>
      <c r="BC137" s="375">
        <f t="shared" si="11"/>
        <v>1299</v>
      </c>
      <c r="BG137" s="637">
        <f t="shared" si="12"/>
        <v>939</v>
      </c>
      <c r="BH137" s="638">
        <f t="shared" si="13"/>
        <v>626</v>
      </c>
      <c r="BJ137" s="639"/>
      <c r="BK137" s="441"/>
      <c r="BL137" s="441"/>
      <c r="BM137" s="441"/>
      <c r="BN137" s="441"/>
      <c r="BO137" s="441"/>
    </row>
    <row r="138" spans="1:67" x14ac:dyDescent="0.25">
      <c r="A138" s="590">
        <v>1605</v>
      </c>
      <c r="B138" s="597">
        <v>0</v>
      </c>
      <c r="C138" s="598">
        <v>2231</v>
      </c>
      <c r="D138" s="599" t="s">
        <v>103</v>
      </c>
      <c r="E138" s="600">
        <v>8558</v>
      </c>
      <c r="F138" s="597">
        <v>0</v>
      </c>
      <c r="G138" s="597">
        <v>12786</v>
      </c>
      <c r="H138" s="556"/>
      <c r="I138" s="556"/>
      <c r="J138" s="556"/>
      <c r="K138" s="556"/>
      <c r="N138" s="166"/>
      <c r="O138" s="166"/>
      <c r="P138" s="166"/>
      <c r="Q138" s="166"/>
      <c r="R138" s="166"/>
      <c r="S138" s="166"/>
      <c r="T138" s="166"/>
      <c r="U138" s="166"/>
      <c r="V138" s="169"/>
      <c r="X138" s="363">
        <f>'Mngt-G&amp;A Total'!S34</f>
        <v>8558.2000000000007</v>
      </c>
      <c r="Z138" s="170">
        <f t="shared" si="8"/>
        <v>8558.2000000000007</v>
      </c>
      <c r="AA138" s="371">
        <f t="shared" si="9"/>
        <v>-0.2000000000007276</v>
      </c>
      <c r="AL138" s="363">
        <f>'Mngt-G&amp;A Total'!AF34</f>
        <v>0</v>
      </c>
      <c r="AN138" s="170">
        <f t="shared" si="14"/>
        <v>0</v>
      </c>
      <c r="AO138" s="375">
        <f t="shared" si="10"/>
        <v>0</v>
      </c>
      <c r="AZ138" s="363">
        <f>'Mngt-G&amp;A Total'!AS34</f>
        <v>12785.88</v>
      </c>
      <c r="BB138" s="374">
        <f t="shared" si="15"/>
        <v>12785.88</v>
      </c>
      <c r="BC138" s="375">
        <f t="shared" si="11"/>
        <v>0.12000000000080036</v>
      </c>
      <c r="BD138" s="685">
        <f>+E138*$BD$7</f>
        <v>8857.5299999999988</v>
      </c>
      <c r="BF138" s="553">
        <v>2728</v>
      </c>
      <c r="BG138" s="637">
        <f t="shared" si="12"/>
        <v>6953</v>
      </c>
      <c r="BH138" s="638">
        <f t="shared" si="13"/>
        <v>5348</v>
      </c>
      <c r="BJ138" s="639"/>
      <c r="BK138" s="441"/>
      <c r="BL138" s="441"/>
      <c r="BM138" s="441"/>
      <c r="BN138" s="441"/>
      <c r="BO138" s="441"/>
    </row>
    <row r="139" spans="1:67" ht="15" customHeight="1" outlineLevel="1" x14ac:dyDescent="0.25">
      <c r="A139" s="573">
        <v>4186</v>
      </c>
      <c r="B139" s="594">
        <v>0</v>
      </c>
      <c r="C139" s="595">
        <v>935</v>
      </c>
      <c r="D139" s="502" t="s">
        <v>104</v>
      </c>
      <c r="E139" s="596">
        <v>20754</v>
      </c>
      <c r="F139" s="594">
        <v>0</v>
      </c>
      <c r="G139" s="594">
        <v>2861</v>
      </c>
      <c r="H139" s="552"/>
      <c r="I139" s="552"/>
      <c r="J139" s="552"/>
      <c r="K139" s="552"/>
      <c r="L139" s="364">
        <v>5015</v>
      </c>
      <c r="M139" s="363" t="s">
        <v>388</v>
      </c>
      <c r="N139" s="166"/>
      <c r="O139" s="166"/>
      <c r="P139" s="166"/>
      <c r="Q139" s="166"/>
      <c r="R139" s="166"/>
      <c r="S139" s="166"/>
      <c r="T139" s="166"/>
      <c r="U139" s="166"/>
      <c r="V139" s="169"/>
      <c r="X139" s="169"/>
      <c r="Y139" s="169"/>
      <c r="Z139" s="170">
        <f t="shared" si="8"/>
        <v>0</v>
      </c>
      <c r="AA139" s="371">
        <f t="shared" si="9"/>
        <v>20754</v>
      </c>
      <c r="AL139" s="169"/>
      <c r="AN139" s="170">
        <f t="shared" si="14"/>
        <v>0</v>
      </c>
      <c r="AO139" s="375">
        <f t="shared" si="10"/>
        <v>0</v>
      </c>
      <c r="AZ139" s="169"/>
      <c r="BB139" s="374">
        <f t="shared" si="15"/>
        <v>0</v>
      </c>
      <c r="BC139" s="375">
        <f t="shared" si="11"/>
        <v>2861</v>
      </c>
      <c r="BG139" s="637">
        <f t="shared" si="12"/>
        <v>16568</v>
      </c>
      <c r="BH139" s="638">
        <f t="shared" si="13"/>
        <v>12382</v>
      </c>
      <c r="BJ139" s="639"/>
      <c r="BK139" s="441"/>
      <c r="BL139" s="441"/>
      <c r="BM139" s="441"/>
      <c r="BN139" s="441"/>
      <c r="BO139" s="441"/>
    </row>
    <row r="140" spans="1:67" ht="15" customHeight="1" x14ac:dyDescent="0.25">
      <c r="A140" s="590">
        <v>4186</v>
      </c>
      <c r="B140" s="597">
        <v>0</v>
      </c>
      <c r="C140" s="598">
        <v>935</v>
      </c>
      <c r="D140" s="599" t="s">
        <v>79</v>
      </c>
      <c r="E140" s="600">
        <v>20754</v>
      </c>
      <c r="F140" s="597">
        <v>0</v>
      </c>
      <c r="G140" s="597">
        <v>2861</v>
      </c>
      <c r="H140" s="556"/>
      <c r="I140" s="556"/>
      <c r="J140" s="556"/>
      <c r="K140" s="556"/>
      <c r="L140" s="364">
        <v>5030</v>
      </c>
      <c r="M140" s="363" t="s">
        <v>389</v>
      </c>
      <c r="N140" s="166"/>
      <c r="O140" s="166"/>
      <c r="P140" s="166"/>
      <c r="Q140" s="166"/>
      <c r="R140" s="166"/>
      <c r="S140" s="166"/>
      <c r="T140" s="166"/>
      <c r="U140" s="166"/>
      <c r="V140" s="169"/>
      <c r="X140" s="169">
        <f>'Mngt-G&amp;A Total'!S49</f>
        <v>20753.98</v>
      </c>
      <c r="Y140" s="169"/>
      <c r="Z140" s="170">
        <f>X140</f>
        <v>20753.98</v>
      </c>
      <c r="AA140" s="371">
        <f t="shared" si="9"/>
        <v>2.0000000000436557E-2</v>
      </c>
      <c r="AL140" s="169">
        <f>'Mngt-G&amp;A Total'!AF49</f>
        <v>0</v>
      </c>
      <c r="AN140" s="170">
        <f t="shared" si="14"/>
        <v>0</v>
      </c>
      <c r="AO140" s="375">
        <f t="shared" si="10"/>
        <v>0</v>
      </c>
      <c r="AZ140" s="169">
        <f>'Mngt-G&amp;A Total'!AS49</f>
        <v>2860.91</v>
      </c>
      <c r="BB140" s="374">
        <f t="shared" si="15"/>
        <v>2860.91</v>
      </c>
      <c r="BC140" s="375">
        <f t="shared" si="11"/>
        <v>9.0000000000145519E-2</v>
      </c>
      <c r="BD140" s="685">
        <f>+E140*$BD$7</f>
        <v>21480.39</v>
      </c>
      <c r="BF140" s="553">
        <v>5560.333333333333</v>
      </c>
      <c r="BG140" s="637">
        <f t="shared" si="12"/>
        <v>16568</v>
      </c>
      <c r="BH140" s="638">
        <f t="shared" si="13"/>
        <v>12382</v>
      </c>
      <c r="BJ140" s="639"/>
      <c r="BK140" s="441"/>
      <c r="BL140" s="441"/>
      <c r="BM140" s="441"/>
      <c r="BN140" s="441"/>
      <c r="BO140" s="441"/>
    </row>
    <row r="141" spans="1:67" ht="15" customHeight="1" outlineLevel="1" x14ac:dyDescent="0.25">
      <c r="A141" s="573">
        <v>0</v>
      </c>
      <c r="B141" s="594">
        <v>0</v>
      </c>
      <c r="C141" s="595">
        <v>585</v>
      </c>
      <c r="D141" s="502" t="s">
        <v>81</v>
      </c>
      <c r="E141" s="596">
        <v>4100</v>
      </c>
      <c r="F141" s="594">
        <v>0</v>
      </c>
      <c r="G141" s="594">
        <v>585</v>
      </c>
      <c r="H141" s="552"/>
      <c r="I141" s="552"/>
      <c r="J141" s="552"/>
      <c r="K141" s="552"/>
      <c r="L141" s="363"/>
      <c r="N141" s="166"/>
      <c r="O141" s="166"/>
      <c r="P141" s="166"/>
      <c r="Q141" s="166"/>
      <c r="R141" s="166"/>
      <c r="S141" s="166"/>
      <c r="T141" s="166"/>
      <c r="U141" s="166"/>
      <c r="V141" s="169"/>
      <c r="X141" s="169">
        <f>'Mngt-G&amp;A Total'!S50</f>
        <v>4100</v>
      </c>
      <c r="Y141" s="169"/>
      <c r="Z141" s="170">
        <f t="shared" ref="Z141:Z149" si="16">X141</f>
        <v>4100</v>
      </c>
      <c r="AA141" s="371">
        <f t="shared" si="9"/>
        <v>0</v>
      </c>
      <c r="AL141" s="169">
        <f>'Mngt-G&amp;A Total'!AF50</f>
        <v>0</v>
      </c>
      <c r="AN141" s="170">
        <f t="shared" si="14"/>
        <v>0</v>
      </c>
      <c r="AO141" s="375">
        <f t="shared" si="10"/>
        <v>0</v>
      </c>
      <c r="AZ141" s="169">
        <f>'Mngt-G&amp;A Total'!AS50</f>
        <v>585</v>
      </c>
      <c r="BB141" s="374">
        <f t="shared" si="15"/>
        <v>585</v>
      </c>
      <c r="BC141" s="375">
        <f t="shared" si="11"/>
        <v>0</v>
      </c>
      <c r="BG141" s="637">
        <f t="shared" si="12"/>
        <v>4100</v>
      </c>
      <c r="BH141" s="638">
        <f t="shared" si="13"/>
        <v>4100</v>
      </c>
      <c r="BJ141" s="639">
        <v>-5000</v>
      </c>
      <c r="BK141" s="441"/>
      <c r="BL141" s="441"/>
      <c r="BM141" s="441"/>
      <c r="BN141" s="441"/>
      <c r="BO141" s="441"/>
    </row>
    <row r="142" spans="1:67" ht="15" customHeight="1" outlineLevel="1" x14ac:dyDescent="0.25">
      <c r="A142" s="573">
        <v>4475</v>
      </c>
      <c r="B142" s="594">
        <v>0</v>
      </c>
      <c r="C142" s="595">
        <v>3900</v>
      </c>
      <c r="D142" s="502" t="s">
        <v>84</v>
      </c>
      <c r="E142" s="596">
        <v>16855</v>
      </c>
      <c r="F142" s="594">
        <v>0</v>
      </c>
      <c r="G142" s="594">
        <v>15600</v>
      </c>
      <c r="H142" s="552"/>
      <c r="I142" s="552"/>
      <c r="J142" s="552"/>
      <c r="K142" s="552"/>
      <c r="L142" s="364">
        <v>5070</v>
      </c>
      <c r="M142" s="363" t="s">
        <v>390</v>
      </c>
      <c r="N142" s="166"/>
      <c r="O142" s="166"/>
      <c r="P142" s="166"/>
      <c r="Q142" s="166"/>
      <c r="R142" s="166"/>
      <c r="S142" s="166"/>
      <c r="T142" s="166"/>
      <c r="U142" s="166"/>
      <c r="V142" s="169"/>
      <c r="X142" s="169">
        <f>'Mngt-G&amp;A Total'!S54</f>
        <v>0</v>
      </c>
      <c r="Y142" s="169"/>
      <c r="Z142" s="170">
        <f t="shared" si="16"/>
        <v>0</v>
      </c>
      <c r="AA142" s="371">
        <f t="shared" si="9"/>
        <v>16855</v>
      </c>
      <c r="AL142" s="169">
        <f>'Mngt-G&amp;A Total'!AF54</f>
        <v>0</v>
      </c>
      <c r="AN142" s="170">
        <f t="shared" si="14"/>
        <v>0</v>
      </c>
      <c r="AO142" s="375">
        <f t="shared" si="10"/>
        <v>0</v>
      </c>
      <c r="AZ142" s="169">
        <f>'Mngt-G&amp;A Total'!AS54</f>
        <v>0</v>
      </c>
      <c r="BB142" s="374">
        <f t="shared" si="15"/>
        <v>0</v>
      </c>
      <c r="BC142" s="375">
        <f t="shared" si="11"/>
        <v>15600</v>
      </c>
      <c r="BG142" s="637">
        <f t="shared" si="12"/>
        <v>12380</v>
      </c>
      <c r="BH142" s="638">
        <f t="shared" si="13"/>
        <v>7905</v>
      </c>
      <c r="BJ142" s="639"/>
      <c r="BK142" s="441"/>
      <c r="BL142" s="441"/>
      <c r="BM142" s="441"/>
      <c r="BN142" s="441"/>
      <c r="BO142" s="441"/>
    </row>
    <row r="143" spans="1:67" ht="15" customHeight="1" outlineLevel="1" x14ac:dyDescent="0.25">
      <c r="A143" s="573">
        <v>6489</v>
      </c>
      <c r="B143" s="594">
        <v>0</v>
      </c>
      <c r="C143" s="595">
        <v>5803</v>
      </c>
      <c r="D143" s="502" t="s">
        <v>85</v>
      </c>
      <c r="E143" s="596">
        <v>26256</v>
      </c>
      <c r="F143" s="594">
        <v>0</v>
      </c>
      <c r="G143" s="594">
        <v>22810</v>
      </c>
      <c r="H143" s="552"/>
      <c r="I143" s="552"/>
      <c r="J143" s="552"/>
      <c r="K143" s="552"/>
      <c r="L143" s="364" t="s">
        <v>365</v>
      </c>
      <c r="M143" s="363" t="s">
        <v>391</v>
      </c>
      <c r="N143" s="166"/>
      <c r="O143" s="166"/>
      <c r="P143" s="166"/>
      <c r="Q143" s="166"/>
      <c r="R143" s="166"/>
      <c r="S143" s="166"/>
      <c r="T143" s="166"/>
      <c r="U143" s="166"/>
      <c r="V143" s="169"/>
      <c r="X143" s="169">
        <f>'Mngt-G&amp;A Total'!S55</f>
        <v>16855</v>
      </c>
      <c r="Y143" s="169"/>
      <c r="Z143" s="170">
        <f t="shared" si="16"/>
        <v>16855</v>
      </c>
      <c r="AA143" s="371">
        <f t="shared" si="9"/>
        <v>9401</v>
      </c>
      <c r="AL143" s="169">
        <f>'Mngt-G&amp;A Total'!AF55</f>
        <v>0</v>
      </c>
      <c r="AN143" s="170">
        <f t="shared" si="14"/>
        <v>0</v>
      </c>
      <c r="AO143" s="375">
        <f t="shared" si="10"/>
        <v>0</v>
      </c>
      <c r="AZ143" s="169">
        <f>'Mngt-G&amp;A Total'!AS55</f>
        <v>15600</v>
      </c>
      <c r="BB143" s="374">
        <f t="shared" si="15"/>
        <v>15600</v>
      </c>
      <c r="BC143" s="375">
        <f t="shared" si="11"/>
        <v>7210</v>
      </c>
      <c r="BG143" s="637">
        <f t="shared" si="12"/>
        <v>19767</v>
      </c>
      <c r="BH143" s="638">
        <f t="shared" si="13"/>
        <v>13278</v>
      </c>
      <c r="BJ143" s="639"/>
      <c r="BK143" s="441"/>
      <c r="BL143" s="441"/>
      <c r="BM143" s="441"/>
      <c r="BN143" s="441"/>
      <c r="BO143" s="441"/>
    </row>
    <row r="144" spans="1:67" ht="15" customHeight="1" outlineLevel="1" x14ac:dyDescent="0.25">
      <c r="A144" s="573">
        <v>0</v>
      </c>
      <c r="B144" s="594">
        <v>0</v>
      </c>
      <c r="C144" s="595">
        <v>0</v>
      </c>
      <c r="D144" s="502" t="s">
        <v>86</v>
      </c>
      <c r="E144" s="596">
        <v>32</v>
      </c>
      <c r="F144" s="594">
        <v>0</v>
      </c>
      <c r="G144" s="594">
        <v>5047</v>
      </c>
      <c r="H144" s="552"/>
      <c r="I144" s="552"/>
      <c r="J144" s="552"/>
      <c r="K144" s="552"/>
      <c r="N144" s="166"/>
      <c r="O144" s="166"/>
      <c r="P144" s="166"/>
      <c r="Q144" s="166"/>
      <c r="R144" s="166"/>
      <c r="S144" s="166"/>
      <c r="T144" s="166"/>
      <c r="U144" s="166"/>
      <c r="V144" s="169"/>
      <c r="X144" s="169"/>
      <c r="Y144" s="169"/>
      <c r="Z144" s="170"/>
      <c r="AA144" s="371"/>
      <c r="AL144" s="169"/>
      <c r="AN144" s="170"/>
      <c r="AO144" s="375"/>
      <c r="AZ144" s="169"/>
      <c r="BB144" s="374"/>
      <c r="BC144" s="375"/>
      <c r="BG144" s="637">
        <f t="shared" si="12"/>
        <v>32</v>
      </c>
      <c r="BH144" s="638">
        <f t="shared" si="13"/>
        <v>32</v>
      </c>
      <c r="BJ144" s="639"/>
      <c r="BK144" s="441"/>
      <c r="BL144" s="441"/>
      <c r="BM144" s="441"/>
      <c r="BN144" s="441"/>
      <c r="BO144" s="441"/>
    </row>
    <row r="145" spans="1:67" ht="15" customHeight="1" outlineLevel="1" x14ac:dyDescent="0.25">
      <c r="A145" s="573">
        <v>4354</v>
      </c>
      <c r="B145" s="594">
        <v>0</v>
      </c>
      <c r="C145" s="595">
        <v>0</v>
      </c>
      <c r="D145" s="502" t="s">
        <v>110</v>
      </c>
      <c r="E145" s="596">
        <v>4354</v>
      </c>
      <c r="F145" s="594">
        <v>0</v>
      </c>
      <c r="G145" s="594">
        <v>0</v>
      </c>
      <c r="H145" s="552"/>
      <c r="I145" s="552"/>
      <c r="J145" s="552"/>
      <c r="K145" s="552"/>
      <c r="N145" s="166"/>
      <c r="O145" s="166"/>
      <c r="P145" s="166"/>
      <c r="Q145" s="166"/>
      <c r="R145" s="166"/>
      <c r="S145" s="166"/>
      <c r="T145" s="166"/>
      <c r="U145" s="166"/>
      <c r="V145" s="169"/>
      <c r="X145" s="169"/>
      <c r="Y145" s="169"/>
      <c r="Z145" s="170"/>
      <c r="AA145" s="371"/>
      <c r="AL145" s="169"/>
      <c r="AN145" s="170"/>
      <c r="AO145" s="375"/>
      <c r="AZ145" s="169"/>
      <c r="BB145" s="374"/>
      <c r="BC145" s="375"/>
      <c r="BG145" s="637"/>
      <c r="BH145" s="638"/>
      <c r="BJ145" s="639"/>
      <c r="BK145" s="441"/>
      <c r="BL145" s="441"/>
      <c r="BM145" s="441"/>
      <c r="BN145" s="441"/>
      <c r="BO145" s="441"/>
    </row>
    <row r="146" spans="1:67" ht="15" customHeight="1" outlineLevel="1" x14ac:dyDescent="0.25">
      <c r="A146" s="573">
        <v>7450</v>
      </c>
      <c r="B146" s="594">
        <v>0</v>
      </c>
      <c r="C146" s="595">
        <v>6450</v>
      </c>
      <c r="D146" s="502" t="s">
        <v>111</v>
      </c>
      <c r="E146" s="596">
        <v>29800</v>
      </c>
      <c r="F146" s="594">
        <v>0</v>
      </c>
      <c r="G146" s="594">
        <v>17358</v>
      </c>
      <c r="H146" s="552"/>
      <c r="I146" s="552"/>
      <c r="J146" s="552"/>
      <c r="K146" s="552"/>
      <c r="N146" s="166"/>
      <c r="O146" s="166"/>
      <c r="P146" s="166"/>
      <c r="Q146" s="166"/>
      <c r="R146" s="166"/>
      <c r="S146" s="166"/>
      <c r="T146" s="166"/>
      <c r="U146" s="166"/>
      <c r="V146" s="169"/>
      <c r="X146" s="169"/>
      <c r="Y146" s="169"/>
      <c r="Z146" s="170"/>
      <c r="AA146" s="371"/>
      <c r="AL146" s="169"/>
      <c r="AN146" s="170"/>
      <c r="AO146" s="375"/>
      <c r="AZ146" s="169"/>
      <c r="BB146" s="374"/>
      <c r="BC146" s="375"/>
      <c r="BG146" s="637"/>
      <c r="BH146" s="638"/>
      <c r="BJ146" s="639"/>
      <c r="BK146" s="441"/>
      <c r="BL146" s="441"/>
      <c r="BM146" s="441"/>
      <c r="BN146" s="441"/>
      <c r="BO146" s="441"/>
    </row>
    <row r="147" spans="1:67" ht="15" customHeight="1" outlineLevel="1" x14ac:dyDescent="0.25">
      <c r="A147" s="573">
        <v>7560</v>
      </c>
      <c r="B147" s="594">
        <v>0</v>
      </c>
      <c r="C147" s="595">
        <v>0</v>
      </c>
      <c r="D147" s="502" t="s">
        <v>87</v>
      </c>
      <c r="E147" s="596">
        <v>25280</v>
      </c>
      <c r="F147" s="594">
        <v>0</v>
      </c>
      <c r="G147" s="594">
        <v>2112</v>
      </c>
      <c r="H147" s="552"/>
      <c r="I147" s="552"/>
      <c r="J147" s="552"/>
      <c r="K147" s="552"/>
      <c r="N147" s="166"/>
      <c r="O147" s="166"/>
      <c r="P147" s="166"/>
      <c r="Q147" s="166"/>
      <c r="R147" s="166"/>
      <c r="S147" s="166"/>
      <c r="T147" s="166"/>
      <c r="U147" s="166"/>
      <c r="V147" s="169"/>
      <c r="X147" s="169"/>
      <c r="Y147" s="169"/>
      <c r="Z147" s="170"/>
      <c r="AA147" s="371"/>
      <c r="AL147" s="169"/>
      <c r="AN147" s="170"/>
      <c r="AO147" s="375"/>
      <c r="AZ147" s="169"/>
      <c r="BB147" s="374"/>
      <c r="BC147" s="375"/>
      <c r="BG147" s="637"/>
      <c r="BH147" s="638"/>
      <c r="BJ147" s="639"/>
      <c r="BK147" s="441"/>
      <c r="BL147" s="441"/>
      <c r="BM147" s="441"/>
      <c r="BN147" s="441"/>
      <c r="BO147" s="441"/>
    </row>
    <row r="148" spans="1:67" ht="15" customHeight="1" outlineLevel="1" x14ac:dyDescent="0.25">
      <c r="A148" s="573">
        <v>0</v>
      </c>
      <c r="B148" s="594">
        <v>0</v>
      </c>
      <c r="C148" s="595">
        <v>4575</v>
      </c>
      <c r="D148" s="502" t="s">
        <v>88</v>
      </c>
      <c r="E148" s="596">
        <v>2500</v>
      </c>
      <c r="F148" s="594">
        <v>0</v>
      </c>
      <c r="G148" s="594">
        <v>11725</v>
      </c>
      <c r="H148" s="552"/>
      <c r="I148" s="552"/>
      <c r="J148" s="552"/>
      <c r="K148" s="552"/>
      <c r="N148" s="166"/>
      <c r="O148" s="166"/>
      <c r="P148" s="166"/>
      <c r="Q148" s="166"/>
      <c r="R148" s="166"/>
      <c r="S148" s="166"/>
      <c r="T148" s="166"/>
      <c r="U148" s="166"/>
      <c r="V148" s="169"/>
      <c r="X148" s="169"/>
      <c r="Y148" s="169"/>
      <c r="Z148" s="170"/>
      <c r="AA148" s="371"/>
      <c r="AL148" s="169"/>
      <c r="AN148" s="170"/>
      <c r="AO148" s="375"/>
      <c r="AZ148" s="169"/>
      <c r="BB148" s="374"/>
      <c r="BC148" s="375"/>
      <c r="BG148" s="637"/>
      <c r="BH148" s="638"/>
      <c r="BJ148" s="639"/>
      <c r="BK148" s="441"/>
      <c r="BL148" s="441"/>
      <c r="BM148" s="441"/>
      <c r="BN148" s="441"/>
      <c r="BO148" s="441"/>
    </row>
    <row r="149" spans="1:67" ht="15" customHeight="1" outlineLevel="1" x14ac:dyDescent="0.25">
      <c r="A149" s="573">
        <v>1155</v>
      </c>
      <c r="B149" s="594">
        <v>0</v>
      </c>
      <c r="C149" s="595">
        <v>679</v>
      </c>
      <c r="D149" s="502" t="s">
        <v>89</v>
      </c>
      <c r="E149" s="596">
        <v>4697</v>
      </c>
      <c r="F149" s="594">
        <v>0</v>
      </c>
      <c r="G149" s="594">
        <v>6421</v>
      </c>
      <c r="H149" s="552"/>
      <c r="I149" s="552"/>
      <c r="J149" s="552"/>
      <c r="K149" s="552"/>
      <c r="L149" s="364">
        <v>5090</v>
      </c>
      <c r="M149" s="363" t="s">
        <v>392</v>
      </c>
      <c r="N149" s="166"/>
      <c r="O149" s="166"/>
      <c r="P149" s="166"/>
      <c r="Q149" s="166"/>
      <c r="R149" s="166"/>
      <c r="S149" s="166"/>
      <c r="T149" s="166"/>
      <c r="U149" s="166"/>
      <c r="V149" s="169"/>
      <c r="X149" s="169">
        <f>'Mngt-G&amp;A Total'!S62+'Mngt-G&amp;A Total'!S63</f>
        <v>26255.7</v>
      </c>
      <c r="Y149" s="169"/>
      <c r="Z149" s="170">
        <f t="shared" si="16"/>
        <v>26255.7</v>
      </c>
      <c r="AA149" s="371">
        <f t="shared" si="9"/>
        <v>-21558.7</v>
      </c>
      <c r="AL149" s="169">
        <f>'Mngt-G&amp;A Total'!AF62+'Mngt-G&amp;A Total'!AF63</f>
        <v>0</v>
      </c>
      <c r="AN149" s="170">
        <f t="shared" si="14"/>
        <v>0</v>
      </c>
      <c r="AO149" s="375">
        <f t="shared" si="10"/>
        <v>0</v>
      </c>
      <c r="AZ149" s="169">
        <f>'Mngt-G&amp;A Total'!AS62+'Mngt-G&amp;A Total'!AS63</f>
        <v>22810.01</v>
      </c>
      <c r="BB149" s="374">
        <f t="shared" si="15"/>
        <v>22810.01</v>
      </c>
      <c r="BC149" s="375">
        <f t="shared" si="11"/>
        <v>-16389.009999999998</v>
      </c>
      <c r="BG149" s="637">
        <f t="shared" si="12"/>
        <v>3542</v>
      </c>
      <c r="BH149" s="638">
        <f t="shared" si="13"/>
        <v>2387</v>
      </c>
      <c r="BJ149" s="639"/>
      <c r="BK149" s="441"/>
      <c r="BL149" s="441"/>
      <c r="BM149" s="441"/>
      <c r="BN149" s="441"/>
      <c r="BO149" s="441"/>
    </row>
    <row r="150" spans="1:67" ht="15" customHeight="1" outlineLevel="1" thickBot="1" x14ac:dyDescent="0.3">
      <c r="A150" s="592">
        <v>31483</v>
      </c>
      <c r="B150" s="605">
        <v>0</v>
      </c>
      <c r="C150" s="606">
        <v>21991</v>
      </c>
      <c r="D150" s="607" t="s">
        <v>90</v>
      </c>
      <c r="E150" s="608">
        <v>113873</v>
      </c>
      <c r="F150" s="605">
        <v>0</v>
      </c>
      <c r="G150" s="605">
        <v>81658</v>
      </c>
      <c r="H150" s="556"/>
      <c r="I150" s="556"/>
      <c r="J150" s="556"/>
      <c r="K150" s="556"/>
      <c r="L150" s="364">
        <v>4020</v>
      </c>
      <c r="M150" s="363" t="s">
        <v>393</v>
      </c>
      <c r="N150" s="166"/>
      <c r="O150" s="166"/>
      <c r="P150" s="166"/>
      <c r="Q150" s="166"/>
      <c r="R150" s="166"/>
      <c r="S150" s="166"/>
      <c r="T150" s="166"/>
      <c r="U150" s="166"/>
      <c r="V150" s="169"/>
      <c r="W150" s="169"/>
      <c r="X150" s="166" t="e">
        <f>'Mngt-G&amp;A Total'!S73-#REF!-X168-X172-#REF!-X157-X167-X165</f>
        <v>#REF!</v>
      </c>
      <c r="Y150" s="166"/>
      <c r="Z150" s="170" t="e">
        <f>X150</f>
        <v>#REF!</v>
      </c>
      <c r="AA150" s="371" t="e">
        <f t="shared" si="9"/>
        <v>#REF!</v>
      </c>
      <c r="AL150" s="166" t="e">
        <f>'Mngt-G&amp;A Total'!AF73-#REF!-AL167-AL172-#REF!</f>
        <v>#REF!</v>
      </c>
      <c r="AN150" s="170" t="e">
        <f t="shared" si="14"/>
        <v>#REF!</v>
      </c>
      <c r="AO150" s="375" t="e">
        <f t="shared" si="10"/>
        <v>#REF!</v>
      </c>
      <c r="AZ150" s="166" t="e">
        <f>'Mngt-G&amp;A Total'!AS73-#REF!-AZ167-AZ172-#REF!</f>
        <v>#REF!</v>
      </c>
      <c r="BB150" s="374" t="e">
        <f t="shared" si="15"/>
        <v>#REF!</v>
      </c>
      <c r="BC150" s="375" t="e">
        <f t="shared" si="11"/>
        <v>#REF!</v>
      </c>
      <c r="BD150" s="685">
        <f>+E150*$BD$7</f>
        <v>117858.55499999999</v>
      </c>
      <c r="BG150" s="637">
        <f t="shared" si="12"/>
        <v>82390</v>
      </c>
      <c r="BH150" s="638">
        <f t="shared" si="13"/>
        <v>50907</v>
      </c>
      <c r="BJ150" s="639"/>
      <c r="BK150" s="441"/>
      <c r="BL150" s="441"/>
      <c r="BM150" s="441"/>
      <c r="BN150" s="441"/>
      <c r="BO150" s="441"/>
    </row>
    <row r="151" spans="1:67" ht="15" customHeight="1" thickBot="1" x14ac:dyDescent="0.3">
      <c r="A151" s="593">
        <v>158689</v>
      </c>
      <c r="B151" s="593">
        <v>0</v>
      </c>
      <c r="C151" s="609">
        <v>127547</v>
      </c>
      <c r="D151" s="610" t="s">
        <v>112</v>
      </c>
      <c r="E151" s="611">
        <v>587512</v>
      </c>
      <c r="F151" s="593">
        <v>0</v>
      </c>
      <c r="G151" s="593">
        <v>530959</v>
      </c>
      <c r="H151" s="552"/>
      <c r="I151" s="552"/>
      <c r="J151" s="552"/>
      <c r="K151" s="552"/>
      <c r="L151" s="364">
        <v>4040</v>
      </c>
      <c r="M151" s="363" t="s">
        <v>394</v>
      </c>
      <c r="N151" s="166"/>
      <c r="O151" s="166"/>
      <c r="P151" s="166"/>
      <c r="Q151" s="166"/>
      <c r="R151" s="166"/>
      <c r="S151" s="166"/>
      <c r="T151" s="166"/>
      <c r="U151" s="166"/>
      <c r="V151" s="169"/>
      <c r="W151" s="169"/>
      <c r="X151" s="166"/>
      <c r="Y151" s="166"/>
      <c r="Z151" s="170">
        <f t="shared" ref="Z151:Z157" si="17">X151</f>
        <v>0</v>
      </c>
      <c r="AA151" s="371">
        <f t="shared" si="9"/>
        <v>587512</v>
      </c>
      <c r="AL151" s="166"/>
      <c r="AN151" s="170">
        <f t="shared" si="14"/>
        <v>0</v>
      </c>
      <c r="AO151" s="375">
        <f t="shared" si="10"/>
        <v>0</v>
      </c>
      <c r="AZ151" s="166"/>
      <c r="BB151" s="374">
        <f t="shared" si="15"/>
        <v>0</v>
      </c>
      <c r="BC151" s="375">
        <f t="shared" si="11"/>
        <v>530959</v>
      </c>
      <c r="BE151" s="167">
        <v>143</v>
      </c>
      <c r="BF151" s="553">
        <v>142604.91666666666</v>
      </c>
      <c r="BG151" s="637">
        <f t="shared" si="12"/>
        <v>428823</v>
      </c>
      <c r="BH151" s="638">
        <f t="shared" si="13"/>
        <v>270134</v>
      </c>
      <c r="BJ151" s="639"/>
      <c r="BK151" s="441"/>
      <c r="BL151" s="441">
        <f>+BJ151+BK151</f>
        <v>0</v>
      </c>
      <c r="BM151" s="441">
        <f>+G151-E151</f>
        <v>-56553</v>
      </c>
      <c r="BN151" s="441"/>
      <c r="BO151" s="441"/>
    </row>
    <row r="152" spans="1:67" ht="15" customHeight="1" outlineLevel="1" x14ac:dyDescent="0.25">
      <c r="A152" s="668">
        <v>6894</v>
      </c>
      <c r="B152" s="669">
        <v>0</v>
      </c>
      <c r="C152" s="670">
        <v>6199</v>
      </c>
      <c r="D152" s="671" t="s">
        <v>401</v>
      </c>
      <c r="E152" s="672">
        <v>25269</v>
      </c>
      <c r="F152" s="669">
        <v>0</v>
      </c>
      <c r="G152" s="669">
        <v>25301</v>
      </c>
      <c r="H152" s="552"/>
      <c r="I152" s="552"/>
      <c r="J152" s="552"/>
      <c r="K152" s="552"/>
      <c r="N152" s="166"/>
      <c r="O152" s="166"/>
      <c r="P152" s="166"/>
      <c r="Q152" s="166"/>
      <c r="R152" s="166"/>
      <c r="S152" s="166"/>
      <c r="T152" s="166"/>
      <c r="U152" s="166"/>
      <c r="V152" s="169"/>
      <c r="W152" s="169"/>
      <c r="X152" s="166"/>
      <c r="Y152" s="166"/>
      <c r="Z152" s="170">
        <f t="shared" si="17"/>
        <v>0</v>
      </c>
      <c r="AA152" s="371">
        <f t="shared" si="9"/>
        <v>25269</v>
      </c>
      <c r="AL152" s="166"/>
      <c r="AN152" s="170">
        <f t="shared" si="14"/>
        <v>0</v>
      </c>
      <c r="AO152" s="375">
        <f t="shared" si="10"/>
        <v>0</v>
      </c>
      <c r="AZ152" s="166"/>
      <c r="BB152" s="374">
        <f t="shared" si="15"/>
        <v>0</v>
      </c>
      <c r="BC152" s="375">
        <f t="shared" si="11"/>
        <v>25301</v>
      </c>
      <c r="BG152" s="637">
        <f t="shared" si="12"/>
        <v>18375</v>
      </c>
      <c r="BH152" s="638">
        <f t="shared" si="13"/>
        <v>11481</v>
      </c>
      <c r="BJ152" s="639"/>
      <c r="BK152" s="441"/>
      <c r="BL152" s="441"/>
      <c r="BM152" s="441"/>
      <c r="BN152" s="441"/>
      <c r="BO152" s="441"/>
    </row>
    <row r="153" spans="1:67" ht="15" customHeight="1" outlineLevel="1" x14ac:dyDescent="0.25">
      <c r="A153" s="573">
        <v>371</v>
      </c>
      <c r="B153" s="594">
        <v>0</v>
      </c>
      <c r="C153" s="595">
        <v>316</v>
      </c>
      <c r="D153" s="502" t="s">
        <v>113</v>
      </c>
      <c r="E153" s="596">
        <v>1525</v>
      </c>
      <c r="F153" s="594">
        <v>0</v>
      </c>
      <c r="G153" s="594">
        <v>1379</v>
      </c>
      <c r="H153" s="552"/>
      <c r="I153" s="552"/>
      <c r="J153" s="552"/>
      <c r="K153" s="552"/>
      <c r="L153" s="364">
        <v>4080</v>
      </c>
      <c r="M153" s="363" t="s">
        <v>395</v>
      </c>
      <c r="N153" s="166"/>
      <c r="O153" s="166"/>
      <c r="P153" s="166"/>
      <c r="Q153" s="166"/>
      <c r="R153" s="166"/>
      <c r="S153" s="166"/>
      <c r="T153" s="166"/>
      <c r="U153" s="166"/>
      <c r="V153" s="169"/>
      <c r="W153" s="169"/>
      <c r="X153" s="166"/>
      <c r="Y153" s="166"/>
      <c r="Z153" s="170">
        <f t="shared" si="17"/>
        <v>0</v>
      </c>
      <c r="AA153" s="371">
        <f t="shared" si="9"/>
        <v>1525</v>
      </c>
      <c r="AL153" s="166"/>
      <c r="AN153" s="170">
        <f t="shared" si="14"/>
        <v>0</v>
      </c>
      <c r="AO153" s="375">
        <f t="shared" si="10"/>
        <v>0</v>
      </c>
      <c r="AZ153" s="166"/>
      <c r="BB153" s="374">
        <f t="shared" si="15"/>
        <v>0</v>
      </c>
      <c r="BC153" s="375">
        <f t="shared" si="11"/>
        <v>1379</v>
      </c>
      <c r="BG153" s="637">
        <f t="shared" si="12"/>
        <v>1154</v>
      </c>
      <c r="BH153" s="638">
        <f t="shared" si="13"/>
        <v>783</v>
      </c>
      <c r="BJ153" s="639"/>
      <c r="BK153" s="441"/>
      <c r="BL153" s="441"/>
      <c r="BM153" s="441"/>
      <c r="BN153" s="441"/>
      <c r="BO153" s="441"/>
    </row>
    <row r="154" spans="1:67" ht="15" customHeight="1" outlineLevel="1" x14ac:dyDescent="0.25">
      <c r="A154" s="573">
        <v>979</v>
      </c>
      <c r="B154" s="594">
        <v>0</v>
      </c>
      <c r="C154" s="595">
        <v>1018</v>
      </c>
      <c r="D154" s="502" t="s">
        <v>114</v>
      </c>
      <c r="E154" s="596">
        <v>3072</v>
      </c>
      <c r="F154" s="594">
        <v>0</v>
      </c>
      <c r="G154" s="594">
        <v>5240</v>
      </c>
      <c r="H154" s="552"/>
      <c r="I154" s="552"/>
      <c r="J154" s="552"/>
      <c r="K154" s="552"/>
      <c r="N154" s="166"/>
      <c r="O154" s="166"/>
      <c r="P154" s="166"/>
      <c r="Q154" s="166"/>
      <c r="R154" s="166"/>
      <c r="S154" s="166"/>
      <c r="T154" s="166"/>
      <c r="U154" s="166"/>
      <c r="V154" s="169"/>
      <c r="W154" s="169"/>
      <c r="X154" s="166"/>
      <c r="Y154" s="166">
        <f>'Mngt-Research &amp; Development'!$S$9</f>
        <v>32755.48</v>
      </c>
      <c r="Z154" s="170">
        <f t="shared" si="17"/>
        <v>0</v>
      </c>
      <c r="AA154" s="371">
        <f t="shared" si="9"/>
        <v>3072</v>
      </c>
      <c r="AL154" s="166"/>
      <c r="AM154" s="166">
        <f>'Mngt-Research &amp; Development'!$AF$9</f>
        <v>0</v>
      </c>
      <c r="AN154" s="170">
        <f t="shared" si="14"/>
        <v>0</v>
      </c>
      <c r="AO154" s="375">
        <f t="shared" si="10"/>
        <v>0</v>
      </c>
      <c r="AZ154" s="166"/>
      <c r="BA154" s="166">
        <f>'Mngt-Research &amp; Development'!$AS$9</f>
        <v>34671.01</v>
      </c>
      <c r="BB154" s="374">
        <f t="shared" si="15"/>
        <v>0</v>
      </c>
      <c r="BC154" s="375">
        <f t="shared" si="11"/>
        <v>5240</v>
      </c>
      <c r="BG154" s="637">
        <f t="shared" si="12"/>
        <v>2093</v>
      </c>
      <c r="BH154" s="638">
        <f t="shared" si="13"/>
        <v>1114</v>
      </c>
      <c r="BJ154" s="639"/>
      <c r="BK154" s="441"/>
      <c r="BL154" s="441"/>
      <c r="BM154" s="441"/>
      <c r="BN154" s="441"/>
      <c r="BO154" s="441"/>
    </row>
    <row r="155" spans="1:67" ht="15" customHeight="1" outlineLevel="1" x14ac:dyDescent="0.25">
      <c r="A155" s="573">
        <v>731</v>
      </c>
      <c r="B155" s="594">
        <v>0</v>
      </c>
      <c r="C155" s="595">
        <v>664</v>
      </c>
      <c r="D155" s="502" t="s">
        <v>115</v>
      </c>
      <c r="E155" s="596">
        <v>2889</v>
      </c>
      <c r="F155" s="594">
        <v>0</v>
      </c>
      <c r="G155" s="594">
        <v>2751</v>
      </c>
      <c r="H155" s="556"/>
      <c r="I155" s="556"/>
      <c r="J155" s="556"/>
      <c r="K155" s="556"/>
      <c r="L155" s="364" t="s">
        <v>396</v>
      </c>
      <c r="M155" s="363">
        <v>62001900</v>
      </c>
      <c r="N155" s="166"/>
      <c r="O155" s="166"/>
      <c r="P155" s="166"/>
      <c r="Q155" s="166"/>
      <c r="R155" s="166"/>
      <c r="S155" s="166"/>
      <c r="T155" s="166"/>
      <c r="U155" s="166"/>
      <c r="V155" s="169"/>
      <c r="W155" s="169"/>
      <c r="X155" s="166"/>
      <c r="Y155" s="166"/>
      <c r="Z155" s="170">
        <f t="shared" si="17"/>
        <v>0</v>
      </c>
      <c r="AA155" s="371">
        <f t="shared" si="9"/>
        <v>2889</v>
      </c>
      <c r="AL155" s="166"/>
      <c r="AN155" s="170">
        <f t="shared" si="14"/>
        <v>0</v>
      </c>
      <c r="AO155" s="375">
        <f t="shared" si="10"/>
        <v>0</v>
      </c>
      <c r="AZ155" s="166"/>
      <c r="BB155" s="374">
        <f t="shared" si="15"/>
        <v>0</v>
      </c>
      <c r="BC155" s="375">
        <f t="shared" si="11"/>
        <v>2751</v>
      </c>
      <c r="BG155" s="637">
        <f t="shared" si="12"/>
        <v>2158</v>
      </c>
      <c r="BH155" s="638">
        <f t="shared" si="13"/>
        <v>1427</v>
      </c>
      <c r="BJ155" s="639"/>
      <c r="BK155" s="441"/>
      <c r="BL155" s="441"/>
      <c r="BM155" s="441"/>
      <c r="BN155" s="441"/>
      <c r="BO155" s="441"/>
    </row>
    <row r="156" spans="1:67" ht="15.75" thickBot="1" x14ac:dyDescent="0.3">
      <c r="A156" s="592">
        <v>8974</v>
      </c>
      <c r="B156" s="605">
        <v>0</v>
      </c>
      <c r="C156" s="606">
        <v>8196</v>
      </c>
      <c r="D156" s="607" t="s">
        <v>116</v>
      </c>
      <c r="E156" s="608">
        <v>32755</v>
      </c>
      <c r="F156" s="605">
        <v>0</v>
      </c>
      <c r="G156" s="605">
        <v>34671</v>
      </c>
      <c r="H156" s="556"/>
      <c r="I156" s="556"/>
      <c r="J156" s="556"/>
      <c r="K156" s="556"/>
      <c r="N156" s="166"/>
      <c r="O156" s="166"/>
      <c r="P156" s="166"/>
      <c r="Q156" s="166"/>
      <c r="R156" s="166"/>
      <c r="S156" s="166"/>
      <c r="T156" s="166"/>
      <c r="U156" s="166"/>
      <c r="V156" s="169"/>
      <c r="W156" s="169"/>
      <c r="X156" s="166">
        <f>'Mngt-Research &amp; Development'!S62</f>
        <v>32755.48</v>
      </c>
      <c r="Y156" s="166"/>
      <c r="Z156" s="170">
        <f t="shared" si="17"/>
        <v>32755.48</v>
      </c>
      <c r="AA156" s="371">
        <f t="shared" si="9"/>
        <v>-0.47999999999956344</v>
      </c>
      <c r="AL156" s="166">
        <f>'Mngt-Research &amp; Development'!AF62</f>
        <v>0</v>
      </c>
      <c r="AN156" s="170">
        <f t="shared" si="14"/>
        <v>0</v>
      </c>
      <c r="AO156" s="375">
        <f t="shared" si="10"/>
        <v>0</v>
      </c>
      <c r="AZ156" s="166">
        <f>'Mngt-Research &amp; Development'!AS62</f>
        <v>34671.01</v>
      </c>
      <c r="BB156" s="374">
        <f t="shared" si="15"/>
        <v>34671.01</v>
      </c>
      <c r="BC156" s="375">
        <f t="shared" si="11"/>
        <v>-1.0000000002037268E-2</v>
      </c>
      <c r="BD156" s="685">
        <f>+E156*$BD$7</f>
        <v>33901.424999999996</v>
      </c>
      <c r="BF156" s="553">
        <v>8398.0833333333339</v>
      </c>
      <c r="BG156" s="637">
        <f>+E156-A156</f>
        <v>23781</v>
      </c>
      <c r="BH156" s="638">
        <f t="shared" si="13"/>
        <v>14807</v>
      </c>
      <c r="BJ156" s="639"/>
      <c r="BK156" s="441"/>
      <c r="BL156" s="441"/>
      <c r="BM156" s="441"/>
      <c r="BN156" s="441"/>
      <c r="BO156" s="441"/>
    </row>
    <row r="157" spans="1:67" ht="15" customHeight="1" outlineLevel="1" thickBot="1" x14ac:dyDescent="0.3">
      <c r="A157" s="593">
        <v>8974</v>
      </c>
      <c r="B157" s="593">
        <v>0</v>
      </c>
      <c r="C157" s="609">
        <v>8196</v>
      </c>
      <c r="D157" s="610" t="s">
        <v>117</v>
      </c>
      <c r="E157" s="611">
        <v>32755</v>
      </c>
      <c r="F157" s="593">
        <v>0</v>
      </c>
      <c r="G157" s="593">
        <v>34671</v>
      </c>
      <c r="H157" s="552"/>
      <c r="I157" s="552"/>
      <c r="J157" s="552"/>
      <c r="K157" s="552"/>
      <c r="N157" s="166"/>
      <c r="O157" s="166"/>
      <c r="P157" s="166"/>
      <c r="Q157" s="166"/>
      <c r="R157" s="166"/>
      <c r="S157" s="166"/>
      <c r="T157" s="166"/>
      <c r="U157" s="166"/>
      <c r="V157" s="169"/>
      <c r="W157" s="169"/>
      <c r="X157" s="166">
        <f>'Mngt-G&amp;A Total'!S69</f>
        <v>-2337.3000000000002</v>
      </c>
      <c r="Y157" s="166"/>
      <c r="Z157" s="170">
        <f t="shared" si="17"/>
        <v>-2337.3000000000002</v>
      </c>
      <c r="AA157" s="371">
        <f t="shared" si="9"/>
        <v>35092.300000000003</v>
      </c>
      <c r="BF157" s="553">
        <v>8398.0833333333339</v>
      </c>
      <c r="BJ157" s="639"/>
      <c r="BK157" s="441"/>
      <c r="BL157" s="441"/>
      <c r="BM157" s="441"/>
      <c r="BN157" s="441"/>
      <c r="BO157" s="441"/>
    </row>
    <row r="158" spans="1:67" x14ac:dyDescent="0.25">
      <c r="A158" s="668">
        <v>-2263</v>
      </c>
      <c r="B158" s="669">
        <v>0</v>
      </c>
      <c r="C158" s="670">
        <v>3178</v>
      </c>
      <c r="D158" s="671" t="s">
        <v>118</v>
      </c>
      <c r="E158" s="672">
        <v>-2337</v>
      </c>
      <c r="F158" s="669">
        <v>0</v>
      </c>
      <c r="G158" s="669">
        <v>4330</v>
      </c>
      <c r="L158" s="364">
        <v>5820</v>
      </c>
      <c r="M158" s="363">
        <v>65000100</v>
      </c>
      <c r="N158" s="166"/>
      <c r="O158" s="166"/>
      <c r="P158" s="166"/>
      <c r="Q158" s="166"/>
      <c r="R158" s="166"/>
      <c r="S158" s="166"/>
      <c r="T158" s="166"/>
      <c r="U158" s="166"/>
      <c r="V158" s="169"/>
      <c r="W158" s="169"/>
      <c r="X158" s="166"/>
      <c r="Y158" s="166"/>
      <c r="Z158" s="170"/>
      <c r="AA158" s="371"/>
      <c r="BJ158" s="639"/>
      <c r="BK158" s="441"/>
      <c r="BL158" s="441"/>
      <c r="BM158" s="441"/>
      <c r="BN158" s="441"/>
      <c r="BO158" s="441"/>
    </row>
    <row r="159" spans="1:67" ht="15.75" thickBot="1" x14ac:dyDescent="0.3">
      <c r="A159" s="592">
        <v>-2263</v>
      </c>
      <c r="B159" s="605">
        <v>0</v>
      </c>
      <c r="C159" s="606">
        <v>3178</v>
      </c>
      <c r="D159" s="607" t="s">
        <v>119</v>
      </c>
      <c r="E159" s="608">
        <v>-2337</v>
      </c>
      <c r="F159" s="605">
        <v>0</v>
      </c>
      <c r="G159" s="605">
        <v>4330</v>
      </c>
      <c r="H159" s="556" t="s">
        <v>559</v>
      </c>
      <c r="I159" s="556" t="s">
        <v>549</v>
      </c>
      <c r="J159" s="556" t="s">
        <v>531</v>
      </c>
      <c r="K159" s="556" t="s">
        <v>310</v>
      </c>
      <c r="N159" s="166"/>
      <c r="O159" s="166"/>
      <c r="P159" s="166"/>
      <c r="Q159" s="166"/>
      <c r="R159" s="166"/>
      <c r="S159" s="166"/>
      <c r="T159" s="166"/>
      <c r="U159" s="166"/>
      <c r="V159" s="169"/>
      <c r="W159" s="169"/>
      <c r="X159" s="166"/>
      <c r="Y159" s="166"/>
      <c r="Z159" s="170"/>
      <c r="AA159" s="371"/>
      <c r="BH159" s="501"/>
      <c r="BJ159" s="639"/>
      <c r="BK159" s="441"/>
      <c r="BL159" s="441"/>
      <c r="BM159" s="441"/>
      <c r="BN159" s="441"/>
      <c r="BO159" s="441"/>
    </row>
    <row r="160" spans="1:67" ht="15.75" collapsed="1" thickBot="1" x14ac:dyDescent="0.3">
      <c r="A160" s="673">
        <v>-47809</v>
      </c>
      <c r="B160" s="673">
        <v>0</v>
      </c>
      <c r="C160" s="674">
        <v>-333161</v>
      </c>
      <c r="D160" s="675" t="s">
        <v>120</v>
      </c>
      <c r="E160" s="676">
        <v>-36329</v>
      </c>
      <c r="F160" s="673">
        <v>0</v>
      </c>
      <c r="G160" s="673">
        <v>-416736</v>
      </c>
      <c r="H160" s="556">
        <f>$E$83-$E$118-$E$151-$E$157-$E$159</f>
        <v>-36329</v>
      </c>
      <c r="I160" s="556">
        <f>$C$83-$C$118-$C$151-$C$157-$C$159</f>
        <v>-333160</v>
      </c>
      <c r="J160" s="556">
        <f>$A$83-$A$118-$A$151-$A$157-$A$159</f>
        <v>-47808</v>
      </c>
      <c r="K160" s="556">
        <f>$G$83-$G$118-$G$151-$G$157-$G$159</f>
        <v>-416736</v>
      </c>
      <c r="N160" s="166"/>
      <c r="O160" s="166"/>
      <c r="P160" s="166"/>
      <c r="Q160" s="166"/>
      <c r="R160" s="166"/>
      <c r="S160" s="166"/>
      <c r="T160" s="166"/>
      <c r="U160" s="166"/>
      <c r="V160" s="169"/>
      <c r="W160" s="169"/>
      <c r="X160" s="166"/>
      <c r="Y160" s="166"/>
      <c r="Z160" s="170"/>
      <c r="AA160" s="371"/>
      <c r="BJ160" s="639"/>
      <c r="BK160" s="441"/>
      <c r="BL160" s="441"/>
      <c r="BM160" s="441"/>
      <c r="BN160" s="441"/>
      <c r="BO160" s="441"/>
    </row>
    <row r="161" spans="1:67" x14ac:dyDescent="0.25">
      <c r="A161" s="668">
        <v>41818</v>
      </c>
      <c r="B161" s="669">
        <v>0</v>
      </c>
      <c r="C161" s="670">
        <v>37136</v>
      </c>
      <c r="D161" s="671" t="s">
        <v>402</v>
      </c>
      <c r="E161" s="672">
        <v>169203</v>
      </c>
      <c r="F161" s="669">
        <v>0</v>
      </c>
      <c r="G161" s="669">
        <v>145984</v>
      </c>
      <c r="H161" s="556"/>
      <c r="I161" s="556"/>
      <c r="J161" s="556"/>
      <c r="K161" s="556"/>
      <c r="N161" s="166"/>
      <c r="O161" s="166" t="e">
        <f>E159+#REF!-E160</f>
        <v>#REF!</v>
      </c>
      <c r="P161" s="166"/>
      <c r="Q161" s="166"/>
      <c r="R161" s="166"/>
      <c r="S161" s="166"/>
      <c r="T161" s="166"/>
      <c r="U161" s="166"/>
      <c r="V161" s="169"/>
      <c r="W161" s="169"/>
      <c r="X161" s="166"/>
      <c r="Y161" s="166"/>
      <c r="Z161" s="170"/>
      <c r="AA161" s="371"/>
      <c r="AL161" s="166"/>
      <c r="AZ161" s="166"/>
      <c r="BJ161" s="639"/>
      <c r="BK161" s="441"/>
      <c r="BL161" s="639"/>
      <c r="BM161" s="441"/>
      <c r="BN161" s="441"/>
      <c r="BO161" s="441"/>
    </row>
    <row r="162" spans="1:67" ht="15.75" thickBot="1" x14ac:dyDescent="0.3">
      <c r="A162" s="786">
        <v>-89627</v>
      </c>
      <c r="B162" s="786">
        <v>0</v>
      </c>
      <c r="C162" s="787">
        <v>-370297</v>
      </c>
      <c r="D162" s="788" t="s">
        <v>121</v>
      </c>
      <c r="E162" s="789">
        <v>-205532</v>
      </c>
      <c r="F162" s="786">
        <v>0</v>
      </c>
      <c r="G162" s="786">
        <v>-562720</v>
      </c>
      <c r="H162" s="556">
        <f>E160-E161</f>
        <v>-205532</v>
      </c>
      <c r="I162" s="556">
        <f>$C$160-C161</f>
        <v>-370297</v>
      </c>
      <c r="J162" s="556">
        <f>$A$160-A161</f>
        <v>-89627</v>
      </c>
      <c r="K162" s="556">
        <f>$G$160-G161</f>
        <v>-562720</v>
      </c>
      <c r="N162" s="166"/>
      <c r="O162" s="166"/>
      <c r="P162" s="166"/>
      <c r="Q162" s="166"/>
      <c r="R162" s="166"/>
      <c r="S162" s="166"/>
      <c r="T162" s="166"/>
      <c r="U162" s="166"/>
      <c r="V162" s="169"/>
      <c r="W162" s="169"/>
      <c r="X162" s="166"/>
      <c r="Y162" s="166"/>
      <c r="Z162" s="170"/>
      <c r="AA162" s="371"/>
      <c r="AL162" s="166"/>
      <c r="AZ162" s="166"/>
      <c r="BJ162" s="639"/>
      <c r="BK162" s="441"/>
      <c r="BL162" s="639"/>
      <c r="BM162" s="441"/>
      <c r="BN162" s="441"/>
      <c r="BO162" s="441"/>
    </row>
    <row r="163" spans="1:67" ht="15" customHeight="1" thickBot="1" x14ac:dyDescent="0.3">
      <c r="A163" s="673"/>
      <c r="B163" s="673"/>
      <c r="C163" s="674"/>
      <c r="D163" s="675" t="s">
        <v>122</v>
      </c>
      <c r="E163" s="676"/>
      <c r="F163" s="673"/>
      <c r="G163" s="673"/>
      <c r="H163" s="556"/>
      <c r="I163" s="556"/>
      <c r="J163" s="556"/>
      <c r="K163" s="556"/>
      <c r="L163" s="364">
        <v>6020</v>
      </c>
      <c r="M163" s="363">
        <v>66250000</v>
      </c>
      <c r="N163" s="166"/>
      <c r="O163" s="501">
        <f>E163-E160</f>
        <v>36329</v>
      </c>
      <c r="P163" s="166"/>
      <c r="Q163" s="166"/>
      <c r="R163" s="166"/>
      <c r="S163" s="166"/>
      <c r="T163" s="166"/>
      <c r="U163" s="166"/>
      <c r="V163" s="169"/>
      <c r="W163" s="169"/>
      <c r="X163" s="166"/>
      <c r="Y163" s="166"/>
      <c r="Z163" s="170"/>
      <c r="AA163" s="371"/>
      <c r="AL163" s="166"/>
      <c r="AZ163" s="166"/>
      <c r="BG163" s="167"/>
      <c r="BH163" s="637"/>
      <c r="BJ163" s="639"/>
      <c r="BK163" s="441"/>
      <c r="BL163" s="639"/>
      <c r="BM163" s="441"/>
      <c r="BN163" s="441"/>
      <c r="BO163" s="441"/>
    </row>
    <row r="164" spans="1:67" ht="15.75" thickBot="1" x14ac:dyDescent="0.3">
      <c r="A164" s="790">
        <v>-47809</v>
      </c>
      <c r="B164" s="790">
        <v>0</v>
      </c>
      <c r="C164" s="791">
        <v>-333161</v>
      </c>
      <c r="D164" s="792" t="s">
        <v>123</v>
      </c>
      <c r="E164" s="793">
        <v>-36329</v>
      </c>
      <c r="F164" s="790">
        <v>0</v>
      </c>
      <c r="G164" s="790">
        <v>-416736</v>
      </c>
      <c r="H164" s="557">
        <f>$E$162+$E$163+$E$161</f>
        <v>-36329</v>
      </c>
      <c r="I164" s="557">
        <f>$C$162+$C$163+$C$161</f>
        <v>-333161</v>
      </c>
      <c r="J164" s="557">
        <f>$A$162+$A$163+$A$161</f>
        <v>-47809</v>
      </c>
      <c r="K164" s="557">
        <f>$G$162+$G$163+$G$161</f>
        <v>-416736</v>
      </c>
      <c r="N164" s="166"/>
      <c r="O164" s="166"/>
      <c r="P164" s="166"/>
      <c r="Q164" s="166"/>
      <c r="R164" s="166"/>
      <c r="S164" s="166"/>
      <c r="T164" s="166"/>
      <c r="U164" s="166"/>
      <c r="V164" s="169"/>
      <c r="W164" s="169"/>
      <c r="X164" s="166"/>
      <c r="Y164" s="166"/>
      <c r="Z164" s="170"/>
      <c r="AA164" s="371"/>
      <c r="AL164" s="166"/>
      <c r="AZ164" s="166"/>
      <c r="BE164" s="836">
        <v>-90000</v>
      </c>
      <c r="BH164" s="637"/>
      <c r="BJ164" s="639"/>
      <c r="BK164" s="441"/>
      <c r="BL164" s="639"/>
      <c r="BM164" s="441">
        <f>+E164-G164</f>
        <v>380407</v>
      </c>
      <c r="BN164" s="441">
        <f>+BL164-BM164</f>
        <v>-380407</v>
      </c>
      <c r="BO164" s="441"/>
    </row>
    <row r="165" spans="1:67" ht="15" customHeight="1" outlineLevel="1" thickBot="1" x14ac:dyDescent="0.3">
      <c r="A165" s="673">
        <v>11899</v>
      </c>
      <c r="B165" s="673">
        <v>0</v>
      </c>
      <c r="C165" s="674">
        <v>-260459</v>
      </c>
      <c r="D165" s="675" t="s">
        <v>124</v>
      </c>
      <c r="E165" s="676">
        <v>206627</v>
      </c>
      <c r="F165" s="673">
        <v>0</v>
      </c>
      <c r="G165" s="673">
        <v>-115548</v>
      </c>
      <c r="H165" s="556">
        <f>$E$162+$E$178</f>
        <v>206628</v>
      </c>
      <c r="I165" s="556">
        <f>$C$162+$C$178</f>
        <v>-260459</v>
      </c>
      <c r="J165" s="556">
        <f>$A$162+$A$178</f>
        <v>11899</v>
      </c>
      <c r="K165" s="556">
        <f>$G$162+$G$178</f>
        <v>-115549</v>
      </c>
      <c r="N165" s="166"/>
      <c r="O165" s="166"/>
      <c r="P165" s="166"/>
      <c r="Q165" s="166"/>
      <c r="R165" s="166"/>
      <c r="S165" s="166"/>
      <c r="T165" s="166"/>
      <c r="U165" s="166"/>
      <c r="V165" s="169"/>
      <c r="W165" s="169"/>
      <c r="X165" s="166">
        <f>'Mngt-G&amp;A Total'!S70</f>
        <v>34085.050000000003</v>
      </c>
      <c r="Y165" s="166"/>
      <c r="Z165" s="170">
        <f t="shared" ref="Z165:Z168" si="18">SUM(N165:X165)</f>
        <v>34085.050000000003</v>
      </c>
      <c r="AA165" s="371">
        <f>E165-Z165</f>
        <v>172541.95</v>
      </c>
      <c r="AL165" s="166"/>
      <c r="AZ165" s="166"/>
      <c r="BJ165" s="639"/>
      <c r="BK165" s="441"/>
      <c r="BL165" s="639"/>
      <c r="BM165" s="441"/>
      <c r="BN165" s="441"/>
      <c r="BO165" s="441"/>
    </row>
    <row r="166" spans="1:67" ht="15" customHeight="1" x14ac:dyDescent="0.25">
      <c r="A166" s="668">
        <v>7679</v>
      </c>
      <c r="B166" s="669">
        <v>0</v>
      </c>
      <c r="C166" s="670">
        <v>3617</v>
      </c>
      <c r="D166" s="671" t="s">
        <v>125</v>
      </c>
      <c r="E166" s="672">
        <v>34085</v>
      </c>
      <c r="F166" s="669">
        <v>0</v>
      </c>
      <c r="G166" s="669">
        <v>14350</v>
      </c>
      <c r="H166" s="552"/>
      <c r="I166" s="552"/>
      <c r="J166" s="552"/>
      <c r="K166" s="552"/>
      <c r="N166" s="166"/>
      <c r="O166" s="166"/>
      <c r="P166" s="166"/>
      <c r="Q166" s="166"/>
      <c r="R166" s="166"/>
      <c r="S166" s="166"/>
      <c r="T166" s="166"/>
      <c r="U166" s="166"/>
      <c r="V166" s="169"/>
      <c r="W166" s="169"/>
      <c r="X166" s="166"/>
      <c r="Y166" s="166"/>
      <c r="Z166" s="170"/>
      <c r="AA166" s="371"/>
      <c r="AL166" s="166"/>
      <c r="AN166" s="170"/>
      <c r="AO166" s="375"/>
      <c r="AZ166" s="166"/>
      <c r="BB166" s="374"/>
      <c r="BC166" s="375"/>
      <c r="BJ166" s="639"/>
      <c r="BK166" s="441"/>
      <c r="BL166" s="441"/>
      <c r="BM166" s="441"/>
      <c r="BN166" s="441"/>
      <c r="BO166" s="441"/>
    </row>
    <row r="167" spans="1:67" ht="15" customHeight="1" outlineLevel="1" x14ac:dyDescent="0.25">
      <c r="A167" s="573">
        <v>7679</v>
      </c>
      <c r="B167" s="594">
        <v>0</v>
      </c>
      <c r="C167" s="595">
        <v>3617</v>
      </c>
      <c r="D167" s="502" t="s">
        <v>126</v>
      </c>
      <c r="E167" s="596">
        <v>34085</v>
      </c>
      <c r="F167" s="594">
        <v>0</v>
      </c>
      <c r="G167" s="594">
        <v>14350</v>
      </c>
      <c r="H167" s="552"/>
      <c r="I167" s="552"/>
      <c r="J167" s="552"/>
      <c r="K167" s="552"/>
      <c r="L167" s="364">
        <v>5910</v>
      </c>
      <c r="M167" s="363">
        <v>76240000</v>
      </c>
      <c r="N167" s="166"/>
      <c r="O167" s="166"/>
      <c r="P167" s="166"/>
      <c r="Q167" s="166"/>
      <c r="R167" s="166"/>
      <c r="S167" s="166"/>
      <c r="T167" s="166"/>
      <c r="U167" s="166"/>
      <c r="V167" s="169"/>
      <c r="W167" s="169"/>
      <c r="X167" s="363">
        <f>'Mngt-G&amp;A Total'!S68</f>
        <v>-357.88</v>
      </c>
      <c r="Y167" s="166"/>
      <c r="Z167" s="170">
        <f t="shared" si="18"/>
        <v>-357.88</v>
      </c>
      <c r="AA167" s="371">
        <f>E167-Z167</f>
        <v>34442.879999999997</v>
      </c>
      <c r="AL167" s="166">
        <f>'Mngt-G&amp;A Total'!AF71</f>
        <v>0</v>
      </c>
      <c r="AN167" s="170">
        <f t="shared" ref="AN167" si="19">AL167</f>
        <v>0</v>
      </c>
      <c r="AO167" s="375">
        <f t="shared" ref="AO167" si="20">F167-AN167</f>
        <v>0</v>
      </c>
      <c r="AZ167" s="166">
        <f>'Mngt-G&amp;A Total'!AS71</f>
        <v>10408.43</v>
      </c>
      <c r="BB167" s="374">
        <f>AZ167</f>
        <v>10408.43</v>
      </c>
      <c r="BC167" s="375">
        <f>G167-BB167</f>
        <v>3941.5699999999997</v>
      </c>
      <c r="BJ167" s="639"/>
      <c r="BK167" s="441"/>
      <c r="BL167" s="441"/>
      <c r="BM167" s="441"/>
      <c r="BN167" s="441"/>
      <c r="BO167" s="441"/>
    </row>
    <row r="168" spans="1:67" ht="14.85" customHeight="1" outlineLevel="2" x14ac:dyDescent="0.25">
      <c r="A168" s="573">
        <v>-105</v>
      </c>
      <c r="B168" s="594">
        <v>0</v>
      </c>
      <c r="C168" s="595">
        <v>-162</v>
      </c>
      <c r="D168" s="502" t="s">
        <v>127</v>
      </c>
      <c r="E168" s="596">
        <v>-358</v>
      </c>
      <c r="F168" s="594">
        <v>0</v>
      </c>
      <c r="G168" s="594">
        <v>-326</v>
      </c>
      <c r="H168" s="552"/>
      <c r="I168" s="552"/>
      <c r="J168" s="552"/>
      <c r="K168" s="552"/>
      <c r="N168" s="166"/>
      <c r="O168" s="166"/>
      <c r="P168" s="166"/>
      <c r="Q168" s="166"/>
      <c r="R168" s="166"/>
      <c r="S168" s="166"/>
      <c r="T168" s="166"/>
      <c r="U168" s="166"/>
      <c r="V168" s="169"/>
      <c r="W168" s="169"/>
      <c r="X168" s="166">
        <f>'Mngt-G&amp;A Total'!S71</f>
        <v>8699.51</v>
      </c>
      <c r="Y168" s="166"/>
      <c r="Z168" s="170">
        <f t="shared" si="18"/>
        <v>8699.51</v>
      </c>
      <c r="AA168" s="371">
        <f>E168-Z168</f>
        <v>-9057.51</v>
      </c>
      <c r="AL168" s="166"/>
      <c r="AZ168" s="166"/>
      <c r="BJ168" s="639"/>
      <c r="BK168" s="441"/>
      <c r="BL168" s="441"/>
      <c r="BM168" s="441"/>
      <c r="BN168" s="441"/>
      <c r="BO168" s="441"/>
    </row>
    <row r="169" spans="1:67" ht="15" customHeight="1" outlineLevel="1" x14ac:dyDescent="0.25">
      <c r="A169" s="573">
        <v>2094</v>
      </c>
      <c r="B169" s="594">
        <v>0</v>
      </c>
      <c r="C169" s="595">
        <v>2460</v>
      </c>
      <c r="D169" s="502" t="s">
        <v>249</v>
      </c>
      <c r="E169" s="596">
        <v>8700</v>
      </c>
      <c r="F169" s="594">
        <v>0</v>
      </c>
      <c r="G169" s="594">
        <v>10408</v>
      </c>
      <c r="H169" s="552">
        <f>H164-E163</f>
        <v>-36329</v>
      </c>
      <c r="I169" s="552"/>
      <c r="J169" s="552"/>
      <c r="K169" s="552"/>
      <c r="L169" s="364">
        <v>5115</v>
      </c>
      <c r="M169" s="363">
        <v>62700000</v>
      </c>
      <c r="N169" s="166"/>
      <c r="O169" s="166"/>
      <c r="P169" s="166"/>
      <c r="Q169" s="166"/>
      <c r="R169" s="166"/>
      <c r="S169" s="166"/>
      <c r="T169" s="166"/>
      <c r="U169" s="166"/>
      <c r="V169" s="169"/>
      <c r="W169" s="169"/>
      <c r="X169" s="166"/>
      <c r="Y169" s="166"/>
      <c r="Z169" s="170"/>
      <c r="AA169" s="371"/>
      <c r="AL169" s="166"/>
      <c r="AZ169" s="166"/>
      <c r="BJ169" s="639"/>
      <c r="BK169" s="441"/>
      <c r="BL169" s="441"/>
      <c r="BM169" s="441"/>
      <c r="BN169" s="441"/>
      <c r="BO169" s="441"/>
    </row>
    <row r="170" spans="1:67" x14ac:dyDescent="0.25">
      <c r="A170" s="573">
        <v>2094</v>
      </c>
      <c r="B170" s="594">
        <v>0</v>
      </c>
      <c r="C170" s="595">
        <v>2460</v>
      </c>
      <c r="D170" s="502" t="s">
        <v>250</v>
      </c>
      <c r="E170" s="596">
        <v>8700</v>
      </c>
      <c r="F170" s="594">
        <v>0</v>
      </c>
      <c r="G170" s="594">
        <v>10408</v>
      </c>
      <c r="H170" s="552"/>
      <c r="I170" s="552"/>
      <c r="J170" s="552"/>
      <c r="K170" s="552"/>
      <c r="N170" s="166"/>
      <c r="O170" s="166"/>
      <c r="P170" s="166"/>
      <c r="Q170" s="166"/>
      <c r="R170" s="166"/>
      <c r="S170" s="166"/>
      <c r="T170" s="166"/>
      <c r="U170" s="166"/>
      <c r="V170" s="169"/>
      <c r="W170" s="169"/>
      <c r="X170" s="166"/>
      <c r="Y170" s="166"/>
      <c r="Z170" s="170"/>
      <c r="AA170" s="371"/>
      <c r="AL170" s="166"/>
      <c r="AN170" s="170"/>
      <c r="AO170" s="375"/>
      <c r="AZ170" s="166"/>
      <c r="BB170" s="374"/>
      <c r="BC170" s="375"/>
      <c r="BJ170" s="639"/>
      <c r="BK170" s="441"/>
      <c r="BL170" s="441"/>
      <c r="BM170" s="441"/>
      <c r="BN170" s="441"/>
      <c r="BO170" s="441"/>
    </row>
    <row r="171" spans="1:67" ht="15" customHeight="1" outlineLevel="1" x14ac:dyDescent="0.25">
      <c r="A171" s="573">
        <v>1989</v>
      </c>
      <c r="B171" s="594">
        <v>0</v>
      </c>
      <c r="C171" s="595">
        <v>2298</v>
      </c>
      <c r="D171" s="502" t="s">
        <v>128</v>
      </c>
      <c r="E171" s="596">
        <v>8342</v>
      </c>
      <c r="F171" s="594">
        <v>0</v>
      </c>
      <c r="G171" s="594">
        <v>10082</v>
      </c>
      <c r="H171" s="552"/>
      <c r="I171" s="552"/>
      <c r="J171" s="552"/>
      <c r="K171" s="552"/>
      <c r="N171" s="166"/>
      <c r="O171" s="166"/>
      <c r="P171" s="166"/>
      <c r="Q171" s="166"/>
      <c r="R171" s="166"/>
      <c r="S171" s="166"/>
      <c r="T171" s="166"/>
      <c r="U171" s="166"/>
      <c r="V171" s="169"/>
      <c r="W171" s="169"/>
      <c r="X171" s="166"/>
      <c r="Y171" s="166"/>
      <c r="Z171" s="170">
        <f t="shared" ref="Z171:Z172" si="21">SUM(N171:X171)</f>
        <v>0</v>
      </c>
      <c r="AA171" s="371"/>
      <c r="AL171" s="166"/>
      <c r="AZ171" s="166"/>
      <c r="BC171" s="375">
        <f t="shared" ref="BC171:BC172" si="22">G171-BB171</f>
        <v>10082</v>
      </c>
      <c r="BJ171" s="639"/>
      <c r="BK171" s="441"/>
      <c r="BL171" s="441"/>
      <c r="BM171" s="441"/>
      <c r="BN171" s="441"/>
      <c r="BO171" s="441"/>
    </row>
    <row r="172" spans="1:67" x14ac:dyDescent="0.25">
      <c r="A172" s="573">
        <v>3677</v>
      </c>
      <c r="B172" s="594">
        <v>0</v>
      </c>
      <c r="C172" s="595">
        <v>3544</v>
      </c>
      <c r="D172" s="502" t="s">
        <v>129</v>
      </c>
      <c r="E172" s="596">
        <v>8696</v>
      </c>
      <c r="F172" s="594">
        <v>0</v>
      </c>
      <c r="G172" s="594">
        <v>8272</v>
      </c>
      <c r="H172" s="552"/>
      <c r="I172" s="552"/>
      <c r="J172" s="552"/>
      <c r="K172" s="552"/>
      <c r="L172" s="364">
        <v>6601</v>
      </c>
      <c r="M172" s="363">
        <v>69500000</v>
      </c>
      <c r="N172" s="166"/>
      <c r="O172" s="166"/>
      <c r="P172" s="166"/>
      <c r="Q172" s="166"/>
      <c r="R172" s="166"/>
      <c r="S172" s="166"/>
      <c r="T172" s="166"/>
      <c r="U172" s="166"/>
      <c r="V172" s="169"/>
      <c r="W172" s="169"/>
      <c r="X172" s="166">
        <f>'Mngt-G&amp;A Total'!S65</f>
        <v>8696.42</v>
      </c>
      <c r="Y172" s="166"/>
      <c r="Z172" s="170">
        <f t="shared" si="21"/>
        <v>8696.42</v>
      </c>
      <c r="AA172" s="371">
        <f>E172-Z172</f>
        <v>-0.42000000000007276</v>
      </c>
      <c r="AL172" s="166">
        <f>'Mngt-G&amp;A Total'!AF65</f>
        <v>0</v>
      </c>
      <c r="AN172" s="170">
        <f t="shared" ref="AN172" si="23">AL172</f>
        <v>0</v>
      </c>
      <c r="AO172" s="375">
        <f t="shared" ref="AO172" si="24">F172-AN172</f>
        <v>0</v>
      </c>
      <c r="AZ172" s="166">
        <f>'Mngt-G&amp;A Total'!AS65</f>
        <v>8272.2900000000009</v>
      </c>
      <c r="BB172" s="374">
        <f>AZ172</f>
        <v>8272.2900000000009</v>
      </c>
      <c r="BC172" s="375">
        <f t="shared" si="22"/>
        <v>-0.29000000000087311</v>
      </c>
      <c r="BJ172" s="639"/>
      <c r="BK172" s="441"/>
      <c r="BL172" s="441"/>
      <c r="BM172" s="441"/>
      <c r="BN172" s="441"/>
      <c r="BO172" s="441"/>
    </row>
    <row r="173" spans="1:67" ht="15.75" thickBot="1" x14ac:dyDescent="0.3">
      <c r="A173" s="592">
        <v>3677</v>
      </c>
      <c r="B173" s="605">
        <v>0</v>
      </c>
      <c r="C173" s="606">
        <v>3544</v>
      </c>
      <c r="D173" s="607" t="s">
        <v>130</v>
      </c>
      <c r="E173" s="608">
        <v>8696</v>
      </c>
      <c r="F173" s="605">
        <v>0</v>
      </c>
      <c r="G173" s="605">
        <v>8272</v>
      </c>
      <c r="H173" s="556"/>
      <c r="I173" s="556"/>
      <c r="J173" s="556"/>
      <c r="K173" s="556"/>
      <c r="N173" s="166"/>
      <c r="O173" s="166"/>
      <c r="P173" s="166"/>
      <c r="Q173" s="166"/>
      <c r="R173" s="166"/>
      <c r="S173" s="166"/>
      <c r="T173" s="166"/>
      <c r="U173" s="166"/>
      <c r="V173" s="169"/>
      <c r="W173" s="169"/>
      <c r="X173" s="166"/>
      <c r="Y173" s="166"/>
      <c r="Z173" s="170"/>
      <c r="AA173" s="371"/>
      <c r="AL173" s="166"/>
      <c r="AZ173" s="166"/>
      <c r="BJ173" s="639"/>
      <c r="BK173" s="441"/>
      <c r="BL173" s="441"/>
      <c r="BM173" s="441"/>
      <c r="BN173" s="441"/>
      <c r="BO173" s="441"/>
    </row>
    <row r="174" spans="1:67" ht="15.75" thickBot="1" x14ac:dyDescent="0.3">
      <c r="A174" s="673">
        <v>-102972</v>
      </c>
      <c r="B174" s="673">
        <v>0</v>
      </c>
      <c r="C174" s="674">
        <v>-379755</v>
      </c>
      <c r="D174" s="675" t="s">
        <v>131</v>
      </c>
      <c r="E174" s="676">
        <v>-256655</v>
      </c>
      <c r="F174" s="673">
        <v>0</v>
      </c>
      <c r="G174" s="673">
        <v>-595424</v>
      </c>
      <c r="H174" s="556">
        <f>$E$174</f>
        <v>-256655</v>
      </c>
      <c r="I174" s="556">
        <f>$C$174</f>
        <v>-379755</v>
      </c>
      <c r="J174" s="556">
        <f>$A$174</f>
        <v>-102972</v>
      </c>
      <c r="K174" s="556">
        <f>$G$174</f>
        <v>-595424</v>
      </c>
      <c r="N174" s="166"/>
      <c r="O174" s="166"/>
      <c r="P174" s="166"/>
      <c r="Q174" s="166"/>
      <c r="R174" s="166"/>
      <c r="S174" s="166"/>
      <c r="T174" s="166"/>
      <c r="U174" s="166"/>
      <c r="V174" s="169"/>
      <c r="W174" s="169"/>
      <c r="X174" s="166"/>
      <c r="Y174" s="166"/>
      <c r="Z174" s="170"/>
      <c r="AA174" s="371"/>
      <c r="BJ174" s="639"/>
      <c r="BK174" s="441"/>
      <c r="BL174" s="441"/>
      <c r="BM174" s="441"/>
      <c r="BN174" s="441"/>
      <c r="BO174" s="441"/>
    </row>
    <row r="175" spans="1:67" ht="15.75" thickBot="1" x14ac:dyDescent="0.3">
      <c r="A175" s="673">
        <v>-102972</v>
      </c>
      <c r="B175" s="673">
        <v>0</v>
      </c>
      <c r="C175" s="674">
        <v>-379755</v>
      </c>
      <c r="D175" s="675" t="s">
        <v>132</v>
      </c>
      <c r="E175" s="676">
        <v>-256655</v>
      </c>
      <c r="F175" s="673">
        <v>0</v>
      </c>
      <c r="G175" s="673">
        <v>-595424</v>
      </c>
      <c r="H175" s="556">
        <f>E161-E166-E170-E172</f>
        <v>117722</v>
      </c>
      <c r="I175" s="556">
        <f>C161-C166-C170-C172</f>
        <v>27515</v>
      </c>
      <c r="J175" s="556">
        <f>A161-A166-A170-A172</f>
        <v>28368</v>
      </c>
      <c r="K175" s="556">
        <f>G161-G166-G170-G172</f>
        <v>112954</v>
      </c>
      <c r="Z175" s="170"/>
      <c r="AA175" s="371"/>
      <c r="BJ175" s="639"/>
      <c r="BK175" s="441"/>
      <c r="BL175" s="441"/>
      <c r="BM175" s="441"/>
      <c r="BN175" s="441"/>
      <c r="BO175" s="441"/>
    </row>
    <row r="176" spans="1:67" ht="15.75" thickBot="1" x14ac:dyDescent="0.3">
      <c r="A176" s="673">
        <v>-102972</v>
      </c>
      <c r="B176" s="673">
        <v>0</v>
      </c>
      <c r="C176" s="674">
        <v>-379755</v>
      </c>
      <c r="D176" s="675" t="s">
        <v>133</v>
      </c>
      <c r="E176" s="676">
        <v>-256655</v>
      </c>
      <c r="F176" s="673">
        <v>0</v>
      </c>
      <c r="G176" s="673">
        <v>-595424</v>
      </c>
      <c r="H176" s="556"/>
      <c r="I176" s="556"/>
      <c r="J176" s="556"/>
      <c r="BJ176" s="639"/>
      <c r="BK176" s="441"/>
      <c r="BL176" s="441"/>
      <c r="BM176" s="441"/>
      <c r="BN176" s="441"/>
      <c r="BO176" s="441"/>
    </row>
    <row r="177" spans="1:67" ht="15.75" thickBot="1" x14ac:dyDescent="0.3">
      <c r="A177" s="673">
        <v>952856</v>
      </c>
      <c r="B177" s="673">
        <v>0</v>
      </c>
      <c r="C177" s="674">
        <v>920034</v>
      </c>
      <c r="D177" s="675" t="s">
        <v>96</v>
      </c>
      <c r="E177" s="676">
        <v>3756350</v>
      </c>
      <c r="F177" s="673">
        <v>0</v>
      </c>
      <c r="G177" s="673">
        <v>3845872</v>
      </c>
      <c r="H177" s="556"/>
      <c r="I177" s="556"/>
      <c r="J177" s="556"/>
      <c r="BJ177" s="639"/>
      <c r="BK177" s="441"/>
      <c r="BL177" s="441"/>
      <c r="BM177" s="441"/>
      <c r="BN177" s="441"/>
      <c r="BO177" s="441"/>
    </row>
    <row r="178" spans="1:67" ht="15.75" thickBot="1" x14ac:dyDescent="0.3">
      <c r="A178" s="673">
        <v>101526</v>
      </c>
      <c r="B178" s="673">
        <v>0</v>
      </c>
      <c r="C178" s="674">
        <v>109838</v>
      </c>
      <c r="D178" s="675" t="s">
        <v>66</v>
      </c>
      <c r="E178" s="676">
        <v>412160</v>
      </c>
      <c r="F178" s="673">
        <v>0</v>
      </c>
      <c r="G178" s="673">
        <v>447171</v>
      </c>
      <c r="BJ178" s="639"/>
      <c r="BK178" s="441"/>
      <c r="BL178" s="441"/>
      <c r="BM178" s="441"/>
      <c r="BN178" s="441"/>
      <c r="BO178" s="441"/>
    </row>
    <row r="179" spans="1:67" x14ac:dyDescent="0.25">
      <c r="A179" s="501"/>
      <c r="C179" s="501"/>
      <c r="D179" s="501"/>
      <c r="E179" s="501"/>
      <c r="G179" s="501"/>
      <c r="BE179" s="639"/>
      <c r="BJ179" s="639"/>
      <c r="BK179" s="441"/>
      <c r="BL179" s="441"/>
      <c r="BM179" s="441"/>
      <c r="BN179" s="441"/>
      <c r="BO179" s="441"/>
    </row>
    <row r="180" spans="1:67" x14ac:dyDescent="0.25">
      <c r="A180" s="501"/>
      <c r="C180" s="501"/>
      <c r="D180" s="501"/>
      <c r="E180" s="501"/>
      <c r="G180" s="501"/>
      <c r="BE180" s="639"/>
      <c r="BJ180" s="639"/>
      <c r="BK180" s="441"/>
      <c r="BL180" s="441"/>
      <c r="BM180" s="441"/>
      <c r="BN180" s="441"/>
      <c r="BO180" s="441"/>
    </row>
    <row r="181" spans="1:67" x14ac:dyDescent="0.25">
      <c r="A181" s="501"/>
      <c r="E181" s="501"/>
      <c r="BJ181" s="639"/>
      <c r="BK181" s="441"/>
      <c r="BL181" s="441"/>
      <c r="BM181" s="441"/>
      <c r="BN181" s="441"/>
      <c r="BO181" s="441"/>
    </row>
    <row r="182" spans="1:67" x14ac:dyDescent="0.25">
      <c r="A182" s="501"/>
      <c r="B182" s="501"/>
      <c r="C182" s="501"/>
      <c r="D182" s="501"/>
      <c r="E182" s="501"/>
      <c r="F182" s="501"/>
      <c r="G182" s="501"/>
      <c r="BJ182" s="639"/>
      <c r="BK182" s="441"/>
      <c r="BL182" s="441"/>
      <c r="BM182" s="441"/>
      <c r="BN182" s="441"/>
      <c r="BO182" s="441"/>
    </row>
    <row r="183" spans="1:67" x14ac:dyDescent="0.25">
      <c r="A183" s="449">
        <f>+A177/A12</f>
        <v>0.5177853262567701</v>
      </c>
      <c r="B183" s="449" t="e">
        <f>+B182/B12</f>
        <v>#DIV/0!</v>
      </c>
      <c r="C183" s="449">
        <f>+C177/C12</f>
        <v>0.66165981298732679</v>
      </c>
      <c r="D183" s="449" t="s">
        <v>671</v>
      </c>
      <c r="E183" s="449">
        <f>+E177/E12</f>
        <v>0.47536741680231809</v>
      </c>
      <c r="F183" s="449" t="e">
        <f>+F182/F12</f>
        <v>#DIV/0!</v>
      </c>
      <c r="G183" s="449">
        <f>+G177/G12</f>
        <v>0.55047781948564534</v>
      </c>
      <c r="BJ183" s="639"/>
      <c r="BK183" s="441"/>
      <c r="BL183" s="441"/>
      <c r="BM183" s="441"/>
      <c r="BN183" s="441"/>
      <c r="BO183" s="441"/>
    </row>
    <row r="184" spans="1:67" x14ac:dyDescent="0.25">
      <c r="BJ184" s="639"/>
      <c r="BK184" s="441"/>
      <c r="BL184" s="441"/>
      <c r="BM184" s="441"/>
      <c r="BN184" s="441"/>
      <c r="BO184" s="441"/>
    </row>
    <row r="185" spans="1:67" x14ac:dyDescent="0.25">
      <c r="A185" s="501"/>
      <c r="E185" s="501"/>
      <c r="BJ185" s="639"/>
      <c r="BK185" s="441"/>
      <c r="BL185" s="441"/>
      <c r="BM185" s="441"/>
      <c r="BN185" s="441"/>
      <c r="BO185" s="441"/>
    </row>
    <row r="186" spans="1:67" x14ac:dyDescent="0.25">
      <c r="D186" s="501"/>
      <c r="BF186" s="653"/>
      <c r="BJ186" s="639"/>
      <c r="BK186" s="441"/>
      <c r="BL186" s="441"/>
      <c r="BM186" s="441"/>
      <c r="BN186" s="441"/>
      <c r="BO186" s="441"/>
    </row>
    <row r="187" spans="1:67" x14ac:dyDescent="0.25">
      <c r="BJ187" s="639"/>
      <c r="BK187" s="441"/>
      <c r="BL187" s="441"/>
      <c r="BM187" s="441"/>
      <c r="BN187" s="441"/>
      <c r="BO187" s="441"/>
    </row>
    <row r="188" spans="1:67" x14ac:dyDescent="0.25">
      <c r="BJ188" s="639"/>
      <c r="BK188" s="441"/>
      <c r="BL188" s="441"/>
      <c r="BM188" s="441"/>
      <c r="BN188" s="441"/>
      <c r="BO188" s="441"/>
    </row>
    <row r="189" spans="1:67" x14ac:dyDescent="0.25">
      <c r="A189" s="501"/>
      <c r="BJ189" s="639"/>
      <c r="BK189" s="441"/>
      <c r="BL189" s="441"/>
      <c r="BM189" s="441"/>
      <c r="BN189" s="441"/>
      <c r="BO189" s="441"/>
    </row>
    <row r="190" spans="1:67" x14ac:dyDescent="0.25">
      <c r="A190" s="501"/>
    </row>
    <row r="191" spans="1:67" x14ac:dyDescent="0.25">
      <c r="A191" s="501"/>
    </row>
  </sheetData>
  <autoFilter ref="A1:G178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3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49" sqref="F49"/>
    </sheetView>
  </sheetViews>
  <sheetFormatPr defaultColWidth="9.42578125" defaultRowHeight="15" outlineLevelRow="1" outlineLevelCol="1" x14ac:dyDescent="0.25"/>
  <cols>
    <col min="1" max="1" width="18.5703125" style="408" bestFit="1" customWidth="1"/>
    <col min="2" max="4" width="11.42578125" style="408" bestFit="1" customWidth="1"/>
    <col min="5" max="5" width="8.42578125" style="408" bestFit="1" customWidth="1"/>
    <col min="6" max="7" width="11.42578125" style="408" bestFit="1" customWidth="1"/>
    <col min="8" max="8" width="6.5703125" style="408" bestFit="1" customWidth="1"/>
    <col min="9" max="9" width="12" style="408" bestFit="1" customWidth="1"/>
    <col min="10" max="10" width="11.42578125" style="408" bestFit="1" customWidth="1"/>
    <col min="11" max="11" width="6.5703125" style="408" bestFit="1" customWidth="1"/>
    <col min="12" max="12" width="10.42578125" style="408" bestFit="1" customWidth="1"/>
    <col min="13" max="13" width="11.42578125" style="408" bestFit="1" customWidth="1"/>
    <col min="14" max="14" width="8.42578125" style="408" bestFit="1" customWidth="1"/>
    <col min="15" max="15" width="9.42578125" style="408" hidden="1" customWidth="1" outlineLevel="1"/>
    <col min="16" max="16" width="10.5703125" style="408" hidden="1" customWidth="1" outlineLevel="1"/>
    <col min="17" max="17" width="0.42578125" style="408" hidden="1" customWidth="1" outlineLevel="1"/>
    <col min="18" max="21" width="9.42578125" style="408" hidden="1" customWidth="1" outlineLevel="1"/>
    <col min="22" max="22" width="9.42578125" style="408" collapsed="1"/>
    <col min="23" max="16384" width="9.42578125" style="408"/>
  </cols>
  <sheetData>
    <row r="1" spans="1:19" ht="26.25" customHeight="1" x14ac:dyDescent="0.35">
      <c r="A1" s="416" t="s">
        <v>433</v>
      </c>
      <c r="B1" s="417"/>
    </row>
    <row r="2" spans="1:19" x14ac:dyDescent="0.25">
      <c r="A2" s="407" t="s">
        <v>415</v>
      </c>
      <c r="B2" s="408" t="s">
        <v>416</v>
      </c>
      <c r="C2" s="408" t="s">
        <v>417</v>
      </c>
      <c r="D2" s="408" t="s">
        <v>303</v>
      </c>
      <c r="E2" s="408" t="s">
        <v>304</v>
      </c>
      <c r="F2" s="408" t="s">
        <v>418</v>
      </c>
      <c r="G2" s="408" t="s">
        <v>419</v>
      </c>
      <c r="H2" s="408" t="s">
        <v>9</v>
      </c>
      <c r="I2" s="408" t="s">
        <v>420</v>
      </c>
      <c r="J2" s="408" t="s">
        <v>432</v>
      </c>
      <c r="K2" s="408" t="s">
        <v>422</v>
      </c>
      <c r="L2" s="408" t="s">
        <v>423</v>
      </c>
      <c r="M2" s="408" t="s">
        <v>424</v>
      </c>
      <c r="N2" s="408" t="s">
        <v>425</v>
      </c>
    </row>
    <row r="3" spans="1:19" x14ac:dyDescent="0.25">
      <c r="A3" s="408" t="s">
        <v>426</v>
      </c>
      <c r="B3" s="409">
        <f>-SUM('Mngt-Revenue '!AH18:AH19)</f>
        <v>0</v>
      </c>
      <c r="C3" s="409">
        <f>SUM('Mngt-Consulting '!AF9:AF16)</f>
        <v>0</v>
      </c>
      <c r="D3" s="409">
        <f>B3-C3</f>
        <v>0</v>
      </c>
      <c r="E3" s="410" t="e">
        <f>D3/B3</f>
        <v>#DIV/0!</v>
      </c>
      <c r="F3" s="409">
        <f t="shared" ref="F3:F8" si="0">D3-G3</f>
        <v>0</v>
      </c>
      <c r="G3" s="409">
        <f>'Mngt-Consulting '!AF64</f>
        <v>0</v>
      </c>
      <c r="H3" s="410" t="e">
        <f>G3/B3</f>
        <v>#DIV/0!</v>
      </c>
      <c r="I3" s="411">
        <v>3.8899999999999997E-2</v>
      </c>
      <c r="J3" s="409">
        <f>$J$13*I3</f>
        <v>-77000.370043999981</v>
      </c>
      <c r="K3" s="411">
        <v>7.51E-2</v>
      </c>
      <c r="L3" s="409">
        <f>K3*$L$13</f>
        <v>0</v>
      </c>
      <c r="M3" s="409">
        <f>G3-J3-L3</f>
        <v>77000.370043999981</v>
      </c>
      <c r="N3" s="410" t="e">
        <f t="shared" ref="N3:N8" si="1">M3/B3</f>
        <v>#DIV/0!</v>
      </c>
      <c r="O3" s="412"/>
      <c r="P3" s="413"/>
      <c r="Q3" s="410"/>
      <c r="S3" s="410"/>
    </row>
    <row r="4" spans="1:19" x14ac:dyDescent="0.25">
      <c r="A4" s="408" t="s">
        <v>427</v>
      </c>
      <c r="B4" s="409">
        <f>-'Mngt-Revenue '!AH17</f>
        <v>217026.88</v>
      </c>
      <c r="C4" s="409">
        <f>SUM('Mngt-Senior Audit '!AF9:AF16)</f>
        <v>0</v>
      </c>
      <c r="D4" s="409">
        <f t="shared" ref="D4:D8" si="2">B4-C4</f>
        <v>217026.88</v>
      </c>
      <c r="E4" s="410">
        <f t="shared" ref="E4:E8" si="3">D4/B4</f>
        <v>1</v>
      </c>
      <c r="F4" s="409">
        <f t="shared" si="0"/>
        <v>217026.88</v>
      </c>
      <c r="G4" s="409">
        <f>'Mngt-Senior Audit '!AF64</f>
        <v>0</v>
      </c>
      <c r="H4" s="410">
        <f t="shared" ref="H4:H8" si="4">G4/B4</f>
        <v>0</v>
      </c>
      <c r="I4" s="411">
        <v>2.1000000000000001E-2</v>
      </c>
      <c r="J4" s="409">
        <f t="shared" ref="J4:J8" si="5">$J$13*I4</f>
        <v>-41568.32316</v>
      </c>
      <c r="K4" s="411">
        <v>4.0800000000000003E-2</v>
      </c>
      <c r="L4" s="409">
        <f t="shared" ref="L4:L8" si="6">K4*$L$13</f>
        <v>0</v>
      </c>
      <c r="M4" s="409">
        <f t="shared" ref="M4:M8" si="7">G4-J4-L4</f>
        <v>41568.32316</v>
      </c>
      <c r="N4" s="410">
        <f t="shared" si="1"/>
        <v>0.19153536723192999</v>
      </c>
      <c r="O4" s="412"/>
      <c r="P4" s="413"/>
      <c r="Q4" s="410"/>
      <c r="S4" s="410"/>
    </row>
    <row r="5" spans="1:19" x14ac:dyDescent="0.25">
      <c r="A5" s="408" t="s">
        <v>428</v>
      </c>
      <c r="B5" s="409">
        <f>-'Mngt-Revenue '!AH10</f>
        <v>60087.79</v>
      </c>
      <c r="C5" s="409">
        <f>SUM('Mngt-Consulting Micro SC '!AF10:AF17)</f>
        <v>0</v>
      </c>
      <c r="D5" s="409">
        <f t="shared" si="2"/>
        <v>60087.79</v>
      </c>
      <c r="E5" s="410">
        <f t="shared" si="3"/>
        <v>1</v>
      </c>
      <c r="F5" s="409">
        <f t="shared" si="0"/>
        <v>60087.79</v>
      </c>
      <c r="G5" s="409">
        <f>'Mngt-Consulting Micro SC '!AF64</f>
        <v>0</v>
      </c>
      <c r="H5" s="410">
        <f t="shared" si="4"/>
        <v>0</v>
      </c>
      <c r="I5" s="411">
        <v>2.3E-2</v>
      </c>
      <c r="J5" s="409">
        <f t="shared" si="5"/>
        <v>-45527.211079999994</v>
      </c>
      <c r="K5" s="411">
        <v>1.9400000000000001E-2</v>
      </c>
      <c r="L5" s="409">
        <f t="shared" si="6"/>
        <v>0</v>
      </c>
      <c r="M5" s="409">
        <f t="shared" si="7"/>
        <v>45527.211079999994</v>
      </c>
      <c r="N5" s="410">
        <f t="shared" si="1"/>
        <v>0.75767824178589349</v>
      </c>
      <c r="O5" s="412"/>
      <c r="P5" s="413"/>
      <c r="Q5" s="410"/>
      <c r="S5" s="410"/>
    </row>
    <row r="6" spans="1:19" x14ac:dyDescent="0.25">
      <c r="A6" s="408" t="s">
        <v>287</v>
      </c>
      <c r="B6" s="409">
        <f>-SUM('Mngt-Revenue '!AH11:AH14)</f>
        <v>1419279.97</v>
      </c>
      <c r="C6" s="409">
        <f>SUM('Mngt-Microbiology '!AF9:AF16)-C5+(SUM('Mngt-Lab Admin Total'!AF10:AF16)*'Op Profit analysis'!K6/('Op Profit analysis'!$K$6+'Op Profit analysis'!$K$7))</f>
        <v>0</v>
      </c>
      <c r="D6" s="409">
        <f t="shared" si="2"/>
        <v>1419279.97</v>
      </c>
      <c r="E6" s="410">
        <f t="shared" si="3"/>
        <v>1</v>
      </c>
      <c r="F6" s="409">
        <f t="shared" si="0"/>
        <v>1419279.97</v>
      </c>
      <c r="G6" s="409">
        <f>'Mngt-Microbiology '!AF64-G5</f>
        <v>0</v>
      </c>
      <c r="H6" s="410">
        <f t="shared" si="4"/>
        <v>0</v>
      </c>
      <c r="I6" s="411">
        <f>1-SUM(I3:I5,I7:I8)</f>
        <v>0.72439999999999993</v>
      </c>
      <c r="J6" s="409">
        <f t="shared" si="5"/>
        <v>-1433909.2046239998</v>
      </c>
      <c r="K6" s="411">
        <f>1-SUM(K3:K5,K7:K8)</f>
        <v>0.64959999999999996</v>
      </c>
      <c r="L6" s="409">
        <f t="shared" si="6"/>
        <v>0</v>
      </c>
      <c r="M6" s="409">
        <f t="shared" si="7"/>
        <v>1433909.2046239998</v>
      </c>
      <c r="N6" s="410">
        <f t="shared" si="1"/>
        <v>1.01030750446228</v>
      </c>
      <c r="O6" s="414"/>
      <c r="P6" s="413"/>
      <c r="Q6" s="410"/>
      <c r="S6" s="410"/>
    </row>
    <row r="7" spans="1:19" x14ac:dyDescent="0.25">
      <c r="A7" s="408" t="s">
        <v>288</v>
      </c>
      <c r="B7" s="409">
        <f>-SUM('Mngt-Revenue '!AH2:AH9,'Mngt-Revenue '!AH15:AH16)</f>
        <v>262697.62</v>
      </c>
      <c r="C7" s="409">
        <f>SUM('Mngt-Chemistry '!AF9:AF16)+(SUM('Mngt-Lab Admin Total'!AF10:AF16)*'Op Profit analysis'!K7/('Op Profit analysis'!$K$6+'Op Profit analysis'!$K$7))</f>
        <v>0</v>
      </c>
      <c r="D7" s="409">
        <f t="shared" si="2"/>
        <v>262697.62</v>
      </c>
      <c r="E7" s="410">
        <f t="shared" si="3"/>
        <v>1</v>
      </c>
      <c r="F7" s="409">
        <f t="shared" si="0"/>
        <v>262697.62</v>
      </c>
      <c r="G7" s="409">
        <f>'Mngt-Chemistry '!AF64</f>
        <v>0</v>
      </c>
      <c r="H7" s="410">
        <f t="shared" si="4"/>
        <v>0</v>
      </c>
      <c r="I7" s="411">
        <v>0.19</v>
      </c>
      <c r="J7" s="409">
        <f t="shared" si="5"/>
        <v>-376094.35239999997</v>
      </c>
      <c r="K7" s="411">
        <v>0.21</v>
      </c>
      <c r="L7" s="409">
        <f t="shared" si="6"/>
        <v>0</v>
      </c>
      <c r="M7" s="409">
        <f t="shared" si="7"/>
        <v>376094.35239999997</v>
      </c>
      <c r="N7" s="410">
        <f t="shared" si="1"/>
        <v>1.4316625799655132</v>
      </c>
      <c r="O7" s="410"/>
      <c r="P7" s="413"/>
      <c r="Q7" s="410"/>
      <c r="S7" s="410"/>
    </row>
    <row r="8" spans="1:19" x14ac:dyDescent="0.25">
      <c r="A8" s="408" t="s">
        <v>429</v>
      </c>
      <c r="B8" s="409">
        <f>-'Mngt-Revenue '!AH20</f>
        <v>20351.7</v>
      </c>
      <c r="C8" s="409">
        <f>SUM('Mngt-Digital Solution'!AF14)</f>
        <v>0</v>
      </c>
      <c r="D8" s="409">
        <f t="shared" si="2"/>
        <v>20351.7</v>
      </c>
      <c r="E8" s="410">
        <f t="shared" si="3"/>
        <v>1</v>
      </c>
      <c r="F8" s="409">
        <f t="shared" si="0"/>
        <v>20351.7</v>
      </c>
      <c r="G8" s="409">
        <f>'Mngt-Digital Solution'!AF63</f>
        <v>0</v>
      </c>
      <c r="H8" s="410">
        <f t="shared" si="4"/>
        <v>0</v>
      </c>
      <c r="I8" s="411">
        <v>2.7000000000000001E-3</v>
      </c>
      <c r="J8" s="409">
        <f t="shared" si="5"/>
        <v>-5344.4986919999992</v>
      </c>
      <c r="K8" s="411">
        <v>5.1000000000000004E-3</v>
      </c>
      <c r="L8" s="409">
        <f t="shared" si="6"/>
        <v>0</v>
      </c>
      <c r="M8" s="409">
        <f t="shared" si="7"/>
        <v>5344.4986919999992</v>
      </c>
      <c r="N8" s="410">
        <f t="shared" si="1"/>
        <v>0.26260699066908411</v>
      </c>
      <c r="S8" s="410"/>
    </row>
    <row r="9" spans="1:19" x14ac:dyDescent="0.25">
      <c r="B9" s="409"/>
      <c r="C9" s="409"/>
      <c r="D9" s="409"/>
      <c r="E9" s="409"/>
      <c r="F9" s="409"/>
      <c r="G9" s="409"/>
      <c r="H9" s="409"/>
      <c r="I9" s="409"/>
      <c r="J9" s="409"/>
      <c r="K9" s="409"/>
      <c r="L9" s="409"/>
      <c r="M9" s="409"/>
      <c r="N9" s="409"/>
    </row>
    <row r="10" spans="1:19" x14ac:dyDescent="0.25">
      <c r="A10" s="408" t="s">
        <v>272</v>
      </c>
      <c r="B10" s="409">
        <f>SUM(B3:B9)</f>
        <v>1979443.9599999997</v>
      </c>
      <c r="C10" s="409">
        <f>SUM(C3:C9)</f>
        <v>0</v>
      </c>
      <c r="D10" s="409">
        <f>SUM(D3:D9)</f>
        <v>1979443.9599999997</v>
      </c>
      <c r="E10" s="409"/>
      <c r="F10" s="409">
        <f>SUM(F3:F9)</f>
        <v>1979443.9599999997</v>
      </c>
      <c r="G10" s="409">
        <f>SUM(G3:G9)</f>
        <v>0</v>
      </c>
      <c r="H10" s="409"/>
      <c r="I10" s="410">
        <f t="shared" ref="I10" si="8">SUM(I3:I9)</f>
        <v>0.99999999999999989</v>
      </c>
      <c r="J10" s="409">
        <f>SUM(J3:J9)</f>
        <v>-1979443.9599999997</v>
      </c>
      <c r="K10" s="409"/>
      <c r="L10" s="409">
        <f>SUM(L3:L9)</f>
        <v>0</v>
      </c>
      <c r="M10" s="409">
        <f>SUM(M3:M9)</f>
        <v>1979443.9599999997</v>
      </c>
      <c r="N10" s="410" t="e">
        <f>SUM(N3:N9)</f>
        <v>#DIV/0!</v>
      </c>
    </row>
    <row r="11" spans="1:19" hidden="1" outlineLevel="1" x14ac:dyDescent="0.25">
      <c r="A11" s="408" t="s">
        <v>430</v>
      </c>
      <c r="B11" s="409">
        <f>B10-'Mngt-P&amp;L  (Overall)'!F12</f>
        <v>1979443.9599999997</v>
      </c>
      <c r="C11" s="409">
        <f>C10-'Mngt-P&amp;L  (Overall)'!F37</f>
        <v>0</v>
      </c>
      <c r="D11" s="409">
        <f>D10-'Mngt-P&amp;L  (Overall)'!F39</f>
        <v>1979443.9599999997</v>
      </c>
      <c r="E11" s="409"/>
      <c r="F11" s="409"/>
      <c r="G11" s="409"/>
      <c r="H11" s="409"/>
      <c r="I11" s="409"/>
      <c r="J11" s="409">
        <f>J10-J13</f>
        <v>0</v>
      </c>
      <c r="K11" s="409"/>
      <c r="L11" s="409">
        <f>L10-L13</f>
        <v>0</v>
      </c>
      <c r="M11" s="409">
        <f>M10-J14</f>
        <v>1979443.9599999997</v>
      </c>
      <c r="N11" s="409"/>
    </row>
    <row r="12" spans="1:19" hidden="1" outlineLevel="1" x14ac:dyDescent="0.25">
      <c r="B12" s="410">
        <f>B10/B26</f>
        <v>0.25049931609219611</v>
      </c>
      <c r="D12" s="409"/>
      <c r="E12" s="409"/>
      <c r="F12" s="409"/>
      <c r="G12" s="409"/>
      <c r="H12" s="409"/>
      <c r="I12" s="409"/>
      <c r="J12" s="409"/>
      <c r="K12" s="409"/>
      <c r="L12" s="409"/>
      <c r="M12" s="409"/>
      <c r="N12" s="409"/>
    </row>
    <row r="13" spans="1:19" hidden="1" outlineLevel="1" x14ac:dyDescent="0.25">
      <c r="B13" s="409"/>
      <c r="C13" s="410">
        <f>(C6+C5)/(B6+B5)</f>
        <v>0</v>
      </c>
      <c r="D13" s="409"/>
      <c r="E13" s="409"/>
      <c r="F13" s="409"/>
      <c r="G13" s="409"/>
      <c r="H13" s="409"/>
      <c r="I13" s="409" t="s">
        <v>432</v>
      </c>
      <c r="J13" s="409">
        <f>'Mngt-P&amp;L  (Overall)'!F80-F10+'Mngt-Research &amp; Development'!AF9</f>
        <v>-1979443.9599999997</v>
      </c>
      <c r="K13" s="415" t="s">
        <v>423</v>
      </c>
      <c r="L13" s="409">
        <f>'Mngt-P&amp;L  (Overall)'!F118+'Mngt-P&amp;L  (Overall)'!F150+'Mngt-P&amp;L  (Overall)'!F158</f>
        <v>0</v>
      </c>
      <c r="M13" s="409"/>
      <c r="N13" s="409"/>
    </row>
    <row r="14" spans="1:19" hidden="1" outlineLevel="1" x14ac:dyDescent="0.25">
      <c r="B14" s="409"/>
      <c r="C14" s="410">
        <f>C7/B7</f>
        <v>0</v>
      </c>
      <c r="D14" s="409"/>
      <c r="E14" s="409"/>
      <c r="F14" s="409"/>
      <c r="G14" s="409"/>
      <c r="H14" s="409"/>
      <c r="I14" s="409" t="s">
        <v>424</v>
      </c>
      <c r="J14" s="409">
        <f>'Mngt-P&amp;L  (Overall)'!F163</f>
        <v>0</v>
      </c>
      <c r="K14" s="409"/>
      <c r="L14" s="409"/>
      <c r="M14" s="409"/>
      <c r="N14" s="409"/>
    </row>
    <row r="15" spans="1:19" hidden="1" outlineLevel="1" x14ac:dyDescent="0.25">
      <c r="B15" s="409"/>
      <c r="C15" s="409"/>
      <c r="D15" s="409"/>
      <c r="E15" s="409"/>
      <c r="F15" s="409"/>
      <c r="G15" s="409"/>
      <c r="H15" s="409"/>
      <c r="I15" s="409" t="s">
        <v>430</v>
      </c>
      <c r="J15" s="409">
        <f>G10-J13-J14-L13</f>
        <v>1979443.9599999997</v>
      </c>
      <c r="K15" s="409"/>
      <c r="L15" s="409"/>
      <c r="M15" s="409"/>
      <c r="N15" s="409"/>
    </row>
    <row r="16" spans="1:19" collapsed="1" x14ac:dyDescent="0.25">
      <c r="B16" s="409"/>
      <c r="C16" s="409"/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</row>
    <row r="17" spans="1:17" x14ac:dyDescent="0.25">
      <c r="B17" s="409"/>
      <c r="C17" s="409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09"/>
    </row>
    <row r="18" spans="1:17" x14ac:dyDescent="0.25">
      <c r="A18" s="407" t="s">
        <v>431</v>
      </c>
      <c r="B18" s="408" t="s">
        <v>416</v>
      </c>
      <c r="C18" s="408" t="s">
        <v>417</v>
      </c>
      <c r="D18" s="408" t="s">
        <v>303</v>
      </c>
      <c r="F18" s="408" t="s">
        <v>418</v>
      </c>
      <c r="G18" s="408" t="s">
        <v>419</v>
      </c>
      <c r="H18" s="408" t="s">
        <v>9</v>
      </c>
      <c r="I18" s="408" t="s">
        <v>420</v>
      </c>
      <c r="J18" s="408" t="s">
        <v>421</v>
      </c>
      <c r="K18" s="408" t="s">
        <v>422</v>
      </c>
      <c r="L18" s="408" t="s">
        <v>423</v>
      </c>
      <c r="M18" s="408" t="s">
        <v>424</v>
      </c>
      <c r="N18" s="408" t="s">
        <v>425</v>
      </c>
    </row>
    <row r="19" spans="1:17" x14ac:dyDescent="0.25">
      <c r="A19" s="408" t="s">
        <v>426</v>
      </c>
      <c r="B19" s="409">
        <f>-SUM('Mngt-Revenue '!S18:S19)</f>
        <v>5681.25</v>
      </c>
      <c r="C19" s="409">
        <f>SUM('Mngt-Consulting '!S9:S16)</f>
        <v>-2266.16</v>
      </c>
      <c r="D19" s="409">
        <f>B19-C19</f>
        <v>7947.41</v>
      </c>
      <c r="E19" s="409"/>
      <c r="F19" s="409">
        <f t="shared" ref="F19:F24" si="9">D19-G19</f>
        <v>1831.9899999999998</v>
      </c>
      <c r="G19" s="409">
        <f>'Mngt-Consulting '!S64</f>
        <v>6115.42</v>
      </c>
      <c r="H19" s="410">
        <f>G19/B19</f>
        <v>1.0764215621562156</v>
      </c>
      <c r="I19" s="411">
        <v>3.8899999999999997E-2</v>
      </c>
      <c r="J19" s="409">
        <f>$J$29*I19</f>
        <v>134744.49009599996</v>
      </c>
      <c r="K19" s="411">
        <v>7.51E-2</v>
      </c>
      <c r="L19" s="409">
        <f>K19*$L$29</f>
        <v>37914.084799999997</v>
      </c>
      <c r="M19" s="409">
        <f>G19-J19-L19</f>
        <v>-166543.15489599996</v>
      </c>
      <c r="N19" s="410">
        <f t="shared" ref="N19:N24" si="10">M19/B19</f>
        <v>-29.314526714367432</v>
      </c>
      <c r="O19" s="412"/>
      <c r="P19" s="413"/>
      <c r="Q19" s="410"/>
    </row>
    <row r="20" spans="1:17" x14ac:dyDescent="0.25">
      <c r="A20" s="408" t="s">
        <v>427</v>
      </c>
      <c r="B20" s="409">
        <f>-'Mngt-Revenue '!S17</f>
        <v>1098348.3999999999</v>
      </c>
      <c r="C20" s="409">
        <f>SUM('Mngt-Senior Audit '!S9:S16)</f>
        <v>810024.24</v>
      </c>
      <c r="D20" s="409">
        <f t="shared" ref="D20:D24" si="11">B20-C20</f>
        <v>288324.15999999992</v>
      </c>
      <c r="E20" s="409"/>
      <c r="F20" s="409">
        <f t="shared" si="9"/>
        <v>128315.69999999992</v>
      </c>
      <c r="G20" s="409">
        <f>'Mngt-Senior Audit '!S64</f>
        <v>160008.46</v>
      </c>
      <c r="H20" s="410">
        <f t="shared" ref="H20:H24" si="12">G20/B20</f>
        <v>0.14568096971780539</v>
      </c>
      <c r="I20" s="411">
        <v>2.1000000000000001E-2</v>
      </c>
      <c r="J20" s="409">
        <f t="shared" ref="J20:J24" si="13">$J$29*I20</f>
        <v>72741.241439999983</v>
      </c>
      <c r="K20" s="411">
        <v>4.0800000000000003E-2</v>
      </c>
      <c r="L20" s="409">
        <f t="shared" ref="L20:L24" si="14">K20*$L$29</f>
        <v>20597.7984</v>
      </c>
      <c r="M20" s="409">
        <f t="shared" ref="M20:M24" si="15">G20-J20-L20</f>
        <v>66669.420160000009</v>
      </c>
      <c r="N20" s="410">
        <f t="shared" si="10"/>
        <v>6.069970162473038E-2</v>
      </c>
      <c r="O20" s="412"/>
      <c r="P20" s="413"/>
      <c r="Q20" s="410"/>
    </row>
    <row r="21" spans="1:17" x14ac:dyDescent="0.25">
      <c r="A21" s="408" t="s">
        <v>428</v>
      </c>
      <c r="B21" s="409">
        <f>-'Mngt-Revenue '!S10</f>
        <v>135218</v>
      </c>
      <c r="C21" s="409">
        <f>SUM('Mngt-Consulting Micro SC '!S10:S17)</f>
        <v>35671.29</v>
      </c>
      <c r="D21" s="409">
        <f t="shared" si="11"/>
        <v>99546.709999999992</v>
      </c>
      <c r="E21" s="409"/>
      <c r="F21" s="409">
        <f t="shared" si="9"/>
        <v>8655.8299999999872</v>
      </c>
      <c r="G21" s="409">
        <f>'Mngt-Consulting Micro SC '!S64</f>
        <v>90890.880000000005</v>
      </c>
      <c r="H21" s="410">
        <f t="shared" si="12"/>
        <v>0.67218033102101793</v>
      </c>
      <c r="I21" s="411">
        <v>2.3E-2</v>
      </c>
      <c r="J21" s="409">
        <f t="shared" si="13"/>
        <v>79668.978719999985</v>
      </c>
      <c r="K21" s="411">
        <v>1.9400000000000001E-2</v>
      </c>
      <c r="L21" s="409">
        <f t="shared" si="14"/>
        <v>9794.0511999999999</v>
      </c>
      <c r="M21" s="409">
        <f t="shared" si="15"/>
        <v>1427.8500800000202</v>
      </c>
      <c r="N21" s="410">
        <f t="shared" si="10"/>
        <v>1.0559615435814908E-2</v>
      </c>
      <c r="O21" s="412"/>
      <c r="P21" s="413"/>
      <c r="Q21" s="410"/>
    </row>
    <row r="22" spans="1:17" x14ac:dyDescent="0.25">
      <c r="A22" s="408" t="s">
        <v>287</v>
      </c>
      <c r="B22" s="409">
        <f>-SUM('Mngt-Revenue '!S11:S14)</f>
        <v>5554646.7200000007</v>
      </c>
      <c r="C22" s="409">
        <f>SUM('Mngt-Microbiology '!S9:S16)-C21+(SUM('Mngt-Lab Admin Total'!S10:S16)*'Op Profit analysis'!K22/('Op Profit analysis'!$K$22+'Op Profit analysis'!$K$23))</f>
        <v>3547416.0914657977</v>
      </c>
      <c r="D22" s="409">
        <f t="shared" si="11"/>
        <v>2007230.6285342029</v>
      </c>
      <c r="E22" s="409"/>
      <c r="F22" s="409">
        <f t="shared" si="9"/>
        <v>-1888196.7114657974</v>
      </c>
      <c r="G22" s="409">
        <f>'Mngt-Microbiology '!S64-G21</f>
        <v>3895427.3400000003</v>
      </c>
      <c r="H22" s="410">
        <f t="shared" si="12"/>
        <v>0.7012916457808499</v>
      </c>
      <c r="I22" s="411">
        <f>1-SUM(I19:I21,I23:I24)</f>
        <v>0.72439999999999993</v>
      </c>
      <c r="J22" s="409">
        <f t="shared" si="13"/>
        <v>2509226.442815999</v>
      </c>
      <c r="K22" s="411">
        <f>1-SUM(K19:K21,K23:K24)</f>
        <v>0.64959999999999996</v>
      </c>
      <c r="L22" s="409">
        <f t="shared" si="14"/>
        <v>327949.26079999999</v>
      </c>
      <c r="M22" s="409">
        <f t="shared" si="15"/>
        <v>1058251.6363840012</v>
      </c>
      <c r="N22" s="410">
        <f t="shared" si="10"/>
        <v>0.19051646121321666</v>
      </c>
      <c r="O22" s="414"/>
      <c r="P22" s="413"/>
      <c r="Q22" s="410"/>
    </row>
    <row r="23" spans="1:17" x14ac:dyDescent="0.25">
      <c r="A23" s="408" t="s">
        <v>288</v>
      </c>
      <c r="B23" s="409">
        <f>-SUM('Mngt-Revenue '!S2:S9,'Mngt-Revenue '!S15:S16)</f>
        <v>1040842.3</v>
      </c>
      <c r="C23" s="409">
        <f>SUM('Mngt-Chemistry '!S9:S16)+(SUM('Mngt-Lab Admin Total'!S10:S16)*'Op Profit analysis'!K23/('Op Profit analysis'!$K$22+'Op Profit analysis'!$K$23))</f>
        <v>780512.41853420204</v>
      </c>
      <c r="D23" s="409">
        <f t="shared" si="11"/>
        <v>260329.88146579801</v>
      </c>
      <c r="E23" s="409"/>
      <c r="F23" s="409">
        <f t="shared" si="9"/>
        <v>206798.03146579801</v>
      </c>
      <c r="G23" s="409">
        <f>'Mngt-Chemistry '!S64</f>
        <v>53531.85</v>
      </c>
      <c r="H23" s="410">
        <f t="shared" si="12"/>
        <v>5.1431278302198132E-2</v>
      </c>
      <c r="I23" s="411">
        <v>0.19</v>
      </c>
      <c r="J23" s="409">
        <f t="shared" si="13"/>
        <v>658135.04159999988</v>
      </c>
      <c r="K23" s="411">
        <v>0.21</v>
      </c>
      <c r="L23" s="409">
        <f t="shared" si="14"/>
        <v>106018.08</v>
      </c>
      <c r="M23" s="409">
        <f t="shared" si="15"/>
        <v>-710621.27159999986</v>
      </c>
      <c r="N23" s="410">
        <f t="shared" si="10"/>
        <v>-0.68273673312470085</v>
      </c>
      <c r="O23" s="410"/>
      <c r="P23" s="413"/>
      <c r="Q23" s="410"/>
    </row>
    <row r="24" spans="1:17" x14ac:dyDescent="0.25">
      <c r="A24" s="408" t="s">
        <v>429</v>
      </c>
      <c r="B24" s="409">
        <f>-'Mngt-Revenue '!S20</f>
        <v>67256.800000000003</v>
      </c>
      <c r="C24" s="409">
        <f>SUM('Mngt-Digital Solution'!S14)</f>
        <v>45465.98</v>
      </c>
      <c r="D24" s="409">
        <f t="shared" si="11"/>
        <v>21790.82</v>
      </c>
      <c r="E24" s="409"/>
      <c r="F24" s="409">
        <f t="shared" si="9"/>
        <v>0</v>
      </c>
      <c r="G24" s="409">
        <f>'Mngt-Digital Solution'!S63</f>
        <v>21790.82</v>
      </c>
      <c r="H24" s="410">
        <f t="shared" si="12"/>
        <v>0.32399430243484673</v>
      </c>
      <c r="I24" s="411">
        <v>2.7000000000000001E-3</v>
      </c>
      <c r="J24" s="409">
        <f t="shared" si="13"/>
        <v>9352.445327999998</v>
      </c>
      <c r="K24" s="411">
        <v>5.1000000000000004E-3</v>
      </c>
      <c r="L24" s="409">
        <f t="shared" si="14"/>
        <v>2574.7248</v>
      </c>
      <c r="M24" s="409">
        <f t="shared" si="15"/>
        <v>9863.6498720000018</v>
      </c>
      <c r="N24" s="410">
        <f t="shared" si="10"/>
        <v>0.14665654434941897</v>
      </c>
    </row>
    <row r="25" spans="1:17" x14ac:dyDescent="0.25">
      <c r="B25" s="409"/>
      <c r="C25" s="409"/>
      <c r="D25" s="409"/>
      <c r="E25" s="409"/>
      <c r="F25" s="409"/>
      <c r="G25" s="409"/>
      <c r="H25" s="409"/>
      <c r="I25" s="409"/>
      <c r="J25" s="409"/>
      <c r="K25" s="409"/>
      <c r="L25" s="409"/>
      <c r="M25" s="409"/>
      <c r="N25" s="409"/>
    </row>
    <row r="26" spans="1:17" x14ac:dyDescent="0.25">
      <c r="A26" s="408" t="s">
        <v>272</v>
      </c>
      <c r="B26" s="409">
        <f>SUM(B19:B25)</f>
        <v>7901993.4700000007</v>
      </c>
      <c r="C26" s="409">
        <f>SUM(C19:C25)</f>
        <v>5216823.8599999994</v>
      </c>
      <c r="D26" s="409">
        <f>SUM(D19:D25)</f>
        <v>2685169.6100000008</v>
      </c>
      <c r="E26" s="409"/>
      <c r="F26" s="409">
        <f>SUM(F19:F25)</f>
        <v>-1542595.1599999995</v>
      </c>
      <c r="G26" s="409">
        <f>SUM(G19:G25)</f>
        <v>4227764.7700000005</v>
      </c>
      <c r="H26" s="409"/>
      <c r="I26" s="410">
        <f t="shared" ref="I26" si="16">SUM(I19:I25)</f>
        <v>0.99999999999999989</v>
      </c>
      <c r="J26" s="409">
        <f>SUM(J19:J25)</f>
        <v>3463868.6399999987</v>
      </c>
      <c r="K26" s="409"/>
      <c r="L26" s="409">
        <f>SUM(L19:L25)</f>
        <v>504848</v>
      </c>
      <c r="M26" s="409">
        <f>SUM(M19:M25)</f>
        <v>259048.13000000143</v>
      </c>
      <c r="N26" s="410">
        <f>SUM(N19:N25)</f>
        <v>-29.588831124868953</v>
      </c>
    </row>
    <row r="27" spans="1:17" hidden="1" outlineLevel="1" x14ac:dyDescent="0.25">
      <c r="A27" s="408" t="s">
        <v>430</v>
      </c>
      <c r="B27" s="409">
        <f>B26-'Mngt-P&amp;L  (Overall)'!E12</f>
        <v>0.47000000067055225</v>
      </c>
      <c r="C27" s="409">
        <f>C26-'Mngt-P&amp;L  (Overall)'!E37</f>
        <v>178261.8599999994</v>
      </c>
      <c r="D27" s="409">
        <f>D26-'Mngt-P&amp;L  (Overall)'!E39</f>
        <v>-178261.3899999992</v>
      </c>
      <c r="E27" s="409"/>
      <c r="F27" s="409"/>
      <c r="G27" s="409"/>
      <c r="H27" s="409"/>
      <c r="I27" s="409"/>
      <c r="J27" s="409">
        <f>J26-J29</f>
        <v>0</v>
      </c>
      <c r="K27" s="409"/>
      <c r="L27" s="409">
        <f>L26-L29</f>
        <v>0</v>
      </c>
      <c r="M27" s="409"/>
      <c r="N27" s="409"/>
    </row>
    <row r="28" spans="1:17" hidden="1" outlineLevel="1" x14ac:dyDescent="0.25">
      <c r="B28" s="409"/>
      <c r="C28" s="409"/>
      <c r="D28" s="409"/>
      <c r="E28" s="409"/>
      <c r="F28" s="409"/>
      <c r="G28" s="409"/>
      <c r="H28" s="409"/>
      <c r="I28" s="409"/>
      <c r="J28" s="409"/>
      <c r="K28" s="409"/>
      <c r="L28" s="409"/>
      <c r="M28" s="409"/>
      <c r="N28" s="409"/>
    </row>
    <row r="29" spans="1:17" hidden="1" outlineLevel="1" x14ac:dyDescent="0.25">
      <c r="B29" s="409"/>
      <c r="C29" s="409"/>
      <c r="D29" s="409"/>
      <c r="E29" s="409"/>
      <c r="F29" s="409"/>
      <c r="G29" s="409"/>
      <c r="H29" s="409"/>
      <c r="I29" s="409" t="s">
        <v>432</v>
      </c>
      <c r="J29" s="409">
        <f>'Mngt-P&amp;L  (Overall)'!E80-F26+'Mngt-Research &amp; Development'!S9</f>
        <v>3463868.6399999992</v>
      </c>
      <c r="K29" s="415" t="s">
        <v>423</v>
      </c>
      <c r="L29" s="409">
        <f>'Mngt-P&amp;L  (Overall)'!E118+'Mngt-P&amp;L  (Overall)'!E150+'Mngt-P&amp;L  (Overall)'!E158</f>
        <v>504848</v>
      </c>
      <c r="M29" s="409"/>
      <c r="N29" s="409"/>
    </row>
    <row r="30" spans="1:17" hidden="1" outlineLevel="1" x14ac:dyDescent="0.25">
      <c r="B30" s="409"/>
      <c r="C30" s="409"/>
      <c r="D30" s="409"/>
      <c r="E30" s="409"/>
      <c r="F30" s="409"/>
      <c r="G30" s="409"/>
      <c r="H30" s="409"/>
      <c r="I30" s="409" t="s">
        <v>424</v>
      </c>
      <c r="J30" s="409" t="e">
        <f>'Mngt-P&amp;L  (Overall)'!#REF!</f>
        <v>#REF!</v>
      </c>
      <c r="K30" s="409"/>
      <c r="L30" s="409"/>
      <c r="M30" s="409"/>
      <c r="N30" s="409"/>
    </row>
    <row r="31" spans="1:17" hidden="1" outlineLevel="1" x14ac:dyDescent="0.25">
      <c r="B31" s="409"/>
      <c r="C31" s="409"/>
      <c r="D31" s="409"/>
      <c r="E31" s="409"/>
      <c r="F31" s="409"/>
      <c r="G31" s="409"/>
      <c r="H31" s="409"/>
      <c r="I31" s="409" t="s">
        <v>430</v>
      </c>
      <c r="J31" s="409" t="e">
        <f>G26-J29-J30-L29</f>
        <v>#REF!</v>
      </c>
      <c r="K31" s="409"/>
      <c r="L31" s="409"/>
      <c r="M31" s="409"/>
      <c r="N31" s="409"/>
    </row>
    <row r="32" spans="1:17" hidden="1" outlineLevel="1" x14ac:dyDescent="0.25"/>
    <row r="33" spans="9:10" hidden="1" outlineLevel="1" x14ac:dyDescent="0.25"/>
    <row r="34" spans="9:10" hidden="1" outlineLevel="1" x14ac:dyDescent="0.25">
      <c r="I34" s="409"/>
      <c r="J34" s="413"/>
    </row>
    <row r="35" spans="9:10" hidden="1" outlineLevel="1" x14ac:dyDescent="0.25">
      <c r="I35" s="409"/>
      <c r="J35" s="413"/>
    </row>
    <row r="36" spans="9:10" hidden="1" outlineLevel="1" x14ac:dyDescent="0.25">
      <c r="J36" s="413"/>
    </row>
    <row r="37" spans="9:10" hidden="1" outlineLevel="1" x14ac:dyDescent="0.25"/>
    <row r="38" spans="9:10" collapsed="1" x14ac:dyDescent="0.25"/>
  </sheetData>
  <pageMargins left="0.7" right="0.7" top="0.75" bottom="0.75" header="0.3" footer="0.3"/>
  <pageSetup paperSize="8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A80"/>
  <sheetViews>
    <sheetView zoomScaleNormal="100" workbookViewId="0">
      <pane xSplit="6" ySplit="1" topLeftCell="S2" activePane="bottomRight" state="frozen"/>
      <selection pane="topRight" activeCell="G1" sqref="G1"/>
      <selection pane="bottomLeft" activeCell="A2" sqref="A2"/>
      <selection pane="bottomRight" sqref="A1:AU21"/>
    </sheetView>
  </sheetViews>
  <sheetFormatPr defaultRowHeight="12.75" outlineLevelRow="1" outlineLevelCol="1" x14ac:dyDescent="0.2"/>
  <cols>
    <col min="1" max="1" width="42.42578125" customWidth="1"/>
    <col min="2" max="4" width="10.5703125" customWidth="1"/>
    <col min="5" max="5" width="9.5703125" customWidth="1"/>
    <col min="6" max="6" width="10.5703125" customWidth="1"/>
    <col min="7" max="7" width="10.5703125" hidden="1" customWidth="1" outlineLevel="1"/>
    <col min="8" max="8" width="10.42578125" hidden="1" customWidth="1" outlineLevel="1"/>
    <col min="9" max="13" width="10.5703125" hidden="1" customWidth="1" outlineLevel="1"/>
    <col min="14" max="16" width="11.5703125" hidden="1" customWidth="1" outlineLevel="1"/>
    <col min="17" max="17" width="17.5703125" hidden="1" customWidth="1" outlineLevel="1"/>
    <col min="18" max="18" width="12.42578125" hidden="1" customWidth="1" outlineLevel="1"/>
    <col min="19" max="19" width="15.42578125" customWidth="1" collapsed="1"/>
    <col min="20" max="31" width="10.5703125" hidden="1" customWidth="1" outlineLevel="1"/>
    <col min="32" max="32" width="13.42578125" style="365" hidden="1" customWidth="1" collapsed="1"/>
    <col min="33" max="33" width="11" style="365" hidden="1" customWidth="1" outlineLevel="1"/>
    <col min="34" max="34" width="15.42578125" hidden="1" customWidth="1" outlineLevel="1"/>
    <col min="35" max="44" width="10.5703125" hidden="1" customWidth="1" outlineLevel="1"/>
    <col min="45" max="45" width="14" customWidth="1" collapsed="1"/>
    <col min="46" max="46" width="10.5703125" hidden="1" customWidth="1"/>
    <col min="47" max="47" width="14.5703125" hidden="1" customWidth="1"/>
    <col min="48" max="48" width="14.5703125" bestFit="1" customWidth="1"/>
    <col min="49" max="49" width="10.5703125" customWidth="1"/>
    <col min="50" max="50" width="12.140625" bestFit="1" customWidth="1"/>
    <col min="51" max="51" width="9.5703125" bestFit="1" customWidth="1"/>
    <col min="53" max="53" width="20.42578125" bestFit="1" customWidth="1"/>
  </cols>
  <sheetData>
    <row r="1" spans="1:53" ht="36.7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  <c r="AV1" s="465"/>
      <c r="AW1" s="465"/>
    </row>
    <row r="2" spans="1:53" ht="12.75" customHeight="1" outlineLevel="1" x14ac:dyDescent="0.2">
      <c r="A2" s="95" t="s">
        <v>140</v>
      </c>
      <c r="B2" s="96">
        <v>-18876.419999999998</v>
      </c>
      <c r="C2" s="54">
        <v>0</v>
      </c>
      <c r="D2" s="56">
        <v>-25732.25</v>
      </c>
      <c r="E2" s="63"/>
      <c r="F2" s="64">
        <v>73.357051948430467</v>
      </c>
      <c r="G2" s="97">
        <v>-23224.29</v>
      </c>
      <c r="H2" s="56">
        <v>-20228.77</v>
      </c>
      <c r="I2" s="56">
        <v>-20902.13</v>
      </c>
      <c r="J2" s="56">
        <v>-18876.419999999998</v>
      </c>
      <c r="K2" s="56">
        <v>-2657.1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76">
        <v>-83231.61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98">
        <v>-17282.14</v>
      </c>
      <c r="AH2" s="98">
        <v>-26279.61</v>
      </c>
      <c r="AI2" s="98">
        <v>-22334.67</v>
      </c>
      <c r="AJ2" s="98">
        <v>-25732.25</v>
      </c>
      <c r="AK2" s="98">
        <v>-23514.080000000002</v>
      </c>
      <c r="AL2" s="98">
        <v>-31665.46</v>
      </c>
      <c r="AM2" s="98">
        <v>-27187.5</v>
      </c>
      <c r="AN2" s="98">
        <v>-30068.93</v>
      </c>
      <c r="AO2" s="98">
        <v>-25268.54</v>
      </c>
      <c r="AP2" s="98">
        <v>-16787.7</v>
      </c>
      <c r="AQ2" s="98">
        <v>-19268.23</v>
      </c>
      <c r="AR2" s="98">
        <v>-17270.169999999998</v>
      </c>
      <c r="AS2" s="99">
        <v>-91628.67</v>
      </c>
      <c r="AT2" s="63"/>
      <c r="AU2" s="63">
        <v>90.835772253378778</v>
      </c>
      <c r="AV2" s="692"/>
      <c r="AW2" s="692"/>
      <c r="AY2" s="22"/>
      <c r="BA2" s="22"/>
    </row>
    <row r="3" spans="1:53" ht="12.75" customHeight="1" outlineLevel="1" x14ac:dyDescent="0.2">
      <c r="A3" s="95" t="s">
        <v>141</v>
      </c>
      <c r="B3" s="96">
        <v>-396</v>
      </c>
      <c r="C3" s="54">
        <v>0</v>
      </c>
      <c r="D3" s="56">
        <v>-579.33000000000004</v>
      </c>
      <c r="E3" s="63"/>
      <c r="F3" s="64">
        <v>68.354823675625298</v>
      </c>
      <c r="G3" s="97">
        <v>-890.88</v>
      </c>
      <c r="H3" s="56">
        <v>-1191.78</v>
      </c>
      <c r="I3" s="56">
        <v>-1017.3</v>
      </c>
      <c r="J3" s="56">
        <v>-396</v>
      </c>
      <c r="K3" s="56">
        <v>-42.24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76">
        <v>-3495.96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98">
        <v>-483.72</v>
      </c>
      <c r="AH3" s="98">
        <v>-750.28</v>
      </c>
      <c r="AI3" s="98">
        <v>-697.44</v>
      </c>
      <c r="AJ3" s="98">
        <v>-579.33000000000004</v>
      </c>
      <c r="AK3" s="98">
        <v>-834.78</v>
      </c>
      <c r="AL3" s="98">
        <v>-670.04</v>
      </c>
      <c r="AM3" s="98">
        <v>-482.63</v>
      </c>
      <c r="AN3" s="98">
        <v>-606.91</v>
      </c>
      <c r="AO3" s="98">
        <v>-684.59</v>
      </c>
      <c r="AP3" s="98">
        <v>-536.13</v>
      </c>
      <c r="AQ3" s="98">
        <v>-925.76</v>
      </c>
      <c r="AR3" s="98">
        <v>-789.6</v>
      </c>
      <c r="AS3" s="99">
        <v>-2510.77</v>
      </c>
      <c r="AT3" s="63"/>
      <c r="AU3" s="63">
        <v>139.23856028230384</v>
      </c>
      <c r="AV3" s="466"/>
      <c r="AW3" s="466"/>
      <c r="AY3" s="22"/>
      <c r="BA3" s="22"/>
    </row>
    <row r="4" spans="1:53" ht="12.75" customHeight="1" outlineLevel="1" x14ac:dyDescent="0.2">
      <c r="A4" s="95" t="s">
        <v>142</v>
      </c>
      <c r="B4" s="96">
        <v>-16281.53</v>
      </c>
      <c r="C4" s="54">
        <v>0</v>
      </c>
      <c r="D4" s="56">
        <v>-19495.38</v>
      </c>
      <c r="E4" s="63"/>
      <c r="F4" s="64">
        <v>83.514812227307189</v>
      </c>
      <c r="G4" s="97">
        <v>-23338.76</v>
      </c>
      <c r="H4" s="56">
        <v>-19687.21</v>
      </c>
      <c r="I4" s="56">
        <v>-16780.3</v>
      </c>
      <c r="J4" s="56">
        <v>-16281.53</v>
      </c>
      <c r="K4" s="56">
        <v>-6873.88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76">
        <v>-76087.8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98">
        <v>-23522.94</v>
      </c>
      <c r="AH4" s="98">
        <v>-14141.95</v>
      </c>
      <c r="AI4" s="98">
        <v>-15541.29</v>
      </c>
      <c r="AJ4" s="98">
        <v>-19495.38</v>
      </c>
      <c r="AK4" s="98">
        <v>-14272.02</v>
      </c>
      <c r="AL4" s="98">
        <v>-21717.82</v>
      </c>
      <c r="AM4" s="98">
        <v>-12304.8</v>
      </c>
      <c r="AN4" s="98">
        <v>-20863.95</v>
      </c>
      <c r="AO4" s="98">
        <v>-13267.46</v>
      </c>
      <c r="AP4" s="98">
        <v>-18953.02</v>
      </c>
      <c r="AQ4" s="98">
        <v>-15873.95</v>
      </c>
      <c r="AR4" s="98">
        <v>-15837.25</v>
      </c>
      <c r="AS4" s="99">
        <v>-72701.56</v>
      </c>
      <c r="AT4" s="63"/>
      <c r="AU4" s="63">
        <v>104.65772673928868</v>
      </c>
      <c r="AV4" s="693"/>
      <c r="AW4" s="693"/>
      <c r="AY4" s="22"/>
      <c r="BA4" s="22"/>
    </row>
    <row r="5" spans="1:53" ht="12.75" customHeight="1" outlineLevel="1" x14ac:dyDescent="0.2">
      <c r="A5" s="95" t="s">
        <v>143</v>
      </c>
      <c r="B5" s="96">
        <v>-28444.6</v>
      </c>
      <c r="C5" s="54">
        <v>0</v>
      </c>
      <c r="D5" s="56">
        <v>-19710.87</v>
      </c>
      <c r="E5" s="63"/>
      <c r="F5" s="64">
        <v>144.30920603707497</v>
      </c>
      <c r="G5" s="97">
        <v>-18579.14</v>
      </c>
      <c r="H5" s="56">
        <v>-16530.45</v>
      </c>
      <c r="I5" s="56">
        <v>-25900.21</v>
      </c>
      <c r="J5" s="56">
        <v>-28444.6</v>
      </c>
      <c r="K5" s="56">
        <v>-1954.89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76">
        <v>-89454.399999999994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98">
        <v>-20161.490000000002</v>
      </c>
      <c r="AH5" s="98">
        <v>-26363.64</v>
      </c>
      <c r="AI5" s="98">
        <v>-25586.27</v>
      </c>
      <c r="AJ5" s="98">
        <v>-19710.87</v>
      </c>
      <c r="AK5" s="98">
        <v>-32853.21</v>
      </c>
      <c r="AL5" s="98">
        <v>-35555.22</v>
      </c>
      <c r="AM5" s="98">
        <v>-28718.68</v>
      </c>
      <c r="AN5" s="98">
        <v>-40592.47</v>
      </c>
      <c r="AO5" s="98">
        <v>-26278.080000000002</v>
      </c>
      <c r="AP5" s="98">
        <v>-26004.82</v>
      </c>
      <c r="AQ5" s="98">
        <v>-29037.39</v>
      </c>
      <c r="AR5" s="98">
        <v>-17905.38</v>
      </c>
      <c r="AS5" s="99">
        <v>-91822.27</v>
      </c>
      <c r="AT5" s="63"/>
      <c r="AU5" s="63">
        <v>97.421246501529538</v>
      </c>
      <c r="AV5" s="693"/>
      <c r="AW5" s="693"/>
      <c r="AY5" s="22"/>
      <c r="BA5" s="22"/>
    </row>
    <row r="6" spans="1:53" ht="12.75" customHeight="1" outlineLevel="1" x14ac:dyDescent="0.2">
      <c r="A6" s="95" t="s">
        <v>144</v>
      </c>
      <c r="B6" s="96">
        <v>-12661.33</v>
      </c>
      <c r="C6" s="54">
        <v>0</v>
      </c>
      <c r="D6" s="56">
        <v>-10590.6</v>
      </c>
      <c r="E6" s="63"/>
      <c r="F6" s="64">
        <v>119.55252771325515</v>
      </c>
      <c r="G6" s="97">
        <v>-13046.96</v>
      </c>
      <c r="H6" s="56">
        <v>-7244.05</v>
      </c>
      <c r="I6" s="56">
        <v>-6853.77</v>
      </c>
      <c r="J6" s="56">
        <v>-12661.33</v>
      </c>
      <c r="K6" s="56">
        <v>-2783.78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76">
        <v>-39806.11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98">
        <v>-14234.81</v>
      </c>
      <c r="AH6" s="98">
        <v>-9040.52</v>
      </c>
      <c r="AI6" s="98">
        <v>-9418.82</v>
      </c>
      <c r="AJ6" s="98">
        <v>-10590.6</v>
      </c>
      <c r="AK6" s="98">
        <v>-7637.39</v>
      </c>
      <c r="AL6" s="98">
        <v>-11244.78</v>
      </c>
      <c r="AM6" s="98">
        <v>-18350.900000000001</v>
      </c>
      <c r="AN6" s="98">
        <v>-12022.12</v>
      </c>
      <c r="AO6" s="98">
        <v>-9935.8799999999992</v>
      </c>
      <c r="AP6" s="98">
        <v>-15506.36</v>
      </c>
      <c r="AQ6" s="98">
        <v>-17087.79</v>
      </c>
      <c r="AR6" s="98">
        <v>-10948.27</v>
      </c>
      <c r="AS6" s="99">
        <v>-43284.75</v>
      </c>
      <c r="AT6" s="63"/>
      <c r="AU6" s="63">
        <v>91.963358919711908</v>
      </c>
      <c r="AV6" s="692"/>
      <c r="AW6" s="692"/>
      <c r="AX6" s="620"/>
      <c r="AY6" s="22"/>
      <c r="BA6" s="22"/>
    </row>
    <row r="7" spans="1:53" ht="12.75" customHeight="1" outlineLevel="1" x14ac:dyDescent="0.2">
      <c r="A7" s="95" t="s">
        <v>145</v>
      </c>
      <c r="B7" s="96">
        <v>-11449.4</v>
      </c>
      <c r="C7" s="54">
        <v>0</v>
      </c>
      <c r="D7" s="56">
        <v>-1609.5</v>
      </c>
      <c r="E7" s="63"/>
      <c r="F7" s="64">
        <v>711.36377757067407</v>
      </c>
      <c r="G7" s="97">
        <v>-6002.39</v>
      </c>
      <c r="H7" s="56">
        <v>-13095.83</v>
      </c>
      <c r="I7" s="56">
        <v>-9233.0499999999993</v>
      </c>
      <c r="J7" s="56">
        <v>-11449.4</v>
      </c>
      <c r="K7" s="56">
        <v>-345.11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76">
        <v>-39780.67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98">
        <v>-5710.8</v>
      </c>
      <c r="AH7" s="98">
        <v>-1333.22</v>
      </c>
      <c r="AI7" s="98">
        <v>-2316.59</v>
      </c>
      <c r="AJ7" s="98">
        <v>-1609.5</v>
      </c>
      <c r="AK7" s="98">
        <v>-4353</v>
      </c>
      <c r="AL7" s="98">
        <v>-4114.97</v>
      </c>
      <c r="AM7" s="98">
        <v>-624.02</v>
      </c>
      <c r="AN7" s="98">
        <v>-6539.1</v>
      </c>
      <c r="AO7" s="98">
        <v>-3818.35</v>
      </c>
      <c r="AP7" s="98">
        <v>-21373.21</v>
      </c>
      <c r="AQ7" s="98">
        <v>-11050.52</v>
      </c>
      <c r="AR7" s="98">
        <v>-9715.35</v>
      </c>
      <c r="AS7" s="99">
        <v>-10970.11</v>
      </c>
      <c r="AT7" s="63"/>
      <c r="AU7" s="63">
        <v>362.62781321244728</v>
      </c>
      <c r="AV7" s="466"/>
      <c r="AW7" s="466"/>
      <c r="AY7" s="22"/>
      <c r="BA7" s="22"/>
    </row>
    <row r="8" spans="1:53" ht="12.75" customHeight="1" outlineLevel="1" x14ac:dyDescent="0.2">
      <c r="A8" s="95" t="s">
        <v>146</v>
      </c>
      <c r="B8" s="96">
        <v>-50465.43</v>
      </c>
      <c r="C8" s="54">
        <v>0</v>
      </c>
      <c r="D8" s="56">
        <v>-48168.24</v>
      </c>
      <c r="E8" s="63"/>
      <c r="F8" s="64">
        <v>104.76909681566111</v>
      </c>
      <c r="G8" s="97">
        <v>-78513.41</v>
      </c>
      <c r="H8" s="56">
        <v>-89285.06</v>
      </c>
      <c r="I8" s="56">
        <v>-55497.33</v>
      </c>
      <c r="J8" s="56">
        <v>-50465.43</v>
      </c>
      <c r="K8" s="56">
        <v>-6232.83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76">
        <v>-273761.23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66">
        <v>0</v>
      </c>
      <c r="AG8" s="98">
        <v>-91399.29</v>
      </c>
      <c r="AH8" s="98">
        <v>-66152.03</v>
      </c>
      <c r="AI8" s="98">
        <v>-92359.5</v>
      </c>
      <c r="AJ8" s="98">
        <v>-48168.24</v>
      </c>
      <c r="AK8" s="98">
        <v>-79072.7</v>
      </c>
      <c r="AL8" s="98">
        <v>-89752.52</v>
      </c>
      <c r="AM8" s="98">
        <v>-105754.7</v>
      </c>
      <c r="AN8" s="98">
        <v>-95298.43</v>
      </c>
      <c r="AO8" s="98">
        <v>-105305.43</v>
      </c>
      <c r="AP8" s="98">
        <v>-93799.81</v>
      </c>
      <c r="AQ8" s="98">
        <v>-106428.39</v>
      </c>
      <c r="AR8" s="98">
        <v>-109099.7</v>
      </c>
      <c r="AS8" s="99">
        <v>-298079.06</v>
      </c>
      <c r="AT8" s="63"/>
      <c r="AU8" s="63">
        <v>91.841818744329103</v>
      </c>
      <c r="AV8" s="466"/>
      <c r="AW8" s="466"/>
      <c r="AY8" s="22"/>
      <c r="BA8" s="22"/>
    </row>
    <row r="9" spans="1:53" ht="12.75" customHeight="1" outlineLevel="1" x14ac:dyDescent="0.2">
      <c r="A9" s="95" t="s">
        <v>147</v>
      </c>
      <c r="B9" s="96">
        <v>-30632.73</v>
      </c>
      <c r="C9" s="54">
        <v>0</v>
      </c>
      <c r="D9" s="56">
        <v>-24376.79</v>
      </c>
      <c r="E9" s="63"/>
      <c r="F9" s="64">
        <v>125.66351024888839</v>
      </c>
      <c r="G9" s="97">
        <v>-24093.99</v>
      </c>
      <c r="H9" s="56">
        <v>-35475.78</v>
      </c>
      <c r="I9" s="56">
        <v>-36238.39</v>
      </c>
      <c r="J9" s="56">
        <v>-30632.73</v>
      </c>
      <c r="K9" s="56">
        <v>-2194.83</v>
      </c>
      <c r="L9" s="54">
        <v>0</v>
      </c>
      <c r="M9" s="54">
        <v>0</v>
      </c>
      <c r="N9" s="54">
        <v>0</v>
      </c>
      <c r="O9" s="54">
        <v>0</v>
      </c>
      <c r="P9" s="54">
        <v>0</v>
      </c>
      <c r="Q9" s="54">
        <v>0</v>
      </c>
      <c r="R9" s="54">
        <v>0</v>
      </c>
      <c r="S9" s="76">
        <v>-126440.89</v>
      </c>
      <c r="T9" s="54">
        <v>0</v>
      </c>
      <c r="U9" s="54">
        <v>0</v>
      </c>
      <c r="V9" s="54">
        <v>0</v>
      </c>
      <c r="W9" s="54">
        <v>0</v>
      </c>
      <c r="X9" s="54">
        <v>0</v>
      </c>
      <c r="Y9" s="54">
        <v>0</v>
      </c>
      <c r="Z9" s="54">
        <v>0</v>
      </c>
      <c r="AA9" s="54">
        <v>0</v>
      </c>
      <c r="AB9" s="54">
        <v>0</v>
      </c>
      <c r="AC9" s="54">
        <v>0</v>
      </c>
      <c r="AD9" s="54">
        <v>0</v>
      </c>
      <c r="AE9" s="54">
        <v>0</v>
      </c>
      <c r="AF9" s="66">
        <v>0</v>
      </c>
      <c r="AG9" s="98">
        <v>-45557.11</v>
      </c>
      <c r="AH9" s="98">
        <v>-30286.84</v>
      </c>
      <c r="AI9" s="98">
        <v>-31606.49</v>
      </c>
      <c r="AJ9" s="98">
        <v>-24376.79</v>
      </c>
      <c r="AK9" s="98">
        <v>-28987.38</v>
      </c>
      <c r="AL9" s="98">
        <v>-25574.28</v>
      </c>
      <c r="AM9" s="98">
        <v>-19058.39</v>
      </c>
      <c r="AN9" s="98">
        <v>-37484.18</v>
      </c>
      <c r="AO9" s="98">
        <v>-27184.68</v>
      </c>
      <c r="AP9" s="98">
        <v>-22247.22</v>
      </c>
      <c r="AQ9" s="98">
        <v>-21543.74</v>
      </c>
      <c r="AR9" s="98">
        <v>-36408.080000000002</v>
      </c>
      <c r="AS9" s="99">
        <v>-131827.23000000001</v>
      </c>
      <c r="AT9" s="63"/>
      <c r="AU9" s="63">
        <v>95.914091496878143</v>
      </c>
      <c r="AV9" s="466"/>
      <c r="AW9" s="466"/>
      <c r="AY9" s="22"/>
      <c r="BA9" s="22"/>
    </row>
    <row r="10" spans="1:53" ht="12.75" customHeight="1" outlineLevel="1" x14ac:dyDescent="0.2">
      <c r="A10" s="95" t="s">
        <v>148</v>
      </c>
      <c r="B10" s="96">
        <v>-47383.79</v>
      </c>
      <c r="C10" s="54">
        <v>0</v>
      </c>
      <c r="D10" s="56">
        <v>-21254.76</v>
      </c>
      <c r="E10" s="63"/>
      <c r="F10" s="64">
        <v>222.93260427311341</v>
      </c>
      <c r="G10" s="97">
        <v>-21661.99</v>
      </c>
      <c r="H10" s="56">
        <v>-45725.24</v>
      </c>
      <c r="I10" s="56">
        <v>-20446.98</v>
      </c>
      <c r="J10" s="56">
        <v>-47383.79</v>
      </c>
      <c r="K10" s="54">
        <v>1166.8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76">
        <v>-135218</v>
      </c>
      <c r="T10" s="54">
        <v>0</v>
      </c>
      <c r="U10" s="54">
        <v>0</v>
      </c>
      <c r="V10" s="54">
        <v>0</v>
      </c>
      <c r="W10" s="54">
        <v>0</v>
      </c>
      <c r="X10" s="54">
        <v>0</v>
      </c>
      <c r="Y10" s="54">
        <v>0</v>
      </c>
      <c r="Z10" s="54">
        <v>0</v>
      </c>
      <c r="AA10" s="54">
        <v>0</v>
      </c>
      <c r="AB10" s="54">
        <v>0</v>
      </c>
      <c r="AC10" s="54">
        <v>0</v>
      </c>
      <c r="AD10" s="54">
        <v>0</v>
      </c>
      <c r="AE10" s="54">
        <v>0</v>
      </c>
      <c r="AF10" s="66">
        <v>0</v>
      </c>
      <c r="AG10" s="98">
        <v>-26590.23</v>
      </c>
      <c r="AH10" s="98">
        <v>-60087.79</v>
      </c>
      <c r="AI10" s="98">
        <v>-32753.05</v>
      </c>
      <c r="AJ10" s="98">
        <v>-21254.76</v>
      </c>
      <c r="AK10" s="98">
        <v>-36921.5</v>
      </c>
      <c r="AL10" s="98">
        <v>-15538.89</v>
      </c>
      <c r="AM10" s="98">
        <v>-22059.48</v>
      </c>
      <c r="AN10" s="98">
        <v>-40387.800000000003</v>
      </c>
      <c r="AO10" s="98">
        <v>-22953.78</v>
      </c>
      <c r="AP10" s="98">
        <v>-59445.61</v>
      </c>
      <c r="AQ10" s="98">
        <v>-40896.18</v>
      </c>
      <c r="AR10" s="98">
        <v>-41277.300000000003</v>
      </c>
      <c r="AS10" s="99">
        <v>-140685.82999999999</v>
      </c>
      <c r="AT10" s="63"/>
      <c r="AU10" s="63">
        <v>96.113446535447096</v>
      </c>
      <c r="AV10" s="466"/>
      <c r="AW10" s="466"/>
      <c r="AY10" s="22"/>
      <c r="BA10" s="22"/>
    </row>
    <row r="11" spans="1:53" ht="12.75" customHeight="1" outlineLevel="1" x14ac:dyDescent="0.2">
      <c r="A11" s="95" t="s">
        <v>17</v>
      </c>
      <c r="B11" s="96">
        <v>-152344.21</v>
      </c>
      <c r="C11" s="54">
        <v>0</v>
      </c>
      <c r="D11" s="56">
        <v>-176395.13</v>
      </c>
      <c r="E11" s="63"/>
      <c r="F11" s="64">
        <v>86.365315187556476</v>
      </c>
      <c r="G11" s="97">
        <v>-164662.1</v>
      </c>
      <c r="H11" s="56">
        <v>-181547.18</v>
      </c>
      <c r="I11" s="56">
        <v>-175781.38</v>
      </c>
      <c r="J11" s="56">
        <v>-152344.21</v>
      </c>
      <c r="K11" s="56">
        <v>-28911.72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76">
        <v>-674334.87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0</v>
      </c>
      <c r="AC11" s="54">
        <v>0</v>
      </c>
      <c r="AD11" s="54">
        <v>0</v>
      </c>
      <c r="AE11" s="54">
        <v>0</v>
      </c>
      <c r="AF11" s="66">
        <v>0</v>
      </c>
      <c r="AG11" s="98">
        <v>-159627.01999999999</v>
      </c>
      <c r="AH11" s="98">
        <v>-242978.53</v>
      </c>
      <c r="AI11" s="98">
        <v>-192205.11</v>
      </c>
      <c r="AJ11" s="98">
        <v>-176395.13</v>
      </c>
      <c r="AK11" s="98">
        <v>-202934.05</v>
      </c>
      <c r="AL11" s="98">
        <v>-186031.04</v>
      </c>
      <c r="AM11" s="98">
        <v>-191805.66</v>
      </c>
      <c r="AN11" s="98">
        <v>-188489.34</v>
      </c>
      <c r="AO11" s="98">
        <v>-168443.78</v>
      </c>
      <c r="AP11" s="98">
        <v>-216060.3</v>
      </c>
      <c r="AQ11" s="98">
        <v>-183124.61</v>
      </c>
      <c r="AR11" s="98">
        <v>-199990.54</v>
      </c>
      <c r="AS11" s="99">
        <v>-771205.79</v>
      </c>
      <c r="AT11" s="63"/>
      <c r="AU11" s="63">
        <v>87.439031026984381</v>
      </c>
      <c r="AV11" s="692"/>
      <c r="AW11" s="692"/>
      <c r="AY11" s="22"/>
      <c r="BA11" s="22"/>
    </row>
    <row r="12" spans="1:53" ht="12.75" customHeight="1" outlineLevel="1" x14ac:dyDescent="0.2">
      <c r="A12" s="95" t="s">
        <v>16</v>
      </c>
      <c r="B12" s="96">
        <v>-158378.78</v>
      </c>
      <c r="C12" s="54">
        <v>0</v>
      </c>
      <c r="D12" s="56">
        <v>-140495.64000000001</v>
      </c>
      <c r="E12" s="63"/>
      <c r="F12" s="64">
        <v>112.72860851767358</v>
      </c>
      <c r="G12" s="97">
        <v>-206322.55</v>
      </c>
      <c r="H12" s="56">
        <v>-161279.24</v>
      </c>
      <c r="I12" s="56">
        <v>-216494.95</v>
      </c>
      <c r="J12" s="56">
        <v>-158378.78</v>
      </c>
      <c r="K12" s="56">
        <v>-34320.449999999997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76">
        <v>-742475.52</v>
      </c>
      <c r="T12" s="54">
        <v>0</v>
      </c>
      <c r="U12" s="54">
        <v>0</v>
      </c>
      <c r="V12" s="54">
        <v>0</v>
      </c>
      <c r="W12" s="54">
        <v>0</v>
      </c>
      <c r="X12" s="54">
        <v>0</v>
      </c>
      <c r="Y12" s="54">
        <v>0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66">
        <v>0</v>
      </c>
      <c r="AG12" s="98">
        <v>-147407.12</v>
      </c>
      <c r="AH12" s="98">
        <v>-151320.68</v>
      </c>
      <c r="AI12" s="98">
        <v>-162804.12</v>
      </c>
      <c r="AJ12" s="98">
        <v>-140495.64000000001</v>
      </c>
      <c r="AK12" s="98">
        <v>-136777.15</v>
      </c>
      <c r="AL12" s="98">
        <v>-141112.57</v>
      </c>
      <c r="AM12" s="98">
        <v>-140409.09</v>
      </c>
      <c r="AN12" s="98">
        <v>-148544.38</v>
      </c>
      <c r="AO12" s="98">
        <v>-137448.26</v>
      </c>
      <c r="AP12" s="98">
        <v>-174141.43</v>
      </c>
      <c r="AQ12" s="98">
        <v>-183066.73</v>
      </c>
      <c r="AR12" s="98">
        <v>-164970.22</v>
      </c>
      <c r="AS12" s="99">
        <v>-602027.56000000006</v>
      </c>
      <c r="AT12" s="63"/>
      <c r="AU12" s="63">
        <v>123.32915788772195</v>
      </c>
      <c r="AV12" s="692"/>
      <c r="AW12" s="692"/>
      <c r="AX12" s="365"/>
      <c r="AY12" s="22"/>
      <c r="BA12" s="22"/>
    </row>
    <row r="13" spans="1:53" ht="12.75" customHeight="1" outlineLevel="1" x14ac:dyDescent="0.2">
      <c r="A13" s="95" t="s">
        <v>149</v>
      </c>
      <c r="B13" s="96">
        <v>-525237.55000000005</v>
      </c>
      <c r="C13" s="54">
        <v>0</v>
      </c>
      <c r="D13" s="56">
        <v>-329344.84000000003</v>
      </c>
      <c r="E13" s="63"/>
      <c r="F13" s="64">
        <v>159.47951393439169</v>
      </c>
      <c r="G13" s="97">
        <v>-624131.69999999995</v>
      </c>
      <c r="H13" s="56">
        <v>-554464.75</v>
      </c>
      <c r="I13" s="56">
        <v>-525805.91</v>
      </c>
      <c r="J13" s="56">
        <v>-525237.55000000005</v>
      </c>
      <c r="K13" s="56">
        <v>-65156.26</v>
      </c>
      <c r="L13" s="54">
        <v>0</v>
      </c>
      <c r="M13" s="54">
        <v>0</v>
      </c>
      <c r="N13" s="54">
        <v>0</v>
      </c>
      <c r="O13" s="54">
        <v>0</v>
      </c>
      <c r="P13" s="54">
        <v>0</v>
      </c>
      <c r="Q13" s="54">
        <v>0</v>
      </c>
      <c r="R13" s="54">
        <v>0</v>
      </c>
      <c r="S13" s="76">
        <v>-2229639.91</v>
      </c>
      <c r="T13" s="54">
        <v>0</v>
      </c>
      <c r="U13" s="54">
        <v>0</v>
      </c>
      <c r="V13" s="54">
        <v>0</v>
      </c>
      <c r="W13" s="54">
        <v>0</v>
      </c>
      <c r="X13" s="54">
        <v>0</v>
      </c>
      <c r="Y13" s="54">
        <v>0</v>
      </c>
      <c r="Z13" s="54">
        <v>0</v>
      </c>
      <c r="AA13" s="54">
        <v>0</v>
      </c>
      <c r="AB13" s="54">
        <v>0</v>
      </c>
      <c r="AC13" s="54">
        <v>0</v>
      </c>
      <c r="AD13" s="54">
        <v>0</v>
      </c>
      <c r="AE13" s="54">
        <v>0</v>
      </c>
      <c r="AF13" s="66">
        <v>0</v>
      </c>
      <c r="AG13" s="98">
        <v>-468773.37</v>
      </c>
      <c r="AH13" s="98">
        <v>-549482.64</v>
      </c>
      <c r="AI13" s="98">
        <v>-470301.97</v>
      </c>
      <c r="AJ13" s="98">
        <v>-329344.84000000003</v>
      </c>
      <c r="AK13" s="98">
        <v>-404272.66</v>
      </c>
      <c r="AL13" s="98">
        <v>-433538.71</v>
      </c>
      <c r="AM13" s="98">
        <v>-416048.92</v>
      </c>
      <c r="AN13" s="98">
        <v>-477746.42</v>
      </c>
      <c r="AO13" s="98">
        <v>-510960.52</v>
      </c>
      <c r="AP13" s="98">
        <v>-483210.96</v>
      </c>
      <c r="AQ13" s="98">
        <v>-575960.68000000005</v>
      </c>
      <c r="AR13" s="98">
        <v>-500439.71</v>
      </c>
      <c r="AS13" s="99">
        <v>-1817902.82</v>
      </c>
      <c r="AT13" s="63"/>
      <c r="AU13" s="63">
        <v>122.64901541876699</v>
      </c>
      <c r="AV13" s="692"/>
      <c r="AW13" s="692"/>
      <c r="AX13" s="365"/>
      <c r="AY13" s="22"/>
      <c r="BA13" s="22"/>
    </row>
    <row r="14" spans="1:53" ht="12.75" customHeight="1" outlineLevel="1" x14ac:dyDescent="0.2">
      <c r="A14" s="95" t="s">
        <v>15</v>
      </c>
      <c r="B14" s="96">
        <v>-408525.43</v>
      </c>
      <c r="C14" s="54">
        <v>0</v>
      </c>
      <c r="D14" s="56">
        <v>-322015.90999999997</v>
      </c>
      <c r="E14" s="63"/>
      <c r="F14" s="64">
        <v>126.86498316185681</v>
      </c>
      <c r="G14" s="97">
        <v>-544253.92000000004</v>
      </c>
      <c r="H14" s="56">
        <v>-473848.72</v>
      </c>
      <c r="I14" s="56">
        <v>-481568.35</v>
      </c>
      <c r="J14" s="56">
        <v>-408525.43</v>
      </c>
      <c r="K14" s="56">
        <v>-95307.03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76">
        <v>-1908196.42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98">
        <v>-533803.43000000005</v>
      </c>
      <c r="AH14" s="98">
        <v>-475498.12</v>
      </c>
      <c r="AI14" s="98">
        <v>-442888.19</v>
      </c>
      <c r="AJ14" s="98">
        <v>-322015.90999999997</v>
      </c>
      <c r="AK14" s="98">
        <v>-449895.52</v>
      </c>
      <c r="AL14" s="98">
        <v>-551566.97</v>
      </c>
      <c r="AM14" s="98">
        <v>-467475.83</v>
      </c>
      <c r="AN14" s="98">
        <v>-472163.02</v>
      </c>
      <c r="AO14" s="98">
        <v>-446436.43</v>
      </c>
      <c r="AP14" s="98">
        <v>-488040.36</v>
      </c>
      <c r="AQ14" s="98">
        <v>-545292.36</v>
      </c>
      <c r="AR14" s="98">
        <v>-432327.38</v>
      </c>
      <c r="AS14" s="99">
        <v>-1774205.65</v>
      </c>
      <c r="AT14" s="63"/>
      <c r="AU14" s="63">
        <v>107.55215552379737</v>
      </c>
      <c r="AV14" s="692"/>
      <c r="AW14" s="692"/>
      <c r="AX14" s="365"/>
      <c r="AY14" s="22"/>
      <c r="BA14" s="22"/>
    </row>
    <row r="15" spans="1:53" s="365" customFormat="1" ht="12.75" customHeight="1" outlineLevel="1" x14ac:dyDescent="0.2">
      <c r="A15" s="95" t="s">
        <v>150</v>
      </c>
      <c r="B15" s="96">
        <v>-43743.8</v>
      </c>
      <c r="C15" s="54">
        <v>0</v>
      </c>
      <c r="D15" s="56">
        <v>-39422.339999999997</v>
      </c>
      <c r="E15" s="63"/>
      <c r="F15" s="64">
        <v>110.96195710351034</v>
      </c>
      <c r="G15" s="97">
        <v>-23276.04</v>
      </c>
      <c r="H15" s="56">
        <v>-36618.980000000003</v>
      </c>
      <c r="I15" s="56">
        <v>-27877.18</v>
      </c>
      <c r="J15" s="56">
        <v>-43743.8</v>
      </c>
      <c r="K15" s="56">
        <v>-1500.33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76">
        <v>-131516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66">
        <v>0</v>
      </c>
      <c r="AG15" s="98">
        <v>-46221.83</v>
      </c>
      <c r="AH15" s="98">
        <v>-26162.91</v>
      </c>
      <c r="AI15" s="98">
        <v>-28301.65</v>
      </c>
      <c r="AJ15" s="98">
        <v>-39422.339999999997</v>
      </c>
      <c r="AK15" s="98">
        <v>-55314.1</v>
      </c>
      <c r="AL15" s="98">
        <v>-53052.87</v>
      </c>
      <c r="AM15" s="98">
        <v>-33482.07</v>
      </c>
      <c r="AN15" s="98">
        <v>-57547.15</v>
      </c>
      <c r="AO15" s="98">
        <v>-50270.080000000002</v>
      </c>
      <c r="AP15" s="98">
        <v>-50229.38</v>
      </c>
      <c r="AQ15" s="98">
        <v>-38356.019999999997</v>
      </c>
      <c r="AR15" s="98">
        <v>-48638.33</v>
      </c>
      <c r="AS15" s="99">
        <v>-140108.73000000001</v>
      </c>
      <c r="AT15" s="63"/>
      <c r="AU15" s="63">
        <v>93.867098788205411</v>
      </c>
      <c r="AV15" s="466"/>
      <c r="AW15" s="466"/>
      <c r="AY15" s="22"/>
      <c r="BA15" s="22"/>
    </row>
    <row r="16" spans="1:53" ht="12.75" customHeight="1" outlineLevel="1" x14ac:dyDescent="0.2">
      <c r="A16" s="95" t="s">
        <v>151</v>
      </c>
      <c r="B16" s="96">
        <v>-29992.17</v>
      </c>
      <c r="C16" s="54">
        <v>0</v>
      </c>
      <c r="D16" s="56">
        <v>-36341.199999999997</v>
      </c>
      <c r="E16" s="63"/>
      <c r="F16" s="64">
        <v>82.529388132477735</v>
      </c>
      <c r="G16" s="97">
        <v>-40629.58</v>
      </c>
      <c r="H16" s="56">
        <v>-65254.67</v>
      </c>
      <c r="I16" s="56">
        <v>-41391.21</v>
      </c>
      <c r="J16" s="56">
        <v>-29992.17</v>
      </c>
      <c r="K16" s="56">
        <v>-3454.56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76">
        <v>-177267.63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98">
        <v>-72205.94</v>
      </c>
      <c r="AH16" s="98">
        <v>-62186.62</v>
      </c>
      <c r="AI16" s="98">
        <v>-66836.75</v>
      </c>
      <c r="AJ16" s="98">
        <v>-36341.199999999997</v>
      </c>
      <c r="AK16" s="98">
        <v>-67263.850000000006</v>
      </c>
      <c r="AL16" s="98">
        <v>-67274.92</v>
      </c>
      <c r="AM16" s="98">
        <v>-48047.08</v>
      </c>
      <c r="AN16" s="98">
        <v>-44748.07</v>
      </c>
      <c r="AO16" s="98">
        <v>-73556.67</v>
      </c>
      <c r="AP16" s="98">
        <v>-63572.74</v>
      </c>
      <c r="AQ16" s="98">
        <v>-55610.57</v>
      </c>
      <c r="AR16" s="98">
        <v>-61184.62</v>
      </c>
      <c r="AS16" s="99">
        <v>-237570.51</v>
      </c>
      <c r="AT16" s="63"/>
      <c r="AU16" s="63">
        <v>74.616849540795272</v>
      </c>
      <c r="AV16" s="466"/>
      <c r="AW16" s="466"/>
      <c r="AY16" s="22"/>
      <c r="BA16" s="22"/>
    </row>
    <row r="17" spans="1:53" ht="12.75" customHeight="1" outlineLevel="1" x14ac:dyDescent="0.2">
      <c r="A17" s="95" t="s">
        <v>152</v>
      </c>
      <c r="B17" s="96">
        <v>-288613.39</v>
      </c>
      <c r="C17" s="54">
        <v>0</v>
      </c>
      <c r="D17" s="56">
        <v>-157609.29999999999</v>
      </c>
      <c r="E17" s="63"/>
      <c r="F17" s="64">
        <v>183.1195176934356</v>
      </c>
      <c r="G17" s="97">
        <v>-229522.12</v>
      </c>
      <c r="H17" s="56">
        <v>-304182.93</v>
      </c>
      <c r="I17" s="56">
        <v>-276029.96000000002</v>
      </c>
      <c r="J17" s="56">
        <v>-288613.39</v>
      </c>
      <c r="K17" s="54">
        <v>25494.5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76">
        <v>-1098348.3999999999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98">
        <v>-165163.54999999999</v>
      </c>
      <c r="AH17" s="98">
        <v>-217026.88</v>
      </c>
      <c r="AI17" s="98">
        <v>-146725.88</v>
      </c>
      <c r="AJ17" s="98">
        <v>-157609.29999999999</v>
      </c>
      <c r="AK17" s="98">
        <v>-189202.78</v>
      </c>
      <c r="AL17" s="98">
        <v>-187858.77</v>
      </c>
      <c r="AM17" s="98">
        <v>-200599.44</v>
      </c>
      <c r="AN17" s="98">
        <v>-191274.28</v>
      </c>
      <c r="AO17" s="98">
        <v>-191292.04</v>
      </c>
      <c r="AP17" s="98">
        <v>-217962.51</v>
      </c>
      <c r="AQ17" s="98">
        <v>-261051.81</v>
      </c>
      <c r="AR17" s="98">
        <v>-318461.95</v>
      </c>
      <c r="AS17" s="99">
        <v>-686525.61</v>
      </c>
      <c r="AT17" s="63"/>
      <c r="AU17" s="63">
        <v>159.9865152881915</v>
      </c>
      <c r="AV17" s="692"/>
      <c r="AW17" s="692"/>
      <c r="AX17" s="26"/>
      <c r="AY17" s="22"/>
      <c r="BA17" s="22"/>
    </row>
    <row r="18" spans="1:53" ht="12.75" customHeight="1" outlineLevel="1" x14ac:dyDescent="0.2">
      <c r="A18" s="95" t="s">
        <v>413</v>
      </c>
      <c r="B18" s="62">
        <v>795</v>
      </c>
      <c r="C18" s="54">
        <v>0</v>
      </c>
      <c r="D18" s="54">
        <v>0</v>
      </c>
      <c r="E18" s="63"/>
      <c r="F18" s="64"/>
      <c r="G18" s="65">
        <v>0</v>
      </c>
      <c r="H18" s="54">
        <v>0</v>
      </c>
      <c r="I18" s="54">
        <v>0</v>
      </c>
      <c r="J18" s="54">
        <v>795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795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0</v>
      </c>
      <c r="AH18" s="67">
        <v>0</v>
      </c>
      <c r="AI18" s="67">
        <v>0</v>
      </c>
      <c r="AJ18" s="67">
        <v>0</v>
      </c>
      <c r="AK18" s="98">
        <v>-2840</v>
      </c>
      <c r="AL18" s="67">
        <v>0</v>
      </c>
      <c r="AM18" s="67">
        <v>0</v>
      </c>
      <c r="AN18" s="67">
        <v>0</v>
      </c>
      <c r="AO18" s="67">
        <v>0</v>
      </c>
      <c r="AP18" s="67">
        <v>0</v>
      </c>
      <c r="AQ18" s="67">
        <v>0</v>
      </c>
      <c r="AR18" s="98">
        <v>-5066.5</v>
      </c>
      <c r="AS18" s="68">
        <v>0</v>
      </c>
      <c r="AT18" s="63"/>
      <c r="AU18" s="63"/>
      <c r="AV18" s="692"/>
      <c r="AW18" s="692"/>
      <c r="AX18" s="26"/>
      <c r="AY18" s="22"/>
      <c r="BA18" s="22">
        <v>1203016012060160</v>
      </c>
    </row>
    <row r="19" spans="1:53" ht="12.75" customHeight="1" outlineLevel="1" x14ac:dyDescent="0.2">
      <c r="A19" s="95" t="s">
        <v>414</v>
      </c>
      <c r="B19" s="96">
        <v>-2420</v>
      </c>
      <c r="C19" s="54"/>
      <c r="D19" s="54">
        <v>0</v>
      </c>
      <c r="E19" s="63"/>
      <c r="F19" s="64"/>
      <c r="G19" s="97">
        <v>-995</v>
      </c>
      <c r="H19" s="56">
        <v>-1587.5</v>
      </c>
      <c r="I19" s="56">
        <v>-1473.75</v>
      </c>
      <c r="J19" s="56">
        <v>-2420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76">
        <v>-6476.25</v>
      </c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66"/>
      <c r="AG19" s="67">
        <v>0</v>
      </c>
      <c r="AH19" s="67">
        <v>0</v>
      </c>
      <c r="AI19" s="67">
        <v>0</v>
      </c>
      <c r="AJ19" s="67">
        <v>0</v>
      </c>
      <c r="AK19" s="67">
        <v>0</v>
      </c>
      <c r="AL19" s="98">
        <v>-3535</v>
      </c>
      <c r="AM19" s="98">
        <v>-1818</v>
      </c>
      <c r="AN19" s="98">
        <v>-325</v>
      </c>
      <c r="AO19" s="98">
        <v>-430</v>
      </c>
      <c r="AP19" s="98">
        <v>-590</v>
      </c>
      <c r="AQ19" s="67">
        <v>0</v>
      </c>
      <c r="AR19" s="98">
        <v>-867.75</v>
      </c>
      <c r="AS19" s="68">
        <v>0</v>
      </c>
      <c r="AT19" s="63"/>
      <c r="AU19" s="63"/>
      <c r="AV19" s="692"/>
      <c r="AW19" s="692"/>
      <c r="AX19" s="26"/>
      <c r="AY19" s="22"/>
      <c r="BA19" s="22"/>
    </row>
    <row r="20" spans="1:53" outlineLevel="1" x14ac:dyDescent="0.2">
      <c r="A20" s="100" t="s">
        <v>233</v>
      </c>
      <c r="B20" s="101">
        <v>-15201.7</v>
      </c>
      <c r="C20" s="105">
        <v>0</v>
      </c>
      <c r="D20" s="55">
        <v>-17351.7</v>
      </c>
      <c r="E20" s="102"/>
      <c r="F20" s="103">
        <v>87.609283240258875</v>
      </c>
      <c r="G20" s="104">
        <v>-17351.7</v>
      </c>
      <c r="H20" s="55">
        <v>-17351.7</v>
      </c>
      <c r="I20" s="55">
        <v>-17351.7</v>
      </c>
      <c r="J20" s="55">
        <v>-15201.7</v>
      </c>
      <c r="K20" s="105">
        <v>0</v>
      </c>
      <c r="L20" s="105">
        <v>0</v>
      </c>
      <c r="M20" s="105">
        <v>0</v>
      </c>
      <c r="N20" s="105">
        <v>0</v>
      </c>
      <c r="O20" s="105">
        <v>0</v>
      </c>
      <c r="P20" s="105">
        <v>0</v>
      </c>
      <c r="Q20" s="105">
        <v>0</v>
      </c>
      <c r="R20" s="105">
        <v>0</v>
      </c>
      <c r="S20" s="106">
        <v>-67256.800000000003</v>
      </c>
      <c r="T20" s="105">
        <v>0</v>
      </c>
      <c r="U20" s="105">
        <v>0</v>
      </c>
      <c r="V20" s="105">
        <v>0</v>
      </c>
      <c r="W20" s="105">
        <v>0</v>
      </c>
      <c r="X20" s="105">
        <v>0</v>
      </c>
      <c r="Y20" s="105">
        <v>0</v>
      </c>
      <c r="Z20" s="105">
        <v>0</v>
      </c>
      <c r="AA20" s="105">
        <v>0</v>
      </c>
      <c r="AB20" s="105">
        <v>0</v>
      </c>
      <c r="AC20" s="105">
        <v>0</v>
      </c>
      <c r="AD20" s="105">
        <v>0</v>
      </c>
      <c r="AE20" s="105">
        <v>0</v>
      </c>
      <c r="AF20" s="129">
        <v>0</v>
      </c>
      <c r="AG20" s="107">
        <v>-18313.400000000001</v>
      </c>
      <c r="AH20" s="107">
        <v>-20351.7</v>
      </c>
      <c r="AI20" s="107">
        <v>-17351.7</v>
      </c>
      <c r="AJ20" s="107">
        <v>-17351.7</v>
      </c>
      <c r="AK20" s="107">
        <v>-17351.7</v>
      </c>
      <c r="AL20" s="107">
        <v>-17351.7</v>
      </c>
      <c r="AM20" s="107">
        <v>-15491.7</v>
      </c>
      <c r="AN20" s="107">
        <v>-17351.7</v>
      </c>
      <c r="AO20" s="107">
        <v>-19501.7</v>
      </c>
      <c r="AP20" s="107">
        <v>-17351.7</v>
      </c>
      <c r="AQ20" s="107">
        <v>-17351.7</v>
      </c>
      <c r="AR20" s="107">
        <v>-17351.7</v>
      </c>
      <c r="AS20" s="108">
        <v>-73368.5</v>
      </c>
      <c r="AT20" s="102"/>
      <c r="AU20" s="102">
        <v>91.669858317942982</v>
      </c>
      <c r="AV20" s="466"/>
      <c r="AW20" s="466"/>
      <c r="AY20" s="22"/>
      <c r="BA20" s="22"/>
    </row>
    <row r="21" spans="1:53" ht="12.75" customHeight="1" x14ac:dyDescent="0.2">
      <c r="A21" s="109"/>
      <c r="B21" s="110">
        <v>-1840253.26</v>
      </c>
      <c r="C21" s="115">
        <v>0</v>
      </c>
      <c r="D21" s="111">
        <v>-1390493.78</v>
      </c>
      <c r="E21" s="112"/>
      <c r="F21" s="113">
        <v>132.34530685926549</v>
      </c>
      <c r="G21" s="114">
        <v>-2060496.52</v>
      </c>
      <c r="H21" s="111">
        <v>-2044599.84</v>
      </c>
      <c r="I21" s="111">
        <v>-1956643.85</v>
      </c>
      <c r="J21" s="111">
        <v>-1840253.26</v>
      </c>
      <c r="K21" s="111">
        <v>-225073.71</v>
      </c>
      <c r="L21" s="115">
        <v>0</v>
      </c>
      <c r="M21" s="115">
        <v>0</v>
      </c>
      <c r="N21" s="115">
        <v>0</v>
      </c>
      <c r="O21" s="115">
        <v>0</v>
      </c>
      <c r="P21" s="115">
        <v>0</v>
      </c>
      <c r="Q21" s="115">
        <v>0</v>
      </c>
      <c r="R21" s="115">
        <v>0</v>
      </c>
      <c r="S21" s="837">
        <v>-7901993.4699999997</v>
      </c>
      <c r="T21" s="115">
        <v>0</v>
      </c>
      <c r="U21" s="115">
        <v>0</v>
      </c>
      <c r="V21" s="115">
        <v>0</v>
      </c>
      <c r="W21" s="115">
        <v>0</v>
      </c>
      <c r="X21" s="115">
        <v>0</v>
      </c>
      <c r="Y21" s="115">
        <v>0</v>
      </c>
      <c r="Z21" s="115">
        <v>0</v>
      </c>
      <c r="AA21" s="115">
        <v>0</v>
      </c>
      <c r="AB21" s="115">
        <v>0</v>
      </c>
      <c r="AC21" s="115">
        <v>0</v>
      </c>
      <c r="AD21" s="115">
        <v>0</v>
      </c>
      <c r="AE21" s="115">
        <v>0</v>
      </c>
      <c r="AF21" s="132">
        <v>0</v>
      </c>
      <c r="AG21" s="116">
        <v>-1856458.19</v>
      </c>
      <c r="AH21" s="116">
        <v>-1979443.96</v>
      </c>
      <c r="AI21" s="116">
        <v>-1760029.49</v>
      </c>
      <c r="AJ21" s="116">
        <v>-1390493.78</v>
      </c>
      <c r="AK21" s="116">
        <v>-1754297.87</v>
      </c>
      <c r="AL21" s="116">
        <v>-1877156.53</v>
      </c>
      <c r="AM21" s="116">
        <v>-1749718.89</v>
      </c>
      <c r="AN21" s="116">
        <v>-1882053.25</v>
      </c>
      <c r="AO21" s="116">
        <v>-1833036.27</v>
      </c>
      <c r="AP21" s="116">
        <v>-1985813.26</v>
      </c>
      <c r="AQ21" s="116">
        <v>-2121926.4300000002</v>
      </c>
      <c r="AR21" s="116">
        <v>-2008549.8</v>
      </c>
      <c r="AS21" s="570">
        <v>-6986425.4199999999</v>
      </c>
      <c r="AT21" s="112"/>
      <c r="AU21" s="112">
        <v>113.1049570411073</v>
      </c>
      <c r="AV21" s="467"/>
      <c r="AW21" s="467"/>
      <c r="AY21" s="22"/>
      <c r="BA21" s="22"/>
    </row>
    <row r="22" spans="1:53" ht="12.75" customHeight="1" x14ac:dyDescent="0.2">
      <c r="B22" s="482"/>
      <c r="AH22" s="56"/>
      <c r="AI22" s="26"/>
      <c r="AJ22" s="26"/>
      <c r="AK22" s="26"/>
      <c r="AL22" s="482"/>
      <c r="AM22" s="26"/>
      <c r="AN22" s="26"/>
      <c r="AO22" s="26"/>
      <c r="AP22" s="26"/>
      <c r="AQ22" s="26"/>
      <c r="AR22" s="26"/>
      <c r="AS22" s="26"/>
      <c r="AT22" s="26"/>
      <c r="AU22" s="26"/>
    </row>
    <row r="23" spans="1:53" ht="12.75" customHeight="1" x14ac:dyDescent="0.2">
      <c r="B23" s="26"/>
      <c r="C23" s="26"/>
      <c r="S23" s="26"/>
      <c r="AF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</row>
    <row r="24" spans="1:53" ht="12.6" customHeight="1" x14ac:dyDescent="0.2">
      <c r="C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</row>
    <row r="25" spans="1:53" ht="15" customHeight="1" x14ac:dyDescent="0.25">
      <c r="A25" s="9"/>
      <c r="B25" s="10"/>
      <c r="C25" s="10"/>
      <c r="D25" s="10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10"/>
      <c r="T25" s="10"/>
      <c r="U25" s="10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10"/>
      <c r="AG25" s="9"/>
      <c r="AH25" s="10"/>
      <c r="AI25" s="10"/>
      <c r="AJ25" s="10"/>
      <c r="AK25" s="9"/>
      <c r="AL25" s="9"/>
      <c r="AM25" s="9"/>
      <c r="AN25" s="9"/>
      <c r="AO25" s="10"/>
      <c r="AP25" s="9"/>
      <c r="AQ25" s="9"/>
      <c r="AR25" s="9"/>
      <c r="AS25" s="10"/>
      <c r="AT25" s="9"/>
      <c r="AU25" s="10"/>
      <c r="AV25" s="10"/>
    </row>
    <row r="26" spans="1:53" ht="15" customHeight="1" x14ac:dyDescent="0.25">
      <c r="A26" s="9"/>
      <c r="B26" s="10"/>
      <c r="C26" s="10"/>
      <c r="D26" s="10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10"/>
      <c r="T26" s="10"/>
      <c r="U26" s="10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10"/>
      <c r="AG26" s="9"/>
      <c r="AH26" s="10"/>
      <c r="AI26" s="10"/>
      <c r="AJ26" s="10"/>
      <c r="AK26" s="9"/>
      <c r="AL26" s="9"/>
      <c r="AM26" s="9"/>
      <c r="AN26" s="9"/>
      <c r="AO26" s="9"/>
      <c r="AP26" s="9"/>
      <c r="AQ26" s="9"/>
      <c r="AR26" s="9"/>
      <c r="AS26" s="10"/>
      <c r="AT26" s="9"/>
      <c r="AU26" s="10"/>
      <c r="AV26" s="11"/>
    </row>
    <row r="27" spans="1:53" ht="15" customHeight="1" x14ac:dyDescent="0.25">
      <c r="A27" s="9"/>
      <c r="B27" s="10"/>
      <c r="C27" s="10"/>
      <c r="D27" s="10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10"/>
      <c r="T27" s="10"/>
      <c r="U27" s="10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10"/>
      <c r="AG27" s="9"/>
      <c r="AH27" s="10"/>
      <c r="AI27" s="10"/>
      <c r="AJ27" s="10"/>
      <c r="AK27" s="9"/>
      <c r="AL27" s="9"/>
      <c r="AM27" s="9"/>
      <c r="AN27" s="9"/>
      <c r="AO27" s="9"/>
      <c r="AP27" s="9"/>
      <c r="AQ27" s="9"/>
      <c r="AR27" s="9"/>
      <c r="AS27" s="10"/>
      <c r="AT27" s="9"/>
      <c r="AU27" s="10"/>
      <c r="AV27" s="11"/>
    </row>
    <row r="28" spans="1:53" ht="15" customHeight="1" x14ac:dyDescent="0.25">
      <c r="A28" s="9"/>
      <c r="B28" s="12"/>
      <c r="C28" s="12"/>
      <c r="D28" s="12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12"/>
      <c r="T28" s="12"/>
      <c r="U28" s="12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12"/>
      <c r="AG28" s="9"/>
      <c r="AH28" s="12"/>
      <c r="AI28" s="12"/>
      <c r="AJ28" s="12"/>
      <c r="AK28" s="9"/>
      <c r="AL28" s="9"/>
      <c r="AM28" s="9"/>
      <c r="AN28" s="9"/>
      <c r="AO28" s="9"/>
      <c r="AP28" s="9"/>
      <c r="AQ28" s="9"/>
      <c r="AR28" s="9"/>
      <c r="AS28" s="12"/>
      <c r="AT28" s="9"/>
      <c r="AU28" s="12"/>
      <c r="AV28" s="12"/>
    </row>
    <row r="29" spans="1:53" ht="15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</row>
    <row r="30" spans="1:53" ht="15" x14ac:dyDescent="0.25">
      <c r="A30" s="9" t="s">
        <v>154</v>
      </c>
      <c r="B30" s="13">
        <f>'Test Number'!B10+'Test Number'!B9+'Test Number'!B8+'Test Number'!B7</f>
        <v>1651</v>
      </c>
      <c r="C30" s="205">
        <f>'Test Number'!C10+'Test Number'!C9+'Test Number'!C8+'Test Number'!C7</f>
        <v>0</v>
      </c>
      <c r="D30" s="13">
        <f>'Test Number'!D10+'Test Number'!D9+'Test Number'!D8+'Test Number'!D7</f>
        <v>1012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>
        <f>'Test Number'!S10+'Test Number'!S9+'Test Number'!S8+'Test Number'!S7</f>
        <v>6578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205">
        <f>'Test Number'!AF10+'Test Number'!AF9+'Test Number'!AF8+'Test Number'!AF7</f>
        <v>0</v>
      </c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>
        <f>'Test Number'!AS10+'Test Number'!AS9+'Test Number'!AS8+'Test Number'!AS7</f>
        <v>3426</v>
      </c>
      <c r="AV30" s="59"/>
    </row>
    <row r="31" spans="1:53" ht="15" x14ac:dyDescent="0.25">
      <c r="A31" s="9" t="s">
        <v>155</v>
      </c>
      <c r="B31" s="13">
        <f>'Test Number'!B11</f>
        <v>2332</v>
      </c>
      <c r="C31" s="205">
        <f>'Test Number'!C11</f>
        <v>0</v>
      </c>
      <c r="D31" s="13">
        <f>'Test Number'!D11</f>
        <v>2781</v>
      </c>
      <c r="E31" s="14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>
        <f>'Test Number'!S11</f>
        <v>11131</v>
      </c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G31" s="60"/>
      <c r="AH31" s="205">
        <f>'Test Number'!AF11</f>
        <v>0</v>
      </c>
      <c r="AI31" s="205"/>
      <c r="AJ31" s="205"/>
      <c r="AK31" s="205"/>
      <c r="AL31" s="205"/>
      <c r="AM31" s="205"/>
      <c r="AN31" s="205"/>
      <c r="AO31" s="205"/>
      <c r="AP31" s="205"/>
      <c r="AQ31" s="205"/>
      <c r="AR31" s="205"/>
      <c r="AS31" s="205"/>
      <c r="AT31" s="205"/>
      <c r="AU31" s="205">
        <f>'Test Number'!AS11</f>
        <v>8845</v>
      </c>
      <c r="AV31" s="14"/>
    </row>
    <row r="32" spans="1:53" ht="15" x14ac:dyDescent="0.25">
      <c r="A32" s="9" t="s">
        <v>156</v>
      </c>
      <c r="B32" s="9">
        <f>B31+B30</f>
        <v>3983</v>
      </c>
      <c r="C32" s="9">
        <f t="shared" ref="C32:D32" si="0">C31+C30</f>
        <v>0</v>
      </c>
      <c r="D32" s="9">
        <f t="shared" si="0"/>
        <v>3793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>
        <f>S31+S30</f>
        <v>17709</v>
      </c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206">
        <f t="shared" ref="AH32:AU32" si="1">AH31+AH30</f>
        <v>0</v>
      </c>
      <c r="AI32" s="206"/>
      <c r="AJ32" s="206"/>
      <c r="AK32" s="206"/>
      <c r="AL32" s="206"/>
      <c r="AM32" s="206"/>
      <c r="AN32" s="206"/>
      <c r="AO32" s="206"/>
      <c r="AP32" s="206"/>
      <c r="AQ32" s="206"/>
      <c r="AR32" s="206"/>
      <c r="AS32" s="206"/>
      <c r="AT32" s="206"/>
      <c r="AU32" s="206">
        <f t="shared" si="1"/>
        <v>12271</v>
      </c>
      <c r="AV32" s="11"/>
    </row>
    <row r="33" spans="1:48" ht="15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</row>
    <row r="34" spans="1:48" ht="15" x14ac:dyDescent="0.25">
      <c r="A34" s="9" t="s">
        <v>157</v>
      </c>
      <c r="B34" s="15">
        <f>B25/B30</f>
        <v>0</v>
      </c>
      <c r="C34" s="15" t="e">
        <f t="shared" ref="C34:D35" si="2">C25/C30</f>
        <v>#DIV/0!</v>
      </c>
      <c r="D34" s="15">
        <f>D25/D30</f>
        <v>0</v>
      </c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15">
        <f>S25/S30</f>
        <v>0</v>
      </c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 t="e">
        <f>AH25/AH30</f>
        <v>#DIV/0!</v>
      </c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>
        <f>AU25/AU30</f>
        <v>0</v>
      </c>
      <c r="AV34" s="9"/>
    </row>
    <row r="35" spans="1:48" ht="15" x14ac:dyDescent="0.25">
      <c r="A35" s="9" t="s">
        <v>158</v>
      </c>
      <c r="B35" s="15">
        <f>B26/B31</f>
        <v>0</v>
      </c>
      <c r="C35" s="15" t="e">
        <f t="shared" si="2"/>
        <v>#DIV/0!</v>
      </c>
      <c r="D35" s="15">
        <f t="shared" si="2"/>
        <v>0</v>
      </c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15">
        <f>S26/S31</f>
        <v>0</v>
      </c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 t="e">
        <f t="shared" ref="AH35" si="3">AH26/AH31</f>
        <v>#DIV/0!</v>
      </c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>
        <f>AU26/AU31</f>
        <v>0</v>
      </c>
      <c r="AV35" s="11"/>
    </row>
    <row r="36" spans="1:48" ht="15" x14ac:dyDescent="0.25">
      <c r="A36" s="9" t="s">
        <v>159</v>
      </c>
      <c r="B36" s="15">
        <f>(B25+B26)/B32</f>
        <v>0</v>
      </c>
      <c r="C36" s="15" t="e">
        <f t="shared" ref="C36:D36" si="4">(C25+C26)/C32</f>
        <v>#DIV/0!</v>
      </c>
      <c r="D36" s="15">
        <f t="shared" si="4"/>
        <v>0</v>
      </c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15">
        <f>(S25+S26)/S32</f>
        <v>0</v>
      </c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 t="e">
        <f t="shared" ref="AH36:AU36" si="5">(AH25+AH26)/AH32</f>
        <v>#DIV/0!</v>
      </c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>
        <f t="shared" si="5"/>
        <v>0</v>
      </c>
      <c r="AV36" s="11"/>
    </row>
    <row r="37" spans="1:48" x14ac:dyDescent="0.2">
      <c r="R37" t="s">
        <v>484</v>
      </c>
      <c r="S37" t="s">
        <v>485</v>
      </c>
      <c r="AF37" s="365" t="s">
        <v>486</v>
      </c>
      <c r="AG37" s="365" t="s">
        <v>487</v>
      </c>
    </row>
    <row r="38" spans="1:48" x14ac:dyDescent="0.2">
      <c r="G38" s="495">
        <v>23</v>
      </c>
      <c r="H38" s="495">
        <v>21</v>
      </c>
      <c r="I38" s="492">
        <v>22</v>
      </c>
      <c r="J38" s="492">
        <v>23</v>
      </c>
      <c r="K38" s="492">
        <v>20</v>
      </c>
      <c r="L38" s="492">
        <v>22</v>
      </c>
      <c r="M38" s="196">
        <v>22</v>
      </c>
      <c r="N38" s="492">
        <v>21</v>
      </c>
      <c r="P38" t="s">
        <v>315</v>
      </c>
      <c r="Q38" t="s">
        <v>483</v>
      </c>
      <c r="R38" s="196">
        <v>21</v>
      </c>
      <c r="S38">
        <v>23</v>
      </c>
      <c r="AF38" s="365">
        <v>21</v>
      </c>
      <c r="AG38" s="365">
        <v>21.5</v>
      </c>
      <c r="AI38" t="s">
        <v>490</v>
      </c>
      <c r="AJ38" t="s">
        <v>491</v>
      </c>
      <c r="AK38" t="s">
        <v>492</v>
      </c>
    </row>
    <row r="40" spans="1:48" x14ac:dyDescent="0.2">
      <c r="F40" t="s">
        <v>481</v>
      </c>
      <c r="G40" s="505">
        <f>+G20/G38</f>
        <v>-754.42173913043484</v>
      </c>
      <c r="H40" s="505">
        <f t="shared" ref="H40:N40" si="6">+H20/H38</f>
        <v>-826.2714285714286</v>
      </c>
      <c r="I40" s="505">
        <f t="shared" si="6"/>
        <v>-788.7136363636364</v>
      </c>
      <c r="J40" s="505">
        <f t="shared" si="6"/>
        <v>-660.9434782608696</v>
      </c>
      <c r="K40" s="505">
        <f t="shared" si="6"/>
        <v>0</v>
      </c>
      <c r="L40" s="505">
        <f t="shared" si="6"/>
        <v>0</v>
      </c>
      <c r="M40" s="505">
        <f t="shared" si="6"/>
        <v>0</v>
      </c>
      <c r="N40" s="505">
        <f t="shared" si="6"/>
        <v>0</v>
      </c>
      <c r="P40" s="507">
        <f>SUM(G40:N40)/8</f>
        <v>-378.79378529079617</v>
      </c>
      <c r="Q40" s="505">
        <f>+(M40+N40)/2</f>
        <v>0</v>
      </c>
      <c r="R40" s="505">
        <f>+R$38*$P40</f>
        <v>-7954.6694911067198</v>
      </c>
      <c r="S40" s="505">
        <f t="shared" ref="S40:AG40" si="7">+S$38*$P40</f>
        <v>-8712.2570616883113</v>
      </c>
      <c r="T40" s="505">
        <f t="shared" si="7"/>
        <v>0</v>
      </c>
      <c r="U40" s="505">
        <f t="shared" si="7"/>
        <v>0</v>
      </c>
      <c r="V40" s="505">
        <f t="shared" si="7"/>
        <v>0</v>
      </c>
      <c r="W40" s="505">
        <f t="shared" si="7"/>
        <v>0</v>
      </c>
      <c r="X40" s="505">
        <f t="shared" si="7"/>
        <v>0</v>
      </c>
      <c r="Y40" s="505">
        <f t="shared" si="7"/>
        <v>0</v>
      </c>
      <c r="Z40" s="505">
        <f t="shared" si="7"/>
        <v>0</v>
      </c>
      <c r="AA40" s="505">
        <f t="shared" si="7"/>
        <v>0</v>
      </c>
      <c r="AB40" s="505">
        <f t="shared" si="7"/>
        <v>0</v>
      </c>
      <c r="AC40" s="505">
        <f t="shared" si="7"/>
        <v>0</v>
      </c>
      <c r="AD40" s="505">
        <f t="shared" si="7"/>
        <v>0</v>
      </c>
      <c r="AE40" s="505">
        <f t="shared" si="7"/>
        <v>0</v>
      </c>
      <c r="AF40" s="505">
        <f t="shared" si="7"/>
        <v>-7954.6694911067198</v>
      </c>
      <c r="AG40" s="505">
        <f t="shared" si="7"/>
        <v>-8144.0663837521179</v>
      </c>
    </row>
    <row r="41" spans="1:48" x14ac:dyDescent="0.2">
      <c r="F41" t="s">
        <v>290</v>
      </c>
      <c r="G41" s="505">
        <f>+(G18+G19)/G38</f>
        <v>-43.260869565217391</v>
      </c>
      <c r="H41" s="505">
        <f t="shared" ref="H41:N41" si="8">+(H18+H19)/H38</f>
        <v>-75.595238095238102</v>
      </c>
      <c r="I41" s="505">
        <f t="shared" si="8"/>
        <v>-66.98863636363636</v>
      </c>
      <c r="J41" s="505">
        <f t="shared" si="8"/>
        <v>-70.652173913043484</v>
      </c>
      <c r="K41" s="505">
        <f t="shared" si="8"/>
        <v>0</v>
      </c>
      <c r="L41" s="505">
        <f t="shared" si="8"/>
        <v>0</v>
      </c>
      <c r="M41" s="505">
        <f t="shared" si="8"/>
        <v>0</v>
      </c>
      <c r="N41" s="505">
        <f t="shared" si="8"/>
        <v>0</v>
      </c>
      <c r="P41" s="505">
        <f t="shared" ref="P41:P46" si="9">SUM(G41:N41)/8</f>
        <v>-32.062114742141915</v>
      </c>
      <c r="Q41" s="507">
        <f t="shared" ref="Q41:Q46" si="10">+(M41+N41)/2</f>
        <v>0</v>
      </c>
      <c r="R41" s="505">
        <f>+R$38*$Q41</f>
        <v>0</v>
      </c>
      <c r="S41" s="505">
        <f t="shared" ref="S41:AG42" si="11">+S$38*$Q41</f>
        <v>0</v>
      </c>
      <c r="T41" s="505">
        <f t="shared" si="11"/>
        <v>0</v>
      </c>
      <c r="U41" s="505">
        <f t="shared" si="11"/>
        <v>0</v>
      </c>
      <c r="V41" s="505">
        <f t="shared" si="11"/>
        <v>0</v>
      </c>
      <c r="W41" s="505">
        <f t="shared" si="11"/>
        <v>0</v>
      </c>
      <c r="X41" s="505">
        <f t="shared" si="11"/>
        <v>0</v>
      </c>
      <c r="Y41" s="505">
        <f t="shared" si="11"/>
        <v>0</v>
      </c>
      <c r="Z41" s="505">
        <f t="shared" si="11"/>
        <v>0</v>
      </c>
      <c r="AA41" s="505">
        <f t="shared" si="11"/>
        <v>0</v>
      </c>
      <c r="AB41" s="505">
        <f t="shared" si="11"/>
        <v>0</v>
      </c>
      <c r="AC41" s="505">
        <f t="shared" si="11"/>
        <v>0</v>
      </c>
      <c r="AD41" s="505">
        <f t="shared" si="11"/>
        <v>0</v>
      </c>
      <c r="AE41" s="505">
        <f t="shared" si="11"/>
        <v>0</v>
      </c>
      <c r="AF41" s="505">
        <f t="shared" si="11"/>
        <v>0</v>
      </c>
      <c r="AG41" s="505">
        <f t="shared" si="11"/>
        <v>0</v>
      </c>
    </row>
    <row r="42" spans="1:48" x14ac:dyDescent="0.2">
      <c r="B42" s="22"/>
      <c r="F42" t="s">
        <v>427</v>
      </c>
      <c r="G42" s="505">
        <f>+G17/G38</f>
        <v>-9979.2226086956525</v>
      </c>
      <c r="H42" s="505">
        <f t="shared" ref="H42:N42" si="12">+H17/H38</f>
        <v>-14484.901428571427</v>
      </c>
      <c r="I42" s="505">
        <f t="shared" si="12"/>
        <v>-12546.816363636364</v>
      </c>
      <c r="J42" s="505">
        <f t="shared" si="12"/>
        <v>-12548.408260869566</v>
      </c>
      <c r="K42" s="505">
        <f t="shared" si="12"/>
        <v>1274.7249999999999</v>
      </c>
      <c r="L42" s="505">
        <f t="shared" si="12"/>
        <v>0</v>
      </c>
      <c r="M42" s="505">
        <f t="shared" si="12"/>
        <v>0</v>
      </c>
      <c r="N42" s="505">
        <f t="shared" si="12"/>
        <v>0</v>
      </c>
      <c r="P42" s="505">
        <f t="shared" si="9"/>
        <v>-6035.5779577216272</v>
      </c>
      <c r="Q42" s="507">
        <f t="shared" si="10"/>
        <v>0</v>
      </c>
      <c r="R42" s="505">
        <f>+R$38*$Q42</f>
        <v>0</v>
      </c>
      <c r="S42" s="505">
        <f t="shared" si="11"/>
        <v>0</v>
      </c>
      <c r="T42" s="505">
        <f t="shared" si="11"/>
        <v>0</v>
      </c>
      <c r="U42" s="505">
        <f t="shared" si="11"/>
        <v>0</v>
      </c>
      <c r="V42" s="505">
        <f t="shared" si="11"/>
        <v>0</v>
      </c>
      <c r="W42" s="505">
        <f t="shared" si="11"/>
        <v>0</v>
      </c>
      <c r="X42" s="505">
        <f t="shared" si="11"/>
        <v>0</v>
      </c>
      <c r="Y42" s="505">
        <f t="shared" si="11"/>
        <v>0</v>
      </c>
      <c r="Z42" s="505">
        <f t="shared" si="11"/>
        <v>0</v>
      </c>
      <c r="AA42" s="505">
        <f t="shared" si="11"/>
        <v>0</v>
      </c>
      <c r="AB42" s="505">
        <f t="shared" si="11"/>
        <v>0</v>
      </c>
      <c r="AC42" s="505">
        <f t="shared" si="11"/>
        <v>0</v>
      </c>
      <c r="AD42" s="505">
        <f t="shared" si="11"/>
        <v>0</v>
      </c>
      <c r="AE42" s="505">
        <f t="shared" si="11"/>
        <v>0</v>
      </c>
      <c r="AF42" s="505">
        <f t="shared" si="11"/>
        <v>0</v>
      </c>
      <c r="AG42" s="505">
        <f t="shared" si="11"/>
        <v>0</v>
      </c>
    </row>
    <row r="43" spans="1:48" x14ac:dyDescent="0.2">
      <c r="B43" s="57"/>
      <c r="F43" t="s">
        <v>276</v>
      </c>
      <c r="G43" s="505">
        <f>+(G16+G15+G9+G8+G7+G6+G5+G4)/G38</f>
        <v>-9890.4465217391316</v>
      </c>
      <c r="H43" s="505">
        <f t="shared" ref="H43:N43" si="13">+(H16+H15+H9+H8+H7+H6+H5+H4)/H38</f>
        <v>-13485.33476190476</v>
      </c>
      <c r="I43" s="505">
        <f t="shared" si="13"/>
        <v>-9989.6109090909067</v>
      </c>
      <c r="J43" s="505">
        <f t="shared" si="13"/>
        <v>-9724.8256521739131</v>
      </c>
      <c r="K43" s="505">
        <f t="shared" si="13"/>
        <v>-1267.0104999999999</v>
      </c>
      <c r="L43" s="505">
        <f t="shared" si="13"/>
        <v>0</v>
      </c>
      <c r="M43" s="505">
        <f t="shared" si="13"/>
        <v>0</v>
      </c>
      <c r="N43" s="505">
        <f t="shared" si="13"/>
        <v>0</v>
      </c>
      <c r="P43" s="507">
        <f t="shared" si="9"/>
        <v>-5544.6535431135881</v>
      </c>
      <c r="Q43" s="505">
        <f t="shared" si="10"/>
        <v>0</v>
      </c>
      <c r="R43" s="505">
        <f>+R$38*$P43</f>
        <v>-116437.72440538535</v>
      </c>
      <c r="S43" s="505">
        <f t="shared" ref="S43:AG43" si="14">+S$38*$P43</f>
        <v>-127527.03149161252</v>
      </c>
      <c r="T43" s="505">
        <f t="shared" si="14"/>
        <v>0</v>
      </c>
      <c r="U43" s="505">
        <f t="shared" si="14"/>
        <v>0</v>
      </c>
      <c r="V43" s="505">
        <f t="shared" si="14"/>
        <v>0</v>
      </c>
      <c r="W43" s="505">
        <f t="shared" si="14"/>
        <v>0</v>
      </c>
      <c r="X43" s="505">
        <f t="shared" si="14"/>
        <v>0</v>
      </c>
      <c r="Y43" s="505">
        <f t="shared" si="14"/>
        <v>0</v>
      </c>
      <c r="Z43" s="505">
        <f t="shared" si="14"/>
        <v>0</v>
      </c>
      <c r="AA43" s="505">
        <f t="shared" si="14"/>
        <v>0</v>
      </c>
      <c r="AB43" s="505">
        <f t="shared" si="14"/>
        <v>0</v>
      </c>
      <c r="AC43" s="505">
        <f t="shared" si="14"/>
        <v>0</v>
      </c>
      <c r="AD43" s="505">
        <f t="shared" si="14"/>
        <v>0</v>
      </c>
      <c r="AE43" s="505">
        <f t="shared" si="14"/>
        <v>0</v>
      </c>
      <c r="AF43" s="505">
        <f t="shared" si="14"/>
        <v>-116437.72440538535</v>
      </c>
      <c r="AG43" s="505">
        <f t="shared" si="14"/>
        <v>-119210.05117694214</v>
      </c>
    </row>
    <row r="44" spans="1:48" x14ac:dyDescent="0.2">
      <c r="F44" t="s">
        <v>280</v>
      </c>
      <c r="G44" s="505">
        <f>+(G2+G3)/G38</f>
        <v>-1048.4856521739132</v>
      </c>
      <c r="H44" s="505">
        <f t="shared" ref="H44:N44" si="15">+(H2+H3)/H38</f>
        <v>-1020.0261904761904</v>
      </c>
      <c r="I44" s="505">
        <f t="shared" si="15"/>
        <v>-996.33772727272731</v>
      </c>
      <c r="J44" s="505">
        <f t="shared" si="15"/>
        <v>-837.93130434782597</v>
      </c>
      <c r="K44" s="505">
        <f t="shared" si="15"/>
        <v>-134.96699999999998</v>
      </c>
      <c r="L44" s="505">
        <f t="shared" si="15"/>
        <v>0</v>
      </c>
      <c r="M44" s="505">
        <f t="shared" si="15"/>
        <v>0</v>
      </c>
      <c r="N44" s="505">
        <f t="shared" si="15"/>
        <v>0</v>
      </c>
      <c r="P44" s="505">
        <f t="shared" si="9"/>
        <v>-504.71848428383208</v>
      </c>
      <c r="Q44" s="507">
        <f t="shared" si="10"/>
        <v>0</v>
      </c>
      <c r="R44" s="505">
        <f>+R$38*$Q44</f>
        <v>0</v>
      </c>
      <c r="S44" s="505">
        <f t="shared" ref="S44:AG46" si="16">+S$38*$Q44</f>
        <v>0</v>
      </c>
      <c r="T44" s="505">
        <f t="shared" si="16"/>
        <v>0</v>
      </c>
      <c r="U44" s="505">
        <f t="shared" si="16"/>
        <v>0</v>
      </c>
      <c r="V44" s="505">
        <f t="shared" si="16"/>
        <v>0</v>
      </c>
      <c r="W44" s="505">
        <f t="shared" si="16"/>
        <v>0</v>
      </c>
      <c r="X44" s="505">
        <f t="shared" si="16"/>
        <v>0</v>
      </c>
      <c r="Y44" s="505">
        <f t="shared" si="16"/>
        <v>0</v>
      </c>
      <c r="Z44" s="505">
        <f t="shared" si="16"/>
        <v>0</v>
      </c>
      <c r="AA44" s="505">
        <f t="shared" si="16"/>
        <v>0</v>
      </c>
      <c r="AB44" s="505">
        <f t="shared" si="16"/>
        <v>0</v>
      </c>
      <c r="AC44" s="505">
        <f t="shared" si="16"/>
        <v>0</v>
      </c>
      <c r="AD44" s="505">
        <f t="shared" si="16"/>
        <v>0</v>
      </c>
      <c r="AE44" s="505">
        <f t="shared" si="16"/>
        <v>0</v>
      </c>
      <c r="AF44" s="505">
        <f t="shared" si="16"/>
        <v>0</v>
      </c>
      <c r="AG44" s="505">
        <f t="shared" si="16"/>
        <v>0</v>
      </c>
    </row>
    <row r="45" spans="1:48" x14ac:dyDescent="0.2">
      <c r="F45" t="s">
        <v>287</v>
      </c>
      <c r="G45" s="505">
        <f>+(G11+G12+G13+G14)/G38</f>
        <v>-66929.142173913046</v>
      </c>
      <c r="H45" s="505">
        <f t="shared" ref="H45:N45" si="17">+(H11+H12+H13+H14)/H38</f>
        <v>-65292.375714285707</v>
      </c>
      <c r="I45" s="505">
        <f t="shared" si="17"/>
        <v>-63620.481363636354</v>
      </c>
      <c r="J45" s="505">
        <f t="shared" si="17"/>
        <v>-54108.085652173912</v>
      </c>
      <c r="K45" s="505">
        <f t="shared" si="17"/>
        <v>-11184.772999999999</v>
      </c>
      <c r="L45" s="505">
        <f t="shared" si="17"/>
        <v>0</v>
      </c>
      <c r="M45" s="505">
        <f t="shared" si="17"/>
        <v>0</v>
      </c>
      <c r="N45" s="505">
        <f t="shared" si="17"/>
        <v>0</v>
      </c>
      <c r="P45" s="505">
        <f t="shared" si="9"/>
        <v>-32641.857238001125</v>
      </c>
      <c r="Q45" s="507">
        <f t="shared" si="10"/>
        <v>0</v>
      </c>
      <c r="R45" s="505">
        <f>+R$38*$Q45</f>
        <v>0</v>
      </c>
      <c r="S45" s="505">
        <f t="shared" si="16"/>
        <v>0</v>
      </c>
      <c r="T45" s="505">
        <f t="shared" si="16"/>
        <v>0</v>
      </c>
      <c r="U45" s="505">
        <f t="shared" si="16"/>
        <v>0</v>
      </c>
      <c r="V45" s="505">
        <f t="shared" si="16"/>
        <v>0</v>
      </c>
      <c r="W45" s="505">
        <f t="shared" si="16"/>
        <v>0</v>
      </c>
      <c r="X45" s="505">
        <f t="shared" si="16"/>
        <v>0</v>
      </c>
      <c r="Y45" s="505">
        <f t="shared" si="16"/>
        <v>0</v>
      </c>
      <c r="Z45" s="505">
        <f t="shared" si="16"/>
        <v>0</v>
      </c>
      <c r="AA45" s="505">
        <f t="shared" si="16"/>
        <v>0</v>
      </c>
      <c r="AB45" s="505">
        <f t="shared" si="16"/>
        <v>0</v>
      </c>
      <c r="AC45" s="505">
        <f t="shared" si="16"/>
        <v>0</v>
      </c>
      <c r="AD45" s="505">
        <f t="shared" si="16"/>
        <v>0</v>
      </c>
      <c r="AE45" s="505">
        <f t="shared" si="16"/>
        <v>0</v>
      </c>
      <c r="AF45" s="505">
        <f t="shared" si="16"/>
        <v>0</v>
      </c>
      <c r="AG45" s="505">
        <f t="shared" si="16"/>
        <v>0</v>
      </c>
    </row>
    <row r="46" spans="1:48" x14ac:dyDescent="0.2">
      <c r="F46" t="s">
        <v>482</v>
      </c>
      <c r="G46" s="505">
        <f>+G10/G38</f>
        <v>-941.82565217391311</v>
      </c>
      <c r="H46" s="505">
        <f t="shared" ref="H46:N46" si="18">+H10/H38</f>
        <v>-2177.3923809523808</v>
      </c>
      <c r="I46" s="505">
        <f t="shared" si="18"/>
        <v>-929.40818181818179</v>
      </c>
      <c r="J46" s="505">
        <f t="shared" si="18"/>
        <v>-2060.1647826086955</v>
      </c>
      <c r="K46" s="505">
        <f t="shared" si="18"/>
        <v>58.339999999999996</v>
      </c>
      <c r="L46" s="505">
        <f t="shared" si="18"/>
        <v>0</v>
      </c>
      <c r="M46" s="505">
        <f t="shared" si="18"/>
        <v>0</v>
      </c>
      <c r="N46" s="505">
        <f t="shared" si="18"/>
        <v>0</v>
      </c>
      <c r="P46" s="505">
        <f t="shared" si="9"/>
        <v>-756.30637469414637</v>
      </c>
      <c r="Q46" s="507">
        <f t="shared" si="10"/>
        <v>0</v>
      </c>
      <c r="R46" s="505">
        <f>+R$38*$Q46</f>
        <v>0</v>
      </c>
      <c r="S46" s="505">
        <f t="shared" si="16"/>
        <v>0</v>
      </c>
      <c r="T46" s="505">
        <f t="shared" si="16"/>
        <v>0</v>
      </c>
      <c r="U46" s="505">
        <f t="shared" si="16"/>
        <v>0</v>
      </c>
      <c r="V46" s="505">
        <f t="shared" si="16"/>
        <v>0</v>
      </c>
      <c r="W46" s="505">
        <f t="shared" si="16"/>
        <v>0</v>
      </c>
      <c r="X46" s="505">
        <f t="shared" si="16"/>
        <v>0</v>
      </c>
      <c r="Y46" s="505">
        <f t="shared" si="16"/>
        <v>0</v>
      </c>
      <c r="Z46" s="505">
        <f t="shared" si="16"/>
        <v>0</v>
      </c>
      <c r="AA46" s="505">
        <f t="shared" si="16"/>
        <v>0</v>
      </c>
      <c r="AB46" s="505">
        <f t="shared" si="16"/>
        <v>0</v>
      </c>
      <c r="AC46" s="505">
        <f t="shared" si="16"/>
        <v>0</v>
      </c>
      <c r="AD46" s="505">
        <f t="shared" si="16"/>
        <v>0</v>
      </c>
      <c r="AE46" s="505">
        <f t="shared" si="16"/>
        <v>0</v>
      </c>
      <c r="AF46" s="505">
        <f t="shared" si="16"/>
        <v>0</v>
      </c>
      <c r="AG46" s="505">
        <f t="shared" si="16"/>
        <v>0</v>
      </c>
    </row>
    <row r="47" spans="1:48" x14ac:dyDescent="0.2">
      <c r="G47" s="505"/>
      <c r="R47" s="508" t="str">
        <f>+R37</f>
        <v>June</v>
      </c>
      <c r="S47" s="508" t="str">
        <f t="shared" ref="S47:AG47" si="19">+S37</f>
        <v>July</v>
      </c>
      <c r="T47" s="508">
        <f t="shared" si="19"/>
        <v>0</v>
      </c>
      <c r="U47" s="508">
        <f t="shared" si="19"/>
        <v>0</v>
      </c>
      <c r="V47" s="508">
        <f t="shared" si="19"/>
        <v>0</v>
      </c>
      <c r="W47" s="508">
        <f t="shared" si="19"/>
        <v>0</v>
      </c>
      <c r="X47" s="508">
        <f t="shared" si="19"/>
        <v>0</v>
      </c>
      <c r="Y47" s="508">
        <f t="shared" si="19"/>
        <v>0</v>
      </c>
      <c r="Z47" s="508">
        <f t="shared" si="19"/>
        <v>0</v>
      </c>
      <c r="AA47" s="508">
        <f t="shared" si="19"/>
        <v>0</v>
      </c>
      <c r="AB47" s="508">
        <f t="shared" si="19"/>
        <v>0</v>
      </c>
      <c r="AC47" s="508">
        <f t="shared" si="19"/>
        <v>0</v>
      </c>
      <c r="AD47" s="508">
        <f t="shared" si="19"/>
        <v>0</v>
      </c>
      <c r="AE47" s="508">
        <f t="shared" si="19"/>
        <v>0</v>
      </c>
      <c r="AF47" s="508" t="str">
        <f t="shared" si="19"/>
        <v>August</v>
      </c>
      <c r="AG47" s="508" t="str">
        <f t="shared" si="19"/>
        <v>Sept</v>
      </c>
    </row>
    <row r="48" spans="1:48" x14ac:dyDescent="0.2">
      <c r="Q48" t="s">
        <v>489</v>
      </c>
      <c r="R48" s="505">
        <f>SUM(R40:R47)</f>
        <v>-124392.39389649207</v>
      </c>
      <c r="S48" s="505">
        <f t="shared" ref="S48:AG48" si="20">SUM(S40:S47)</f>
        <v>-136239.28855330084</v>
      </c>
      <c r="T48" s="505">
        <f t="shared" si="20"/>
        <v>0</v>
      </c>
      <c r="U48" s="505">
        <f t="shared" si="20"/>
        <v>0</v>
      </c>
      <c r="V48" s="505">
        <f t="shared" si="20"/>
        <v>0</v>
      </c>
      <c r="W48" s="505">
        <f t="shared" si="20"/>
        <v>0</v>
      </c>
      <c r="X48" s="505">
        <f t="shared" si="20"/>
        <v>0</v>
      </c>
      <c r="Y48" s="505">
        <f t="shared" si="20"/>
        <v>0</v>
      </c>
      <c r="Z48" s="505">
        <f t="shared" si="20"/>
        <v>0</v>
      </c>
      <c r="AA48" s="505">
        <f t="shared" si="20"/>
        <v>0</v>
      </c>
      <c r="AB48" s="505">
        <f t="shared" si="20"/>
        <v>0</v>
      </c>
      <c r="AC48" s="505">
        <f t="shared" si="20"/>
        <v>0</v>
      </c>
      <c r="AD48" s="505">
        <f t="shared" si="20"/>
        <v>0</v>
      </c>
      <c r="AE48" s="505">
        <f t="shared" si="20"/>
        <v>0</v>
      </c>
      <c r="AF48" s="505">
        <f t="shared" si="20"/>
        <v>-124392.39389649207</v>
      </c>
      <c r="AG48" s="505">
        <f t="shared" si="20"/>
        <v>-127354.11756069426</v>
      </c>
    </row>
    <row r="49" spans="6:36" x14ac:dyDescent="0.2">
      <c r="G49" s="26">
        <f>+G21</f>
        <v>-2060496.52</v>
      </c>
      <c r="H49" s="26">
        <f t="shared" ref="H49:N49" si="21">+H21</f>
        <v>-2044599.84</v>
      </c>
      <c r="I49" s="26">
        <f t="shared" si="21"/>
        <v>-1956643.85</v>
      </c>
      <c r="J49" s="26">
        <f t="shared" si="21"/>
        <v>-1840253.26</v>
      </c>
      <c r="K49" s="26">
        <f t="shared" si="21"/>
        <v>-225073.71</v>
      </c>
      <c r="L49" s="26">
        <f t="shared" si="21"/>
        <v>0</v>
      </c>
      <c r="M49" s="26">
        <f t="shared" si="21"/>
        <v>0</v>
      </c>
      <c r="N49" s="26">
        <f t="shared" si="21"/>
        <v>0</v>
      </c>
      <c r="O49" s="26">
        <f>+O21</f>
        <v>0</v>
      </c>
      <c r="Q49" t="s">
        <v>488</v>
      </c>
      <c r="R49" s="510">
        <v>-1469000</v>
      </c>
      <c r="S49" s="510">
        <v>-1852000</v>
      </c>
      <c r="T49" s="510"/>
      <c r="U49" s="510"/>
      <c r="V49" s="510"/>
      <c r="W49" s="510"/>
      <c r="X49" s="510"/>
      <c r="Y49" s="510"/>
      <c r="Z49" s="510"/>
      <c r="AA49" s="510"/>
      <c r="AB49" s="510"/>
      <c r="AC49" s="510"/>
      <c r="AD49" s="510"/>
      <c r="AE49" s="510"/>
      <c r="AF49" s="510">
        <v>-1996000</v>
      </c>
      <c r="AG49" s="510">
        <v>-1903000</v>
      </c>
    </row>
    <row r="50" spans="6:36" x14ac:dyDescent="0.2">
      <c r="Q50" t="s">
        <v>273</v>
      </c>
      <c r="R50" s="506">
        <f>+R49-R48</f>
        <v>-1344607.606103508</v>
      </c>
      <c r="S50" s="506">
        <f>+S49-S48</f>
        <v>-1715760.7114466992</v>
      </c>
      <c r="T50" s="506">
        <f t="shared" ref="T50:AG50" si="22">+T49-T48</f>
        <v>0</v>
      </c>
      <c r="U50" s="506">
        <f t="shared" si="22"/>
        <v>0</v>
      </c>
      <c r="V50" s="506">
        <f t="shared" si="22"/>
        <v>0</v>
      </c>
      <c r="W50" s="506">
        <f t="shared" si="22"/>
        <v>0</v>
      </c>
      <c r="X50" s="506">
        <f t="shared" si="22"/>
        <v>0</v>
      </c>
      <c r="Y50" s="506">
        <f t="shared" si="22"/>
        <v>0</v>
      </c>
      <c r="Z50" s="506">
        <f t="shared" si="22"/>
        <v>0</v>
      </c>
      <c r="AA50" s="506">
        <f t="shared" si="22"/>
        <v>0</v>
      </c>
      <c r="AB50" s="506">
        <f t="shared" si="22"/>
        <v>0</v>
      </c>
      <c r="AC50" s="506">
        <f t="shared" si="22"/>
        <v>0</v>
      </c>
      <c r="AD50" s="506">
        <f t="shared" si="22"/>
        <v>0</v>
      </c>
      <c r="AE50" s="506">
        <f t="shared" si="22"/>
        <v>0</v>
      </c>
      <c r="AF50" s="506">
        <f t="shared" si="22"/>
        <v>-1871607.606103508</v>
      </c>
      <c r="AG50" s="506">
        <f t="shared" si="22"/>
        <v>-1775645.8824393058</v>
      </c>
      <c r="AH50" s="509">
        <f>SUM(R50:AG50)</f>
        <v>-6707621.8060930213</v>
      </c>
    </row>
    <row r="51" spans="6:36" x14ac:dyDescent="0.2">
      <c r="F51" t="s">
        <v>504</v>
      </c>
      <c r="L51">
        <v>-26000</v>
      </c>
      <c r="M51">
        <v>-149000</v>
      </c>
      <c r="N51">
        <v>-15000</v>
      </c>
      <c r="O51">
        <v>-82000</v>
      </c>
    </row>
    <row r="52" spans="6:36" x14ac:dyDescent="0.2">
      <c r="S52" t="s">
        <v>493</v>
      </c>
    </row>
    <row r="53" spans="6:36" x14ac:dyDescent="0.2">
      <c r="F53" t="s">
        <v>505</v>
      </c>
      <c r="L53">
        <f>-74000-5000</f>
        <v>-79000</v>
      </c>
      <c r="M53">
        <f>-40000-11000</f>
        <v>-51000</v>
      </c>
      <c r="N53">
        <v>-70000</v>
      </c>
      <c r="O53">
        <v>-35000</v>
      </c>
      <c r="S53" t="s">
        <v>494</v>
      </c>
      <c r="AH53">
        <v>40</v>
      </c>
    </row>
    <row r="54" spans="6:36" s="365" customFormat="1" x14ac:dyDescent="0.2">
      <c r="S54" s="365" t="s">
        <v>502</v>
      </c>
    </row>
    <row r="55" spans="6:36" x14ac:dyDescent="0.2">
      <c r="L55">
        <f>+L51+L53</f>
        <v>-105000</v>
      </c>
      <c r="M55" s="365">
        <f>+M51+M53</f>
        <v>-200000</v>
      </c>
      <c r="N55" s="365">
        <f>+N51+N53</f>
        <v>-85000</v>
      </c>
      <c r="O55" s="365">
        <f>+O51+O53</f>
        <v>-117000</v>
      </c>
      <c r="S55" t="s">
        <v>495</v>
      </c>
      <c r="AH55">
        <v>150</v>
      </c>
    </row>
    <row r="56" spans="6:36" x14ac:dyDescent="0.2">
      <c r="S56" t="s">
        <v>280</v>
      </c>
      <c r="AH56">
        <v>-225</v>
      </c>
    </row>
    <row r="57" spans="6:36" x14ac:dyDescent="0.2">
      <c r="S57" t="s">
        <v>496</v>
      </c>
      <c r="AF57" s="365" t="s">
        <v>501</v>
      </c>
      <c r="AH57">
        <v>-30</v>
      </c>
    </row>
    <row r="58" spans="6:36" x14ac:dyDescent="0.2">
      <c r="S58" t="s">
        <v>497</v>
      </c>
      <c r="AH58">
        <v>-110</v>
      </c>
    </row>
    <row r="59" spans="6:36" x14ac:dyDescent="0.2">
      <c r="S59" t="s">
        <v>498</v>
      </c>
    </row>
    <row r="60" spans="6:36" x14ac:dyDescent="0.2">
      <c r="S60" t="s">
        <v>499</v>
      </c>
    </row>
    <row r="61" spans="6:36" x14ac:dyDescent="0.2">
      <c r="S61" t="s">
        <v>500</v>
      </c>
    </row>
    <row r="62" spans="6:36" x14ac:dyDescent="0.2">
      <c r="S62" t="s">
        <v>503</v>
      </c>
    </row>
    <row r="63" spans="6:36" x14ac:dyDescent="0.2">
      <c r="S63" t="s">
        <v>442</v>
      </c>
    </row>
    <row r="64" spans="6:36" x14ac:dyDescent="0.2">
      <c r="S64" s="442" t="s">
        <v>485</v>
      </c>
      <c r="T64" s="442"/>
      <c r="U64" s="442"/>
      <c r="V64" s="442"/>
      <c r="W64" s="442"/>
      <c r="X64" s="442"/>
      <c r="Y64" s="442"/>
      <c r="Z64" s="442"/>
      <c r="AA64" s="442"/>
      <c r="AB64" s="442"/>
      <c r="AC64" s="442"/>
      <c r="AD64" s="442"/>
      <c r="AE64" s="442"/>
      <c r="AF64" s="442" t="s">
        <v>486</v>
      </c>
      <c r="AG64" s="442" t="s">
        <v>506</v>
      </c>
      <c r="AH64" s="442" t="s">
        <v>507</v>
      </c>
      <c r="AI64" s="442" t="s">
        <v>508</v>
      </c>
      <c r="AJ64" s="442" t="s">
        <v>509</v>
      </c>
    </row>
    <row r="65" spans="1:47" x14ac:dyDescent="0.2">
      <c r="R65" t="s">
        <v>286</v>
      </c>
      <c r="S65" s="365">
        <v>-1700000</v>
      </c>
      <c r="T65" s="365">
        <v>-1725000</v>
      </c>
      <c r="U65" s="365"/>
      <c r="V65" s="365"/>
      <c r="W65" s="365"/>
      <c r="X65" s="365"/>
      <c r="Y65" s="365"/>
      <c r="Z65" s="365"/>
      <c r="AA65" s="365"/>
      <c r="AB65" s="365"/>
      <c r="AC65" s="365"/>
      <c r="AD65" s="365"/>
      <c r="AE65" s="365"/>
      <c r="AF65" s="365">
        <v>-1725000</v>
      </c>
      <c r="AG65" s="365">
        <v>-1750000</v>
      </c>
      <c r="AH65">
        <v>-1800000</v>
      </c>
      <c r="AI65">
        <v>-1750000</v>
      </c>
      <c r="AJ65">
        <v>-1775000</v>
      </c>
      <c r="AS65">
        <v>-1800000</v>
      </c>
      <c r="AT65">
        <v>-1750000</v>
      </c>
      <c r="AU65">
        <v>-1775000</v>
      </c>
    </row>
    <row r="67" spans="1:47" x14ac:dyDescent="0.2">
      <c r="S67" s="506">
        <f>+S65-S49</f>
        <v>152000</v>
      </c>
      <c r="AF67" s="506">
        <f>+AF65-AF49</f>
        <v>271000</v>
      </c>
      <c r="AG67" s="506">
        <f>+AG65-AG49</f>
        <v>153000</v>
      </c>
    </row>
    <row r="69" spans="1:47" x14ac:dyDescent="0.2">
      <c r="S69">
        <v>-13000</v>
      </c>
      <c r="AF69" s="365">
        <v>69000</v>
      </c>
      <c r="AG69" s="365">
        <v>34000</v>
      </c>
    </row>
    <row r="71" spans="1:47" x14ac:dyDescent="0.2">
      <c r="R71" t="s">
        <v>424</v>
      </c>
      <c r="S71">
        <v>-75000</v>
      </c>
      <c r="AF71" s="365">
        <v>-70000</v>
      </c>
      <c r="AG71" s="365">
        <v>-65000</v>
      </c>
      <c r="AH71">
        <v>-55000</v>
      </c>
      <c r="AI71">
        <v>-65000</v>
      </c>
      <c r="AJ71">
        <v>-70000</v>
      </c>
    </row>
    <row r="73" spans="1:47" x14ac:dyDescent="0.2">
      <c r="S73" s="365">
        <f>+S71-S69</f>
        <v>-62000</v>
      </c>
      <c r="AF73" s="365">
        <f>+AF71-AF69</f>
        <v>-139000</v>
      </c>
      <c r="AG73" s="365">
        <f>+AG71-AG69</f>
        <v>-99000</v>
      </c>
    </row>
    <row r="76" spans="1:47" x14ac:dyDescent="0.2">
      <c r="A76" t="s">
        <v>611</v>
      </c>
      <c r="G76" s="26">
        <f>+G21-G18-G19</f>
        <v>-2059501.52</v>
      </c>
      <c r="H76" s="26">
        <f t="shared" ref="H76:M76" si="23">+H21-H18-H19</f>
        <v>-2043012.34</v>
      </c>
      <c r="I76" s="26">
        <f t="shared" si="23"/>
        <v>-1955170.1</v>
      </c>
      <c r="J76" s="26">
        <f t="shared" si="23"/>
        <v>-1838628.26</v>
      </c>
      <c r="K76" s="26">
        <f t="shared" si="23"/>
        <v>-225073.71</v>
      </c>
      <c r="L76" s="26">
        <f t="shared" si="23"/>
        <v>0</v>
      </c>
      <c r="M76" s="26">
        <f t="shared" si="23"/>
        <v>0</v>
      </c>
      <c r="S76" s="26">
        <f t="shared" ref="S76" si="24">+S21-S18-S19</f>
        <v>-7896312.2199999997</v>
      </c>
      <c r="AG76" s="26">
        <f t="shared" ref="AG76:AM76" si="25">+AG21-AG18-AG19</f>
        <v>-1856458.19</v>
      </c>
      <c r="AH76" s="26">
        <f t="shared" si="25"/>
        <v>-1979443.96</v>
      </c>
      <c r="AI76" s="26">
        <f t="shared" si="25"/>
        <v>-1760029.49</v>
      </c>
      <c r="AJ76" s="26">
        <f t="shared" si="25"/>
        <v>-1390493.78</v>
      </c>
      <c r="AK76" s="26">
        <f t="shared" si="25"/>
        <v>-1751457.87</v>
      </c>
      <c r="AL76" s="26">
        <f t="shared" si="25"/>
        <v>-1873621.53</v>
      </c>
      <c r="AM76" s="26">
        <f t="shared" si="25"/>
        <v>-1747900.89</v>
      </c>
      <c r="AS76" s="26">
        <f t="shared" ref="AS76" si="26">+AS21-AS18-AS19</f>
        <v>-6986425.4199999999</v>
      </c>
    </row>
    <row r="77" spans="1:47" x14ac:dyDescent="0.2">
      <c r="S77" s="365"/>
    </row>
    <row r="78" spans="1:47" x14ac:dyDescent="0.2">
      <c r="G78" s="26">
        <f>+G76-AG76</f>
        <v>-203043.33000000007</v>
      </c>
      <c r="H78" s="26">
        <f t="shared" ref="H78:M78" si="27">+H76-AH76</f>
        <v>-63568.380000000121</v>
      </c>
      <c r="I78" s="26">
        <f t="shared" si="27"/>
        <v>-195140.6100000001</v>
      </c>
      <c r="J78" s="26">
        <f t="shared" si="27"/>
        <v>-448134.48</v>
      </c>
      <c r="K78" s="26">
        <f t="shared" si="27"/>
        <v>1526384.1600000001</v>
      </c>
      <c r="L78" s="26">
        <f t="shared" si="27"/>
        <v>1873621.53</v>
      </c>
      <c r="M78" s="26">
        <f t="shared" si="27"/>
        <v>1747900.89</v>
      </c>
      <c r="S78" s="26">
        <f t="shared" ref="S78" si="28">+S76-AS76</f>
        <v>-909886.79999999981</v>
      </c>
      <c r="AG78" s="26"/>
    </row>
    <row r="79" spans="1:47" x14ac:dyDescent="0.2">
      <c r="H79" s="365"/>
      <c r="I79" s="365"/>
      <c r="J79" s="365"/>
      <c r="K79" s="365"/>
      <c r="L79" s="365"/>
      <c r="M79" s="365"/>
      <c r="S79" s="365"/>
    </row>
    <row r="80" spans="1:47" x14ac:dyDescent="0.2">
      <c r="G80" s="94">
        <f>+G78/AG76</f>
        <v>0.10937134544355134</v>
      </c>
      <c r="H80" s="94">
        <f t="shared" ref="H80:M80" si="29">+H78/AH76</f>
        <v>3.2114261017018197E-2</v>
      </c>
      <c r="I80" s="94">
        <f t="shared" si="29"/>
        <v>0.11087348883000825</v>
      </c>
      <c r="J80" s="94">
        <f t="shared" si="29"/>
        <v>0.3222844189925107</v>
      </c>
      <c r="K80" s="94">
        <f t="shared" si="29"/>
        <v>-0.87149350614982257</v>
      </c>
      <c r="L80" s="94">
        <f t="shared" si="29"/>
        <v>-1</v>
      </c>
      <c r="M80" s="94">
        <f t="shared" si="29"/>
        <v>-1</v>
      </c>
      <c r="S80" s="94">
        <f t="shared" ref="S80" si="30">+S78/AS76</f>
        <v>0.13023638632071732</v>
      </c>
      <c r="AG80" s="94"/>
    </row>
  </sheetData>
  <pageMargins left="0.74803149606299213" right="0.74803149606299213" top="0.98425196850393704" bottom="0.98425196850393704" header="0.51181102362204722" footer="0.51181102362204722"/>
  <pageSetup scale="78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pageSetUpPr fitToPage="1"/>
  </sheetPr>
  <dimension ref="A1:AU31"/>
  <sheetViews>
    <sheetView workbookViewId="0">
      <selection sqref="A1:AU31"/>
    </sheetView>
  </sheetViews>
  <sheetFormatPr defaultRowHeight="12.75" outlineLevelRow="1" outlineLevelCol="1" x14ac:dyDescent="0.2"/>
  <cols>
    <col min="1" max="1" width="40.5703125" bestFit="1" customWidth="1"/>
    <col min="2" max="4" width="11.5703125" bestFit="1" customWidth="1"/>
    <col min="5" max="5" width="14.42578125" bestFit="1" customWidth="1"/>
    <col min="6" max="6" width="15" bestFit="1" customWidth="1"/>
    <col min="7" max="18" width="11.5703125" hidden="1" customWidth="1" outlineLevel="1"/>
    <col min="19" max="19" width="17.5703125" bestFit="1" customWidth="1" collapsed="1"/>
    <col min="20" max="31" width="11.5703125" hidden="1" customWidth="1" outlineLevel="1"/>
    <col min="32" max="32" width="17.5703125" bestFit="1" customWidth="1" collapsed="1"/>
    <col min="33" max="44" width="11.5703125" hidden="1" customWidth="1" outlineLevel="1"/>
    <col min="45" max="45" width="14" bestFit="1" customWidth="1" collapsed="1"/>
    <col min="46" max="47" width="14.5703125" bestFit="1" customWidth="1"/>
  </cols>
  <sheetData>
    <row r="1" spans="1:47" ht="30.7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ht="12.75" customHeight="1" outlineLevel="1" x14ac:dyDescent="0.2">
      <c r="A2" s="95" t="s">
        <v>140</v>
      </c>
      <c r="B2" s="96">
        <v>-18876.419999999998</v>
      </c>
      <c r="C2" s="54">
        <v>0</v>
      </c>
      <c r="D2" s="56">
        <v>-25732.25</v>
      </c>
      <c r="E2" s="63"/>
      <c r="F2" s="64">
        <v>73.357051948430467</v>
      </c>
      <c r="G2" s="97">
        <v>-23224.29</v>
      </c>
      <c r="H2" s="56">
        <v>-20228.77</v>
      </c>
      <c r="I2" s="56">
        <v>-20902.13</v>
      </c>
      <c r="J2" s="56">
        <v>-18876.419999999998</v>
      </c>
      <c r="K2" s="56">
        <v>-2657.1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76">
        <v>-83231.61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98">
        <v>-17282.14</v>
      </c>
      <c r="AH2" s="98">
        <v>-26279.61</v>
      </c>
      <c r="AI2" s="98">
        <v>-22334.67</v>
      </c>
      <c r="AJ2" s="98">
        <v>-25732.25</v>
      </c>
      <c r="AK2" s="98">
        <v>-23514.080000000002</v>
      </c>
      <c r="AL2" s="98">
        <v>-31665.46</v>
      </c>
      <c r="AM2" s="98">
        <v>-27187.5</v>
      </c>
      <c r="AN2" s="98">
        <v>-30068.93</v>
      </c>
      <c r="AO2" s="98">
        <v>-25268.54</v>
      </c>
      <c r="AP2" s="98">
        <v>-16787.7</v>
      </c>
      <c r="AQ2" s="98">
        <v>-19268.23</v>
      </c>
      <c r="AR2" s="98">
        <v>-17270.169999999998</v>
      </c>
      <c r="AS2" s="99">
        <v>-91628.67</v>
      </c>
      <c r="AT2" s="63"/>
      <c r="AU2" s="63">
        <v>90.835772253378778</v>
      </c>
    </row>
    <row r="3" spans="1:47" ht="12.75" customHeight="1" outlineLevel="1" x14ac:dyDescent="0.2">
      <c r="A3" s="95" t="s">
        <v>141</v>
      </c>
      <c r="B3" s="96">
        <v>-396</v>
      </c>
      <c r="C3" s="54">
        <v>0</v>
      </c>
      <c r="D3" s="56">
        <v>-579.33000000000004</v>
      </c>
      <c r="E3" s="63"/>
      <c r="F3" s="64">
        <v>68.354823675625298</v>
      </c>
      <c r="G3" s="97">
        <v>-890.88</v>
      </c>
      <c r="H3" s="56">
        <v>-1191.78</v>
      </c>
      <c r="I3" s="56">
        <v>-1017.3</v>
      </c>
      <c r="J3" s="56">
        <v>-396</v>
      </c>
      <c r="K3" s="56">
        <v>-42.24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76">
        <v>-3495.96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98">
        <v>-483.72</v>
      </c>
      <c r="AH3" s="98">
        <v>-750.28</v>
      </c>
      <c r="AI3" s="98">
        <v>-697.44</v>
      </c>
      <c r="AJ3" s="98">
        <v>-579.33000000000004</v>
      </c>
      <c r="AK3" s="98">
        <v>-834.78</v>
      </c>
      <c r="AL3" s="98">
        <v>-670.04</v>
      </c>
      <c r="AM3" s="98">
        <v>-482.63</v>
      </c>
      <c r="AN3" s="98">
        <v>-606.91</v>
      </c>
      <c r="AO3" s="98">
        <v>-684.59</v>
      </c>
      <c r="AP3" s="98">
        <v>-536.13</v>
      </c>
      <c r="AQ3" s="98">
        <v>-925.76</v>
      </c>
      <c r="AR3" s="98">
        <v>-789.6</v>
      </c>
      <c r="AS3" s="99">
        <v>-2510.77</v>
      </c>
      <c r="AT3" s="63"/>
      <c r="AU3" s="63">
        <v>139.23856028230384</v>
      </c>
    </row>
    <row r="4" spans="1:47" ht="12.75" customHeight="1" outlineLevel="1" x14ac:dyDescent="0.2">
      <c r="A4" s="95" t="s">
        <v>142</v>
      </c>
      <c r="B4" s="96">
        <v>-16346.61</v>
      </c>
      <c r="C4" s="54">
        <v>0</v>
      </c>
      <c r="D4" s="56">
        <v>-19759.11</v>
      </c>
      <c r="E4" s="63"/>
      <c r="F4" s="64">
        <v>82.729485285521463</v>
      </c>
      <c r="G4" s="97">
        <v>-23377.39</v>
      </c>
      <c r="H4" s="56">
        <v>-19725</v>
      </c>
      <c r="I4" s="56">
        <v>-16947</v>
      </c>
      <c r="J4" s="56">
        <v>-16346.61</v>
      </c>
      <c r="K4" s="56">
        <v>-6873.88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76">
        <v>-76396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98">
        <v>-23711.94</v>
      </c>
      <c r="AH4" s="98">
        <v>-14110.09</v>
      </c>
      <c r="AI4" s="98">
        <v>-15598.29</v>
      </c>
      <c r="AJ4" s="98">
        <v>-19759.11</v>
      </c>
      <c r="AK4" s="98">
        <v>-15081.02</v>
      </c>
      <c r="AL4" s="98">
        <v>-22906.82</v>
      </c>
      <c r="AM4" s="98">
        <v>-12491.8</v>
      </c>
      <c r="AN4" s="98">
        <v>-21287.85</v>
      </c>
      <c r="AO4" s="98">
        <v>-13280.46</v>
      </c>
      <c r="AP4" s="98">
        <v>-19451.55</v>
      </c>
      <c r="AQ4" s="98">
        <v>-15951.71</v>
      </c>
      <c r="AR4" s="98">
        <v>-15910.73</v>
      </c>
      <c r="AS4" s="99">
        <v>-73179.429999999993</v>
      </c>
      <c r="AT4" s="63"/>
      <c r="AU4" s="63">
        <v>104.39545648278485</v>
      </c>
    </row>
    <row r="5" spans="1:47" ht="12.75" customHeight="1" outlineLevel="1" x14ac:dyDescent="0.2">
      <c r="A5" s="95" t="s">
        <v>143</v>
      </c>
      <c r="B5" s="96">
        <v>-28444.6</v>
      </c>
      <c r="C5" s="54">
        <v>0</v>
      </c>
      <c r="D5" s="56">
        <v>-19710.87</v>
      </c>
      <c r="E5" s="63"/>
      <c r="F5" s="64">
        <v>144.30920603707497</v>
      </c>
      <c r="G5" s="97">
        <v>-18579.14</v>
      </c>
      <c r="H5" s="56">
        <v>-16530.45</v>
      </c>
      <c r="I5" s="56">
        <v>-25900.21</v>
      </c>
      <c r="J5" s="56">
        <v>-28444.6</v>
      </c>
      <c r="K5" s="56">
        <v>-1954.89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76">
        <v>-89454.399999999994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98">
        <v>-20161.490000000002</v>
      </c>
      <c r="AH5" s="98">
        <v>-26363.64</v>
      </c>
      <c r="AI5" s="98">
        <v>-25586.27</v>
      </c>
      <c r="AJ5" s="98">
        <v>-19710.87</v>
      </c>
      <c r="AK5" s="98">
        <v>-32853.21</v>
      </c>
      <c r="AL5" s="98">
        <v>-35555.22</v>
      </c>
      <c r="AM5" s="98">
        <v>-28718.68</v>
      </c>
      <c r="AN5" s="98">
        <v>-40592.47</v>
      </c>
      <c r="AO5" s="98">
        <v>-26278.080000000002</v>
      </c>
      <c r="AP5" s="98">
        <v>-26004.82</v>
      </c>
      <c r="AQ5" s="98">
        <v>-29037.39</v>
      </c>
      <c r="AR5" s="98">
        <v>-17905.38</v>
      </c>
      <c r="AS5" s="99">
        <v>-91822.27</v>
      </c>
      <c r="AT5" s="63"/>
      <c r="AU5" s="63">
        <v>97.421246501529538</v>
      </c>
    </row>
    <row r="6" spans="1:47" ht="12.75" customHeight="1" outlineLevel="1" x14ac:dyDescent="0.2">
      <c r="A6" s="95" t="s">
        <v>144</v>
      </c>
      <c r="B6" s="96">
        <v>-12674.41</v>
      </c>
      <c r="C6" s="54">
        <v>0</v>
      </c>
      <c r="D6" s="56">
        <v>-10590.6</v>
      </c>
      <c r="E6" s="63"/>
      <c r="F6" s="64">
        <v>119.67603346363757</v>
      </c>
      <c r="G6" s="97">
        <v>-13046.96</v>
      </c>
      <c r="H6" s="56">
        <v>-7244.05</v>
      </c>
      <c r="I6" s="56">
        <v>-6853.77</v>
      </c>
      <c r="J6" s="56">
        <v>-12674.41</v>
      </c>
      <c r="K6" s="56">
        <v>-2783.78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76">
        <v>-39819.19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98">
        <v>-14234.81</v>
      </c>
      <c r="AH6" s="98">
        <v>-9040.52</v>
      </c>
      <c r="AI6" s="98">
        <v>-9459.82</v>
      </c>
      <c r="AJ6" s="98">
        <v>-10590.6</v>
      </c>
      <c r="AK6" s="98">
        <v>-7637.39</v>
      </c>
      <c r="AL6" s="98">
        <v>-11244.78</v>
      </c>
      <c r="AM6" s="98">
        <v>-18350.900000000001</v>
      </c>
      <c r="AN6" s="98">
        <v>-12050.68</v>
      </c>
      <c r="AO6" s="98">
        <v>-9935.8799999999992</v>
      </c>
      <c r="AP6" s="98">
        <v>-15506.36</v>
      </c>
      <c r="AQ6" s="98">
        <v>-17087.79</v>
      </c>
      <c r="AR6" s="98">
        <v>-10948.27</v>
      </c>
      <c r="AS6" s="99">
        <v>-43325.75</v>
      </c>
      <c r="AT6" s="63"/>
      <c r="AU6" s="63">
        <v>91.906522102906465</v>
      </c>
    </row>
    <row r="7" spans="1:47" ht="12.75" customHeight="1" outlineLevel="1" x14ac:dyDescent="0.2">
      <c r="A7" s="95" t="s">
        <v>145</v>
      </c>
      <c r="B7" s="96">
        <v>-11449.4</v>
      </c>
      <c r="C7" s="54">
        <v>0</v>
      </c>
      <c r="D7" s="56">
        <v>-1609.5</v>
      </c>
      <c r="E7" s="63"/>
      <c r="F7" s="64">
        <v>711.36377757067407</v>
      </c>
      <c r="G7" s="97">
        <v>-6002.39</v>
      </c>
      <c r="H7" s="56">
        <v>-13095.83</v>
      </c>
      <c r="I7" s="56">
        <v>-9233.0499999999993</v>
      </c>
      <c r="J7" s="56">
        <v>-11449.4</v>
      </c>
      <c r="K7" s="56">
        <v>-345.11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76">
        <v>-39780.67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98">
        <v>-5710.8</v>
      </c>
      <c r="AH7" s="98">
        <v>-1333.22</v>
      </c>
      <c r="AI7" s="98">
        <v>-2316.59</v>
      </c>
      <c r="AJ7" s="98">
        <v>-1609.5</v>
      </c>
      <c r="AK7" s="98">
        <v>-4353</v>
      </c>
      <c r="AL7" s="98">
        <v>-4114.97</v>
      </c>
      <c r="AM7" s="98">
        <v>-624.02</v>
      </c>
      <c r="AN7" s="98">
        <v>-6539.1</v>
      </c>
      <c r="AO7" s="98">
        <v>-3818.35</v>
      </c>
      <c r="AP7" s="98">
        <v>-21373.21</v>
      </c>
      <c r="AQ7" s="98">
        <v>-11050.52</v>
      </c>
      <c r="AR7" s="98">
        <v>-9715.35</v>
      </c>
      <c r="AS7" s="99">
        <v>-10970.11</v>
      </c>
      <c r="AT7" s="63"/>
      <c r="AU7" s="63">
        <v>362.62781321244728</v>
      </c>
    </row>
    <row r="8" spans="1:47" ht="12.75" customHeight="1" outlineLevel="1" x14ac:dyDescent="0.2">
      <c r="A8" s="95" t="s">
        <v>146</v>
      </c>
      <c r="B8" s="96">
        <v>-50662.31</v>
      </c>
      <c r="C8" s="54">
        <v>0</v>
      </c>
      <c r="D8" s="56">
        <v>-48245.95</v>
      </c>
      <c r="E8" s="63"/>
      <c r="F8" s="64">
        <v>105.00842039590889</v>
      </c>
      <c r="G8" s="97">
        <v>-79226.080000000002</v>
      </c>
      <c r="H8" s="56">
        <v>-89502.11</v>
      </c>
      <c r="I8" s="56">
        <v>-55668.55</v>
      </c>
      <c r="J8" s="56">
        <v>-50662.31</v>
      </c>
      <c r="K8" s="56">
        <v>-6232.83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76">
        <v>-275059.05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66">
        <v>0</v>
      </c>
      <c r="AG8" s="98">
        <v>-91929.29</v>
      </c>
      <c r="AH8" s="98">
        <v>-66050.600000000006</v>
      </c>
      <c r="AI8" s="98">
        <v>-92695.5</v>
      </c>
      <c r="AJ8" s="98">
        <v>-48245.95</v>
      </c>
      <c r="AK8" s="98">
        <v>-80107.7</v>
      </c>
      <c r="AL8" s="98">
        <v>-90036.52</v>
      </c>
      <c r="AM8" s="98">
        <v>-106725.7</v>
      </c>
      <c r="AN8" s="98">
        <v>-95998.26</v>
      </c>
      <c r="AO8" s="98">
        <v>-107059.43</v>
      </c>
      <c r="AP8" s="98">
        <v>-95123.55</v>
      </c>
      <c r="AQ8" s="98">
        <v>-107947.54</v>
      </c>
      <c r="AR8" s="98">
        <v>-110663.59</v>
      </c>
      <c r="AS8" s="99">
        <v>-298921.34000000003</v>
      </c>
      <c r="AT8" s="63"/>
      <c r="AU8" s="63">
        <v>92.017200913123162</v>
      </c>
    </row>
    <row r="9" spans="1:47" s="365" customFormat="1" ht="12.75" customHeight="1" outlineLevel="1" x14ac:dyDescent="0.2">
      <c r="A9" s="95" t="s">
        <v>147</v>
      </c>
      <c r="B9" s="96">
        <v>-30632.73</v>
      </c>
      <c r="C9" s="54">
        <v>0</v>
      </c>
      <c r="D9" s="56">
        <v>-24376.79</v>
      </c>
      <c r="E9" s="63"/>
      <c r="F9" s="64">
        <v>125.66351024888839</v>
      </c>
      <c r="G9" s="97">
        <v>-24093.99</v>
      </c>
      <c r="H9" s="56">
        <v>-35475.78</v>
      </c>
      <c r="I9" s="56">
        <v>-36238.39</v>
      </c>
      <c r="J9" s="56">
        <v>-30632.73</v>
      </c>
      <c r="K9" s="56">
        <v>-2194.83</v>
      </c>
      <c r="L9" s="54">
        <v>0</v>
      </c>
      <c r="M9" s="54">
        <v>0</v>
      </c>
      <c r="N9" s="54">
        <v>0</v>
      </c>
      <c r="O9" s="54">
        <v>0</v>
      </c>
      <c r="P9" s="54">
        <v>0</v>
      </c>
      <c r="Q9" s="54">
        <v>0</v>
      </c>
      <c r="R9" s="54">
        <v>0</v>
      </c>
      <c r="S9" s="76">
        <v>-126440.89</v>
      </c>
      <c r="T9" s="54">
        <v>0</v>
      </c>
      <c r="U9" s="54">
        <v>0</v>
      </c>
      <c r="V9" s="54">
        <v>0</v>
      </c>
      <c r="W9" s="54">
        <v>0</v>
      </c>
      <c r="X9" s="54">
        <v>0</v>
      </c>
      <c r="Y9" s="54">
        <v>0</v>
      </c>
      <c r="Z9" s="54">
        <v>0</v>
      </c>
      <c r="AA9" s="54">
        <v>0</v>
      </c>
      <c r="AB9" s="54">
        <v>0</v>
      </c>
      <c r="AC9" s="54">
        <v>0</v>
      </c>
      <c r="AD9" s="54">
        <v>0</v>
      </c>
      <c r="AE9" s="54">
        <v>0</v>
      </c>
      <c r="AF9" s="66">
        <v>0</v>
      </c>
      <c r="AG9" s="98">
        <v>-45557.11</v>
      </c>
      <c r="AH9" s="98">
        <v>-30286.84</v>
      </c>
      <c r="AI9" s="98">
        <v>-31606.49</v>
      </c>
      <c r="AJ9" s="98">
        <v>-24376.79</v>
      </c>
      <c r="AK9" s="98">
        <v>-28987.38</v>
      </c>
      <c r="AL9" s="98">
        <v>-25574.28</v>
      </c>
      <c r="AM9" s="98">
        <v>-19058.39</v>
      </c>
      <c r="AN9" s="98">
        <v>-37484.18</v>
      </c>
      <c r="AO9" s="98">
        <v>-27184.68</v>
      </c>
      <c r="AP9" s="98">
        <v>-22247.22</v>
      </c>
      <c r="AQ9" s="98">
        <v>-21543.74</v>
      </c>
      <c r="AR9" s="98">
        <v>-36408.080000000002</v>
      </c>
      <c r="AS9" s="99">
        <v>-131827.23000000001</v>
      </c>
      <c r="AT9" s="63"/>
      <c r="AU9" s="63">
        <v>95.914091496878143</v>
      </c>
    </row>
    <row r="10" spans="1:47" ht="12.75" customHeight="1" outlineLevel="1" x14ac:dyDescent="0.2">
      <c r="A10" s="95" t="s">
        <v>148</v>
      </c>
      <c r="B10" s="96">
        <v>-47383.79</v>
      </c>
      <c r="C10" s="54">
        <v>0</v>
      </c>
      <c r="D10" s="56">
        <v>-21254.76</v>
      </c>
      <c r="E10" s="63"/>
      <c r="F10" s="64">
        <v>222.93260427311341</v>
      </c>
      <c r="G10" s="97">
        <v>-21661.99</v>
      </c>
      <c r="H10" s="56">
        <v>-45725.24</v>
      </c>
      <c r="I10" s="56">
        <v>-20446.98</v>
      </c>
      <c r="J10" s="56">
        <v>-47383.79</v>
      </c>
      <c r="K10" s="54">
        <v>1166.8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76">
        <v>-135218</v>
      </c>
      <c r="T10" s="54">
        <v>0</v>
      </c>
      <c r="U10" s="54">
        <v>0</v>
      </c>
      <c r="V10" s="54">
        <v>0</v>
      </c>
      <c r="W10" s="54">
        <v>0</v>
      </c>
      <c r="X10" s="54">
        <v>0</v>
      </c>
      <c r="Y10" s="54">
        <v>0</v>
      </c>
      <c r="Z10" s="54">
        <v>0</v>
      </c>
      <c r="AA10" s="54">
        <v>0</v>
      </c>
      <c r="AB10" s="54">
        <v>0</v>
      </c>
      <c r="AC10" s="54">
        <v>0</v>
      </c>
      <c r="AD10" s="54">
        <v>0</v>
      </c>
      <c r="AE10" s="54">
        <v>0</v>
      </c>
      <c r="AF10" s="66">
        <v>0</v>
      </c>
      <c r="AG10" s="98">
        <v>-26590.23</v>
      </c>
      <c r="AH10" s="98">
        <v>-60087.79</v>
      </c>
      <c r="AI10" s="98">
        <v>-32753.05</v>
      </c>
      <c r="AJ10" s="98">
        <v>-21254.76</v>
      </c>
      <c r="AK10" s="98">
        <v>-36921.5</v>
      </c>
      <c r="AL10" s="98">
        <v>-15538.89</v>
      </c>
      <c r="AM10" s="98">
        <v>-22059.48</v>
      </c>
      <c r="AN10" s="98">
        <v>-40387.800000000003</v>
      </c>
      <c r="AO10" s="98">
        <v>-22953.78</v>
      </c>
      <c r="AP10" s="98">
        <v>-59445.61</v>
      </c>
      <c r="AQ10" s="98">
        <v>-40896.18</v>
      </c>
      <c r="AR10" s="98">
        <v>-41277.300000000003</v>
      </c>
      <c r="AS10" s="99">
        <v>-140685.82999999999</v>
      </c>
      <c r="AT10" s="63"/>
      <c r="AU10" s="63">
        <v>96.113446535447096</v>
      </c>
    </row>
    <row r="11" spans="1:47" ht="12.75" customHeight="1" outlineLevel="1" x14ac:dyDescent="0.2">
      <c r="A11" s="95" t="s">
        <v>17</v>
      </c>
      <c r="B11" s="96">
        <v>-152565.35999999999</v>
      </c>
      <c r="C11" s="54">
        <v>0</v>
      </c>
      <c r="D11" s="56">
        <v>-176529.04</v>
      </c>
      <c r="E11" s="63"/>
      <c r="F11" s="64">
        <v>86.42507770959385</v>
      </c>
      <c r="G11" s="97">
        <v>-164964.35999999999</v>
      </c>
      <c r="H11" s="56">
        <v>-181792.68</v>
      </c>
      <c r="I11" s="56">
        <v>-176066.3</v>
      </c>
      <c r="J11" s="56">
        <v>-152565.35999999999</v>
      </c>
      <c r="K11" s="56">
        <v>-28911.72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76">
        <v>-675388.7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0</v>
      </c>
      <c r="AC11" s="54">
        <v>0</v>
      </c>
      <c r="AD11" s="54">
        <v>0</v>
      </c>
      <c r="AE11" s="54">
        <v>0</v>
      </c>
      <c r="AF11" s="66">
        <v>0</v>
      </c>
      <c r="AG11" s="98">
        <v>-159802.01999999999</v>
      </c>
      <c r="AH11" s="98">
        <v>-242920.78</v>
      </c>
      <c r="AI11" s="98">
        <v>-192344.11</v>
      </c>
      <c r="AJ11" s="98">
        <v>-176529.04</v>
      </c>
      <c r="AK11" s="98">
        <v>-203126.05</v>
      </c>
      <c r="AL11" s="98">
        <v>-186197.04</v>
      </c>
      <c r="AM11" s="98">
        <v>-191945.66</v>
      </c>
      <c r="AN11" s="98">
        <v>-188647.19</v>
      </c>
      <c r="AO11" s="98">
        <v>-168607.78</v>
      </c>
      <c r="AP11" s="98">
        <v>-216292.49</v>
      </c>
      <c r="AQ11" s="98">
        <v>-183295.89</v>
      </c>
      <c r="AR11" s="98">
        <v>-200329.46</v>
      </c>
      <c r="AS11" s="99">
        <v>-771595.95</v>
      </c>
      <c r="AT11" s="63"/>
      <c r="AU11" s="63">
        <v>87.531395155715884</v>
      </c>
    </row>
    <row r="12" spans="1:47" ht="12.75" customHeight="1" outlineLevel="1" x14ac:dyDescent="0.2">
      <c r="A12" s="95" t="s">
        <v>16</v>
      </c>
      <c r="B12" s="96">
        <v>-158545.79</v>
      </c>
      <c r="C12" s="54">
        <v>0</v>
      </c>
      <c r="D12" s="56">
        <v>-140629.87</v>
      </c>
      <c r="E12" s="63"/>
      <c r="F12" s="64">
        <v>112.73976858543637</v>
      </c>
      <c r="G12" s="97">
        <v>-206552.26</v>
      </c>
      <c r="H12" s="56">
        <v>-161520.64000000001</v>
      </c>
      <c r="I12" s="56">
        <v>-216644.57</v>
      </c>
      <c r="J12" s="56">
        <v>-158545.79</v>
      </c>
      <c r="K12" s="56">
        <v>-34320.449999999997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76">
        <v>-743263.26</v>
      </c>
      <c r="T12" s="54">
        <v>0</v>
      </c>
      <c r="U12" s="54">
        <v>0</v>
      </c>
      <c r="V12" s="54">
        <v>0</v>
      </c>
      <c r="W12" s="54">
        <v>0</v>
      </c>
      <c r="X12" s="54">
        <v>0</v>
      </c>
      <c r="Y12" s="54">
        <v>0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66">
        <v>0</v>
      </c>
      <c r="AG12" s="98">
        <v>-147548.12</v>
      </c>
      <c r="AH12" s="98">
        <v>-151247.81</v>
      </c>
      <c r="AI12" s="98">
        <v>-163024.12</v>
      </c>
      <c r="AJ12" s="98">
        <v>-140629.87</v>
      </c>
      <c r="AK12" s="98">
        <v>-136933.15</v>
      </c>
      <c r="AL12" s="98">
        <v>-141287.57</v>
      </c>
      <c r="AM12" s="98">
        <v>-140547.09</v>
      </c>
      <c r="AN12" s="98">
        <v>-148715.95000000001</v>
      </c>
      <c r="AO12" s="98">
        <v>-137620.26</v>
      </c>
      <c r="AP12" s="98">
        <v>-174358.34</v>
      </c>
      <c r="AQ12" s="98">
        <v>-183226.92</v>
      </c>
      <c r="AR12" s="98">
        <v>-165137.42000000001</v>
      </c>
      <c r="AS12" s="99">
        <v>-602449.92000000004</v>
      </c>
      <c r="AT12" s="63"/>
      <c r="AU12" s="63">
        <v>123.37345152274234</v>
      </c>
    </row>
    <row r="13" spans="1:47" ht="12.75" customHeight="1" outlineLevel="1" x14ac:dyDescent="0.2">
      <c r="A13" s="95" t="s">
        <v>149</v>
      </c>
      <c r="B13" s="96">
        <v>-532388.47</v>
      </c>
      <c r="C13" s="54">
        <v>0</v>
      </c>
      <c r="D13" s="56">
        <v>-333504.59999999998</v>
      </c>
      <c r="E13" s="63"/>
      <c r="F13" s="64">
        <v>159.63452078322157</v>
      </c>
      <c r="G13" s="97">
        <v>-635004.54</v>
      </c>
      <c r="H13" s="56">
        <v>-564411.36</v>
      </c>
      <c r="I13" s="56">
        <v>-533134.67000000004</v>
      </c>
      <c r="J13" s="56">
        <v>-532388.47</v>
      </c>
      <c r="K13" s="56">
        <v>-65156.26</v>
      </c>
      <c r="L13" s="54">
        <v>0</v>
      </c>
      <c r="M13" s="54">
        <v>0</v>
      </c>
      <c r="N13" s="54">
        <v>0</v>
      </c>
      <c r="O13" s="54">
        <v>0</v>
      </c>
      <c r="P13" s="54">
        <v>0</v>
      </c>
      <c r="Q13" s="54">
        <v>0</v>
      </c>
      <c r="R13" s="54">
        <v>0</v>
      </c>
      <c r="S13" s="76">
        <v>-2264939.04</v>
      </c>
      <c r="T13" s="54">
        <v>0</v>
      </c>
      <c r="U13" s="54">
        <v>0</v>
      </c>
      <c r="V13" s="54">
        <v>0</v>
      </c>
      <c r="W13" s="54">
        <v>0</v>
      </c>
      <c r="X13" s="54">
        <v>0</v>
      </c>
      <c r="Y13" s="54">
        <v>0</v>
      </c>
      <c r="Z13" s="54">
        <v>0</v>
      </c>
      <c r="AA13" s="54">
        <v>0</v>
      </c>
      <c r="AB13" s="54">
        <v>0</v>
      </c>
      <c r="AC13" s="54">
        <v>0</v>
      </c>
      <c r="AD13" s="54">
        <v>0</v>
      </c>
      <c r="AE13" s="54">
        <v>0</v>
      </c>
      <c r="AF13" s="66">
        <v>0</v>
      </c>
      <c r="AG13" s="98">
        <v>-479048.37</v>
      </c>
      <c r="AH13" s="98">
        <v>-544645.14</v>
      </c>
      <c r="AI13" s="98">
        <v>-476356.97</v>
      </c>
      <c r="AJ13" s="98">
        <v>-333504.59999999998</v>
      </c>
      <c r="AK13" s="98">
        <v>-408026.66</v>
      </c>
      <c r="AL13" s="98">
        <v>-438417.71</v>
      </c>
      <c r="AM13" s="98">
        <v>-421436.92</v>
      </c>
      <c r="AN13" s="98">
        <v>-484453.19</v>
      </c>
      <c r="AO13" s="98">
        <v>-517007.52</v>
      </c>
      <c r="AP13" s="98">
        <v>-489471.11</v>
      </c>
      <c r="AQ13" s="98">
        <v>-582264.68000000005</v>
      </c>
      <c r="AR13" s="98">
        <v>-507180.7</v>
      </c>
      <c r="AS13" s="99">
        <v>-1833555.08</v>
      </c>
      <c r="AT13" s="63"/>
      <c r="AU13" s="63">
        <v>123.52718850420354</v>
      </c>
    </row>
    <row r="14" spans="1:47" ht="12.75" customHeight="1" outlineLevel="1" x14ac:dyDescent="0.2">
      <c r="A14" s="95" t="s">
        <v>15</v>
      </c>
      <c r="B14" s="96">
        <v>-408921.8</v>
      </c>
      <c r="C14" s="54">
        <v>0</v>
      </c>
      <c r="D14" s="56">
        <v>-322740.82</v>
      </c>
      <c r="E14" s="63"/>
      <c r="F14" s="64">
        <v>126.70284471607899</v>
      </c>
      <c r="G14" s="97">
        <v>-544689.67000000004</v>
      </c>
      <c r="H14" s="56">
        <v>-474453.57</v>
      </c>
      <c r="I14" s="56">
        <v>-481938</v>
      </c>
      <c r="J14" s="56">
        <v>-408921.8</v>
      </c>
      <c r="K14" s="56">
        <v>-95307.03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76">
        <v>-1910003.04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98">
        <v>-534182.43000000005</v>
      </c>
      <c r="AH14" s="98">
        <v>-475269.66</v>
      </c>
      <c r="AI14" s="98">
        <v>-443249.19</v>
      </c>
      <c r="AJ14" s="98">
        <v>-322740.82</v>
      </c>
      <c r="AK14" s="98">
        <v>-450271.52</v>
      </c>
      <c r="AL14" s="98">
        <v>-551884.97</v>
      </c>
      <c r="AM14" s="98">
        <v>-467982.83</v>
      </c>
      <c r="AN14" s="98">
        <v>-472512.79</v>
      </c>
      <c r="AO14" s="98">
        <v>-446806.43</v>
      </c>
      <c r="AP14" s="98">
        <v>-488728.64</v>
      </c>
      <c r="AQ14" s="98">
        <v>-545865.21</v>
      </c>
      <c r="AR14" s="98">
        <v>-432805.43</v>
      </c>
      <c r="AS14" s="99">
        <v>-1775442.1</v>
      </c>
      <c r="AT14" s="63"/>
      <c r="AU14" s="63">
        <v>107.579010320866</v>
      </c>
    </row>
    <row r="15" spans="1:47" ht="12.75" customHeight="1" outlineLevel="1" x14ac:dyDescent="0.2">
      <c r="A15" s="95" t="s">
        <v>150</v>
      </c>
      <c r="B15" s="96">
        <v>-43743.8</v>
      </c>
      <c r="C15" s="54">
        <v>0</v>
      </c>
      <c r="D15" s="56">
        <v>-39422.339999999997</v>
      </c>
      <c r="E15" s="63"/>
      <c r="F15" s="64">
        <v>110.96195710351034</v>
      </c>
      <c r="G15" s="97">
        <v>-23276.04</v>
      </c>
      <c r="H15" s="56">
        <v>-36618.980000000003</v>
      </c>
      <c r="I15" s="56">
        <v>-27877.18</v>
      </c>
      <c r="J15" s="56">
        <v>-43743.8</v>
      </c>
      <c r="K15" s="56">
        <v>-1500.33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76">
        <v>-131516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66">
        <v>0</v>
      </c>
      <c r="AG15" s="98">
        <v>-46221.83</v>
      </c>
      <c r="AH15" s="98">
        <v>-26162.91</v>
      </c>
      <c r="AI15" s="98">
        <v>-28301.65</v>
      </c>
      <c r="AJ15" s="98">
        <v>-39422.339999999997</v>
      </c>
      <c r="AK15" s="98">
        <v>-55314.1</v>
      </c>
      <c r="AL15" s="98">
        <v>-53052.87</v>
      </c>
      <c r="AM15" s="98">
        <v>-33482.07</v>
      </c>
      <c r="AN15" s="98">
        <v>-57547.15</v>
      </c>
      <c r="AO15" s="98">
        <v>-50270.080000000002</v>
      </c>
      <c r="AP15" s="98">
        <v>-50229.38</v>
      </c>
      <c r="AQ15" s="98">
        <v>-38356.019999999997</v>
      </c>
      <c r="AR15" s="98">
        <v>-48638.33</v>
      </c>
      <c r="AS15" s="99">
        <v>-140108.73000000001</v>
      </c>
      <c r="AT15" s="63"/>
      <c r="AU15" s="63">
        <v>93.867098788205411</v>
      </c>
    </row>
    <row r="16" spans="1:47" ht="12.75" customHeight="1" outlineLevel="1" x14ac:dyDescent="0.2">
      <c r="A16" s="95" t="s">
        <v>151</v>
      </c>
      <c r="B16" s="96">
        <v>-30734.07</v>
      </c>
      <c r="C16" s="54">
        <v>0</v>
      </c>
      <c r="D16" s="56">
        <v>-36565.949999999997</v>
      </c>
      <c r="E16" s="63"/>
      <c r="F16" s="64">
        <v>84.05106389961152</v>
      </c>
      <c r="G16" s="97">
        <v>-41338.730000000003</v>
      </c>
      <c r="H16" s="56">
        <v>-66193.42</v>
      </c>
      <c r="I16" s="56">
        <v>-42389.1</v>
      </c>
      <c r="J16" s="56">
        <v>-30734.07</v>
      </c>
      <c r="K16" s="56">
        <v>-3454.56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76">
        <v>-180655.32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98">
        <v>-73070.94</v>
      </c>
      <c r="AH16" s="98">
        <v>-61873.2</v>
      </c>
      <c r="AI16" s="98">
        <v>-67377.75</v>
      </c>
      <c r="AJ16" s="98">
        <v>-36565.949999999997</v>
      </c>
      <c r="AK16" s="98">
        <v>-68112.850000000006</v>
      </c>
      <c r="AL16" s="98">
        <v>-67916.92</v>
      </c>
      <c r="AM16" s="98">
        <v>-48458.080000000002</v>
      </c>
      <c r="AN16" s="98">
        <v>-45138.37</v>
      </c>
      <c r="AO16" s="98">
        <v>-74336.67</v>
      </c>
      <c r="AP16" s="98">
        <v>-65127.94</v>
      </c>
      <c r="AQ16" s="98">
        <v>-56687.71</v>
      </c>
      <c r="AR16" s="98">
        <v>-61921.32</v>
      </c>
      <c r="AS16" s="99">
        <v>-238887.84</v>
      </c>
      <c r="AT16" s="63"/>
      <c r="AU16" s="63">
        <v>75.623489249180707</v>
      </c>
    </row>
    <row r="17" spans="1:47" ht="12.75" customHeight="1" outlineLevel="1" x14ac:dyDescent="0.2">
      <c r="A17" s="95" t="s">
        <v>152</v>
      </c>
      <c r="B17" s="96">
        <v>-288613.39</v>
      </c>
      <c r="C17" s="54">
        <v>0</v>
      </c>
      <c r="D17" s="56">
        <v>-157609.29999999999</v>
      </c>
      <c r="E17" s="63"/>
      <c r="F17" s="64">
        <v>183.1195176934356</v>
      </c>
      <c r="G17" s="97">
        <v>-229522.12</v>
      </c>
      <c r="H17" s="56">
        <v>-304182.93</v>
      </c>
      <c r="I17" s="56">
        <v>-276029.96000000002</v>
      </c>
      <c r="J17" s="56">
        <v>-288613.39</v>
      </c>
      <c r="K17" s="54">
        <v>25494.5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76">
        <v>-1098348.3999999999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98">
        <v>-165163.54999999999</v>
      </c>
      <c r="AH17" s="98">
        <v>-217026.88</v>
      </c>
      <c r="AI17" s="98">
        <v>-146725.88</v>
      </c>
      <c r="AJ17" s="98">
        <v>-157609.29999999999</v>
      </c>
      <c r="AK17" s="98">
        <v>-189202.78</v>
      </c>
      <c r="AL17" s="98">
        <v>-187858.77</v>
      </c>
      <c r="AM17" s="98">
        <v>-200599.44</v>
      </c>
      <c r="AN17" s="98">
        <v>-191274.28</v>
      </c>
      <c r="AO17" s="98">
        <v>-191292.04</v>
      </c>
      <c r="AP17" s="98">
        <v>-217962.51</v>
      </c>
      <c r="AQ17" s="98">
        <v>-261051.81</v>
      </c>
      <c r="AR17" s="98">
        <v>-318461.95</v>
      </c>
      <c r="AS17" s="99">
        <v>-686525.61</v>
      </c>
      <c r="AT17" s="63"/>
      <c r="AU17" s="63">
        <v>159.9865152881915</v>
      </c>
    </row>
    <row r="18" spans="1:47" ht="12.75" customHeight="1" outlineLevel="1" x14ac:dyDescent="0.2">
      <c r="A18" s="95" t="s">
        <v>413</v>
      </c>
      <c r="B18" s="62">
        <v>795</v>
      </c>
      <c r="C18" s="54">
        <v>0</v>
      </c>
      <c r="D18" s="54">
        <v>0</v>
      </c>
      <c r="E18" s="63"/>
      <c r="F18" s="64"/>
      <c r="G18" s="65">
        <v>0</v>
      </c>
      <c r="H18" s="54">
        <v>0</v>
      </c>
      <c r="I18" s="54">
        <v>0</v>
      </c>
      <c r="J18" s="54">
        <v>795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795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0</v>
      </c>
      <c r="AH18" s="67">
        <v>0</v>
      </c>
      <c r="AI18" s="67">
        <v>0</v>
      </c>
      <c r="AJ18" s="67">
        <v>0</v>
      </c>
      <c r="AK18" s="98">
        <v>-2840</v>
      </c>
      <c r="AL18" s="67">
        <v>0</v>
      </c>
      <c r="AM18" s="67">
        <v>0</v>
      </c>
      <c r="AN18" s="67">
        <v>0</v>
      </c>
      <c r="AO18" s="67">
        <v>0</v>
      </c>
      <c r="AP18" s="67">
        <v>0</v>
      </c>
      <c r="AQ18" s="67">
        <v>0</v>
      </c>
      <c r="AR18" s="98">
        <v>-5066.5</v>
      </c>
      <c r="AS18" s="68">
        <v>0</v>
      </c>
      <c r="AT18" s="63"/>
      <c r="AU18" s="63"/>
    </row>
    <row r="19" spans="1:47" ht="12.75" customHeight="1" outlineLevel="1" x14ac:dyDescent="0.2">
      <c r="A19" s="95" t="s">
        <v>414</v>
      </c>
      <c r="B19" s="96">
        <v>-2420</v>
      </c>
      <c r="C19" s="54"/>
      <c r="D19" s="54">
        <v>0</v>
      </c>
      <c r="E19" s="63"/>
      <c r="F19" s="64"/>
      <c r="G19" s="97">
        <v>-995</v>
      </c>
      <c r="H19" s="56">
        <v>-1587.5</v>
      </c>
      <c r="I19" s="56">
        <v>-1473.75</v>
      </c>
      <c r="J19" s="56">
        <v>-2420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76">
        <v>-6476.25</v>
      </c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66"/>
      <c r="AG19" s="67">
        <v>0</v>
      </c>
      <c r="AH19" s="67">
        <v>0</v>
      </c>
      <c r="AI19" s="67">
        <v>0</v>
      </c>
      <c r="AJ19" s="67">
        <v>0</v>
      </c>
      <c r="AK19" s="67">
        <v>0</v>
      </c>
      <c r="AL19" s="98">
        <v>-3535</v>
      </c>
      <c r="AM19" s="98">
        <v>-1818</v>
      </c>
      <c r="AN19" s="98">
        <v>-325</v>
      </c>
      <c r="AO19" s="98">
        <v>-430</v>
      </c>
      <c r="AP19" s="98">
        <v>-590</v>
      </c>
      <c r="AQ19" s="67">
        <v>0</v>
      </c>
      <c r="AR19" s="98">
        <v>-867.75</v>
      </c>
      <c r="AS19" s="68">
        <v>0</v>
      </c>
      <c r="AT19" s="63"/>
      <c r="AU19" s="63"/>
    </row>
    <row r="20" spans="1:47" outlineLevel="1" x14ac:dyDescent="0.2">
      <c r="A20" s="100" t="s">
        <v>233</v>
      </c>
      <c r="B20" s="101">
        <v>-15201.7</v>
      </c>
      <c r="C20" s="105">
        <v>0</v>
      </c>
      <c r="D20" s="55">
        <v>-17351.7</v>
      </c>
      <c r="E20" s="102"/>
      <c r="F20" s="103">
        <v>87.609283240258875</v>
      </c>
      <c r="G20" s="104">
        <v>-17351.7</v>
      </c>
      <c r="H20" s="55">
        <v>-17351.7</v>
      </c>
      <c r="I20" s="55">
        <v>-17351.7</v>
      </c>
      <c r="J20" s="55">
        <v>-15201.7</v>
      </c>
      <c r="K20" s="105">
        <v>0</v>
      </c>
      <c r="L20" s="105">
        <v>0</v>
      </c>
      <c r="M20" s="105">
        <v>0</v>
      </c>
      <c r="N20" s="105">
        <v>0</v>
      </c>
      <c r="O20" s="105">
        <v>0</v>
      </c>
      <c r="P20" s="105">
        <v>0</v>
      </c>
      <c r="Q20" s="105">
        <v>0</v>
      </c>
      <c r="R20" s="105">
        <v>0</v>
      </c>
      <c r="S20" s="106">
        <v>-67256.800000000003</v>
      </c>
      <c r="T20" s="105">
        <v>0</v>
      </c>
      <c r="U20" s="105">
        <v>0</v>
      </c>
      <c r="V20" s="105">
        <v>0</v>
      </c>
      <c r="W20" s="105">
        <v>0</v>
      </c>
      <c r="X20" s="105">
        <v>0</v>
      </c>
      <c r="Y20" s="105">
        <v>0</v>
      </c>
      <c r="Z20" s="105">
        <v>0</v>
      </c>
      <c r="AA20" s="105">
        <v>0</v>
      </c>
      <c r="AB20" s="105">
        <v>0</v>
      </c>
      <c r="AC20" s="105">
        <v>0</v>
      </c>
      <c r="AD20" s="105">
        <v>0</v>
      </c>
      <c r="AE20" s="105">
        <v>0</v>
      </c>
      <c r="AF20" s="129">
        <v>0</v>
      </c>
      <c r="AG20" s="107">
        <v>-18313.400000000001</v>
      </c>
      <c r="AH20" s="107">
        <v>-20351.7</v>
      </c>
      <c r="AI20" s="107">
        <v>-17351.7</v>
      </c>
      <c r="AJ20" s="107">
        <v>-17351.7</v>
      </c>
      <c r="AK20" s="107">
        <v>-17351.7</v>
      </c>
      <c r="AL20" s="107">
        <v>-17351.7</v>
      </c>
      <c r="AM20" s="107">
        <v>-15491.7</v>
      </c>
      <c r="AN20" s="107">
        <v>-17351.7</v>
      </c>
      <c r="AO20" s="107">
        <v>-19501.7</v>
      </c>
      <c r="AP20" s="107">
        <v>-17351.7</v>
      </c>
      <c r="AQ20" s="107">
        <v>-17351.7</v>
      </c>
      <c r="AR20" s="107">
        <v>-17351.7</v>
      </c>
      <c r="AS20" s="108">
        <v>-73368.5</v>
      </c>
      <c r="AT20" s="102"/>
      <c r="AU20" s="102">
        <v>91.669858317942982</v>
      </c>
    </row>
    <row r="21" spans="1:47" x14ac:dyDescent="0.2">
      <c r="A21" s="117" t="s">
        <v>37</v>
      </c>
      <c r="B21" s="118">
        <v>-1849205.65</v>
      </c>
      <c r="C21" s="123">
        <v>0</v>
      </c>
      <c r="D21" s="119">
        <v>-1396212.78</v>
      </c>
      <c r="E21" s="120"/>
      <c r="F21" s="121">
        <v>132.4444007739279</v>
      </c>
      <c r="G21" s="122">
        <v>-2073797.53</v>
      </c>
      <c r="H21" s="119">
        <v>-2056831.79</v>
      </c>
      <c r="I21" s="119">
        <v>-1966112.61</v>
      </c>
      <c r="J21" s="119">
        <v>-1849205.65</v>
      </c>
      <c r="K21" s="119">
        <v>-225073.71</v>
      </c>
      <c r="L21" s="123">
        <v>0</v>
      </c>
      <c r="M21" s="123">
        <v>0</v>
      </c>
      <c r="N21" s="123">
        <v>0</v>
      </c>
      <c r="O21" s="123">
        <v>0</v>
      </c>
      <c r="P21" s="123">
        <v>0</v>
      </c>
      <c r="Q21" s="123">
        <v>0</v>
      </c>
      <c r="R21" s="123">
        <v>0</v>
      </c>
      <c r="S21" s="124">
        <v>-7945947.5800000001</v>
      </c>
      <c r="T21" s="123">
        <v>0</v>
      </c>
      <c r="U21" s="123">
        <v>0</v>
      </c>
      <c r="V21" s="123">
        <v>0</v>
      </c>
      <c r="W21" s="123">
        <v>0</v>
      </c>
      <c r="X21" s="123">
        <v>0</v>
      </c>
      <c r="Y21" s="123">
        <v>0</v>
      </c>
      <c r="Z21" s="123">
        <v>0</v>
      </c>
      <c r="AA21" s="123">
        <v>0</v>
      </c>
      <c r="AB21" s="123">
        <v>0</v>
      </c>
      <c r="AC21" s="123">
        <v>0</v>
      </c>
      <c r="AD21" s="123">
        <v>0</v>
      </c>
      <c r="AE21" s="123">
        <v>0</v>
      </c>
      <c r="AF21" s="571">
        <v>0</v>
      </c>
      <c r="AG21" s="125">
        <v>-1869012.19</v>
      </c>
      <c r="AH21" s="125">
        <v>-1973800.67</v>
      </c>
      <c r="AI21" s="125">
        <v>-1767779.49</v>
      </c>
      <c r="AJ21" s="125">
        <v>-1396212.78</v>
      </c>
      <c r="AK21" s="125">
        <v>-1761468.87</v>
      </c>
      <c r="AL21" s="125">
        <v>-1884809.53</v>
      </c>
      <c r="AM21" s="125">
        <v>-1757460.89</v>
      </c>
      <c r="AN21" s="125">
        <v>-1890981.8</v>
      </c>
      <c r="AO21" s="125">
        <v>-1842336.27</v>
      </c>
      <c r="AP21" s="125">
        <v>-1996588.26</v>
      </c>
      <c r="AQ21" s="125">
        <v>-2131808.7999999998</v>
      </c>
      <c r="AR21" s="125">
        <v>-2018649.03</v>
      </c>
      <c r="AS21" s="126">
        <v>-7006805.1299999999</v>
      </c>
      <c r="AT21" s="120"/>
      <c r="AU21" s="120">
        <v>113.40329055219493</v>
      </c>
    </row>
    <row r="22" spans="1:47" outlineLevel="1" x14ac:dyDescent="0.2">
      <c r="A22" s="95" t="s">
        <v>238</v>
      </c>
      <c r="B22" s="62">
        <v>65.08</v>
      </c>
      <c r="C22" s="54">
        <v>0</v>
      </c>
      <c r="D22" s="54">
        <v>263.73</v>
      </c>
      <c r="E22" s="63"/>
      <c r="F22" s="64">
        <v>24.676752739544231</v>
      </c>
      <c r="G22" s="65">
        <v>38.630000000000003</v>
      </c>
      <c r="H22" s="54">
        <v>37.79</v>
      </c>
      <c r="I22" s="54">
        <v>166.7</v>
      </c>
      <c r="J22" s="54">
        <v>65.08</v>
      </c>
      <c r="K22" s="54">
        <v>0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66">
        <v>308.2</v>
      </c>
      <c r="T22" s="54">
        <v>0</v>
      </c>
      <c r="U22" s="54">
        <v>0</v>
      </c>
      <c r="V22" s="54">
        <v>0</v>
      </c>
      <c r="W22" s="54">
        <v>0</v>
      </c>
      <c r="X22" s="54">
        <v>0</v>
      </c>
      <c r="Y22" s="54">
        <v>0</v>
      </c>
      <c r="Z22" s="54">
        <v>0</v>
      </c>
      <c r="AA22" s="54">
        <v>0</v>
      </c>
      <c r="AB22" s="54">
        <v>0</v>
      </c>
      <c r="AC22" s="54">
        <v>0</v>
      </c>
      <c r="AD22" s="54">
        <v>0</v>
      </c>
      <c r="AE22" s="54">
        <v>0</v>
      </c>
      <c r="AF22" s="66">
        <v>0</v>
      </c>
      <c r="AG22" s="67">
        <v>189</v>
      </c>
      <c r="AH22" s="98">
        <v>-31.86</v>
      </c>
      <c r="AI22" s="67">
        <v>57</v>
      </c>
      <c r="AJ22" s="67">
        <v>263.73</v>
      </c>
      <c r="AK22" s="67">
        <v>809</v>
      </c>
      <c r="AL22" s="67">
        <v>1189</v>
      </c>
      <c r="AM22" s="67">
        <v>187</v>
      </c>
      <c r="AN22" s="67">
        <v>423.9</v>
      </c>
      <c r="AO22" s="67">
        <v>13</v>
      </c>
      <c r="AP22" s="67">
        <v>498.53</v>
      </c>
      <c r="AQ22" s="67">
        <v>77.760000000000005</v>
      </c>
      <c r="AR22" s="67">
        <v>73.48</v>
      </c>
      <c r="AS22" s="68">
        <v>477.87</v>
      </c>
      <c r="AT22" s="63"/>
      <c r="AU22" s="63">
        <v>64.494527800447827</v>
      </c>
    </row>
    <row r="23" spans="1:47" outlineLevel="1" x14ac:dyDescent="0.2">
      <c r="A23" s="95" t="s">
        <v>603</v>
      </c>
      <c r="B23" s="62">
        <v>13.08</v>
      </c>
      <c r="C23" s="54">
        <v>0</v>
      </c>
      <c r="D23" s="54">
        <v>0</v>
      </c>
      <c r="E23" s="63"/>
      <c r="F23" s="64"/>
      <c r="G23" s="65">
        <v>0</v>
      </c>
      <c r="H23" s="54">
        <v>0</v>
      </c>
      <c r="I23" s="54">
        <v>0</v>
      </c>
      <c r="J23" s="54">
        <v>13.08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13.08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0</v>
      </c>
      <c r="AH23" s="67">
        <v>0</v>
      </c>
      <c r="AI23" s="67">
        <v>41</v>
      </c>
      <c r="AJ23" s="67">
        <v>0</v>
      </c>
      <c r="AK23" s="67">
        <v>0</v>
      </c>
      <c r="AL23" s="67">
        <v>0</v>
      </c>
      <c r="AM23" s="67">
        <v>0</v>
      </c>
      <c r="AN23" s="67">
        <v>28.56</v>
      </c>
      <c r="AO23" s="67">
        <v>0</v>
      </c>
      <c r="AP23" s="67">
        <v>0</v>
      </c>
      <c r="AQ23" s="67">
        <v>0</v>
      </c>
      <c r="AR23" s="67">
        <v>0</v>
      </c>
      <c r="AS23" s="68">
        <v>41</v>
      </c>
      <c r="AT23" s="63"/>
      <c r="AU23" s="63">
        <v>31.902439024390244</v>
      </c>
    </row>
    <row r="24" spans="1:47" outlineLevel="1" x14ac:dyDescent="0.2">
      <c r="A24" s="95" t="s">
        <v>239</v>
      </c>
      <c r="B24" s="62">
        <v>196.88</v>
      </c>
      <c r="C24" s="54">
        <v>0</v>
      </c>
      <c r="D24" s="54">
        <v>77.709999999999994</v>
      </c>
      <c r="E24" s="63"/>
      <c r="F24" s="64">
        <v>253.35220692317591</v>
      </c>
      <c r="G24" s="65">
        <v>712.67</v>
      </c>
      <c r="H24" s="54">
        <v>217.05</v>
      </c>
      <c r="I24" s="54">
        <v>171.22</v>
      </c>
      <c r="J24" s="54">
        <v>196.88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1297.82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530</v>
      </c>
      <c r="AH24" s="98">
        <v>-101.43</v>
      </c>
      <c r="AI24" s="67">
        <v>336</v>
      </c>
      <c r="AJ24" s="67">
        <v>77.709999999999994</v>
      </c>
      <c r="AK24" s="67">
        <v>1035</v>
      </c>
      <c r="AL24" s="67">
        <v>284</v>
      </c>
      <c r="AM24" s="67">
        <v>971</v>
      </c>
      <c r="AN24" s="67">
        <v>699.83</v>
      </c>
      <c r="AO24" s="67">
        <v>1754</v>
      </c>
      <c r="AP24" s="67">
        <v>1323.74</v>
      </c>
      <c r="AQ24" s="67">
        <v>1519.15</v>
      </c>
      <c r="AR24" s="67">
        <v>1563.89</v>
      </c>
      <c r="AS24" s="68">
        <v>842.28</v>
      </c>
      <c r="AT24" s="63"/>
      <c r="AU24" s="63">
        <v>154.08415253834829</v>
      </c>
    </row>
    <row r="25" spans="1:47" outlineLevel="1" x14ac:dyDescent="0.2">
      <c r="A25" s="95" t="s">
        <v>240</v>
      </c>
      <c r="B25" s="62">
        <v>221.15</v>
      </c>
      <c r="C25" s="54">
        <v>0</v>
      </c>
      <c r="D25" s="54">
        <v>133.91</v>
      </c>
      <c r="E25" s="63"/>
      <c r="F25" s="64">
        <v>165.14823388843254</v>
      </c>
      <c r="G25" s="65">
        <v>302.26</v>
      </c>
      <c r="H25" s="54">
        <v>245.5</v>
      </c>
      <c r="I25" s="54">
        <v>284.92</v>
      </c>
      <c r="J25" s="54">
        <v>221.15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1053.83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175</v>
      </c>
      <c r="AH25" s="98">
        <v>-57.75</v>
      </c>
      <c r="AI25" s="67">
        <v>139</v>
      </c>
      <c r="AJ25" s="67">
        <v>133.91</v>
      </c>
      <c r="AK25" s="67">
        <v>192</v>
      </c>
      <c r="AL25" s="67">
        <v>166</v>
      </c>
      <c r="AM25" s="67">
        <v>140</v>
      </c>
      <c r="AN25" s="67">
        <v>157.85</v>
      </c>
      <c r="AO25" s="67">
        <v>164</v>
      </c>
      <c r="AP25" s="67">
        <v>232.19</v>
      </c>
      <c r="AQ25" s="67">
        <v>171.28</v>
      </c>
      <c r="AR25" s="67">
        <v>338.92</v>
      </c>
      <c r="AS25" s="68">
        <v>390.16</v>
      </c>
      <c r="AT25" s="63"/>
      <c r="AU25" s="63">
        <v>270.1020094320279</v>
      </c>
    </row>
    <row r="26" spans="1:47" outlineLevel="1" x14ac:dyDescent="0.2">
      <c r="A26" s="95" t="s">
        <v>241</v>
      </c>
      <c r="B26" s="62">
        <v>167.01</v>
      </c>
      <c r="C26" s="54">
        <v>0</v>
      </c>
      <c r="D26" s="54">
        <v>134.22999999999999</v>
      </c>
      <c r="E26" s="63"/>
      <c r="F26" s="64">
        <v>124.42077031960069</v>
      </c>
      <c r="G26" s="65">
        <v>229.71</v>
      </c>
      <c r="H26" s="54">
        <v>241.4</v>
      </c>
      <c r="I26" s="54">
        <v>149.62</v>
      </c>
      <c r="J26" s="54">
        <v>167.01</v>
      </c>
      <c r="K26" s="54">
        <v>0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787.74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141</v>
      </c>
      <c r="AH26" s="98">
        <v>-72.87</v>
      </c>
      <c r="AI26" s="67">
        <v>220</v>
      </c>
      <c r="AJ26" s="67">
        <v>134.22999999999999</v>
      </c>
      <c r="AK26" s="67">
        <v>156</v>
      </c>
      <c r="AL26" s="67">
        <v>175</v>
      </c>
      <c r="AM26" s="67">
        <v>138</v>
      </c>
      <c r="AN26" s="67">
        <v>171.57</v>
      </c>
      <c r="AO26" s="67">
        <v>172</v>
      </c>
      <c r="AP26" s="67">
        <v>216.91</v>
      </c>
      <c r="AQ26" s="67">
        <v>160.19</v>
      </c>
      <c r="AR26" s="67">
        <v>167.2</v>
      </c>
      <c r="AS26" s="68">
        <v>422.36</v>
      </c>
      <c r="AT26" s="63"/>
      <c r="AU26" s="63">
        <v>186.509139123023</v>
      </c>
    </row>
    <row r="27" spans="1:47" outlineLevel="1" x14ac:dyDescent="0.2">
      <c r="A27" s="95" t="s">
        <v>242</v>
      </c>
      <c r="B27" s="62">
        <v>7150.92</v>
      </c>
      <c r="C27" s="54">
        <v>0</v>
      </c>
      <c r="D27" s="54">
        <v>4159.76</v>
      </c>
      <c r="E27" s="63"/>
      <c r="F27" s="64">
        <v>171.90703309806335</v>
      </c>
      <c r="G27" s="65">
        <v>10872.84</v>
      </c>
      <c r="H27" s="54">
        <v>9946.61</v>
      </c>
      <c r="I27" s="54">
        <v>7328.76</v>
      </c>
      <c r="J27" s="54">
        <v>7150.92</v>
      </c>
      <c r="K27" s="54">
        <v>0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35299.129999999997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10275</v>
      </c>
      <c r="AH27" s="98">
        <v>-4837.5</v>
      </c>
      <c r="AI27" s="67">
        <v>6055</v>
      </c>
      <c r="AJ27" s="67">
        <v>4159.76</v>
      </c>
      <c r="AK27" s="67">
        <v>3754</v>
      </c>
      <c r="AL27" s="67">
        <v>4879</v>
      </c>
      <c r="AM27" s="67">
        <v>5388</v>
      </c>
      <c r="AN27" s="67">
        <v>6706.77</v>
      </c>
      <c r="AO27" s="67">
        <v>6047</v>
      </c>
      <c r="AP27" s="67">
        <v>6260.15</v>
      </c>
      <c r="AQ27" s="67">
        <v>6304</v>
      </c>
      <c r="AR27" s="67">
        <v>6740.99</v>
      </c>
      <c r="AS27" s="68">
        <v>15652.26</v>
      </c>
      <c r="AT27" s="63"/>
      <c r="AU27" s="63">
        <v>225.52097907905952</v>
      </c>
    </row>
    <row r="28" spans="1:47" outlineLevel="1" x14ac:dyDescent="0.2">
      <c r="A28" s="95" t="s">
        <v>243</v>
      </c>
      <c r="B28" s="62">
        <v>396.37</v>
      </c>
      <c r="C28" s="54">
        <v>0</v>
      </c>
      <c r="D28" s="54">
        <v>724.91</v>
      </c>
      <c r="E28" s="63"/>
      <c r="F28" s="64">
        <v>54.678511815259824</v>
      </c>
      <c r="G28" s="65">
        <v>435.75</v>
      </c>
      <c r="H28" s="54">
        <v>604.85</v>
      </c>
      <c r="I28" s="54">
        <v>369.65</v>
      </c>
      <c r="J28" s="54">
        <v>396.37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1806.62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379</v>
      </c>
      <c r="AH28" s="98">
        <v>-228.46</v>
      </c>
      <c r="AI28" s="67">
        <v>361</v>
      </c>
      <c r="AJ28" s="67">
        <v>724.91</v>
      </c>
      <c r="AK28" s="67">
        <v>376</v>
      </c>
      <c r="AL28" s="67">
        <v>318</v>
      </c>
      <c r="AM28" s="67">
        <v>507</v>
      </c>
      <c r="AN28" s="67">
        <v>349.77</v>
      </c>
      <c r="AO28" s="67">
        <v>370</v>
      </c>
      <c r="AP28" s="67">
        <v>688.28</v>
      </c>
      <c r="AQ28" s="67">
        <v>572.85</v>
      </c>
      <c r="AR28" s="67">
        <v>478.05</v>
      </c>
      <c r="AS28" s="68">
        <v>1236.45</v>
      </c>
      <c r="AT28" s="63"/>
      <c r="AU28" s="63">
        <v>146.11347001496219</v>
      </c>
    </row>
    <row r="29" spans="1:47" outlineLevel="1" x14ac:dyDescent="0.2">
      <c r="A29" s="100" t="s">
        <v>244</v>
      </c>
      <c r="B29" s="127">
        <v>741.9</v>
      </c>
      <c r="C29" s="105">
        <v>0</v>
      </c>
      <c r="D29" s="105">
        <v>224.75</v>
      </c>
      <c r="E29" s="102"/>
      <c r="F29" s="103">
        <v>330.10011123470525</v>
      </c>
      <c r="G29" s="128">
        <v>709.15</v>
      </c>
      <c r="H29" s="105">
        <v>938.75</v>
      </c>
      <c r="I29" s="105">
        <v>997.89</v>
      </c>
      <c r="J29" s="105">
        <v>741.9</v>
      </c>
      <c r="K29" s="105">
        <v>0</v>
      </c>
      <c r="L29" s="105">
        <v>0</v>
      </c>
      <c r="M29" s="105">
        <v>0</v>
      </c>
      <c r="N29" s="105">
        <v>0</v>
      </c>
      <c r="O29" s="105">
        <v>0</v>
      </c>
      <c r="P29" s="105">
        <v>0</v>
      </c>
      <c r="Q29" s="105">
        <v>0</v>
      </c>
      <c r="R29" s="105">
        <v>0</v>
      </c>
      <c r="S29" s="129">
        <v>3387.69</v>
      </c>
      <c r="T29" s="105">
        <v>0</v>
      </c>
      <c r="U29" s="105">
        <v>0</v>
      </c>
      <c r="V29" s="105">
        <v>0</v>
      </c>
      <c r="W29" s="105">
        <v>0</v>
      </c>
      <c r="X29" s="105">
        <v>0</v>
      </c>
      <c r="Y29" s="105">
        <v>0</v>
      </c>
      <c r="Z29" s="105">
        <v>0</v>
      </c>
      <c r="AA29" s="105">
        <v>0</v>
      </c>
      <c r="AB29" s="105">
        <v>0</v>
      </c>
      <c r="AC29" s="105">
        <v>0</v>
      </c>
      <c r="AD29" s="105">
        <v>0</v>
      </c>
      <c r="AE29" s="105">
        <v>0</v>
      </c>
      <c r="AF29" s="129">
        <v>0</v>
      </c>
      <c r="AG29" s="130">
        <v>865</v>
      </c>
      <c r="AH29" s="107">
        <v>-313.42</v>
      </c>
      <c r="AI29" s="130">
        <v>541</v>
      </c>
      <c r="AJ29" s="130">
        <v>224.75</v>
      </c>
      <c r="AK29" s="130">
        <v>849</v>
      </c>
      <c r="AL29" s="130">
        <v>642</v>
      </c>
      <c r="AM29" s="130">
        <v>411</v>
      </c>
      <c r="AN29" s="130">
        <v>390.3</v>
      </c>
      <c r="AO29" s="130">
        <v>780</v>
      </c>
      <c r="AP29" s="130">
        <v>1555.2</v>
      </c>
      <c r="AQ29" s="130">
        <v>1077.1400000000001</v>
      </c>
      <c r="AR29" s="130">
        <v>736.7</v>
      </c>
      <c r="AS29" s="131">
        <v>1317.33</v>
      </c>
      <c r="AT29" s="102"/>
      <c r="AU29" s="102">
        <v>257.1633531461365</v>
      </c>
    </row>
    <row r="30" spans="1:47" ht="13.5" thickBot="1" x14ac:dyDescent="0.25">
      <c r="A30" s="377" t="s">
        <v>245</v>
      </c>
      <c r="B30" s="378">
        <v>8952.39</v>
      </c>
      <c r="C30" s="379">
        <v>0</v>
      </c>
      <c r="D30" s="379">
        <v>5719</v>
      </c>
      <c r="E30" s="380"/>
      <c r="F30" s="381">
        <v>156.53768141283442</v>
      </c>
      <c r="G30" s="382">
        <v>13301.01</v>
      </c>
      <c r="H30" s="379">
        <v>12231.95</v>
      </c>
      <c r="I30" s="379">
        <v>9468.76</v>
      </c>
      <c r="J30" s="379">
        <v>8952.39</v>
      </c>
      <c r="K30" s="379">
        <v>0</v>
      </c>
      <c r="L30" s="379">
        <v>0</v>
      </c>
      <c r="M30" s="379">
        <v>0</v>
      </c>
      <c r="N30" s="379">
        <v>0</v>
      </c>
      <c r="O30" s="379">
        <v>0</v>
      </c>
      <c r="P30" s="379">
        <v>0</v>
      </c>
      <c r="Q30" s="379">
        <v>0</v>
      </c>
      <c r="R30" s="379">
        <v>0</v>
      </c>
      <c r="S30" s="383">
        <v>43954.11</v>
      </c>
      <c r="T30" s="379">
        <v>0</v>
      </c>
      <c r="U30" s="379">
        <v>0</v>
      </c>
      <c r="V30" s="379">
        <v>0</v>
      </c>
      <c r="W30" s="379">
        <v>0</v>
      </c>
      <c r="X30" s="379">
        <v>0</v>
      </c>
      <c r="Y30" s="379">
        <v>0</v>
      </c>
      <c r="Z30" s="379">
        <v>0</v>
      </c>
      <c r="AA30" s="379">
        <v>0</v>
      </c>
      <c r="AB30" s="379">
        <v>0</v>
      </c>
      <c r="AC30" s="379">
        <v>0</v>
      </c>
      <c r="AD30" s="379">
        <v>0</v>
      </c>
      <c r="AE30" s="379">
        <v>0</v>
      </c>
      <c r="AF30" s="383">
        <v>0</v>
      </c>
      <c r="AG30" s="384">
        <v>12554</v>
      </c>
      <c r="AH30" s="838">
        <v>-5643.29</v>
      </c>
      <c r="AI30" s="384">
        <v>7750</v>
      </c>
      <c r="AJ30" s="384">
        <v>5719</v>
      </c>
      <c r="AK30" s="384">
        <v>7171</v>
      </c>
      <c r="AL30" s="384">
        <v>7653</v>
      </c>
      <c r="AM30" s="384">
        <v>7742</v>
      </c>
      <c r="AN30" s="384">
        <v>8928.5499999999993</v>
      </c>
      <c r="AO30" s="384">
        <v>9300</v>
      </c>
      <c r="AP30" s="384">
        <v>10775</v>
      </c>
      <c r="AQ30" s="384">
        <v>9882.3700000000008</v>
      </c>
      <c r="AR30" s="384">
        <v>10099.23</v>
      </c>
      <c r="AS30" s="385">
        <v>20379.71</v>
      </c>
      <c r="AT30" s="380"/>
      <c r="AU30" s="380">
        <v>215.67583640787822</v>
      </c>
    </row>
    <row r="31" spans="1:47" ht="13.5" thickBot="1" x14ac:dyDescent="0.25">
      <c r="A31" s="386" t="s">
        <v>246</v>
      </c>
      <c r="B31" s="387">
        <v>-1840253.26</v>
      </c>
      <c r="C31" s="392">
        <v>0</v>
      </c>
      <c r="D31" s="388">
        <v>-1390493.78</v>
      </c>
      <c r="E31" s="389"/>
      <c r="F31" s="390">
        <v>132.34530685926549</v>
      </c>
      <c r="G31" s="391">
        <v>-2060496.52</v>
      </c>
      <c r="H31" s="388">
        <v>-2044599.84</v>
      </c>
      <c r="I31" s="388">
        <v>-1956643.85</v>
      </c>
      <c r="J31" s="388">
        <v>-1840253.26</v>
      </c>
      <c r="K31" s="388">
        <v>-225073.71</v>
      </c>
      <c r="L31" s="392">
        <v>0</v>
      </c>
      <c r="M31" s="392">
        <v>0</v>
      </c>
      <c r="N31" s="392">
        <v>0</v>
      </c>
      <c r="O31" s="392">
        <v>0</v>
      </c>
      <c r="P31" s="392">
        <v>0</v>
      </c>
      <c r="Q31" s="392">
        <v>0</v>
      </c>
      <c r="R31" s="392">
        <v>0</v>
      </c>
      <c r="S31" s="393">
        <v>-7901993.4699999997</v>
      </c>
      <c r="T31" s="392">
        <v>0</v>
      </c>
      <c r="U31" s="392">
        <v>0</v>
      </c>
      <c r="V31" s="392">
        <v>0</v>
      </c>
      <c r="W31" s="392">
        <v>0</v>
      </c>
      <c r="X31" s="392">
        <v>0</v>
      </c>
      <c r="Y31" s="392">
        <v>0</v>
      </c>
      <c r="Z31" s="392">
        <v>0</v>
      </c>
      <c r="AA31" s="392">
        <v>0</v>
      </c>
      <c r="AB31" s="392">
        <v>0</v>
      </c>
      <c r="AC31" s="392">
        <v>0</v>
      </c>
      <c r="AD31" s="392">
        <v>0</v>
      </c>
      <c r="AE31" s="392">
        <v>0</v>
      </c>
      <c r="AF31" s="572">
        <v>0</v>
      </c>
      <c r="AG31" s="394">
        <v>-1856458.19</v>
      </c>
      <c r="AH31" s="394">
        <v>-1979443.96</v>
      </c>
      <c r="AI31" s="394">
        <v>-1760029.49</v>
      </c>
      <c r="AJ31" s="394">
        <v>-1390493.78</v>
      </c>
      <c r="AK31" s="394">
        <v>-1754297.87</v>
      </c>
      <c r="AL31" s="394">
        <v>-1877156.53</v>
      </c>
      <c r="AM31" s="394">
        <v>-1749718.89</v>
      </c>
      <c r="AN31" s="394">
        <v>-1882053.25</v>
      </c>
      <c r="AO31" s="394">
        <v>-1833036.27</v>
      </c>
      <c r="AP31" s="394">
        <v>-1985813.26</v>
      </c>
      <c r="AQ31" s="394">
        <v>-2121926.4300000002</v>
      </c>
      <c r="AR31" s="394">
        <v>-2008549.8</v>
      </c>
      <c r="AS31" s="395">
        <v>-6986425.4199999999</v>
      </c>
      <c r="AT31" s="389"/>
      <c r="AU31" s="389">
        <v>113.1049570411073</v>
      </c>
    </row>
  </sheetData>
  <pageMargins left="0.74803149606299213" right="0.74803149606299213" top="0.98425196850393704" bottom="0.98425196850393704" header="0.51181102362204722" footer="0.51181102362204722"/>
  <pageSetup scale="7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BE8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sqref="A1:AU29"/>
    </sheetView>
  </sheetViews>
  <sheetFormatPr defaultColWidth="9.140625" defaultRowHeight="12.75" outlineLevelRow="1" outlineLevelCol="1" x14ac:dyDescent="0.2"/>
  <cols>
    <col min="1" max="1" width="34.5703125" style="4" bestFit="1" customWidth="1"/>
    <col min="2" max="2" width="11.5703125" style="8" bestFit="1" customWidth="1"/>
    <col min="3" max="4" width="9.42578125" style="8" customWidth="1"/>
    <col min="5" max="5" width="12" style="8" customWidth="1"/>
    <col min="6" max="6" width="13.42578125" style="8" bestFit="1" customWidth="1"/>
    <col min="7" max="8" width="12.5703125" style="8" hidden="1" customWidth="1" outlineLevel="1"/>
    <col min="9" max="12" width="12.5703125" style="4" hidden="1" customWidth="1" outlineLevel="1"/>
    <col min="13" max="18" width="12.5703125" style="8" hidden="1" customWidth="1" outlineLevel="1"/>
    <col min="19" max="19" width="13.42578125" style="8" bestFit="1" customWidth="1" collapsed="1"/>
    <col min="20" max="31" width="9.42578125" style="8" hidden="1" customWidth="1" outlineLevel="1"/>
    <col min="32" max="32" width="13.42578125" style="8" bestFit="1" customWidth="1" collapsed="1"/>
    <col min="33" max="45" width="9.42578125" style="8" hidden="1" customWidth="1" outlineLevel="1"/>
    <col min="46" max="46" width="10.42578125" style="8" bestFit="1" customWidth="1" collapsed="1"/>
    <col min="47" max="47" width="10.140625" style="8" bestFit="1" customWidth="1"/>
    <col min="48" max="49" width="9.140625" style="8"/>
    <col min="50" max="50" width="11.42578125" style="8" customWidth="1"/>
    <col min="51" max="51" width="9.140625" style="8"/>
    <col min="52" max="52" width="22.5703125" style="8" bestFit="1" customWidth="1"/>
    <col min="53" max="16384" width="9.140625" style="8"/>
  </cols>
  <sheetData>
    <row r="1" spans="1:57" ht="41.2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  <c r="AV1" s="761"/>
    </row>
    <row r="2" spans="1:57" ht="15" outlineLevel="1" x14ac:dyDescent="0.25">
      <c r="A2" s="95" t="s">
        <v>140</v>
      </c>
      <c r="B2" s="62">
        <v>4915.62</v>
      </c>
      <c r="C2" s="54">
        <v>0</v>
      </c>
      <c r="D2" s="54">
        <v>14473.5</v>
      </c>
      <c r="E2" s="63"/>
      <c r="F2" s="64">
        <v>33.962897709607212</v>
      </c>
      <c r="G2" s="65">
        <v>3665.34</v>
      </c>
      <c r="H2" s="54">
        <v>4818.93</v>
      </c>
      <c r="I2" s="54">
        <v>4911.2</v>
      </c>
      <c r="J2" s="54">
        <v>4915.62</v>
      </c>
      <c r="K2" s="56">
        <v>-182.03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18311.09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9086.24</v>
      </c>
      <c r="AH2" s="67">
        <v>10314.280000000001</v>
      </c>
      <c r="AI2" s="67">
        <v>16232.62</v>
      </c>
      <c r="AJ2" s="67">
        <v>14473.5</v>
      </c>
      <c r="AK2" s="67">
        <v>14465.4</v>
      </c>
      <c r="AL2" s="67">
        <v>13753.07</v>
      </c>
      <c r="AM2" s="98">
        <v>-5778.33</v>
      </c>
      <c r="AN2" s="67">
        <v>8728.94</v>
      </c>
      <c r="AO2" s="67">
        <v>2244.59</v>
      </c>
      <c r="AP2" s="67">
        <v>4417.26</v>
      </c>
      <c r="AQ2" s="67">
        <v>4788.67</v>
      </c>
      <c r="AR2" s="67">
        <v>4179.3500000000004</v>
      </c>
      <c r="AS2" s="68">
        <v>50106.64</v>
      </c>
      <c r="AT2" s="63"/>
      <c r="AU2" s="63">
        <v>36.5442384482376</v>
      </c>
      <c r="AV2" s="762"/>
      <c r="AW2" s="8">
        <f>+B2*12</f>
        <v>58987.44</v>
      </c>
      <c r="AX2" s="485">
        <f>+T2-AW2</f>
        <v>-58987.44</v>
      </c>
      <c r="AY2" s="14">
        <f t="shared" ref="AY2:AY5" si="0">+AX2/AW2</f>
        <v>-1</v>
      </c>
      <c r="AZ2" s="178" t="s">
        <v>316</v>
      </c>
      <c r="BA2" s="178" t="s">
        <v>318</v>
      </c>
    </row>
    <row r="3" spans="1:57" ht="15" outlineLevel="1" x14ac:dyDescent="0.25">
      <c r="A3" s="95" t="s">
        <v>141</v>
      </c>
      <c r="B3" s="62">
        <v>233</v>
      </c>
      <c r="C3" s="54">
        <v>0</v>
      </c>
      <c r="D3" s="54">
        <v>0</v>
      </c>
      <c r="E3" s="63"/>
      <c r="F3" s="64"/>
      <c r="G3" s="65">
        <v>431.64</v>
      </c>
      <c r="H3" s="54">
        <v>233</v>
      </c>
      <c r="I3" s="54">
        <v>233</v>
      </c>
      <c r="J3" s="54">
        <v>233</v>
      </c>
      <c r="K3" s="56">
        <v>-188.85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1130.6400000000001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12.78</v>
      </c>
      <c r="AH3" s="67">
        <v>12.78</v>
      </c>
      <c r="AI3" s="98">
        <v>-25.56</v>
      </c>
      <c r="AJ3" s="67">
        <v>0</v>
      </c>
      <c r="AK3" s="67">
        <v>0</v>
      </c>
      <c r="AL3" s="67">
        <v>0</v>
      </c>
      <c r="AM3" s="67">
        <v>0</v>
      </c>
      <c r="AN3" s="67">
        <v>0</v>
      </c>
      <c r="AO3" s="67">
        <v>0</v>
      </c>
      <c r="AP3" s="67">
        <v>107.92</v>
      </c>
      <c r="AQ3" s="67">
        <v>107.92</v>
      </c>
      <c r="AR3" s="67">
        <v>107.92</v>
      </c>
      <c r="AS3" s="68">
        <v>0</v>
      </c>
      <c r="AT3" s="63"/>
      <c r="AU3" s="63"/>
      <c r="AV3" s="762"/>
      <c r="AW3" s="8">
        <f t="shared" ref="AW3:AW29" si="1">+B3*12</f>
        <v>2796</v>
      </c>
      <c r="AX3" s="485">
        <f t="shared" ref="AX3:AX29" si="2">+T3-AW3</f>
        <v>-2796</v>
      </c>
      <c r="AY3" s="14">
        <f t="shared" si="0"/>
        <v>-1</v>
      </c>
      <c r="AZ3" s="178" t="s">
        <v>317</v>
      </c>
      <c r="BA3" s="178" t="s">
        <v>318</v>
      </c>
    </row>
    <row r="4" spans="1:57" ht="15" outlineLevel="1" x14ac:dyDescent="0.25">
      <c r="A4" s="95" t="s">
        <v>214</v>
      </c>
      <c r="B4" s="62">
        <v>0</v>
      </c>
      <c r="C4" s="54">
        <v>0</v>
      </c>
      <c r="D4" s="54">
        <v>0</v>
      </c>
      <c r="E4" s="63"/>
      <c r="F4" s="64"/>
      <c r="G4" s="65">
        <v>0</v>
      </c>
      <c r="H4" s="54">
        <v>0</v>
      </c>
      <c r="I4" s="54">
        <v>0</v>
      </c>
      <c r="J4" s="54">
        <v>0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0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0</v>
      </c>
      <c r="AH4" s="67">
        <v>0</v>
      </c>
      <c r="AI4" s="67">
        <v>0</v>
      </c>
      <c r="AJ4" s="67">
        <v>0</v>
      </c>
      <c r="AK4" s="67">
        <v>0</v>
      </c>
      <c r="AL4" s="67">
        <v>0</v>
      </c>
      <c r="AM4" s="67">
        <v>0</v>
      </c>
      <c r="AN4" s="67">
        <v>0</v>
      </c>
      <c r="AO4" s="67">
        <v>0</v>
      </c>
      <c r="AP4" s="67">
        <v>0</v>
      </c>
      <c r="AQ4" s="67">
        <v>0</v>
      </c>
      <c r="AR4" s="67">
        <v>0</v>
      </c>
      <c r="AS4" s="68">
        <v>0</v>
      </c>
      <c r="AT4" s="63"/>
      <c r="AU4" s="63"/>
      <c r="AV4" s="762"/>
      <c r="AW4" s="8">
        <f t="shared" si="1"/>
        <v>0</v>
      </c>
      <c r="AX4" s="485">
        <f t="shared" si="2"/>
        <v>0</v>
      </c>
      <c r="AY4" s="14" t="e">
        <f t="shared" si="0"/>
        <v>#DIV/0!</v>
      </c>
      <c r="AZ4" s="178" t="s">
        <v>320</v>
      </c>
      <c r="BA4" s="178" t="s">
        <v>276</v>
      </c>
    </row>
    <row r="5" spans="1:57" ht="15" outlineLevel="1" x14ac:dyDescent="0.25">
      <c r="A5" s="95" t="s">
        <v>215</v>
      </c>
      <c r="B5" s="62">
        <v>148.68</v>
      </c>
      <c r="C5" s="54"/>
      <c r="D5" s="54">
        <v>0</v>
      </c>
      <c r="E5" s="63"/>
      <c r="F5" s="64"/>
      <c r="G5" s="65">
        <v>148.68</v>
      </c>
      <c r="H5" s="54">
        <v>148.68</v>
      </c>
      <c r="I5" s="54">
        <v>148.68</v>
      </c>
      <c r="J5" s="54">
        <v>148.68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594.72</v>
      </c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66"/>
      <c r="AG5" s="67">
        <v>0</v>
      </c>
      <c r="AH5" s="67">
        <v>0</v>
      </c>
      <c r="AI5" s="67">
        <v>0</v>
      </c>
      <c r="AJ5" s="67">
        <v>0</v>
      </c>
      <c r="AK5" s="67">
        <v>0</v>
      </c>
      <c r="AL5" s="67">
        <v>0</v>
      </c>
      <c r="AM5" s="67">
        <v>0</v>
      </c>
      <c r="AN5" s="67">
        <v>0</v>
      </c>
      <c r="AO5" s="67">
        <v>0</v>
      </c>
      <c r="AP5" s="67">
        <v>0</v>
      </c>
      <c r="AQ5" s="67">
        <v>0</v>
      </c>
      <c r="AR5" s="67">
        <v>148.68</v>
      </c>
      <c r="AS5" s="68">
        <v>0</v>
      </c>
      <c r="AT5" s="63"/>
      <c r="AU5" s="63"/>
      <c r="AV5" s="762"/>
      <c r="AW5" s="8">
        <f t="shared" si="1"/>
        <v>1784.16</v>
      </c>
      <c r="AX5" s="485">
        <f t="shared" si="2"/>
        <v>-1784.16</v>
      </c>
      <c r="AY5" s="14">
        <f t="shared" si="0"/>
        <v>-1</v>
      </c>
      <c r="AZ5" s="178" t="s">
        <v>321</v>
      </c>
      <c r="BA5" s="178" t="s">
        <v>276</v>
      </c>
      <c r="BE5" s="178" t="s">
        <v>319</v>
      </c>
    </row>
    <row r="6" spans="1:57" ht="15" outlineLevel="1" x14ac:dyDescent="0.25">
      <c r="A6" s="95" t="s">
        <v>216</v>
      </c>
      <c r="B6" s="62">
        <v>74283.899999999994</v>
      </c>
      <c r="C6" s="54">
        <v>0</v>
      </c>
      <c r="D6" s="54">
        <v>77001.25</v>
      </c>
      <c r="E6" s="63"/>
      <c r="F6" s="64">
        <v>96.47103131442671</v>
      </c>
      <c r="G6" s="65">
        <v>89796.52</v>
      </c>
      <c r="H6" s="54">
        <v>92155.71</v>
      </c>
      <c r="I6" s="54">
        <v>95562.92</v>
      </c>
      <c r="J6" s="54">
        <v>74283.899999999994</v>
      </c>
      <c r="K6" s="56">
        <v>-1997.52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351799.05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103744.61</v>
      </c>
      <c r="AH6" s="67">
        <v>90648.12</v>
      </c>
      <c r="AI6" s="67">
        <v>86120.5</v>
      </c>
      <c r="AJ6" s="67">
        <v>77001.25</v>
      </c>
      <c r="AK6" s="67">
        <v>76399.87</v>
      </c>
      <c r="AL6" s="67">
        <v>94725.51</v>
      </c>
      <c r="AM6" s="67">
        <v>93639.91</v>
      </c>
      <c r="AN6" s="67">
        <v>81534.100000000006</v>
      </c>
      <c r="AO6" s="67">
        <v>79426.78</v>
      </c>
      <c r="AP6" s="67">
        <v>89598.12</v>
      </c>
      <c r="AQ6" s="67">
        <v>77917.78</v>
      </c>
      <c r="AR6" s="67">
        <v>91972.52</v>
      </c>
      <c r="AS6" s="68">
        <v>357514.48</v>
      </c>
      <c r="AT6" s="63"/>
      <c r="AU6" s="63">
        <v>98.401343072873573</v>
      </c>
      <c r="AV6" s="762"/>
      <c r="AW6" s="8">
        <f t="shared" si="1"/>
        <v>891406.79999999993</v>
      </c>
      <c r="AX6" s="763">
        <f t="shared" si="2"/>
        <v>-891406.79999999993</v>
      </c>
      <c r="AY6" s="14">
        <f>+AX6/AW6</f>
        <v>-1</v>
      </c>
      <c r="AZ6" s="178" t="s">
        <v>322</v>
      </c>
      <c r="BA6" s="178" t="s">
        <v>276</v>
      </c>
    </row>
    <row r="7" spans="1:57" ht="15" outlineLevel="1" x14ac:dyDescent="0.25">
      <c r="A7" s="95" t="s">
        <v>148</v>
      </c>
      <c r="B7" s="62">
        <v>7083.76</v>
      </c>
      <c r="C7" s="54">
        <v>0</v>
      </c>
      <c r="D7" s="54">
        <v>23677.03</v>
      </c>
      <c r="E7" s="63"/>
      <c r="F7" s="64">
        <v>29.918279446366373</v>
      </c>
      <c r="G7" s="65">
        <v>9257.86</v>
      </c>
      <c r="H7" s="54">
        <v>9075.08</v>
      </c>
      <c r="I7" s="54">
        <v>10254.59</v>
      </c>
      <c r="J7" s="54">
        <v>7083.76</v>
      </c>
      <c r="K7" s="56">
        <v>-391.2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35671.29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24847.5</v>
      </c>
      <c r="AH7" s="67">
        <v>29272.13</v>
      </c>
      <c r="AI7" s="67">
        <v>24161.82</v>
      </c>
      <c r="AJ7" s="67">
        <v>23677.03</v>
      </c>
      <c r="AK7" s="67">
        <v>31282.38</v>
      </c>
      <c r="AL7" s="67">
        <v>33297.089999999997</v>
      </c>
      <c r="AM7" s="67">
        <v>33342.910000000003</v>
      </c>
      <c r="AN7" s="67">
        <v>20947.13</v>
      </c>
      <c r="AO7" s="67">
        <v>66320.210000000006</v>
      </c>
      <c r="AP7" s="67">
        <v>20006.5</v>
      </c>
      <c r="AQ7" s="67">
        <v>5788.08</v>
      </c>
      <c r="AR7" s="67">
        <v>9210.9</v>
      </c>
      <c r="AS7" s="68">
        <v>101958.48</v>
      </c>
      <c r="AT7" s="63"/>
      <c r="AU7" s="63">
        <v>34.98609433957823</v>
      </c>
      <c r="AV7" s="762"/>
      <c r="AW7" s="8">
        <f t="shared" si="1"/>
        <v>85005.119999999995</v>
      </c>
      <c r="AX7" s="485">
        <f t="shared" si="2"/>
        <v>-85005.119999999995</v>
      </c>
      <c r="AY7" s="14">
        <f t="shared" ref="AY7:AY29" si="3">+AX7/AW7</f>
        <v>-1</v>
      </c>
      <c r="AZ7" s="178" t="s">
        <v>323</v>
      </c>
      <c r="BA7" s="178" t="s">
        <v>266</v>
      </c>
    </row>
    <row r="8" spans="1:57" ht="15" outlineLevel="1" x14ac:dyDescent="0.25">
      <c r="A8" s="95" t="s">
        <v>17</v>
      </c>
      <c r="B8" s="62">
        <v>58875.79</v>
      </c>
      <c r="C8" s="54">
        <v>0</v>
      </c>
      <c r="D8" s="54">
        <v>71883.679999999993</v>
      </c>
      <c r="E8" s="63"/>
      <c r="F8" s="64">
        <v>81.904251423967168</v>
      </c>
      <c r="G8" s="65">
        <v>72446.98</v>
      </c>
      <c r="H8" s="54">
        <v>67671.520000000004</v>
      </c>
      <c r="I8" s="54">
        <v>73441.67</v>
      </c>
      <c r="J8" s="54">
        <v>58875.79</v>
      </c>
      <c r="K8" s="56">
        <v>-1572.66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66">
        <v>272435.96000000002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66">
        <v>0</v>
      </c>
      <c r="AG8" s="67">
        <v>60270.21</v>
      </c>
      <c r="AH8" s="67">
        <v>71607.69</v>
      </c>
      <c r="AI8" s="67">
        <v>76684.83</v>
      </c>
      <c r="AJ8" s="67">
        <v>71883.679999999993</v>
      </c>
      <c r="AK8" s="67">
        <v>88205.3</v>
      </c>
      <c r="AL8" s="67">
        <v>74003.460000000006</v>
      </c>
      <c r="AM8" s="67">
        <v>103212.11</v>
      </c>
      <c r="AN8" s="67">
        <v>44659.54</v>
      </c>
      <c r="AO8" s="67">
        <v>69758.59</v>
      </c>
      <c r="AP8" s="67">
        <v>78033.929999999993</v>
      </c>
      <c r="AQ8" s="67">
        <v>73213.820000000007</v>
      </c>
      <c r="AR8" s="67">
        <v>79206.759999999995</v>
      </c>
      <c r="AS8" s="68">
        <v>280446.40999999997</v>
      </c>
      <c r="AT8" s="63"/>
      <c r="AU8" s="63">
        <v>97.143678893946259</v>
      </c>
      <c r="AV8" s="762"/>
      <c r="AW8" s="8">
        <f t="shared" si="1"/>
        <v>706509.48</v>
      </c>
      <c r="AX8" s="485">
        <f t="shared" si="2"/>
        <v>-706509.48</v>
      </c>
      <c r="AY8" s="14">
        <f t="shared" si="3"/>
        <v>-1</v>
      </c>
      <c r="AZ8" s="178" t="s">
        <v>324</v>
      </c>
      <c r="BA8" s="178" t="s">
        <v>266</v>
      </c>
    </row>
    <row r="9" spans="1:57" ht="15" outlineLevel="1" x14ac:dyDescent="0.25">
      <c r="A9" s="95" t="s">
        <v>16</v>
      </c>
      <c r="B9" s="62">
        <v>52167.02</v>
      </c>
      <c r="C9" s="54">
        <v>0</v>
      </c>
      <c r="D9" s="54">
        <v>64482.01</v>
      </c>
      <c r="E9" s="63"/>
      <c r="F9" s="64">
        <v>80.901665441260278</v>
      </c>
      <c r="G9" s="65">
        <v>66086.25</v>
      </c>
      <c r="H9" s="54">
        <v>59049.22</v>
      </c>
      <c r="I9" s="54">
        <v>65102.6</v>
      </c>
      <c r="J9" s="54">
        <v>52167.02</v>
      </c>
      <c r="K9" s="56">
        <v>-1401.82</v>
      </c>
      <c r="L9" s="54">
        <v>0</v>
      </c>
      <c r="M9" s="54">
        <v>0</v>
      </c>
      <c r="N9" s="54">
        <v>0</v>
      </c>
      <c r="O9" s="54">
        <v>0</v>
      </c>
      <c r="P9" s="54">
        <v>0</v>
      </c>
      <c r="Q9" s="54">
        <v>0</v>
      </c>
      <c r="R9" s="54">
        <v>0</v>
      </c>
      <c r="S9" s="66">
        <v>242405.09</v>
      </c>
      <c r="T9" s="54">
        <v>0</v>
      </c>
      <c r="U9" s="54">
        <v>0</v>
      </c>
      <c r="V9" s="54">
        <v>0</v>
      </c>
      <c r="W9" s="54">
        <v>0</v>
      </c>
      <c r="X9" s="54">
        <v>0</v>
      </c>
      <c r="Y9" s="54">
        <v>0</v>
      </c>
      <c r="Z9" s="54">
        <v>0</v>
      </c>
      <c r="AA9" s="54">
        <v>0</v>
      </c>
      <c r="AB9" s="54">
        <v>0</v>
      </c>
      <c r="AC9" s="54">
        <v>0</v>
      </c>
      <c r="AD9" s="54">
        <v>0</v>
      </c>
      <c r="AE9" s="54">
        <v>0</v>
      </c>
      <c r="AF9" s="66">
        <v>0</v>
      </c>
      <c r="AG9" s="67">
        <v>64249.97</v>
      </c>
      <c r="AH9" s="67">
        <v>74403.22</v>
      </c>
      <c r="AI9" s="67">
        <v>68879.87</v>
      </c>
      <c r="AJ9" s="67">
        <v>64482.01</v>
      </c>
      <c r="AK9" s="67">
        <v>43792.88</v>
      </c>
      <c r="AL9" s="67">
        <v>60184.07</v>
      </c>
      <c r="AM9" s="67">
        <v>56915.61</v>
      </c>
      <c r="AN9" s="67">
        <v>61485.24</v>
      </c>
      <c r="AO9" s="67">
        <v>59360.33</v>
      </c>
      <c r="AP9" s="67">
        <v>55974.69</v>
      </c>
      <c r="AQ9" s="67">
        <v>60741.49</v>
      </c>
      <c r="AR9" s="67">
        <v>66745.56</v>
      </c>
      <c r="AS9" s="68">
        <v>272015.07</v>
      </c>
      <c r="AT9" s="63"/>
      <c r="AU9" s="63">
        <v>89.114581041410688</v>
      </c>
      <c r="AV9" s="762"/>
      <c r="AW9" s="8">
        <f t="shared" si="1"/>
        <v>626004.24</v>
      </c>
      <c r="AX9" s="485">
        <f t="shared" si="2"/>
        <v>-626004.24</v>
      </c>
      <c r="AY9" s="14">
        <f t="shared" si="3"/>
        <v>-1</v>
      </c>
      <c r="AZ9" s="178" t="s">
        <v>325</v>
      </c>
      <c r="BA9" s="178" t="s">
        <v>266</v>
      </c>
    </row>
    <row r="10" spans="1:57" ht="15" outlineLevel="1" x14ac:dyDescent="0.25">
      <c r="A10" s="95" t="s">
        <v>149</v>
      </c>
      <c r="B10" s="62">
        <v>158199.49</v>
      </c>
      <c r="C10" s="54">
        <v>0</v>
      </c>
      <c r="D10" s="54">
        <v>151897.49</v>
      </c>
      <c r="E10" s="63"/>
      <c r="F10" s="64">
        <v>104.14885064921086</v>
      </c>
      <c r="G10" s="65">
        <v>168433.51</v>
      </c>
      <c r="H10" s="54">
        <v>175698.14</v>
      </c>
      <c r="I10" s="54">
        <v>183570.51</v>
      </c>
      <c r="J10" s="54">
        <v>158199.49</v>
      </c>
      <c r="K10" s="56">
        <v>-5094.3900000000003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66">
        <v>685901.65</v>
      </c>
      <c r="T10" s="54">
        <v>0</v>
      </c>
      <c r="U10" s="54">
        <v>0</v>
      </c>
      <c r="V10" s="54">
        <v>0</v>
      </c>
      <c r="W10" s="54">
        <v>0</v>
      </c>
      <c r="X10" s="54">
        <v>0</v>
      </c>
      <c r="Y10" s="54">
        <v>0</v>
      </c>
      <c r="Z10" s="54">
        <v>0</v>
      </c>
      <c r="AA10" s="54">
        <v>0</v>
      </c>
      <c r="AB10" s="54">
        <v>0</v>
      </c>
      <c r="AC10" s="54">
        <v>0</v>
      </c>
      <c r="AD10" s="54">
        <v>0</v>
      </c>
      <c r="AE10" s="54">
        <v>0</v>
      </c>
      <c r="AF10" s="66">
        <v>0</v>
      </c>
      <c r="AG10" s="67">
        <v>149195.76</v>
      </c>
      <c r="AH10" s="67">
        <v>171826.55</v>
      </c>
      <c r="AI10" s="67">
        <v>181035.69</v>
      </c>
      <c r="AJ10" s="67">
        <v>151897.49</v>
      </c>
      <c r="AK10" s="67">
        <v>145058.85</v>
      </c>
      <c r="AL10" s="67">
        <v>165475.17000000001</v>
      </c>
      <c r="AM10" s="67">
        <v>154498.13</v>
      </c>
      <c r="AN10" s="67">
        <v>214542.7</v>
      </c>
      <c r="AO10" s="67">
        <v>157365.19</v>
      </c>
      <c r="AP10" s="67">
        <v>182499.47</v>
      </c>
      <c r="AQ10" s="67">
        <v>188841.29</v>
      </c>
      <c r="AR10" s="67">
        <v>187827.18</v>
      </c>
      <c r="AS10" s="68">
        <v>653955.49</v>
      </c>
      <c r="AT10" s="63"/>
      <c r="AU10" s="63">
        <v>104.88506641331202</v>
      </c>
      <c r="AV10" s="762"/>
      <c r="AW10" s="8">
        <f t="shared" si="1"/>
        <v>1898393.88</v>
      </c>
      <c r="AX10" s="485">
        <f t="shared" si="2"/>
        <v>-1898393.88</v>
      </c>
      <c r="AY10" s="14">
        <f t="shared" si="3"/>
        <v>-1</v>
      </c>
      <c r="AZ10" s="178" t="s">
        <v>327</v>
      </c>
      <c r="BA10" s="178" t="s">
        <v>266</v>
      </c>
    </row>
    <row r="11" spans="1:57" ht="15" outlineLevel="1" x14ac:dyDescent="0.25">
      <c r="A11" s="95" t="s">
        <v>15</v>
      </c>
      <c r="B11" s="62">
        <v>161058.5</v>
      </c>
      <c r="C11" s="54">
        <v>0</v>
      </c>
      <c r="D11" s="54">
        <v>141223.97</v>
      </c>
      <c r="E11" s="63"/>
      <c r="F11" s="64">
        <v>114.04473334094772</v>
      </c>
      <c r="G11" s="65">
        <v>160481.48000000001</v>
      </c>
      <c r="H11" s="54">
        <v>148770.79999999999</v>
      </c>
      <c r="I11" s="54">
        <v>159296.07</v>
      </c>
      <c r="J11" s="54">
        <v>161058.5</v>
      </c>
      <c r="K11" s="56">
        <v>-3784.25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66">
        <v>629606.85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0</v>
      </c>
      <c r="AC11" s="54">
        <v>0</v>
      </c>
      <c r="AD11" s="54">
        <v>0</v>
      </c>
      <c r="AE11" s="54">
        <v>0</v>
      </c>
      <c r="AF11" s="66">
        <v>0</v>
      </c>
      <c r="AG11" s="67">
        <v>136687.01999999999</v>
      </c>
      <c r="AH11" s="67">
        <v>155304.31</v>
      </c>
      <c r="AI11" s="67">
        <v>141583.06</v>
      </c>
      <c r="AJ11" s="67">
        <v>141223.97</v>
      </c>
      <c r="AK11" s="67">
        <v>128896.57</v>
      </c>
      <c r="AL11" s="67">
        <v>138831.78</v>
      </c>
      <c r="AM11" s="67">
        <v>149107.82999999999</v>
      </c>
      <c r="AN11" s="67">
        <v>141868.28</v>
      </c>
      <c r="AO11" s="67">
        <v>142269.25</v>
      </c>
      <c r="AP11" s="67">
        <v>156798.67000000001</v>
      </c>
      <c r="AQ11" s="67">
        <v>153778.26999999999</v>
      </c>
      <c r="AR11" s="67">
        <v>171100.82</v>
      </c>
      <c r="AS11" s="68">
        <v>574798.36</v>
      </c>
      <c r="AT11" s="63"/>
      <c r="AU11" s="63">
        <v>109.53525511102711</v>
      </c>
      <c r="AV11" s="762"/>
      <c r="AW11" s="8">
        <f t="shared" si="1"/>
        <v>1932702</v>
      </c>
      <c r="AX11" s="763">
        <f t="shared" si="2"/>
        <v>-1932702</v>
      </c>
      <c r="AY11" s="14">
        <f t="shared" si="3"/>
        <v>-1</v>
      </c>
      <c r="AZ11" s="178" t="s">
        <v>326</v>
      </c>
      <c r="BA11" s="178" t="s">
        <v>266</v>
      </c>
    </row>
    <row r="12" spans="1:57" ht="15" outlineLevel="1" x14ac:dyDescent="0.25">
      <c r="A12" s="95" t="s">
        <v>217</v>
      </c>
      <c r="B12" s="62">
        <v>6599.83</v>
      </c>
      <c r="C12" s="54">
        <v>0</v>
      </c>
      <c r="D12" s="54">
        <v>8602.82</v>
      </c>
      <c r="E12" s="63"/>
      <c r="F12" s="64">
        <v>76.717053245331186</v>
      </c>
      <c r="G12" s="65">
        <v>19105.75</v>
      </c>
      <c r="H12" s="54">
        <v>9370.15</v>
      </c>
      <c r="I12" s="54">
        <v>4593.84</v>
      </c>
      <c r="J12" s="54">
        <v>6599.83</v>
      </c>
      <c r="K12" s="56">
        <v>-414.36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66">
        <v>39669.57</v>
      </c>
      <c r="T12" s="54">
        <v>0</v>
      </c>
      <c r="U12" s="54">
        <v>0</v>
      </c>
      <c r="V12" s="54">
        <v>0</v>
      </c>
      <c r="W12" s="54">
        <v>0</v>
      </c>
      <c r="X12" s="54">
        <v>0</v>
      </c>
      <c r="Y12" s="54">
        <v>0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66">
        <v>0</v>
      </c>
      <c r="AG12" s="67">
        <v>8873.68</v>
      </c>
      <c r="AH12" s="67">
        <v>9517.9599999999991</v>
      </c>
      <c r="AI12" s="67">
        <v>9139</v>
      </c>
      <c r="AJ12" s="67">
        <v>8602.82</v>
      </c>
      <c r="AK12" s="67">
        <v>11159.39</v>
      </c>
      <c r="AL12" s="67">
        <v>13204.52</v>
      </c>
      <c r="AM12" s="67">
        <v>8109.81</v>
      </c>
      <c r="AN12" s="67">
        <v>11926.56</v>
      </c>
      <c r="AO12" s="67">
        <v>19066.740000000002</v>
      </c>
      <c r="AP12" s="67">
        <v>17552.72</v>
      </c>
      <c r="AQ12" s="67">
        <v>20003.72</v>
      </c>
      <c r="AR12" s="67">
        <v>19631.580000000002</v>
      </c>
      <c r="AS12" s="68">
        <v>36133.46</v>
      </c>
      <c r="AT12" s="63"/>
      <c r="AU12" s="63">
        <v>109.78624798178751</v>
      </c>
      <c r="AV12" s="762"/>
      <c r="AW12" s="8">
        <f t="shared" si="1"/>
        <v>79197.959999999992</v>
      </c>
      <c r="AX12" s="485">
        <f t="shared" si="2"/>
        <v>-79197.959999999992</v>
      </c>
      <c r="AY12" s="14">
        <f t="shared" si="3"/>
        <v>-1</v>
      </c>
      <c r="AZ12" s="178" t="s">
        <v>328</v>
      </c>
      <c r="BA12" s="178" t="s">
        <v>338</v>
      </c>
    </row>
    <row r="13" spans="1:57" ht="15" outlineLevel="1" x14ac:dyDescent="0.25">
      <c r="A13" s="95" t="s">
        <v>218</v>
      </c>
      <c r="B13" s="62">
        <v>6984.8</v>
      </c>
      <c r="C13" s="54">
        <v>0</v>
      </c>
      <c r="D13" s="54">
        <v>10306.31</v>
      </c>
      <c r="E13" s="63"/>
      <c r="F13" s="64">
        <v>67.772073613155442</v>
      </c>
      <c r="G13" s="65">
        <v>737.36</v>
      </c>
      <c r="H13" s="54">
        <v>10923.69</v>
      </c>
      <c r="I13" s="54">
        <v>7126.85</v>
      </c>
      <c r="J13" s="54">
        <v>6984.8</v>
      </c>
      <c r="K13" s="56">
        <v>-153.41999999999999</v>
      </c>
      <c r="L13" s="54">
        <v>0</v>
      </c>
      <c r="M13" s="54">
        <v>0</v>
      </c>
      <c r="N13" s="54">
        <v>0</v>
      </c>
      <c r="O13" s="54">
        <v>0</v>
      </c>
      <c r="P13" s="54">
        <v>0</v>
      </c>
      <c r="Q13" s="54">
        <v>0</v>
      </c>
      <c r="R13" s="54">
        <v>0</v>
      </c>
      <c r="S13" s="66">
        <v>25772.7</v>
      </c>
      <c r="T13" s="54">
        <v>0</v>
      </c>
      <c r="U13" s="54">
        <v>0</v>
      </c>
      <c r="V13" s="54">
        <v>0</v>
      </c>
      <c r="W13" s="54">
        <v>0</v>
      </c>
      <c r="X13" s="54">
        <v>0</v>
      </c>
      <c r="Y13" s="54">
        <v>0</v>
      </c>
      <c r="Z13" s="54">
        <v>0</v>
      </c>
      <c r="AA13" s="54">
        <v>0</v>
      </c>
      <c r="AB13" s="54">
        <v>0</v>
      </c>
      <c r="AC13" s="54">
        <v>0</v>
      </c>
      <c r="AD13" s="54">
        <v>0</v>
      </c>
      <c r="AE13" s="54">
        <v>0</v>
      </c>
      <c r="AF13" s="66">
        <v>0</v>
      </c>
      <c r="AG13" s="67">
        <v>10632.39</v>
      </c>
      <c r="AH13" s="67">
        <v>11680.75</v>
      </c>
      <c r="AI13" s="67">
        <v>10686.25</v>
      </c>
      <c r="AJ13" s="67">
        <v>10306.31</v>
      </c>
      <c r="AK13" s="67">
        <v>11167.02</v>
      </c>
      <c r="AL13" s="67">
        <v>5975.95</v>
      </c>
      <c r="AM13" s="67">
        <v>5408.48</v>
      </c>
      <c r="AN13" s="67">
        <v>9831.0400000000009</v>
      </c>
      <c r="AO13" s="67">
        <v>10654.4</v>
      </c>
      <c r="AP13" s="67">
        <v>180.97</v>
      </c>
      <c r="AQ13" s="67">
        <v>419.74</v>
      </c>
      <c r="AR13" s="67">
        <v>15746.33</v>
      </c>
      <c r="AS13" s="68">
        <v>43305.7</v>
      </c>
      <c r="AT13" s="63"/>
      <c r="AU13" s="63">
        <v>59.513412783998412</v>
      </c>
      <c r="AV13" s="762"/>
      <c r="AW13" s="8">
        <f t="shared" si="1"/>
        <v>83817.600000000006</v>
      </c>
      <c r="AX13" s="485">
        <f t="shared" si="2"/>
        <v>-83817.600000000006</v>
      </c>
      <c r="AY13" s="14">
        <f t="shared" si="3"/>
        <v>-1</v>
      </c>
      <c r="AZ13" s="178" t="s">
        <v>329</v>
      </c>
      <c r="BA13" s="178" t="s">
        <v>338</v>
      </c>
    </row>
    <row r="14" spans="1:57" ht="15" outlineLevel="1" x14ac:dyDescent="0.25">
      <c r="A14" s="95" t="s">
        <v>219</v>
      </c>
      <c r="B14" s="62">
        <v>16708.2</v>
      </c>
      <c r="C14" s="54">
        <v>0</v>
      </c>
      <c r="D14" s="54">
        <v>7854.26</v>
      </c>
      <c r="E14" s="63"/>
      <c r="F14" s="64">
        <v>212.72786997120033</v>
      </c>
      <c r="G14" s="65">
        <v>12496.76</v>
      </c>
      <c r="H14" s="54">
        <v>13805.17</v>
      </c>
      <c r="I14" s="54">
        <v>16525.21</v>
      </c>
      <c r="J14" s="54">
        <v>16708.2</v>
      </c>
      <c r="K14" s="56">
        <v>-324.02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59535.34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67">
        <v>7534.04</v>
      </c>
      <c r="AH14" s="67">
        <v>8935.7099999999991</v>
      </c>
      <c r="AI14" s="67">
        <v>8157.58</v>
      </c>
      <c r="AJ14" s="67">
        <v>7854.26</v>
      </c>
      <c r="AK14" s="67">
        <v>9553.0499999999993</v>
      </c>
      <c r="AL14" s="67">
        <v>9281.19</v>
      </c>
      <c r="AM14" s="67">
        <v>8711.98</v>
      </c>
      <c r="AN14" s="67">
        <v>7135.86</v>
      </c>
      <c r="AO14" s="67">
        <v>5866.88</v>
      </c>
      <c r="AP14" s="67">
        <v>14900.13</v>
      </c>
      <c r="AQ14" s="67">
        <v>15357.22</v>
      </c>
      <c r="AR14" s="67">
        <v>11154.63</v>
      </c>
      <c r="AS14" s="68">
        <v>32481.59</v>
      </c>
      <c r="AT14" s="63"/>
      <c r="AU14" s="63">
        <v>183.28948798380867</v>
      </c>
      <c r="AV14" s="762"/>
      <c r="AW14" s="8">
        <f t="shared" si="1"/>
        <v>200498.40000000002</v>
      </c>
      <c r="AX14" s="485">
        <f t="shared" si="2"/>
        <v>-200498.40000000002</v>
      </c>
      <c r="AY14" s="14">
        <f t="shared" si="3"/>
        <v>-1</v>
      </c>
      <c r="AZ14" s="178" t="s">
        <v>330</v>
      </c>
      <c r="BA14" s="178" t="s">
        <v>338</v>
      </c>
    </row>
    <row r="15" spans="1:57" ht="15" outlineLevel="1" x14ac:dyDescent="0.25">
      <c r="A15" s="95" t="s">
        <v>220</v>
      </c>
      <c r="B15" s="62">
        <v>741.13</v>
      </c>
      <c r="C15" s="54">
        <v>0</v>
      </c>
      <c r="D15" s="54">
        <v>0</v>
      </c>
      <c r="E15" s="63"/>
      <c r="F15" s="64"/>
      <c r="G15" s="65">
        <v>0</v>
      </c>
      <c r="H15" s="54">
        <v>48.13</v>
      </c>
      <c r="I15" s="54">
        <v>2265.75</v>
      </c>
      <c r="J15" s="54">
        <v>741.13</v>
      </c>
      <c r="K15" s="54">
        <v>0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66">
        <v>3055.01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66">
        <v>0</v>
      </c>
      <c r="AG15" s="67">
        <v>0</v>
      </c>
      <c r="AH15" s="67">
        <v>0</v>
      </c>
      <c r="AI15" s="67">
        <v>0</v>
      </c>
      <c r="AJ15" s="67">
        <v>0</v>
      </c>
      <c r="AK15" s="67">
        <v>0</v>
      </c>
      <c r="AL15" s="67">
        <v>66.540000000000006</v>
      </c>
      <c r="AM15" s="67">
        <v>66.540000000000006</v>
      </c>
      <c r="AN15" s="67">
        <v>66.540000000000006</v>
      </c>
      <c r="AO15" s="67">
        <v>66.540000000000006</v>
      </c>
      <c r="AP15" s="67">
        <v>66.540000000000006</v>
      </c>
      <c r="AQ15" s="67">
        <v>66.540000000000006</v>
      </c>
      <c r="AR15" s="67">
        <v>66.540000000000006</v>
      </c>
      <c r="AS15" s="68">
        <v>0</v>
      </c>
      <c r="AT15" s="63"/>
      <c r="AU15" s="63"/>
      <c r="AV15" s="762"/>
      <c r="AW15" s="8">
        <f t="shared" si="1"/>
        <v>8893.56</v>
      </c>
      <c r="AX15" s="485">
        <f t="shared" si="2"/>
        <v>-8893.56</v>
      </c>
      <c r="AY15" s="14">
        <f t="shared" si="3"/>
        <v>-1</v>
      </c>
      <c r="AZ15" s="178" t="s">
        <v>284</v>
      </c>
      <c r="BA15" s="178" t="s">
        <v>338</v>
      </c>
    </row>
    <row r="16" spans="1:57" ht="15" outlineLevel="1" x14ac:dyDescent="0.25">
      <c r="A16" s="95" t="s">
        <v>221</v>
      </c>
      <c r="B16" s="62">
        <v>77131.199999999997</v>
      </c>
      <c r="C16" s="54">
        <v>0</v>
      </c>
      <c r="D16" s="54">
        <v>56742.83</v>
      </c>
      <c r="E16" s="63"/>
      <c r="F16" s="64">
        <v>135.93118284724255</v>
      </c>
      <c r="G16" s="65">
        <v>40966.379999999997</v>
      </c>
      <c r="H16" s="54">
        <v>38014.050000000003</v>
      </c>
      <c r="I16" s="54">
        <v>20337.939999999999</v>
      </c>
      <c r="J16" s="54">
        <v>77131.199999999997</v>
      </c>
      <c r="K16" s="56">
        <v>-891.2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66">
        <v>176449.57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>
        <v>44339.5</v>
      </c>
      <c r="AH16" s="67">
        <v>50933.03</v>
      </c>
      <c r="AI16" s="67">
        <v>44633.96</v>
      </c>
      <c r="AJ16" s="67">
        <v>56742.83</v>
      </c>
      <c r="AK16" s="67">
        <v>69292.55</v>
      </c>
      <c r="AL16" s="67">
        <v>81684.41</v>
      </c>
      <c r="AM16" s="67">
        <v>72682.31</v>
      </c>
      <c r="AN16" s="67">
        <v>82202.33</v>
      </c>
      <c r="AO16" s="67">
        <v>76583.98</v>
      </c>
      <c r="AP16" s="67">
        <v>72140.160000000003</v>
      </c>
      <c r="AQ16" s="67">
        <v>101974.16</v>
      </c>
      <c r="AR16" s="67">
        <v>49271.18</v>
      </c>
      <c r="AS16" s="68">
        <v>196649.32</v>
      </c>
      <c r="AT16" s="63"/>
      <c r="AU16" s="63">
        <v>89.728034655802517</v>
      </c>
      <c r="AV16" s="762"/>
      <c r="AW16" s="8">
        <f t="shared" si="1"/>
        <v>925574.39999999991</v>
      </c>
      <c r="AX16" s="485">
        <f t="shared" si="2"/>
        <v>-925574.39999999991</v>
      </c>
      <c r="AY16" s="14">
        <f t="shared" si="3"/>
        <v>-1</v>
      </c>
      <c r="AZ16" s="178" t="s">
        <v>331</v>
      </c>
      <c r="BA16" s="178" t="s">
        <v>338</v>
      </c>
    </row>
    <row r="17" spans="1:53" ht="15" outlineLevel="1" x14ac:dyDescent="0.25">
      <c r="A17" s="95" t="s">
        <v>222</v>
      </c>
      <c r="B17" s="62">
        <v>8176.53</v>
      </c>
      <c r="C17" s="54">
        <v>0</v>
      </c>
      <c r="D17" s="54">
        <v>8381.67</v>
      </c>
      <c r="E17" s="63"/>
      <c r="F17" s="64">
        <v>97.552516383966434</v>
      </c>
      <c r="G17" s="65">
        <v>8559.67</v>
      </c>
      <c r="H17" s="54">
        <v>7810.76</v>
      </c>
      <c r="I17" s="54">
        <v>8486.73</v>
      </c>
      <c r="J17" s="54">
        <v>8176.53</v>
      </c>
      <c r="K17" s="56">
        <v>-185.27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33033.69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6907.7</v>
      </c>
      <c r="AH17" s="67">
        <v>9920.25</v>
      </c>
      <c r="AI17" s="67">
        <v>8759.3799999999992</v>
      </c>
      <c r="AJ17" s="67">
        <v>8381.67</v>
      </c>
      <c r="AK17" s="67">
        <v>4513.5</v>
      </c>
      <c r="AL17" s="67">
        <v>7258.29</v>
      </c>
      <c r="AM17" s="67">
        <v>8459.1299999999992</v>
      </c>
      <c r="AN17" s="67">
        <v>8239.01</v>
      </c>
      <c r="AO17" s="67">
        <v>8204.66</v>
      </c>
      <c r="AP17" s="67">
        <v>8066.99</v>
      </c>
      <c r="AQ17" s="67">
        <v>3810.94</v>
      </c>
      <c r="AR17" s="67">
        <v>8619.98</v>
      </c>
      <c r="AS17" s="68">
        <v>33969</v>
      </c>
      <c r="AT17" s="63"/>
      <c r="AU17" s="63">
        <v>97.246577762077195</v>
      </c>
      <c r="AV17" s="762"/>
      <c r="AW17" s="8">
        <f t="shared" si="1"/>
        <v>98118.36</v>
      </c>
      <c r="AX17" s="485">
        <f t="shared" si="2"/>
        <v>-98118.36</v>
      </c>
      <c r="AY17" s="14">
        <f t="shared" si="3"/>
        <v>-1</v>
      </c>
      <c r="AZ17" s="178" t="s">
        <v>282</v>
      </c>
      <c r="BA17" s="178" t="s">
        <v>334</v>
      </c>
    </row>
    <row r="18" spans="1:53" ht="15" outlineLevel="1" x14ac:dyDescent="0.25">
      <c r="A18" s="95" t="s">
        <v>223</v>
      </c>
      <c r="B18" s="62">
        <v>7470.72</v>
      </c>
      <c r="C18" s="54">
        <v>0</v>
      </c>
      <c r="D18" s="54">
        <v>6530.06</v>
      </c>
      <c r="E18" s="63"/>
      <c r="F18" s="64">
        <v>114.40507437910219</v>
      </c>
      <c r="G18" s="65">
        <v>8106.53</v>
      </c>
      <c r="H18" s="54">
        <v>6863.65</v>
      </c>
      <c r="I18" s="54">
        <v>5522.49</v>
      </c>
      <c r="J18" s="54">
        <v>7470.72</v>
      </c>
      <c r="K18" s="56">
        <v>-156.29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27963.39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5518.57</v>
      </c>
      <c r="AH18" s="67">
        <v>6946.53</v>
      </c>
      <c r="AI18" s="67">
        <v>2961.83</v>
      </c>
      <c r="AJ18" s="67">
        <v>6530.06</v>
      </c>
      <c r="AK18" s="67">
        <v>5327.98</v>
      </c>
      <c r="AL18" s="67">
        <v>6733.35</v>
      </c>
      <c r="AM18" s="67">
        <v>6209.36</v>
      </c>
      <c r="AN18" s="67">
        <v>6175.23</v>
      </c>
      <c r="AO18" s="67">
        <v>5977.94</v>
      </c>
      <c r="AP18" s="67">
        <v>6056.46</v>
      </c>
      <c r="AQ18" s="67">
        <v>6528.68</v>
      </c>
      <c r="AR18" s="67">
        <v>6358.4</v>
      </c>
      <c r="AS18" s="68">
        <v>21956.99</v>
      </c>
      <c r="AT18" s="63"/>
      <c r="AU18" s="63">
        <v>127.35529778899567</v>
      </c>
      <c r="AV18" s="762"/>
      <c r="AW18" s="8">
        <f t="shared" si="1"/>
        <v>89648.639999999999</v>
      </c>
      <c r="AX18" s="485">
        <f t="shared" si="2"/>
        <v>-89648.639999999999</v>
      </c>
      <c r="AY18" s="14">
        <f t="shared" si="3"/>
        <v>-1</v>
      </c>
      <c r="AZ18" s="178" t="s">
        <v>285</v>
      </c>
      <c r="BA18" s="178" t="s">
        <v>334</v>
      </c>
    </row>
    <row r="19" spans="1:53" ht="15" outlineLevel="1" x14ac:dyDescent="0.25">
      <c r="A19" s="95" t="s">
        <v>224</v>
      </c>
      <c r="B19" s="62">
        <v>13537.06</v>
      </c>
      <c r="C19" s="54">
        <v>0</v>
      </c>
      <c r="D19" s="54">
        <v>21207.68</v>
      </c>
      <c r="E19" s="63"/>
      <c r="F19" s="64">
        <v>63.830932945046321</v>
      </c>
      <c r="G19" s="65">
        <v>12340.95</v>
      </c>
      <c r="H19" s="54">
        <v>11948.59</v>
      </c>
      <c r="I19" s="54">
        <v>8927.94</v>
      </c>
      <c r="J19" s="54">
        <v>13537.06</v>
      </c>
      <c r="K19" s="56">
        <v>-448.31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46754.54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19966.560000000001</v>
      </c>
      <c r="AH19" s="67">
        <v>16990.77</v>
      </c>
      <c r="AI19" s="67">
        <v>16524.98</v>
      </c>
      <c r="AJ19" s="67">
        <v>21207.68</v>
      </c>
      <c r="AK19" s="67">
        <v>18226.73</v>
      </c>
      <c r="AL19" s="67">
        <v>22649.68</v>
      </c>
      <c r="AM19" s="67">
        <v>21520.32</v>
      </c>
      <c r="AN19" s="67">
        <v>23346.53</v>
      </c>
      <c r="AO19" s="67">
        <v>21804.09</v>
      </c>
      <c r="AP19" s="67">
        <v>23367.45</v>
      </c>
      <c r="AQ19" s="67">
        <v>72525.61</v>
      </c>
      <c r="AR19" s="67">
        <v>15391.19</v>
      </c>
      <c r="AS19" s="68">
        <v>74689.990000000005</v>
      </c>
      <c r="AT19" s="63"/>
      <c r="AU19" s="63">
        <v>62.598133966814025</v>
      </c>
      <c r="AV19" s="762"/>
      <c r="AW19" s="8">
        <f t="shared" si="1"/>
        <v>162444.72</v>
      </c>
      <c r="AX19" s="485">
        <f t="shared" si="2"/>
        <v>-162444.72</v>
      </c>
      <c r="AY19" s="14">
        <f t="shared" si="3"/>
        <v>-1</v>
      </c>
      <c r="AZ19" s="178" t="s">
        <v>281</v>
      </c>
      <c r="BA19" s="178" t="s">
        <v>334</v>
      </c>
    </row>
    <row r="20" spans="1:53" ht="15" outlineLevel="1" x14ac:dyDescent="0.25">
      <c r="A20" s="95" t="s">
        <v>225</v>
      </c>
      <c r="B20" s="62">
        <v>11117.58</v>
      </c>
      <c r="C20" s="54">
        <v>0</v>
      </c>
      <c r="D20" s="54">
        <v>12401.13</v>
      </c>
      <c r="E20" s="63"/>
      <c r="F20" s="64">
        <v>89.649733532347454</v>
      </c>
      <c r="G20" s="65">
        <v>13499.26</v>
      </c>
      <c r="H20" s="54">
        <v>13752.45</v>
      </c>
      <c r="I20" s="54">
        <v>9627.1299999999992</v>
      </c>
      <c r="J20" s="54">
        <v>11117.58</v>
      </c>
      <c r="K20" s="56">
        <v>-314.35000000000002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66">
        <v>47996.42</v>
      </c>
      <c r="T20" s="54">
        <v>0</v>
      </c>
      <c r="U20" s="54">
        <v>0</v>
      </c>
      <c r="V20" s="54">
        <v>0</v>
      </c>
      <c r="W20" s="54">
        <v>0</v>
      </c>
      <c r="X20" s="54">
        <v>0</v>
      </c>
      <c r="Y20" s="54">
        <v>0</v>
      </c>
      <c r="Z20" s="54">
        <v>0</v>
      </c>
      <c r="AA20" s="54">
        <v>0</v>
      </c>
      <c r="AB20" s="54">
        <v>0</v>
      </c>
      <c r="AC20" s="54">
        <v>0</v>
      </c>
      <c r="AD20" s="54">
        <v>0</v>
      </c>
      <c r="AE20" s="54">
        <v>0</v>
      </c>
      <c r="AF20" s="66">
        <v>0</v>
      </c>
      <c r="AG20" s="67">
        <v>12477.64</v>
      </c>
      <c r="AH20" s="67">
        <v>13580.37</v>
      </c>
      <c r="AI20" s="67">
        <v>13128.56</v>
      </c>
      <c r="AJ20" s="67">
        <v>12401.13</v>
      </c>
      <c r="AK20" s="67">
        <v>12089.62</v>
      </c>
      <c r="AL20" s="67">
        <v>14617.66</v>
      </c>
      <c r="AM20" s="67">
        <v>11826.27</v>
      </c>
      <c r="AN20" s="67">
        <v>13282.92</v>
      </c>
      <c r="AO20" s="67">
        <v>13108.7</v>
      </c>
      <c r="AP20" s="67">
        <v>11537.44</v>
      </c>
      <c r="AQ20" s="67">
        <v>13904.73</v>
      </c>
      <c r="AR20" s="67">
        <v>13721.44</v>
      </c>
      <c r="AS20" s="68">
        <v>51587.7</v>
      </c>
      <c r="AT20" s="63"/>
      <c r="AU20" s="63">
        <v>93.038495610387741</v>
      </c>
      <c r="AV20" s="762"/>
      <c r="AW20" s="8">
        <f t="shared" si="1"/>
        <v>133410.96</v>
      </c>
      <c r="AX20" s="485">
        <f t="shared" si="2"/>
        <v>-133410.96</v>
      </c>
      <c r="AY20" s="14">
        <f t="shared" si="3"/>
        <v>-1</v>
      </c>
      <c r="AZ20" s="178" t="s">
        <v>332</v>
      </c>
      <c r="BA20" s="178" t="s">
        <v>334</v>
      </c>
    </row>
    <row r="21" spans="1:53" ht="15" outlineLevel="1" x14ac:dyDescent="0.25">
      <c r="A21" s="95" t="s">
        <v>226</v>
      </c>
      <c r="B21" s="62">
        <v>0</v>
      </c>
      <c r="C21" s="54">
        <v>0</v>
      </c>
      <c r="D21" s="54">
        <v>1368.95</v>
      </c>
      <c r="E21" s="63"/>
      <c r="F21" s="64">
        <v>0</v>
      </c>
      <c r="G21" s="65">
        <v>1368.95</v>
      </c>
      <c r="H21" s="54">
        <v>1368.95</v>
      </c>
      <c r="I21" s="56">
        <v>-2737.9</v>
      </c>
      <c r="J21" s="54">
        <v>0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66">
        <v>0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4">
        <v>0</v>
      </c>
      <c r="AB21" s="54">
        <v>0</v>
      </c>
      <c r="AC21" s="54">
        <v>0</v>
      </c>
      <c r="AD21" s="54">
        <v>0</v>
      </c>
      <c r="AE21" s="54">
        <v>0</v>
      </c>
      <c r="AF21" s="66">
        <v>0</v>
      </c>
      <c r="AG21" s="67">
        <v>1313</v>
      </c>
      <c r="AH21" s="67">
        <v>1313</v>
      </c>
      <c r="AI21" s="67">
        <v>1313</v>
      </c>
      <c r="AJ21" s="67">
        <v>1368.95</v>
      </c>
      <c r="AK21" s="67">
        <v>1368.95</v>
      </c>
      <c r="AL21" s="67">
        <v>1368.95</v>
      </c>
      <c r="AM21" s="67">
        <v>1368.95</v>
      </c>
      <c r="AN21" s="67">
        <v>1368.95</v>
      </c>
      <c r="AO21" s="67">
        <v>1368.95</v>
      </c>
      <c r="AP21" s="67">
        <v>1368.95</v>
      </c>
      <c r="AQ21" s="98">
        <v>-13668.76</v>
      </c>
      <c r="AR21" s="67">
        <v>0</v>
      </c>
      <c r="AS21" s="68">
        <v>5307.95</v>
      </c>
      <c r="AT21" s="63"/>
      <c r="AU21" s="63">
        <v>0</v>
      </c>
      <c r="AV21" s="762"/>
      <c r="AW21" s="8">
        <f t="shared" si="1"/>
        <v>0</v>
      </c>
      <c r="AX21" s="485">
        <f t="shared" si="2"/>
        <v>0</v>
      </c>
      <c r="AY21" s="14" t="e">
        <f t="shared" si="3"/>
        <v>#DIV/0!</v>
      </c>
      <c r="AZ21" s="178" t="s">
        <v>333</v>
      </c>
      <c r="BA21" s="178" t="s">
        <v>334</v>
      </c>
    </row>
    <row r="22" spans="1:53" ht="15" outlineLevel="1" x14ac:dyDescent="0.25">
      <c r="A22" s="95" t="s">
        <v>227</v>
      </c>
      <c r="B22" s="62">
        <v>16958.52</v>
      </c>
      <c r="C22" s="54">
        <v>0</v>
      </c>
      <c r="D22" s="54">
        <v>20848.490000000002</v>
      </c>
      <c r="E22" s="63"/>
      <c r="F22" s="64">
        <v>81.341718273121941</v>
      </c>
      <c r="G22" s="65">
        <v>13373.96</v>
      </c>
      <c r="H22" s="54">
        <v>10950.56</v>
      </c>
      <c r="I22" s="54">
        <v>16593.59</v>
      </c>
      <c r="J22" s="54">
        <v>16958.52</v>
      </c>
      <c r="K22" s="56">
        <v>-402.64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66">
        <v>57876.63</v>
      </c>
      <c r="T22" s="54">
        <v>0</v>
      </c>
      <c r="U22" s="54">
        <v>0</v>
      </c>
      <c r="V22" s="54">
        <v>0</v>
      </c>
      <c r="W22" s="54">
        <v>0</v>
      </c>
      <c r="X22" s="54">
        <v>0</v>
      </c>
      <c r="Y22" s="54">
        <v>0</v>
      </c>
      <c r="Z22" s="54">
        <v>0</v>
      </c>
      <c r="AA22" s="54">
        <v>0</v>
      </c>
      <c r="AB22" s="54">
        <v>0</v>
      </c>
      <c r="AC22" s="54">
        <v>0</v>
      </c>
      <c r="AD22" s="54">
        <v>0</v>
      </c>
      <c r="AE22" s="54">
        <v>0</v>
      </c>
      <c r="AF22" s="66">
        <v>0</v>
      </c>
      <c r="AG22" s="67">
        <v>19445.64</v>
      </c>
      <c r="AH22" s="67">
        <v>25008.080000000002</v>
      </c>
      <c r="AI22" s="67">
        <v>21500.87</v>
      </c>
      <c r="AJ22" s="67">
        <v>20848.490000000002</v>
      </c>
      <c r="AK22" s="67">
        <v>19355.39</v>
      </c>
      <c r="AL22" s="67">
        <v>13389.12</v>
      </c>
      <c r="AM22" s="67">
        <v>10662.37</v>
      </c>
      <c r="AN22" s="67">
        <v>12464.27</v>
      </c>
      <c r="AO22" s="67">
        <v>12540.04</v>
      </c>
      <c r="AP22" s="67">
        <v>12241.82</v>
      </c>
      <c r="AQ22" s="98">
        <v>-7372.86</v>
      </c>
      <c r="AR22" s="67">
        <v>8179.69</v>
      </c>
      <c r="AS22" s="68">
        <v>86803.08</v>
      </c>
      <c r="AT22" s="63"/>
      <c r="AU22" s="63">
        <v>66.675779246542859</v>
      </c>
      <c r="AV22" s="762"/>
      <c r="AW22" s="8">
        <f t="shared" si="1"/>
        <v>203502.24</v>
      </c>
      <c r="AX22" s="485">
        <f t="shared" si="2"/>
        <v>-203502.24</v>
      </c>
      <c r="AY22" s="14">
        <f t="shared" si="3"/>
        <v>-1</v>
      </c>
      <c r="AZ22" s="178" t="s">
        <v>297</v>
      </c>
    </row>
    <row r="23" spans="1:53" ht="15" outlineLevel="1" x14ac:dyDescent="0.25">
      <c r="A23" s="95" t="s">
        <v>228</v>
      </c>
      <c r="B23" s="62">
        <v>117406.91</v>
      </c>
      <c r="C23" s="54">
        <v>0</v>
      </c>
      <c r="D23" s="54">
        <v>98047.57</v>
      </c>
      <c r="E23" s="63"/>
      <c r="F23" s="64">
        <v>119.74484426284099</v>
      </c>
      <c r="G23" s="65">
        <v>114746.26</v>
      </c>
      <c r="H23" s="54">
        <v>109849.57</v>
      </c>
      <c r="I23" s="54">
        <v>86128.31</v>
      </c>
      <c r="J23" s="54">
        <v>117406.91</v>
      </c>
      <c r="K23" s="56">
        <v>-2735.15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428131.05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102788.59</v>
      </c>
      <c r="AH23" s="67">
        <v>104004.78</v>
      </c>
      <c r="AI23" s="67">
        <v>111813.07</v>
      </c>
      <c r="AJ23" s="67">
        <v>98047.57</v>
      </c>
      <c r="AK23" s="67">
        <v>100161.53</v>
      </c>
      <c r="AL23" s="67">
        <v>124452.24</v>
      </c>
      <c r="AM23" s="67">
        <v>128347.45</v>
      </c>
      <c r="AN23" s="67">
        <v>121453.7</v>
      </c>
      <c r="AO23" s="67">
        <v>95383.360000000001</v>
      </c>
      <c r="AP23" s="67">
        <v>113568.54</v>
      </c>
      <c r="AQ23" s="67">
        <v>46627.6</v>
      </c>
      <c r="AR23" s="67">
        <v>107115.01</v>
      </c>
      <c r="AS23" s="68">
        <v>416654.01</v>
      </c>
      <c r="AT23" s="63"/>
      <c r="AU23" s="63">
        <v>102.75457327291774</v>
      </c>
      <c r="AV23" s="762"/>
      <c r="AW23" s="8">
        <f t="shared" si="1"/>
        <v>1408882.92</v>
      </c>
      <c r="AX23" s="485">
        <f t="shared" si="2"/>
        <v>-1408882.92</v>
      </c>
      <c r="AY23" s="14">
        <f t="shared" si="3"/>
        <v>-1</v>
      </c>
      <c r="AZ23" s="178" t="s">
        <v>296</v>
      </c>
    </row>
    <row r="24" spans="1:53" ht="15" outlineLevel="1" x14ac:dyDescent="0.25">
      <c r="A24" s="95" t="s">
        <v>229</v>
      </c>
      <c r="B24" s="62">
        <v>77677.94</v>
      </c>
      <c r="C24" s="54">
        <v>0</v>
      </c>
      <c r="D24" s="54">
        <v>55426.54</v>
      </c>
      <c r="E24" s="63"/>
      <c r="F24" s="64">
        <v>140.14574967154724</v>
      </c>
      <c r="G24" s="65">
        <v>74244.509999999995</v>
      </c>
      <c r="H24" s="54">
        <v>75512.91</v>
      </c>
      <c r="I24" s="54">
        <v>65089.73</v>
      </c>
      <c r="J24" s="54">
        <v>77677.94</v>
      </c>
      <c r="K24" s="56">
        <v>-2062.6799999999998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292525.09000000003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65825.710000000006</v>
      </c>
      <c r="AH24" s="67">
        <v>75880.460000000006</v>
      </c>
      <c r="AI24" s="67">
        <v>66446.2</v>
      </c>
      <c r="AJ24" s="67">
        <v>55426.54</v>
      </c>
      <c r="AK24" s="67">
        <v>71331.97</v>
      </c>
      <c r="AL24" s="67">
        <v>83826.710000000006</v>
      </c>
      <c r="AM24" s="67">
        <v>77638.5</v>
      </c>
      <c r="AN24" s="67">
        <v>91715.5</v>
      </c>
      <c r="AO24" s="67">
        <v>87229.42</v>
      </c>
      <c r="AP24" s="67">
        <v>86424.16</v>
      </c>
      <c r="AQ24" s="67">
        <v>90352.11</v>
      </c>
      <c r="AR24" s="67">
        <v>98204.33</v>
      </c>
      <c r="AS24" s="68">
        <v>263578.90999999997</v>
      </c>
      <c r="AT24" s="63"/>
      <c r="AU24" s="63">
        <v>110.9819787933716</v>
      </c>
      <c r="AV24" s="762"/>
      <c r="AW24" s="8">
        <f t="shared" si="1"/>
        <v>932135.28</v>
      </c>
      <c r="AX24" s="485">
        <f t="shared" si="2"/>
        <v>-932135.28</v>
      </c>
      <c r="AY24" s="14">
        <f t="shared" si="3"/>
        <v>-1</v>
      </c>
      <c r="AZ24" s="178" t="s">
        <v>295</v>
      </c>
    </row>
    <row r="25" spans="1:53" ht="15" outlineLevel="1" x14ac:dyDescent="0.25">
      <c r="A25" s="95" t="s">
        <v>230</v>
      </c>
      <c r="B25" s="62">
        <v>10343.01</v>
      </c>
      <c r="C25" s="54">
        <v>0</v>
      </c>
      <c r="D25" s="54">
        <v>20589.240000000002</v>
      </c>
      <c r="E25" s="63"/>
      <c r="F25" s="64">
        <v>50.23502567360427</v>
      </c>
      <c r="G25" s="65">
        <v>7706.47</v>
      </c>
      <c r="H25" s="54">
        <v>7618.75</v>
      </c>
      <c r="I25" s="54">
        <v>9422.09</v>
      </c>
      <c r="J25" s="54">
        <v>10343.01</v>
      </c>
      <c r="K25" s="56">
        <v>-399.23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35090.32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20319.39</v>
      </c>
      <c r="AH25" s="67">
        <v>23786.75</v>
      </c>
      <c r="AI25" s="67">
        <v>20540.86</v>
      </c>
      <c r="AJ25" s="67">
        <v>20589.240000000002</v>
      </c>
      <c r="AK25" s="67">
        <v>20745.03</v>
      </c>
      <c r="AL25" s="67">
        <v>22372.44</v>
      </c>
      <c r="AM25" s="67">
        <v>19197.419999999998</v>
      </c>
      <c r="AN25" s="67">
        <v>22098.05</v>
      </c>
      <c r="AO25" s="67">
        <v>17897.349999999999</v>
      </c>
      <c r="AP25" s="67">
        <v>21769.29</v>
      </c>
      <c r="AQ25" s="67">
        <v>22661.64</v>
      </c>
      <c r="AR25" s="67">
        <v>4026.44</v>
      </c>
      <c r="AS25" s="68">
        <v>85236.24</v>
      </c>
      <c r="AT25" s="63"/>
      <c r="AU25" s="63">
        <v>41.168310568368575</v>
      </c>
      <c r="AV25" s="762"/>
      <c r="AW25" s="8">
        <f t="shared" si="1"/>
        <v>124116.12</v>
      </c>
      <c r="AX25" s="485">
        <f t="shared" si="2"/>
        <v>-124116.12</v>
      </c>
      <c r="AY25" s="14">
        <f t="shared" si="3"/>
        <v>-1</v>
      </c>
      <c r="AZ25" s="178" t="s">
        <v>298</v>
      </c>
    </row>
    <row r="26" spans="1:53" ht="15" outlineLevel="1" x14ac:dyDescent="0.25">
      <c r="A26" s="95" t="s">
        <v>152</v>
      </c>
      <c r="B26" s="62">
        <v>56062.27</v>
      </c>
      <c r="C26" s="54">
        <v>0</v>
      </c>
      <c r="D26" s="54">
        <v>38500.629999999997</v>
      </c>
      <c r="E26" s="63"/>
      <c r="F26" s="64">
        <v>145.61390294132849</v>
      </c>
      <c r="G26" s="65">
        <v>66157.259999999995</v>
      </c>
      <c r="H26" s="54">
        <v>49023.42</v>
      </c>
      <c r="I26" s="54">
        <v>42908.33</v>
      </c>
      <c r="J26" s="54">
        <v>56062.27</v>
      </c>
      <c r="K26" s="56">
        <v>-1374.55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214151.28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42006.68</v>
      </c>
      <c r="AH26" s="67">
        <v>44252.33</v>
      </c>
      <c r="AI26" s="67">
        <v>45154.31</v>
      </c>
      <c r="AJ26" s="67">
        <v>38500.629999999997</v>
      </c>
      <c r="AK26" s="67">
        <v>41174.519999999997</v>
      </c>
      <c r="AL26" s="67">
        <v>69710.25</v>
      </c>
      <c r="AM26" s="67">
        <v>62420.03</v>
      </c>
      <c r="AN26" s="67">
        <v>61250.59</v>
      </c>
      <c r="AO26" s="67">
        <v>58982.85</v>
      </c>
      <c r="AP26" s="67">
        <v>59646.37</v>
      </c>
      <c r="AQ26" s="67">
        <v>65581.75</v>
      </c>
      <c r="AR26" s="67">
        <v>60700.19</v>
      </c>
      <c r="AS26" s="68">
        <v>169913.95</v>
      </c>
      <c r="AT26" s="63"/>
      <c r="AU26" s="63">
        <v>126.03513719738727</v>
      </c>
      <c r="AV26" s="762"/>
      <c r="AW26" s="8">
        <f t="shared" si="1"/>
        <v>672747.24</v>
      </c>
      <c r="AX26" s="485">
        <f t="shared" si="2"/>
        <v>-672747.24</v>
      </c>
      <c r="AY26" s="14">
        <f t="shared" si="3"/>
        <v>-1</v>
      </c>
      <c r="AZ26" s="178" t="s">
        <v>289</v>
      </c>
    </row>
    <row r="27" spans="1:53" ht="15" outlineLevel="1" x14ac:dyDescent="0.25">
      <c r="A27" s="95" t="s">
        <v>153</v>
      </c>
      <c r="B27" s="62">
        <v>0</v>
      </c>
      <c r="C27" s="54">
        <v>0</v>
      </c>
      <c r="D27" s="54">
        <v>390.72</v>
      </c>
      <c r="E27" s="63"/>
      <c r="F27" s="64">
        <v>0</v>
      </c>
      <c r="G27" s="97">
        <v>-2266.16</v>
      </c>
      <c r="H27" s="54">
        <v>0</v>
      </c>
      <c r="I27" s="54">
        <v>0</v>
      </c>
      <c r="J27" s="54">
        <v>0</v>
      </c>
      <c r="K27" s="54">
        <v>0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76">
        <v>-2266.16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2086.09</v>
      </c>
      <c r="AH27" s="67">
        <v>1525.84</v>
      </c>
      <c r="AI27" s="98">
        <v>-1864.96</v>
      </c>
      <c r="AJ27" s="67">
        <v>390.72</v>
      </c>
      <c r="AK27" s="67">
        <v>1286.1199999999999</v>
      </c>
      <c r="AL27" s="67">
        <v>0</v>
      </c>
      <c r="AM27" s="67">
        <v>618.64</v>
      </c>
      <c r="AN27" s="67">
        <v>0</v>
      </c>
      <c r="AO27" s="67">
        <v>944.24</v>
      </c>
      <c r="AP27" s="67">
        <v>1471.71</v>
      </c>
      <c r="AQ27" s="67">
        <v>820.51</v>
      </c>
      <c r="AR27" s="67">
        <v>755.38</v>
      </c>
      <c r="AS27" s="68">
        <v>2137.69</v>
      </c>
      <c r="AT27" s="63"/>
      <c r="AU27" s="63">
        <v>-106.0097581969322</v>
      </c>
      <c r="AV27" s="762"/>
      <c r="AW27" s="8">
        <f t="shared" si="1"/>
        <v>0</v>
      </c>
      <c r="AX27" s="485">
        <f t="shared" si="2"/>
        <v>0</v>
      </c>
      <c r="AY27" s="14" t="e">
        <f t="shared" si="3"/>
        <v>#DIV/0!</v>
      </c>
      <c r="AZ27" s="178" t="s">
        <v>290</v>
      </c>
    </row>
    <row r="28" spans="1:53" ht="15" outlineLevel="1" x14ac:dyDescent="0.25">
      <c r="A28" s="100" t="s">
        <v>231</v>
      </c>
      <c r="B28" s="127">
        <v>8974.44</v>
      </c>
      <c r="C28" s="105">
        <v>0</v>
      </c>
      <c r="D28" s="105">
        <v>8196.25</v>
      </c>
      <c r="E28" s="102"/>
      <c r="F28" s="103">
        <v>109.49446393167607</v>
      </c>
      <c r="G28" s="128">
        <v>8462.61</v>
      </c>
      <c r="H28" s="105">
        <v>6553.41</v>
      </c>
      <c r="I28" s="105">
        <v>8765.02</v>
      </c>
      <c r="J28" s="105">
        <v>8974.44</v>
      </c>
      <c r="K28" s="55">
        <v>-192.2</v>
      </c>
      <c r="L28" s="105">
        <v>0</v>
      </c>
      <c r="M28" s="105">
        <v>0</v>
      </c>
      <c r="N28" s="105">
        <v>0</v>
      </c>
      <c r="O28" s="105">
        <v>0</v>
      </c>
      <c r="P28" s="105">
        <v>0</v>
      </c>
      <c r="Q28" s="105">
        <v>0</v>
      </c>
      <c r="R28" s="105">
        <v>0</v>
      </c>
      <c r="S28" s="129">
        <v>32755.48</v>
      </c>
      <c r="T28" s="105">
        <v>0</v>
      </c>
      <c r="U28" s="105">
        <v>0</v>
      </c>
      <c r="V28" s="105">
        <v>0</v>
      </c>
      <c r="W28" s="105">
        <v>0</v>
      </c>
      <c r="X28" s="105">
        <v>0</v>
      </c>
      <c r="Y28" s="105">
        <v>0</v>
      </c>
      <c r="Z28" s="105">
        <v>0</v>
      </c>
      <c r="AA28" s="105">
        <v>0</v>
      </c>
      <c r="AB28" s="105">
        <v>0</v>
      </c>
      <c r="AC28" s="105">
        <v>0</v>
      </c>
      <c r="AD28" s="105">
        <v>0</v>
      </c>
      <c r="AE28" s="105">
        <v>0</v>
      </c>
      <c r="AF28" s="129">
        <v>0</v>
      </c>
      <c r="AG28" s="130">
        <v>8122.65</v>
      </c>
      <c r="AH28" s="130">
        <v>9790.26</v>
      </c>
      <c r="AI28" s="130">
        <v>8561.85</v>
      </c>
      <c r="AJ28" s="130">
        <v>8196.25</v>
      </c>
      <c r="AK28" s="130">
        <v>7428.55</v>
      </c>
      <c r="AL28" s="130">
        <v>8645.14</v>
      </c>
      <c r="AM28" s="130">
        <v>8618.06</v>
      </c>
      <c r="AN28" s="130">
        <v>8658</v>
      </c>
      <c r="AO28" s="130">
        <v>7421.95</v>
      </c>
      <c r="AP28" s="130">
        <v>8508.83</v>
      </c>
      <c r="AQ28" s="130">
        <v>8942.7199999999993</v>
      </c>
      <c r="AR28" s="130">
        <v>7882.63</v>
      </c>
      <c r="AS28" s="131">
        <v>34671.01</v>
      </c>
      <c r="AT28" s="102"/>
      <c r="AU28" s="102">
        <v>94.475124895409735</v>
      </c>
      <c r="AV28" s="765"/>
      <c r="AW28" s="8">
        <f t="shared" si="1"/>
        <v>107693.28</v>
      </c>
      <c r="AX28" s="485">
        <f t="shared" si="2"/>
        <v>-107693.28</v>
      </c>
      <c r="AY28" s="14">
        <f t="shared" si="3"/>
        <v>-1</v>
      </c>
      <c r="AZ28" s="178" t="s">
        <v>294</v>
      </c>
    </row>
    <row r="29" spans="1:53" x14ac:dyDescent="0.2">
      <c r="A29" s="109"/>
      <c r="B29" s="839">
        <v>952855.9</v>
      </c>
      <c r="C29" s="115">
        <v>0</v>
      </c>
      <c r="D29" s="115">
        <v>920034.08</v>
      </c>
      <c r="E29" s="112"/>
      <c r="F29" s="113">
        <v>103.56745697941972</v>
      </c>
      <c r="G29" s="840">
        <v>970354.78</v>
      </c>
      <c r="H29" s="115">
        <v>931035.29</v>
      </c>
      <c r="I29" s="115">
        <v>902104.29</v>
      </c>
      <c r="J29" s="115">
        <v>952855.9</v>
      </c>
      <c r="K29" s="111">
        <v>-24666.39</v>
      </c>
      <c r="L29" s="115">
        <v>0</v>
      </c>
      <c r="M29" s="115">
        <v>0</v>
      </c>
      <c r="N29" s="115">
        <v>0</v>
      </c>
      <c r="O29" s="115">
        <v>0</v>
      </c>
      <c r="P29" s="115">
        <v>0</v>
      </c>
      <c r="Q29" s="115">
        <v>0</v>
      </c>
      <c r="R29" s="115">
        <v>0</v>
      </c>
      <c r="S29" s="132">
        <v>3756350.26</v>
      </c>
      <c r="T29" s="115">
        <v>0</v>
      </c>
      <c r="U29" s="115">
        <v>0</v>
      </c>
      <c r="V29" s="115">
        <v>0</v>
      </c>
      <c r="W29" s="115">
        <v>0</v>
      </c>
      <c r="X29" s="115">
        <v>0</v>
      </c>
      <c r="Y29" s="115">
        <v>0</v>
      </c>
      <c r="Z29" s="115">
        <v>0</v>
      </c>
      <c r="AA29" s="115">
        <v>0</v>
      </c>
      <c r="AB29" s="115">
        <v>0</v>
      </c>
      <c r="AC29" s="115">
        <v>0</v>
      </c>
      <c r="AD29" s="115">
        <v>0</v>
      </c>
      <c r="AE29" s="115">
        <v>0</v>
      </c>
      <c r="AF29" s="132">
        <v>0</v>
      </c>
      <c r="AG29" s="841">
        <v>926251.92</v>
      </c>
      <c r="AH29" s="841">
        <v>1017455.95</v>
      </c>
      <c r="AI29" s="841">
        <v>982129.57</v>
      </c>
      <c r="AJ29" s="841">
        <v>920034.08</v>
      </c>
      <c r="AK29" s="841">
        <v>932283.15</v>
      </c>
      <c r="AL29" s="841">
        <v>1065506.5900000001</v>
      </c>
      <c r="AM29" s="841">
        <v>1036803.79</v>
      </c>
      <c r="AN29" s="841">
        <v>1054981.01</v>
      </c>
      <c r="AO29" s="841">
        <v>1019847.03</v>
      </c>
      <c r="AP29" s="841">
        <v>1046305.09</v>
      </c>
      <c r="AQ29" s="841">
        <v>1013713.37</v>
      </c>
      <c r="AR29" s="841">
        <v>1037324.63</v>
      </c>
      <c r="AS29" s="842">
        <v>3845871.52</v>
      </c>
      <c r="AT29" s="112"/>
      <c r="AU29" s="112">
        <v>97.672276373912766</v>
      </c>
      <c r="AV29" s="766"/>
      <c r="AW29" s="8">
        <f t="shared" si="1"/>
        <v>11434270.800000001</v>
      </c>
      <c r="AX29" s="485">
        <f t="shared" si="2"/>
        <v>-11434270.800000001</v>
      </c>
      <c r="AY29" s="14">
        <f t="shared" si="3"/>
        <v>-1</v>
      </c>
    </row>
    <row r="30" spans="1:53" ht="15" x14ac:dyDescent="0.25">
      <c r="B30" s="767"/>
      <c r="D30" s="767"/>
      <c r="F30" s="214"/>
      <c r="G30" s="493"/>
      <c r="H30" s="493"/>
      <c r="I30" s="493"/>
      <c r="J30" s="493"/>
      <c r="K30" s="494"/>
      <c r="L30" s="494"/>
      <c r="M30" s="627"/>
      <c r="O30" s="404"/>
      <c r="S30" s="768"/>
      <c r="T30" s="768"/>
      <c r="U30" s="768"/>
      <c r="V30" s="768"/>
      <c r="W30" s="768"/>
      <c r="X30" s="768"/>
      <c r="Y30" s="768"/>
      <c r="Z30" s="768"/>
      <c r="AA30" s="768"/>
      <c r="AB30" s="768"/>
      <c r="AC30" s="768"/>
      <c r="AD30" s="768"/>
      <c r="AE30" s="768"/>
      <c r="AF30" s="768"/>
      <c r="AG30" s="768"/>
      <c r="AH30" s="768"/>
      <c r="AI30" s="768"/>
      <c r="AJ30" s="768"/>
      <c r="AK30" s="768"/>
      <c r="AL30" s="768"/>
      <c r="AM30" s="768"/>
      <c r="AN30" s="768"/>
      <c r="AO30" s="768"/>
      <c r="AP30" s="768"/>
      <c r="AQ30" s="768"/>
      <c r="AR30" s="768"/>
      <c r="AS30" s="768"/>
      <c r="AT30" s="447"/>
    </row>
    <row r="31" spans="1:53" ht="15" x14ac:dyDescent="0.25">
      <c r="B31" s="767"/>
      <c r="F31" s="214"/>
      <c r="G31" s="493"/>
      <c r="H31" s="493"/>
      <c r="I31" s="493"/>
      <c r="J31" s="493"/>
      <c r="K31" s="492"/>
      <c r="L31" s="492"/>
      <c r="M31" s="627"/>
      <c r="O31" s="404"/>
      <c r="S31" s="768"/>
      <c r="T31" s="768"/>
      <c r="U31" s="768"/>
      <c r="V31" s="768"/>
      <c r="W31" s="768"/>
      <c r="X31" s="768"/>
      <c r="Y31" s="768"/>
      <c r="Z31" s="768"/>
      <c r="AA31" s="768"/>
      <c r="AB31" s="768"/>
      <c r="AC31" s="768"/>
      <c r="AD31" s="768"/>
      <c r="AE31" s="768"/>
      <c r="AF31" s="768"/>
      <c r="AG31" s="768"/>
      <c r="AH31" s="768"/>
      <c r="AI31" s="768"/>
      <c r="AJ31" s="768"/>
      <c r="AK31" s="768"/>
      <c r="AL31" s="768"/>
      <c r="AM31" s="768"/>
      <c r="AN31" s="768"/>
      <c r="AO31" s="768"/>
      <c r="AP31" s="768"/>
      <c r="AQ31" s="768"/>
      <c r="AR31" s="768"/>
      <c r="AS31" s="768"/>
      <c r="AT31" s="447"/>
    </row>
    <row r="32" spans="1:53" x14ac:dyDescent="0.2">
      <c r="B32" s="443"/>
      <c r="C32" s="443"/>
      <c r="D32" s="443"/>
      <c r="E32" s="443"/>
      <c r="F32" s="769"/>
      <c r="G32" s="770"/>
      <c r="H32" s="770"/>
      <c r="I32" s="491"/>
      <c r="J32" s="491"/>
      <c r="K32" s="491"/>
      <c r="L32" s="491"/>
      <c r="M32" s="491"/>
      <c r="N32" s="491"/>
      <c r="O32" s="491"/>
      <c r="P32" s="491"/>
      <c r="Q32" s="491"/>
      <c r="R32" s="443"/>
      <c r="S32" s="443"/>
      <c r="T32" s="443"/>
      <c r="U32" s="443"/>
      <c r="V32" s="443"/>
      <c r="W32" s="443"/>
      <c r="X32" s="443"/>
      <c r="Y32" s="443"/>
      <c r="Z32" s="443"/>
      <c r="AA32" s="443"/>
      <c r="AB32" s="443"/>
      <c r="AC32" s="443"/>
      <c r="AD32" s="443"/>
      <c r="AE32" s="443"/>
      <c r="AF32" s="443"/>
      <c r="AG32" s="443"/>
      <c r="AH32" s="443"/>
      <c r="AI32" s="443"/>
      <c r="AJ32" s="443"/>
      <c r="AK32" s="443"/>
      <c r="AL32" s="443"/>
      <c r="AM32" s="443"/>
      <c r="AN32" s="443"/>
      <c r="AO32" s="443"/>
      <c r="AP32" s="443"/>
      <c r="AQ32" s="443"/>
      <c r="AR32" s="443"/>
      <c r="AS32" s="443"/>
      <c r="AT32" s="443"/>
    </row>
    <row r="33" spans="5:46" x14ac:dyDescent="0.2">
      <c r="F33" s="214"/>
      <c r="G33" s="492"/>
      <c r="H33" s="492"/>
      <c r="I33" s="492"/>
      <c r="J33" s="492"/>
      <c r="K33" s="492"/>
      <c r="L33" s="492"/>
      <c r="M33" s="627"/>
      <c r="N33" s="492"/>
      <c r="O33" s="492"/>
      <c r="P33" s="492"/>
      <c r="Q33" s="492"/>
      <c r="AT33" s="485"/>
    </row>
    <row r="34" spans="5:46" x14ac:dyDescent="0.2">
      <c r="F34" s="214"/>
      <c r="G34" s="169"/>
      <c r="H34" s="169"/>
      <c r="I34" s="168"/>
      <c r="J34" s="168"/>
      <c r="K34" s="168"/>
      <c r="L34" s="168"/>
      <c r="M34" s="168"/>
      <c r="N34" s="168"/>
      <c r="O34" s="168"/>
      <c r="P34" s="168"/>
      <c r="Q34" s="168"/>
    </row>
    <row r="35" spans="5:46" x14ac:dyDescent="0.2">
      <c r="F35" s="214"/>
      <c r="G35" s="169"/>
      <c r="H35" s="169"/>
      <c r="I35" s="168"/>
      <c r="J35" s="168"/>
      <c r="K35" s="168"/>
      <c r="L35" s="168"/>
      <c r="M35" s="168"/>
      <c r="N35" s="168"/>
      <c r="O35" s="168"/>
      <c r="P35" s="168"/>
      <c r="Q35" s="168"/>
    </row>
    <row r="36" spans="5:46" x14ac:dyDescent="0.2">
      <c r="F36" s="214"/>
      <c r="G36" s="169"/>
      <c r="H36" s="169"/>
      <c r="I36" s="168"/>
      <c r="J36" s="168"/>
      <c r="K36" s="168"/>
      <c r="L36" s="168"/>
      <c r="M36" s="168"/>
      <c r="N36" s="168"/>
      <c r="O36" s="168"/>
      <c r="P36" s="168"/>
      <c r="Q36" s="168"/>
    </row>
    <row r="37" spans="5:46" x14ac:dyDescent="0.2">
      <c r="F37" s="214"/>
      <c r="G37" s="771"/>
      <c r="H37" s="771"/>
      <c r="I37" s="771"/>
      <c r="J37" s="771"/>
      <c r="K37" s="771"/>
      <c r="L37" s="771"/>
      <c r="M37" s="771"/>
      <c r="N37" s="771"/>
      <c r="O37" s="771"/>
      <c r="P37" s="771"/>
      <c r="Q37" s="771"/>
    </row>
    <row r="41" spans="5:46" x14ac:dyDescent="0.2"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</row>
    <row r="42" spans="5:46" x14ac:dyDescent="0.2">
      <c r="G42" s="485"/>
      <c r="H42" s="485"/>
      <c r="I42" s="485"/>
      <c r="J42" s="485"/>
      <c r="K42" s="485"/>
      <c r="L42" s="485"/>
      <c r="M42" s="485"/>
      <c r="N42" s="485"/>
      <c r="O42" s="485"/>
      <c r="P42" s="485"/>
      <c r="Q42" s="485"/>
    </row>
    <row r="44" spans="5:46" x14ac:dyDescent="0.2">
      <c r="M44" s="485"/>
      <c r="N44" s="485"/>
      <c r="O44" s="485"/>
      <c r="P44" s="485"/>
    </row>
    <row r="45" spans="5:46" x14ac:dyDescent="0.2">
      <c r="P45" s="14"/>
    </row>
    <row r="46" spans="5:46" x14ac:dyDescent="0.2">
      <c r="E46" s="627"/>
      <c r="F46" s="627"/>
      <c r="G46" s="627"/>
      <c r="H46" s="627"/>
      <c r="I46" s="627"/>
      <c r="J46" s="627"/>
      <c r="K46" s="627"/>
      <c r="L46" s="627"/>
      <c r="M46" s="627"/>
      <c r="N46" s="627"/>
      <c r="O46" s="627"/>
      <c r="P46" s="627"/>
      <c r="Q46" s="627"/>
      <c r="R46" s="627"/>
    </row>
    <row r="47" spans="5:46" x14ac:dyDescent="0.2">
      <c r="E47" s="627"/>
      <c r="F47" s="627"/>
      <c r="G47" s="627" t="s">
        <v>568</v>
      </c>
      <c r="H47" s="627" t="s">
        <v>569</v>
      </c>
      <c r="I47" s="627" t="s">
        <v>570</v>
      </c>
      <c r="J47" s="627" t="s">
        <v>571</v>
      </c>
      <c r="K47" s="627" t="s">
        <v>572</v>
      </c>
      <c r="L47" s="627" t="s">
        <v>573</v>
      </c>
      <c r="M47" s="627" t="s">
        <v>574</v>
      </c>
      <c r="N47" s="627" t="s">
        <v>575</v>
      </c>
      <c r="O47" s="627" t="s">
        <v>576</v>
      </c>
      <c r="P47" s="627" t="s">
        <v>577</v>
      </c>
      <c r="Q47" s="627" t="s">
        <v>578</v>
      </c>
      <c r="R47" s="627" t="s">
        <v>579</v>
      </c>
      <c r="T47" s="8" t="s">
        <v>567</v>
      </c>
    </row>
    <row r="48" spans="5:46" x14ac:dyDescent="0.2">
      <c r="E48" s="627" t="s">
        <v>565</v>
      </c>
      <c r="F48" s="627" t="s">
        <v>455</v>
      </c>
      <c r="G48" s="628" t="e">
        <f>+AH29/AH35</f>
        <v>#DIV/0!</v>
      </c>
      <c r="H48" s="628" t="e">
        <f t="shared" ref="H48:M48" si="4">+AI29/AI35</f>
        <v>#DIV/0!</v>
      </c>
      <c r="I48" s="628" t="e">
        <f t="shared" si="4"/>
        <v>#DIV/0!</v>
      </c>
      <c r="J48" s="628" t="e">
        <f t="shared" si="4"/>
        <v>#DIV/0!</v>
      </c>
      <c r="K48" s="628" t="e">
        <f t="shared" si="4"/>
        <v>#DIV/0!</v>
      </c>
      <c r="L48" s="628" t="e">
        <f t="shared" si="4"/>
        <v>#DIV/0!</v>
      </c>
      <c r="M48" s="628" t="e">
        <f t="shared" si="4"/>
        <v>#DIV/0!</v>
      </c>
      <c r="N48" s="628" t="e">
        <f t="shared" ref="N48" si="5">+AO29/AO35</f>
        <v>#DIV/0!</v>
      </c>
      <c r="O48" s="628" t="e">
        <f t="shared" ref="O48" si="6">+AP29/AP35</f>
        <v>#DIV/0!</v>
      </c>
      <c r="P48" s="628" t="e">
        <f t="shared" ref="P48" si="7">+AQ29/AQ35</f>
        <v>#DIV/0!</v>
      </c>
      <c r="Q48" s="628" t="e">
        <f t="shared" ref="Q48" si="8">+AR29/AR35</f>
        <v>#DIV/0!</v>
      </c>
      <c r="R48" s="628" t="e">
        <f t="shared" ref="R48" si="9">+AS29/AS35</f>
        <v>#DIV/0!</v>
      </c>
      <c r="T48" s="8" t="e">
        <f>SUM(AH29:AN29)/SUM(AH35:AN35)</f>
        <v>#DIV/0!</v>
      </c>
    </row>
    <row r="49" spans="1:20" x14ac:dyDescent="0.2">
      <c r="E49" s="627" t="s">
        <v>565</v>
      </c>
      <c r="F49" s="627" t="s">
        <v>550</v>
      </c>
      <c r="G49" s="628" t="e">
        <f>-G29/G35</f>
        <v>#DIV/0!</v>
      </c>
      <c r="H49" s="628" t="e">
        <f t="shared" ref="H49:M49" si="10">-H29/H35</f>
        <v>#DIV/0!</v>
      </c>
      <c r="I49" s="628" t="e">
        <f t="shared" si="10"/>
        <v>#DIV/0!</v>
      </c>
      <c r="J49" s="628" t="e">
        <f t="shared" si="10"/>
        <v>#DIV/0!</v>
      </c>
      <c r="K49" s="628" t="e">
        <f t="shared" si="10"/>
        <v>#DIV/0!</v>
      </c>
      <c r="L49" s="628" t="e">
        <f t="shared" si="10"/>
        <v>#DIV/0!</v>
      </c>
      <c r="M49" s="628" t="e">
        <f t="shared" si="10"/>
        <v>#DIV/0!</v>
      </c>
      <c r="N49" s="628"/>
      <c r="O49" s="628"/>
      <c r="P49" s="628"/>
      <c r="Q49" s="628"/>
      <c r="R49" s="628"/>
      <c r="T49" s="8" t="e">
        <f>-SUM(G29:M29)/SUM(G35:M35)</f>
        <v>#DIV/0!</v>
      </c>
    </row>
    <row r="50" spans="1:20" x14ac:dyDescent="0.2">
      <c r="E50" s="627" t="s">
        <v>566</v>
      </c>
      <c r="F50" s="627" t="s">
        <v>455</v>
      </c>
      <c r="G50" s="772" t="e">
        <f>+#REF!</f>
        <v>#REF!</v>
      </c>
      <c r="H50" s="772" t="e">
        <f>+#REF!</f>
        <v>#REF!</v>
      </c>
      <c r="I50" s="772" t="e">
        <f>+#REF!</f>
        <v>#REF!</v>
      </c>
      <c r="J50" s="772" t="e">
        <f>+#REF!</f>
        <v>#REF!</v>
      </c>
      <c r="K50" s="772" t="e">
        <f>+#REF!</f>
        <v>#REF!</v>
      </c>
      <c r="L50" s="772" t="e">
        <f>+#REF!</f>
        <v>#REF!</v>
      </c>
      <c r="M50" s="772" t="e">
        <f>+#REF!</f>
        <v>#REF!</v>
      </c>
      <c r="N50" s="772" t="e">
        <f>+#REF!</f>
        <v>#REF!</v>
      </c>
      <c r="O50" s="772" t="e">
        <f>+#REF!</f>
        <v>#REF!</v>
      </c>
      <c r="P50" s="772" t="e">
        <f>+#REF!</f>
        <v>#REF!</v>
      </c>
      <c r="Q50" s="772" t="e">
        <f>+#REF!</f>
        <v>#REF!</v>
      </c>
      <c r="R50" s="772" t="e">
        <f>+#REF!</f>
        <v>#REF!</v>
      </c>
      <c r="T50" s="8" t="e">
        <f>SUM(G50:M50)/7</f>
        <v>#REF!</v>
      </c>
    </row>
    <row r="51" spans="1:20" x14ac:dyDescent="0.2">
      <c r="E51" s="627" t="s">
        <v>566</v>
      </c>
      <c r="F51" s="627" t="s">
        <v>550</v>
      </c>
      <c r="G51" s="772" t="e">
        <f>+#REF!</f>
        <v>#REF!</v>
      </c>
      <c r="H51" s="772" t="e">
        <f>+#REF!</f>
        <v>#REF!</v>
      </c>
      <c r="I51" s="772" t="e">
        <f>+#REF!</f>
        <v>#REF!</v>
      </c>
      <c r="J51" s="772" t="e">
        <f>+#REF!</f>
        <v>#REF!</v>
      </c>
      <c r="K51" s="772" t="e">
        <f>+#REF!</f>
        <v>#REF!</v>
      </c>
      <c r="L51" s="772" t="e">
        <f>+#REF!</f>
        <v>#REF!</v>
      </c>
      <c r="M51" s="772" t="e">
        <f>+#REF!</f>
        <v>#REF!</v>
      </c>
      <c r="N51" s="772"/>
      <c r="O51" s="772"/>
      <c r="P51" s="772"/>
      <c r="Q51" s="772"/>
      <c r="R51" s="772"/>
      <c r="T51" s="8" t="e">
        <f>SUM(G51:M51)/7</f>
        <v>#REF!</v>
      </c>
    </row>
    <row r="52" spans="1:20" x14ac:dyDescent="0.2">
      <c r="E52" s="627"/>
      <c r="F52" s="627"/>
      <c r="G52" s="627"/>
      <c r="H52" s="627"/>
      <c r="I52" s="627"/>
      <c r="J52" s="627"/>
      <c r="K52" s="627"/>
      <c r="L52" s="627"/>
      <c r="M52" s="627"/>
      <c r="N52" s="627"/>
      <c r="O52" s="627"/>
      <c r="P52" s="627"/>
      <c r="Q52" s="627"/>
      <c r="R52" s="627"/>
    </row>
    <row r="62" spans="1:20" x14ac:dyDescent="0.2">
      <c r="A62" s="8"/>
    </row>
    <row r="70" spans="5:18" x14ac:dyDescent="0.2">
      <c r="G70" s="8" t="s">
        <v>490</v>
      </c>
      <c r="H70" s="8" t="s">
        <v>491</v>
      </c>
      <c r="I70" s="8" t="s">
        <v>492</v>
      </c>
      <c r="J70" s="8" t="s">
        <v>510</v>
      </c>
      <c r="K70" s="8" t="s">
        <v>511</v>
      </c>
      <c r="L70" s="8" t="s">
        <v>512</v>
      </c>
      <c r="M70" s="8" t="s">
        <v>513</v>
      </c>
      <c r="N70" s="8" t="s">
        <v>514</v>
      </c>
      <c r="O70" s="8" t="s">
        <v>515</v>
      </c>
      <c r="P70" s="8" t="s">
        <v>516</v>
      </c>
      <c r="Q70" s="8" t="s">
        <v>517</v>
      </c>
      <c r="R70" s="8" t="s">
        <v>518</v>
      </c>
    </row>
    <row r="71" spans="5:18" x14ac:dyDescent="0.2">
      <c r="E71" s="8" t="s">
        <v>585</v>
      </c>
      <c r="F71" s="8" t="s">
        <v>455</v>
      </c>
      <c r="G71" s="169" t="e">
        <f>+#REF!</f>
        <v>#REF!</v>
      </c>
      <c r="H71" s="169" t="e">
        <f>+#REF!</f>
        <v>#REF!</v>
      </c>
      <c r="I71" s="169" t="e">
        <f>+#REF!</f>
        <v>#REF!</v>
      </c>
      <c r="J71" s="169" t="e">
        <f>+#REF!</f>
        <v>#REF!</v>
      </c>
      <c r="K71" s="169" t="e">
        <f>+#REF!</f>
        <v>#REF!</v>
      </c>
      <c r="L71" s="169" t="e">
        <f>+#REF!</f>
        <v>#REF!</v>
      </c>
      <c r="M71" s="169" t="e">
        <f>+#REF!</f>
        <v>#REF!</v>
      </c>
      <c r="N71" s="169" t="e">
        <f>+#REF!</f>
        <v>#REF!</v>
      </c>
      <c r="O71" s="169" t="e">
        <f>+#REF!</f>
        <v>#REF!</v>
      </c>
      <c r="P71" s="169" t="e">
        <f>+#REF!</f>
        <v>#REF!</v>
      </c>
      <c r="Q71" s="169" t="e">
        <f>+#REF!</f>
        <v>#REF!</v>
      </c>
      <c r="R71" s="169" t="e">
        <f>+#REF!</f>
        <v>#REF!</v>
      </c>
    </row>
    <row r="72" spans="5:18" x14ac:dyDescent="0.2">
      <c r="E72" s="8" t="s">
        <v>585</v>
      </c>
      <c r="F72" s="8" t="s">
        <v>550</v>
      </c>
      <c r="G72" s="169" t="e">
        <f>+#REF!</f>
        <v>#REF!</v>
      </c>
      <c r="H72" s="169" t="e">
        <f>+#REF!</f>
        <v>#REF!</v>
      </c>
      <c r="I72" s="169" t="e">
        <f>+#REF!</f>
        <v>#REF!</v>
      </c>
      <c r="J72" s="169" t="e">
        <f>+#REF!</f>
        <v>#REF!</v>
      </c>
      <c r="K72" s="169" t="e">
        <f>+#REF!</f>
        <v>#REF!</v>
      </c>
      <c r="L72" s="169" t="e">
        <f>+#REF!</f>
        <v>#REF!</v>
      </c>
      <c r="M72" s="169" t="e">
        <f>+#REF!</f>
        <v>#REF!</v>
      </c>
    </row>
    <row r="74" spans="5:18" x14ac:dyDescent="0.2">
      <c r="E74" s="8" t="s">
        <v>580</v>
      </c>
      <c r="F74" s="8" t="s">
        <v>455</v>
      </c>
      <c r="G74" s="169" t="e">
        <f>+#REF!</f>
        <v>#REF!</v>
      </c>
      <c r="H74" s="169" t="e">
        <f>+#REF!</f>
        <v>#REF!</v>
      </c>
      <c r="I74" s="169" t="e">
        <f>+#REF!</f>
        <v>#REF!</v>
      </c>
      <c r="J74" s="169" t="e">
        <f>+#REF!</f>
        <v>#REF!</v>
      </c>
      <c r="K74" s="169" t="e">
        <f>+#REF!</f>
        <v>#REF!</v>
      </c>
      <c r="L74" s="169" t="e">
        <f>+#REF!</f>
        <v>#REF!</v>
      </c>
      <c r="M74" s="169" t="e">
        <f>+#REF!</f>
        <v>#REF!</v>
      </c>
      <c r="N74" s="169"/>
      <c r="O74" s="169"/>
      <c r="P74" s="169"/>
      <c r="Q74" s="169"/>
      <c r="R74" s="169"/>
    </row>
    <row r="75" spans="5:18" x14ac:dyDescent="0.2">
      <c r="F75" s="8" t="s">
        <v>550</v>
      </c>
      <c r="G75" s="169" t="e">
        <f>+#REF!</f>
        <v>#REF!</v>
      </c>
      <c r="H75" s="169" t="e">
        <f>+#REF!</f>
        <v>#REF!</v>
      </c>
      <c r="I75" s="169" t="e">
        <f>+#REF!</f>
        <v>#REF!</v>
      </c>
      <c r="J75" s="169" t="e">
        <f>+#REF!</f>
        <v>#REF!</v>
      </c>
      <c r="K75" s="169" t="e">
        <f>+#REF!</f>
        <v>#REF!</v>
      </c>
      <c r="L75" s="169" t="e">
        <f>+#REF!</f>
        <v>#REF!</v>
      </c>
      <c r="M75" s="169" t="e">
        <f>+#REF!</f>
        <v>#REF!</v>
      </c>
      <c r="N75" s="169"/>
      <c r="O75" s="169"/>
      <c r="P75" s="169"/>
      <c r="Q75" s="169"/>
      <c r="R75" s="169"/>
    </row>
    <row r="76" spans="5:18" x14ac:dyDescent="0.2">
      <c r="E76" s="8" t="s">
        <v>581</v>
      </c>
      <c r="F76" s="8" t="s">
        <v>455</v>
      </c>
      <c r="G76" s="169" t="e">
        <f>+#REF!</f>
        <v>#REF!</v>
      </c>
      <c r="H76" s="169" t="e">
        <f>+#REF!</f>
        <v>#REF!</v>
      </c>
      <c r="I76" s="169" t="e">
        <f>+#REF!</f>
        <v>#REF!</v>
      </c>
      <c r="J76" s="169" t="e">
        <f>+#REF!</f>
        <v>#REF!</v>
      </c>
      <c r="K76" s="169" t="e">
        <f>+#REF!</f>
        <v>#REF!</v>
      </c>
      <c r="L76" s="169" t="e">
        <f>+#REF!</f>
        <v>#REF!</v>
      </c>
      <c r="M76" s="169" t="e">
        <f>+#REF!</f>
        <v>#REF!</v>
      </c>
      <c r="N76" s="169"/>
      <c r="O76" s="169"/>
      <c r="P76" s="169"/>
      <c r="Q76" s="169"/>
      <c r="R76" s="169"/>
    </row>
    <row r="77" spans="5:18" x14ac:dyDescent="0.2">
      <c r="F77" s="8" t="s">
        <v>550</v>
      </c>
      <c r="G77" s="169" t="e">
        <f>+#REF!</f>
        <v>#REF!</v>
      </c>
      <c r="H77" s="169" t="e">
        <f>+#REF!</f>
        <v>#REF!</v>
      </c>
      <c r="I77" s="169" t="e">
        <f>+#REF!</f>
        <v>#REF!</v>
      </c>
      <c r="J77" s="169" t="e">
        <f>+#REF!</f>
        <v>#REF!</v>
      </c>
      <c r="K77" s="169" t="e">
        <f>+#REF!</f>
        <v>#REF!</v>
      </c>
      <c r="L77" s="169" t="e">
        <f>+#REF!</f>
        <v>#REF!</v>
      </c>
      <c r="M77" s="169" t="e">
        <f>+#REF!</f>
        <v>#REF!</v>
      </c>
      <c r="N77" s="169"/>
      <c r="O77" s="169"/>
      <c r="P77" s="169"/>
      <c r="Q77" s="169"/>
      <c r="R77" s="169"/>
    </row>
    <row r="78" spans="5:18" x14ac:dyDescent="0.2">
      <c r="E78" s="8" t="s">
        <v>582</v>
      </c>
      <c r="F78" s="8" t="s">
        <v>455</v>
      </c>
      <c r="G78" s="169" t="e">
        <f>+#REF!</f>
        <v>#REF!</v>
      </c>
      <c r="H78" s="169" t="e">
        <f>+#REF!</f>
        <v>#REF!</v>
      </c>
      <c r="I78" s="169" t="e">
        <f>+#REF!</f>
        <v>#REF!</v>
      </c>
      <c r="J78" s="169" t="e">
        <f>+#REF!</f>
        <v>#REF!</v>
      </c>
      <c r="K78" s="169" t="e">
        <f>+#REF!</f>
        <v>#REF!</v>
      </c>
      <c r="L78" s="169" t="e">
        <f>+#REF!</f>
        <v>#REF!</v>
      </c>
      <c r="M78" s="169" t="e">
        <f>+#REF!</f>
        <v>#REF!</v>
      </c>
    </row>
    <row r="79" spans="5:18" x14ac:dyDescent="0.2">
      <c r="F79" s="8" t="s">
        <v>550</v>
      </c>
      <c r="G79" s="169" t="e">
        <f>+#REF!</f>
        <v>#REF!</v>
      </c>
      <c r="H79" s="169" t="e">
        <f>+#REF!</f>
        <v>#REF!</v>
      </c>
      <c r="I79" s="169" t="e">
        <f>+#REF!</f>
        <v>#REF!</v>
      </c>
      <c r="J79" s="169" t="e">
        <f>+#REF!</f>
        <v>#REF!</v>
      </c>
      <c r="K79" s="169" t="e">
        <f>+#REF!</f>
        <v>#REF!</v>
      </c>
      <c r="L79" s="169" t="e">
        <f>+#REF!</f>
        <v>#REF!</v>
      </c>
      <c r="M79" s="169" t="e">
        <f>+#REF!</f>
        <v>#REF!</v>
      </c>
    </row>
    <row r="80" spans="5:18" x14ac:dyDescent="0.2">
      <c r="E80" s="8" t="s">
        <v>583</v>
      </c>
      <c r="F80" s="8" t="s">
        <v>455</v>
      </c>
      <c r="G80" s="169" t="e">
        <f>+#REF!</f>
        <v>#REF!</v>
      </c>
      <c r="H80" s="169" t="e">
        <f>+#REF!</f>
        <v>#REF!</v>
      </c>
      <c r="I80" s="169" t="e">
        <f>+#REF!</f>
        <v>#REF!</v>
      </c>
      <c r="J80" s="169" t="e">
        <f>+#REF!</f>
        <v>#REF!</v>
      </c>
      <c r="K80" s="169" t="e">
        <f>+#REF!</f>
        <v>#REF!</v>
      </c>
      <c r="L80" s="169" t="e">
        <f>+#REF!</f>
        <v>#REF!</v>
      </c>
      <c r="M80" s="169" t="e">
        <f>+#REF!</f>
        <v>#REF!</v>
      </c>
    </row>
    <row r="81" spans="5:13" x14ac:dyDescent="0.2">
      <c r="F81" s="8" t="s">
        <v>550</v>
      </c>
      <c r="G81" s="169" t="e">
        <f>+#REF!</f>
        <v>#REF!</v>
      </c>
      <c r="H81" s="169" t="e">
        <f>+#REF!</f>
        <v>#REF!</v>
      </c>
      <c r="I81" s="169" t="e">
        <f>+#REF!</f>
        <v>#REF!</v>
      </c>
      <c r="J81" s="169" t="e">
        <f>+#REF!</f>
        <v>#REF!</v>
      </c>
      <c r="K81" s="169" t="e">
        <f>+#REF!</f>
        <v>#REF!</v>
      </c>
      <c r="L81" s="169" t="e">
        <f>+#REF!</f>
        <v>#REF!</v>
      </c>
      <c r="M81" s="169" t="e">
        <f>+#REF!</f>
        <v>#REF!</v>
      </c>
    </row>
    <row r="82" spans="5:13" x14ac:dyDescent="0.2">
      <c r="E82" s="8" t="s">
        <v>584</v>
      </c>
      <c r="F82" s="8" t="s">
        <v>455</v>
      </c>
      <c r="G82" s="169" t="e">
        <f>+#REF!</f>
        <v>#REF!</v>
      </c>
      <c r="H82" s="169" t="e">
        <f>+#REF!</f>
        <v>#REF!</v>
      </c>
      <c r="I82" s="169" t="e">
        <f>+#REF!</f>
        <v>#REF!</v>
      </c>
      <c r="J82" s="169" t="e">
        <f>+#REF!</f>
        <v>#REF!</v>
      </c>
      <c r="K82" s="169" t="e">
        <f>+#REF!</f>
        <v>#REF!</v>
      </c>
      <c r="L82" s="169" t="e">
        <f>+#REF!</f>
        <v>#REF!</v>
      </c>
      <c r="M82" s="169" t="e">
        <f>+#REF!</f>
        <v>#REF!</v>
      </c>
    </row>
    <row r="83" spans="5:13" x14ac:dyDescent="0.2">
      <c r="F83" s="8" t="s">
        <v>550</v>
      </c>
      <c r="G83" s="169" t="e">
        <f>+#REF!</f>
        <v>#REF!</v>
      </c>
      <c r="H83" s="169" t="e">
        <f>+#REF!</f>
        <v>#REF!</v>
      </c>
      <c r="I83" s="169" t="e">
        <f>+#REF!</f>
        <v>#REF!</v>
      </c>
      <c r="J83" s="169" t="e">
        <f>+#REF!</f>
        <v>#REF!</v>
      </c>
      <c r="K83" s="169" t="e">
        <f>+#REF!</f>
        <v>#REF!</v>
      </c>
      <c r="L83" s="169" t="e">
        <f>+#REF!</f>
        <v>#REF!</v>
      </c>
      <c r="M83" s="169" t="e">
        <f>+#REF!</f>
        <v>#REF!</v>
      </c>
    </row>
  </sheetData>
  <pageMargins left="0.70866141732283472" right="0.70866141732283472" top="0.74803149606299213" bottom="0.74803149606299213" header="0.31496062992125984" footer="0.31496062992125984"/>
  <pageSetup paperSize="9" scale="94" orientation="landscape" horizontalDpi="1200" verticalDpi="12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F0"/>
  </sheetPr>
  <dimension ref="A1:AX123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sqref="A1:AU65"/>
    </sheetView>
  </sheetViews>
  <sheetFormatPr defaultRowHeight="12.75" outlineLevelRow="1" outlineLevelCol="1" x14ac:dyDescent="0.2"/>
  <cols>
    <col min="1" max="1" width="66.42578125" customWidth="1"/>
    <col min="2" max="4" width="10.42578125" customWidth="1"/>
    <col min="5" max="5" width="9.5703125" customWidth="1"/>
    <col min="6" max="6" width="11.5703125" customWidth="1"/>
    <col min="7" max="13" width="10.42578125" customWidth="1" outlineLevel="1"/>
    <col min="14" max="14" width="10" customWidth="1" outlineLevel="1"/>
    <col min="15" max="17" width="10.42578125" customWidth="1" outlineLevel="1"/>
    <col min="18" max="18" width="13.42578125" customWidth="1" outlineLevel="1"/>
    <col min="19" max="19" width="15.42578125" customWidth="1"/>
    <col min="20" max="31" width="10.42578125" hidden="1" customWidth="1" outlineLevel="1"/>
    <col min="32" max="32" width="15.42578125" customWidth="1" collapsed="1"/>
    <col min="33" max="44" width="10.42578125" hidden="1" customWidth="1" outlineLevel="1"/>
    <col min="45" max="45" width="13.5703125" bestFit="1" customWidth="1" collapsed="1"/>
    <col min="46" max="46" width="16.42578125" customWidth="1"/>
    <col min="47" max="49" width="13.5703125" bestFit="1" customWidth="1"/>
  </cols>
  <sheetData>
    <row r="1" spans="1:50" ht="35.2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50" ht="11.25" customHeight="1" x14ac:dyDescent="0.2">
      <c r="A2" s="95" t="s">
        <v>7</v>
      </c>
      <c r="B2" s="62">
        <v>1291869.76</v>
      </c>
      <c r="C2" s="54">
        <v>0</v>
      </c>
      <c r="D2" s="54">
        <v>989506.28</v>
      </c>
      <c r="E2" s="63"/>
      <c r="F2" s="64">
        <v>130.55700465084468</v>
      </c>
      <c r="G2" s="65">
        <v>1561032.26</v>
      </c>
      <c r="H2" s="54">
        <v>1416865.13</v>
      </c>
      <c r="I2" s="54">
        <v>1420097.57</v>
      </c>
      <c r="J2" s="54">
        <v>1291869.76</v>
      </c>
      <c r="K2" s="54">
        <v>222528.66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5689864.7199999997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1336201.17</v>
      </c>
      <c r="AH2" s="67">
        <v>1479367.76</v>
      </c>
      <c r="AI2" s="67">
        <v>1300952.44</v>
      </c>
      <c r="AJ2" s="67">
        <v>989506.28</v>
      </c>
      <c r="AK2" s="67">
        <v>1230800.8799999999</v>
      </c>
      <c r="AL2" s="67">
        <v>1327788.18</v>
      </c>
      <c r="AM2" s="67">
        <v>1237798.98</v>
      </c>
      <c r="AN2" s="67">
        <v>1327330.96</v>
      </c>
      <c r="AO2" s="67">
        <v>1286242.77</v>
      </c>
      <c r="AP2" s="67">
        <v>1420898.66</v>
      </c>
      <c r="AQ2" s="67">
        <v>1528340.56</v>
      </c>
      <c r="AR2" s="67">
        <v>1339005.1499999999</v>
      </c>
      <c r="AS2" s="68">
        <v>5106027.6500000004</v>
      </c>
      <c r="AT2" s="63"/>
      <c r="AU2" s="63">
        <v>111.43427161033881</v>
      </c>
      <c r="AV2" s="26"/>
      <c r="AW2" s="26"/>
      <c r="AX2" s="26"/>
    </row>
    <row r="3" spans="1:50" ht="12.75" customHeight="1" outlineLevel="1" x14ac:dyDescent="0.2">
      <c r="A3" s="95" t="s">
        <v>160</v>
      </c>
      <c r="B3" s="62">
        <v>343413.6</v>
      </c>
      <c r="C3" s="54">
        <v>0</v>
      </c>
      <c r="D3" s="54">
        <v>318703.81</v>
      </c>
      <c r="E3" s="63"/>
      <c r="F3" s="64">
        <v>107.7532144971847</v>
      </c>
      <c r="G3" s="65">
        <v>369865.98</v>
      </c>
      <c r="H3" s="54">
        <v>381175.28</v>
      </c>
      <c r="I3" s="54">
        <v>377652.16</v>
      </c>
      <c r="J3" s="54">
        <v>343413.6</v>
      </c>
      <c r="K3" s="54">
        <v>0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1472107.02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338095.84</v>
      </c>
      <c r="AH3" s="67">
        <v>381023.74</v>
      </c>
      <c r="AI3" s="67">
        <v>393427.63</v>
      </c>
      <c r="AJ3" s="67">
        <v>318703.81</v>
      </c>
      <c r="AK3" s="67">
        <v>344246.67</v>
      </c>
      <c r="AL3" s="67">
        <v>369555.08</v>
      </c>
      <c r="AM3" s="67">
        <v>360451.17</v>
      </c>
      <c r="AN3" s="67">
        <v>351569.87</v>
      </c>
      <c r="AO3" s="67">
        <v>403693.32</v>
      </c>
      <c r="AP3" s="67">
        <v>367659.23</v>
      </c>
      <c r="AQ3" s="67">
        <v>412562.7</v>
      </c>
      <c r="AR3" s="67">
        <v>394712.26</v>
      </c>
      <c r="AS3" s="68">
        <v>1431251.02</v>
      </c>
      <c r="AT3" s="63"/>
      <c r="AU3" s="63">
        <v>102.85456565124404</v>
      </c>
    </row>
    <row r="4" spans="1:50" ht="12.75" customHeight="1" outlineLevel="1" x14ac:dyDescent="0.2">
      <c r="A4" s="95" t="s">
        <v>612</v>
      </c>
      <c r="B4" s="62">
        <v>0</v>
      </c>
      <c r="C4" s="54">
        <v>0</v>
      </c>
      <c r="D4" s="54">
        <v>3884.31</v>
      </c>
      <c r="E4" s="63"/>
      <c r="F4" s="64">
        <v>0</v>
      </c>
      <c r="G4" s="65">
        <v>130.15</v>
      </c>
      <c r="H4" s="56">
        <v>-3630.15</v>
      </c>
      <c r="I4" s="54">
        <v>0</v>
      </c>
      <c r="J4" s="54">
        <v>0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76">
        <v>-3500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949.06</v>
      </c>
      <c r="AH4" s="67">
        <v>3217.44</v>
      </c>
      <c r="AI4" s="67">
        <v>5043.8999999999996</v>
      </c>
      <c r="AJ4" s="67">
        <v>3884.31</v>
      </c>
      <c r="AK4" s="67">
        <v>9279.64</v>
      </c>
      <c r="AL4" s="67">
        <v>3477.19</v>
      </c>
      <c r="AM4" s="67">
        <v>42793.599999999999</v>
      </c>
      <c r="AN4" s="67">
        <v>26906.45</v>
      </c>
      <c r="AO4" s="67">
        <v>7313.06</v>
      </c>
      <c r="AP4" s="67">
        <v>5715.16</v>
      </c>
      <c r="AQ4" s="67">
        <v>0</v>
      </c>
      <c r="AR4" s="67">
        <v>6206.34</v>
      </c>
      <c r="AS4" s="68">
        <v>13094.71</v>
      </c>
      <c r="AT4" s="63"/>
      <c r="AU4" s="63">
        <v>-26.728350608757278</v>
      </c>
    </row>
    <row r="5" spans="1:50" ht="12.75" customHeight="1" outlineLevel="1" x14ac:dyDescent="0.2">
      <c r="A5" s="95" t="s">
        <v>161</v>
      </c>
      <c r="B5" s="62">
        <v>23097.91</v>
      </c>
      <c r="C5" s="54">
        <v>0</v>
      </c>
      <c r="D5" s="54">
        <v>21723.9</v>
      </c>
      <c r="E5" s="63"/>
      <c r="F5" s="64">
        <v>106.32487720897261</v>
      </c>
      <c r="G5" s="65">
        <v>22713.43</v>
      </c>
      <c r="H5" s="54">
        <v>4271.4799999999996</v>
      </c>
      <c r="I5" s="54">
        <v>47392.06</v>
      </c>
      <c r="J5" s="54">
        <v>23097.91</v>
      </c>
      <c r="K5" s="56">
        <v>-11138.2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97474.880000000005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21779.41</v>
      </c>
      <c r="AH5" s="67">
        <v>23466.52</v>
      </c>
      <c r="AI5" s="67">
        <v>27530.400000000001</v>
      </c>
      <c r="AJ5" s="67">
        <v>21723.9</v>
      </c>
      <c r="AK5" s="67">
        <v>21157.06</v>
      </c>
      <c r="AL5" s="67">
        <v>21867.33</v>
      </c>
      <c r="AM5" s="67">
        <v>22863.58</v>
      </c>
      <c r="AN5" s="67">
        <v>23116.66</v>
      </c>
      <c r="AO5" s="67">
        <v>4675.6400000000003</v>
      </c>
      <c r="AP5" s="67">
        <v>32632.46</v>
      </c>
      <c r="AQ5" s="67">
        <v>31399.29</v>
      </c>
      <c r="AR5" s="67">
        <v>31866.33</v>
      </c>
      <c r="AS5" s="68">
        <v>94500.23</v>
      </c>
      <c r="AT5" s="63"/>
      <c r="AU5" s="63">
        <v>103.14777011653834</v>
      </c>
    </row>
    <row r="6" spans="1:50" ht="12.75" customHeight="1" outlineLevel="1" x14ac:dyDescent="0.2">
      <c r="A6" s="95" t="s">
        <v>162</v>
      </c>
      <c r="B6" s="62">
        <v>29643.49</v>
      </c>
      <c r="C6" s="54">
        <v>0</v>
      </c>
      <c r="D6" s="54">
        <v>66283.360000000001</v>
      </c>
      <c r="E6" s="63"/>
      <c r="F6" s="64">
        <v>44.722370742822932</v>
      </c>
      <c r="G6" s="65">
        <v>40509.75</v>
      </c>
      <c r="H6" s="54">
        <v>33388.559999999998</v>
      </c>
      <c r="I6" s="54">
        <v>30165.74</v>
      </c>
      <c r="J6" s="54">
        <v>29643.49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133707.54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37311.300000000003</v>
      </c>
      <c r="AH6" s="67">
        <v>52805.97</v>
      </c>
      <c r="AI6" s="67">
        <v>18320.62</v>
      </c>
      <c r="AJ6" s="67">
        <v>66283.360000000001</v>
      </c>
      <c r="AK6" s="67">
        <v>22542.6</v>
      </c>
      <c r="AL6" s="67">
        <v>32253.13</v>
      </c>
      <c r="AM6" s="67">
        <v>29049.7</v>
      </c>
      <c r="AN6" s="67">
        <v>38469.120000000003</v>
      </c>
      <c r="AO6" s="67">
        <v>38802.49</v>
      </c>
      <c r="AP6" s="67">
        <v>42739.34</v>
      </c>
      <c r="AQ6" s="67">
        <v>29512.59</v>
      </c>
      <c r="AR6" s="67">
        <v>36776.910000000003</v>
      </c>
      <c r="AS6" s="68">
        <v>174721.25</v>
      </c>
      <c r="AT6" s="63"/>
      <c r="AU6" s="63">
        <v>76.526203881897601</v>
      </c>
    </row>
    <row r="7" spans="1:50" ht="12.75" customHeight="1" outlineLevel="1" x14ac:dyDescent="0.2">
      <c r="A7" s="95" t="s">
        <v>163</v>
      </c>
      <c r="B7" s="62">
        <v>0</v>
      </c>
      <c r="C7" s="54">
        <v>0</v>
      </c>
      <c r="D7" s="54">
        <v>3583.44</v>
      </c>
      <c r="E7" s="63"/>
      <c r="F7" s="64">
        <v>0</v>
      </c>
      <c r="G7" s="65">
        <v>3583.44</v>
      </c>
      <c r="H7" s="54">
        <v>3583.44</v>
      </c>
      <c r="I7" s="56">
        <v>-7166.88</v>
      </c>
      <c r="J7" s="54">
        <v>0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0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4742</v>
      </c>
      <c r="AH7" s="67">
        <v>4742</v>
      </c>
      <c r="AI7" s="67">
        <v>4742</v>
      </c>
      <c r="AJ7" s="67">
        <v>3583.44</v>
      </c>
      <c r="AK7" s="67">
        <v>3583.44</v>
      </c>
      <c r="AL7" s="67">
        <v>3583.44</v>
      </c>
      <c r="AM7" s="67">
        <v>3583.44</v>
      </c>
      <c r="AN7" s="67">
        <v>3583.44</v>
      </c>
      <c r="AO7" s="67">
        <v>3583.44</v>
      </c>
      <c r="AP7" s="67">
        <v>3583.44</v>
      </c>
      <c r="AQ7" s="98">
        <v>-35780.1</v>
      </c>
      <c r="AR7" s="67">
        <v>0</v>
      </c>
      <c r="AS7" s="68">
        <v>17809.439999999999</v>
      </c>
      <c r="AT7" s="63"/>
      <c r="AU7" s="63">
        <v>0</v>
      </c>
    </row>
    <row r="8" spans="1:50" ht="12.75" customHeight="1" outlineLevel="1" x14ac:dyDescent="0.2">
      <c r="A8" s="95" t="s">
        <v>164</v>
      </c>
      <c r="B8" s="62">
        <v>3489.99</v>
      </c>
      <c r="C8" s="54">
        <v>0</v>
      </c>
      <c r="D8" s="54">
        <v>2991.4</v>
      </c>
      <c r="E8" s="63"/>
      <c r="F8" s="64">
        <v>116.66744668048405</v>
      </c>
      <c r="G8" s="65">
        <v>2183.62</v>
      </c>
      <c r="H8" s="54">
        <v>3489.98</v>
      </c>
      <c r="I8" s="54">
        <v>4290.2299999999996</v>
      </c>
      <c r="J8" s="54">
        <v>3489.99</v>
      </c>
      <c r="K8" s="56">
        <v>-1106.1199999999999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66">
        <v>13453.82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66">
        <v>0</v>
      </c>
      <c r="AG8" s="67">
        <v>554.04999999999995</v>
      </c>
      <c r="AH8" s="67">
        <v>2712.42</v>
      </c>
      <c r="AI8" s="67">
        <v>1997.43</v>
      </c>
      <c r="AJ8" s="67">
        <v>2991.4</v>
      </c>
      <c r="AK8" s="67">
        <v>2991.4</v>
      </c>
      <c r="AL8" s="67">
        <v>3375.29</v>
      </c>
      <c r="AM8" s="67">
        <v>3375.29</v>
      </c>
      <c r="AN8" s="67">
        <v>3375.29</v>
      </c>
      <c r="AO8" s="67">
        <v>3375.29</v>
      </c>
      <c r="AP8" s="67">
        <v>4124.32</v>
      </c>
      <c r="AQ8" s="67">
        <v>4124.3</v>
      </c>
      <c r="AR8" s="67">
        <v>4743.58</v>
      </c>
      <c r="AS8" s="68">
        <v>8255.2999999999993</v>
      </c>
      <c r="AT8" s="63"/>
      <c r="AU8" s="63">
        <v>162.97190895545893</v>
      </c>
    </row>
    <row r="9" spans="1:50" ht="12.75" customHeight="1" outlineLevel="1" x14ac:dyDescent="0.2">
      <c r="A9" s="95" t="s">
        <v>165</v>
      </c>
      <c r="B9" s="62">
        <v>37739.57</v>
      </c>
      <c r="C9" s="54">
        <v>0</v>
      </c>
      <c r="D9" s="54">
        <v>35993.96</v>
      </c>
      <c r="E9" s="63"/>
      <c r="F9" s="64">
        <v>104.84973034364654</v>
      </c>
      <c r="G9" s="65">
        <v>37719.71</v>
      </c>
      <c r="H9" s="54">
        <v>37986.17</v>
      </c>
      <c r="I9" s="54">
        <v>39332.129999999997</v>
      </c>
      <c r="J9" s="54">
        <v>37739.57</v>
      </c>
      <c r="K9" s="54">
        <v>0</v>
      </c>
      <c r="L9" s="54">
        <v>0</v>
      </c>
      <c r="M9" s="54">
        <v>0</v>
      </c>
      <c r="N9" s="54">
        <v>0</v>
      </c>
      <c r="O9" s="54">
        <v>0</v>
      </c>
      <c r="P9" s="54">
        <v>0</v>
      </c>
      <c r="Q9" s="54">
        <v>0</v>
      </c>
      <c r="R9" s="54">
        <v>0</v>
      </c>
      <c r="S9" s="66">
        <v>152777.57999999999</v>
      </c>
      <c r="T9" s="54">
        <v>0</v>
      </c>
      <c r="U9" s="54">
        <v>0</v>
      </c>
      <c r="V9" s="54">
        <v>0</v>
      </c>
      <c r="W9" s="54">
        <v>0</v>
      </c>
      <c r="X9" s="54">
        <v>0</v>
      </c>
      <c r="Y9" s="54">
        <v>0</v>
      </c>
      <c r="Z9" s="54">
        <v>0</v>
      </c>
      <c r="AA9" s="54">
        <v>0</v>
      </c>
      <c r="AB9" s="54">
        <v>0</v>
      </c>
      <c r="AC9" s="54">
        <v>0</v>
      </c>
      <c r="AD9" s="54">
        <v>0</v>
      </c>
      <c r="AE9" s="54">
        <v>0</v>
      </c>
      <c r="AF9" s="66">
        <v>0</v>
      </c>
      <c r="AG9" s="67">
        <v>31818.799999999999</v>
      </c>
      <c r="AH9" s="67">
        <v>34445.81</v>
      </c>
      <c r="AI9" s="67">
        <v>41283.29</v>
      </c>
      <c r="AJ9" s="67">
        <v>35993.96</v>
      </c>
      <c r="AK9" s="67">
        <v>33435.17</v>
      </c>
      <c r="AL9" s="67">
        <v>37680.11</v>
      </c>
      <c r="AM9" s="67">
        <v>34959.81</v>
      </c>
      <c r="AN9" s="67">
        <v>36482.06</v>
      </c>
      <c r="AO9" s="67">
        <v>33630.33</v>
      </c>
      <c r="AP9" s="67">
        <v>36859.31</v>
      </c>
      <c r="AQ9" s="67">
        <v>40544.17</v>
      </c>
      <c r="AR9" s="67">
        <v>39785.800000000003</v>
      </c>
      <c r="AS9" s="68">
        <v>143541.85999999999</v>
      </c>
      <c r="AT9" s="63"/>
      <c r="AU9" s="63">
        <v>106.4341649188606</v>
      </c>
      <c r="AV9" s="26"/>
      <c r="AW9" s="26"/>
    </row>
    <row r="10" spans="1:50" ht="12.75" customHeight="1" x14ac:dyDescent="0.2">
      <c r="A10" s="69" t="s">
        <v>166</v>
      </c>
      <c r="B10" s="70">
        <v>437384.56</v>
      </c>
      <c r="C10" s="71">
        <v>0</v>
      </c>
      <c r="D10" s="71">
        <v>453164.18</v>
      </c>
      <c r="E10" s="72"/>
      <c r="F10" s="73">
        <v>96.517902187238192</v>
      </c>
      <c r="G10" s="70">
        <v>476706.08</v>
      </c>
      <c r="H10" s="71">
        <v>460264.76</v>
      </c>
      <c r="I10" s="71">
        <v>491665.44</v>
      </c>
      <c r="J10" s="71">
        <v>437384.56</v>
      </c>
      <c r="K10" s="74">
        <v>-12244.32</v>
      </c>
      <c r="L10" s="71">
        <v>0</v>
      </c>
      <c r="M10" s="71">
        <v>0</v>
      </c>
      <c r="N10" s="71">
        <v>0</v>
      </c>
      <c r="O10" s="71">
        <v>0</v>
      </c>
      <c r="P10" s="71">
        <v>0</v>
      </c>
      <c r="Q10" s="71">
        <v>0</v>
      </c>
      <c r="R10" s="71">
        <v>0</v>
      </c>
      <c r="S10" s="71">
        <v>1866020.84</v>
      </c>
      <c r="T10" s="71">
        <v>0</v>
      </c>
      <c r="U10" s="71">
        <v>0</v>
      </c>
      <c r="V10" s="71">
        <v>0</v>
      </c>
      <c r="W10" s="71">
        <v>0</v>
      </c>
      <c r="X10" s="71">
        <v>0</v>
      </c>
      <c r="Y10" s="71">
        <v>0</v>
      </c>
      <c r="Z10" s="71">
        <v>0</v>
      </c>
      <c r="AA10" s="71">
        <v>0</v>
      </c>
      <c r="AB10" s="71">
        <v>0</v>
      </c>
      <c r="AC10" s="71">
        <v>0</v>
      </c>
      <c r="AD10" s="71">
        <v>0</v>
      </c>
      <c r="AE10" s="71">
        <v>0</v>
      </c>
      <c r="AF10" s="71">
        <v>0</v>
      </c>
      <c r="AG10" s="75">
        <v>435250.46</v>
      </c>
      <c r="AH10" s="75">
        <v>502413.9</v>
      </c>
      <c r="AI10" s="75">
        <v>492345.27</v>
      </c>
      <c r="AJ10" s="75">
        <v>453164.18</v>
      </c>
      <c r="AK10" s="75">
        <v>437235.98</v>
      </c>
      <c r="AL10" s="75">
        <v>471791.57</v>
      </c>
      <c r="AM10" s="75">
        <v>497076.59</v>
      </c>
      <c r="AN10" s="75">
        <v>483502.89</v>
      </c>
      <c r="AO10" s="75">
        <v>495073.57</v>
      </c>
      <c r="AP10" s="75">
        <v>493313.26</v>
      </c>
      <c r="AQ10" s="75">
        <v>482362.95</v>
      </c>
      <c r="AR10" s="75">
        <v>514091.22</v>
      </c>
      <c r="AS10" s="75">
        <v>1883173.81</v>
      </c>
      <c r="AT10" s="72"/>
      <c r="AU10" s="72">
        <v>99.089145680079312</v>
      </c>
      <c r="AV10" s="26"/>
      <c r="AW10" s="26"/>
    </row>
    <row r="11" spans="1:50" ht="12.75" customHeight="1" x14ac:dyDescent="0.2">
      <c r="A11" s="95" t="s">
        <v>167</v>
      </c>
      <c r="B11" s="62">
        <v>189039.57</v>
      </c>
      <c r="C11" s="54">
        <v>0</v>
      </c>
      <c r="D11" s="54">
        <v>124490.29</v>
      </c>
      <c r="E11" s="63"/>
      <c r="F11" s="64">
        <v>151.8508551952124</v>
      </c>
      <c r="G11" s="65">
        <v>210409.62</v>
      </c>
      <c r="H11" s="54">
        <v>162172.15</v>
      </c>
      <c r="I11" s="54">
        <v>269534.36</v>
      </c>
      <c r="J11" s="54">
        <v>189039.57</v>
      </c>
      <c r="K11" s="56">
        <v>-198171.72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66">
        <v>831155.7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0</v>
      </c>
      <c r="AC11" s="54">
        <v>0</v>
      </c>
      <c r="AD11" s="54">
        <v>0</v>
      </c>
      <c r="AE11" s="54">
        <v>0</v>
      </c>
      <c r="AF11" s="66">
        <v>0</v>
      </c>
      <c r="AG11" s="67">
        <v>183564.36</v>
      </c>
      <c r="AH11" s="67">
        <v>168572.02</v>
      </c>
      <c r="AI11" s="67">
        <v>158568.28</v>
      </c>
      <c r="AJ11" s="67">
        <v>124490.29</v>
      </c>
      <c r="AK11" s="67">
        <v>209765.85</v>
      </c>
      <c r="AL11" s="67">
        <v>315332.84999999998</v>
      </c>
      <c r="AM11" s="67">
        <v>183310.52</v>
      </c>
      <c r="AN11" s="67">
        <v>178066.36</v>
      </c>
      <c r="AO11" s="67">
        <v>148704.59</v>
      </c>
      <c r="AP11" s="67">
        <v>176183.55</v>
      </c>
      <c r="AQ11" s="67">
        <v>230564.8</v>
      </c>
      <c r="AR11" s="67">
        <v>91550.09</v>
      </c>
      <c r="AS11" s="68">
        <v>635194.94999999995</v>
      </c>
      <c r="AT11" s="63"/>
      <c r="AU11" s="63">
        <v>130.85048928679296</v>
      </c>
      <c r="AV11" s="26"/>
      <c r="AW11" s="26"/>
    </row>
    <row r="12" spans="1:50" ht="12.75" customHeight="1" x14ac:dyDescent="0.2">
      <c r="A12" s="95" t="s">
        <v>168</v>
      </c>
      <c r="B12" s="62">
        <v>24443.77</v>
      </c>
      <c r="C12" s="54">
        <v>0</v>
      </c>
      <c r="D12" s="54">
        <v>29803.43</v>
      </c>
      <c r="E12" s="63"/>
      <c r="F12" s="64">
        <v>82.016633655924835</v>
      </c>
      <c r="G12" s="65">
        <v>29913.200000000001</v>
      </c>
      <c r="H12" s="54">
        <v>32908.25</v>
      </c>
      <c r="I12" s="54">
        <v>48967.47</v>
      </c>
      <c r="J12" s="54">
        <v>24443.77</v>
      </c>
      <c r="K12" s="56">
        <v>-5543.05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66">
        <v>136232.69</v>
      </c>
      <c r="T12" s="54">
        <v>0</v>
      </c>
      <c r="U12" s="54">
        <v>0</v>
      </c>
      <c r="V12" s="54">
        <v>0</v>
      </c>
      <c r="W12" s="54">
        <v>0</v>
      </c>
      <c r="X12" s="54">
        <v>0</v>
      </c>
      <c r="Y12" s="54">
        <v>0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66">
        <v>0</v>
      </c>
      <c r="AG12" s="67">
        <v>38426.160000000003</v>
      </c>
      <c r="AH12" s="67">
        <v>31642.43</v>
      </c>
      <c r="AI12" s="67">
        <v>51398.81</v>
      </c>
      <c r="AJ12" s="67">
        <v>29803.43</v>
      </c>
      <c r="AK12" s="67">
        <v>30070.38</v>
      </c>
      <c r="AL12" s="67">
        <v>26542.65</v>
      </c>
      <c r="AM12" s="98">
        <v>-26379.33</v>
      </c>
      <c r="AN12" s="67">
        <v>27258.54</v>
      </c>
      <c r="AO12" s="67">
        <v>50216.59</v>
      </c>
      <c r="AP12" s="67">
        <v>32581.54</v>
      </c>
      <c r="AQ12" s="67">
        <v>48097.32</v>
      </c>
      <c r="AR12" s="98">
        <v>-21124.67</v>
      </c>
      <c r="AS12" s="68">
        <v>151270.82999999999</v>
      </c>
      <c r="AT12" s="63"/>
      <c r="AU12" s="63">
        <v>90.058797191765265</v>
      </c>
      <c r="AV12" s="26"/>
      <c r="AW12" s="26"/>
    </row>
    <row r="13" spans="1:50" ht="12.75" customHeight="1" x14ac:dyDescent="0.2">
      <c r="A13" s="95" t="s">
        <v>169</v>
      </c>
      <c r="B13" s="62">
        <v>49849.4</v>
      </c>
      <c r="C13" s="54">
        <v>0</v>
      </c>
      <c r="D13" s="54">
        <v>33846.9</v>
      </c>
      <c r="E13" s="63"/>
      <c r="F13" s="64">
        <v>147.27907134774529</v>
      </c>
      <c r="G13" s="65">
        <v>44434.97</v>
      </c>
      <c r="H13" s="54">
        <v>57378.77</v>
      </c>
      <c r="I13" s="54">
        <v>14132.66</v>
      </c>
      <c r="J13" s="54">
        <v>49849.4</v>
      </c>
      <c r="K13" s="56">
        <v>-32430.09</v>
      </c>
      <c r="L13" s="54">
        <v>0</v>
      </c>
      <c r="M13" s="54">
        <v>0</v>
      </c>
      <c r="N13" s="54">
        <v>0</v>
      </c>
      <c r="O13" s="54">
        <v>0</v>
      </c>
      <c r="P13" s="54">
        <v>0</v>
      </c>
      <c r="Q13" s="54">
        <v>0</v>
      </c>
      <c r="R13" s="54">
        <v>0</v>
      </c>
      <c r="S13" s="66">
        <v>165795.79999999999</v>
      </c>
      <c r="T13" s="54">
        <v>0</v>
      </c>
      <c r="U13" s="54">
        <v>0</v>
      </c>
      <c r="V13" s="54">
        <v>0</v>
      </c>
      <c r="W13" s="54">
        <v>0</v>
      </c>
      <c r="X13" s="54">
        <v>0</v>
      </c>
      <c r="Y13" s="54">
        <v>0</v>
      </c>
      <c r="Z13" s="54">
        <v>0</v>
      </c>
      <c r="AA13" s="54">
        <v>0</v>
      </c>
      <c r="AB13" s="54">
        <v>0</v>
      </c>
      <c r="AC13" s="54">
        <v>0</v>
      </c>
      <c r="AD13" s="54">
        <v>0</v>
      </c>
      <c r="AE13" s="54">
        <v>0</v>
      </c>
      <c r="AF13" s="66">
        <v>0</v>
      </c>
      <c r="AG13" s="67">
        <v>41983.6</v>
      </c>
      <c r="AH13" s="67">
        <v>49496.17</v>
      </c>
      <c r="AI13" s="67">
        <v>57836.39</v>
      </c>
      <c r="AJ13" s="67">
        <v>33846.9</v>
      </c>
      <c r="AK13" s="67">
        <v>31574.94</v>
      </c>
      <c r="AL13" s="67">
        <v>47402.39</v>
      </c>
      <c r="AM13" s="67">
        <v>7594.04</v>
      </c>
      <c r="AN13" s="67">
        <v>30892.37</v>
      </c>
      <c r="AO13" s="67">
        <v>78529.72</v>
      </c>
      <c r="AP13" s="67">
        <v>24320.66</v>
      </c>
      <c r="AQ13" s="67">
        <v>27027.66</v>
      </c>
      <c r="AR13" s="67">
        <v>4146.21</v>
      </c>
      <c r="AS13" s="68">
        <v>183163.06</v>
      </c>
      <c r="AT13" s="63"/>
      <c r="AU13" s="63">
        <v>90.518142686631251</v>
      </c>
      <c r="AV13" s="26"/>
      <c r="AW13" s="26"/>
    </row>
    <row r="14" spans="1:50" ht="12.75" customHeight="1" x14ac:dyDescent="0.2">
      <c r="A14" s="95" t="s">
        <v>50</v>
      </c>
      <c r="B14" s="62">
        <v>381.66</v>
      </c>
      <c r="C14" s="54">
        <v>0</v>
      </c>
      <c r="D14" s="54">
        <v>1572.29</v>
      </c>
      <c r="E14" s="63"/>
      <c r="F14" s="64">
        <v>24.2741478989245</v>
      </c>
      <c r="G14" s="65">
        <v>656.52</v>
      </c>
      <c r="H14" s="54">
        <v>1074.95</v>
      </c>
      <c r="I14" s="54">
        <v>293.8</v>
      </c>
      <c r="J14" s="54">
        <v>381.66</v>
      </c>
      <c r="K14" s="54">
        <v>0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2406.9299999999998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67">
        <v>193.76</v>
      </c>
      <c r="AH14" s="67">
        <v>1074.6400000000001</v>
      </c>
      <c r="AI14" s="67">
        <v>601.66</v>
      </c>
      <c r="AJ14" s="67">
        <v>1572.29</v>
      </c>
      <c r="AK14" s="67">
        <v>2391.2199999999998</v>
      </c>
      <c r="AL14" s="67">
        <v>49.28</v>
      </c>
      <c r="AM14" s="67">
        <v>561.35</v>
      </c>
      <c r="AN14" s="67">
        <v>298.18</v>
      </c>
      <c r="AO14" s="67">
        <v>543.44000000000005</v>
      </c>
      <c r="AP14" s="67">
        <v>1238.4000000000001</v>
      </c>
      <c r="AQ14" s="67">
        <v>538.54</v>
      </c>
      <c r="AR14" s="67">
        <v>382.78</v>
      </c>
      <c r="AS14" s="68">
        <v>3442.35</v>
      </c>
      <c r="AT14" s="63"/>
      <c r="AU14" s="63">
        <v>69.92112946097869</v>
      </c>
      <c r="AV14" s="26"/>
      <c r="AW14" s="26"/>
    </row>
    <row r="15" spans="1:50" ht="12.75" customHeight="1" x14ac:dyDescent="0.2">
      <c r="A15" s="95" t="s">
        <v>170</v>
      </c>
      <c r="B15" s="62">
        <v>46948.97</v>
      </c>
      <c r="C15" s="54">
        <v>0</v>
      </c>
      <c r="D15" s="54">
        <v>17865.62</v>
      </c>
      <c r="E15" s="63"/>
      <c r="F15" s="64">
        <v>262.78948057778013</v>
      </c>
      <c r="G15" s="65">
        <v>22052.48</v>
      </c>
      <c r="H15" s="54">
        <v>8181.67</v>
      </c>
      <c r="I15" s="54">
        <v>20692.95</v>
      </c>
      <c r="J15" s="54">
        <v>46948.97</v>
      </c>
      <c r="K15" s="56">
        <v>-22637.3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66">
        <v>97876.07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66">
        <v>0</v>
      </c>
      <c r="AG15" s="67">
        <v>42424.91</v>
      </c>
      <c r="AH15" s="98">
        <v>-10631.04</v>
      </c>
      <c r="AI15" s="67">
        <v>23859.19</v>
      </c>
      <c r="AJ15" s="67">
        <v>17865.62</v>
      </c>
      <c r="AK15" s="67">
        <v>28357.4</v>
      </c>
      <c r="AL15" s="67">
        <v>36260.17</v>
      </c>
      <c r="AM15" s="67">
        <v>1841.94</v>
      </c>
      <c r="AN15" s="67">
        <v>6552.02</v>
      </c>
      <c r="AO15" s="67">
        <v>15268.92</v>
      </c>
      <c r="AP15" s="67">
        <v>5482.58</v>
      </c>
      <c r="AQ15" s="67">
        <v>41000.86</v>
      </c>
      <c r="AR15" s="67">
        <v>47341.68</v>
      </c>
      <c r="AS15" s="68">
        <v>73518.679999999993</v>
      </c>
      <c r="AT15" s="63"/>
      <c r="AU15" s="63">
        <v>133.13088591906165</v>
      </c>
      <c r="AV15" s="26"/>
      <c r="AW15" s="26"/>
    </row>
    <row r="16" spans="1:50" ht="12.75" customHeight="1" x14ac:dyDescent="0.2">
      <c r="A16" s="95" t="s">
        <v>171</v>
      </c>
      <c r="B16" s="62">
        <v>67307.75</v>
      </c>
      <c r="C16" s="54">
        <v>0</v>
      </c>
      <c r="D16" s="54">
        <v>83900.13</v>
      </c>
      <c r="E16" s="63"/>
      <c r="F16" s="64">
        <v>80.22365400387342</v>
      </c>
      <c r="G16" s="65">
        <v>94789.73</v>
      </c>
      <c r="H16" s="54">
        <v>83974.49</v>
      </c>
      <c r="I16" s="54">
        <v>60508.59</v>
      </c>
      <c r="J16" s="54">
        <v>67307.75</v>
      </c>
      <c r="K16" s="56">
        <v>-68900.039999999994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66">
        <v>306580.56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>
        <v>68555.58</v>
      </c>
      <c r="AH16" s="67">
        <v>84449.29</v>
      </c>
      <c r="AI16" s="67">
        <v>72118.899999999994</v>
      </c>
      <c r="AJ16" s="67">
        <v>83900.13</v>
      </c>
      <c r="AK16" s="67">
        <v>80105.84</v>
      </c>
      <c r="AL16" s="67">
        <v>59712.37</v>
      </c>
      <c r="AM16" s="67">
        <v>119016.21</v>
      </c>
      <c r="AN16" s="67">
        <v>113326.65</v>
      </c>
      <c r="AO16" s="67">
        <v>64479.63</v>
      </c>
      <c r="AP16" s="67">
        <v>113990.66</v>
      </c>
      <c r="AQ16" s="67">
        <v>106193.7</v>
      </c>
      <c r="AR16" s="67">
        <v>127965.89</v>
      </c>
      <c r="AS16" s="68">
        <v>309023.90000000002</v>
      </c>
      <c r="AT16" s="63"/>
      <c r="AU16" s="63">
        <v>99.209336235805708</v>
      </c>
      <c r="AV16" s="26"/>
      <c r="AW16" s="26"/>
    </row>
    <row r="17" spans="1:47" ht="12.75" customHeight="1" x14ac:dyDescent="0.2">
      <c r="A17" s="95" t="s">
        <v>172</v>
      </c>
      <c r="B17" s="62">
        <v>315.29000000000002</v>
      </c>
      <c r="C17" s="54">
        <v>0</v>
      </c>
      <c r="D17" s="54">
        <v>2361.9499999999998</v>
      </c>
      <c r="E17" s="63"/>
      <c r="F17" s="64">
        <v>13.348716103219797</v>
      </c>
      <c r="G17" s="65">
        <v>2735</v>
      </c>
      <c r="H17" s="54">
        <v>7979.69</v>
      </c>
      <c r="I17" s="54">
        <v>3485.85</v>
      </c>
      <c r="J17" s="54">
        <v>315.29000000000002</v>
      </c>
      <c r="K17" s="56">
        <v>-7598.4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14515.83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1312.29</v>
      </c>
      <c r="AH17" s="67">
        <v>1932.62</v>
      </c>
      <c r="AI17" s="67">
        <v>3174.73</v>
      </c>
      <c r="AJ17" s="67">
        <v>2361.9499999999998</v>
      </c>
      <c r="AK17" s="67">
        <v>1045.72</v>
      </c>
      <c r="AL17" s="67">
        <v>18966.13</v>
      </c>
      <c r="AM17" s="98">
        <v>-18043.78</v>
      </c>
      <c r="AN17" s="67">
        <v>325.14999999999998</v>
      </c>
      <c r="AO17" s="67">
        <v>4171.2</v>
      </c>
      <c r="AP17" s="67">
        <v>9364.85</v>
      </c>
      <c r="AQ17" s="98">
        <v>-8021.88</v>
      </c>
      <c r="AR17" s="67">
        <v>2785.04</v>
      </c>
      <c r="AS17" s="68">
        <v>8781.59</v>
      </c>
      <c r="AT17" s="63"/>
      <c r="AU17" s="63">
        <v>165.29842545598234</v>
      </c>
    </row>
    <row r="18" spans="1:47" ht="12.75" customHeight="1" x14ac:dyDescent="0.2">
      <c r="A18" s="95" t="s">
        <v>173</v>
      </c>
      <c r="B18" s="62">
        <v>27579.02</v>
      </c>
      <c r="C18" s="54">
        <v>0</v>
      </c>
      <c r="D18" s="54">
        <v>31439.02</v>
      </c>
      <c r="E18" s="63"/>
      <c r="F18" s="64">
        <v>87.722263607453414</v>
      </c>
      <c r="G18" s="65">
        <v>28835.58</v>
      </c>
      <c r="H18" s="54">
        <v>28622.92</v>
      </c>
      <c r="I18" s="54">
        <v>28378.82</v>
      </c>
      <c r="J18" s="54">
        <v>27579.02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113416.34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33779.230000000003</v>
      </c>
      <c r="AH18" s="67">
        <v>33094.71</v>
      </c>
      <c r="AI18" s="67">
        <v>31528.9</v>
      </c>
      <c r="AJ18" s="67">
        <v>31439.02</v>
      </c>
      <c r="AK18" s="67">
        <v>32834.629999999997</v>
      </c>
      <c r="AL18" s="67">
        <v>36557.5</v>
      </c>
      <c r="AM18" s="67">
        <v>31621.77</v>
      </c>
      <c r="AN18" s="67">
        <v>31529.78</v>
      </c>
      <c r="AO18" s="67">
        <v>29540.79</v>
      </c>
      <c r="AP18" s="67">
        <v>29193.81</v>
      </c>
      <c r="AQ18" s="67">
        <v>29147.5</v>
      </c>
      <c r="AR18" s="67">
        <v>28825.25</v>
      </c>
      <c r="AS18" s="68">
        <v>129841.86</v>
      </c>
      <c r="AT18" s="63"/>
      <c r="AU18" s="63">
        <v>87.34959588533313</v>
      </c>
    </row>
    <row r="19" spans="1:47" ht="12.75" customHeight="1" x14ac:dyDescent="0.2">
      <c r="A19" s="95" t="s">
        <v>257</v>
      </c>
      <c r="B19" s="62">
        <v>31752.98</v>
      </c>
      <c r="C19" s="54">
        <v>0</v>
      </c>
      <c r="D19" s="54">
        <v>29780.59</v>
      </c>
      <c r="E19" s="63"/>
      <c r="F19" s="64">
        <v>106.62307227627122</v>
      </c>
      <c r="G19" s="65">
        <v>32215.83</v>
      </c>
      <c r="H19" s="54">
        <v>32215.83</v>
      </c>
      <c r="I19" s="54">
        <v>32215.8</v>
      </c>
      <c r="J19" s="54">
        <v>31752.98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128400.44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28835.65</v>
      </c>
      <c r="AH19" s="67">
        <v>28835.65</v>
      </c>
      <c r="AI19" s="67">
        <v>39761.89</v>
      </c>
      <c r="AJ19" s="67">
        <v>29780.59</v>
      </c>
      <c r="AK19" s="67">
        <v>30988.53</v>
      </c>
      <c r="AL19" s="67">
        <v>30948.6</v>
      </c>
      <c r="AM19" s="67">
        <v>30900.49</v>
      </c>
      <c r="AN19" s="67">
        <v>30872.959999999999</v>
      </c>
      <c r="AO19" s="67">
        <v>30925.14</v>
      </c>
      <c r="AP19" s="67">
        <v>31700.51</v>
      </c>
      <c r="AQ19" s="67">
        <v>31311.9</v>
      </c>
      <c r="AR19" s="67">
        <v>33059.370000000003</v>
      </c>
      <c r="AS19" s="68">
        <v>127213.78</v>
      </c>
      <c r="AT19" s="63"/>
      <c r="AU19" s="63">
        <v>100.93280775085843</v>
      </c>
    </row>
    <row r="20" spans="1:47" ht="12.75" hidden="1" customHeight="1" outlineLevel="1" x14ac:dyDescent="0.2">
      <c r="A20" s="95" t="s">
        <v>109</v>
      </c>
      <c r="B20" s="62">
        <v>5433.82</v>
      </c>
      <c r="C20" s="54">
        <v>0</v>
      </c>
      <c r="D20" s="54">
        <v>4080</v>
      </c>
      <c r="E20" s="63"/>
      <c r="F20" s="64">
        <v>133.18186274509804</v>
      </c>
      <c r="G20" s="65">
        <v>4034.79</v>
      </c>
      <c r="H20" s="56">
        <v>-2013.49</v>
      </c>
      <c r="I20" s="54">
        <v>11344.59</v>
      </c>
      <c r="J20" s="54">
        <v>5433.82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66">
        <v>18799.71</v>
      </c>
      <c r="T20" s="54">
        <v>0</v>
      </c>
      <c r="U20" s="54">
        <v>0</v>
      </c>
      <c r="V20" s="54">
        <v>0</v>
      </c>
      <c r="W20" s="54">
        <v>0</v>
      </c>
      <c r="X20" s="54">
        <v>0</v>
      </c>
      <c r="Y20" s="54">
        <v>0</v>
      </c>
      <c r="Z20" s="54">
        <v>0</v>
      </c>
      <c r="AA20" s="54">
        <v>0</v>
      </c>
      <c r="AB20" s="54">
        <v>0</v>
      </c>
      <c r="AC20" s="54">
        <v>0</v>
      </c>
      <c r="AD20" s="54">
        <v>0</v>
      </c>
      <c r="AE20" s="54">
        <v>0</v>
      </c>
      <c r="AF20" s="66">
        <v>0</v>
      </c>
      <c r="AG20" s="67">
        <v>8268.43</v>
      </c>
      <c r="AH20" s="67">
        <v>930.81</v>
      </c>
      <c r="AI20" s="67">
        <v>1575.97</v>
      </c>
      <c r="AJ20" s="67">
        <v>4080</v>
      </c>
      <c r="AK20" s="67">
        <v>290.45</v>
      </c>
      <c r="AL20" s="67">
        <v>17405.849999999999</v>
      </c>
      <c r="AM20" s="67">
        <v>1968.47</v>
      </c>
      <c r="AN20" s="67">
        <v>3340</v>
      </c>
      <c r="AO20" s="67">
        <v>8596</v>
      </c>
      <c r="AP20" s="67">
        <v>120</v>
      </c>
      <c r="AQ20" s="67">
        <v>10848.5</v>
      </c>
      <c r="AR20" s="67">
        <v>12340.67</v>
      </c>
      <c r="AS20" s="68">
        <v>14855.21</v>
      </c>
      <c r="AT20" s="63"/>
      <c r="AU20" s="63">
        <v>126.55297367051695</v>
      </c>
    </row>
    <row r="21" spans="1:47" ht="12.75" hidden="1" customHeight="1" outlineLevel="1" x14ac:dyDescent="0.2">
      <c r="A21" s="95" t="s">
        <v>97</v>
      </c>
      <c r="B21" s="62">
        <v>1558.09</v>
      </c>
      <c r="C21" s="54">
        <v>0</v>
      </c>
      <c r="D21" s="54">
        <v>4505.18</v>
      </c>
      <c r="E21" s="63"/>
      <c r="F21" s="64">
        <v>34.584411721618224</v>
      </c>
      <c r="G21" s="65">
        <v>1892.64</v>
      </c>
      <c r="H21" s="54">
        <v>1189</v>
      </c>
      <c r="I21" s="54">
        <v>1927.18</v>
      </c>
      <c r="J21" s="54">
        <v>1558.09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66">
        <v>6566.91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4">
        <v>0</v>
      </c>
      <c r="AB21" s="54">
        <v>0</v>
      </c>
      <c r="AC21" s="54">
        <v>0</v>
      </c>
      <c r="AD21" s="54">
        <v>0</v>
      </c>
      <c r="AE21" s="54">
        <v>0</v>
      </c>
      <c r="AF21" s="66">
        <v>0</v>
      </c>
      <c r="AG21" s="67">
        <v>3867.18</v>
      </c>
      <c r="AH21" s="67">
        <v>3867.18</v>
      </c>
      <c r="AI21" s="67">
        <v>6360.93</v>
      </c>
      <c r="AJ21" s="67">
        <v>4505.18</v>
      </c>
      <c r="AK21" s="67">
        <v>4463.41</v>
      </c>
      <c r="AL21" s="67">
        <v>4577</v>
      </c>
      <c r="AM21" s="67">
        <v>2434.46</v>
      </c>
      <c r="AN21" s="67">
        <v>273.54000000000002</v>
      </c>
      <c r="AO21" s="67">
        <v>1892.64</v>
      </c>
      <c r="AP21" s="67">
        <v>1189</v>
      </c>
      <c r="AQ21" s="67">
        <v>1189</v>
      </c>
      <c r="AR21" s="67">
        <v>2729</v>
      </c>
      <c r="AS21" s="68">
        <v>18600.47</v>
      </c>
      <c r="AT21" s="63"/>
      <c r="AU21" s="63">
        <v>35.305075624433144</v>
      </c>
    </row>
    <row r="22" spans="1:47" ht="12.75" hidden="1" customHeight="1" outlineLevel="1" x14ac:dyDescent="0.2">
      <c r="A22" s="95" t="s">
        <v>69</v>
      </c>
      <c r="B22" s="62">
        <v>22760.3</v>
      </c>
      <c r="C22" s="54">
        <v>0</v>
      </c>
      <c r="D22" s="54">
        <v>2949.59</v>
      </c>
      <c r="E22" s="63"/>
      <c r="F22" s="64">
        <v>771.64283849619778</v>
      </c>
      <c r="G22" s="65">
        <v>44934.62</v>
      </c>
      <c r="H22" s="54">
        <v>21455.16</v>
      </c>
      <c r="I22" s="54">
        <v>15371.27</v>
      </c>
      <c r="J22" s="54">
        <v>22760.3</v>
      </c>
      <c r="K22" s="56">
        <v>-6291.5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66">
        <v>104521.35</v>
      </c>
      <c r="T22" s="54">
        <v>0</v>
      </c>
      <c r="U22" s="54">
        <v>0</v>
      </c>
      <c r="V22" s="54">
        <v>0</v>
      </c>
      <c r="W22" s="54">
        <v>0</v>
      </c>
      <c r="X22" s="54">
        <v>0</v>
      </c>
      <c r="Y22" s="54">
        <v>0</v>
      </c>
      <c r="Z22" s="54">
        <v>0</v>
      </c>
      <c r="AA22" s="54">
        <v>0</v>
      </c>
      <c r="AB22" s="54">
        <v>0</v>
      </c>
      <c r="AC22" s="54">
        <v>0</v>
      </c>
      <c r="AD22" s="54">
        <v>0</v>
      </c>
      <c r="AE22" s="54">
        <v>0</v>
      </c>
      <c r="AF22" s="66">
        <v>0</v>
      </c>
      <c r="AG22" s="67">
        <v>15070.51</v>
      </c>
      <c r="AH22" s="67">
        <v>16052.17</v>
      </c>
      <c r="AI22" s="67">
        <v>12813.19</v>
      </c>
      <c r="AJ22" s="67">
        <v>2949.59</v>
      </c>
      <c r="AK22" s="67">
        <v>10991.69</v>
      </c>
      <c r="AL22" s="67">
        <v>9774.26</v>
      </c>
      <c r="AM22" s="67">
        <v>22799.91</v>
      </c>
      <c r="AN22" s="98">
        <v>-8499.5300000000007</v>
      </c>
      <c r="AO22" s="67">
        <v>23923.64</v>
      </c>
      <c r="AP22" s="67">
        <v>16520.48</v>
      </c>
      <c r="AQ22" s="67">
        <v>30864.01</v>
      </c>
      <c r="AR22" s="67">
        <v>30342.35</v>
      </c>
      <c r="AS22" s="68">
        <v>46885.46</v>
      </c>
      <c r="AT22" s="63"/>
      <c r="AU22" s="63">
        <v>222.92913410682118</v>
      </c>
    </row>
    <row r="23" spans="1:47" ht="12.75" customHeight="1" collapsed="1" x14ac:dyDescent="0.2">
      <c r="A23" s="69" t="s">
        <v>70</v>
      </c>
      <c r="B23" s="70">
        <v>29752.21</v>
      </c>
      <c r="C23" s="71">
        <v>0</v>
      </c>
      <c r="D23" s="71">
        <v>11534.77</v>
      </c>
      <c r="E23" s="72"/>
      <c r="F23" s="73">
        <v>257.93500867377503</v>
      </c>
      <c r="G23" s="70">
        <v>50862.05</v>
      </c>
      <c r="H23" s="71">
        <v>20630.669999999998</v>
      </c>
      <c r="I23" s="71">
        <v>28643.040000000001</v>
      </c>
      <c r="J23" s="71">
        <v>29752.21</v>
      </c>
      <c r="K23" s="74">
        <v>-6291.5</v>
      </c>
      <c r="L23" s="71">
        <v>0</v>
      </c>
      <c r="M23" s="71">
        <v>0</v>
      </c>
      <c r="N23" s="71">
        <v>0</v>
      </c>
      <c r="O23" s="71">
        <v>0</v>
      </c>
      <c r="P23" s="71">
        <v>0</v>
      </c>
      <c r="Q23" s="71">
        <v>0</v>
      </c>
      <c r="R23" s="71">
        <v>0</v>
      </c>
      <c r="S23" s="71">
        <v>129887.97</v>
      </c>
      <c r="T23" s="71">
        <v>0</v>
      </c>
      <c r="U23" s="71">
        <v>0</v>
      </c>
      <c r="V23" s="71">
        <v>0</v>
      </c>
      <c r="W23" s="71">
        <v>0</v>
      </c>
      <c r="X23" s="71">
        <v>0</v>
      </c>
      <c r="Y23" s="71">
        <v>0</v>
      </c>
      <c r="Z23" s="71">
        <v>0</v>
      </c>
      <c r="AA23" s="71">
        <v>0</v>
      </c>
      <c r="AB23" s="71">
        <v>0</v>
      </c>
      <c r="AC23" s="71">
        <v>0</v>
      </c>
      <c r="AD23" s="71">
        <v>0</v>
      </c>
      <c r="AE23" s="71">
        <v>0</v>
      </c>
      <c r="AF23" s="71">
        <v>0</v>
      </c>
      <c r="AG23" s="75">
        <v>27206.12</v>
      </c>
      <c r="AH23" s="75">
        <v>20850.16</v>
      </c>
      <c r="AI23" s="75">
        <v>20750.09</v>
      </c>
      <c r="AJ23" s="75">
        <v>11534.77</v>
      </c>
      <c r="AK23" s="75">
        <v>15745.55</v>
      </c>
      <c r="AL23" s="75">
        <v>31757.11</v>
      </c>
      <c r="AM23" s="75">
        <v>27202.84</v>
      </c>
      <c r="AN23" s="134">
        <v>-4885.99</v>
      </c>
      <c r="AO23" s="75">
        <v>34412.28</v>
      </c>
      <c r="AP23" s="75">
        <v>17829.48</v>
      </c>
      <c r="AQ23" s="75">
        <v>42901.51</v>
      </c>
      <c r="AR23" s="75">
        <v>45412.02</v>
      </c>
      <c r="AS23" s="75">
        <v>80341.14</v>
      </c>
      <c r="AT23" s="72"/>
      <c r="AU23" s="72">
        <v>161.67055881955372</v>
      </c>
    </row>
    <row r="24" spans="1:47" ht="12.75" hidden="1" customHeight="1" outlineLevel="1" x14ac:dyDescent="0.2">
      <c r="A24" s="95" t="s">
        <v>174</v>
      </c>
      <c r="B24" s="62">
        <v>0</v>
      </c>
      <c r="C24" s="54">
        <v>0</v>
      </c>
      <c r="D24" s="54">
        <v>0</v>
      </c>
      <c r="E24" s="63"/>
      <c r="F24" s="64"/>
      <c r="G24" s="65">
        <v>0</v>
      </c>
      <c r="H24" s="54">
        <v>257.05</v>
      </c>
      <c r="I24" s="54">
        <v>0</v>
      </c>
      <c r="J24" s="54">
        <v>0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257.05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0</v>
      </c>
      <c r="AH24" s="67">
        <v>180.2</v>
      </c>
      <c r="AI24" s="98">
        <v>-650.79999999999995</v>
      </c>
      <c r="AJ24" s="67">
        <v>0</v>
      </c>
      <c r="AK24" s="67">
        <v>248.87</v>
      </c>
      <c r="AL24" s="67">
        <v>0</v>
      </c>
      <c r="AM24" s="67">
        <v>0</v>
      </c>
      <c r="AN24" s="67">
        <v>252.12</v>
      </c>
      <c r="AO24" s="67">
        <v>0</v>
      </c>
      <c r="AP24" s="67">
        <v>0</v>
      </c>
      <c r="AQ24" s="67">
        <v>257.05</v>
      </c>
      <c r="AR24" s="67">
        <v>0</v>
      </c>
      <c r="AS24" s="99">
        <v>-470.6</v>
      </c>
      <c r="AT24" s="63"/>
      <c r="AU24" s="63">
        <v>-54.621759456013599</v>
      </c>
    </row>
    <row r="25" spans="1:47" ht="12.75" hidden="1" customHeight="1" outlineLevel="1" x14ac:dyDescent="0.2">
      <c r="A25" s="95" t="s">
        <v>99</v>
      </c>
      <c r="B25" s="62">
        <v>8638.64</v>
      </c>
      <c r="C25" s="54">
        <v>0</v>
      </c>
      <c r="D25" s="54">
        <v>10900.19</v>
      </c>
      <c r="E25" s="63"/>
      <c r="F25" s="64">
        <v>79.252196521345041</v>
      </c>
      <c r="G25" s="65">
        <v>12083</v>
      </c>
      <c r="H25" s="54">
        <v>8797.61</v>
      </c>
      <c r="I25" s="54">
        <v>7688.83</v>
      </c>
      <c r="J25" s="54">
        <v>8638.64</v>
      </c>
      <c r="K25" s="56">
        <v>-5144.46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37208.080000000002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6905.09</v>
      </c>
      <c r="AH25" s="67">
        <v>10467.049999999999</v>
      </c>
      <c r="AI25" s="67">
        <v>3733.34</v>
      </c>
      <c r="AJ25" s="67">
        <v>10900.19</v>
      </c>
      <c r="AK25" s="67">
        <v>14318.72</v>
      </c>
      <c r="AL25" s="67">
        <v>14234.51</v>
      </c>
      <c r="AM25" s="67">
        <v>1231.46</v>
      </c>
      <c r="AN25" s="67">
        <v>13631.59</v>
      </c>
      <c r="AO25" s="67">
        <v>7240.3</v>
      </c>
      <c r="AP25" s="67">
        <v>1232.68</v>
      </c>
      <c r="AQ25" s="67">
        <v>10194.59</v>
      </c>
      <c r="AR25" s="67">
        <v>0</v>
      </c>
      <c r="AS25" s="68">
        <v>32005.67</v>
      </c>
      <c r="AT25" s="63"/>
      <c r="AU25" s="63">
        <v>116.25465112900308</v>
      </c>
    </row>
    <row r="26" spans="1:47" ht="12.75" hidden="1" customHeight="1" outlineLevel="1" x14ac:dyDescent="0.2">
      <c r="A26" s="95" t="s">
        <v>175</v>
      </c>
      <c r="B26" s="62">
        <v>333.98</v>
      </c>
      <c r="C26" s="54">
        <v>0</v>
      </c>
      <c r="D26" s="54">
        <v>0</v>
      </c>
      <c r="E26" s="63"/>
      <c r="F26" s="64"/>
      <c r="G26" s="65">
        <v>0</v>
      </c>
      <c r="H26" s="54">
        <v>388.13</v>
      </c>
      <c r="I26" s="54">
        <v>26.08</v>
      </c>
      <c r="J26" s="54">
        <v>333.98</v>
      </c>
      <c r="K26" s="54">
        <v>0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748.19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0</v>
      </c>
      <c r="AH26" s="67">
        <v>253.84</v>
      </c>
      <c r="AI26" s="98">
        <v>-2.35</v>
      </c>
      <c r="AJ26" s="67">
        <v>0</v>
      </c>
      <c r="AK26" s="67">
        <v>322.42</v>
      </c>
      <c r="AL26" s="67">
        <v>0</v>
      </c>
      <c r="AM26" s="67">
        <v>337.17</v>
      </c>
      <c r="AN26" s="67">
        <v>12.39</v>
      </c>
      <c r="AO26" s="67">
        <v>363.86</v>
      </c>
      <c r="AP26" s="67">
        <v>0</v>
      </c>
      <c r="AQ26" s="67">
        <v>421.34</v>
      </c>
      <c r="AR26" s="67">
        <v>32.18</v>
      </c>
      <c r="AS26" s="68">
        <v>251.49</v>
      </c>
      <c r="AT26" s="63"/>
      <c r="AU26" s="63">
        <v>297.50288281840233</v>
      </c>
    </row>
    <row r="27" spans="1:47" ht="12.75" hidden="1" customHeight="1" outlineLevel="1" x14ac:dyDescent="0.2">
      <c r="A27" s="95" t="s">
        <v>100</v>
      </c>
      <c r="B27" s="62">
        <v>6411.94</v>
      </c>
      <c r="C27" s="54">
        <v>0</v>
      </c>
      <c r="D27" s="54">
        <v>12449.43</v>
      </c>
      <c r="E27" s="63"/>
      <c r="F27" s="64">
        <v>51.50388411356986</v>
      </c>
      <c r="G27" s="65">
        <v>12301.86</v>
      </c>
      <c r="H27" s="54">
        <v>12258.95</v>
      </c>
      <c r="I27" s="54">
        <v>9166.7800000000007</v>
      </c>
      <c r="J27" s="54">
        <v>6411.94</v>
      </c>
      <c r="K27" s="56">
        <v>-11854.54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40139.53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9629.34</v>
      </c>
      <c r="AH27" s="67">
        <v>7308.9</v>
      </c>
      <c r="AI27" s="67">
        <v>12791.09</v>
      </c>
      <c r="AJ27" s="67">
        <v>12449.43</v>
      </c>
      <c r="AK27" s="67">
        <v>10575.01</v>
      </c>
      <c r="AL27" s="67">
        <v>11710.58</v>
      </c>
      <c r="AM27" s="67">
        <v>46932.38</v>
      </c>
      <c r="AN27" s="67">
        <v>6462.23</v>
      </c>
      <c r="AO27" s="98">
        <v>-12041.05</v>
      </c>
      <c r="AP27" s="67">
        <v>50652.56</v>
      </c>
      <c r="AQ27" s="67">
        <v>45193.8</v>
      </c>
      <c r="AR27" s="67">
        <v>33854.03</v>
      </c>
      <c r="AS27" s="68">
        <v>42178.76</v>
      </c>
      <c r="AT27" s="63"/>
      <c r="AU27" s="63">
        <v>95.165268016413947</v>
      </c>
    </row>
    <row r="28" spans="1:47" ht="12.75" hidden="1" customHeight="1" outlineLevel="1" x14ac:dyDescent="0.2">
      <c r="A28" s="95" t="s">
        <v>101</v>
      </c>
      <c r="B28" s="62">
        <v>290.47000000000003</v>
      </c>
      <c r="C28" s="54">
        <v>0</v>
      </c>
      <c r="D28" s="54">
        <v>341.04</v>
      </c>
      <c r="E28" s="63"/>
      <c r="F28" s="64">
        <v>85.171827351630313</v>
      </c>
      <c r="G28" s="65">
        <v>281.13</v>
      </c>
      <c r="H28" s="54">
        <v>243.21</v>
      </c>
      <c r="I28" s="54">
        <v>222.76</v>
      </c>
      <c r="J28" s="54">
        <v>290.47000000000003</v>
      </c>
      <c r="K28" s="56">
        <v>-197.76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1037.57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282.02</v>
      </c>
      <c r="AH28" s="67">
        <v>274.18</v>
      </c>
      <c r="AI28" s="67">
        <v>388.99</v>
      </c>
      <c r="AJ28" s="67">
        <v>341.04</v>
      </c>
      <c r="AK28" s="67">
        <v>286.95</v>
      </c>
      <c r="AL28" s="67">
        <v>260.49</v>
      </c>
      <c r="AM28" s="67">
        <v>62.5</v>
      </c>
      <c r="AN28" s="67">
        <v>45.45</v>
      </c>
      <c r="AO28" s="67">
        <v>467.15</v>
      </c>
      <c r="AP28" s="67">
        <v>272.52999999999997</v>
      </c>
      <c r="AQ28" s="67">
        <v>45.45</v>
      </c>
      <c r="AR28" s="67">
        <v>695.28</v>
      </c>
      <c r="AS28" s="68">
        <v>1286.23</v>
      </c>
      <c r="AT28" s="63"/>
      <c r="AU28" s="63">
        <v>80.667532245399343</v>
      </c>
    </row>
    <row r="29" spans="1:47" ht="12.75" hidden="1" customHeight="1" outlineLevel="1" x14ac:dyDescent="0.2">
      <c r="A29" s="95" t="s">
        <v>176</v>
      </c>
      <c r="B29" s="62">
        <v>257.18</v>
      </c>
      <c r="C29" s="54">
        <v>0</v>
      </c>
      <c r="D29" s="54">
        <v>0</v>
      </c>
      <c r="E29" s="63"/>
      <c r="F29" s="64"/>
      <c r="G29" s="65">
        <v>297.24</v>
      </c>
      <c r="H29" s="54">
        <v>251.72</v>
      </c>
      <c r="I29" s="54">
        <v>242.74</v>
      </c>
      <c r="J29" s="54">
        <v>257.18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1048.8800000000001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310.33999999999997</v>
      </c>
      <c r="AH29" s="67">
        <v>310.35000000000002</v>
      </c>
      <c r="AI29" s="67">
        <v>380.63</v>
      </c>
      <c r="AJ29" s="67">
        <v>0</v>
      </c>
      <c r="AK29" s="67">
        <v>188.76</v>
      </c>
      <c r="AL29" s="67">
        <v>188.76</v>
      </c>
      <c r="AM29" s="67">
        <v>678.36</v>
      </c>
      <c r="AN29" s="67">
        <v>494.17</v>
      </c>
      <c r="AO29" s="67">
        <v>0</v>
      </c>
      <c r="AP29" s="67">
        <v>0</v>
      </c>
      <c r="AQ29" s="67">
        <v>614.20000000000005</v>
      </c>
      <c r="AR29" s="67">
        <v>322.20999999999998</v>
      </c>
      <c r="AS29" s="68">
        <v>1001.32</v>
      </c>
      <c r="AT29" s="63"/>
      <c r="AU29" s="63">
        <v>104.74973035593017</v>
      </c>
    </row>
    <row r="30" spans="1:47" ht="12.75" hidden="1" customHeight="1" outlineLevel="1" x14ac:dyDescent="0.2">
      <c r="A30" s="95" t="s">
        <v>102</v>
      </c>
      <c r="B30" s="62">
        <v>5080.71</v>
      </c>
      <c r="C30" s="54">
        <v>0</v>
      </c>
      <c r="D30" s="54">
        <v>5075.62</v>
      </c>
      <c r="E30" s="63"/>
      <c r="F30" s="64">
        <v>100.10028331514179</v>
      </c>
      <c r="G30" s="65">
        <v>5080.7</v>
      </c>
      <c r="H30" s="54">
        <v>4976.24</v>
      </c>
      <c r="I30" s="54">
        <v>4976.24</v>
      </c>
      <c r="J30" s="54">
        <v>5080.71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20113.89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4692.8</v>
      </c>
      <c r="AH30" s="67">
        <v>4976.24</v>
      </c>
      <c r="AI30" s="67">
        <v>4976.24</v>
      </c>
      <c r="AJ30" s="67">
        <v>5075.62</v>
      </c>
      <c r="AK30" s="67">
        <v>4976.24</v>
      </c>
      <c r="AL30" s="67">
        <v>6629.24</v>
      </c>
      <c r="AM30" s="67">
        <v>3323.24</v>
      </c>
      <c r="AN30" s="67">
        <v>4976.24</v>
      </c>
      <c r="AO30" s="67">
        <v>4976.24</v>
      </c>
      <c r="AP30" s="67">
        <v>4976.24</v>
      </c>
      <c r="AQ30" s="67">
        <v>5075.6099999999997</v>
      </c>
      <c r="AR30" s="67">
        <v>4976.24</v>
      </c>
      <c r="AS30" s="68">
        <v>19720.900000000001</v>
      </c>
      <c r="AT30" s="63"/>
      <c r="AU30" s="63">
        <v>101.99275895116348</v>
      </c>
    </row>
    <row r="31" spans="1:47" ht="12.75" hidden="1" customHeight="1" outlineLevel="1" x14ac:dyDescent="0.2">
      <c r="A31" s="95" t="s">
        <v>75</v>
      </c>
      <c r="B31" s="62">
        <v>787.78</v>
      </c>
      <c r="C31" s="54">
        <v>0</v>
      </c>
      <c r="D31" s="54">
        <v>0</v>
      </c>
      <c r="E31" s="63"/>
      <c r="F31" s="64"/>
      <c r="G31" s="65">
        <v>172.25</v>
      </c>
      <c r="H31" s="54">
        <v>15.54</v>
      </c>
      <c r="I31" s="54">
        <v>15.54</v>
      </c>
      <c r="J31" s="54">
        <v>787.78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991.11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0</v>
      </c>
      <c r="AH31" s="67">
        <v>0</v>
      </c>
      <c r="AI31" s="67">
        <v>0</v>
      </c>
      <c r="AJ31" s="67">
        <v>0</v>
      </c>
      <c r="AK31" s="67">
        <v>0</v>
      </c>
      <c r="AL31" s="67">
        <v>963.71</v>
      </c>
      <c r="AM31" s="67">
        <v>5782.26</v>
      </c>
      <c r="AN31" s="67">
        <v>0</v>
      </c>
      <c r="AO31" s="67">
        <v>0</v>
      </c>
      <c r="AP31" s="67">
        <v>0</v>
      </c>
      <c r="AQ31" s="67">
        <v>0</v>
      </c>
      <c r="AR31" s="67">
        <v>0</v>
      </c>
      <c r="AS31" s="68">
        <v>0</v>
      </c>
      <c r="AT31" s="63"/>
      <c r="AU31" s="63"/>
    </row>
    <row r="32" spans="1:47" ht="12.75" hidden="1" customHeight="1" outlineLevel="1" x14ac:dyDescent="0.2">
      <c r="A32" s="95" t="s">
        <v>76</v>
      </c>
      <c r="B32" s="62">
        <v>3074.91</v>
      </c>
      <c r="C32" s="54">
        <v>0</v>
      </c>
      <c r="D32" s="54">
        <v>5207.18</v>
      </c>
      <c r="E32" s="63"/>
      <c r="F32" s="64">
        <v>59.051348330574321</v>
      </c>
      <c r="G32" s="65">
        <v>7675.13</v>
      </c>
      <c r="H32" s="54">
        <v>4850.47</v>
      </c>
      <c r="I32" s="54">
        <v>11282.54</v>
      </c>
      <c r="J32" s="54">
        <v>3074.91</v>
      </c>
      <c r="K32" s="56">
        <v>-2825.65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66">
        <v>26883.05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66">
        <v>0</v>
      </c>
      <c r="AG32" s="67">
        <v>4951.83</v>
      </c>
      <c r="AH32" s="67">
        <v>5043.2</v>
      </c>
      <c r="AI32" s="67">
        <v>4928.51</v>
      </c>
      <c r="AJ32" s="67">
        <v>5207.18</v>
      </c>
      <c r="AK32" s="67">
        <v>8447.74</v>
      </c>
      <c r="AL32" s="67">
        <v>18035.060000000001</v>
      </c>
      <c r="AM32" s="67">
        <v>1059.08</v>
      </c>
      <c r="AN32" s="67">
        <v>2235.9699999999998</v>
      </c>
      <c r="AO32" s="67">
        <v>10272.11</v>
      </c>
      <c r="AP32" s="67">
        <v>5287.51</v>
      </c>
      <c r="AQ32" s="67">
        <v>5156.93</v>
      </c>
      <c r="AR32" s="67">
        <v>11475.23</v>
      </c>
      <c r="AS32" s="68">
        <v>20130.72</v>
      </c>
      <c r="AT32" s="63"/>
      <c r="AU32" s="63">
        <v>133.54241676403029</v>
      </c>
    </row>
    <row r="33" spans="1:47" ht="12.75" hidden="1" customHeight="1" outlineLevel="1" x14ac:dyDescent="0.2">
      <c r="A33" s="95" t="s">
        <v>77</v>
      </c>
      <c r="B33" s="62">
        <v>1336.93</v>
      </c>
      <c r="C33" s="54">
        <v>0</v>
      </c>
      <c r="D33" s="54">
        <v>1336.93</v>
      </c>
      <c r="E33" s="63"/>
      <c r="F33" s="64">
        <v>100</v>
      </c>
      <c r="G33" s="65">
        <v>1336.93</v>
      </c>
      <c r="H33" s="54">
        <v>1336.93</v>
      </c>
      <c r="I33" s="54">
        <v>1336.93</v>
      </c>
      <c r="J33" s="54">
        <v>1336.93</v>
      </c>
      <c r="K33" s="54">
        <v>0</v>
      </c>
      <c r="L33" s="54">
        <v>0</v>
      </c>
      <c r="M33" s="54">
        <v>0</v>
      </c>
      <c r="N33" s="54">
        <v>0</v>
      </c>
      <c r="O33" s="54">
        <v>0</v>
      </c>
      <c r="P33" s="54">
        <v>0</v>
      </c>
      <c r="Q33" s="54">
        <v>0</v>
      </c>
      <c r="R33" s="54">
        <v>0</v>
      </c>
      <c r="S33" s="66">
        <v>5347.72</v>
      </c>
      <c r="T33" s="54">
        <v>0</v>
      </c>
      <c r="U33" s="54">
        <v>0</v>
      </c>
      <c r="V33" s="54">
        <v>0</v>
      </c>
      <c r="W33" s="54">
        <v>0</v>
      </c>
      <c r="X33" s="54">
        <v>0</v>
      </c>
      <c r="Y33" s="54">
        <v>0</v>
      </c>
      <c r="Z33" s="54">
        <v>0</v>
      </c>
      <c r="AA33" s="54">
        <v>0</v>
      </c>
      <c r="AB33" s="54">
        <v>0</v>
      </c>
      <c r="AC33" s="54">
        <v>0</v>
      </c>
      <c r="AD33" s="54">
        <v>0</v>
      </c>
      <c r="AE33" s="54">
        <v>0</v>
      </c>
      <c r="AF33" s="66">
        <v>0</v>
      </c>
      <c r="AG33" s="67">
        <v>1323.93</v>
      </c>
      <c r="AH33" s="67">
        <v>1323.93</v>
      </c>
      <c r="AI33" s="67">
        <v>1336.93</v>
      </c>
      <c r="AJ33" s="67">
        <v>1336.93</v>
      </c>
      <c r="AK33" s="67">
        <v>1336.93</v>
      </c>
      <c r="AL33" s="67">
        <v>1336.93</v>
      </c>
      <c r="AM33" s="67">
        <v>1336.93</v>
      </c>
      <c r="AN33" s="67">
        <v>1336.93</v>
      </c>
      <c r="AO33" s="67">
        <v>1336.93</v>
      </c>
      <c r="AP33" s="67">
        <v>1336.93</v>
      </c>
      <c r="AQ33" s="67">
        <v>1336.93</v>
      </c>
      <c r="AR33" s="67">
        <v>1336.93</v>
      </c>
      <c r="AS33" s="68">
        <v>5321.72</v>
      </c>
      <c r="AT33" s="63"/>
      <c r="AU33" s="63">
        <v>100.48856384777854</v>
      </c>
    </row>
    <row r="34" spans="1:47" ht="12.75" customHeight="1" collapsed="1" x14ac:dyDescent="0.2">
      <c r="A34" s="69" t="s">
        <v>177</v>
      </c>
      <c r="B34" s="70">
        <v>26212.54</v>
      </c>
      <c r="C34" s="71">
        <v>0</v>
      </c>
      <c r="D34" s="71">
        <v>35310.39</v>
      </c>
      <c r="E34" s="72"/>
      <c r="F34" s="73">
        <v>74.234637453735289</v>
      </c>
      <c r="G34" s="70">
        <v>39228.239999999998</v>
      </c>
      <c r="H34" s="71">
        <v>33375.85</v>
      </c>
      <c r="I34" s="71">
        <v>34958.44</v>
      </c>
      <c r="J34" s="71">
        <v>26212.54</v>
      </c>
      <c r="K34" s="74">
        <v>-20022.41</v>
      </c>
      <c r="L34" s="71">
        <v>0</v>
      </c>
      <c r="M34" s="71">
        <v>0</v>
      </c>
      <c r="N34" s="71">
        <v>0</v>
      </c>
      <c r="O34" s="71">
        <v>0</v>
      </c>
      <c r="P34" s="71">
        <v>0</v>
      </c>
      <c r="Q34" s="71">
        <v>0</v>
      </c>
      <c r="R34" s="71">
        <v>0</v>
      </c>
      <c r="S34" s="71">
        <v>133775.07</v>
      </c>
      <c r="T34" s="71">
        <v>0</v>
      </c>
      <c r="U34" s="71">
        <v>0</v>
      </c>
      <c r="V34" s="71">
        <v>0</v>
      </c>
      <c r="W34" s="71">
        <v>0</v>
      </c>
      <c r="X34" s="71">
        <v>0</v>
      </c>
      <c r="Y34" s="71">
        <v>0</v>
      </c>
      <c r="Z34" s="71">
        <v>0</v>
      </c>
      <c r="AA34" s="71">
        <v>0</v>
      </c>
      <c r="AB34" s="71">
        <v>0</v>
      </c>
      <c r="AC34" s="71">
        <v>0</v>
      </c>
      <c r="AD34" s="71">
        <v>0</v>
      </c>
      <c r="AE34" s="71">
        <v>0</v>
      </c>
      <c r="AF34" s="71">
        <v>0</v>
      </c>
      <c r="AG34" s="75">
        <v>28095.35</v>
      </c>
      <c r="AH34" s="75">
        <v>30137.89</v>
      </c>
      <c r="AI34" s="75">
        <v>27882.58</v>
      </c>
      <c r="AJ34" s="75">
        <v>35310.39</v>
      </c>
      <c r="AK34" s="75">
        <v>40701.64</v>
      </c>
      <c r="AL34" s="75">
        <v>53359.28</v>
      </c>
      <c r="AM34" s="75">
        <v>60743.38</v>
      </c>
      <c r="AN34" s="75">
        <v>29447.09</v>
      </c>
      <c r="AO34" s="75">
        <v>12615.54</v>
      </c>
      <c r="AP34" s="75">
        <v>63758.45</v>
      </c>
      <c r="AQ34" s="75">
        <v>68295.899999999994</v>
      </c>
      <c r="AR34" s="75">
        <v>52692.1</v>
      </c>
      <c r="AS34" s="75">
        <v>121426.21</v>
      </c>
      <c r="AT34" s="72"/>
      <c r="AU34" s="72">
        <v>110.16984718538114</v>
      </c>
    </row>
    <row r="35" spans="1:47" ht="12.75" hidden="1" customHeight="1" outlineLevel="1" x14ac:dyDescent="0.2">
      <c r="A35" s="95" t="s">
        <v>178</v>
      </c>
      <c r="B35" s="62">
        <v>0</v>
      </c>
      <c r="C35" s="54">
        <v>0</v>
      </c>
      <c r="D35" s="54">
        <v>0</v>
      </c>
      <c r="E35" s="63"/>
      <c r="F35" s="64"/>
      <c r="G35" s="65">
        <v>0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0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0</v>
      </c>
      <c r="AH35" s="67">
        <v>0</v>
      </c>
      <c r="AI35" s="67">
        <v>0</v>
      </c>
      <c r="AJ35" s="67">
        <v>0</v>
      </c>
      <c r="AK35" s="67">
        <v>0</v>
      </c>
      <c r="AL35" s="67">
        <v>0</v>
      </c>
      <c r="AM35" s="67">
        <v>0</v>
      </c>
      <c r="AN35" s="67">
        <v>0</v>
      </c>
      <c r="AO35" s="67">
        <v>0</v>
      </c>
      <c r="AP35" s="67">
        <v>0</v>
      </c>
      <c r="AQ35" s="67">
        <v>0</v>
      </c>
      <c r="AR35" s="67">
        <v>0</v>
      </c>
      <c r="AS35" s="68">
        <v>0</v>
      </c>
      <c r="AT35" s="63"/>
      <c r="AU35" s="63"/>
    </row>
    <row r="36" spans="1:47" ht="12.75" hidden="1" customHeight="1" outlineLevel="1" x14ac:dyDescent="0.2">
      <c r="A36" s="95" t="s">
        <v>179</v>
      </c>
      <c r="B36" s="62">
        <v>3620.86</v>
      </c>
      <c r="C36" s="54">
        <v>0</v>
      </c>
      <c r="D36" s="54">
        <v>265.95</v>
      </c>
      <c r="E36" s="63"/>
      <c r="F36" s="64">
        <v>1361.4814814814815</v>
      </c>
      <c r="G36" s="65">
        <v>1928.98</v>
      </c>
      <c r="H36" s="54">
        <v>3027.52</v>
      </c>
      <c r="I36" s="54">
        <v>2315.65</v>
      </c>
      <c r="J36" s="54">
        <v>3620.86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10893.01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>
        <v>193</v>
      </c>
      <c r="AH36" s="67">
        <v>238.48</v>
      </c>
      <c r="AI36" s="67">
        <v>193</v>
      </c>
      <c r="AJ36" s="67">
        <v>265.95</v>
      </c>
      <c r="AK36" s="67">
        <v>239.01</v>
      </c>
      <c r="AL36" s="67">
        <v>211.18</v>
      </c>
      <c r="AM36" s="67">
        <v>193</v>
      </c>
      <c r="AN36" s="67">
        <v>7693</v>
      </c>
      <c r="AO36" s="98">
        <v>-5241.28</v>
      </c>
      <c r="AP36" s="67">
        <v>844.11</v>
      </c>
      <c r="AQ36" s="67">
        <v>1080.6199999999999</v>
      </c>
      <c r="AR36" s="67">
        <v>626.07000000000005</v>
      </c>
      <c r="AS36" s="68">
        <v>890.43</v>
      </c>
      <c r="AT36" s="63"/>
      <c r="AU36" s="63">
        <v>1223.3426546724615</v>
      </c>
    </row>
    <row r="37" spans="1:47" ht="12.75" hidden="1" customHeight="1" outlineLevel="1" x14ac:dyDescent="0.2">
      <c r="A37" s="95" t="s">
        <v>180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291.91000000000003</v>
      </c>
      <c r="AM37" s="67">
        <v>0</v>
      </c>
      <c r="AN37" s="67">
        <v>620.99</v>
      </c>
      <c r="AO37" s="98">
        <v>-620.99</v>
      </c>
      <c r="AP37" s="67">
        <v>0</v>
      </c>
      <c r="AQ37" s="67">
        <v>0</v>
      </c>
      <c r="AR37" s="67">
        <v>710</v>
      </c>
      <c r="AS37" s="68">
        <v>0</v>
      </c>
      <c r="AT37" s="63"/>
      <c r="AU37" s="63"/>
    </row>
    <row r="38" spans="1:47" ht="12.75" hidden="1" customHeight="1" outlineLevel="1" x14ac:dyDescent="0.2">
      <c r="A38" s="95" t="s">
        <v>181</v>
      </c>
      <c r="B38" s="62">
        <v>0</v>
      </c>
      <c r="C38" s="54">
        <v>0</v>
      </c>
      <c r="D38" s="54">
        <v>0</v>
      </c>
      <c r="E38" s="63"/>
      <c r="F38" s="64"/>
      <c r="G38" s="65">
        <v>0</v>
      </c>
      <c r="H38" s="54">
        <v>0</v>
      </c>
      <c r="I38" s="54">
        <v>0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0</v>
      </c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0</v>
      </c>
      <c r="Z38" s="54">
        <v>0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66">
        <v>0</v>
      </c>
      <c r="AG38" s="67">
        <v>0</v>
      </c>
      <c r="AH38" s="67">
        <v>0</v>
      </c>
      <c r="AI38" s="67">
        <v>0</v>
      </c>
      <c r="AJ38" s="67">
        <v>0</v>
      </c>
      <c r="AK38" s="67">
        <v>0</v>
      </c>
      <c r="AL38" s="67">
        <v>0</v>
      </c>
      <c r="AM38" s="67">
        <v>0</v>
      </c>
      <c r="AN38" s="67">
        <v>0</v>
      </c>
      <c r="AO38" s="67">
        <v>0</v>
      </c>
      <c r="AP38" s="67">
        <v>0</v>
      </c>
      <c r="AQ38" s="67">
        <v>0</v>
      </c>
      <c r="AR38" s="67">
        <v>0</v>
      </c>
      <c r="AS38" s="68">
        <v>0</v>
      </c>
      <c r="AT38" s="63"/>
      <c r="AU38" s="63"/>
    </row>
    <row r="39" spans="1:47" ht="12.75" hidden="1" customHeight="1" outlineLevel="1" x14ac:dyDescent="0.2">
      <c r="A39" s="95" t="s">
        <v>182</v>
      </c>
      <c r="B39" s="62">
        <v>0</v>
      </c>
      <c r="C39" s="54">
        <v>0</v>
      </c>
      <c r="D39" s="54">
        <v>0</v>
      </c>
      <c r="E39" s="63"/>
      <c r="F39" s="64"/>
      <c r="G39" s="65">
        <v>0</v>
      </c>
      <c r="H39" s="54">
        <v>0</v>
      </c>
      <c r="I39" s="54">
        <v>0</v>
      </c>
      <c r="J39" s="54">
        <v>0</v>
      </c>
      <c r="K39" s="54">
        <v>0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66">
        <v>0</v>
      </c>
      <c r="T39" s="54">
        <v>0</v>
      </c>
      <c r="U39" s="54">
        <v>0</v>
      </c>
      <c r="V39" s="54">
        <v>0</v>
      </c>
      <c r="W39" s="54">
        <v>0</v>
      </c>
      <c r="X39" s="54">
        <v>0</v>
      </c>
      <c r="Y39" s="54">
        <v>0</v>
      </c>
      <c r="Z39" s="54">
        <v>0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66">
        <v>0</v>
      </c>
      <c r="AG39" s="67">
        <v>0</v>
      </c>
      <c r="AH39" s="67">
        <v>0</v>
      </c>
      <c r="AI39" s="67">
        <v>0</v>
      </c>
      <c r="AJ39" s="67">
        <v>0</v>
      </c>
      <c r="AK39" s="67">
        <v>0</v>
      </c>
      <c r="AL39" s="67">
        <v>0</v>
      </c>
      <c r="AM39" s="67">
        <v>0</v>
      </c>
      <c r="AN39" s="67">
        <v>0</v>
      </c>
      <c r="AO39" s="67">
        <v>0</v>
      </c>
      <c r="AP39" s="67">
        <v>0</v>
      </c>
      <c r="AQ39" s="67">
        <v>190.49</v>
      </c>
      <c r="AR39" s="67">
        <v>636.79999999999995</v>
      </c>
      <c r="AS39" s="68">
        <v>0</v>
      </c>
      <c r="AT39" s="63"/>
      <c r="AU39" s="63"/>
    </row>
    <row r="40" spans="1:47" ht="12.75" hidden="1" customHeight="1" outlineLevel="1" x14ac:dyDescent="0.2">
      <c r="A40" s="95" t="s">
        <v>183</v>
      </c>
      <c r="B40" s="62">
        <v>0</v>
      </c>
      <c r="C40" s="54">
        <v>0</v>
      </c>
      <c r="D40" s="54">
        <v>0</v>
      </c>
      <c r="E40" s="63"/>
      <c r="F40" s="64"/>
      <c r="G40" s="65">
        <v>0</v>
      </c>
      <c r="H40" s="54">
        <v>0</v>
      </c>
      <c r="I40" s="54">
        <v>0</v>
      </c>
      <c r="J40" s="54">
        <v>0</v>
      </c>
      <c r="K40" s="54">
        <v>0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66">
        <v>0</v>
      </c>
      <c r="T40" s="54">
        <v>0</v>
      </c>
      <c r="U40" s="54">
        <v>0</v>
      </c>
      <c r="V40" s="54">
        <v>0</v>
      </c>
      <c r="W40" s="54">
        <v>0</v>
      </c>
      <c r="X40" s="54">
        <v>0</v>
      </c>
      <c r="Y40" s="54">
        <v>0</v>
      </c>
      <c r="Z40" s="54">
        <v>0</v>
      </c>
      <c r="AA40" s="54">
        <v>0</v>
      </c>
      <c r="AB40" s="54">
        <v>0</v>
      </c>
      <c r="AC40" s="54">
        <v>0</v>
      </c>
      <c r="AD40" s="54">
        <v>0</v>
      </c>
      <c r="AE40" s="54">
        <v>0</v>
      </c>
      <c r="AF40" s="66">
        <v>0</v>
      </c>
      <c r="AG40" s="67">
        <v>0</v>
      </c>
      <c r="AH40" s="67">
        <v>0</v>
      </c>
      <c r="AI40" s="67">
        <v>0</v>
      </c>
      <c r="AJ40" s="67">
        <v>0</v>
      </c>
      <c r="AK40" s="67">
        <v>0</v>
      </c>
      <c r="AL40" s="67">
        <v>0</v>
      </c>
      <c r="AM40" s="67">
        <v>0</v>
      </c>
      <c r="AN40" s="67">
        <v>0</v>
      </c>
      <c r="AO40" s="67">
        <v>4061.62</v>
      </c>
      <c r="AP40" s="98">
        <v>-3241.27</v>
      </c>
      <c r="AQ40" s="67">
        <v>439.49</v>
      </c>
      <c r="AR40" s="98">
        <v>-710</v>
      </c>
      <c r="AS40" s="68">
        <v>0</v>
      </c>
      <c r="AT40" s="63"/>
      <c r="AU40" s="63"/>
    </row>
    <row r="41" spans="1:47" ht="12.75" hidden="1" customHeight="1" outlineLevel="1" x14ac:dyDescent="0.2">
      <c r="A41" s="95" t="s">
        <v>184</v>
      </c>
      <c r="B41" s="62">
        <v>0</v>
      </c>
      <c r="C41" s="54">
        <v>0</v>
      </c>
      <c r="D41" s="54">
        <v>0</v>
      </c>
      <c r="E41" s="63"/>
      <c r="F41" s="64"/>
      <c r="G41" s="65">
        <v>0</v>
      </c>
      <c r="H41" s="54">
        <v>0</v>
      </c>
      <c r="I41" s="54">
        <v>0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66">
        <v>0</v>
      </c>
      <c r="T41" s="54">
        <v>0</v>
      </c>
      <c r="U41" s="54">
        <v>0</v>
      </c>
      <c r="V41" s="54">
        <v>0</v>
      </c>
      <c r="W41" s="54">
        <v>0</v>
      </c>
      <c r="X41" s="54">
        <v>0</v>
      </c>
      <c r="Y41" s="54">
        <v>0</v>
      </c>
      <c r="Z41" s="54">
        <v>0</v>
      </c>
      <c r="AA41" s="54">
        <v>0</v>
      </c>
      <c r="AB41" s="54">
        <v>0</v>
      </c>
      <c r="AC41" s="54">
        <v>0</v>
      </c>
      <c r="AD41" s="54">
        <v>0</v>
      </c>
      <c r="AE41" s="54">
        <v>0</v>
      </c>
      <c r="AF41" s="66">
        <v>0</v>
      </c>
      <c r="AG41" s="67">
        <v>0</v>
      </c>
      <c r="AH41" s="67">
        <v>0</v>
      </c>
      <c r="AI41" s="67">
        <v>0</v>
      </c>
      <c r="AJ41" s="67">
        <v>0</v>
      </c>
      <c r="AK41" s="67">
        <v>0</v>
      </c>
      <c r="AL41" s="67">
        <v>0</v>
      </c>
      <c r="AM41" s="67">
        <v>0</v>
      </c>
      <c r="AN41" s="67">
        <v>0</v>
      </c>
      <c r="AO41" s="67">
        <v>0</v>
      </c>
      <c r="AP41" s="67">
        <v>0</v>
      </c>
      <c r="AQ41" s="67">
        <v>0</v>
      </c>
      <c r="AR41" s="67">
        <v>0</v>
      </c>
      <c r="AS41" s="68">
        <v>0</v>
      </c>
      <c r="AT41" s="63"/>
      <c r="AU41" s="63"/>
    </row>
    <row r="42" spans="1:47" ht="12.75" hidden="1" customHeight="1" outlineLevel="1" x14ac:dyDescent="0.2">
      <c r="A42" s="95" t="s">
        <v>185</v>
      </c>
      <c r="B42" s="62">
        <v>0</v>
      </c>
      <c r="C42" s="54">
        <v>0</v>
      </c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0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0</v>
      </c>
      <c r="AS42" s="68">
        <v>0</v>
      </c>
      <c r="AT42" s="63"/>
      <c r="AU42" s="63"/>
    </row>
    <row r="43" spans="1:47" ht="12.75" hidden="1" customHeight="1" outlineLevel="1" x14ac:dyDescent="0.2">
      <c r="A43" s="95" t="s">
        <v>186</v>
      </c>
      <c r="B43" s="62">
        <v>0</v>
      </c>
      <c r="C43" s="54">
        <v>0</v>
      </c>
      <c r="D43" s="54">
        <v>101.69</v>
      </c>
      <c r="E43" s="63"/>
      <c r="F43" s="64">
        <v>0</v>
      </c>
      <c r="G43" s="65">
        <v>585.09</v>
      </c>
      <c r="H43" s="54">
        <v>397.23</v>
      </c>
      <c r="I43" s="54">
        <v>0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66">
        <v>982.32</v>
      </c>
      <c r="T43" s="54">
        <v>0</v>
      </c>
      <c r="U43" s="54">
        <v>0</v>
      </c>
      <c r="V43" s="54">
        <v>0</v>
      </c>
      <c r="W43" s="54">
        <v>0</v>
      </c>
      <c r="X43" s="54">
        <v>0</v>
      </c>
      <c r="Y43" s="54">
        <v>0</v>
      </c>
      <c r="Z43" s="54">
        <v>0</v>
      </c>
      <c r="AA43" s="54">
        <v>0</v>
      </c>
      <c r="AB43" s="54">
        <v>0</v>
      </c>
      <c r="AC43" s="54">
        <v>0</v>
      </c>
      <c r="AD43" s="54">
        <v>0</v>
      </c>
      <c r="AE43" s="54">
        <v>0</v>
      </c>
      <c r="AF43" s="66">
        <v>0</v>
      </c>
      <c r="AG43" s="67">
        <v>64.69</v>
      </c>
      <c r="AH43" s="67">
        <v>0</v>
      </c>
      <c r="AI43" s="67">
        <v>0</v>
      </c>
      <c r="AJ43" s="67">
        <v>101.69</v>
      </c>
      <c r="AK43" s="67">
        <v>0</v>
      </c>
      <c r="AL43" s="67">
        <v>0</v>
      </c>
      <c r="AM43" s="67">
        <v>0</v>
      </c>
      <c r="AN43" s="67">
        <v>0</v>
      </c>
      <c r="AO43" s="67">
        <v>875.09</v>
      </c>
      <c r="AP43" s="67">
        <v>0</v>
      </c>
      <c r="AQ43" s="67">
        <v>0</v>
      </c>
      <c r="AR43" s="67">
        <v>307.66000000000003</v>
      </c>
      <c r="AS43" s="68">
        <v>166.38</v>
      </c>
      <c r="AT43" s="63"/>
      <c r="AU43" s="63">
        <v>590.40750090155063</v>
      </c>
    </row>
    <row r="44" spans="1:47" ht="12.75" hidden="1" customHeight="1" outlineLevel="1" x14ac:dyDescent="0.2">
      <c r="A44" s="95" t="s">
        <v>187</v>
      </c>
      <c r="B44" s="62">
        <v>0</v>
      </c>
      <c r="C44" s="54">
        <v>0</v>
      </c>
      <c r="D44" s="54">
        <v>0</v>
      </c>
      <c r="E44" s="63"/>
      <c r="F44" s="64"/>
      <c r="G44" s="65">
        <v>0</v>
      </c>
      <c r="H44" s="54">
        <v>0</v>
      </c>
      <c r="I44" s="54">
        <v>0</v>
      </c>
      <c r="J44" s="54">
        <v>0</v>
      </c>
      <c r="K44" s="54">
        <v>0</v>
      </c>
      <c r="L44" s="54">
        <v>0</v>
      </c>
      <c r="M44" s="54">
        <v>0</v>
      </c>
      <c r="N44" s="54">
        <v>0</v>
      </c>
      <c r="O44" s="54">
        <v>0</v>
      </c>
      <c r="P44" s="54">
        <v>0</v>
      </c>
      <c r="Q44" s="54">
        <v>0</v>
      </c>
      <c r="R44" s="54">
        <v>0</v>
      </c>
      <c r="S44" s="66">
        <v>0</v>
      </c>
      <c r="T44" s="54">
        <v>0</v>
      </c>
      <c r="U44" s="54">
        <v>0</v>
      </c>
      <c r="V44" s="54">
        <v>0</v>
      </c>
      <c r="W44" s="54">
        <v>0</v>
      </c>
      <c r="X44" s="54">
        <v>0</v>
      </c>
      <c r="Y44" s="54">
        <v>0</v>
      </c>
      <c r="Z44" s="54">
        <v>0</v>
      </c>
      <c r="AA44" s="54">
        <v>0</v>
      </c>
      <c r="AB44" s="54">
        <v>0</v>
      </c>
      <c r="AC44" s="54">
        <v>0</v>
      </c>
      <c r="AD44" s="54">
        <v>0</v>
      </c>
      <c r="AE44" s="54">
        <v>0</v>
      </c>
      <c r="AF44" s="66">
        <v>0</v>
      </c>
      <c r="AG44" s="67">
        <v>0</v>
      </c>
      <c r="AH44" s="67">
        <v>0</v>
      </c>
      <c r="AI44" s="67">
        <v>0</v>
      </c>
      <c r="AJ44" s="67">
        <v>0</v>
      </c>
      <c r="AK44" s="67">
        <v>0</v>
      </c>
      <c r="AL44" s="67">
        <v>0</v>
      </c>
      <c r="AM44" s="67">
        <v>0</v>
      </c>
      <c r="AN44" s="67">
        <v>0</v>
      </c>
      <c r="AO44" s="67">
        <v>0</v>
      </c>
      <c r="AP44" s="67">
        <v>0</v>
      </c>
      <c r="AQ44" s="67">
        <v>0</v>
      </c>
      <c r="AR44" s="67">
        <v>199.68</v>
      </c>
      <c r="AS44" s="68">
        <v>0</v>
      </c>
      <c r="AT44" s="63"/>
      <c r="AU44" s="63"/>
    </row>
    <row r="45" spans="1:47" ht="12.75" hidden="1" customHeight="1" outlineLevel="1" x14ac:dyDescent="0.2">
      <c r="A45" s="95" t="s">
        <v>188</v>
      </c>
      <c r="B45" s="62"/>
      <c r="C45" s="54">
        <v>0</v>
      </c>
      <c r="D45" s="54"/>
      <c r="E45" s="63"/>
      <c r="F45" s="64"/>
      <c r="G45" s="65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66"/>
      <c r="T45" s="54">
        <v>0</v>
      </c>
      <c r="U45" s="54">
        <v>0</v>
      </c>
      <c r="V45" s="54">
        <v>0</v>
      </c>
      <c r="W45" s="54">
        <v>0</v>
      </c>
      <c r="X45" s="54">
        <v>0</v>
      </c>
      <c r="Y45" s="54">
        <v>0</v>
      </c>
      <c r="Z45" s="54">
        <v>0</v>
      </c>
      <c r="AA45" s="54">
        <v>0</v>
      </c>
      <c r="AB45" s="54">
        <v>0</v>
      </c>
      <c r="AC45" s="54">
        <v>0</v>
      </c>
      <c r="AD45" s="54">
        <v>0</v>
      </c>
      <c r="AE45" s="54">
        <v>0</v>
      </c>
      <c r="AF45" s="66">
        <v>0</v>
      </c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8"/>
      <c r="AT45" s="63"/>
      <c r="AU45" s="63"/>
    </row>
    <row r="46" spans="1:47" ht="12.75" hidden="1" customHeight="1" outlineLevel="1" x14ac:dyDescent="0.2">
      <c r="A46" s="95" t="s">
        <v>189</v>
      </c>
      <c r="B46" s="62"/>
      <c r="C46" s="54">
        <v>0</v>
      </c>
      <c r="D46" s="54"/>
      <c r="E46" s="63"/>
      <c r="F46" s="64"/>
      <c r="G46" s="65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66"/>
      <c r="T46" s="54">
        <v>0</v>
      </c>
      <c r="U46" s="54">
        <v>0</v>
      </c>
      <c r="V46" s="54">
        <v>0</v>
      </c>
      <c r="W46" s="54">
        <v>0</v>
      </c>
      <c r="X46" s="54">
        <v>0</v>
      </c>
      <c r="Y46" s="54">
        <v>0</v>
      </c>
      <c r="Z46" s="54">
        <v>0</v>
      </c>
      <c r="AA46" s="54">
        <v>0</v>
      </c>
      <c r="AB46" s="54">
        <v>0</v>
      </c>
      <c r="AC46" s="54">
        <v>0</v>
      </c>
      <c r="AD46" s="54">
        <v>0</v>
      </c>
      <c r="AE46" s="54">
        <v>0</v>
      </c>
      <c r="AF46" s="66">
        <v>0</v>
      </c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8"/>
      <c r="AT46" s="63"/>
      <c r="AU46" s="63"/>
    </row>
    <row r="47" spans="1:47" ht="12.75" hidden="1" customHeight="1" outlineLevel="1" x14ac:dyDescent="0.2">
      <c r="A47" s="95" t="s">
        <v>190</v>
      </c>
      <c r="B47" s="62">
        <v>0</v>
      </c>
      <c r="C47" s="54">
        <v>0</v>
      </c>
      <c r="D47" s="54">
        <v>0</v>
      </c>
      <c r="E47" s="63"/>
      <c r="F47" s="64"/>
      <c r="G47" s="65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54">
        <v>0</v>
      </c>
      <c r="N47" s="54">
        <v>0</v>
      </c>
      <c r="O47" s="54">
        <v>0</v>
      </c>
      <c r="P47" s="54">
        <v>0</v>
      </c>
      <c r="Q47" s="54">
        <v>0</v>
      </c>
      <c r="R47" s="54">
        <v>0</v>
      </c>
      <c r="S47" s="66">
        <v>0</v>
      </c>
      <c r="T47" s="54">
        <v>0</v>
      </c>
      <c r="U47" s="54">
        <v>0</v>
      </c>
      <c r="V47" s="54">
        <v>0</v>
      </c>
      <c r="W47" s="54">
        <v>0</v>
      </c>
      <c r="X47" s="54">
        <v>0</v>
      </c>
      <c r="Y47" s="54">
        <v>0</v>
      </c>
      <c r="Z47" s="54">
        <v>0</v>
      </c>
      <c r="AA47" s="54">
        <v>0</v>
      </c>
      <c r="AB47" s="54">
        <v>0</v>
      </c>
      <c r="AC47" s="54">
        <v>0</v>
      </c>
      <c r="AD47" s="54">
        <v>0</v>
      </c>
      <c r="AE47" s="54">
        <v>0</v>
      </c>
      <c r="AF47" s="66">
        <v>0</v>
      </c>
      <c r="AG47" s="67">
        <v>0</v>
      </c>
      <c r="AH47" s="67">
        <v>0</v>
      </c>
      <c r="AI47" s="67">
        <v>0</v>
      </c>
      <c r="AJ47" s="67">
        <v>0</v>
      </c>
      <c r="AK47" s="67">
        <v>0</v>
      </c>
      <c r="AL47" s="67">
        <v>0</v>
      </c>
      <c r="AM47" s="67">
        <v>314.56</v>
      </c>
      <c r="AN47" s="67">
        <v>0</v>
      </c>
      <c r="AO47" s="67">
        <v>0</v>
      </c>
      <c r="AP47" s="67">
        <v>19.43</v>
      </c>
      <c r="AQ47" s="67">
        <v>117.95</v>
      </c>
      <c r="AR47" s="67">
        <v>0</v>
      </c>
      <c r="AS47" s="68">
        <v>0</v>
      </c>
      <c r="AT47" s="63"/>
      <c r="AU47" s="63"/>
    </row>
    <row r="48" spans="1:47" ht="12.75" hidden="1" customHeight="1" outlineLevel="1" x14ac:dyDescent="0.2">
      <c r="A48" s="95" t="s">
        <v>191</v>
      </c>
      <c r="B48" s="62">
        <v>0</v>
      </c>
      <c r="C48" s="54">
        <v>0</v>
      </c>
      <c r="D48" s="54">
        <v>0</v>
      </c>
      <c r="E48" s="63"/>
      <c r="F48" s="64"/>
      <c r="G48" s="65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54">
        <v>0</v>
      </c>
      <c r="N48" s="54">
        <v>0</v>
      </c>
      <c r="O48" s="54">
        <v>0</v>
      </c>
      <c r="P48" s="54">
        <v>0</v>
      </c>
      <c r="Q48" s="54">
        <v>0</v>
      </c>
      <c r="R48" s="54">
        <v>0</v>
      </c>
      <c r="S48" s="66">
        <v>0</v>
      </c>
      <c r="T48" s="54">
        <v>0</v>
      </c>
      <c r="U48" s="54">
        <v>0</v>
      </c>
      <c r="V48" s="54">
        <v>0</v>
      </c>
      <c r="W48" s="54">
        <v>0</v>
      </c>
      <c r="X48" s="54">
        <v>0</v>
      </c>
      <c r="Y48" s="54">
        <v>0</v>
      </c>
      <c r="Z48" s="54">
        <v>0</v>
      </c>
      <c r="AA48" s="54">
        <v>0</v>
      </c>
      <c r="AB48" s="54">
        <v>0</v>
      </c>
      <c r="AC48" s="54">
        <v>0</v>
      </c>
      <c r="AD48" s="54">
        <v>0</v>
      </c>
      <c r="AE48" s="54">
        <v>0</v>
      </c>
      <c r="AF48" s="66">
        <v>0</v>
      </c>
      <c r="AG48" s="67">
        <v>0</v>
      </c>
      <c r="AH48" s="67">
        <v>0</v>
      </c>
      <c r="AI48" s="67">
        <v>0</v>
      </c>
      <c r="AJ48" s="67">
        <v>0</v>
      </c>
      <c r="AK48" s="67">
        <v>0</v>
      </c>
      <c r="AL48" s="67">
        <v>0</v>
      </c>
      <c r="AM48" s="67">
        <v>0</v>
      </c>
      <c r="AN48" s="67">
        <v>0</v>
      </c>
      <c r="AO48" s="67">
        <v>0</v>
      </c>
      <c r="AP48" s="67">
        <v>0</v>
      </c>
      <c r="AQ48" s="67">
        <v>0</v>
      </c>
      <c r="AR48" s="67">
        <v>0</v>
      </c>
      <c r="AS48" s="68">
        <v>0</v>
      </c>
      <c r="AT48" s="63"/>
      <c r="AU48" s="63"/>
    </row>
    <row r="49" spans="1:47" ht="12.75" customHeight="1" collapsed="1" x14ac:dyDescent="0.2">
      <c r="A49" s="69" t="s">
        <v>192</v>
      </c>
      <c r="B49" s="70">
        <v>3620.86</v>
      </c>
      <c r="C49" s="71">
        <v>0</v>
      </c>
      <c r="D49" s="71">
        <v>367.64</v>
      </c>
      <c r="E49" s="72"/>
      <c r="F49" s="73">
        <v>984.89282994233486</v>
      </c>
      <c r="G49" s="70">
        <v>2514.0700000000002</v>
      </c>
      <c r="H49" s="71">
        <v>3424.75</v>
      </c>
      <c r="I49" s="71">
        <v>2315.65</v>
      </c>
      <c r="J49" s="71">
        <v>3620.86</v>
      </c>
      <c r="K49" s="71">
        <v>0</v>
      </c>
      <c r="L49" s="71">
        <v>0</v>
      </c>
      <c r="M49" s="71">
        <v>0</v>
      </c>
      <c r="N49" s="71">
        <v>0</v>
      </c>
      <c r="O49" s="71">
        <v>0</v>
      </c>
      <c r="P49" s="71">
        <v>0</v>
      </c>
      <c r="Q49" s="71">
        <v>0</v>
      </c>
      <c r="R49" s="71">
        <v>0</v>
      </c>
      <c r="S49" s="71">
        <v>11875.33</v>
      </c>
      <c r="T49" s="71">
        <v>0</v>
      </c>
      <c r="U49" s="71">
        <v>0</v>
      </c>
      <c r="V49" s="71">
        <v>0</v>
      </c>
      <c r="W49" s="71">
        <v>0</v>
      </c>
      <c r="X49" s="71">
        <v>0</v>
      </c>
      <c r="Y49" s="71">
        <v>0</v>
      </c>
      <c r="Z49" s="71">
        <v>0</v>
      </c>
      <c r="AA49" s="71">
        <v>0</v>
      </c>
      <c r="AB49" s="71">
        <v>0</v>
      </c>
      <c r="AC49" s="71">
        <v>0</v>
      </c>
      <c r="AD49" s="71">
        <v>0</v>
      </c>
      <c r="AE49" s="71">
        <v>0</v>
      </c>
      <c r="AF49" s="71">
        <v>0</v>
      </c>
      <c r="AG49" s="75">
        <v>257.69</v>
      </c>
      <c r="AH49" s="75">
        <v>238.48</v>
      </c>
      <c r="AI49" s="75">
        <v>193</v>
      </c>
      <c r="AJ49" s="75">
        <v>367.64</v>
      </c>
      <c r="AK49" s="75">
        <v>239.01</v>
      </c>
      <c r="AL49" s="75">
        <v>503.09</v>
      </c>
      <c r="AM49" s="75">
        <v>507.56</v>
      </c>
      <c r="AN49" s="75">
        <v>8313.99</v>
      </c>
      <c r="AO49" s="134">
        <v>-925.56</v>
      </c>
      <c r="AP49" s="134">
        <v>-2377.73</v>
      </c>
      <c r="AQ49" s="75">
        <v>1828.55</v>
      </c>
      <c r="AR49" s="75">
        <v>1770.21</v>
      </c>
      <c r="AS49" s="75">
        <v>1056.81</v>
      </c>
      <c r="AT49" s="72"/>
      <c r="AU49" s="72">
        <v>1123.695839365638</v>
      </c>
    </row>
    <row r="50" spans="1:47" ht="12.75" hidden="1" customHeight="1" outlineLevel="1" x14ac:dyDescent="0.2">
      <c r="A50" s="95" t="s">
        <v>193</v>
      </c>
      <c r="B50" s="62">
        <v>17800.740000000002</v>
      </c>
      <c r="C50" s="54">
        <v>0</v>
      </c>
      <c r="D50" s="54">
        <v>26511.53</v>
      </c>
      <c r="E50" s="63"/>
      <c r="F50" s="64">
        <v>67.143390064624711</v>
      </c>
      <c r="G50" s="65">
        <v>3960.86</v>
      </c>
      <c r="H50" s="54">
        <v>3431.88</v>
      </c>
      <c r="I50" s="54">
        <v>10719.22</v>
      </c>
      <c r="J50" s="54">
        <v>17800.740000000002</v>
      </c>
      <c r="K50" s="56">
        <v>-378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66">
        <v>35912.699999999997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>
        <v>4579.47</v>
      </c>
      <c r="AH50" s="67">
        <v>21817.01</v>
      </c>
      <c r="AI50" s="67">
        <v>7521.59</v>
      </c>
      <c r="AJ50" s="67">
        <v>26511.53</v>
      </c>
      <c r="AK50" s="67">
        <v>5188.26</v>
      </c>
      <c r="AL50" s="67">
        <v>14898.48</v>
      </c>
      <c r="AM50" s="67">
        <v>4015.94</v>
      </c>
      <c r="AN50" s="67">
        <v>9500.2099999999991</v>
      </c>
      <c r="AO50" s="67">
        <v>9097.82</v>
      </c>
      <c r="AP50" s="67">
        <v>5483.59</v>
      </c>
      <c r="AQ50" s="67">
        <v>6826.74</v>
      </c>
      <c r="AR50" s="67">
        <v>11305.54</v>
      </c>
      <c r="AS50" s="68">
        <v>60429.599999999999</v>
      </c>
      <c r="AT50" s="63"/>
      <c r="AU50" s="63">
        <v>59.428988442749912</v>
      </c>
    </row>
    <row r="51" spans="1:47" ht="12.75" hidden="1" customHeight="1" outlineLevel="1" x14ac:dyDescent="0.2">
      <c r="A51" s="95" t="s">
        <v>194</v>
      </c>
      <c r="B51" s="62">
        <v>0</v>
      </c>
      <c r="C51" s="54">
        <v>0</v>
      </c>
      <c r="D51" s="54">
        <v>0</v>
      </c>
      <c r="E51" s="63"/>
      <c r="F51" s="64"/>
      <c r="G51" s="65">
        <v>0</v>
      </c>
      <c r="H51" s="54">
        <v>0</v>
      </c>
      <c r="I51" s="54">
        <v>0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66">
        <v>0</v>
      </c>
      <c r="T51" s="54">
        <v>0</v>
      </c>
      <c r="U51" s="54">
        <v>0</v>
      </c>
      <c r="V51" s="54">
        <v>0</v>
      </c>
      <c r="W51" s="54">
        <v>0</v>
      </c>
      <c r="X51" s="54">
        <v>0</v>
      </c>
      <c r="Y51" s="54">
        <v>0</v>
      </c>
      <c r="Z51" s="54">
        <v>0</v>
      </c>
      <c r="AA51" s="54">
        <v>0</v>
      </c>
      <c r="AB51" s="54">
        <v>0</v>
      </c>
      <c r="AC51" s="54">
        <v>0</v>
      </c>
      <c r="AD51" s="54">
        <v>0</v>
      </c>
      <c r="AE51" s="54">
        <v>0</v>
      </c>
      <c r="AF51" s="66">
        <v>0</v>
      </c>
      <c r="AG51" s="67">
        <v>0</v>
      </c>
      <c r="AH51" s="67">
        <v>0</v>
      </c>
      <c r="AI51" s="67">
        <v>0</v>
      </c>
      <c r="AJ51" s="67">
        <v>0</v>
      </c>
      <c r="AK51" s="67">
        <v>0</v>
      </c>
      <c r="AL51" s="67">
        <v>0</v>
      </c>
      <c r="AM51" s="67">
        <v>0</v>
      </c>
      <c r="AN51" s="67">
        <v>0</v>
      </c>
      <c r="AO51" s="67">
        <v>0</v>
      </c>
      <c r="AP51" s="67">
        <v>1640</v>
      </c>
      <c r="AQ51" s="67">
        <v>142.07</v>
      </c>
      <c r="AR51" s="67">
        <v>900</v>
      </c>
      <c r="AS51" s="68">
        <v>0</v>
      </c>
      <c r="AT51" s="63"/>
      <c r="AU51" s="63"/>
    </row>
    <row r="52" spans="1:47" ht="12.75" hidden="1" customHeight="1" outlineLevel="1" x14ac:dyDescent="0.2">
      <c r="A52" s="95" t="s">
        <v>82</v>
      </c>
      <c r="B52" s="62">
        <v>0</v>
      </c>
      <c r="C52" s="54">
        <v>0</v>
      </c>
      <c r="D52" s="54">
        <v>0</v>
      </c>
      <c r="E52" s="63"/>
      <c r="F52" s="64"/>
      <c r="G52" s="65">
        <v>0</v>
      </c>
      <c r="H52" s="54">
        <v>0</v>
      </c>
      <c r="I52" s="54">
        <v>0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66">
        <v>0</v>
      </c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66">
        <v>0</v>
      </c>
      <c r="AG52" s="67">
        <v>0</v>
      </c>
      <c r="AH52" s="67">
        <v>0</v>
      </c>
      <c r="AI52" s="67">
        <v>0</v>
      </c>
      <c r="AJ52" s="67">
        <v>0</v>
      </c>
      <c r="AK52" s="67">
        <v>0</v>
      </c>
      <c r="AL52" s="67">
        <v>0</v>
      </c>
      <c r="AM52" s="67">
        <v>0</v>
      </c>
      <c r="AN52" s="67">
        <v>0</v>
      </c>
      <c r="AO52" s="67">
        <v>0</v>
      </c>
      <c r="AP52" s="67">
        <v>0</v>
      </c>
      <c r="AQ52" s="67">
        <v>0</v>
      </c>
      <c r="AR52" s="67">
        <v>0</v>
      </c>
      <c r="AS52" s="68">
        <v>0</v>
      </c>
      <c r="AT52" s="63"/>
      <c r="AU52" s="63"/>
    </row>
    <row r="53" spans="1:47" ht="12.75" hidden="1" customHeight="1" outlineLevel="1" x14ac:dyDescent="0.2">
      <c r="A53" s="95" t="s">
        <v>83</v>
      </c>
      <c r="B53" s="62">
        <v>297.52</v>
      </c>
      <c r="C53" s="54">
        <v>0</v>
      </c>
      <c r="D53" s="54">
        <v>0</v>
      </c>
      <c r="E53" s="63"/>
      <c r="F53" s="64"/>
      <c r="G53" s="65">
        <v>297.52</v>
      </c>
      <c r="H53" s="54">
        <v>297.52</v>
      </c>
      <c r="I53" s="54">
        <v>297.52</v>
      </c>
      <c r="J53" s="54">
        <v>297.52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66">
        <v>1190.08</v>
      </c>
      <c r="T53" s="54">
        <v>0</v>
      </c>
      <c r="U53" s="54">
        <v>0</v>
      </c>
      <c r="V53" s="54">
        <v>0</v>
      </c>
      <c r="W53" s="54">
        <v>0</v>
      </c>
      <c r="X53" s="54">
        <v>0</v>
      </c>
      <c r="Y53" s="54">
        <v>0</v>
      </c>
      <c r="Z53" s="54">
        <v>0</v>
      </c>
      <c r="AA53" s="54">
        <v>0</v>
      </c>
      <c r="AB53" s="54">
        <v>0</v>
      </c>
      <c r="AC53" s="54">
        <v>0</v>
      </c>
      <c r="AD53" s="54">
        <v>0</v>
      </c>
      <c r="AE53" s="54">
        <v>0</v>
      </c>
      <c r="AF53" s="66">
        <v>0</v>
      </c>
      <c r="AG53" s="67">
        <v>3600</v>
      </c>
      <c r="AH53" s="67">
        <v>0</v>
      </c>
      <c r="AI53" s="67">
        <v>0</v>
      </c>
      <c r="AJ53" s="67">
        <v>0</v>
      </c>
      <c r="AK53" s="67">
        <v>0</v>
      </c>
      <c r="AL53" s="67">
        <v>0</v>
      </c>
      <c r="AM53" s="67">
        <v>0</v>
      </c>
      <c r="AN53" s="67">
        <v>0</v>
      </c>
      <c r="AO53" s="67">
        <v>0</v>
      </c>
      <c r="AP53" s="67">
        <v>0</v>
      </c>
      <c r="AQ53" s="67">
        <v>297.52</v>
      </c>
      <c r="AR53" s="67">
        <v>225.42</v>
      </c>
      <c r="AS53" s="68">
        <v>3600</v>
      </c>
      <c r="AT53" s="63"/>
      <c r="AU53" s="63">
        <v>33.05777777777778</v>
      </c>
    </row>
    <row r="54" spans="1:47" ht="12.75" hidden="1" customHeight="1" outlineLevel="1" x14ac:dyDescent="0.2">
      <c r="A54" s="95" t="s">
        <v>84</v>
      </c>
      <c r="B54" s="62">
        <v>0</v>
      </c>
      <c r="C54" s="54">
        <v>0</v>
      </c>
      <c r="D54" s="54">
        <v>0</v>
      </c>
      <c r="E54" s="63"/>
      <c r="F54" s="64"/>
      <c r="G54" s="65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66">
        <v>0</v>
      </c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>
        <v>0</v>
      </c>
      <c r="AH54" s="67">
        <v>0</v>
      </c>
      <c r="AI54" s="67">
        <v>0</v>
      </c>
      <c r="AJ54" s="67">
        <v>0</v>
      </c>
      <c r="AK54" s="67">
        <v>0</v>
      </c>
      <c r="AL54" s="67">
        <v>0</v>
      </c>
      <c r="AM54" s="67">
        <v>0</v>
      </c>
      <c r="AN54" s="67">
        <v>0</v>
      </c>
      <c r="AO54" s="67">
        <v>0</v>
      </c>
      <c r="AP54" s="67">
        <v>0</v>
      </c>
      <c r="AQ54" s="67">
        <v>0</v>
      </c>
      <c r="AR54" s="67">
        <v>0</v>
      </c>
      <c r="AS54" s="68">
        <v>0</v>
      </c>
      <c r="AT54" s="63"/>
      <c r="AU54" s="63"/>
    </row>
    <row r="55" spans="1:47" ht="12.75" hidden="1" customHeight="1" outlineLevel="1" x14ac:dyDescent="0.2">
      <c r="A55" s="95" t="s">
        <v>195</v>
      </c>
      <c r="B55" s="62">
        <v>0</v>
      </c>
      <c r="C55" s="54">
        <v>0</v>
      </c>
      <c r="D55" s="54">
        <v>0</v>
      </c>
      <c r="E55" s="63"/>
      <c r="F55" s="64"/>
      <c r="G55" s="65">
        <v>0</v>
      </c>
      <c r="H55" s="54">
        <v>41.25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66">
        <v>41.25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66">
        <v>0</v>
      </c>
      <c r="AG55" s="67">
        <v>0</v>
      </c>
      <c r="AH55" s="67">
        <v>0</v>
      </c>
      <c r="AI55" s="67">
        <v>0</v>
      </c>
      <c r="AJ55" s="67">
        <v>0</v>
      </c>
      <c r="AK55" s="67">
        <v>0</v>
      </c>
      <c r="AL55" s="67">
        <v>0</v>
      </c>
      <c r="AM55" s="67">
        <v>0</v>
      </c>
      <c r="AN55" s="67">
        <v>0</v>
      </c>
      <c r="AO55" s="67">
        <v>0</v>
      </c>
      <c r="AP55" s="67">
        <v>0</v>
      </c>
      <c r="AQ55" s="67">
        <v>0</v>
      </c>
      <c r="AR55" s="67">
        <v>0</v>
      </c>
      <c r="AS55" s="68">
        <v>0</v>
      </c>
      <c r="AT55" s="63"/>
      <c r="AU55" s="63"/>
    </row>
    <row r="56" spans="1:47" ht="12.75" hidden="1" customHeight="1" outlineLevel="1" x14ac:dyDescent="0.2">
      <c r="A56" s="95" t="s">
        <v>86</v>
      </c>
      <c r="B56" s="62">
        <v>75.84</v>
      </c>
      <c r="C56" s="54">
        <v>0</v>
      </c>
      <c r="D56" s="54">
        <v>176.7</v>
      </c>
      <c r="E56" s="63"/>
      <c r="F56" s="64">
        <v>42.920203735144312</v>
      </c>
      <c r="G56" s="65">
        <v>1082.5</v>
      </c>
      <c r="H56" s="54">
        <v>43.32</v>
      </c>
      <c r="I56" s="54">
        <v>293.14</v>
      </c>
      <c r="J56" s="54">
        <v>75.84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66">
        <v>1494.8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66">
        <v>0</v>
      </c>
      <c r="AG56" s="67">
        <v>0</v>
      </c>
      <c r="AH56" s="67">
        <v>2527.63</v>
      </c>
      <c r="AI56" s="67">
        <v>693.86</v>
      </c>
      <c r="AJ56" s="67">
        <v>176.7</v>
      </c>
      <c r="AK56" s="67">
        <v>517.39</v>
      </c>
      <c r="AL56" s="67">
        <v>0</v>
      </c>
      <c r="AM56" s="67">
        <v>199.22</v>
      </c>
      <c r="AN56" s="67">
        <v>1628.45</v>
      </c>
      <c r="AO56" s="67">
        <v>43.11</v>
      </c>
      <c r="AP56" s="67">
        <v>266.88</v>
      </c>
      <c r="AQ56" s="67">
        <v>287.25</v>
      </c>
      <c r="AR56" s="67">
        <v>799.1</v>
      </c>
      <c r="AS56" s="68">
        <v>3398.19</v>
      </c>
      <c r="AT56" s="63"/>
      <c r="AU56" s="63">
        <v>43.988123089056231</v>
      </c>
    </row>
    <row r="57" spans="1:47" ht="12.75" hidden="1" customHeight="1" outlineLevel="1" x14ac:dyDescent="0.2">
      <c r="A57" s="95" t="s">
        <v>110</v>
      </c>
      <c r="B57" s="62"/>
      <c r="C57" s="54"/>
      <c r="D57" s="54"/>
      <c r="E57" s="63"/>
      <c r="F57" s="64"/>
      <c r="G57" s="65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66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66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8"/>
      <c r="AT57" s="63"/>
      <c r="AU57" s="63"/>
    </row>
    <row r="58" spans="1:47" ht="12.75" hidden="1" customHeight="1" outlineLevel="1" x14ac:dyDescent="0.2">
      <c r="A58" s="95" t="s">
        <v>196</v>
      </c>
      <c r="B58" s="62">
        <v>1000</v>
      </c>
      <c r="C58" s="54">
        <v>0</v>
      </c>
      <c r="D58" s="54">
        <v>400</v>
      </c>
      <c r="E58" s="63"/>
      <c r="F58" s="64">
        <v>250</v>
      </c>
      <c r="G58" s="65">
        <v>0</v>
      </c>
      <c r="H58" s="56">
        <v>-2780</v>
      </c>
      <c r="I58" s="54">
        <v>0</v>
      </c>
      <c r="J58" s="54">
        <v>1000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76">
        <v>-1780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86.27</v>
      </c>
      <c r="AH58" s="67">
        <v>0</v>
      </c>
      <c r="AI58" s="67">
        <v>0</v>
      </c>
      <c r="AJ58" s="67">
        <v>400</v>
      </c>
      <c r="AK58" s="67">
        <v>450</v>
      </c>
      <c r="AL58" s="67">
        <v>3168.91</v>
      </c>
      <c r="AM58" s="67">
        <v>0</v>
      </c>
      <c r="AN58" s="67">
        <v>0</v>
      </c>
      <c r="AO58" s="67">
        <v>0</v>
      </c>
      <c r="AP58" s="67">
        <v>0</v>
      </c>
      <c r="AQ58" s="67">
        <v>375</v>
      </c>
      <c r="AR58" s="67">
        <v>0</v>
      </c>
      <c r="AS58" s="68">
        <v>486.27</v>
      </c>
      <c r="AT58" s="63"/>
      <c r="AU58" s="63">
        <v>-366.05178193184855</v>
      </c>
    </row>
    <row r="59" spans="1:47" ht="12.75" hidden="1" customHeight="1" outlineLevel="1" x14ac:dyDescent="0.2">
      <c r="A59" s="95" t="s">
        <v>197</v>
      </c>
      <c r="B59" s="62">
        <v>7397.59</v>
      </c>
      <c r="C59" s="54">
        <v>0</v>
      </c>
      <c r="D59" s="54">
        <v>0</v>
      </c>
      <c r="E59" s="63"/>
      <c r="F59" s="64"/>
      <c r="G59" s="65">
        <v>0</v>
      </c>
      <c r="H59" s="54">
        <v>3793.64</v>
      </c>
      <c r="I59" s="54">
        <v>0</v>
      </c>
      <c r="J59" s="54">
        <v>7397.59</v>
      </c>
      <c r="K59" s="56">
        <v>-7397.59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66">
        <v>11191.23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66">
        <v>0</v>
      </c>
      <c r="AG59" s="67">
        <v>0</v>
      </c>
      <c r="AH59" s="67">
        <v>0</v>
      </c>
      <c r="AI59" s="67">
        <v>0</v>
      </c>
      <c r="AJ59" s="67">
        <v>0</v>
      </c>
      <c r="AK59" s="67">
        <v>0</v>
      </c>
      <c r="AL59" s="67">
        <v>0</v>
      </c>
      <c r="AM59" s="67">
        <v>0</v>
      </c>
      <c r="AN59" s="67">
        <v>0</v>
      </c>
      <c r="AO59" s="67">
        <v>0</v>
      </c>
      <c r="AP59" s="67">
        <v>1921.24</v>
      </c>
      <c r="AQ59" s="67">
        <v>0</v>
      </c>
      <c r="AR59" s="67">
        <v>0</v>
      </c>
      <c r="AS59" s="68">
        <v>0</v>
      </c>
      <c r="AT59" s="63"/>
      <c r="AU59" s="63"/>
    </row>
    <row r="60" spans="1:47" ht="12.75" hidden="1" customHeight="1" outlineLevel="1" x14ac:dyDescent="0.2">
      <c r="A60" s="95" t="s">
        <v>198</v>
      </c>
      <c r="B60" s="62">
        <v>263.58999999999997</v>
      </c>
      <c r="C60" s="54">
        <v>0</v>
      </c>
      <c r="D60" s="54">
        <v>0</v>
      </c>
      <c r="E60" s="63"/>
      <c r="F60" s="64"/>
      <c r="G60" s="65">
        <v>65</v>
      </c>
      <c r="H60" s="54">
        <v>0</v>
      </c>
      <c r="I60" s="54">
        <v>0</v>
      </c>
      <c r="J60" s="54">
        <v>263.58999999999997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66">
        <v>328.59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>
        <v>0</v>
      </c>
      <c r="AE60" s="54">
        <v>0</v>
      </c>
      <c r="AF60" s="66">
        <v>0</v>
      </c>
      <c r="AG60" s="67">
        <v>63.67</v>
      </c>
      <c r="AH60" s="67">
        <v>276.02</v>
      </c>
      <c r="AI60" s="67">
        <v>0</v>
      </c>
      <c r="AJ60" s="67">
        <v>0</v>
      </c>
      <c r="AK60" s="67">
        <v>315.95</v>
      </c>
      <c r="AL60" s="67">
        <v>62.7</v>
      </c>
      <c r="AM60" s="67">
        <v>170.27</v>
      </c>
      <c r="AN60" s="67">
        <v>181.82</v>
      </c>
      <c r="AO60" s="67">
        <v>0</v>
      </c>
      <c r="AP60" s="67">
        <v>406.48</v>
      </c>
      <c r="AQ60" s="67">
        <v>0</v>
      </c>
      <c r="AR60" s="67">
        <v>338.25</v>
      </c>
      <c r="AS60" s="68">
        <v>339.69</v>
      </c>
      <c r="AT60" s="63"/>
      <c r="AU60" s="63">
        <v>96.732314757573079</v>
      </c>
    </row>
    <row r="61" spans="1:47" ht="12.75" hidden="1" customHeight="1" outlineLevel="1" x14ac:dyDescent="0.2">
      <c r="A61" s="95" t="s">
        <v>199</v>
      </c>
      <c r="B61" s="62">
        <v>0</v>
      </c>
      <c r="C61" s="54">
        <v>0</v>
      </c>
      <c r="D61" s="54">
        <v>0</v>
      </c>
      <c r="E61" s="63"/>
      <c r="F61" s="64"/>
      <c r="G61" s="65">
        <v>0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66">
        <v>0</v>
      </c>
      <c r="T61" s="54">
        <v>0</v>
      </c>
      <c r="U61" s="54">
        <v>0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0</v>
      </c>
      <c r="AB61" s="54">
        <v>0</v>
      </c>
      <c r="AC61" s="54">
        <v>0</v>
      </c>
      <c r="AD61" s="54">
        <v>0</v>
      </c>
      <c r="AE61" s="54">
        <v>0</v>
      </c>
      <c r="AF61" s="66">
        <v>0</v>
      </c>
      <c r="AG61" s="67">
        <v>0</v>
      </c>
      <c r="AH61" s="67">
        <v>0</v>
      </c>
      <c r="AI61" s="67">
        <v>0</v>
      </c>
      <c r="AJ61" s="67">
        <v>0</v>
      </c>
      <c r="AK61" s="67">
        <v>0</v>
      </c>
      <c r="AL61" s="67">
        <v>0</v>
      </c>
      <c r="AM61" s="67">
        <v>0</v>
      </c>
      <c r="AN61" s="67">
        <v>0</v>
      </c>
      <c r="AO61" s="67">
        <v>0</v>
      </c>
      <c r="AP61" s="98">
        <v>-21373.200000000001</v>
      </c>
      <c r="AQ61" s="67">
        <v>0</v>
      </c>
      <c r="AR61" s="67">
        <v>0</v>
      </c>
      <c r="AS61" s="68">
        <v>0</v>
      </c>
      <c r="AT61" s="63"/>
      <c r="AU61" s="63"/>
    </row>
    <row r="62" spans="1:47" ht="12.75" hidden="1" customHeight="1" outlineLevel="1" x14ac:dyDescent="0.2">
      <c r="A62" s="95" t="s">
        <v>200</v>
      </c>
      <c r="B62" s="62"/>
      <c r="C62" s="54"/>
      <c r="D62" s="54"/>
      <c r="E62" s="63"/>
      <c r="F62" s="64"/>
      <c r="G62" s="65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66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66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8"/>
      <c r="AT62" s="63"/>
      <c r="AU62" s="63"/>
    </row>
    <row r="63" spans="1:47" ht="12.75" customHeight="1" collapsed="1" x14ac:dyDescent="0.2">
      <c r="A63" s="69" t="s">
        <v>89</v>
      </c>
      <c r="B63" s="70">
        <v>26835.279999999999</v>
      </c>
      <c r="C63" s="71">
        <v>0</v>
      </c>
      <c r="D63" s="71">
        <v>27088.23</v>
      </c>
      <c r="E63" s="72"/>
      <c r="F63" s="73">
        <v>99.066199600343026</v>
      </c>
      <c r="G63" s="70">
        <v>5405.88</v>
      </c>
      <c r="H63" s="71">
        <v>4827.6099999999997</v>
      </c>
      <c r="I63" s="71">
        <v>11309.88</v>
      </c>
      <c r="J63" s="71">
        <v>26835.279999999999</v>
      </c>
      <c r="K63" s="74">
        <v>-7775.59</v>
      </c>
      <c r="L63" s="71">
        <v>0</v>
      </c>
      <c r="M63" s="71">
        <v>0</v>
      </c>
      <c r="N63" s="71">
        <v>0</v>
      </c>
      <c r="O63" s="71">
        <v>0</v>
      </c>
      <c r="P63" s="71">
        <v>0</v>
      </c>
      <c r="Q63" s="71">
        <v>0</v>
      </c>
      <c r="R63" s="71">
        <v>0</v>
      </c>
      <c r="S63" s="71">
        <v>48378.65</v>
      </c>
      <c r="T63" s="71">
        <v>0</v>
      </c>
      <c r="U63" s="71">
        <v>0</v>
      </c>
      <c r="V63" s="71">
        <v>0</v>
      </c>
      <c r="W63" s="71">
        <v>0</v>
      </c>
      <c r="X63" s="71">
        <v>0</v>
      </c>
      <c r="Y63" s="71">
        <v>0</v>
      </c>
      <c r="Z63" s="71">
        <v>0</v>
      </c>
      <c r="AA63" s="71">
        <v>0</v>
      </c>
      <c r="AB63" s="71">
        <v>0</v>
      </c>
      <c r="AC63" s="71">
        <v>0</v>
      </c>
      <c r="AD63" s="71">
        <v>0</v>
      </c>
      <c r="AE63" s="71">
        <v>0</v>
      </c>
      <c r="AF63" s="71">
        <v>0</v>
      </c>
      <c r="AG63" s="75">
        <v>8329.41</v>
      </c>
      <c r="AH63" s="75">
        <v>24620.66</v>
      </c>
      <c r="AI63" s="75">
        <v>8215.4500000000007</v>
      </c>
      <c r="AJ63" s="75">
        <v>27088.23</v>
      </c>
      <c r="AK63" s="75">
        <v>6471.6</v>
      </c>
      <c r="AL63" s="75">
        <v>18130.09</v>
      </c>
      <c r="AM63" s="75">
        <v>4385.43</v>
      </c>
      <c r="AN63" s="75">
        <v>11310.48</v>
      </c>
      <c r="AO63" s="75">
        <v>9140.93</v>
      </c>
      <c r="AP63" s="134">
        <v>-11655.01</v>
      </c>
      <c r="AQ63" s="75">
        <v>7928.58</v>
      </c>
      <c r="AR63" s="75">
        <v>13568.31</v>
      </c>
      <c r="AS63" s="75">
        <v>68253.75</v>
      </c>
      <c r="AT63" s="72"/>
      <c r="AU63" s="72">
        <v>70.880574327417904</v>
      </c>
    </row>
    <row r="64" spans="1:47" ht="12.75" customHeight="1" x14ac:dyDescent="0.2">
      <c r="A64" s="77" t="s">
        <v>201</v>
      </c>
      <c r="B64" s="78">
        <v>961423.86</v>
      </c>
      <c r="C64" s="79">
        <v>0</v>
      </c>
      <c r="D64" s="79">
        <v>882525.43</v>
      </c>
      <c r="E64" s="80"/>
      <c r="F64" s="81">
        <v>108.94007439536331</v>
      </c>
      <c r="G64" s="78">
        <v>1040759.25</v>
      </c>
      <c r="H64" s="79">
        <v>937032.36</v>
      </c>
      <c r="I64" s="79">
        <v>1047102.75</v>
      </c>
      <c r="J64" s="79">
        <v>961423.86</v>
      </c>
      <c r="K64" s="82">
        <v>-381614.42</v>
      </c>
      <c r="L64" s="79">
        <v>0</v>
      </c>
      <c r="M64" s="79">
        <v>0</v>
      </c>
      <c r="N64" s="79">
        <v>0</v>
      </c>
      <c r="O64" s="79">
        <v>0</v>
      </c>
      <c r="P64" s="79">
        <v>0</v>
      </c>
      <c r="Q64" s="79">
        <v>0</v>
      </c>
      <c r="R64" s="79">
        <v>0</v>
      </c>
      <c r="S64" s="79">
        <v>3986318.22</v>
      </c>
      <c r="T64" s="79">
        <v>0</v>
      </c>
      <c r="U64" s="79">
        <v>0</v>
      </c>
      <c r="V64" s="79">
        <v>0</v>
      </c>
      <c r="W64" s="79">
        <v>0</v>
      </c>
      <c r="X64" s="79">
        <v>0</v>
      </c>
      <c r="Y64" s="79">
        <v>0</v>
      </c>
      <c r="Z64" s="79">
        <v>0</v>
      </c>
      <c r="AA64" s="79">
        <v>0</v>
      </c>
      <c r="AB64" s="79">
        <v>0</v>
      </c>
      <c r="AC64" s="79">
        <v>0</v>
      </c>
      <c r="AD64" s="79">
        <v>0</v>
      </c>
      <c r="AE64" s="79">
        <v>0</v>
      </c>
      <c r="AF64" s="79">
        <v>0</v>
      </c>
      <c r="AG64" s="83">
        <v>938214.57</v>
      </c>
      <c r="AH64" s="83">
        <v>966727.58</v>
      </c>
      <c r="AI64" s="83">
        <v>988235.14</v>
      </c>
      <c r="AJ64" s="83">
        <v>882525.43</v>
      </c>
      <c r="AK64" s="83">
        <v>947528.29</v>
      </c>
      <c r="AL64" s="83">
        <v>1147313.08</v>
      </c>
      <c r="AM64" s="83">
        <v>920339.01</v>
      </c>
      <c r="AN64" s="83">
        <v>946810.47</v>
      </c>
      <c r="AO64" s="83">
        <v>972696.78</v>
      </c>
      <c r="AP64" s="83">
        <v>984925.01</v>
      </c>
      <c r="AQ64" s="83">
        <v>1109177.8899999999</v>
      </c>
      <c r="AR64" s="83">
        <v>942465.5</v>
      </c>
      <c r="AS64" s="83">
        <v>3775702.72</v>
      </c>
      <c r="AT64" s="80"/>
      <c r="AU64" s="80">
        <v>105.57818015926847</v>
      </c>
    </row>
    <row r="65" spans="1:49" s="654" customFormat="1" ht="12.75" customHeight="1" x14ac:dyDescent="0.2">
      <c r="A65" s="84" t="s">
        <v>8</v>
      </c>
      <c r="B65" s="85">
        <v>330445.90000000002</v>
      </c>
      <c r="C65" s="86">
        <v>0</v>
      </c>
      <c r="D65" s="86">
        <v>106980.85</v>
      </c>
      <c r="E65" s="87"/>
      <c r="F65" s="88">
        <v>308.88322536229617</v>
      </c>
      <c r="G65" s="85">
        <v>520273.01</v>
      </c>
      <c r="H65" s="86">
        <v>479832.77</v>
      </c>
      <c r="I65" s="86">
        <v>372994.82</v>
      </c>
      <c r="J65" s="86">
        <v>330445.90000000002</v>
      </c>
      <c r="K65" s="86">
        <v>604143.07999999996</v>
      </c>
      <c r="L65" s="86">
        <v>0</v>
      </c>
      <c r="M65" s="86">
        <v>0</v>
      </c>
      <c r="N65" s="86">
        <v>0</v>
      </c>
      <c r="O65" s="86">
        <v>0</v>
      </c>
      <c r="P65" s="86">
        <v>0</v>
      </c>
      <c r="Q65" s="86">
        <v>0</v>
      </c>
      <c r="R65" s="86">
        <v>0</v>
      </c>
      <c r="S65" s="86">
        <v>1703546.5</v>
      </c>
      <c r="T65" s="86">
        <v>0</v>
      </c>
      <c r="U65" s="86">
        <v>0</v>
      </c>
      <c r="V65" s="86">
        <v>0</v>
      </c>
      <c r="W65" s="86">
        <v>0</v>
      </c>
      <c r="X65" s="86">
        <v>0</v>
      </c>
      <c r="Y65" s="86">
        <v>0</v>
      </c>
      <c r="Z65" s="86">
        <v>0</v>
      </c>
      <c r="AA65" s="86">
        <v>0</v>
      </c>
      <c r="AB65" s="86">
        <v>0</v>
      </c>
      <c r="AC65" s="86">
        <v>0</v>
      </c>
      <c r="AD65" s="86">
        <v>0</v>
      </c>
      <c r="AE65" s="86">
        <v>0</v>
      </c>
      <c r="AF65" s="86">
        <v>0</v>
      </c>
      <c r="AG65" s="90">
        <v>397986.6</v>
      </c>
      <c r="AH65" s="90">
        <v>512640.18</v>
      </c>
      <c r="AI65" s="90">
        <v>312717.3</v>
      </c>
      <c r="AJ65" s="90">
        <v>106980.85</v>
      </c>
      <c r="AK65" s="90">
        <v>283272.59000000003</v>
      </c>
      <c r="AL65" s="90">
        <v>180475.1</v>
      </c>
      <c r="AM65" s="90">
        <v>317459.96999999997</v>
      </c>
      <c r="AN65" s="90">
        <v>380520.49</v>
      </c>
      <c r="AO65" s="90">
        <v>313545.99</v>
      </c>
      <c r="AP65" s="90">
        <v>435973.65</v>
      </c>
      <c r="AQ65" s="90">
        <v>419162.67</v>
      </c>
      <c r="AR65" s="90">
        <v>396539.65</v>
      </c>
      <c r="AS65" s="90">
        <v>1330324.93</v>
      </c>
      <c r="AT65" s="87"/>
      <c r="AU65" s="87">
        <v>128.05491813191836</v>
      </c>
    </row>
    <row r="66" spans="1:49" x14ac:dyDescent="0.2">
      <c r="F66" s="365"/>
      <c r="G66" s="497"/>
      <c r="H66" s="497"/>
      <c r="I66" s="497"/>
      <c r="J66" s="497"/>
      <c r="K66" s="497"/>
      <c r="L66" s="497"/>
      <c r="M66" s="497"/>
      <c r="N66" s="497"/>
      <c r="O66" s="497"/>
      <c r="P66" s="497"/>
      <c r="Q66" s="497"/>
      <c r="R66" s="497"/>
      <c r="S66" s="497"/>
      <c r="T66" s="497"/>
      <c r="U66" s="497"/>
      <c r="V66" s="497"/>
      <c r="W66" s="497"/>
      <c r="X66" s="497"/>
      <c r="Y66" s="497"/>
      <c r="Z66" s="497"/>
      <c r="AA66" s="497"/>
      <c r="AB66" s="497"/>
      <c r="AC66" s="497"/>
      <c r="AD66" s="497"/>
      <c r="AE66" s="497"/>
      <c r="AF66" s="497"/>
      <c r="AG66" s="497"/>
      <c r="AH66" s="497"/>
      <c r="AI66" s="497"/>
      <c r="AJ66" s="497"/>
      <c r="AK66" s="497"/>
      <c r="AL66" s="497"/>
      <c r="AM66" s="497"/>
      <c r="AN66" s="497"/>
      <c r="AO66" s="497"/>
      <c r="AP66" s="497"/>
      <c r="AQ66" s="497"/>
      <c r="AR66" s="497"/>
      <c r="AS66" s="497"/>
    </row>
    <row r="67" spans="1:49" x14ac:dyDescent="0.2"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AF67" s="26"/>
      <c r="AS67" s="94"/>
    </row>
    <row r="68" spans="1:49" ht="15" x14ac:dyDescent="0.25">
      <c r="A68" s="16"/>
      <c r="B68" s="16"/>
      <c r="C68" s="16"/>
      <c r="D68" s="16"/>
      <c r="E68" s="16"/>
      <c r="F68" s="211"/>
      <c r="G68" s="449"/>
      <c r="H68" s="449"/>
      <c r="I68" s="449"/>
      <c r="J68" s="449"/>
      <c r="K68" s="449"/>
      <c r="L68" s="449"/>
      <c r="M68" s="449"/>
      <c r="N68" s="449"/>
      <c r="O68" s="449"/>
      <c r="P68" s="449"/>
      <c r="Q68" s="449"/>
      <c r="R68" s="449"/>
      <c r="S68" s="449"/>
      <c r="T68" s="449"/>
      <c r="U68" s="449"/>
      <c r="V68" s="449"/>
      <c r="W68" s="449"/>
      <c r="X68" s="449"/>
      <c r="Y68" s="449"/>
      <c r="Z68" s="449"/>
      <c r="AA68" s="449"/>
      <c r="AB68" s="449"/>
      <c r="AC68" s="449"/>
      <c r="AD68" s="449"/>
      <c r="AE68" s="449"/>
      <c r="AF68" s="449"/>
      <c r="AG68" s="449"/>
      <c r="AH68" s="449"/>
      <c r="AI68" s="449"/>
      <c r="AJ68" s="449"/>
      <c r="AK68" s="449"/>
      <c r="AL68" s="449"/>
      <c r="AM68" s="449"/>
      <c r="AN68" s="449"/>
      <c r="AO68" s="449"/>
      <c r="AP68" s="449"/>
      <c r="AQ68" s="449"/>
      <c r="AR68" s="449"/>
      <c r="AS68" s="449"/>
    </row>
    <row r="69" spans="1:49" ht="15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89"/>
      <c r="U69" s="189"/>
      <c r="V69" s="189"/>
      <c r="W69" s="189"/>
      <c r="X69" s="189"/>
      <c r="Y69" s="189"/>
      <c r="Z69" s="189"/>
      <c r="AA69" s="189"/>
      <c r="AB69" s="189"/>
      <c r="AC69" s="189"/>
      <c r="AD69" s="189"/>
      <c r="AE69" s="189"/>
      <c r="AF69" s="189"/>
      <c r="AG69" s="189"/>
      <c r="AH69" s="189"/>
      <c r="AI69" s="189"/>
      <c r="AJ69" s="189"/>
      <c r="AK69" s="189"/>
      <c r="AL69" s="189"/>
      <c r="AM69" s="189"/>
      <c r="AN69" s="189"/>
      <c r="AO69" s="189"/>
      <c r="AP69" s="189"/>
      <c r="AQ69" s="189"/>
      <c r="AR69" s="189"/>
      <c r="AS69" s="16"/>
    </row>
    <row r="70" spans="1:49" ht="15" x14ac:dyDescent="0.25">
      <c r="A70" s="16"/>
      <c r="B70" s="16"/>
      <c r="C70" s="16"/>
      <c r="D70" s="16"/>
      <c r="E70" s="16"/>
      <c r="F70" s="16"/>
      <c r="G70" s="405"/>
      <c r="H70" s="405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>
        <f>+(S16+S17)/S2</f>
        <v>5.6433044685814608E-2</v>
      </c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</row>
    <row r="71" spans="1:49" ht="15.75" thickBot="1" x14ac:dyDescent="0.3">
      <c r="A71" s="16"/>
      <c r="B71" s="16"/>
      <c r="C71" s="16"/>
      <c r="D71" s="16"/>
      <c r="H71" s="365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</row>
    <row r="72" spans="1:49" ht="15" x14ac:dyDescent="0.25">
      <c r="A72" s="16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405">
        <f>+S11+S12+S13+S14+S15</f>
        <v>1233467.19</v>
      </c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536">
        <v>4515.0646200000001</v>
      </c>
      <c r="AV72" s="537">
        <f>IF(AT72&lt;&gt;0,AU72/AT72,0)</f>
        <v>0</v>
      </c>
      <c r="AW72" s="536">
        <v>3247.7951799999987</v>
      </c>
    </row>
    <row r="73" spans="1:49" ht="15" x14ac:dyDescent="0.25">
      <c r="A73" s="16"/>
      <c r="B73" s="16"/>
      <c r="C73" s="16"/>
      <c r="D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</row>
    <row r="74" spans="1:49" ht="15" x14ac:dyDescent="0.25">
      <c r="A74" s="16"/>
      <c r="B74" s="16"/>
      <c r="C74" s="16"/>
      <c r="D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</row>
    <row r="75" spans="1:49" ht="15" x14ac:dyDescent="0.25">
      <c r="A75" s="16"/>
      <c r="B75" s="16"/>
      <c r="C75" s="16"/>
      <c r="D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</row>
    <row r="76" spans="1:49" ht="15" x14ac:dyDescent="0.25">
      <c r="A76" s="16"/>
      <c r="B76" s="16"/>
      <c r="C76" s="16"/>
      <c r="D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</row>
    <row r="77" spans="1:49" ht="15" x14ac:dyDescent="0.25"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</row>
    <row r="78" spans="1:49" ht="15" x14ac:dyDescent="0.25"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</row>
    <row r="81" spans="2:49" x14ac:dyDescent="0.2">
      <c r="B81" s="365"/>
      <c r="C81" s="26"/>
      <c r="F81" t="s">
        <v>286</v>
      </c>
      <c r="S81" s="26">
        <f>+S2</f>
        <v>5689864.7199999997</v>
      </c>
      <c r="AF81" s="94">
        <f>+S81/S81</f>
        <v>1</v>
      </c>
      <c r="AU81">
        <f>+AU72*1000</f>
        <v>4515064.62</v>
      </c>
      <c r="AW81" s="365">
        <f>+AW72*1000</f>
        <v>3247795.1799999988</v>
      </c>
    </row>
    <row r="82" spans="2:49" x14ac:dyDescent="0.2">
      <c r="C82" s="26"/>
      <c r="F82" t="s">
        <v>536</v>
      </c>
      <c r="S82" s="26">
        <f>+S9</f>
        <v>152777.57999999999</v>
      </c>
      <c r="AF82" s="94">
        <f>+S82/S81</f>
        <v>2.6850828186298248E-2</v>
      </c>
      <c r="AS82" s="94">
        <f>+AF82/S81</f>
        <v>4.7190626680309277E-9</v>
      </c>
      <c r="AU82" s="26">
        <f>+S81-AU81</f>
        <v>1174800.0999999996</v>
      </c>
      <c r="AW82" s="26">
        <f>+S81-AW81</f>
        <v>2442069.540000001</v>
      </c>
    </row>
    <row r="83" spans="2:49" x14ac:dyDescent="0.2">
      <c r="C83" s="26"/>
      <c r="F83" t="s">
        <v>537</v>
      </c>
      <c r="S83" s="26">
        <f>+S10+S11+S12+S13+S14+S15+S16</f>
        <v>3406068.59</v>
      </c>
      <c r="AF83" s="94">
        <f>+S83/S81</f>
        <v>0.59862031131031879</v>
      </c>
      <c r="AS83" s="94">
        <f>+AF83/S81</f>
        <v>1.0520817994251344E-7</v>
      </c>
    </row>
    <row r="84" spans="2:49" x14ac:dyDescent="0.2">
      <c r="C84" s="548"/>
      <c r="F84" t="s">
        <v>442</v>
      </c>
      <c r="S84" s="26">
        <f>+S17+S18+S22+S33+S48+S62</f>
        <v>237801.24000000002</v>
      </c>
      <c r="AF84" s="94">
        <f>+S84/S81</f>
        <v>4.1793830205509704E-2</v>
      </c>
      <c r="AS84" s="94">
        <f>+AF84/S81</f>
        <v>7.3453117538284292E-9</v>
      </c>
    </row>
    <row r="85" spans="2:49" x14ac:dyDescent="0.2">
      <c r="F85" t="s">
        <v>419</v>
      </c>
      <c r="S85" s="26">
        <f>+S81-S82-S83-S84</f>
        <v>1893217.3099999998</v>
      </c>
      <c r="AF85" s="94">
        <f>+S85/S81</f>
        <v>0.33273503029787321</v>
      </c>
    </row>
    <row r="86" spans="2:49" x14ac:dyDescent="0.2">
      <c r="S86">
        <v>4515064.62</v>
      </c>
    </row>
    <row r="87" spans="2:49" x14ac:dyDescent="0.2">
      <c r="S87" s="497"/>
    </row>
    <row r="88" spans="2:49" ht="13.5" thickBot="1" x14ac:dyDescent="0.25">
      <c r="F88" t="s">
        <v>303</v>
      </c>
      <c r="S88" s="26">
        <f>S81-S82-S83</f>
        <v>2131018.5499999998</v>
      </c>
    </row>
    <row r="89" spans="2:49" x14ac:dyDescent="0.2">
      <c r="S89" s="536"/>
      <c r="AF89" s="439"/>
    </row>
    <row r="90" spans="2:49" x14ac:dyDescent="0.2">
      <c r="F90" t="s">
        <v>548</v>
      </c>
      <c r="S90" s="497">
        <f>S88/S81</f>
        <v>0.37452886050338291</v>
      </c>
      <c r="AF90" s="57"/>
    </row>
    <row r="91" spans="2:49" x14ac:dyDescent="0.2">
      <c r="S91" s="94"/>
    </row>
    <row r="92" spans="2:49" x14ac:dyDescent="0.2">
      <c r="S92" s="505" t="s">
        <v>550</v>
      </c>
      <c r="T92" s="505"/>
      <c r="U92" s="505"/>
      <c r="V92" s="505"/>
      <c r="W92" s="505"/>
      <c r="X92" s="505"/>
      <c r="Y92" s="505"/>
      <c r="Z92" s="505"/>
      <c r="AA92" s="505"/>
      <c r="AB92" s="505"/>
      <c r="AC92" s="505"/>
      <c r="AD92" s="505"/>
      <c r="AE92" s="505"/>
      <c r="AF92" s="505" t="s">
        <v>550</v>
      </c>
      <c r="AG92" s="505"/>
      <c r="AH92" s="505"/>
      <c r="AI92" s="505"/>
      <c r="AJ92" s="505"/>
      <c r="AK92" s="505"/>
      <c r="AL92" s="505"/>
      <c r="AM92" s="505"/>
      <c r="AN92" s="505"/>
      <c r="AO92" s="505"/>
      <c r="AP92" s="505"/>
      <c r="AQ92" s="505"/>
      <c r="AR92" s="505"/>
      <c r="AS92" s="505" t="s">
        <v>455</v>
      </c>
      <c r="AT92" s="505" t="s">
        <v>455</v>
      </c>
      <c r="AU92" s="505" t="s">
        <v>550</v>
      </c>
      <c r="AV92" s="505" t="s">
        <v>455</v>
      </c>
      <c r="AW92" s="505"/>
    </row>
    <row r="93" spans="2:49" x14ac:dyDescent="0.2">
      <c r="R93" t="s">
        <v>286</v>
      </c>
      <c r="S93" s="505">
        <f>+S2</f>
        <v>5689864.7199999997</v>
      </c>
      <c r="T93" s="505"/>
      <c r="U93" s="505"/>
      <c r="V93" s="505"/>
      <c r="W93" s="505"/>
      <c r="X93" s="505"/>
      <c r="Y93" s="505"/>
      <c r="Z93" s="505"/>
      <c r="AA93" s="505"/>
      <c r="AB93" s="505"/>
      <c r="AC93" s="505"/>
      <c r="AD93" s="505"/>
      <c r="AE93" s="505"/>
      <c r="AF93" s="505">
        <f>+'Mngt-Chemistry '!S2</f>
        <v>1040842.3</v>
      </c>
      <c r="AG93" s="505"/>
      <c r="AH93" s="505"/>
      <c r="AI93" s="505"/>
      <c r="AJ93" s="505"/>
      <c r="AK93" s="505"/>
      <c r="AL93" s="505"/>
      <c r="AM93" s="505"/>
      <c r="AN93" s="505"/>
      <c r="AO93" s="505"/>
      <c r="AP93" s="505"/>
      <c r="AQ93" s="505"/>
      <c r="AR93" s="505"/>
      <c r="AS93" s="505">
        <f>+AS2</f>
        <v>5106027.6500000004</v>
      </c>
      <c r="AT93" s="505">
        <f>+'Mngt-Chemistry '!AS2</f>
        <v>1120503.6599999999</v>
      </c>
      <c r="AU93" s="505">
        <f>+S93+AF93</f>
        <v>6730707.0199999996</v>
      </c>
      <c r="AV93" s="505">
        <f>+AS93+AT93</f>
        <v>6226531.3100000005</v>
      </c>
      <c r="AW93" s="505"/>
    </row>
    <row r="94" spans="2:49" x14ac:dyDescent="0.2">
      <c r="R94" t="s">
        <v>293</v>
      </c>
      <c r="S94" s="505">
        <f>+S9</f>
        <v>152777.57999999999</v>
      </c>
      <c r="T94" s="505"/>
      <c r="U94" s="505"/>
      <c r="V94" s="505"/>
      <c r="W94" s="505"/>
      <c r="X94" s="505"/>
      <c r="Y94" s="505"/>
      <c r="Z94" s="505"/>
      <c r="AA94" s="505"/>
      <c r="AB94" s="505"/>
      <c r="AC94" s="505"/>
      <c r="AD94" s="505"/>
      <c r="AE94" s="505"/>
      <c r="AF94" s="505">
        <f>+'Mngt-Chemistry '!S9</f>
        <v>371835.5</v>
      </c>
      <c r="AG94" s="505"/>
      <c r="AH94" s="505"/>
      <c r="AI94" s="505"/>
      <c r="AJ94" s="505"/>
      <c r="AK94" s="505"/>
      <c r="AL94" s="505"/>
      <c r="AM94" s="505"/>
      <c r="AN94" s="505"/>
      <c r="AO94" s="505"/>
      <c r="AP94" s="505"/>
      <c r="AQ94" s="505"/>
      <c r="AR94" s="505"/>
      <c r="AS94" s="505">
        <f>+AS9</f>
        <v>143541.85999999999</v>
      </c>
      <c r="AT94" s="505">
        <f>+'Mngt-Chemistry '!AS9</f>
        <v>407621.12</v>
      </c>
      <c r="AU94" s="505">
        <f>+S94+AF94</f>
        <v>524613.07999999996</v>
      </c>
      <c r="AV94" s="505">
        <f>+AS94+AT94</f>
        <v>551162.98</v>
      </c>
      <c r="AW94" s="505"/>
    </row>
    <row r="95" spans="2:49" x14ac:dyDescent="0.2">
      <c r="R95" t="s">
        <v>561</v>
      </c>
      <c r="S95" s="505">
        <f>SUM(S10:S15)</f>
        <v>3099488.03</v>
      </c>
      <c r="T95" s="505"/>
      <c r="U95" s="505"/>
      <c r="V95" s="505"/>
      <c r="W95" s="505"/>
      <c r="X95" s="505"/>
      <c r="Y95" s="505"/>
      <c r="Z95" s="505"/>
      <c r="AA95" s="505"/>
      <c r="AB95" s="505"/>
      <c r="AC95" s="505"/>
      <c r="AD95" s="505"/>
      <c r="AE95" s="505"/>
      <c r="AF95" s="505">
        <f>SUM('Mngt-Chemistry '!S10:S14)</f>
        <v>369904.16000000003</v>
      </c>
      <c r="AG95" s="505"/>
      <c r="AH95" s="505"/>
      <c r="AI95" s="505"/>
      <c r="AJ95" s="505"/>
      <c r="AK95" s="505"/>
      <c r="AL95" s="505"/>
      <c r="AM95" s="505"/>
      <c r="AN95" s="505"/>
      <c r="AO95" s="505"/>
      <c r="AP95" s="505"/>
      <c r="AQ95" s="505"/>
      <c r="AR95" s="505"/>
      <c r="AS95" s="505">
        <f>SUM(AS10:AS15)</f>
        <v>2929763.68</v>
      </c>
      <c r="AT95" s="505">
        <f>SUM('Mngt-Chemistry '!AS10:AS14)</f>
        <v>344508.62</v>
      </c>
      <c r="AU95" s="505">
        <f>+S95+AF95</f>
        <v>3469392.19</v>
      </c>
      <c r="AV95" s="505">
        <f>+AS95+AT95</f>
        <v>3274272.3000000003</v>
      </c>
      <c r="AW95" s="505"/>
    </row>
    <row r="96" spans="2:49" x14ac:dyDescent="0.2">
      <c r="S96" s="505"/>
      <c r="T96" s="505"/>
      <c r="U96" s="505"/>
      <c r="V96" s="505"/>
      <c r="W96" s="505"/>
      <c r="X96" s="505"/>
      <c r="Y96" s="505"/>
      <c r="Z96" s="505"/>
      <c r="AA96" s="505"/>
      <c r="AB96" s="505"/>
      <c r="AC96" s="505"/>
      <c r="AD96" s="505"/>
      <c r="AE96" s="505"/>
      <c r="AF96" s="505"/>
      <c r="AG96" s="505"/>
      <c r="AH96" s="505"/>
      <c r="AI96" s="505"/>
      <c r="AJ96" s="505"/>
      <c r="AK96" s="505"/>
      <c r="AL96" s="505"/>
      <c r="AM96" s="505"/>
      <c r="AN96" s="505"/>
      <c r="AO96" s="505"/>
      <c r="AP96" s="505"/>
      <c r="AQ96" s="505"/>
      <c r="AR96" s="505"/>
      <c r="AS96" s="505"/>
      <c r="AT96" s="505"/>
      <c r="AU96" s="505"/>
      <c r="AV96" s="505"/>
      <c r="AW96" s="505"/>
    </row>
    <row r="97" spans="18:48" x14ac:dyDescent="0.2">
      <c r="R97" t="s">
        <v>303</v>
      </c>
      <c r="S97" s="506">
        <f>+S93-S94-S95</f>
        <v>2437599.11</v>
      </c>
      <c r="AF97" s="506">
        <f t="shared" ref="AF97:AV97" si="0">+AF93-AF94-AF95</f>
        <v>299102.64</v>
      </c>
      <c r="AG97" s="506">
        <f t="shared" si="0"/>
        <v>0</v>
      </c>
      <c r="AH97" s="506">
        <f t="shared" si="0"/>
        <v>0</v>
      </c>
      <c r="AI97" s="506">
        <f t="shared" si="0"/>
        <v>0</v>
      </c>
      <c r="AJ97" s="506">
        <f t="shared" si="0"/>
        <v>0</v>
      </c>
      <c r="AK97" s="506">
        <f t="shared" si="0"/>
        <v>0</v>
      </c>
      <c r="AL97" s="506">
        <f t="shared" si="0"/>
        <v>0</v>
      </c>
      <c r="AM97" s="506">
        <f t="shared" si="0"/>
        <v>0</v>
      </c>
      <c r="AN97" s="506">
        <f t="shared" si="0"/>
        <v>0</v>
      </c>
      <c r="AO97" s="506">
        <f t="shared" si="0"/>
        <v>0</v>
      </c>
      <c r="AP97" s="506">
        <f t="shared" si="0"/>
        <v>0</v>
      </c>
      <c r="AQ97" s="506">
        <f t="shared" si="0"/>
        <v>0</v>
      </c>
      <c r="AR97" s="506">
        <f t="shared" si="0"/>
        <v>0</v>
      </c>
      <c r="AS97" s="506">
        <f t="shared" si="0"/>
        <v>2032722.1099999999</v>
      </c>
      <c r="AT97" s="506">
        <f t="shared" si="0"/>
        <v>368373.91999999993</v>
      </c>
      <c r="AU97" s="506">
        <f t="shared" si="0"/>
        <v>2736701.7499999995</v>
      </c>
      <c r="AV97" s="506">
        <f t="shared" si="0"/>
        <v>2401096.0299999998</v>
      </c>
    </row>
    <row r="98" spans="18:48" x14ac:dyDescent="0.2">
      <c r="S98" s="94">
        <f>+S97/S93</f>
        <v>0.4284107320569126</v>
      </c>
      <c r="AF98" s="94">
        <f>+AF97/AF93</f>
        <v>0.28736595351668548</v>
      </c>
      <c r="AS98" s="94">
        <f>+AS97/AS93</f>
        <v>0.39810244858348931</v>
      </c>
      <c r="AT98" s="94">
        <f>+AT97/AT93</f>
        <v>0.32875744466555329</v>
      </c>
      <c r="AU98" s="94">
        <f>+AU97/AU93</f>
        <v>0.40659944666555992</v>
      </c>
      <c r="AV98" s="94">
        <f>+AV97/AV93</f>
        <v>0.38562337687819315</v>
      </c>
    </row>
    <row r="100" spans="18:48" x14ac:dyDescent="0.2">
      <c r="R100" t="s">
        <v>562</v>
      </c>
      <c r="S100" s="26">
        <f>SUM(S16:S62)</f>
        <v>1162368.56</v>
      </c>
      <c r="AF100">
        <f>SUM('Mngt-Chemistry '!S15:S62)</f>
        <v>373523.89999999997</v>
      </c>
      <c r="AS100" s="26">
        <f>SUM(AS16:AS62)</f>
        <v>1048763.2</v>
      </c>
      <c r="AT100" s="365">
        <f>SUM('Mngt-Chemistry '!AS15:AS62)</f>
        <v>329918.52</v>
      </c>
      <c r="AU100" s="505">
        <f>+S100+AF100</f>
        <v>1535892.46</v>
      </c>
      <c r="AV100" s="505">
        <f>+AS100+AT100</f>
        <v>1378681.72</v>
      </c>
    </row>
    <row r="102" spans="18:48" x14ac:dyDescent="0.2">
      <c r="R102" t="s">
        <v>563</v>
      </c>
      <c r="S102" s="506">
        <f t="shared" ref="S102:AT102" si="1">+S97-S100</f>
        <v>1275230.5499999998</v>
      </c>
      <c r="T102" s="506">
        <f t="shared" si="1"/>
        <v>0</v>
      </c>
      <c r="U102" s="506">
        <f t="shared" si="1"/>
        <v>0</v>
      </c>
      <c r="V102" s="506">
        <f t="shared" si="1"/>
        <v>0</v>
      </c>
      <c r="W102" s="506">
        <f t="shared" si="1"/>
        <v>0</v>
      </c>
      <c r="X102" s="506">
        <f t="shared" si="1"/>
        <v>0</v>
      </c>
      <c r="Y102" s="506">
        <f t="shared" si="1"/>
        <v>0</v>
      </c>
      <c r="Z102" s="506">
        <f t="shared" si="1"/>
        <v>0</v>
      </c>
      <c r="AA102" s="506">
        <f t="shared" si="1"/>
        <v>0</v>
      </c>
      <c r="AB102" s="506">
        <f t="shared" si="1"/>
        <v>0</v>
      </c>
      <c r="AC102" s="506">
        <f t="shared" si="1"/>
        <v>0</v>
      </c>
      <c r="AD102" s="506">
        <f t="shared" si="1"/>
        <v>0</v>
      </c>
      <c r="AE102" s="506">
        <f t="shared" si="1"/>
        <v>0</v>
      </c>
      <c r="AF102" s="506">
        <f t="shared" si="1"/>
        <v>-74421.259999999951</v>
      </c>
      <c r="AG102" s="506">
        <f t="shared" si="1"/>
        <v>0</v>
      </c>
      <c r="AH102" s="506">
        <f t="shared" si="1"/>
        <v>0</v>
      </c>
      <c r="AI102" s="506">
        <f t="shared" si="1"/>
        <v>0</v>
      </c>
      <c r="AJ102" s="506">
        <f t="shared" si="1"/>
        <v>0</v>
      </c>
      <c r="AK102" s="506">
        <f t="shared" si="1"/>
        <v>0</v>
      </c>
      <c r="AL102" s="506">
        <f t="shared" si="1"/>
        <v>0</v>
      </c>
      <c r="AM102" s="506">
        <f t="shared" si="1"/>
        <v>0</v>
      </c>
      <c r="AN102" s="506">
        <f t="shared" si="1"/>
        <v>0</v>
      </c>
      <c r="AO102" s="506">
        <f t="shared" si="1"/>
        <v>0</v>
      </c>
      <c r="AP102" s="506">
        <f t="shared" si="1"/>
        <v>0</v>
      </c>
      <c r="AQ102" s="506">
        <f t="shared" si="1"/>
        <v>0</v>
      </c>
      <c r="AR102" s="506">
        <f t="shared" si="1"/>
        <v>0</v>
      </c>
      <c r="AS102" s="506">
        <f t="shared" si="1"/>
        <v>983958.90999999992</v>
      </c>
      <c r="AT102" s="506">
        <f t="shared" si="1"/>
        <v>38455.399999999907</v>
      </c>
      <c r="AU102" s="506">
        <f>+AU97-AU100</f>
        <v>1200809.2899999996</v>
      </c>
      <c r="AV102" s="506">
        <f>+AV97-AV100</f>
        <v>1022414.3099999998</v>
      </c>
    </row>
    <row r="103" spans="18:48" x14ac:dyDescent="0.2">
      <c r="S103" s="94">
        <f>+S102/S93</f>
        <v>0.22412317563852377</v>
      </c>
      <c r="AF103" s="94">
        <f>+AF102/AF93</f>
        <v>-7.1500994915368016E-2</v>
      </c>
      <c r="AS103" s="94">
        <f>+AS102/AS93</f>
        <v>0.19270536265114033</v>
      </c>
      <c r="AT103" s="94">
        <f>+AT102/AT93</f>
        <v>3.431974510462546E-2</v>
      </c>
      <c r="AU103" s="94">
        <f>+AU102/AU93</f>
        <v>0.17840760063271921</v>
      </c>
      <c r="AV103" s="94">
        <f>+AV102/AV93</f>
        <v>0.16420286979975046</v>
      </c>
    </row>
    <row r="105" spans="18:48" x14ac:dyDescent="0.2">
      <c r="R105" t="s">
        <v>421</v>
      </c>
      <c r="S105">
        <f>+'Mngt-Lab Admin Total'!S62+'Mngt-IT'!S63+'Mngt-Quality '!S61</f>
        <v>841977.19</v>
      </c>
      <c r="AS105" s="365">
        <f>+'Mngt-Lab Admin Total'!AS62+'Mngt-IT'!AS63+'Mngt-Quality '!AS61</f>
        <v>849286.71000000008</v>
      </c>
    </row>
    <row r="106" spans="18:48" x14ac:dyDescent="0.2">
      <c r="R106" t="s">
        <v>235</v>
      </c>
      <c r="S106">
        <f>+'Mngt-S&amp;M '!S65+'Mngt-G&amp;A Total'!S73-'Mngt-G&amp;A Total'!S66-'Mngt-G&amp;A Total'!S67</f>
        <v>701304.38</v>
      </c>
      <c r="AS106" s="365">
        <f>+'Mngt-S&amp;M '!AS65+'Mngt-G&amp;A Total'!AS73-'Mngt-G&amp;A Total'!AS66-'Mngt-G&amp;A Total'!AS67</f>
        <v>607853.36</v>
      </c>
    </row>
    <row r="107" spans="18:48" x14ac:dyDescent="0.2">
      <c r="S107">
        <f>+S105+S106</f>
        <v>1543281.5699999998</v>
      </c>
      <c r="AS107" s="365">
        <f>+AS105+AS106</f>
        <v>1457140.07</v>
      </c>
    </row>
    <row r="108" spans="18:48" x14ac:dyDescent="0.2">
      <c r="S108" s="620">
        <f>+S107/AU93</f>
        <v>0.22928966680828725</v>
      </c>
      <c r="AS108" s="620">
        <f>+AS107/AV93</f>
        <v>0.2340211584032009</v>
      </c>
    </row>
    <row r="109" spans="18:48" x14ac:dyDescent="0.2">
      <c r="AS109" s="365"/>
    </row>
    <row r="110" spans="18:48" x14ac:dyDescent="0.2">
      <c r="S110" s="620">
        <f>+S108*S93</f>
        <v>1304627.1858330285</v>
      </c>
      <c r="AF110" s="620">
        <f>+S108*AF93</f>
        <v>238654.38416697137</v>
      </c>
      <c r="AS110" s="620">
        <f>+AS108*AS93</f>
        <v>1194918.5054917736</v>
      </c>
      <c r="AT110" s="620">
        <f>+AS108*AT93</f>
        <v>262221.56450822635</v>
      </c>
      <c r="AU110" s="505">
        <f>+S110+AF110</f>
        <v>1543281.5699999998</v>
      </c>
      <c r="AV110" s="505">
        <f>+AS110+AT110</f>
        <v>1457140.0699999998</v>
      </c>
    </row>
    <row r="111" spans="18:48" x14ac:dyDescent="0.2">
      <c r="AS111" s="365"/>
    </row>
    <row r="112" spans="18:48" x14ac:dyDescent="0.2">
      <c r="S112" s="620">
        <f>+S102-S110</f>
        <v>-29396.635833028704</v>
      </c>
      <c r="AF112" s="620">
        <f>+AF102-AF110</f>
        <v>-313075.64416697132</v>
      </c>
      <c r="AS112" s="620">
        <f>+AS102-AS110</f>
        <v>-210959.59549177368</v>
      </c>
      <c r="AT112" s="620">
        <f>+AT102-AT110</f>
        <v>-223766.16450822644</v>
      </c>
      <c r="AU112" s="620">
        <f>+AU102-AU110</f>
        <v>-342472.28000000026</v>
      </c>
      <c r="AV112" s="620">
        <f>+AV102-AV110</f>
        <v>-434725.76</v>
      </c>
    </row>
    <row r="121" spans="7:45" x14ac:dyDescent="0.2">
      <c r="G121" s="26">
        <f>+G14</f>
        <v>656.52</v>
      </c>
      <c r="H121" s="26">
        <f t="shared" ref="H121:M121" si="2">+H14</f>
        <v>1074.95</v>
      </c>
      <c r="I121" s="26">
        <f t="shared" si="2"/>
        <v>293.8</v>
      </c>
      <c r="J121" s="26">
        <f t="shared" si="2"/>
        <v>381.66</v>
      </c>
      <c r="K121" s="26">
        <f t="shared" si="2"/>
        <v>0</v>
      </c>
      <c r="L121" s="26">
        <f t="shared" si="2"/>
        <v>0</v>
      </c>
      <c r="M121" s="26">
        <f t="shared" si="2"/>
        <v>0</v>
      </c>
      <c r="S121" s="26">
        <f>+S14</f>
        <v>2406.9299999999998</v>
      </c>
      <c r="AS121" s="26">
        <f>SUM(AG14:AR14)</f>
        <v>9445.5399999999991</v>
      </c>
    </row>
    <row r="122" spans="7:45" x14ac:dyDescent="0.2">
      <c r="G122" s="26">
        <f>+G2</f>
        <v>1561032.26</v>
      </c>
      <c r="H122" s="26">
        <f t="shared" ref="H122:M122" si="3">+H2</f>
        <v>1416865.13</v>
      </c>
      <c r="I122" s="26">
        <f t="shared" si="3"/>
        <v>1420097.57</v>
      </c>
      <c r="J122" s="26">
        <f t="shared" si="3"/>
        <v>1291869.76</v>
      </c>
      <c r="K122" s="26">
        <f t="shared" si="3"/>
        <v>222528.66</v>
      </c>
      <c r="L122" s="26">
        <f t="shared" si="3"/>
        <v>0</v>
      </c>
      <c r="M122" s="26">
        <f t="shared" si="3"/>
        <v>0</v>
      </c>
      <c r="S122" s="26">
        <f>+S2</f>
        <v>5689864.7199999997</v>
      </c>
      <c r="AS122" s="482">
        <f>+SUM(AG2:AR2)</f>
        <v>15804233.789999999</v>
      </c>
    </row>
    <row r="123" spans="7:45" x14ac:dyDescent="0.2">
      <c r="G123" s="548">
        <f>+G121/G122</f>
        <v>4.2056786193515308E-4</v>
      </c>
      <c r="H123" s="548">
        <f t="shared" ref="H123:M123" si="4">+H121/H122</f>
        <v>7.5868195020086361E-4</v>
      </c>
      <c r="I123" s="548">
        <f t="shared" si="4"/>
        <v>2.0688719296942391E-4</v>
      </c>
      <c r="J123" s="548">
        <f t="shared" si="4"/>
        <v>2.9543225781521507E-4</v>
      </c>
      <c r="K123" s="548">
        <f t="shared" si="4"/>
        <v>0</v>
      </c>
      <c r="L123" s="548" t="e">
        <f t="shared" si="4"/>
        <v>#DIV/0!</v>
      </c>
      <c r="M123" s="548" t="e">
        <f t="shared" si="4"/>
        <v>#DIV/0!</v>
      </c>
      <c r="S123" s="548">
        <f t="shared" ref="S123" si="5">+S121/S122</f>
        <v>4.2302060214886796E-4</v>
      </c>
      <c r="AS123" s="548">
        <f>+AS121/AS122</f>
        <v>5.9765883784739936E-4</v>
      </c>
    </row>
  </sheetData>
  <hyperlinks>
    <hyperlink ref="AS122" r:id="rId1" display="+@sum(AG2:AR2)"/>
  </hyperlinks>
  <pageMargins left="0.75" right="0.75" top="1" bottom="1" header="0.5" footer="0.5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A1:BB122"/>
  <sheetViews>
    <sheetView workbookViewId="0">
      <selection sqref="A1:AU64"/>
    </sheetView>
  </sheetViews>
  <sheetFormatPr defaultColWidth="9.42578125" defaultRowHeight="12.75" outlineLevelRow="1" outlineLevelCol="1" x14ac:dyDescent="0.2"/>
  <cols>
    <col min="1" max="1" width="54.85546875" style="8" bestFit="1" customWidth="1"/>
    <col min="2" max="2" width="8.42578125" style="8" bestFit="1" customWidth="1"/>
    <col min="3" max="3" width="7.140625" style="8" bestFit="1" customWidth="1"/>
    <col min="4" max="4" width="8.42578125" style="8" bestFit="1" customWidth="1"/>
    <col min="5" max="5" width="9.85546875" style="8" bestFit="1" customWidth="1"/>
    <col min="6" max="6" width="10.42578125" style="8" bestFit="1" customWidth="1"/>
    <col min="7" max="8" width="12" style="8" customWidth="1" outlineLevel="1"/>
    <col min="9" max="9" width="11.7109375" style="8" customWidth="1" outlineLevel="1"/>
    <col min="10" max="13" width="12" style="8" customWidth="1" outlineLevel="1"/>
    <col min="14" max="16" width="8.42578125" style="8" customWidth="1" outlineLevel="1"/>
    <col min="17" max="17" width="9.85546875" style="8" customWidth="1" outlineLevel="1"/>
    <col min="18" max="18" width="7.140625" style="8" customWidth="1" outlineLevel="1"/>
    <col min="19" max="19" width="13.28515625" style="8" bestFit="1" customWidth="1"/>
    <col min="20" max="20" width="9.140625" style="8" hidden="1" customWidth="1" outlineLevel="1"/>
    <col min="21" max="31" width="7.140625" style="8" hidden="1" customWidth="1" outlineLevel="1"/>
    <col min="32" max="32" width="13.28515625" style="8" bestFit="1" customWidth="1" collapsed="1"/>
    <col min="33" max="44" width="8.42578125" style="8" hidden="1" customWidth="1" outlineLevel="1"/>
    <col min="45" max="45" width="12" style="8" bestFit="1" customWidth="1" collapsed="1"/>
    <col min="46" max="47" width="10" style="8" bestFit="1" customWidth="1"/>
    <col min="48" max="49" width="10.28515625" style="8" bestFit="1" customWidth="1"/>
    <col min="50" max="50" width="23" style="8" bestFit="1" customWidth="1"/>
    <col min="51" max="51" width="24.28515625" style="8" bestFit="1" customWidth="1"/>
    <col min="52" max="53" width="9.42578125" style="8"/>
    <col min="54" max="54" width="9.7109375" style="8" bestFit="1" customWidth="1"/>
    <col min="55" max="16384" width="9.42578125" style="8"/>
  </cols>
  <sheetData>
    <row r="1" spans="1:54" ht="30.7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54" s="214" customFormat="1" ht="12.75" customHeight="1" x14ac:dyDescent="0.2">
      <c r="A2" s="95" t="s">
        <v>7</v>
      </c>
      <c r="B2" s="62">
        <v>242943.41</v>
      </c>
      <c r="C2" s="54">
        <v>0</v>
      </c>
      <c r="D2" s="54">
        <v>226026.5</v>
      </c>
      <c r="E2" s="63"/>
      <c r="F2" s="64">
        <v>107.48448080202985</v>
      </c>
      <c r="G2" s="65">
        <v>251595.44</v>
      </c>
      <c r="H2" s="54">
        <v>304612.58</v>
      </c>
      <c r="I2" s="54">
        <v>241690.87</v>
      </c>
      <c r="J2" s="54">
        <v>242943.41</v>
      </c>
      <c r="K2" s="54">
        <v>19559.54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1040842.3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336780.07</v>
      </c>
      <c r="AH2" s="67">
        <v>262697.62</v>
      </c>
      <c r="AI2" s="67">
        <v>294999.46999999997</v>
      </c>
      <c r="AJ2" s="67">
        <v>226026.5</v>
      </c>
      <c r="AK2" s="67">
        <v>314102.51</v>
      </c>
      <c r="AL2" s="67">
        <v>340622.88</v>
      </c>
      <c r="AM2" s="67">
        <v>294010.77</v>
      </c>
      <c r="AN2" s="67">
        <v>345771.31</v>
      </c>
      <c r="AO2" s="67">
        <v>335569.76</v>
      </c>
      <c r="AP2" s="67">
        <v>329010.39</v>
      </c>
      <c r="AQ2" s="67">
        <v>315182.36</v>
      </c>
      <c r="AR2" s="67">
        <v>327796.75</v>
      </c>
      <c r="AS2" s="68">
        <v>1120503.6599999999</v>
      </c>
      <c r="AT2" s="63"/>
      <c r="AU2" s="63">
        <v>92.890575654166085</v>
      </c>
      <c r="AV2" s="215"/>
      <c r="AW2" s="215"/>
      <c r="AZ2" s="26"/>
      <c r="BB2" s="697">
        <f>+AV2-AW2</f>
        <v>0</v>
      </c>
    </row>
    <row r="3" spans="1:54" ht="12.75" hidden="1" customHeight="1" outlineLevel="1" x14ac:dyDescent="0.2">
      <c r="A3" s="95" t="s">
        <v>160</v>
      </c>
      <c r="B3" s="62">
        <v>61050.83</v>
      </c>
      <c r="C3" s="54">
        <v>0</v>
      </c>
      <c r="D3" s="54">
        <v>60857.57</v>
      </c>
      <c r="E3" s="63"/>
      <c r="F3" s="64">
        <v>100.31756115139004</v>
      </c>
      <c r="G3" s="65">
        <v>70803.14</v>
      </c>
      <c r="H3" s="54">
        <v>79533.039999999994</v>
      </c>
      <c r="I3" s="54">
        <v>77194.05</v>
      </c>
      <c r="J3" s="54">
        <v>61050.83</v>
      </c>
      <c r="K3" s="54">
        <v>0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288581.06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85398.75</v>
      </c>
      <c r="AH3" s="67">
        <v>78405.17</v>
      </c>
      <c r="AI3" s="67">
        <v>85977.55</v>
      </c>
      <c r="AJ3" s="67">
        <v>60857.57</v>
      </c>
      <c r="AK3" s="67">
        <v>65814.33</v>
      </c>
      <c r="AL3" s="67">
        <v>87634.3</v>
      </c>
      <c r="AM3" s="67">
        <v>67712.34</v>
      </c>
      <c r="AN3" s="67">
        <v>69811.66</v>
      </c>
      <c r="AO3" s="67">
        <v>59956.05</v>
      </c>
      <c r="AP3" s="67">
        <v>67751.199999999997</v>
      </c>
      <c r="AQ3" s="67">
        <v>70736.800000000003</v>
      </c>
      <c r="AR3" s="67">
        <v>73884.7</v>
      </c>
      <c r="AS3" s="68">
        <v>310639.03999999998</v>
      </c>
      <c r="AT3" s="63"/>
      <c r="AU3" s="63">
        <v>92.899160388855179</v>
      </c>
    </row>
    <row r="4" spans="1:54" ht="12.75" hidden="1" customHeight="1" outlineLevel="1" x14ac:dyDescent="0.2">
      <c r="A4" s="95" t="s">
        <v>161</v>
      </c>
      <c r="B4" s="62">
        <v>4157.0600000000004</v>
      </c>
      <c r="C4" s="54">
        <v>0</v>
      </c>
      <c r="D4" s="54">
        <v>3647.25</v>
      </c>
      <c r="E4" s="63"/>
      <c r="F4" s="64">
        <v>113.97792857632463</v>
      </c>
      <c r="G4" s="65">
        <v>3968.81</v>
      </c>
      <c r="H4" s="54">
        <v>476.7</v>
      </c>
      <c r="I4" s="54">
        <v>9284.77</v>
      </c>
      <c r="J4" s="54">
        <v>4157.0600000000004</v>
      </c>
      <c r="K4" s="56">
        <v>-2179.5500000000002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17887.34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4552.16</v>
      </c>
      <c r="AH4" s="67">
        <v>3788.91</v>
      </c>
      <c r="AI4" s="67">
        <v>4846.97</v>
      </c>
      <c r="AJ4" s="67">
        <v>3647.25</v>
      </c>
      <c r="AK4" s="67">
        <v>3497.54</v>
      </c>
      <c r="AL4" s="67">
        <v>3984.55</v>
      </c>
      <c r="AM4" s="67">
        <v>3869.41</v>
      </c>
      <c r="AN4" s="67">
        <v>3796.11</v>
      </c>
      <c r="AO4" s="67">
        <v>375.5</v>
      </c>
      <c r="AP4" s="67">
        <v>5245.6</v>
      </c>
      <c r="AQ4" s="67">
        <v>5991.63</v>
      </c>
      <c r="AR4" s="67">
        <v>5201.34</v>
      </c>
      <c r="AS4" s="68">
        <v>16835.29</v>
      </c>
      <c r="AT4" s="63"/>
      <c r="AU4" s="63">
        <v>106.24907560249927</v>
      </c>
    </row>
    <row r="5" spans="1:54" ht="12.75" hidden="1" customHeight="1" outlineLevel="1" x14ac:dyDescent="0.2">
      <c r="A5" s="95" t="s">
        <v>162</v>
      </c>
      <c r="B5" s="62">
        <v>5271.09</v>
      </c>
      <c r="C5" s="54">
        <v>0</v>
      </c>
      <c r="D5" s="54">
        <v>17774.23</v>
      </c>
      <c r="E5" s="63"/>
      <c r="F5" s="64">
        <v>29.65579943547484</v>
      </c>
      <c r="G5" s="65">
        <v>9430.39</v>
      </c>
      <c r="H5" s="54">
        <v>5847.19</v>
      </c>
      <c r="I5" s="54">
        <v>6320.72</v>
      </c>
      <c r="J5" s="54">
        <v>5271.09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26869.39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13180.91</v>
      </c>
      <c r="AH5" s="67">
        <v>8445.8700000000008</v>
      </c>
      <c r="AI5" s="67">
        <v>1005.99</v>
      </c>
      <c r="AJ5" s="67">
        <v>17774.23</v>
      </c>
      <c r="AK5" s="67">
        <v>12556.7</v>
      </c>
      <c r="AL5" s="67">
        <v>6387.82</v>
      </c>
      <c r="AM5" s="67">
        <v>7055.83</v>
      </c>
      <c r="AN5" s="67">
        <v>7694.63</v>
      </c>
      <c r="AO5" s="67">
        <v>13201.18</v>
      </c>
      <c r="AP5" s="67">
        <v>12278.09</v>
      </c>
      <c r="AQ5" s="67">
        <v>5345.99</v>
      </c>
      <c r="AR5" s="67">
        <v>8572.7900000000009</v>
      </c>
      <c r="AS5" s="68">
        <v>40407</v>
      </c>
      <c r="AT5" s="63"/>
      <c r="AU5" s="63">
        <v>66.496869354319799</v>
      </c>
    </row>
    <row r="6" spans="1:54" ht="12.75" hidden="1" customHeight="1" outlineLevel="1" x14ac:dyDescent="0.2">
      <c r="A6" s="95" t="s">
        <v>163</v>
      </c>
      <c r="B6" s="62">
        <v>0</v>
      </c>
      <c r="C6" s="54">
        <v>0</v>
      </c>
      <c r="D6" s="54">
        <v>791.67</v>
      </c>
      <c r="E6" s="63"/>
      <c r="F6" s="64">
        <v>0</v>
      </c>
      <c r="G6" s="65">
        <v>791.67</v>
      </c>
      <c r="H6" s="54">
        <v>791.67</v>
      </c>
      <c r="I6" s="56">
        <v>-1583.34</v>
      </c>
      <c r="J6" s="54">
        <v>0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0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792</v>
      </c>
      <c r="AH6" s="67">
        <v>792</v>
      </c>
      <c r="AI6" s="67">
        <v>792</v>
      </c>
      <c r="AJ6" s="67">
        <v>791.67</v>
      </c>
      <c r="AK6" s="67">
        <v>791.67</v>
      </c>
      <c r="AL6" s="67">
        <v>791.67</v>
      </c>
      <c r="AM6" s="67">
        <v>791.67</v>
      </c>
      <c r="AN6" s="67">
        <v>791.67</v>
      </c>
      <c r="AO6" s="67">
        <v>791.67</v>
      </c>
      <c r="AP6" s="67">
        <v>791.67</v>
      </c>
      <c r="AQ6" s="98">
        <v>-7904.7</v>
      </c>
      <c r="AR6" s="67">
        <v>0</v>
      </c>
      <c r="AS6" s="68">
        <v>3167.67</v>
      </c>
      <c r="AT6" s="63"/>
      <c r="AU6" s="63">
        <v>0</v>
      </c>
    </row>
    <row r="7" spans="1:54" ht="12.75" hidden="1" customHeight="1" outlineLevel="1" x14ac:dyDescent="0.2">
      <c r="A7" s="95" t="s">
        <v>164</v>
      </c>
      <c r="B7" s="62">
        <v>1492.83</v>
      </c>
      <c r="C7" s="54">
        <v>0</v>
      </c>
      <c r="D7" s="54">
        <v>1105.5999999999999</v>
      </c>
      <c r="E7" s="63"/>
      <c r="F7" s="64">
        <v>135.02442112879885</v>
      </c>
      <c r="G7" s="65">
        <v>1401.91</v>
      </c>
      <c r="H7" s="54">
        <v>1492.83</v>
      </c>
      <c r="I7" s="54">
        <v>1492.83</v>
      </c>
      <c r="J7" s="54">
        <v>1492.83</v>
      </c>
      <c r="K7" s="56">
        <v>-188.85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5880.4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111.78</v>
      </c>
      <c r="AH7" s="67">
        <v>2064.6</v>
      </c>
      <c r="AI7" s="67">
        <v>1140.44</v>
      </c>
      <c r="AJ7" s="67">
        <v>1105.5999999999999</v>
      </c>
      <c r="AK7" s="67">
        <v>1105.5999999999999</v>
      </c>
      <c r="AL7" s="67">
        <v>1105.5999999999999</v>
      </c>
      <c r="AM7" s="67">
        <v>1105.5999999999999</v>
      </c>
      <c r="AN7" s="67">
        <v>1105.5999999999999</v>
      </c>
      <c r="AO7" s="67">
        <v>1105.5999999999999</v>
      </c>
      <c r="AP7" s="67">
        <v>1211.04</v>
      </c>
      <c r="AQ7" s="67">
        <v>1211.04</v>
      </c>
      <c r="AR7" s="67">
        <v>1359.72</v>
      </c>
      <c r="AS7" s="68">
        <v>4422.42</v>
      </c>
      <c r="AT7" s="63"/>
      <c r="AU7" s="63">
        <v>132.9679225401477</v>
      </c>
    </row>
    <row r="8" spans="1:54" ht="12.75" hidden="1" customHeight="1" outlineLevel="1" x14ac:dyDescent="0.2">
      <c r="A8" s="95" t="s">
        <v>165</v>
      </c>
      <c r="B8" s="62">
        <v>7609.39</v>
      </c>
      <c r="C8" s="54">
        <v>0</v>
      </c>
      <c r="D8" s="54">
        <v>7298.43</v>
      </c>
      <c r="E8" s="63"/>
      <c r="F8" s="64">
        <v>104.2606423573289</v>
      </c>
      <c r="G8" s="65">
        <v>7646.26</v>
      </c>
      <c r="H8" s="54">
        <v>9214.89</v>
      </c>
      <c r="I8" s="54">
        <v>8146.77</v>
      </c>
      <c r="J8" s="54">
        <v>7609.39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66">
        <v>32617.31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66">
        <v>0</v>
      </c>
      <c r="AG8" s="67">
        <v>8808.0300000000007</v>
      </c>
      <c r="AH8" s="67">
        <v>7478.63</v>
      </c>
      <c r="AI8" s="67">
        <v>8564.61</v>
      </c>
      <c r="AJ8" s="67">
        <v>7298.43</v>
      </c>
      <c r="AK8" s="67">
        <v>7099.43</v>
      </c>
      <c r="AL8" s="67">
        <v>8574.64</v>
      </c>
      <c r="AM8" s="67">
        <v>7326.73</v>
      </c>
      <c r="AN8" s="67">
        <v>7063.37</v>
      </c>
      <c r="AO8" s="67">
        <v>6241.37</v>
      </c>
      <c r="AP8" s="67">
        <v>6845.7</v>
      </c>
      <c r="AQ8" s="67">
        <v>7433.61</v>
      </c>
      <c r="AR8" s="67">
        <v>7389.92</v>
      </c>
      <c r="AS8" s="68">
        <v>32149.7</v>
      </c>
      <c r="AT8" s="63"/>
      <c r="AU8" s="63">
        <v>101.45447702466898</v>
      </c>
    </row>
    <row r="9" spans="1:54" ht="12.75" customHeight="1" collapsed="1" x14ac:dyDescent="0.2">
      <c r="A9" s="69" t="s">
        <v>166</v>
      </c>
      <c r="B9" s="70">
        <v>79581.2</v>
      </c>
      <c r="C9" s="71">
        <v>0</v>
      </c>
      <c r="D9" s="71">
        <v>91474.75</v>
      </c>
      <c r="E9" s="72"/>
      <c r="F9" s="73">
        <v>86.997996714940456</v>
      </c>
      <c r="G9" s="70">
        <v>94042.18</v>
      </c>
      <c r="H9" s="71">
        <v>97356.32</v>
      </c>
      <c r="I9" s="71">
        <v>100855.8</v>
      </c>
      <c r="J9" s="71">
        <v>79581.2</v>
      </c>
      <c r="K9" s="74">
        <v>-2368.4</v>
      </c>
      <c r="L9" s="71">
        <v>0</v>
      </c>
      <c r="M9" s="71">
        <v>0</v>
      </c>
      <c r="N9" s="71">
        <v>0</v>
      </c>
      <c r="O9" s="71">
        <v>0</v>
      </c>
      <c r="P9" s="71">
        <v>0</v>
      </c>
      <c r="Q9" s="71">
        <v>0</v>
      </c>
      <c r="R9" s="71">
        <v>0</v>
      </c>
      <c r="S9" s="71">
        <v>371835.5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0</v>
      </c>
      <c r="AA9" s="71">
        <v>0</v>
      </c>
      <c r="AB9" s="71">
        <v>0</v>
      </c>
      <c r="AC9" s="71">
        <v>0</v>
      </c>
      <c r="AD9" s="71">
        <v>0</v>
      </c>
      <c r="AE9" s="71">
        <v>0</v>
      </c>
      <c r="AF9" s="71">
        <v>0</v>
      </c>
      <c r="AG9" s="75">
        <v>112843.63</v>
      </c>
      <c r="AH9" s="75">
        <v>100975.18</v>
      </c>
      <c r="AI9" s="75">
        <v>102327.56</v>
      </c>
      <c r="AJ9" s="75">
        <v>91474.75</v>
      </c>
      <c r="AK9" s="75">
        <v>90865.27</v>
      </c>
      <c r="AL9" s="75">
        <v>108478.58</v>
      </c>
      <c r="AM9" s="75">
        <v>87861.58</v>
      </c>
      <c r="AN9" s="75">
        <v>90263.039999999994</v>
      </c>
      <c r="AO9" s="75">
        <v>81671.37</v>
      </c>
      <c r="AP9" s="75">
        <v>94123.3</v>
      </c>
      <c r="AQ9" s="75">
        <v>82814.37</v>
      </c>
      <c r="AR9" s="75">
        <v>96408.47</v>
      </c>
      <c r="AS9" s="75">
        <v>407621.12</v>
      </c>
      <c r="AT9" s="72"/>
      <c r="AU9" s="72">
        <v>91.220862157485854</v>
      </c>
      <c r="AV9" s="14"/>
      <c r="AW9" s="14"/>
      <c r="AX9" s="214"/>
    </row>
    <row r="10" spans="1:54" ht="12.75" customHeight="1" x14ac:dyDescent="0.2">
      <c r="A10" s="95" t="s">
        <v>167</v>
      </c>
      <c r="B10" s="62">
        <v>5165.67</v>
      </c>
      <c r="C10" s="54">
        <v>0</v>
      </c>
      <c r="D10" s="54">
        <v>16217.78</v>
      </c>
      <c r="E10" s="63"/>
      <c r="F10" s="64">
        <v>31.851893415744943</v>
      </c>
      <c r="G10" s="65">
        <v>11775.48</v>
      </c>
      <c r="H10" s="54">
        <v>10773.93</v>
      </c>
      <c r="I10" s="54">
        <v>8168.57</v>
      </c>
      <c r="J10" s="54">
        <v>5165.67</v>
      </c>
      <c r="K10" s="56">
        <v>-9509.7800000000007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66">
        <v>35883.65</v>
      </c>
      <c r="T10" s="54">
        <v>0</v>
      </c>
      <c r="U10" s="54">
        <v>0</v>
      </c>
      <c r="V10" s="54">
        <v>0</v>
      </c>
      <c r="W10" s="54">
        <v>0</v>
      </c>
      <c r="X10" s="54">
        <v>0</v>
      </c>
      <c r="Y10" s="54">
        <v>0</v>
      </c>
      <c r="Z10" s="54">
        <v>0</v>
      </c>
      <c r="AA10" s="54">
        <v>0</v>
      </c>
      <c r="AB10" s="54">
        <v>0</v>
      </c>
      <c r="AC10" s="54">
        <v>0</v>
      </c>
      <c r="AD10" s="54">
        <v>0</v>
      </c>
      <c r="AE10" s="54">
        <v>0</v>
      </c>
      <c r="AF10" s="66">
        <v>0</v>
      </c>
      <c r="AG10" s="67">
        <v>15399.29</v>
      </c>
      <c r="AH10" s="67">
        <v>8431.9599999999991</v>
      </c>
      <c r="AI10" s="98">
        <v>-22072.36</v>
      </c>
      <c r="AJ10" s="67">
        <v>16217.78</v>
      </c>
      <c r="AK10" s="67">
        <v>3823.18</v>
      </c>
      <c r="AL10" s="67">
        <v>31215.17</v>
      </c>
      <c r="AM10" s="67">
        <v>59650.3</v>
      </c>
      <c r="AN10" s="67">
        <v>1984.28</v>
      </c>
      <c r="AO10" s="67">
        <v>19900.09</v>
      </c>
      <c r="AP10" s="67">
        <v>8503.06</v>
      </c>
      <c r="AQ10" s="67">
        <v>11939.57</v>
      </c>
      <c r="AR10" s="67">
        <v>22073.65</v>
      </c>
      <c r="AS10" s="68">
        <v>17976.669999999998</v>
      </c>
      <c r="AT10" s="63"/>
      <c r="AU10" s="63">
        <v>199.61233087106788</v>
      </c>
    </row>
    <row r="11" spans="1:54" ht="12.75" customHeight="1" x14ac:dyDescent="0.2">
      <c r="A11" s="95" t="s">
        <v>168</v>
      </c>
      <c r="B11" s="62">
        <v>2265.54</v>
      </c>
      <c r="C11" s="54">
        <v>0</v>
      </c>
      <c r="D11" s="54">
        <v>4075.04</v>
      </c>
      <c r="E11" s="63"/>
      <c r="F11" s="64">
        <v>55.59552789665868</v>
      </c>
      <c r="G11" s="65">
        <v>793.47</v>
      </c>
      <c r="H11" s="54">
        <v>18410.91</v>
      </c>
      <c r="I11" s="54">
        <v>11364.48</v>
      </c>
      <c r="J11" s="54">
        <v>2265.54</v>
      </c>
      <c r="K11" s="54">
        <v>0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66">
        <v>32834.400000000001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0</v>
      </c>
      <c r="AC11" s="54">
        <v>0</v>
      </c>
      <c r="AD11" s="54">
        <v>0</v>
      </c>
      <c r="AE11" s="54">
        <v>0</v>
      </c>
      <c r="AF11" s="66">
        <v>0</v>
      </c>
      <c r="AG11" s="67">
        <v>4995.1400000000003</v>
      </c>
      <c r="AH11" s="67">
        <v>10828.65</v>
      </c>
      <c r="AI11" s="67">
        <v>4540.04</v>
      </c>
      <c r="AJ11" s="67">
        <v>4075.04</v>
      </c>
      <c r="AK11" s="67">
        <v>11236.14</v>
      </c>
      <c r="AL11" s="67">
        <v>5885.73</v>
      </c>
      <c r="AM11" s="98">
        <v>-11059.59</v>
      </c>
      <c r="AN11" s="67">
        <v>8695.73</v>
      </c>
      <c r="AO11" s="67">
        <v>11756.17</v>
      </c>
      <c r="AP11" s="67">
        <v>8096.2</v>
      </c>
      <c r="AQ11" s="67">
        <v>11585.08</v>
      </c>
      <c r="AR11" s="98">
        <v>-14673.65</v>
      </c>
      <c r="AS11" s="68">
        <v>24438.87</v>
      </c>
      <c r="AT11" s="63"/>
      <c r="AU11" s="63">
        <v>134.35318408748032</v>
      </c>
    </row>
    <row r="12" spans="1:54" ht="12.75" customHeight="1" x14ac:dyDescent="0.2">
      <c r="A12" s="95" t="s">
        <v>169</v>
      </c>
      <c r="B12" s="62">
        <v>3681.28</v>
      </c>
      <c r="C12" s="54">
        <v>0</v>
      </c>
      <c r="D12" s="54">
        <v>5300.19</v>
      </c>
      <c r="E12" s="63"/>
      <c r="F12" s="64">
        <v>69.455623288976426</v>
      </c>
      <c r="G12" s="65">
        <v>4701.1899999999996</v>
      </c>
      <c r="H12" s="54">
        <v>8022.01</v>
      </c>
      <c r="I12" s="54">
        <v>6407.73</v>
      </c>
      <c r="J12" s="54">
        <v>3681.28</v>
      </c>
      <c r="K12" s="54">
        <v>0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66">
        <v>22812.21</v>
      </c>
      <c r="T12" s="54">
        <v>0</v>
      </c>
      <c r="U12" s="54">
        <v>0</v>
      </c>
      <c r="V12" s="54">
        <v>0</v>
      </c>
      <c r="W12" s="54">
        <v>0</v>
      </c>
      <c r="X12" s="54">
        <v>0</v>
      </c>
      <c r="Y12" s="54">
        <v>0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66">
        <v>0</v>
      </c>
      <c r="AG12" s="67">
        <v>5889.28</v>
      </c>
      <c r="AH12" s="67">
        <v>4307.4399999999996</v>
      </c>
      <c r="AI12" s="67">
        <v>6825.31</v>
      </c>
      <c r="AJ12" s="67">
        <v>5300.19</v>
      </c>
      <c r="AK12" s="67">
        <v>16147.94</v>
      </c>
      <c r="AL12" s="67">
        <v>7714.73</v>
      </c>
      <c r="AM12" s="67">
        <v>3024.46</v>
      </c>
      <c r="AN12" s="67">
        <v>12618.74</v>
      </c>
      <c r="AO12" s="67">
        <v>7201.69</v>
      </c>
      <c r="AP12" s="67">
        <v>5492.28</v>
      </c>
      <c r="AQ12" s="67">
        <v>10149.09</v>
      </c>
      <c r="AR12" s="67">
        <v>2154.2399999999998</v>
      </c>
      <c r="AS12" s="68">
        <v>22322.22</v>
      </c>
      <c r="AT12" s="63"/>
      <c r="AU12" s="63">
        <v>102.19507737133672</v>
      </c>
    </row>
    <row r="13" spans="1:54" ht="12.75" customHeight="1" x14ac:dyDescent="0.2">
      <c r="A13" s="95" t="s">
        <v>50</v>
      </c>
      <c r="B13" s="62">
        <v>0</v>
      </c>
      <c r="C13" s="54">
        <v>0</v>
      </c>
      <c r="D13" s="54">
        <v>59.4</v>
      </c>
      <c r="E13" s="63"/>
      <c r="F13" s="64">
        <v>0</v>
      </c>
      <c r="G13" s="65">
        <v>64.91</v>
      </c>
      <c r="H13" s="54">
        <v>0</v>
      </c>
      <c r="I13" s="54">
        <v>0</v>
      </c>
      <c r="J13" s="54">
        <v>0</v>
      </c>
      <c r="K13" s="54">
        <v>0</v>
      </c>
      <c r="L13" s="54">
        <v>0</v>
      </c>
      <c r="M13" s="54">
        <v>0</v>
      </c>
      <c r="N13" s="54">
        <v>0</v>
      </c>
      <c r="O13" s="54">
        <v>0</v>
      </c>
      <c r="P13" s="54">
        <v>0</v>
      </c>
      <c r="Q13" s="54">
        <v>0</v>
      </c>
      <c r="R13" s="54">
        <v>0</v>
      </c>
      <c r="S13" s="66">
        <v>64.91</v>
      </c>
      <c r="T13" s="54">
        <v>0</v>
      </c>
      <c r="U13" s="54">
        <v>0</v>
      </c>
      <c r="V13" s="54">
        <v>0</v>
      </c>
      <c r="W13" s="54">
        <v>0</v>
      </c>
      <c r="X13" s="54">
        <v>0</v>
      </c>
      <c r="Y13" s="54">
        <v>0</v>
      </c>
      <c r="Z13" s="54">
        <v>0</v>
      </c>
      <c r="AA13" s="54">
        <v>0</v>
      </c>
      <c r="AB13" s="54">
        <v>0</v>
      </c>
      <c r="AC13" s="54">
        <v>0</v>
      </c>
      <c r="AD13" s="54">
        <v>0</v>
      </c>
      <c r="AE13" s="54">
        <v>0</v>
      </c>
      <c r="AF13" s="66">
        <v>0</v>
      </c>
      <c r="AG13" s="67">
        <v>51.09</v>
      </c>
      <c r="AH13" s="67">
        <v>0</v>
      </c>
      <c r="AI13" s="98">
        <v>-6.89</v>
      </c>
      <c r="AJ13" s="67">
        <v>59.4</v>
      </c>
      <c r="AK13" s="67">
        <v>179.79</v>
      </c>
      <c r="AL13" s="67">
        <v>0</v>
      </c>
      <c r="AM13" s="67">
        <v>404.98</v>
      </c>
      <c r="AN13" s="67">
        <v>70.319999999999993</v>
      </c>
      <c r="AO13" s="67">
        <v>469.83</v>
      </c>
      <c r="AP13" s="67">
        <v>0</v>
      </c>
      <c r="AQ13" s="67">
        <v>0</v>
      </c>
      <c r="AR13" s="67">
        <v>15.45</v>
      </c>
      <c r="AS13" s="68">
        <v>103.6</v>
      </c>
      <c r="AT13" s="63"/>
      <c r="AU13" s="63">
        <v>62.654440154440152</v>
      </c>
    </row>
    <row r="14" spans="1:54" ht="12.75" customHeight="1" x14ac:dyDescent="0.2">
      <c r="A14" s="95" t="s">
        <v>170</v>
      </c>
      <c r="B14" s="62">
        <v>28838.67</v>
      </c>
      <c r="C14" s="54">
        <v>0</v>
      </c>
      <c r="D14" s="54">
        <v>57572.56</v>
      </c>
      <c r="E14" s="63"/>
      <c r="F14" s="64">
        <v>50.090998211648049</v>
      </c>
      <c r="G14" s="65">
        <v>58635.519999999997</v>
      </c>
      <c r="H14" s="54">
        <v>119602.52</v>
      </c>
      <c r="I14" s="54">
        <v>71232.28</v>
      </c>
      <c r="J14" s="54">
        <v>28838.67</v>
      </c>
      <c r="K14" s="56">
        <v>-32762.78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278308.99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67">
        <v>68377.09</v>
      </c>
      <c r="AH14" s="67">
        <v>90657.87</v>
      </c>
      <c r="AI14" s="67">
        <v>63059.74</v>
      </c>
      <c r="AJ14" s="67">
        <v>57572.56</v>
      </c>
      <c r="AK14" s="67">
        <v>76762.960000000006</v>
      </c>
      <c r="AL14" s="67">
        <v>78957.64</v>
      </c>
      <c r="AM14" s="67">
        <v>60407.74</v>
      </c>
      <c r="AN14" s="67">
        <v>79537.740000000005</v>
      </c>
      <c r="AO14" s="67">
        <v>88340.86</v>
      </c>
      <c r="AP14" s="67">
        <v>106567.7</v>
      </c>
      <c r="AQ14" s="67">
        <v>103004.34</v>
      </c>
      <c r="AR14" s="67">
        <v>87680.92</v>
      </c>
      <c r="AS14" s="68">
        <v>279667.26</v>
      </c>
      <c r="AT14" s="63"/>
      <c r="AU14" s="63">
        <v>99.514326417758014</v>
      </c>
    </row>
    <row r="15" spans="1:54" ht="12.75" customHeight="1" x14ac:dyDescent="0.2">
      <c r="A15" s="95" t="s">
        <v>171</v>
      </c>
      <c r="B15" s="62">
        <v>7670.66</v>
      </c>
      <c r="C15" s="54">
        <v>0</v>
      </c>
      <c r="D15" s="54">
        <v>11529.59</v>
      </c>
      <c r="E15" s="63"/>
      <c r="F15" s="64">
        <v>66.530206191200207</v>
      </c>
      <c r="G15" s="65">
        <v>6475.49</v>
      </c>
      <c r="H15" s="54">
        <v>7130.32</v>
      </c>
      <c r="I15" s="54">
        <v>8771.77</v>
      </c>
      <c r="J15" s="54">
        <v>7670.66</v>
      </c>
      <c r="K15" s="54">
        <v>564.33000000000004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66">
        <v>30048.240000000002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66">
        <v>0</v>
      </c>
      <c r="AG15" s="67">
        <v>6042.46</v>
      </c>
      <c r="AH15" s="67">
        <v>15310.8</v>
      </c>
      <c r="AI15" s="67">
        <v>9011.39</v>
      </c>
      <c r="AJ15" s="67">
        <v>11529.59</v>
      </c>
      <c r="AK15" s="67">
        <v>10950.51</v>
      </c>
      <c r="AL15" s="67">
        <v>959.64</v>
      </c>
      <c r="AM15" s="67">
        <v>3403.54</v>
      </c>
      <c r="AN15" s="67">
        <v>12083.92</v>
      </c>
      <c r="AO15" s="67">
        <v>1726.53</v>
      </c>
      <c r="AP15" s="67">
        <v>1371.18</v>
      </c>
      <c r="AQ15" s="67">
        <v>7571.02</v>
      </c>
      <c r="AR15" s="67">
        <v>5460.23</v>
      </c>
      <c r="AS15" s="68">
        <v>41894.239999999998</v>
      </c>
      <c r="AT15" s="63"/>
      <c r="AU15" s="63">
        <v>71.724036526262324</v>
      </c>
    </row>
    <row r="16" spans="1:54" ht="12.75" customHeight="1" x14ac:dyDescent="0.2">
      <c r="A16" s="95" t="s">
        <v>172</v>
      </c>
      <c r="B16" s="62">
        <v>0</v>
      </c>
      <c r="C16" s="54">
        <v>0</v>
      </c>
      <c r="D16" s="54">
        <v>215.1</v>
      </c>
      <c r="E16" s="63"/>
      <c r="F16" s="64">
        <v>0</v>
      </c>
      <c r="G16" s="65">
        <v>0</v>
      </c>
      <c r="H16" s="54">
        <v>628.70000000000005</v>
      </c>
      <c r="I16" s="54">
        <v>259.22000000000003</v>
      </c>
      <c r="J16" s="54">
        <v>0</v>
      </c>
      <c r="K16" s="54"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66">
        <v>887.92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>
        <v>165.18</v>
      </c>
      <c r="AH16" s="67">
        <v>362.79</v>
      </c>
      <c r="AI16" s="67">
        <v>238.18</v>
      </c>
      <c r="AJ16" s="67">
        <v>215.1</v>
      </c>
      <c r="AK16" s="67">
        <v>0</v>
      </c>
      <c r="AL16" s="67">
        <v>244.14</v>
      </c>
      <c r="AM16" s="67">
        <v>196.72</v>
      </c>
      <c r="AN16" s="67">
        <v>155.41999999999999</v>
      </c>
      <c r="AO16" s="67">
        <v>611.98</v>
      </c>
      <c r="AP16" s="67">
        <v>0</v>
      </c>
      <c r="AQ16" s="67">
        <v>0</v>
      </c>
      <c r="AR16" s="67">
        <v>1042.3</v>
      </c>
      <c r="AS16" s="68">
        <v>981.25</v>
      </c>
      <c r="AT16" s="63"/>
      <c r="AU16" s="63">
        <v>90.48866242038217</v>
      </c>
    </row>
    <row r="17" spans="1:47" ht="12.75" customHeight="1" x14ac:dyDescent="0.2">
      <c r="A17" s="95" t="s">
        <v>173</v>
      </c>
      <c r="B17" s="62">
        <v>14513.22</v>
      </c>
      <c r="C17" s="54">
        <v>0</v>
      </c>
      <c r="D17" s="54">
        <v>21257.14</v>
      </c>
      <c r="E17" s="63"/>
      <c r="F17" s="64">
        <v>68.274565628301829</v>
      </c>
      <c r="G17" s="65">
        <v>14740.24</v>
      </c>
      <c r="H17" s="54">
        <v>14520.71</v>
      </c>
      <c r="I17" s="54">
        <v>14520.58</v>
      </c>
      <c r="J17" s="54">
        <v>14513.22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58294.75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20132.43</v>
      </c>
      <c r="AH17" s="67">
        <v>20132.5</v>
      </c>
      <c r="AI17" s="67">
        <v>17404.939999999999</v>
      </c>
      <c r="AJ17" s="67">
        <v>21257.14</v>
      </c>
      <c r="AK17" s="67">
        <v>19440.23</v>
      </c>
      <c r="AL17" s="67">
        <v>15417.11</v>
      </c>
      <c r="AM17" s="67">
        <v>14152.6</v>
      </c>
      <c r="AN17" s="67">
        <v>14066.05</v>
      </c>
      <c r="AO17" s="67">
        <v>13771.79</v>
      </c>
      <c r="AP17" s="67">
        <v>13771.85</v>
      </c>
      <c r="AQ17" s="67">
        <v>13771.91</v>
      </c>
      <c r="AR17" s="67">
        <v>15965.93</v>
      </c>
      <c r="AS17" s="68">
        <v>78927.009999999995</v>
      </c>
      <c r="AT17" s="63"/>
      <c r="AU17" s="63">
        <v>73.859062949426317</v>
      </c>
    </row>
    <row r="18" spans="1:47" ht="13.5" customHeight="1" x14ac:dyDescent="0.2">
      <c r="A18" s="95" t="s">
        <v>257</v>
      </c>
      <c r="B18" s="62">
        <v>7020.99</v>
      </c>
      <c r="C18" s="54">
        <v>0</v>
      </c>
      <c r="D18" s="54">
        <v>6584.42</v>
      </c>
      <c r="E18" s="63"/>
      <c r="F18" s="64">
        <v>106.63034861081158</v>
      </c>
      <c r="G18" s="65">
        <v>7123.33</v>
      </c>
      <c r="H18" s="54">
        <v>7123.33</v>
      </c>
      <c r="I18" s="54">
        <v>7119.12</v>
      </c>
      <c r="J18" s="54">
        <v>7020.99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28386.77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8599.08</v>
      </c>
      <c r="AH18" s="67">
        <v>8599.08</v>
      </c>
      <c r="AI18" s="67">
        <v>5466.8</v>
      </c>
      <c r="AJ18" s="67">
        <v>6584.42</v>
      </c>
      <c r="AK18" s="67">
        <v>6851.96</v>
      </c>
      <c r="AL18" s="67">
        <v>6843.14</v>
      </c>
      <c r="AM18" s="67">
        <v>6843.1</v>
      </c>
      <c r="AN18" s="67">
        <v>6828.7</v>
      </c>
      <c r="AO18" s="67">
        <v>6837.94</v>
      </c>
      <c r="AP18" s="67">
        <v>7008.22</v>
      </c>
      <c r="AQ18" s="67">
        <v>6923.47</v>
      </c>
      <c r="AR18" s="67">
        <v>7309.85</v>
      </c>
      <c r="AS18" s="68">
        <v>29249.38</v>
      </c>
      <c r="AT18" s="63"/>
      <c r="AU18" s="63">
        <v>97.050843470870149</v>
      </c>
    </row>
    <row r="19" spans="1:47" ht="12.75" hidden="1" customHeight="1" outlineLevel="1" x14ac:dyDescent="0.2">
      <c r="A19" s="95" t="s">
        <v>109</v>
      </c>
      <c r="B19" s="62">
        <v>753.15</v>
      </c>
      <c r="C19" s="54">
        <v>0</v>
      </c>
      <c r="D19" s="54">
        <v>0</v>
      </c>
      <c r="E19" s="63"/>
      <c r="F19" s="64"/>
      <c r="G19" s="65">
        <v>753.15</v>
      </c>
      <c r="H19" s="54">
        <v>1355.15</v>
      </c>
      <c r="I19" s="54">
        <v>753.15</v>
      </c>
      <c r="J19" s="54">
        <v>753.15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3614.6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2132</v>
      </c>
      <c r="AH19" s="67">
        <v>436.36</v>
      </c>
      <c r="AI19" s="67">
        <v>2750</v>
      </c>
      <c r="AJ19" s="67">
        <v>0</v>
      </c>
      <c r="AK19" s="67">
        <v>629</v>
      </c>
      <c r="AL19" s="67">
        <v>3153.74</v>
      </c>
      <c r="AM19" s="67">
        <v>0</v>
      </c>
      <c r="AN19" s="67">
        <v>276</v>
      </c>
      <c r="AO19" s="67">
        <v>0</v>
      </c>
      <c r="AP19" s="67">
        <v>0</v>
      </c>
      <c r="AQ19" s="67">
        <v>753.15</v>
      </c>
      <c r="AR19" s="67">
        <v>2137.4299999999998</v>
      </c>
      <c r="AS19" s="68">
        <v>5318.36</v>
      </c>
      <c r="AT19" s="63"/>
      <c r="AU19" s="63">
        <v>67.964560503613896</v>
      </c>
    </row>
    <row r="20" spans="1:47" ht="12.75" hidden="1" customHeight="1" outlineLevel="1" x14ac:dyDescent="0.2">
      <c r="A20" s="95" t="s">
        <v>97</v>
      </c>
      <c r="B20" s="62">
        <v>271</v>
      </c>
      <c r="C20" s="54">
        <v>0</v>
      </c>
      <c r="D20" s="54">
        <v>271</v>
      </c>
      <c r="E20" s="63"/>
      <c r="F20" s="64">
        <v>100</v>
      </c>
      <c r="G20" s="65">
        <v>271</v>
      </c>
      <c r="H20" s="54">
        <v>271</v>
      </c>
      <c r="I20" s="54">
        <v>271</v>
      </c>
      <c r="J20" s="54">
        <v>271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66">
        <v>1084</v>
      </c>
      <c r="T20" s="54">
        <v>0</v>
      </c>
      <c r="U20" s="54">
        <v>0</v>
      </c>
      <c r="V20" s="54">
        <v>0</v>
      </c>
      <c r="W20" s="54">
        <v>0</v>
      </c>
      <c r="X20" s="54">
        <v>0</v>
      </c>
      <c r="Y20" s="54">
        <v>0</v>
      </c>
      <c r="Z20" s="54">
        <v>0</v>
      </c>
      <c r="AA20" s="54">
        <v>0</v>
      </c>
      <c r="AB20" s="54">
        <v>0</v>
      </c>
      <c r="AC20" s="54">
        <v>0</v>
      </c>
      <c r="AD20" s="54">
        <v>0</v>
      </c>
      <c r="AE20" s="54">
        <v>0</v>
      </c>
      <c r="AF20" s="66">
        <v>0</v>
      </c>
      <c r="AG20" s="67">
        <v>210</v>
      </c>
      <c r="AH20" s="67">
        <v>210</v>
      </c>
      <c r="AI20" s="67">
        <v>387.41</v>
      </c>
      <c r="AJ20" s="67">
        <v>271</v>
      </c>
      <c r="AK20" s="67">
        <v>94.26</v>
      </c>
      <c r="AL20" s="67">
        <v>271</v>
      </c>
      <c r="AM20" s="67">
        <v>271</v>
      </c>
      <c r="AN20" s="67">
        <v>271</v>
      </c>
      <c r="AO20" s="67">
        <v>271</v>
      </c>
      <c r="AP20" s="67">
        <v>271</v>
      </c>
      <c r="AQ20" s="67">
        <v>271</v>
      </c>
      <c r="AR20" s="67">
        <v>271</v>
      </c>
      <c r="AS20" s="68">
        <v>1078.4100000000001</v>
      </c>
      <c r="AT20" s="63"/>
      <c r="AU20" s="63">
        <v>100.51835572741351</v>
      </c>
    </row>
    <row r="21" spans="1:47" ht="12.75" hidden="1" customHeight="1" outlineLevel="1" x14ac:dyDescent="0.2">
      <c r="A21" s="95" t="s">
        <v>69</v>
      </c>
      <c r="B21" s="62">
        <v>9046.86</v>
      </c>
      <c r="C21" s="54">
        <v>0</v>
      </c>
      <c r="D21" s="54">
        <v>4696.83</v>
      </c>
      <c r="E21" s="63"/>
      <c r="F21" s="64">
        <v>192.61629652339982</v>
      </c>
      <c r="G21" s="65">
        <v>13764</v>
      </c>
      <c r="H21" s="54">
        <v>12583.32</v>
      </c>
      <c r="I21" s="54">
        <v>15174.41</v>
      </c>
      <c r="J21" s="54">
        <v>9046.86</v>
      </c>
      <c r="K21" s="56">
        <v>-885.14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66">
        <v>50568.59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4">
        <v>0</v>
      </c>
      <c r="AB21" s="54">
        <v>0</v>
      </c>
      <c r="AC21" s="54">
        <v>0</v>
      </c>
      <c r="AD21" s="54">
        <v>0</v>
      </c>
      <c r="AE21" s="54">
        <v>0</v>
      </c>
      <c r="AF21" s="66">
        <v>0</v>
      </c>
      <c r="AG21" s="67">
        <v>15733</v>
      </c>
      <c r="AH21" s="67">
        <v>6862.04</v>
      </c>
      <c r="AI21" s="67">
        <v>9568.19</v>
      </c>
      <c r="AJ21" s="67">
        <v>4696.83</v>
      </c>
      <c r="AK21" s="67">
        <v>8991.43</v>
      </c>
      <c r="AL21" s="67">
        <v>10234.68</v>
      </c>
      <c r="AM21" s="67">
        <v>10307.09</v>
      </c>
      <c r="AN21" s="67">
        <v>9094.7800000000007</v>
      </c>
      <c r="AO21" s="67">
        <v>12009.01</v>
      </c>
      <c r="AP21" s="67">
        <v>4423.71</v>
      </c>
      <c r="AQ21" s="67">
        <v>8470.84</v>
      </c>
      <c r="AR21" s="67">
        <v>16363.86</v>
      </c>
      <c r="AS21" s="68">
        <v>36860.06</v>
      </c>
      <c r="AT21" s="63"/>
      <c r="AU21" s="63">
        <v>137.19074250014785</v>
      </c>
    </row>
    <row r="22" spans="1:47" ht="12.75" customHeight="1" collapsed="1" x14ac:dyDescent="0.2">
      <c r="A22" s="69" t="s">
        <v>70</v>
      </c>
      <c r="B22" s="70">
        <v>10071.01</v>
      </c>
      <c r="C22" s="71">
        <v>0</v>
      </c>
      <c r="D22" s="71">
        <v>4967.83</v>
      </c>
      <c r="E22" s="72"/>
      <c r="F22" s="73">
        <v>202.72452962359824</v>
      </c>
      <c r="G22" s="70">
        <v>14788.15</v>
      </c>
      <c r="H22" s="71">
        <v>14209.47</v>
      </c>
      <c r="I22" s="71">
        <v>16198.56</v>
      </c>
      <c r="J22" s="71">
        <v>10071.01</v>
      </c>
      <c r="K22" s="74">
        <v>-885.14</v>
      </c>
      <c r="L22" s="71">
        <v>0</v>
      </c>
      <c r="M22" s="71">
        <v>0</v>
      </c>
      <c r="N22" s="71">
        <v>0</v>
      </c>
      <c r="O22" s="71">
        <v>0</v>
      </c>
      <c r="P22" s="71">
        <v>0</v>
      </c>
      <c r="Q22" s="71">
        <v>0</v>
      </c>
      <c r="R22" s="71">
        <v>0</v>
      </c>
      <c r="S22" s="71">
        <v>55267.19</v>
      </c>
      <c r="T22" s="71">
        <v>0</v>
      </c>
      <c r="U22" s="71">
        <v>0</v>
      </c>
      <c r="V22" s="71">
        <v>0</v>
      </c>
      <c r="W22" s="71">
        <v>0</v>
      </c>
      <c r="X22" s="71">
        <v>0</v>
      </c>
      <c r="Y22" s="71">
        <v>0</v>
      </c>
      <c r="Z22" s="71">
        <v>0</v>
      </c>
      <c r="AA22" s="71">
        <v>0</v>
      </c>
      <c r="AB22" s="71">
        <v>0</v>
      </c>
      <c r="AC22" s="71">
        <v>0</v>
      </c>
      <c r="AD22" s="71">
        <v>0</v>
      </c>
      <c r="AE22" s="71">
        <v>0</v>
      </c>
      <c r="AF22" s="71">
        <v>0</v>
      </c>
      <c r="AG22" s="75">
        <v>18075</v>
      </c>
      <c r="AH22" s="75">
        <v>7508.4</v>
      </c>
      <c r="AI22" s="75">
        <v>12705.6</v>
      </c>
      <c r="AJ22" s="75">
        <v>4967.83</v>
      </c>
      <c r="AK22" s="75">
        <v>9714.69</v>
      </c>
      <c r="AL22" s="75">
        <v>13659.42</v>
      </c>
      <c r="AM22" s="75">
        <v>10578.09</v>
      </c>
      <c r="AN22" s="75">
        <v>9641.7800000000007</v>
      </c>
      <c r="AO22" s="75">
        <v>12280.01</v>
      </c>
      <c r="AP22" s="75">
        <v>4694.71</v>
      </c>
      <c r="AQ22" s="75">
        <v>9494.99</v>
      </c>
      <c r="AR22" s="75">
        <v>18772.29</v>
      </c>
      <c r="AS22" s="75">
        <v>43256.83</v>
      </c>
      <c r="AT22" s="72"/>
      <c r="AU22" s="72">
        <v>127.7652338370611</v>
      </c>
    </row>
    <row r="23" spans="1:47" ht="12.75" hidden="1" customHeight="1" outlineLevel="1" x14ac:dyDescent="0.2">
      <c r="A23" s="95" t="s">
        <v>174</v>
      </c>
      <c r="B23" s="62">
        <v>0</v>
      </c>
      <c r="C23" s="54">
        <v>0</v>
      </c>
      <c r="D23" s="54">
        <v>0</v>
      </c>
      <c r="E23" s="63"/>
      <c r="F23" s="64"/>
      <c r="G23" s="65">
        <v>0</v>
      </c>
      <c r="H23" s="54">
        <v>0</v>
      </c>
      <c r="I23" s="54">
        <v>0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0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0</v>
      </c>
      <c r="AH23" s="67">
        <v>21.2</v>
      </c>
      <c r="AI23" s="98">
        <v>-21.2</v>
      </c>
      <c r="AJ23" s="67">
        <v>0</v>
      </c>
      <c r="AK23" s="67">
        <v>0</v>
      </c>
      <c r="AL23" s="67">
        <v>0</v>
      </c>
      <c r="AM23" s="67">
        <v>0</v>
      </c>
      <c r="AN23" s="67">
        <v>0</v>
      </c>
      <c r="AO23" s="67">
        <v>0</v>
      </c>
      <c r="AP23" s="67">
        <v>0</v>
      </c>
      <c r="AQ23" s="67">
        <v>0</v>
      </c>
      <c r="AR23" s="67">
        <v>0</v>
      </c>
      <c r="AS23" s="68">
        <v>0</v>
      </c>
      <c r="AT23" s="63"/>
      <c r="AU23" s="63"/>
    </row>
    <row r="24" spans="1:47" ht="12.75" hidden="1" customHeight="1" outlineLevel="1" x14ac:dyDescent="0.2">
      <c r="A24" s="95" t="s">
        <v>99</v>
      </c>
      <c r="B24" s="62">
        <v>3838.25</v>
      </c>
      <c r="C24" s="54">
        <v>0</v>
      </c>
      <c r="D24" s="54">
        <v>4355.6499999999996</v>
      </c>
      <c r="E24" s="63"/>
      <c r="F24" s="64">
        <v>88.121175943888971</v>
      </c>
      <c r="G24" s="65">
        <v>6807.49</v>
      </c>
      <c r="H24" s="54">
        <v>6620.15</v>
      </c>
      <c r="I24" s="54">
        <v>3421.15</v>
      </c>
      <c r="J24" s="54">
        <v>3838.25</v>
      </c>
      <c r="K24" s="56">
        <v>-3314.92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20687.04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3832.55</v>
      </c>
      <c r="AH24" s="67">
        <v>4509.3999999999996</v>
      </c>
      <c r="AI24" s="67">
        <v>1883.45</v>
      </c>
      <c r="AJ24" s="67">
        <v>4355.6499999999996</v>
      </c>
      <c r="AK24" s="67">
        <v>6394.07</v>
      </c>
      <c r="AL24" s="67">
        <v>231.44</v>
      </c>
      <c r="AM24" s="67">
        <v>275.77</v>
      </c>
      <c r="AN24" s="67">
        <v>7561.77</v>
      </c>
      <c r="AO24" s="67">
        <v>5347.41</v>
      </c>
      <c r="AP24" s="67">
        <v>0</v>
      </c>
      <c r="AQ24" s="67">
        <v>6654.19</v>
      </c>
      <c r="AR24" s="67">
        <v>0</v>
      </c>
      <c r="AS24" s="68">
        <v>14581.05</v>
      </c>
      <c r="AT24" s="63"/>
      <c r="AU24" s="63">
        <v>141.87620233110783</v>
      </c>
    </row>
    <row r="25" spans="1:47" ht="12.75" hidden="1" customHeight="1" outlineLevel="1" x14ac:dyDescent="0.2">
      <c r="A25" s="95" t="s">
        <v>175</v>
      </c>
      <c r="B25" s="62">
        <v>0</v>
      </c>
      <c r="C25" s="54">
        <v>0</v>
      </c>
      <c r="D25" s="54">
        <v>0</v>
      </c>
      <c r="E25" s="63"/>
      <c r="F25" s="64"/>
      <c r="G25" s="65">
        <v>0</v>
      </c>
      <c r="H25" s="54">
        <v>0</v>
      </c>
      <c r="I25" s="54">
        <v>0</v>
      </c>
      <c r="J25" s="54">
        <v>0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0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0</v>
      </c>
      <c r="AH25" s="67">
        <v>29.87</v>
      </c>
      <c r="AI25" s="98">
        <v>-29.87</v>
      </c>
      <c r="AJ25" s="67">
        <v>0</v>
      </c>
      <c r="AK25" s="67">
        <v>0</v>
      </c>
      <c r="AL25" s="67">
        <v>0</v>
      </c>
      <c r="AM25" s="67">
        <v>0</v>
      </c>
      <c r="AN25" s="67">
        <v>0</v>
      </c>
      <c r="AO25" s="67">
        <v>0</v>
      </c>
      <c r="AP25" s="67">
        <v>0</v>
      </c>
      <c r="AQ25" s="67">
        <v>0</v>
      </c>
      <c r="AR25" s="67">
        <v>0</v>
      </c>
      <c r="AS25" s="68">
        <v>0</v>
      </c>
      <c r="AT25" s="63"/>
      <c r="AU25" s="63"/>
    </row>
    <row r="26" spans="1:47" ht="12.75" hidden="1" customHeight="1" outlineLevel="1" x14ac:dyDescent="0.2">
      <c r="A26" s="95" t="s">
        <v>100</v>
      </c>
      <c r="B26" s="62">
        <v>1719.76</v>
      </c>
      <c r="C26" s="54">
        <v>0</v>
      </c>
      <c r="D26" s="54">
        <v>2462.02</v>
      </c>
      <c r="E26" s="63"/>
      <c r="F26" s="64">
        <v>69.851585283628893</v>
      </c>
      <c r="G26" s="65">
        <v>9532.89</v>
      </c>
      <c r="H26" s="54">
        <v>2428.48</v>
      </c>
      <c r="I26" s="54">
        <v>1716.23</v>
      </c>
      <c r="J26" s="54">
        <v>1719.76</v>
      </c>
      <c r="K26" s="56">
        <v>-3350.48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15397.36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3036.71</v>
      </c>
      <c r="AH26" s="67">
        <v>1920.71</v>
      </c>
      <c r="AI26" s="67">
        <v>568.41999999999996</v>
      </c>
      <c r="AJ26" s="67">
        <v>2462.02</v>
      </c>
      <c r="AK26" s="67">
        <v>2371.79</v>
      </c>
      <c r="AL26" s="67">
        <v>1708.57</v>
      </c>
      <c r="AM26" s="67">
        <v>1283.4100000000001</v>
      </c>
      <c r="AN26" s="67">
        <v>2437.52</v>
      </c>
      <c r="AO26" s="67">
        <v>1824.2</v>
      </c>
      <c r="AP26" s="67">
        <v>2999.66</v>
      </c>
      <c r="AQ26" s="67">
        <v>2116.33</v>
      </c>
      <c r="AR26" s="98">
        <v>-6474.97</v>
      </c>
      <c r="AS26" s="68">
        <v>7987.86</v>
      </c>
      <c r="AT26" s="63"/>
      <c r="AU26" s="63">
        <v>192.75951256031027</v>
      </c>
    </row>
    <row r="27" spans="1:47" ht="12.75" hidden="1" customHeight="1" outlineLevel="1" x14ac:dyDescent="0.2">
      <c r="A27" s="95" t="s">
        <v>101</v>
      </c>
      <c r="B27" s="62">
        <v>135.36000000000001</v>
      </c>
      <c r="C27" s="54">
        <v>0</v>
      </c>
      <c r="D27" s="54">
        <v>107.8</v>
      </c>
      <c r="E27" s="63"/>
      <c r="F27" s="64">
        <v>125.56586270871985</v>
      </c>
      <c r="G27" s="65">
        <v>104.21</v>
      </c>
      <c r="H27" s="54">
        <v>202.93</v>
      </c>
      <c r="I27" s="54">
        <v>159.75</v>
      </c>
      <c r="J27" s="54">
        <v>135.36000000000001</v>
      </c>
      <c r="K27" s="56">
        <v>-66.569999999999993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602.25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101.7</v>
      </c>
      <c r="AH27" s="67">
        <v>99.1</v>
      </c>
      <c r="AI27" s="67">
        <v>108.64</v>
      </c>
      <c r="AJ27" s="67">
        <v>107.8</v>
      </c>
      <c r="AK27" s="67">
        <v>312.26</v>
      </c>
      <c r="AL27" s="67">
        <v>72.39</v>
      </c>
      <c r="AM27" s="67">
        <v>12.5</v>
      </c>
      <c r="AN27" s="67">
        <v>90.9</v>
      </c>
      <c r="AO27" s="67">
        <v>141.93</v>
      </c>
      <c r="AP27" s="67">
        <v>76.44</v>
      </c>
      <c r="AQ27" s="67">
        <v>0</v>
      </c>
      <c r="AR27" s="67">
        <v>251.9</v>
      </c>
      <c r="AS27" s="68">
        <v>417.24</v>
      </c>
      <c r="AT27" s="63"/>
      <c r="AU27" s="63">
        <v>144.34138625251654</v>
      </c>
    </row>
    <row r="28" spans="1:47" ht="12.75" hidden="1" customHeight="1" outlineLevel="1" x14ac:dyDescent="0.2">
      <c r="A28" s="95" t="s">
        <v>176</v>
      </c>
      <c r="B28" s="62">
        <v>120.29</v>
      </c>
      <c r="C28" s="54">
        <v>0</v>
      </c>
      <c r="D28" s="54">
        <v>0</v>
      </c>
      <c r="E28" s="63"/>
      <c r="F28" s="64"/>
      <c r="G28" s="65">
        <v>139.06</v>
      </c>
      <c r="H28" s="54">
        <v>117.75</v>
      </c>
      <c r="I28" s="54">
        <v>113.57</v>
      </c>
      <c r="J28" s="54">
        <v>120.29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490.67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136.80000000000001</v>
      </c>
      <c r="AH28" s="67">
        <v>136.80000000000001</v>
      </c>
      <c r="AI28" s="67">
        <v>1.79</v>
      </c>
      <c r="AJ28" s="67">
        <v>0</v>
      </c>
      <c r="AK28" s="67">
        <v>88.31</v>
      </c>
      <c r="AL28" s="67">
        <v>88.47</v>
      </c>
      <c r="AM28" s="67">
        <v>317.37</v>
      </c>
      <c r="AN28" s="67">
        <v>231.24</v>
      </c>
      <c r="AO28" s="67">
        <v>0</v>
      </c>
      <c r="AP28" s="67">
        <v>0</v>
      </c>
      <c r="AQ28" s="67">
        <v>287.33</v>
      </c>
      <c r="AR28" s="67">
        <v>150.75</v>
      </c>
      <c r="AS28" s="68">
        <v>275.39</v>
      </c>
      <c r="AT28" s="63"/>
      <c r="AU28" s="63">
        <v>178.17277315806675</v>
      </c>
    </row>
    <row r="29" spans="1:47" ht="12.75" hidden="1" customHeight="1" outlineLevel="1" x14ac:dyDescent="0.2">
      <c r="A29" s="95" t="s">
        <v>102</v>
      </c>
      <c r="B29" s="62">
        <v>1782.05</v>
      </c>
      <c r="C29" s="54">
        <v>0</v>
      </c>
      <c r="D29" s="54">
        <v>1781.27</v>
      </c>
      <c r="E29" s="63"/>
      <c r="F29" s="64">
        <v>100.04378898201844</v>
      </c>
      <c r="G29" s="65">
        <v>1782.05</v>
      </c>
      <c r="H29" s="54">
        <v>1765.98</v>
      </c>
      <c r="I29" s="54">
        <v>1765.98</v>
      </c>
      <c r="J29" s="54">
        <v>1782.05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7096.06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1619.83</v>
      </c>
      <c r="AH29" s="67">
        <v>1765.98</v>
      </c>
      <c r="AI29" s="67">
        <v>1765.98</v>
      </c>
      <c r="AJ29" s="67">
        <v>1781.27</v>
      </c>
      <c r="AK29" s="67">
        <v>1765.98</v>
      </c>
      <c r="AL29" s="67">
        <v>2606.98</v>
      </c>
      <c r="AM29" s="67">
        <v>924.98</v>
      </c>
      <c r="AN29" s="67">
        <v>1765.98</v>
      </c>
      <c r="AO29" s="67">
        <v>1765.98</v>
      </c>
      <c r="AP29" s="67">
        <v>1765.98</v>
      </c>
      <c r="AQ29" s="67">
        <v>1781.27</v>
      </c>
      <c r="AR29" s="67">
        <v>1765.98</v>
      </c>
      <c r="AS29" s="68">
        <v>6933.06</v>
      </c>
      <c r="AT29" s="63"/>
      <c r="AU29" s="63">
        <v>102.35105422425308</v>
      </c>
    </row>
    <row r="30" spans="1:47" ht="12.75" hidden="1" customHeight="1" outlineLevel="1" x14ac:dyDescent="0.2">
      <c r="A30" s="95" t="s">
        <v>75</v>
      </c>
      <c r="B30" s="62">
        <v>223.22</v>
      </c>
      <c r="C30" s="54">
        <v>0</v>
      </c>
      <c r="D30" s="54">
        <v>0</v>
      </c>
      <c r="E30" s="63"/>
      <c r="F30" s="64"/>
      <c r="G30" s="65">
        <v>0</v>
      </c>
      <c r="H30" s="54">
        <v>132.44999999999999</v>
      </c>
      <c r="I30" s="54">
        <v>132.44999999999999</v>
      </c>
      <c r="J30" s="54">
        <v>223.22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488.12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0</v>
      </c>
      <c r="AH30" s="67">
        <v>0</v>
      </c>
      <c r="AI30" s="67">
        <v>0</v>
      </c>
      <c r="AJ30" s="67">
        <v>0</v>
      </c>
      <c r="AK30" s="67">
        <v>0</v>
      </c>
      <c r="AL30" s="67">
        <v>113.28</v>
      </c>
      <c r="AM30" s="67">
        <v>679.69</v>
      </c>
      <c r="AN30" s="67">
        <v>0</v>
      </c>
      <c r="AO30" s="67">
        <v>0</v>
      </c>
      <c r="AP30" s="67">
        <v>0</v>
      </c>
      <c r="AQ30" s="67">
        <v>0</v>
      </c>
      <c r="AR30" s="67">
        <v>0</v>
      </c>
      <c r="AS30" s="68">
        <v>0</v>
      </c>
      <c r="AT30" s="63"/>
      <c r="AU30" s="63"/>
    </row>
    <row r="31" spans="1:47" ht="12.75" hidden="1" customHeight="1" outlineLevel="1" x14ac:dyDescent="0.2">
      <c r="A31" s="95" t="s">
        <v>76</v>
      </c>
      <c r="B31" s="62">
        <v>200.5</v>
      </c>
      <c r="C31" s="54">
        <v>0</v>
      </c>
      <c r="D31" s="54">
        <v>923.88</v>
      </c>
      <c r="E31" s="63"/>
      <c r="F31" s="64">
        <v>21.701952634541282</v>
      </c>
      <c r="G31" s="65">
        <v>3032.68</v>
      </c>
      <c r="H31" s="54">
        <v>789.33</v>
      </c>
      <c r="I31" s="54">
        <v>2071.85</v>
      </c>
      <c r="J31" s="54">
        <v>200.5</v>
      </c>
      <c r="K31" s="56">
        <v>-846.95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6094.36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978.98</v>
      </c>
      <c r="AH31" s="67">
        <v>979.47</v>
      </c>
      <c r="AI31" s="67">
        <v>2117.7600000000002</v>
      </c>
      <c r="AJ31" s="67">
        <v>923.88</v>
      </c>
      <c r="AK31" s="67">
        <v>923.88</v>
      </c>
      <c r="AL31" s="67">
        <v>3663.97</v>
      </c>
      <c r="AM31" s="67">
        <v>375.36</v>
      </c>
      <c r="AN31" s="67">
        <v>789.33</v>
      </c>
      <c r="AO31" s="67">
        <v>2973.63</v>
      </c>
      <c r="AP31" s="67">
        <v>9638.9</v>
      </c>
      <c r="AQ31" s="67">
        <v>2963.57</v>
      </c>
      <c r="AR31" s="67">
        <v>427.53</v>
      </c>
      <c r="AS31" s="68">
        <v>5000.09</v>
      </c>
      <c r="AT31" s="63"/>
      <c r="AU31" s="63">
        <v>121.88500606989074</v>
      </c>
    </row>
    <row r="32" spans="1:47" ht="12.75" hidden="1" customHeight="1" outlineLevel="1" x14ac:dyDescent="0.2">
      <c r="A32" s="95" t="s">
        <v>77</v>
      </c>
      <c r="B32" s="62">
        <v>84.27</v>
      </c>
      <c r="C32" s="54">
        <v>0</v>
      </c>
      <c r="D32" s="54">
        <v>84.27</v>
      </c>
      <c r="E32" s="63"/>
      <c r="F32" s="64">
        <v>100</v>
      </c>
      <c r="G32" s="65">
        <v>84.27</v>
      </c>
      <c r="H32" s="54">
        <v>84.27</v>
      </c>
      <c r="I32" s="54">
        <v>84.27</v>
      </c>
      <c r="J32" s="54">
        <v>84.27</v>
      </c>
      <c r="K32" s="54">
        <v>0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66">
        <v>337.08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66">
        <v>0</v>
      </c>
      <c r="AG32" s="67">
        <v>84.27</v>
      </c>
      <c r="AH32" s="67">
        <v>84.27</v>
      </c>
      <c r="AI32" s="67">
        <v>84.27</v>
      </c>
      <c r="AJ32" s="67">
        <v>84.27</v>
      </c>
      <c r="AK32" s="67">
        <v>84.27</v>
      </c>
      <c r="AL32" s="67">
        <v>84.27</v>
      </c>
      <c r="AM32" s="67">
        <v>84.27</v>
      </c>
      <c r="AN32" s="67">
        <v>84.27</v>
      </c>
      <c r="AO32" s="67">
        <v>84.27</v>
      </c>
      <c r="AP32" s="67">
        <v>84.27</v>
      </c>
      <c r="AQ32" s="67">
        <v>84.27</v>
      </c>
      <c r="AR32" s="67">
        <v>84.27</v>
      </c>
      <c r="AS32" s="68">
        <v>337.08</v>
      </c>
      <c r="AT32" s="63"/>
      <c r="AU32" s="63">
        <v>100</v>
      </c>
    </row>
    <row r="33" spans="1:47" ht="12.75" customHeight="1" collapsed="1" x14ac:dyDescent="0.2">
      <c r="A33" s="69" t="s">
        <v>177</v>
      </c>
      <c r="B33" s="70">
        <v>8103.7</v>
      </c>
      <c r="C33" s="71">
        <v>0</v>
      </c>
      <c r="D33" s="71">
        <v>9714.89</v>
      </c>
      <c r="E33" s="72"/>
      <c r="F33" s="73">
        <v>83.415252257102239</v>
      </c>
      <c r="G33" s="70">
        <v>21482.65</v>
      </c>
      <c r="H33" s="71">
        <v>12141.34</v>
      </c>
      <c r="I33" s="71">
        <v>9465.25</v>
      </c>
      <c r="J33" s="71">
        <v>8103.7</v>
      </c>
      <c r="K33" s="74">
        <v>-7578.92</v>
      </c>
      <c r="L33" s="71">
        <v>0</v>
      </c>
      <c r="M33" s="71">
        <v>0</v>
      </c>
      <c r="N33" s="71">
        <v>0</v>
      </c>
      <c r="O33" s="71">
        <v>0</v>
      </c>
      <c r="P33" s="71">
        <v>0</v>
      </c>
      <c r="Q33" s="71">
        <v>0</v>
      </c>
      <c r="R33" s="71">
        <v>0</v>
      </c>
      <c r="S33" s="71">
        <v>51192.94</v>
      </c>
      <c r="T33" s="71">
        <v>0</v>
      </c>
      <c r="U33" s="71">
        <v>0</v>
      </c>
      <c r="V33" s="71">
        <v>0</v>
      </c>
      <c r="W33" s="71">
        <v>0</v>
      </c>
      <c r="X33" s="71">
        <v>0</v>
      </c>
      <c r="Y33" s="71">
        <v>0</v>
      </c>
      <c r="Z33" s="71">
        <v>0</v>
      </c>
      <c r="AA33" s="71">
        <v>0</v>
      </c>
      <c r="AB33" s="71">
        <v>0</v>
      </c>
      <c r="AC33" s="71">
        <v>0</v>
      </c>
      <c r="AD33" s="71">
        <v>0</v>
      </c>
      <c r="AE33" s="71">
        <v>0</v>
      </c>
      <c r="AF33" s="71">
        <v>0</v>
      </c>
      <c r="AG33" s="75">
        <v>9790.84</v>
      </c>
      <c r="AH33" s="75">
        <v>9546.7999999999993</v>
      </c>
      <c r="AI33" s="75">
        <v>6479.24</v>
      </c>
      <c r="AJ33" s="75">
        <v>9714.89</v>
      </c>
      <c r="AK33" s="75">
        <v>11940.56</v>
      </c>
      <c r="AL33" s="75">
        <v>8569.3700000000008</v>
      </c>
      <c r="AM33" s="75">
        <v>3953.35</v>
      </c>
      <c r="AN33" s="75">
        <v>12961.01</v>
      </c>
      <c r="AO33" s="75">
        <v>12137.42</v>
      </c>
      <c r="AP33" s="75">
        <v>14565.25</v>
      </c>
      <c r="AQ33" s="75">
        <v>13886.96</v>
      </c>
      <c r="AR33" s="134">
        <v>-3794.54</v>
      </c>
      <c r="AS33" s="75">
        <v>35531.769999999997</v>
      </c>
      <c r="AT33" s="72"/>
      <c r="AU33" s="72">
        <v>144.07652644379945</v>
      </c>
    </row>
    <row r="34" spans="1:47" ht="12.75" hidden="1" customHeight="1" outlineLevel="1" x14ac:dyDescent="0.2">
      <c r="A34" s="95" t="s">
        <v>178</v>
      </c>
      <c r="B34" s="62"/>
      <c r="C34" s="54"/>
      <c r="D34" s="54"/>
      <c r="E34" s="63"/>
      <c r="F34" s="64"/>
      <c r="G34" s="65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66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66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8"/>
      <c r="AT34" s="63"/>
      <c r="AU34" s="63"/>
    </row>
    <row r="35" spans="1:47" ht="12.75" hidden="1" customHeight="1" outlineLevel="1" x14ac:dyDescent="0.2">
      <c r="A35" s="95" t="s">
        <v>179</v>
      </c>
      <c r="B35" s="62">
        <v>0</v>
      </c>
      <c r="C35" s="54">
        <v>0</v>
      </c>
      <c r="D35" s="54">
        <v>0</v>
      </c>
      <c r="E35" s="63"/>
      <c r="F35" s="64"/>
      <c r="G35" s="65">
        <v>0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0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0</v>
      </c>
      <c r="AH35" s="67">
        <v>0</v>
      </c>
      <c r="AI35" s="67">
        <v>0</v>
      </c>
      <c r="AJ35" s="67">
        <v>0</v>
      </c>
      <c r="AK35" s="67">
        <v>0</v>
      </c>
      <c r="AL35" s="67">
        <v>0</v>
      </c>
      <c r="AM35" s="67">
        <v>0</v>
      </c>
      <c r="AN35" s="67">
        <v>0</v>
      </c>
      <c r="AO35" s="67">
        <v>0</v>
      </c>
      <c r="AP35" s="67">
        <v>0</v>
      </c>
      <c r="AQ35" s="67">
        <v>0</v>
      </c>
      <c r="AR35" s="67">
        <v>0</v>
      </c>
      <c r="AS35" s="68">
        <v>0</v>
      </c>
      <c r="AT35" s="63"/>
      <c r="AU35" s="63"/>
    </row>
    <row r="36" spans="1:47" ht="12.75" hidden="1" customHeight="1" outlineLevel="1" x14ac:dyDescent="0.2">
      <c r="A36" s="95" t="s">
        <v>180</v>
      </c>
      <c r="B36" s="62">
        <v>0</v>
      </c>
      <c r="C36" s="54">
        <v>0</v>
      </c>
      <c r="D36" s="54">
        <v>0</v>
      </c>
      <c r="E36" s="63"/>
      <c r="F36" s="64"/>
      <c r="G36" s="65">
        <v>0</v>
      </c>
      <c r="H36" s="54">
        <v>826.94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826.94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>
        <v>0</v>
      </c>
      <c r="AH36" s="67">
        <v>0</v>
      </c>
      <c r="AI36" s="67">
        <v>0</v>
      </c>
      <c r="AJ36" s="67">
        <v>0</v>
      </c>
      <c r="AK36" s="67">
        <v>0</v>
      </c>
      <c r="AL36" s="67">
        <v>0</v>
      </c>
      <c r="AM36" s="67">
        <v>0</v>
      </c>
      <c r="AN36" s="67">
        <v>0</v>
      </c>
      <c r="AO36" s="67">
        <v>0</v>
      </c>
      <c r="AP36" s="67">
        <v>290.18</v>
      </c>
      <c r="AQ36" s="67">
        <v>0</v>
      </c>
      <c r="AR36" s="67">
        <v>0</v>
      </c>
      <c r="AS36" s="68">
        <v>0</v>
      </c>
      <c r="AT36" s="63"/>
      <c r="AU36" s="63"/>
    </row>
    <row r="37" spans="1:47" ht="12.75" hidden="1" customHeight="1" outlineLevel="1" x14ac:dyDescent="0.2">
      <c r="A37" s="95" t="s">
        <v>181</v>
      </c>
      <c r="B37" s="62"/>
      <c r="C37" s="54"/>
      <c r="D37" s="54"/>
      <c r="E37" s="63"/>
      <c r="F37" s="64"/>
      <c r="G37" s="65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66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66"/>
      <c r="AG37" s="67"/>
      <c r="AH37" s="67"/>
      <c r="AI37" s="67"/>
      <c r="AJ37" s="67"/>
      <c r="AK37" s="67"/>
      <c r="AL37" s="67"/>
      <c r="AM37" s="67"/>
      <c r="AN37" s="67"/>
      <c r="AO37" s="67"/>
      <c r="AP37" s="67"/>
      <c r="AQ37" s="67"/>
      <c r="AR37" s="67"/>
      <c r="AS37" s="68"/>
      <c r="AT37" s="63"/>
      <c r="AU37" s="63"/>
    </row>
    <row r="38" spans="1:47" ht="12.75" hidden="1" customHeight="1" outlineLevel="1" x14ac:dyDescent="0.2">
      <c r="A38" s="95" t="s">
        <v>182</v>
      </c>
      <c r="B38" s="62">
        <v>0</v>
      </c>
      <c r="C38" s="54">
        <v>0</v>
      </c>
      <c r="D38" s="54">
        <v>0</v>
      </c>
      <c r="E38" s="63"/>
      <c r="F38" s="64"/>
      <c r="G38" s="65">
        <v>0</v>
      </c>
      <c r="H38" s="54">
        <v>0</v>
      </c>
      <c r="I38" s="54">
        <v>0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0</v>
      </c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0</v>
      </c>
      <c r="Z38" s="54">
        <v>0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66">
        <v>0</v>
      </c>
      <c r="AG38" s="67">
        <v>0</v>
      </c>
      <c r="AH38" s="67">
        <v>0</v>
      </c>
      <c r="AI38" s="67">
        <v>0</v>
      </c>
      <c r="AJ38" s="67">
        <v>0</v>
      </c>
      <c r="AK38" s="67">
        <v>0</v>
      </c>
      <c r="AL38" s="67">
        <v>0</v>
      </c>
      <c r="AM38" s="67">
        <v>0</v>
      </c>
      <c r="AN38" s="67">
        <v>0</v>
      </c>
      <c r="AO38" s="67">
        <v>0</v>
      </c>
      <c r="AP38" s="67">
        <v>462.4</v>
      </c>
      <c r="AQ38" s="67">
        <v>0</v>
      </c>
      <c r="AR38" s="67">
        <v>0</v>
      </c>
      <c r="AS38" s="68">
        <v>0</v>
      </c>
      <c r="AT38" s="63"/>
      <c r="AU38" s="63"/>
    </row>
    <row r="39" spans="1:47" ht="12.75" hidden="1" customHeight="1" outlineLevel="1" x14ac:dyDescent="0.2">
      <c r="A39" s="95" t="s">
        <v>183</v>
      </c>
      <c r="B39" s="62">
        <v>0</v>
      </c>
      <c r="C39" s="54"/>
      <c r="D39" s="54">
        <v>0</v>
      </c>
      <c r="E39" s="63"/>
      <c r="F39" s="64"/>
      <c r="G39" s="65">
        <v>0</v>
      </c>
      <c r="H39" s="54">
        <v>0</v>
      </c>
      <c r="I39" s="54">
        <v>0</v>
      </c>
      <c r="J39" s="54">
        <v>0</v>
      </c>
      <c r="K39" s="54">
        <v>0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66">
        <v>0</v>
      </c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66"/>
      <c r="AG39" s="67">
        <v>0</v>
      </c>
      <c r="AH39" s="67">
        <v>0</v>
      </c>
      <c r="AI39" s="67">
        <v>0</v>
      </c>
      <c r="AJ39" s="67">
        <v>0</v>
      </c>
      <c r="AK39" s="67">
        <v>0</v>
      </c>
      <c r="AL39" s="67">
        <v>0</v>
      </c>
      <c r="AM39" s="67">
        <v>0</v>
      </c>
      <c r="AN39" s="67">
        <v>0</v>
      </c>
      <c r="AO39" s="67">
        <v>0</v>
      </c>
      <c r="AP39" s="67">
        <v>0</v>
      </c>
      <c r="AQ39" s="67">
        <v>0</v>
      </c>
      <c r="AR39" s="67">
        <v>0</v>
      </c>
      <c r="AS39" s="68">
        <v>0</v>
      </c>
      <c r="AT39" s="63"/>
      <c r="AU39" s="63"/>
    </row>
    <row r="40" spans="1:47" ht="12.75" hidden="1" customHeight="1" outlineLevel="1" x14ac:dyDescent="0.2">
      <c r="A40" s="95" t="s">
        <v>184</v>
      </c>
      <c r="B40" s="62">
        <v>0</v>
      </c>
      <c r="C40" s="54">
        <v>0</v>
      </c>
      <c r="D40" s="54">
        <v>0</v>
      </c>
      <c r="E40" s="63"/>
      <c r="F40" s="64"/>
      <c r="G40" s="65">
        <v>0</v>
      </c>
      <c r="H40" s="54">
        <v>0</v>
      </c>
      <c r="I40" s="54">
        <v>0</v>
      </c>
      <c r="J40" s="54">
        <v>0</v>
      </c>
      <c r="K40" s="54">
        <v>0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66">
        <v>0</v>
      </c>
      <c r="T40" s="54">
        <v>0</v>
      </c>
      <c r="U40" s="54">
        <v>0</v>
      </c>
      <c r="V40" s="54">
        <v>0</v>
      </c>
      <c r="W40" s="54">
        <v>0</v>
      </c>
      <c r="X40" s="54">
        <v>0</v>
      </c>
      <c r="Y40" s="54">
        <v>0</v>
      </c>
      <c r="Z40" s="54">
        <v>0</v>
      </c>
      <c r="AA40" s="54">
        <v>0</v>
      </c>
      <c r="AB40" s="54">
        <v>0</v>
      </c>
      <c r="AC40" s="54">
        <v>0</v>
      </c>
      <c r="AD40" s="54">
        <v>0</v>
      </c>
      <c r="AE40" s="54">
        <v>0</v>
      </c>
      <c r="AF40" s="66">
        <v>0</v>
      </c>
      <c r="AG40" s="67">
        <v>0</v>
      </c>
      <c r="AH40" s="67">
        <v>0</v>
      </c>
      <c r="AI40" s="67">
        <v>0</v>
      </c>
      <c r="AJ40" s="67">
        <v>0</v>
      </c>
      <c r="AK40" s="67">
        <v>0</v>
      </c>
      <c r="AL40" s="67">
        <v>0</v>
      </c>
      <c r="AM40" s="67">
        <v>0</v>
      </c>
      <c r="AN40" s="67">
        <v>0</v>
      </c>
      <c r="AO40" s="67">
        <v>0</v>
      </c>
      <c r="AP40" s="67">
        <v>0</v>
      </c>
      <c r="AQ40" s="67">
        <v>0</v>
      </c>
      <c r="AR40" s="67">
        <v>0</v>
      </c>
      <c r="AS40" s="68">
        <v>0</v>
      </c>
      <c r="AT40" s="63"/>
      <c r="AU40" s="63"/>
    </row>
    <row r="41" spans="1:47" ht="12.75" hidden="1" customHeight="1" outlineLevel="1" x14ac:dyDescent="0.2">
      <c r="A41" s="95" t="s">
        <v>185</v>
      </c>
      <c r="B41" s="62"/>
      <c r="C41" s="54"/>
      <c r="D41" s="54"/>
      <c r="E41" s="63"/>
      <c r="F41" s="64"/>
      <c r="G41" s="65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66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66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8"/>
      <c r="AT41" s="63"/>
      <c r="AU41" s="63"/>
    </row>
    <row r="42" spans="1:47" ht="12.75" hidden="1" customHeight="1" outlineLevel="1" x14ac:dyDescent="0.2">
      <c r="A42" s="95" t="s">
        <v>186</v>
      </c>
      <c r="B42" s="62">
        <v>0</v>
      </c>
      <c r="C42" s="54">
        <v>0</v>
      </c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145.94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415.88</v>
      </c>
      <c r="AS42" s="68">
        <v>145.94</v>
      </c>
      <c r="AT42" s="63"/>
      <c r="AU42" s="63">
        <v>0</v>
      </c>
    </row>
    <row r="43" spans="1:47" ht="12.75" hidden="1" customHeight="1" outlineLevel="1" x14ac:dyDescent="0.2">
      <c r="A43" s="95" t="s">
        <v>187</v>
      </c>
      <c r="B43" s="62">
        <v>0</v>
      </c>
      <c r="C43" s="54">
        <v>0</v>
      </c>
      <c r="D43" s="54">
        <v>0</v>
      </c>
      <c r="E43" s="63"/>
      <c r="F43" s="64"/>
      <c r="G43" s="65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66">
        <v>0</v>
      </c>
      <c r="T43" s="54">
        <v>0</v>
      </c>
      <c r="U43" s="54">
        <v>0</v>
      </c>
      <c r="V43" s="54">
        <v>0</v>
      </c>
      <c r="W43" s="54">
        <v>0</v>
      </c>
      <c r="X43" s="54">
        <v>0</v>
      </c>
      <c r="Y43" s="54">
        <v>0</v>
      </c>
      <c r="Z43" s="54">
        <v>0</v>
      </c>
      <c r="AA43" s="54">
        <v>0</v>
      </c>
      <c r="AB43" s="54">
        <v>0</v>
      </c>
      <c r="AC43" s="54">
        <v>0</v>
      </c>
      <c r="AD43" s="54">
        <v>0</v>
      </c>
      <c r="AE43" s="54">
        <v>0</v>
      </c>
      <c r="AF43" s="66">
        <v>0</v>
      </c>
      <c r="AG43" s="67">
        <v>0</v>
      </c>
      <c r="AH43" s="67">
        <v>0</v>
      </c>
      <c r="AI43" s="67">
        <v>0</v>
      </c>
      <c r="AJ43" s="67">
        <v>0</v>
      </c>
      <c r="AK43" s="67">
        <v>0</v>
      </c>
      <c r="AL43" s="67">
        <v>0</v>
      </c>
      <c r="AM43" s="67">
        <v>0</v>
      </c>
      <c r="AN43" s="67">
        <v>0</v>
      </c>
      <c r="AO43" s="67">
        <v>0</v>
      </c>
      <c r="AP43" s="67">
        <v>0</v>
      </c>
      <c r="AQ43" s="67">
        <v>104.55</v>
      </c>
      <c r="AR43" s="67">
        <v>0</v>
      </c>
      <c r="AS43" s="68">
        <v>0</v>
      </c>
      <c r="AT43" s="63"/>
      <c r="AU43" s="63"/>
    </row>
    <row r="44" spans="1:47" ht="12.75" hidden="1" customHeight="1" outlineLevel="1" x14ac:dyDescent="0.2">
      <c r="A44" s="95" t="s">
        <v>188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95" t="s">
        <v>189</v>
      </c>
      <c r="B45" s="62"/>
      <c r="C45" s="54"/>
      <c r="D45" s="54"/>
      <c r="E45" s="63"/>
      <c r="F45" s="64"/>
      <c r="G45" s="65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66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66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8"/>
      <c r="AT45" s="63"/>
      <c r="AU45" s="63"/>
    </row>
    <row r="46" spans="1:47" ht="12.75" hidden="1" customHeight="1" outlineLevel="1" x14ac:dyDescent="0.2">
      <c r="A46" s="95" t="s">
        <v>190</v>
      </c>
      <c r="B46" s="62">
        <v>0</v>
      </c>
      <c r="C46" s="54">
        <v>0</v>
      </c>
      <c r="D46" s="54">
        <v>0</v>
      </c>
      <c r="E46" s="63"/>
      <c r="F46" s="64"/>
      <c r="G46" s="65">
        <v>0</v>
      </c>
      <c r="H46" s="54">
        <v>0</v>
      </c>
      <c r="I46" s="54">
        <v>0</v>
      </c>
      <c r="J46" s="54">
        <v>0</v>
      </c>
      <c r="K46" s="54">
        <v>0</v>
      </c>
      <c r="L46" s="54">
        <v>0</v>
      </c>
      <c r="M46" s="54">
        <v>0</v>
      </c>
      <c r="N46" s="54">
        <v>0</v>
      </c>
      <c r="O46" s="54">
        <v>0</v>
      </c>
      <c r="P46" s="54">
        <v>0</v>
      </c>
      <c r="Q46" s="54">
        <v>0</v>
      </c>
      <c r="R46" s="54">
        <v>0</v>
      </c>
      <c r="S46" s="66">
        <v>0</v>
      </c>
      <c r="T46" s="54">
        <v>0</v>
      </c>
      <c r="U46" s="54">
        <v>0</v>
      </c>
      <c r="V46" s="54">
        <v>0</v>
      </c>
      <c r="W46" s="54">
        <v>0</v>
      </c>
      <c r="X46" s="54">
        <v>0</v>
      </c>
      <c r="Y46" s="54">
        <v>0</v>
      </c>
      <c r="Z46" s="54">
        <v>0</v>
      </c>
      <c r="AA46" s="54">
        <v>0</v>
      </c>
      <c r="AB46" s="54">
        <v>0</v>
      </c>
      <c r="AC46" s="54">
        <v>0</v>
      </c>
      <c r="AD46" s="54">
        <v>0</v>
      </c>
      <c r="AE46" s="54">
        <v>0</v>
      </c>
      <c r="AF46" s="66">
        <v>0</v>
      </c>
      <c r="AG46" s="67">
        <v>0</v>
      </c>
      <c r="AH46" s="67">
        <v>0</v>
      </c>
      <c r="AI46" s="67">
        <v>0</v>
      </c>
      <c r="AJ46" s="67">
        <v>0</v>
      </c>
      <c r="AK46" s="67">
        <v>0</v>
      </c>
      <c r="AL46" s="67">
        <v>0</v>
      </c>
      <c r="AM46" s="67">
        <v>0</v>
      </c>
      <c r="AN46" s="67">
        <v>0</v>
      </c>
      <c r="AO46" s="67">
        <v>0</v>
      </c>
      <c r="AP46" s="67">
        <v>0</v>
      </c>
      <c r="AQ46" s="67">
        <v>0</v>
      </c>
      <c r="AR46" s="67">
        <v>0</v>
      </c>
      <c r="AS46" s="68">
        <v>0</v>
      </c>
      <c r="AT46" s="63"/>
      <c r="AU46" s="63"/>
    </row>
    <row r="47" spans="1:47" ht="12.75" hidden="1" customHeight="1" outlineLevel="1" x14ac:dyDescent="0.2">
      <c r="A47" s="95" t="s">
        <v>191</v>
      </c>
      <c r="B47" s="62"/>
      <c r="C47" s="54"/>
      <c r="D47" s="54"/>
      <c r="E47" s="63"/>
      <c r="F47" s="64"/>
      <c r="G47" s="65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66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66"/>
      <c r="AG47" s="67"/>
      <c r="AH47" s="67"/>
      <c r="AI47" s="67"/>
      <c r="AJ47" s="67"/>
      <c r="AK47" s="67"/>
      <c r="AL47" s="67"/>
      <c r="AM47" s="67"/>
      <c r="AN47" s="67"/>
      <c r="AO47" s="67"/>
      <c r="AP47" s="67"/>
      <c r="AQ47" s="67"/>
      <c r="AR47" s="67"/>
      <c r="AS47" s="68"/>
      <c r="AT47" s="63"/>
      <c r="AU47" s="63"/>
    </row>
    <row r="48" spans="1:47" ht="12.75" customHeight="1" collapsed="1" x14ac:dyDescent="0.2">
      <c r="A48" s="69" t="s">
        <v>192</v>
      </c>
      <c r="B48" s="70">
        <v>0</v>
      </c>
      <c r="C48" s="71">
        <v>0</v>
      </c>
      <c r="D48" s="71">
        <v>0</v>
      </c>
      <c r="E48" s="72"/>
      <c r="F48" s="73"/>
      <c r="G48" s="70">
        <v>0</v>
      </c>
      <c r="H48" s="71">
        <v>826.94</v>
      </c>
      <c r="I48" s="71">
        <v>0</v>
      </c>
      <c r="J48" s="71">
        <v>0</v>
      </c>
      <c r="K48" s="71">
        <v>0</v>
      </c>
      <c r="L48" s="71">
        <v>0</v>
      </c>
      <c r="M48" s="71">
        <v>0</v>
      </c>
      <c r="N48" s="71">
        <v>0</v>
      </c>
      <c r="O48" s="71">
        <v>0</v>
      </c>
      <c r="P48" s="71">
        <v>0</v>
      </c>
      <c r="Q48" s="71">
        <v>0</v>
      </c>
      <c r="R48" s="71">
        <v>0</v>
      </c>
      <c r="S48" s="71">
        <v>826.94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71">
        <v>0</v>
      </c>
      <c r="AE48" s="71">
        <v>0</v>
      </c>
      <c r="AF48" s="71">
        <v>0</v>
      </c>
      <c r="AG48" s="75">
        <v>145.94</v>
      </c>
      <c r="AH48" s="75">
        <v>0</v>
      </c>
      <c r="AI48" s="75">
        <v>0</v>
      </c>
      <c r="AJ48" s="75">
        <v>0</v>
      </c>
      <c r="AK48" s="75">
        <v>0</v>
      </c>
      <c r="AL48" s="75">
        <v>0</v>
      </c>
      <c r="AM48" s="75">
        <v>0</v>
      </c>
      <c r="AN48" s="75">
        <v>0</v>
      </c>
      <c r="AO48" s="75">
        <v>0</v>
      </c>
      <c r="AP48" s="75">
        <v>752.58</v>
      </c>
      <c r="AQ48" s="75">
        <v>104.55</v>
      </c>
      <c r="AR48" s="75">
        <v>415.88</v>
      </c>
      <c r="AS48" s="75">
        <v>145.94</v>
      </c>
      <c r="AT48" s="72"/>
      <c r="AU48" s="72">
        <v>566.63012196793204</v>
      </c>
    </row>
    <row r="49" spans="1:47" ht="12.75" hidden="1" customHeight="1" outlineLevel="1" x14ac:dyDescent="0.2">
      <c r="A49" s="95" t="s">
        <v>193</v>
      </c>
      <c r="B49" s="62">
        <v>1836.83</v>
      </c>
      <c r="C49" s="54">
        <v>0</v>
      </c>
      <c r="D49" s="54">
        <v>2174.2800000000002</v>
      </c>
      <c r="E49" s="63"/>
      <c r="F49" s="64">
        <v>84.479919789539522</v>
      </c>
      <c r="G49" s="65">
        <v>557.82000000000005</v>
      </c>
      <c r="H49" s="54">
        <v>12628.97</v>
      </c>
      <c r="I49" s="54">
        <v>3695.7</v>
      </c>
      <c r="J49" s="54">
        <v>1836.83</v>
      </c>
      <c r="K49" s="54">
        <v>0</v>
      </c>
      <c r="L49" s="54">
        <v>0</v>
      </c>
      <c r="M49" s="54">
        <v>0</v>
      </c>
      <c r="N49" s="54">
        <v>0</v>
      </c>
      <c r="O49" s="54">
        <v>0</v>
      </c>
      <c r="P49" s="54">
        <v>0</v>
      </c>
      <c r="Q49" s="54">
        <v>0</v>
      </c>
      <c r="R49" s="54">
        <v>0</v>
      </c>
      <c r="S49" s="66">
        <v>18719.32</v>
      </c>
      <c r="T49" s="54">
        <v>0</v>
      </c>
      <c r="U49" s="54">
        <v>0</v>
      </c>
      <c r="V49" s="54">
        <v>0</v>
      </c>
      <c r="W49" s="54">
        <v>0</v>
      </c>
      <c r="X49" s="54">
        <v>0</v>
      </c>
      <c r="Y49" s="54">
        <v>0</v>
      </c>
      <c r="Z49" s="54">
        <v>0</v>
      </c>
      <c r="AA49" s="54">
        <v>0</v>
      </c>
      <c r="AB49" s="54">
        <v>0</v>
      </c>
      <c r="AC49" s="54">
        <v>0</v>
      </c>
      <c r="AD49" s="54">
        <v>0</v>
      </c>
      <c r="AE49" s="54">
        <v>0</v>
      </c>
      <c r="AF49" s="66">
        <v>0</v>
      </c>
      <c r="AG49" s="67">
        <v>511.33</v>
      </c>
      <c r="AH49" s="67">
        <v>907.23</v>
      </c>
      <c r="AI49" s="67">
        <v>901.13</v>
      </c>
      <c r="AJ49" s="67">
        <v>2174.2800000000002</v>
      </c>
      <c r="AK49" s="67">
        <v>937.93</v>
      </c>
      <c r="AL49" s="67">
        <v>4553.3</v>
      </c>
      <c r="AM49" s="98">
        <v>-802.74</v>
      </c>
      <c r="AN49" s="67">
        <v>959.98</v>
      </c>
      <c r="AO49" s="67">
        <v>508.64</v>
      </c>
      <c r="AP49" s="67">
        <v>6492.61</v>
      </c>
      <c r="AQ49" s="67">
        <v>5792.33</v>
      </c>
      <c r="AR49" s="67">
        <v>866.02</v>
      </c>
      <c r="AS49" s="68">
        <v>4493.97</v>
      </c>
      <c r="AT49" s="63"/>
      <c r="AU49" s="63">
        <v>416.54305658471242</v>
      </c>
    </row>
    <row r="50" spans="1:47" ht="12.75" hidden="1" customHeight="1" outlineLevel="1" x14ac:dyDescent="0.2">
      <c r="A50" s="95" t="s">
        <v>194</v>
      </c>
      <c r="B50" s="62">
        <v>0</v>
      </c>
      <c r="C50" s="54">
        <v>0</v>
      </c>
      <c r="D50" s="54">
        <v>0</v>
      </c>
      <c r="E50" s="63"/>
      <c r="F50" s="64"/>
      <c r="G50" s="65">
        <v>0</v>
      </c>
      <c r="H50" s="54">
        <v>0</v>
      </c>
      <c r="I50" s="54">
        <v>0</v>
      </c>
      <c r="J50" s="54">
        <v>0</v>
      </c>
      <c r="K50" s="54">
        <v>0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66">
        <v>0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>
        <v>0</v>
      </c>
      <c r="AH50" s="67">
        <v>0</v>
      </c>
      <c r="AI50" s="67">
        <v>0</v>
      </c>
      <c r="AJ50" s="67">
        <v>0</v>
      </c>
      <c r="AK50" s="67">
        <v>0</v>
      </c>
      <c r="AL50" s="67">
        <v>0</v>
      </c>
      <c r="AM50" s="67">
        <v>0</v>
      </c>
      <c r="AN50" s="67">
        <v>0</v>
      </c>
      <c r="AO50" s="67">
        <v>0</v>
      </c>
      <c r="AP50" s="67">
        <v>0</v>
      </c>
      <c r="AQ50" s="67">
        <v>0</v>
      </c>
      <c r="AR50" s="67">
        <v>0</v>
      </c>
      <c r="AS50" s="68">
        <v>0</v>
      </c>
      <c r="AT50" s="63"/>
      <c r="AU50" s="63"/>
    </row>
    <row r="51" spans="1:47" ht="12.75" hidden="1" customHeight="1" outlineLevel="1" x14ac:dyDescent="0.2">
      <c r="A51" s="95" t="s">
        <v>82</v>
      </c>
      <c r="B51" s="62">
        <v>0</v>
      </c>
      <c r="C51" s="54">
        <v>0</v>
      </c>
      <c r="D51" s="54">
        <v>0</v>
      </c>
      <c r="E51" s="63"/>
      <c r="F51" s="64"/>
      <c r="G51" s="65">
        <v>0</v>
      </c>
      <c r="H51" s="54">
        <v>0</v>
      </c>
      <c r="I51" s="54">
        <v>0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66">
        <v>0</v>
      </c>
      <c r="T51" s="54">
        <v>0</v>
      </c>
      <c r="U51" s="54">
        <v>0</v>
      </c>
      <c r="V51" s="54">
        <v>0</v>
      </c>
      <c r="W51" s="54">
        <v>0</v>
      </c>
      <c r="X51" s="54">
        <v>0</v>
      </c>
      <c r="Y51" s="54">
        <v>0</v>
      </c>
      <c r="Z51" s="54">
        <v>0</v>
      </c>
      <c r="AA51" s="54">
        <v>0</v>
      </c>
      <c r="AB51" s="54">
        <v>0</v>
      </c>
      <c r="AC51" s="54">
        <v>0</v>
      </c>
      <c r="AD51" s="54">
        <v>0</v>
      </c>
      <c r="AE51" s="54">
        <v>0</v>
      </c>
      <c r="AF51" s="66">
        <v>0</v>
      </c>
      <c r="AG51" s="67">
        <v>0</v>
      </c>
      <c r="AH51" s="67">
        <v>0</v>
      </c>
      <c r="AI51" s="67">
        <v>0</v>
      </c>
      <c r="AJ51" s="67">
        <v>0</v>
      </c>
      <c r="AK51" s="67">
        <v>0</v>
      </c>
      <c r="AL51" s="67">
        <v>0</v>
      </c>
      <c r="AM51" s="67">
        <v>0</v>
      </c>
      <c r="AN51" s="67">
        <v>0</v>
      </c>
      <c r="AO51" s="67">
        <v>0</v>
      </c>
      <c r="AP51" s="67">
        <v>0</v>
      </c>
      <c r="AQ51" s="67">
        <v>0</v>
      </c>
      <c r="AR51" s="67">
        <v>0</v>
      </c>
      <c r="AS51" s="68">
        <v>0</v>
      </c>
      <c r="AT51" s="63"/>
      <c r="AU51" s="63"/>
    </row>
    <row r="52" spans="1:47" ht="12.75" hidden="1" customHeight="1" outlineLevel="1" x14ac:dyDescent="0.2">
      <c r="A52" s="95" t="s">
        <v>83</v>
      </c>
      <c r="B52" s="62">
        <v>0</v>
      </c>
      <c r="C52" s="54">
        <v>0</v>
      </c>
      <c r="D52" s="54">
        <v>0</v>
      </c>
      <c r="E52" s="63"/>
      <c r="F52" s="64"/>
      <c r="G52" s="65">
        <v>0</v>
      </c>
      <c r="H52" s="54">
        <v>0</v>
      </c>
      <c r="I52" s="54">
        <v>0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66">
        <v>0</v>
      </c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66">
        <v>0</v>
      </c>
      <c r="AG52" s="67">
        <v>0</v>
      </c>
      <c r="AH52" s="67">
        <v>0</v>
      </c>
      <c r="AI52" s="67">
        <v>0</v>
      </c>
      <c r="AJ52" s="67">
        <v>0</v>
      </c>
      <c r="AK52" s="67">
        <v>0</v>
      </c>
      <c r="AL52" s="67">
        <v>0</v>
      </c>
      <c r="AM52" s="67">
        <v>0</v>
      </c>
      <c r="AN52" s="67">
        <v>0</v>
      </c>
      <c r="AO52" s="67">
        <v>0</v>
      </c>
      <c r="AP52" s="67">
        <v>0</v>
      </c>
      <c r="AQ52" s="67">
        <v>0</v>
      </c>
      <c r="AR52" s="67">
        <v>0</v>
      </c>
      <c r="AS52" s="68">
        <v>0</v>
      </c>
      <c r="AT52" s="63"/>
      <c r="AU52" s="63"/>
    </row>
    <row r="53" spans="1:47" ht="12.75" hidden="1" customHeight="1" outlineLevel="1" x14ac:dyDescent="0.2">
      <c r="A53" s="95" t="s">
        <v>84</v>
      </c>
      <c r="B53" s="62">
        <v>0</v>
      </c>
      <c r="C53" s="54">
        <v>0</v>
      </c>
      <c r="D53" s="54">
        <v>0</v>
      </c>
      <c r="E53" s="63"/>
      <c r="F53" s="64"/>
      <c r="G53" s="65">
        <v>0</v>
      </c>
      <c r="H53" s="54">
        <v>0</v>
      </c>
      <c r="I53" s="54">
        <v>0</v>
      </c>
      <c r="J53" s="54">
        <v>0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66">
        <v>0</v>
      </c>
      <c r="T53" s="54">
        <v>0</v>
      </c>
      <c r="U53" s="54">
        <v>0</v>
      </c>
      <c r="V53" s="54">
        <v>0</v>
      </c>
      <c r="W53" s="54">
        <v>0</v>
      </c>
      <c r="X53" s="54">
        <v>0</v>
      </c>
      <c r="Y53" s="54">
        <v>0</v>
      </c>
      <c r="Z53" s="54">
        <v>0</v>
      </c>
      <c r="AA53" s="54">
        <v>0</v>
      </c>
      <c r="AB53" s="54">
        <v>0</v>
      </c>
      <c r="AC53" s="54">
        <v>0</v>
      </c>
      <c r="AD53" s="54">
        <v>0</v>
      </c>
      <c r="AE53" s="54">
        <v>0</v>
      </c>
      <c r="AF53" s="66">
        <v>0</v>
      </c>
      <c r="AG53" s="67">
        <v>0</v>
      </c>
      <c r="AH53" s="67">
        <v>0</v>
      </c>
      <c r="AI53" s="67">
        <v>0</v>
      </c>
      <c r="AJ53" s="67">
        <v>0</v>
      </c>
      <c r="AK53" s="67">
        <v>0</v>
      </c>
      <c r="AL53" s="67">
        <v>0</v>
      </c>
      <c r="AM53" s="67">
        <v>0</v>
      </c>
      <c r="AN53" s="67">
        <v>0</v>
      </c>
      <c r="AO53" s="67">
        <v>0</v>
      </c>
      <c r="AP53" s="67">
        <v>0</v>
      </c>
      <c r="AQ53" s="67">
        <v>0</v>
      </c>
      <c r="AR53" s="67">
        <v>0</v>
      </c>
      <c r="AS53" s="68">
        <v>0</v>
      </c>
      <c r="AT53" s="63"/>
      <c r="AU53" s="63"/>
    </row>
    <row r="54" spans="1:47" ht="12.75" hidden="1" customHeight="1" outlineLevel="1" x14ac:dyDescent="0.2">
      <c r="A54" s="95" t="s">
        <v>195</v>
      </c>
      <c r="B54" s="62">
        <v>0</v>
      </c>
      <c r="C54" s="54">
        <v>0</v>
      </c>
      <c r="D54" s="54">
        <v>0</v>
      </c>
      <c r="E54" s="63"/>
      <c r="F54" s="64"/>
      <c r="G54" s="65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66">
        <v>0</v>
      </c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>
        <v>0</v>
      </c>
      <c r="AH54" s="67">
        <v>0</v>
      </c>
      <c r="AI54" s="67">
        <v>0</v>
      </c>
      <c r="AJ54" s="67">
        <v>0</v>
      </c>
      <c r="AK54" s="67">
        <v>0</v>
      </c>
      <c r="AL54" s="67">
        <v>0</v>
      </c>
      <c r="AM54" s="67">
        <v>0</v>
      </c>
      <c r="AN54" s="67">
        <v>0</v>
      </c>
      <c r="AO54" s="67">
        <v>0</v>
      </c>
      <c r="AP54" s="67">
        <v>0</v>
      </c>
      <c r="AQ54" s="67">
        <v>0</v>
      </c>
      <c r="AR54" s="67">
        <v>0</v>
      </c>
      <c r="AS54" s="68">
        <v>0</v>
      </c>
      <c r="AT54" s="63"/>
      <c r="AU54" s="63"/>
    </row>
    <row r="55" spans="1:47" ht="12.75" hidden="1" customHeight="1" outlineLevel="1" x14ac:dyDescent="0.2">
      <c r="A55" s="95" t="s">
        <v>86</v>
      </c>
      <c r="B55" s="62">
        <v>289.33</v>
      </c>
      <c r="C55" s="54">
        <v>0</v>
      </c>
      <c r="D55" s="54">
        <v>24.51</v>
      </c>
      <c r="E55" s="63"/>
      <c r="F55" s="64">
        <v>1180.4569563443492</v>
      </c>
      <c r="G55" s="65">
        <v>466.14</v>
      </c>
      <c r="H55" s="54">
        <v>509.46</v>
      </c>
      <c r="I55" s="54">
        <v>681.79</v>
      </c>
      <c r="J55" s="54">
        <v>289.33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66">
        <v>1946.72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66">
        <v>0</v>
      </c>
      <c r="AG55" s="67">
        <v>732.24</v>
      </c>
      <c r="AH55" s="67">
        <v>3564.62</v>
      </c>
      <c r="AI55" s="67">
        <v>583.44000000000005</v>
      </c>
      <c r="AJ55" s="67">
        <v>24.51</v>
      </c>
      <c r="AK55" s="67">
        <v>406.04</v>
      </c>
      <c r="AL55" s="67">
        <v>0</v>
      </c>
      <c r="AM55" s="67">
        <v>270.87</v>
      </c>
      <c r="AN55" s="67">
        <v>93.42</v>
      </c>
      <c r="AO55" s="67">
        <v>0</v>
      </c>
      <c r="AP55" s="67">
        <v>553.64</v>
      </c>
      <c r="AQ55" s="67">
        <v>0</v>
      </c>
      <c r="AR55" s="67">
        <v>62.6</v>
      </c>
      <c r="AS55" s="68">
        <v>4904.8100000000004</v>
      </c>
      <c r="AT55" s="63"/>
      <c r="AU55" s="63">
        <v>39.690018573604277</v>
      </c>
    </row>
    <row r="56" spans="1:47" ht="12.75" hidden="1" customHeight="1" outlineLevel="1" x14ac:dyDescent="0.2">
      <c r="A56" s="95" t="s">
        <v>110</v>
      </c>
      <c r="B56" s="62"/>
      <c r="C56" s="54"/>
      <c r="D56" s="54"/>
      <c r="E56" s="63"/>
      <c r="F56" s="64"/>
      <c r="G56" s="65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66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66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8"/>
      <c r="AT56" s="63"/>
      <c r="AU56" s="63"/>
    </row>
    <row r="57" spans="1:47" ht="12.75" hidden="1" customHeight="1" outlineLevel="1" x14ac:dyDescent="0.2">
      <c r="A57" s="95" t="s">
        <v>196</v>
      </c>
      <c r="B57" s="62">
        <v>0</v>
      </c>
      <c r="C57" s="54">
        <v>0</v>
      </c>
      <c r="D57" s="54">
        <v>0</v>
      </c>
      <c r="E57" s="63"/>
      <c r="F57" s="64"/>
      <c r="G57" s="65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66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66">
        <v>0</v>
      </c>
      <c r="AG57" s="67">
        <v>1100</v>
      </c>
      <c r="AH57" s="67">
        <v>0</v>
      </c>
      <c r="AI57" s="67">
        <v>0</v>
      </c>
      <c r="AJ57" s="67">
        <v>0</v>
      </c>
      <c r="AK57" s="67">
        <v>0</v>
      </c>
      <c r="AL57" s="67">
        <v>0</v>
      </c>
      <c r="AM57" s="67">
        <v>0</v>
      </c>
      <c r="AN57" s="67">
        <v>0</v>
      </c>
      <c r="AO57" s="67">
        <v>0</v>
      </c>
      <c r="AP57" s="67">
        <v>0</v>
      </c>
      <c r="AQ57" s="67">
        <v>0</v>
      </c>
      <c r="AR57" s="67">
        <v>3889.64</v>
      </c>
      <c r="AS57" s="68">
        <v>1100</v>
      </c>
      <c r="AT57" s="63"/>
      <c r="AU57" s="63">
        <v>0</v>
      </c>
    </row>
    <row r="58" spans="1:47" ht="12.75" hidden="1" customHeight="1" outlineLevel="1" x14ac:dyDescent="0.2">
      <c r="A58" s="95" t="s">
        <v>197</v>
      </c>
      <c r="B58" s="62">
        <v>0</v>
      </c>
      <c r="C58" s="54">
        <v>0</v>
      </c>
      <c r="D58" s="54">
        <v>0</v>
      </c>
      <c r="E58" s="63"/>
      <c r="F58" s="64"/>
      <c r="G58" s="65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0</v>
      </c>
      <c r="AI58" s="67">
        <v>0</v>
      </c>
      <c r="AJ58" s="67">
        <v>0</v>
      </c>
      <c r="AK58" s="67">
        <v>0</v>
      </c>
      <c r="AL58" s="67">
        <v>0</v>
      </c>
      <c r="AM58" s="67">
        <v>0</v>
      </c>
      <c r="AN58" s="67">
        <v>0</v>
      </c>
      <c r="AO58" s="67">
        <v>0</v>
      </c>
      <c r="AP58" s="67">
        <v>0</v>
      </c>
      <c r="AQ58" s="67">
        <v>0</v>
      </c>
      <c r="AR58" s="67">
        <v>0</v>
      </c>
      <c r="AS58" s="68">
        <v>0</v>
      </c>
      <c r="AT58" s="63"/>
      <c r="AU58" s="63"/>
    </row>
    <row r="59" spans="1:47" ht="12.75" hidden="1" customHeight="1" outlineLevel="1" x14ac:dyDescent="0.2">
      <c r="A59" s="95" t="s">
        <v>198</v>
      </c>
      <c r="B59" s="62">
        <v>0</v>
      </c>
      <c r="C59" s="54">
        <v>0</v>
      </c>
      <c r="D59" s="54">
        <v>0</v>
      </c>
      <c r="E59" s="63"/>
      <c r="F59" s="64"/>
      <c r="G59" s="65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66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66">
        <v>0</v>
      </c>
      <c r="AG59" s="67">
        <v>0</v>
      </c>
      <c r="AH59" s="67">
        <v>0</v>
      </c>
      <c r="AI59" s="67">
        <v>0</v>
      </c>
      <c r="AJ59" s="67">
        <v>0</v>
      </c>
      <c r="AK59" s="67">
        <v>0</v>
      </c>
      <c r="AL59" s="67">
        <v>0</v>
      </c>
      <c r="AM59" s="67">
        <v>0</v>
      </c>
      <c r="AN59" s="67">
        <v>0</v>
      </c>
      <c r="AO59" s="67">
        <v>0</v>
      </c>
      <c r="AP59" s="67">
        <v>0</v>
      </c>
      <c r="AQ59" s="67">
        <v>0</v>
      </c>
      <c r="AR59" s="67">
        <v>0</v>
      </c>
      <c r="AS59" s="68">
        <v>0</v>
      </c>
      <c r="AT59" s="63"/>
      <c r="AU59" s="63"/>
    </row>
    <row r="60" spans="1:47" ht="12.75" hidden="1" customHeight="1" outlineLevel="1" x14ac:dyDescent="0.2">
      <c r="A60" s="95" t="s">
        <v>199</v>
      </c>
      <c r="B60" s="62"/>
      <c r="C60" s="54"/>
      <c r="D60" s="54"/>
      <c r="E60" s="63"/>
      <c r="F60" s="64"/>
      <c r="G60" s="65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66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66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8"/>
      <c r="AT60" s="63"/>
      <c r="AU60" s="63"/>
    </row>
    <row r="61" spans="1:47" ht="12.75" hidden="1" customHeight="1" outlineLevel="1" x14ac:dyDescent="0.2">
      <c r="A61" s="95" t="s">
        <v>200</v>
      </c>
      <c r="B61" s="62"/>
      <c r="C61" s="54"/>
      <c r="D61" s="54"/>
      <c r="E61" s="63"/>
      <c r="F61" s="64"/>
      <c r="G61" s="65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66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66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8"/>
      <c r="AT61" s="63"/>
      <c r="AU61" s="63"/>
    </row>
    <row r="62" spans="1:47" ht="12.75" customHeight="1" collapsed="1" x14ac:dyDescent="0.2">
      <c r="A62" s="69" t="s">
        <v>89</v>
      </c>
      <c r="B62" s="70">
        <v>2126.16</v>
      </c>
      <c r="C62" s="71">
        <v>0</v>
      </c>
      <c r="D62" s="71">
        <v>2198.79</v>
      </c>
      <c r="E62" s="72"/>
      <c r="F62" s="73">
        <v>96.6968196144243</v>
      </c>
      <c r="G62" s="70">
        <v>1023.96</v>
      </c>
      <c r="H62" s="71">
        <v>13138.43</v>
      </c>
      <c r="I62" s="71">
        <v>4377.49</v>
      </c>
      <c r="J62" s="71">
        <v>2126.16</v>
      </c>
      <c r="K62" s="71">
        <v>0</v>
      </c>
      <c r="L62" s="71">
        <v>0</v>
      </c>
      <c r="M62" s="71">
        <v>0</v>
      </c>
      <c r="N62" s="71">
        <v>0</v>
      </c>
      <c r="O62" s="71">
        <v>0</v>
      </c>
      <c r="P62" s="71">
        <v>0</v>
      </c>
      <c r="Q62" s="71">
        <v>0</v>
      </c>
      <c r="R62" s="71">
        <v>0</v>
      </c>
      <c r="S62" s="71">
        <v>20666.04</v>
      </c>
      <c r="T62" s="71">
        <v>0</v>
      </c>
      <c r="U62" s="71">
        <v>0</v>
      </c>
      <c r="V62" s="71">
        <v>0</v>
      </c>
      <c r="W62" s="71">
        <v>0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71">
        <v>0</v>
      </c>
      <c r="AE62" s="71">
        <v>0</v>
      </c>
      <c r="AF62" s="71">
        <v>0</v>
      </c>
      <c r="AG62" s="75">
        <v>2343.5700000000002</v>
      </c>
      <c r="AH62" s="75">
        <v>4471.8500000000004</v>
      </c>
      <c r="AI62" s="75">
        <v>1484.57</v>
      </c>
      <c r="AJ62" s="75">
        <v>2198.79</v>
      </c>
      <c r="AK62" s="75">
        <v>1343.97</v>
      </c>
      <c r="AL62" s="75">
        <v>4553.3</v>
      </c>
      <c r="AM62" s="134">
        <v>-531.87</v>
      </c>
      <c r="AN62" s="75">
        <v>1053.4000000000001</v>
      </c>
      <c r="AO62" s="75">
        <v>508.64</v>
      </c>
      <c r="AP62" s="75">
        <v>7046.25</v>
      </c>
      <c r="AQ62" s="75">
        <v>5792.33</v>
      </c>
      <c r="AR62" s="75">
        <v>4818.26</v>
      </c>
      <c r="AS62" s="75">
        <v>10498.78</v>
      </c>
      <c r="AT62" s="72"/>
      <c r="AU62" s="72">
        <v>196.8422997719735</v>
      </c>
    </row>
    <row r="63" spans="1:47" ht="12.75" customHeight="1" x14ac:dyDescent="0.2">
      <c r="A63" s="77" t="s">
        <v>201</v>
      </c>
      <c r="B63" s="78">
        <v>169038.1</v>
      </c>
      <c r="C63" s="79">
        <v>0</v>
      </c>
      <c r="D63" s="79">
        <v>231167.48</v>
      </c>
      <c r="E63" s="80"/>
      <c r="F63" s="81">
        <v>73.123650437336607</v>
      </c>
      <c r="G63" s="78">
        <v>235646.57</v>
      </c>
      <c r="H63" s="79">
        <v>323884.93</v>
      </c>
      <c r="I63" s="79">
        <v>258740.85</v>
      </c>
      <c r="J63" s="79">
        <v>169038.1</v>
      </c>
      <c r="K63" s="82">
        <v>-52540.69</v>
      </c>
      <c r="L63" s="79">
        <v>0</v>
      </c>
      <c r="M63" s="79">
        <v>0</v>
      </c>
      <c r="N63" s="79">
        <v>0</v>
      </c>
      <c r="O63" s="79">
        <v>0</v>
      </c>
      <c r="P63" s="79">
        <v>0</v>
      </c>
      <c r="Q63" s="79">
        <v>0</v>
      </c>
      <c r="R63" s="79">
        <v>0</v>
      </c>
      <c r="S63" s="79">
        <v>987310.45</v>
      </c>
      <c r="T63" s="79">
        <v>0</v>
      </c>
      <c r="U63" s="79">
        <v>0</v>
      </c>
      <c r="V63" s="79">
        <v>0</v>
      </c>
      <c r="W63" s="79">
        <v>0</v>
      </c>
      <c r="X63" s="79">
        <v>0</v>
      </c>
      <c r="Y63" s="79">
        <v>0</v>
      </c>
      <c r="Z63" s="79">
        <v>0</v>
      </c>
      <c r="AA63" s="79">
        <v>0</v>
      </c>
      <c r="AB63" s="79">
        <v>0</v>
      </c>
      <c r="AC63" s="79">
        <v>0</v>
      </c>
      <c r="AD63" s="79">
        <v>0</v>
      </c>
      <c r="AE63" s="79">
        <v>0</v>
      </c>
      <c r="AF63" s="79">
        <v>0</v>
      </c>
      <c r="AG63" s="83">
        <v>272850.02</v>
      </c>
      <c r="AH63" s="83">
        <v>281133.32</v>
      </c>
      <c r="AI63" s="83">
        <v>207464.12</v>
      </c>
      <c r="AJ63" s="83">
        <v>231167.48</v>
      </c>
      <c r="AK63" s="83">
        <v>259257.2</v>
      </c>
      <c r="AL63" s="83">
        <v>282497.96999999997</v>
      </c>
      <c r="AM63" s="83">
        <v>238885</v>
      </c>
      <c r="AN63" s="83">
        <v>249960.13</v>
      </c>
      <c r="AO63" s="83">
        <v>257214.32</v>
      </c>
      <c r="AP63" s="83">
        <v>271992.58</v>
      </c>
      <c r="AQ63" s="83">
        <v>277037.68</v>
      </c>
      <c r="AR63" s="83">
        <v>243649.28</v>
      </c>
      <c r="AS63" s="83">
        <v>992614.94</v>
      </c>
      <c r="AT63" s="80"/>
      <c r="AU63" s="80">
        <v>99.465604456850102</v>
      </c>
    </row>
    <row r="64" spans="1:47" ht="12.75" customHeight="1" x14ac:dyDescent="0.2">
      <c r="A64" s="84" t="s">
        <v>8</v>
      </c>
      <c r="B64" s="85">
        <v>73905.31</v>
      </c>
      <c r="C64" s="86">
        <v>0</v>
      </c>
      <c r="D64" s="89">
        <v>-5140.9799999999996</v>
      </c>
      <c r="E64" s="87"/>
      <c r="F64" s="88">
        <v>-1437.5724083735008</v>
      </c>
      <c r="G64" s="85">
        <v>15948.87</v>
      </c>
      <c r="H64" s="89">
        <v>-19272.349999999999</v>
      </c>
      <c r="I64" s="89">
        <v>-17049.98</v>
      </c>
      <c r="J64" s="86">
        <v>73905.31</v>
      </c>
      <c r="K64" s="86">
        <v>72100.23</v>
      </c>
      <c r="L64" s="86">
        <v>0</v>
      </c>
      <c r="M64" s="86">
        <v>0</v>
      </c>
      <c r="N64" s="86">
        <v>0</v>
      </c>
      <c r="O64" s="86">
        <v>0</v>
      </c>
      <c r="P64" s="86">
        <v>0</v>
      </c>
      <c r="Q64" s="86">
        <v>0</v>
      </c>
      <c r="R64" s="86">
        <v>0</v>
      </c>
      <c r="S64" s="86">
        <v>53531.85</v>
      </c>
      <c r="T64" s="86">
        <v>0</v>
      </c>
      <c r="U64" s="86">
        <v>0</v>
      </c>
      <c r="V64" s="86">
        <v>0</v>
      </c>
      <c r="W64" s="86">
        <v>0</v>
      </c>
      <c r="X64" s="86">
        <v>0</v>
      </c>
      <c r="Y64" s="86">
        <v>0</v>
      </c>
      <c r="Z64" s="86">
        <v>0</v>
      </c>
      <c r="AA64" s="86">
        <v>0</v>
      </c>
      <c r="AB64" s="86">
        <v>0</v>
      </c>
      <c r="AC64" s="86">
        <v>0</v>
      </c>
      <c r="AD64" s="86">
        <v>0</v>
      </c>
      <c r="AE64" s="86">
        <v>0</v>
      </c>
      <c r="AF64" s="86">
        <v>0</v>
      </c>
      <c r="AG64" s="90">
        <v>63930.05</v>
      </c>
      <c r="AH64" s="136">
        <v>-18435.7</v>
      </c>
      <c r="AI64" s="90">
        <v>87535.35</v>
      </c>
      <c r="AJ64" s="136">
        <v>-5140.9799999999996</v>
      </c>
      <c r="AK64" s="90">
        <v>54845.31</v>
      </c>
      <c r="AL64" s="90">
        <v>58124.91</v>
      </c>
      <c r="AM64" s="90">
        <v>55125.77</v>
      </c>
      <c r="AN64" s="90">
        <v>95811.18</v>
      </c>
      <c r="AO64" s="90">
        <v>78355.44</v>
      </c>
      <c r="AP64" s="90">
        <v>57017.81</v>
      </c>
      <c r="AQ64" s="90">
        <v>38144.68</v>
      </c>
      <c r="AR64" s="90">
        <v>84147.47</v>
      </c>
      <c r="AS64" s="90">
        <v>127888.72</v>
      </c>
      <c r="AT64" s="87"/>
      <c r="AU64" s="87">
        <v>41.858148240126262</v>
      </c>
    </row>
    <row r="65" spans="1:51" x14ac:dyDescent="0.2"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  <c r="AI65" s="94"/>
      <c r="AJ65" s="94"/>
      <c r="AK65" s="94"/>
      <c r="AL65" s="94"/>
      <c r="AM65" s="94"/>
      <c r="AN65" s="94"/>
      <c r="AO65" s="94"/>
      <c r="AP65" s="94"/>
      <c r="AQ65" s="94"/>
      <c r="AR65" s="94"/>
      <c r="AS65" s="94"/>
      <c r="AT65" s="14"/>
      <c r="AU65" s="14"/>
      <c r="AV65" s="14"/>
      <c r="AW65" s="14"/>
      <c r="AX65" s="14"/>
      <c r="AY65" s="14"/>
    </row>
    <row r="66" spans="1:51" x14ac:dyDescent="0.2"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</row>
    <row r="67" spans="1:51" ht="15" x14ac:dyDescent="0.25">
      <c r="A67" s="211"/>
      <c r="B67" s="211"/>
      <c r="C67" s="211"/>
      <c r="D67" s="211"/>
      <c r="E67" s="211"/>
      <c r="F67" s="211"/>
      <c r="G67" s="449"/>
      <c r="H67" s="449"/>
      <c r="I67" s="449"/>
      <c r="J67" s="449"/>
      <c r="K67" s="449"/>
      <c r="L67" s="449"/>
      <c r="M67" s="449"/>
      <c r="N67" s="449"/>
      <c r="O67" s="449"/>
      <c r="P67" s="449"/>
      <c r="Q67" s="449"/>
      <c r="R67" s="449"/>
      <c r="S67" s="449"/>
      <c r="T67" s="449"/>
      <c r="U67" s="449"/>
      <c r="V67" s="449"/>
      <c r="W67" s="449"/>
      <c r="X67" s="449"/>
      <c r="Y67" s="449"/>
      <c r="Z67" s="449"/>
      <c r="AA67" s="449"/>
      <c r="AB67" s="449"/>
      <c r="AC67" s="449"/>
      <c r="AD67" s="449"/>
      <c r="AE67" s="449"/>
      <c r="AF67" s="449"/>
      <c r="AG67" s="449"/>
      <c r="AH67" s="449"/>
      <c r="AI67" s="449"/>
      <c r="AJ67" s="449"/>
      <c r="AK67" s="449"/>
      <c r="AL67" s="449"/>
      <c r="AM67" s="449"/>
      <c r="AN67" s="449"/>
      <c r="AO67" s="449"/>
      <c r="AP67" s="449"/>
      <c r="AQ67" s="449"/>
      <c r="AR67" s="449"/>
      <c r="AS67" s="449"/>
      <c r="AT67" s="449"/>
      <c r="AU67" s="14"/>
      <c r="AV67" s="14"/>
      <c r="AW67" s="14"/>
      <c r="AX67" s="14"/>
      <c r="AY67" s="14"/>
    </row>
    <row r="68" spans="1:51" ht="15" x14ac:dyDescent="0.25">
      <c r="A68" s="211"/>
      <c r="B68" s="211"/>
      <c r="C68" s="211"/>
      <c r="D68" s="211"/>
      <c r="E68" s="211"/>
      <c r="F68" s="211"/>
      <c r="G68" s="21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Z68" s="211"/>
      <c r="AA68" s="211"/>
      <c r="AB68" s="211"/>
      <c r="AC68" s="211"/>
      <c r="AD68" s="211"/>
      <c r="AE68" s="211"/>
      <c r="AF68" s="211"/>
      <c r="AG68" s="211"/>
      <c r="AH68" s="211"/>
      <c r="AI68" s="211"/>
      <c r="AJ68" s="211"/>
      <c r="AK68" s="211"/>
      <c r="AL68" s="211"/>
      <c r="AM68" s="211"/>
      <c r="AN68" s="211"/>
      <c r="AO68" s="211"/>
      <c r="AP68" s="211"/>
      <c r="AQ68" s="211"/>
      <c r="AR68" s="211"/>
      <c r="AS68" s="211"/>
      <c r="AT68" s="211"/>
    </row>
    <row r="69" spans="1:51" ht="15" x14ac:dyDescent="0.25">
      <c r="A69" s="211"/>
      <c r="B69" s="211"/>
      <c r="C69" s="211"/>
      <c r="D69" s="211"/>
      <c r="E69" s="211"/>
      <c r="F69" s="211"/>
      <c r="G69" s="211"/>
      <c r="H69" s="211"/>
      <c r="I69" s="211"/>
      <c r="J69" s="211"/>
      <c r="K69" s="211"/>
      <c r="L69" s="211"/>
      <c r="M69" s="211"/>
      <c r="N69" s="211"/>
      <c r="O69" s="211"/>
      <c r="P69" s="211"/>
      <c r="Q69" s="211"/>
      <c r="R69" s="211"/>
      <c r="S69" s="211"/>
      <c r="T69" s="211"/>
      <c r="U69" s="211"/>
      <c r="V69" s="211"/>
      <c r="W69" s="211"/>
      <c r="X69" s="211"/>
      <c r="Y69" s="211"/>
      <c r="Z69" s="211"/>
      <c r="AA69" s="211"/>
      <c r="AB69" s="211"/>
      <c r="AC69" s="211"/>
      <c r="AD69" s="211"/>
      <c r="AE69" s="211"/>
      <c r="AF69" s="211"/>
      <c r="AG69" s="211"/>
      <c r="AH69" s="211"/>
      <c r="AI69" s="211"/>
      <c r="AJ69" s="211"/>
      <c r="AK69" s="211"/>
      <c r="AL69" s="211"/>
      <c r="AM69" s="211"/>
      <c r="AN69" s="211"/>
      <c r="AO69" s="211"/>
      <c r="AP69" s="211"/>
      <c r="AQ69" s="211"/>
      <c r="AR69" s="211"/>
      <c r="AS69" s="211"/>
      <c r="AT69" s="211"/>
      <c r="AU69" s="211"/>
      <c r="AV69" s="211"/>
    </row>
    <row r="70" spans="1:51" ht="15" x14ac:dyDescent="0.25">
      <c r="A70" s="211"/>
      <c r="B70" s="211"/>
      <c r="C70" s="211"/>
      <c r="D70" s="211"/>
      <c r="G70" s="211"/>
      <c r="H70" s="211"/>
      <c r="I70" s="211"/>
      <c r="J70" s="211"/>
      <c r="K70" s="211"/>
      <c r="L70" s="211"/>
      <c r="M70" s="211"/>
      <c r="N70" s="211"/>
      <c r="O70" s="211"/>
      <c r="P70" s="211"/>
      <c r="Q70" s="211"/>
      <c r="R70" s="211"/>
      <c r="S70" s="211"/>
      <c r="T70" s="211"/>
      <c r="U70" s="211"/>
      <c r="V70" s="211"/>
      <c r="W70" s="211"/>
      <c r="X70" s="211"/>
      <c r="Y70" s="211"/>
      <c r="Z70" s="211"/>
      <c r="AA70" s="211"/>
      <c r="AB70" s="211"/>
      <c r="AC70" s="211"/>
      <c r="AD70" s="211"/>
      <c r="AE70" s="211"/>
      <c r="AF70" s="211"/>
      <c r="AG70" s="211"/>
      <c r="AH70" s="211"/>
      <c r="AI70" s="211"/>
      <c r="AJ70" s="211"/>
      <c r="AK70" s="211"/>
      <c r="AL70" s="211"/>
      <c r="AM70" s="211"/>
      <c r="AN70" s="211"/>
      <c r="AO70" s="211"/>
      <c r="AP70" s="211"/>
      <c r="AQ70" s="211"/>
      <c r="AR70" s="211"/>
      <c r="AS70" s="211"/>
      <c r="AT70" s="211"/>
      <c r="AU70" s="211"/>
      <c r="AV70" s="211"/>
    </row>
    <row r="71" spans="1:51" ht="15" x14ac:dyDescent="0.25">
      <c r="A71" s="211"/>
      <c r="B71" s="489"/>
      <c r="C71" s="489"/>
      <c r="D71" s="489"/>
      <c r="E71" s="489"/>
      <c r="F71" s="489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V71" s="211"/>
      <c r="W71" s="211"/>
      <c r="X71" s="211"/>
      <c r="Y71" s="211"/>
      <c r="Z71" s="211"/>
      <c r="AA71" s="211"/>
      <c r="AB71" s="211"/>
      <c r="AC71" s="211"/>
      <c r="AD71" s="211"/>
      <c r="AE71" s="211"/>
      <c r="AF71" s="211"/>
      <c r="AG71" s="211"/>
      <c r="AH71" s="211"/>
      <c r="AI71" s="211"/>
      <c r="AJ71" s="211"/>
      <c r="AK71" s="211"/>
      <c r="AL71" s="211"/>
      <c r="AM71" s="211"/>
      <c r="AN71" s="211"/>
      <c r="AO71" s="211"/>
      <c r="AP71" s="211"/>
      <c r="AQ71" s="211"/>
      <c r="AR71" s="211"/>
      <c r="AS71" s="211"/>
      <c r="AT71" s="211"/>
      <c r="AU71" s="211"/>
      <c r="AV71" s="211"/>
    </row>
    <row r="72" spans="1:51" ht="15" x14ac:dyDescent="0.25">
      <c r="A72" s="211"/>
      <c r="B72" s="211"/>
      <c r="C72" s="211"/>
      <c r="D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1"/>
      <c r="X72" s="211"/>
      <c r="Y72" s="211"/>
      <c r="Z72" s="211"/>
      <c r="AA72" s="211"/>
      <c r="AB72" s="211"/>
      <c r="AC72" s="211"/>
      <c r="AD72" s="211"/>
      <c r="AE72" s="211"/>
      <c r="AF72" s="211"/>
      <c r="AG72" s="211"/>
      <c r="AH72" s="211"/>
      <c r="AI72" s="211"/>
      <c r="AJ72" s="211"/>
      <c r="AK72" s="211"/>
      <c r="AL72" s="211"/>
      <c r="AM72" s="211"/>
      <c r="AN72" s="211"/>
      <c r="AO72" s="211"/>
      <c r="AP72" s="211"/>
      <c r="AQ72" s="211"/>
      <c r="AR72" s="211"/>
      <c r="AS72" s="211"/>
      <c r="AT72" s="211"/>
      <c r="AU72" s="211"/>
      <c r="AV72" s="211"/>
    </row>
    <row r="73" spans="1:51" ht="15" x14ac:dyDescent="0.25">
      <c r="A73" s="211"/>
      <c r="B73" s="211"/>
      <c r="C73" s="211"/>
      <c r="D73" s="211"/>
      <c r="G73" s="211"/>
      <c r="H73" s="211"/>
      <c r="I73" s="211"/>
      <c r="J73" s="211"/>
      <c r="K73" s="211"/>
      <c r="L73" s="211"/>
      <c r="M73" s="211"/>
      <c r="N73" s="211"/>
      <c r="O73" s="211"/>
      <c r="P73" s="211"/>
      <c r="Q73" s="211"/>
      <c r="R73" s="211"/>
      <c r="S73" s="211"/>
      <c r="T73" s="211"/>
      <c r="U73" s="211"/>
      <c r="V73" s="211"/>
      <c r="W73" s="211"/>
      <c r="X73" s="211"/>
      <c r="Y73" s="211"/>
      <c r="Z73" s="211"/>
      <c r="AA73" s="211"/>
      <c r="AB73" s="211"/>
      <c r="AC73" s="211"/>
      <c r="AD73" s="211"/>
      <c r="AE73" s="211"/>
      <c r="AF73" s="211"/>
      <c r="AG73" s="211"/>
      <c r="AH73" s="211"/>
      <c r="AI73" s="211"/>
      <c r="AJ73" s="211"/>
      <c r="AK73" s="211"/>
      <c r="AL73" s="211"/>
      <c r="AM73" s="211"/>
      <c r="AN73" s="211"/>
      <c r="AO73" s="211"/>
      <c r="AP73" s="211"/>
      <c r="AQ73" s="211"/>
      <c r="AR73" s="211"/>
      <c r="AS73" s="211"/>
      <c r="AT73" s="211"/>
      <c r="AU73" s="211"/>
      <c r="AV73" s="211"/>
    </row>
    <row r="74" spans="1:51" ht="15" x14ac:dyDescent="0.25">
      <c r="A74" s="211"/>
      <c r="B74" s="211"/>
      <c r="C74" s="211"/>
      <c r="D74" s="211"/>
      <c r="G74" s="211"/>
      <c r="H74" s="211"/>
      <c r="I74" s="211"/>
      <c r="J74" s="211"/>
      <c r="K74" s="211"/>
      <c r="L74" s="211"/>
      <c r="M74" s="211"/>
      <c r="N74" s="211"/>
      <c r="O74" s="211"/>
      <c r="P74" s="211"/>
      <c r="Q74" s="211"/>
      <c r="R74" s="211"/>
      <c r="S74" s="211"/>
      <c r="T74" s="211"/>
      <c r="U74" s="211"/>
      <c r="V74" s="211"/>
      <c r="W74" s="211"/>
      <c r="X74" s="211"/>
      <c r="Y74" s="211"/>
      <c r="Z74" s="211"/>
      <c r="AA74" s="211"/>
      <c r="AB74" s="211"/>
      <c r="AC74" s="211"/>
      <c r="AD74" s="211"/>
      <c r="AE74" s="211"/>
      <c r="AF74" s="211"/>
      <c r="AG74" s="211"/>
      <c r="AH74" s="211"/>
      <c r="AI74" s="211"/>
      <c r="AJ74" s="211"/>
      <c r="AK74" s="211"/>
      <c r="AL74" s="211"/>
      <c r="AM74" s="211"/>
      <c r="AN74" s="211"/>
      <c r="AO74" s="211"/>
      <c r="AP74" s="211"/>
      <c r="AQ74" s="211"/>
      <c r="AR74" s="211"/>
      <c r="AS74" s="211"/>
      <c r="AT74" s="211"/>
      <c r="AU74" s="211"/>
      <c r="AV74" s="211"/>
    </row>
    <row r="75" spans="1:51" ht="15" x14ac:dyDescent="0.25">
      <c r="A75" s="211"/>
      <c r="B75" s="211"/>
      <c r="C75" s="211"/>
      <c r="D75" s="211"/>
      <c r="G75" s="211"/>
      <c r="H75" s="211"/>
      <c r="I75" s="211"/>
      <c r="J75" s="211"/>
      <c r="K75" s="211"/>
      <c r="L75" s="211"/>
      <c r="M75" s="211"/>
      <c r="N75" s="211"/>
      <c r="O75" s="211"/>
      <c r="P75" s="211"/>
      <c r="Q75" s="211"/>
      <c r="R75" s="211"/>
      <c r="S75" s="211"/>
      <c r="T75" s="211"/>
      <c r="U75" s="211"/>
      <c r="V75" s="211"/>
      <c r="W75" s="211"/>
      <c r="X75" s="211"/>
      <c r="Y75" s="211"/>
      <c r="Z75" s="211"/>
      <c r="AA75" s="211"/>
      <c r="AB75" s="211"/>
      <c r="AC75" s="211"/>
      <c r="AD75" s="211"/>
      <c r="AE75" s="211"/>
      <c r="AF75" s="211"/>
      <c r="AG75" s="211"/>
      <c r="AH75" s="211"/>
      <c r="AI75" s="211"/>
      <c r="AJ75" s="211"/>
      <c r="AK75" s="211"/>
      <c r="AL75" s="211"/>
      <c r="AM75" s="211"/>
      <c r="AN75" s="211"/>
      <c r="AO75" s="211"/>
      <c r="AP75" s="211"/>
      <c r="AQ75" s="211"/>
      <c r="AR75" s="211"/>
      <c r="AS75" s="211"/>
      <c r="AT75" s="211"/>
      <c r="AU75" s="211"/>
      <c r="AV75" s="211"/>
    </row>
    <row r="76" spans="1:51" x14ac:dyDescent="0.2">
      <c r="AF76" s="486"/>
    </row>
    <row r="120" spans="19:45" x14ac:dyDescent="0.2">
      <c r="S120" s="485">
        <f>+S14</f>
        <v>278308.99</v>
      </c>
      <c r="AS120" s="485">
        <f>SUM(AG14:AR14)</f>
        <v>960927.16</v>
      </c>
    </row>
    <row r="121" spans="19:45" x14ac:dyDescent="0.2">
      <c r="S121" s="485">
        <f>+S2</f>
        <v>1040842.3</v>
      </c>
      <c r="AS121" s="485">
        <f>SUM(AG2:AR2)</f>
        <v>3722570.3899999997</v>
      </c>
    </row>
    <row r="122" spans="19:45" x14ac:dyDescent="0.2">
      <c r="S122" s="14">
        <f>+S120/S121</f>
        <v>0.26738823931348676</v>
      </c>
      <c r="AS122" s="14">
        <f>+AS120/AS121</f>
        <v>0.25813539015443576</v>
      </c>
    </row>
  </sheetData>
  <pageMargins left="0.75" right="0.75" top="1" bottom="1" header="0.5" footer="0.5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FFFF"/>
    <pageSetUpPr fitToPage="1"/>
  </sheetPr>
  <dimension ref="A1:AX122"/>
  <sheetViews>
    <sheetView workbookViewId="0">
      <pane xSplit="1" ySplit="1" topLeftCell="B2" activePane="bottomRight" state="frozen"/>
      <selection activeCell="A73" sqref="A73"/>
      <selection pane="topRight" activeCell="A73" sqref="A73"/>
      <selection pane="bottomLeft" activeCell="A73" sqref="A73"/>
      <selection pane="bottomRight" sqref="A1:AU64"/>
    </sheetView>
  </sheetViews>
  <sheetFormatPr defaultColWidth="9.42578125" defaultRowHeight="12.75" outlineLevelRow="1" outlineLevelCol="1" x14ac:dyDescent="0.2"/>
  <cols>
    <col min="1" max="1" width="54.5703125" style="8" bestFit="1" customWidth="1"/>
    <col min="2" max="2" width="8.5703125" style="8" customWidth="1"/>
    <col min="3" max="3" width="7.42578125" style="8" customWidth="1"/>
    <col min="4" max="4" width="8.5703125" style="8" customWidth="1"/>
    <col min="5" max="5" width="9.5703125" style="8" customWidth="1"/>
    <col min="6" max="6" width="12.42578125" style="8" customWidth="1"/>
    <col min="7" max="9" width="8.5703125" style="8" hidden="1" customWidth="1" outlineLevel="1"/>
    <col min="10" max="11" width="7.42578125" style="8" hidden="1" customWidth="1" outlineLevel="1"/>
    <col min="12" max="12" width="7.5703125" style="8" hidden="1" customWidth="1" outlineLevel="1"/>
    <col min="13" max="18" width="7.42578125" style="8" hidden="1" customWidth="1" outlineLevel="1"/>
    <col min="19" max="19" width="14.5703125" style="8" bestFit="1" customWidth="1" collapsed="1"/>
    <col min="20" max="31" width="7.42578125" style="8" hidden="1" customWidth="1" outlineLevel="1"/>
    <col min="32" max="32" width="14.5703125" style="8" bestFit="1" customWidth="1" collapsed="1"/>
    <col min="33" max="35" width="8.5703125" style="8" hidden="1" customWidth="1" outlineLevel="1"/>
    <col min="36" max="36" width="7.5703125" style="8" hidden="1" customWidth="1" outlineLevel="1"/>
    <col min="37" max="39" width="8.5703125" style="8" hidden="1" customWidth="1" outlineLevel="1"/>
    <col min="40" max="40" width="7.5703125" style="8" hidden="1" customWidth="1" outlineLevel="1"/>
    <col min="41" max="41" width="9.5703125" style="8" hidden="1" customWidth="1" outlineLevel="1"/>
    <col min="42" max="42" width="7.5703125" style="8" hidden="1" customWidth="1" outlineLevel="1"/>
    <col min="43" max="43" width="8.5703125" style="8" hidden="1" customWidth="1" outlineLevel="1"/>
    <col min="44" max="44" width="9.5703125" style="8" hidden="1" customWidth="1" outlineLevel="1"/>
    <col min="45" max="45" width="12.28515625" style="8" customWidth="1" collapsed="1"/>
    <col min="46" max="47" width="10" style="8" bestFit="1" customWidth="1"/>
    <col min="48" max="16384" width="9.42578125" style="8"/>
  </cols>
  <sheetData>
    <row r="1" spans="1:50" ht="40.3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50" collapsed="1" x14ac:dyDescent="0.2">
      <c r="A2" s="95" t="s">
        <v>7</v>
      </c>
      <c r="B2" s="62">
        <v>1625</v>
      </c>
      <c r="C2" s="54">
        <v>0</v>
      </c>
      <c r="D2" s="54">
        <v>0</v>
      </c>
      <c r="E2" s="63"/>
      <c r="F2" s="64"/>
      <c r="G2" s="65">
        <v>995</v>
      </c>
      <c r="H2" s="54">
        <v>1587.5</v>
      </c>
      <c r="I2" s="54">
        <v>1473.75</v>
      </c>
      <c r="J2" s="54">
        <v>1625</v>
      </c>
      <c r="K2" s="54">
        <v>0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5681.25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0</v>
      </c>
      <c r="AH2" s="67">
        <v>0</v>
      </c>
      <c r="AI2" s="67">
        <v>0</v>
      </c>
      <c r="AJ2" s="67">
        <v>0</v>
      </c>
      <c r="AK2" s="67">
        <v>2840</v>
      </c>
      <c r="AL2" s="67">
        <v>3535</v>
      </c>
      <c r="AM2" s="67">
        <v>1818</v>
      </c>
      <c r="AN2" s="67">
        <v>325</v>
      </c>
      <c r="AO2" s="67">
        <v>430</v>
      </c>
      <c r="AP2" s="67">
        <v>590</v>
      </c>
      <c r="AQ2" s="67">
        <v>0</v>
      </c>
      <c r="AR2" s="67">
        <v>5934.25</v>
      </c>
      <c r="AS2" s="68">
        <v>0</v>
      </c>
      <c r="AT2" s="63"/>
      <c r="AU2" s="63"/>
      <c r="AX2" s="26">
        <f>+S2-AS2</f>
        <v>5681.25</v>
      </c>
    </row>
    <row r="3" spans="1:50" hidden="1" outlineLevel="1" x14ac:dyDescent="0.2">
      <c r="A3" s="95" t="s">
        <v>160</v>
      </c>
      <c r="B3" s="62">
        <v>0</v>
      </c>
      <c r="C3" s="54">
        <v>0</v>
      </c>
      <c r="D3" s="54">
        <v>390.72</v>
      </c>
      <c r="E3" s="63"/>
      <c r="F3" s="64">
        <v>0</v>
      </c>
      <c r="G3" s="65">
        <v>0</v>
      </c>
      <c r="H3" s="54">
        <v>0</v>
      </c>
      <c r="I3" s="54">
        <v>0</v>
      </c>
      <c r="J3" s="54">
        <v>0</v>
      </c>
      <c r="K3" s="54">
        <v>0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0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1298.8499999999999</v>
      </c>
      <c r="AH3" s="67">
        <v>723.82</v>
      </c>
      <c r="AI3" s="98">
        <v>-275.7</v>
      </c>
      <c r="AJ3" s="67">
        <v>390.72</v>
      </c>
      <c r="AK3" s="67">
        <v>1286.1199999999999</v>
      </c>
      <c r="AL3" s="67">
        <v>0</v>
      </c>
      <c r="AM3" s="67">
        <v>618.64</v>
      </c>
      <c r="AN3" s="67">
        <v>0</v>
      </c>
      <c r="AO3" s="67">
        <v>944.24</v>
      </c>
      <c r="AP3" s="67">
        <v>716.32</v>
      </c>
      <c r="AQ3" s="67">
        <v>65.12</v>
      </c>
      <c r="AR3" s="67">
        <v>0</v>
      </c>
      <c r="AS3" s="68">
        <v>2137.69</v>
      </c>
      <c r="AT3" s="63"/>
      <c r="AU3" s="63">
        <v>0</v>
      </c>
    </row>
    <row r="4" spans="1:50" hidden="1" outlineLevel="1" x14ac:dyDescent="0.2">
      <c r="A4" s="95" t="s">
        <v>161</v>
      </c>
      <c r="B4" s="62">
        <v>0</v>
      </c>
      <c r="C4" s="54">
        <v>0</v>
      </c>
      <c r="D4" s="54">
        <v>0</v>
      </c>
      <c r="E4" s="63"/>
      <c r="F4" s="64"/>
      <c r="G4" s="65">
        <v>0</v>
      </c>
      <c r="H4" s="54">
        <v>0</v>
      </c>
      <c r="I4" s="54">
        <v>0</v>
      </c>
      <c r="J4" s="54">
        <v>0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0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438.34</v>
      </c>
      <c r="AH4" s="67">
        <v>426.9</v>
      </c>
      <c r="AI4" s="98">
        <v>-865.24</v>
      </c>
      <c r="AJ4" s="67">
        <v>0</v>
      </c>
      <c r="AK4" s="67">
        <v>0</v>
      </c>
      <c r="AL4" s="67">
        <v>0</v>
      </c>
      <c r="AM4" s="67">
        <v>0</v>
      </c>
      <c r="AN4" s="67">
        <v>0</v>
      </c>
      <c r="AO4" s="67">
        <v>0</v>
      </c>
      <c r="AP4" s="67">
        <v>0</v>
      </c>
      <c r="AQ4" s="67">
        <v>0</v>
      </c>
      <c r="AR4" s="67">
        <v>0</v>
      </c>
      <c r="AS4" s="68">
        <v>0</v>
      </c>
      <c r="AT4" s="63"/>
      <c r="AU4" s="63"/>
    </row>
    <row r="5" spans="1:50" hidden="1" outlineLevel="1" x14ac:dyDescent="0.2">
      <c r="A5" s="95" t="s">
        <v>162</v>
      </c>
      <c r="B5" s="62">
        <v>0</v>
      </c>
      <c r="C5" s="54">
        <v>0</v>
      </c>
      <c r="D5" s="54">
        <v>0</v>
      </c>
      <c r="E5" s="63"/>
      <c r="F5" s="64"/>
      <c r="G5" s="65">
        <v>0</v>
      </c>
      <c r="H5" s="54">
        <v>0</v>
      </c>
      <c r="I5" s="54">
        <v>0</v>
      </c>
      <c r="J5" s="54">
        <v>0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0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246.2</v>
      </c>
      <c r="AH5" s="67">
        <v>285.7</v>
      </c>
      <c r="AI5" s="98">
        <v>-531.9</v>
      </c>
      <c r="AJ5" s="67">
        <v>0</v>
      </c>
      <c r="AK5" s="67">
        <v>0</v>
      </c>
      <c r="AL5" s="67">
        <v>0</v>
      </c>
      <c r="AM5" s="67">
        <v>0</v>
      </c>
      <c r="AN5" s="67">
        <v>0</v>
      </c>
      <c r="AO5" s="67">
        <v>0</v>
      </c>
      <c r="AP5" s="67">
        <v>0</v>
      </c>
      <c r="AQ5" s="67">
        <v>0</v>
      </c>
      <c r="AR5" s="67">
        <v>0</v>
      </c>
      <c r="AS5" s="68">
        <v>0</v>
      </c>
      <c r="AT5" s="63"/>
      <c r="AU5" s="63"/>
    </row>
    <row r="6" spans="1:50" hidden="1" outlineLevel="1" x14ac:dyDescent="0.2">
      <c r="A6" s="95" t="s">
        <v>163</v>
      </c>
      <c r="B6" s="62">
        <v>0</v>
      </c>
      <c r="C6" s="54">
        <v>0</v>
      </c>
      <c r="D6" s="54">
        <v>0</v>
      </c>
      <c r="E6" s="63"/>
      <c r="F6" s="64"/>
      <c r="G6" s="65">
        <v>0</v>
      </c>
      <c r="H6" s="54">
        <v>0</v>
      </c>
      <c r="I6" s="54">
        <v>0</v>
      </c>
      <c r="J6" s="54">
        <v>0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0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0</v>
      </c>
      <c r="AH6" s="67">
        <v>0</v>
      </c>
      <c r="AI6" s="67">
        <v>0</v>
      </c>
      <c r="AJ6" s="67">
        <v>0</v>
      </c>
      <c r="AK6" s="67">
        <v>0</v>
      </c>
      <c r="AL6" s="67">
        <v>0</v>
      </c>
      <c r="AM6" s="67">
        <v>0</v>
      </c>
      <c r="AN6" s="67">
        <v>0</v>
      </c>
      <c r="AO6" s="67">
        <v>0</v>
      </c>
      <c r="AP6" s="67">
        <v>0</v>
      </c>
      <c r="AQ6" s="67">
        <v>0</v>
      </c>
      <c r="AR6" s="67">
        <v>0</v>
      </c>
      <c r="AS6" s="68">
        <v>0</v>
      </c>
      <c r="AT6" s="63"/>
      <c r="AU6" s="63"/>
    </row>
    <row r="7" spans="1:50" hidden="1" outlineLevel="1" x14ac:dyDescent="0.2">
      <c r="A7" s="95" t="s">
        <v>164</v>
      </c>
      <c r="B7" s="62">
        <v>0</v>
      </c>
      <c r="C7" s="54">
        <v>0</v>
      </c>
      <c r="D7" s="54">
        <v>0</v>
      </c>
      <c r="E7" s="63"/>
      <c r="F7" s="64"/>
      <c r="G7" s="97">
        <v>-2266.16</v>
      </c>
      <c r="H7" s="54">
        <v>0</v>
      </c>
      <c r="I7" s="54">
        <v>0</v>
      </c>
      <c r="J7" s="54">
        <v>0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76">
        <v>-2266.16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89.42</v>
      </c>
      <c r="AH7" s="67">
        <v>89.42</v>
      </c>
      <c r="AI7" s="98">
        <v>-178.84</v>
      </c>
      <c r="AJ7" s="67">
        <v>0</v>
      </c>
      <c r="AK7" s="67">
        <v>0</v>
      </c>
      <c r="AL7" s="67">
        <v>0</v>
      </c>
      <c r="AM7" s="67">
        <v>0</v>
      </c>
      <c r="AN7" s="67">
        <v>0</v>
      </c>
      <c r="AO7" s="67">
        <v>0</v>
      </c>
      <c r="AP7" s="67">
        <v>755.39</v>
      </c>
      <c r="AQ7" s="67">
        <v>755.39</v>
      </c>
      <c r="AR7" s="67">
        <v>755.38</v>
      </c>
      <c r="AS7" s="68">
        <v>0</v>
      </c>
      <c r="AT7" s="63"/>
      <c r="AU7" s="63"/>
    </row>
    <row r="8" spans="1:50" hidden="1" outlineLevel="1" x14ac:dyDescent="0.2">
      <c r="A8" s="95" t="s">
        <v>165</v>
      </c>
      <c r="B8" s="62">
        <v>0</v>
      </c>
      <c r="C8" s="54">
        <v>0</v>
      </c>
      <c r="D8" s="54">
        <v>0</v>
      </c>
      <c r="E8" s="63"/>
      <c r="F8" s="64"/>
      <c r="G8" s="65">
        <v>0</v>
      </c>
      <c r="H8" s="54">
        <v>0</v>
      </c>
      <c r="I8" s="54">
        <v>0</v>
      </c>
      <c r="J8" s="54">
        <v>0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66">
        <v>0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66">
        <v>0</v>
      </c>
      <c r="AG8" s="67">
        <v>13.28</v>
      </c>
      <c r="AH8" s="67">
        <v>0</v>
      </c>
      <c r="AI8" s="98">
        <v>-13.28</v>
      </c>
      <c r="AJ8" s="67">
        <v>0</v>
      </c>
      <c r="AK8" s="67">
        <v>0</v>
      </c>
      <c r="AL8" s="67">
        <v>0</v>
      </c>
      <c r="AM8" s="67">
        <v>0</v>
      </c>
      <c r="AN8" s="67">
        <v>0</v>
      </c>
      <c r="AO8" s="67">
        <v>0</v>
      </c>
      <c r="AP8" s="67">
        <v>0</v>
      </c>
      <c r="AQ8" s="67">
        <v>0</v>
      </c>
      <c r="AR8" s="67">
        <v>0</v>
      </c>
      <c r="AS8" s="68">
        <v>0</v>
      </c>
      <c r="AT8" s="63"/>
      <c r="AU8" s="63"/>
    </row>
    <row r="9" spans="1:50" collapsed="1" x14ac:dyDescent="0.2">
      <c r="A9" s="69" t="s">
        <v>166</v>
      </c>
      <c r="B9" s="70">
        <v>0</v>
      </c>
      <c r="C9" s="71">
        <v>0</v>
      </c>
      <c r="D9" s="71">
        <v>390.72</v>
      </c>
      <c r="E9" s="72"/>
      <c r="F9" s="73">
        <v>0</v>
      </c>
      <c r="G9" s="133">
        <v>-2266.16</v>
      </c>
      <c r="H9" s="71">
        <v>0</v>
      </c>
      <c r="I9" s="71">
        <v>0</v>
      </c>
      <c r="J9" s="71">
        <v>0</v>
      </c>
      <c r="K9" s="71">
        <v>0</v>
      </c>
      <c r="L9" s="71">
        <v>0</v>
      </c>
      <c r="M9" s="71">
        <v>0</v>
      </c>
      <c r="N9" s="71">
        <v>0</v>
      </c>
      <c r="O9" s="71">
        <v>0</v>
      </c>
      <c r="P9" s="71">
        <v>0</v>
      </c>
      <c r="Q9" s="71">
        <v>0</v>
      </c>
      <c r="R9" s="71">
        <v>0</v>
      </c>
      <c r="S9" s="74">
        <v>-2266.16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0</v>
      </c>
      <c r="AA9" s="71">
        <v>0</v>
      </c>
      <c r="AB9" s="71">
        <v>0</v>
      </c>
      <c r="AC9" s="71">
        <v>0</v>
      </c>
      <c r="AD9" s="71">
        <v>0</v>
      </c>
      <c r="AE9" s="71">
        <v>0</v>
      </c>
      <c r="AF9" s="71">
        <v>0</v>
      </c>
      <c r="AG9" s="75">
        <v>2086.09</v>
      </c>
      <c r="AH9" s="75">
        <v>1525.84</v>
      </c>
      <c r="AI9" s="134">
        <v>-1864.96</v>
      </c>
      <c r="AJ9" s="75">
        <v>390.72</v>
      </c>
      <c r="AK9" s="75">
        <v>1286.1199999999999</v>
      </c>
      <c r="AL9" s="75">
        <v>0</v>
      </c>
      <c r="AM9" s="75">
        <v>618.64</v>
      </c>
      <c r="AN9" s="75">
        <v>0</v>
      </c>
      <c r="AO9" s="75">
        <v>944.24</v>
      </c>
      <c r="AP9" s="75">
        <v>1471.71</v>
      </c>
      <c r="AQ9" s="75">
        <v>820.51</v>
      </c>
      <c r="AR9" s="75">
        <v>755.38</v>
      </c>
      <c r="AS9" s="75">
        <v>2137.69</v>
      </c>
      <c r="AT9" s="72"/>
      <c r="AU9" s="72">
        <v>-106.0097581969322</v>
      </c>
    </row>
    <row r="10" spans="1:50" x14ac:dyDescent="0.2">
      <c r="A10" s="95" t="s">
        <v>167</v>
      </c>
      <c r="B10" s="62"/>
      <c r="C10" s="54"/>
      <c r="D10" s="54"/>
      <c r="E10" s="63"/>
      <c r="F10" s="64"/>
      <c r="G10" s="65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66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8"/>
      <c r="AT10" s="63"/>
      <c r="AU10" s="63"/>
    </row>
    <row r="11" spans="1:50" x14ac:dyDescent="0.2">
      <c r="A11" s="95" t="s">
        <v>168</v>
      </c>
      <c r="B11" s="62"/>
      <c r="C11" s="54"/>
      <c r="D11" s="54"/>
      <c r="E11" s="63"/>
      <c r="F11" s="64"/>
      <c r="G11" s="65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66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66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8"/>
      <c r="AT11" s="63"/>
      <c r="AU11" s="63"/>
    </row>
    <row r="12" spans="1:50" x14ac:dyDescent="0.2">
      <c r="A12" s="95" t="s">
        <v>169</v>
      </c>
      <c r="B12" s="62"/>
      <c r="C12" s="54"/>
      <c r="D12" s="54"/>
      <c r="E12" s="63"/>
      <c r="F12" s="64"/>
      <c r="G12" s="65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66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6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8"/>
      <c r="AT12" s="63"/>
      <c r="AU12" s="63"/>
    </row>
    <row r="13" spans="1:50" x14ac:dyDescent="0.2">
      <c r="A13" s="95" t="s">
        <v>50</v>
      </c>
      <c r="B13" s="62">
        <v>0</v>
      </c>
      <c r="C13" s="54">
        <v>0</v>
      </c>
      <c r="D13" s="54">
        <v>0</v>
      </c>
      <c r="E13" s="63"/>
      <c r="F13" s="64"/>
      <c r="G13" s="65">
        <v>0</v>
      </c>
      <c r="H13" s="54">
        <v>0</v>
      </c>
      <c r="I13" s="54">
        <v>0</v>
      </c>
      <c r="J13" s="54">
        <v>0</v>
      </c>
      <c r="K13" s="54">
        <v>0</v>
      </c>
      <c r="L13" s="54">
        <v>0</v>
      </c>
      <c r="M13" s="54">
        <v>0</v>
      </c>
      <c r="N13" s="54">
        <v>0</v>
      </c>
      <c r="O13" s="54">
        <v>0</v>
      </c>
      <c r="P13" s="54">
        <v>0</v>
      </c>
      <c r="Q13" s="54">
        <v>0</v>
      </c>
      <c r="R13" s="54">
        <v>0</v>
      </c>
      <c r="S13" s="66">
        <v>0</v>
      </c>
      <c r="T13" s="54">
        <v>0</v>
      </c>
      <c r="U13" s="54">
        <v>0</v>
      </c>
      <c r="V13" s="54">
        <v>0</v>
      </c>
      <c r="W13" s="54">
        <v>0</v>
      </c>
      <c r="X13" s="54">
        <v>0</v>
      </c>
      <c r="Y13" s="54">
        <v>0</v>
      </c>
      <c r="Z13" s="54">
        <v>0</v>
      </c>
      <c r="AA13" s="54">
        <v>0</v>
      </c>
      <c r="AB13" s="54">
        <v>0</v>
      </c>
      <c r="AC13" s="54">
        <v>0</v>
      </c>
      <c r="AD13" s="54">
        <v>0</v>
      </c>
      <c r="AE13" s="54">
        <v>0</v>
      </c>
      <c r="AF13" s="66">
        <v>0</v>
      </c>
      <c r="AG13" s="67">
        <v>0</v>
      </c>
      <c r="AH13" s="67">
        <v>0</v>
      </c>
      <c r="AI13" s="67">
        <v>0</v>
      </c>
      <c r="AJ13" s="67">
        <v>0</v>
      </c>
      <c r="AK13" s="67">
        <v>0</v>
      </c>
      <c r="AL13" s="67">
        <v>0</v>
      </c>
      <c r="AM13" s="67">
        <v>0</v>
      </c>
      <c r="AN13" s="67">
        <v>0</v>
      </c>
      <c r="AO13" s="67">
        <v>0</v>
      </c>
      <c r="AP13" s="67">
        <v>0</v>
      </c>
      <c r="AQ13" s="67">
        <v>0</v>
      </c>
      <c r="AR13" s="67">
        <v>0</v>
      </c>
      <c r="AS13" s="68">
        <v>0</v>
      </c>
      <c r="AT13" s="63"/>
      <c r="AU13" s="63"/>
    </row>
    <row r="14" spans="1:50" x14ac:dyDescent="0.2">
      <c r="A14" s="95" t="s">
        <v>170</v>
      </c>
      <c r="B14" s="62">
        <v>0</v>
      </c>
      <c r="C14" s="54">
        <v>0</v>
      </c>
      <c r="D14" s="54">
        <v>0</v>
      </c>
      <c r="E14" s="63"/>
      <c r="F14" s="64"/>
      <c r="G14" s="65">
        <v>0</v>
      </c>
      <c r="H14" s="54">
        <v>0</v>
      </c>
      <c r="I14" s="54">
        <v>0</v>
      </c>
      <c r="J14" s="54">
        <v>0</v>
      </c>
      <c r="K14" s="54">
        <v>0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0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67">
        <v>0</v>
      </c>
      <c r="AH14" s="67">
        <v>4030</v>
      </c>
      <c r="AI14" s="98">
        <v>-4030</v>
      </c>
      <c r="AJ14" s="67">
        <v>0</v>
      </c>
      <c r="AK14" s="67">
        <v>0</v>
      </c>
      <c r="AL14" s="67">
        <v>0</v>
      </c>
      <c r="AM14" s="67">
        <v>0</v>
      </c>
      <c r="AN14" s="67">
        <v>0</v>
      </c>
      <c r="AO14" s="67">
        <v>0</v>
      </c>
      <c r="AP14" s="67">
        <v>0</v>
      </c>
      <c r="AQ14" s="67">
        <v>0</v>
      </c>
      <c r="AR14" s="67">
        <v>0</v>
      </c>
      <c r="AS14" s="68">
        <v>0</v>
      </c>
      <c r="AT14" s="63"/>
      <c r="AU14" s="63"/>
    </row>
    <row r="15" spans="1:50" x14ac:dyDescent="0.2">
      <c r="A15" s="95" t="s">
        <v>171</v>
      </c>
      <c r="B15" s="62">
        <v>0</v>
      </c>
      <c r="C15" s="54">
        <v>0</v>
      </c>
      <c r="D15" s="54">
        <v>0</v>
      </c>
      <c r="E15" s="63"/>
      <c r="F15" s="64"/>
      <c r="G15" s="65">
        <v>0</v>
      </c>
      <c r="H15" s="54">
        <v>0</v>
      </c>
      <c r="I15" s="54">
        <v>0</v>
      </c>
      <c r="J15" s="54">
        <v>0</v>
      </c>
      <c r="K15" s="54">
        <v>0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66">
        <v>0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66">
        <v>0</v>
      </c>
      <c r="AG15" s="67">
        <v>0</v>
      </c>
      <c r="AH15" s="67">
        <v>0</v>
      </c>
      <c r="AI15" s="67">
        <v>0</v>
      </c>
      <c r="AJ15" s="67">
        <v>0</v>
      </c>
      <c r="AK15" s="67">
        <v>0</v>
      </c>
      <c r="AL15" s="67">
        <v>0</v>
      </c>
      <c r="AM15" s="67">
        <v>0</v>
      </c>
      <c r="AN15" s="67">
        <v>0</v>
      </c>
      <c r="AO15" s="67">
        <v>0</v>
      </c>
      <c r="AP15" s="67">
        <v>0</v>
      </c>
      <c r="AQ15" s="67">
        <v>0</v>
      </c>
      <c r="AR15" s="67">
        <v>0</v>
      </c>
      <c r="AS15" s="68">
        <v>0</v>
      </c>
      <c r="AT15" s="63"/>
      <c r="AU15" s="63"/>
    </row>
    <row r="16" spans="1:50" x14ac:dyDescent="0.2">
      <c r="A16" s="95" t="s">
        <v>172</v>
      </c>
      <c r="B16" s="62"/>
      <c r="C16" s="54"/>
      <c r="D16" s="54"/>
      <c r="E16" s="63"/>
      <c r="F16" s="64"/>
      <c r="G16" s="65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66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66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8"/>
      <c r="AT16" s="63"/>
      <c r="AU16" s="63"/>
    </row>
    <row r="17" spans="1:47" x14ac:dyDescent="0.2">
      <c r="A17" s="95" t="s">
        <v>173</v>
      </c>
      <c r="B17" s="62">
        <v>0</v>
      </c>
      <c r="C17" s="54">
        <v>0</v>
      </c>
      <c r="D17" s="54">
        <v>0</v>
      </c>
      <c r="E17" s="63"/>
      <c r="F17" s="64"/>
      <c r="G17" s="65">
        <v>0</v>
      </c>
      <c r="H17" s="54">
        <v>0</v>
      </c>
      <c r="I17" s="54">
        <v>0</v>
      </c>
      <c r="J17" s="54">
        <v>0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0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250.11</v>
      </c>
      <c r="AH17" s="67">
        <v>250.09</v>
      </c>
      <c r="AI17" s="98">
        <v>-500.2</v>
      </c>
      <c r="AJ17" s="67">
        <v>0</v>
      </c>
      <c r="AK17" s="67">
        <v>0</v>
      </c>
      <c r="AL17" s="67">
        <v>0</v>
      </c>
      <c r="AM17" s="67">
        <v>0</v>
      </c>
      <c r="AN17" s="67">
        <v>0</v>
      </c>
      <c r="AO17" s="67">
        <v>0</v>
      </c>
      <c r="AP17" s="67">
        <v>0</v>
      </c>
      <c r="AQ17" s="67">
        <v>0</v>
      </c>
      <c r="AR17" s="67">
        <v>0</v>
      </c>
      <c r="AS17" s="68">
        <v>0</v>
      </c>
      <c r="AT17" s="63"/>
      <c r="AU17" s="63"/>
    </row>
    <row r="18" spans="1:47" x14ac:dyDescent="0.2">
      <c r="A18" s="95" t="s">
        <v>257</v>
      </c>
      <c r="B18" s="62">
        <v>0</v>
      </c>
      <c r="C18" s="54">
        <v>0</v>
      </c>
      <c r="D18" s="54">
        <v>0</v>
      </c>
      <c r="E18" s="63"/>
      <c r="F18" s="64"/>
      <c r="G18" s="65">
        <v>0</v>
      </c>
      <c r="H18" s="54">
        <v>0</v>
      </c>
      <c r="I18" s="54">
        <v>0</v>
      </c>
      <c r="J18" s="54">
        <v>0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0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5541.78</v>
      </c>
      <c r="AH18" s="67">
        <v>5541.78</v>
      </c>
      <c r="AI18" s="98">
        <v>-11083.56</v>
      </c>
      <c r="AJ18" s="67">
        <v>0</v>
      </c>
      <c r="AK18" s="67">
        <v>0</v>
      </c>
      <c r="AL18" s="67">
        <v>0</v>
      </c>
      <c r="AM18" s="67">
        <v>0</v>
      </c>
      <c r="AN18" s="67">
        <v>0</v>
      </c>
      <c r="AO18" s="67">
        <v>0</v>
      </c>
      <c r="AP18" s="67">
        <v>0</v>
      </c>
      <c r="AQ18" s="67">
        <v>0</v>
      </c>
      <c r="AR18" s="67">
        <v>0</v>
      </c>
      <c r="AS18" s="68">
        <v>0</v>
      </c>
      <c r="AT18" s="63"/>
      <c r="AU18" s="63"/>
    </row>
    <row r="19" spans="1:47" hidden="1" outlineLevel="1" x14ac:dyDescent="0.2">
      <c r="A19" s="95" t="s">
        <v>109</v>
      </c>
      <c r="B19" s="62">
        <v>0</v>
      </c>
      <c r="C19" s="54">
        <v>0</v>
      </c>
      <c r="D19" s="54">
        <v>0</v>
      </c>
      <c r="E19" s="63"/>
      <c r="F19" s="64"/>
      <c r="G19" s="65">
        <v>0</v>
      </c>
      <c r="H19" s="54">
        <v>0</v>
      </c>
      <c r="I19" s="54">
        <v>0</v>
      </c>
      <c r="J19" s="54">
        <v>0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0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0</v>
      </c>
      <c r="AH19" s="67">
        <v>0</v>
      </c>
      <c r="AI19" s="67">
        <v>0</v>
      </c>
      <c r="AJ19" s="67">
        <v>0</v>
      </c>
      <c r="AK19" s="67">
        <v>0</v>
      </c>
      <c r="AL19" s="67">
        <v>0</v>
      </c>
      <c r="AM19" s="67">
        <v>0</v>
      </c>
      <c r="AN19" s="67">
        <v>0</v>
      </c>
      <c r="AO19" s="67">
        <v>0</v>
      </c>
      <c r="AP19" s="67">
        <v>0</v>
      </c>
      <c r="AQ19" s="67">
        <v>0</v>
      </c>
      <c r="AR19" s="67">
        <v>0</v>
      </c>
      <c r="AS19" s="68">
        <v>0</v>
      </c>
      <c r="AT19" s="63"/>
      <c r="AU19" s="63"/>
    </row>
    <row r="20" spans="1:47" hidden="1" outlineLevel="1" x14ac:dyDescent="0.2">
      <c r="A20" s="95" t="s">
        <v>97</v>
      </c>
      <c r="B20" s="62">
        <v>0</v>
      </c>
      <c r="C20" s="54">
        <v>0</v>
      </c>
      <c r="D20" s="54">
        <v>0</v>
      </c>
      <c r="E20" s="63"/>
      <c r="F20" s="64"/>
      <c r="G20" s="65">
        <v>0</v>
      </c>
      <c r="H20" s="54">
        <v>0</v>
      </c>
      <c r="I20" s="54">
        <v>0</v>
      </c>
      <c r="J20" s="54">
        <v>0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66">
        <v>0</v>
      </c>
      <c r="T20" s="54">
        <v>0</v>
      </c>
      <c r="U20" s="54">
        <v>0</v>
      </c>
      <c r="V20" s="54">
        <v>0</v>
      </c>
      <c r="W20" s="54">
        <v>0</v>
      </c>
      <c r="X20" s="54">
        <v>0</v>
      </c>
      <c r="Y20" s="54">
        <v>0</v>
      </c>
      <c r="Z20" s="54">
        <v>0</v>
      </c>
      <c r="AA20" s="54">
        <v>0</v>
      </c>
      <c r="AB20" s="54">
        <v>0</v>
      </c>
      <c r="AC20" s="54">
        <v>0</v>
      </c>
      <c r="AD20" s="54">
        <v>0</v>
      </c>
      <c r="AE20" s="54">
        <v>0</v>
      </c>
      <c r="AF20" s="66">
        <v>0</v>
      </c>
      <c r="AG20" s="67">
        <v>494</v>
      </c>
      <c r="AH20" s="67">
        <v>494</v>
      </c>
      <c r="AI20" s="98">
        <v>-988</v>
      </c>
      <c r="AJ20" s="67">
        <v>0</v>
      </c>
      <c r="AK20" s="67">
        <v>0</v>
      </c>
      <c r="AL20" s="67">
        <v>0</v>
      </c>
      <c r="AM20" s="67">
        <v>0</v>
      </c>
      <c r="AN20" s="67">
        <v>0</v>
      </c>
      <c r="AO20" s="67">
        <v>0</v>
      </c>
      <c r="AP20" s="67">
        <v>0</v>
      </c>
      <c r="AQ20" s="67">
        <v>0</v>
      </c>
      <c r="AR20" s="67">
        <v>0</v>
      </c>
      <c r="AS20" s="68">
        <v>0</v>
      </c>
      <c r="AT20" s="63"/>
      <c r="AU20" s="63"/>
    </row>
    <row r="21" spans="1:47" hidden="1" outlineLevel="1" x14ac:dyDescent="0.2">
      <c r="A21" s="95" t="s">
        <v>69</v>
      </c>
      <c r="B21" s="62">
        <v>0</v>
      </c>
      <c r="C21" s="54">
        <v>0</v>
      </c>
      <c r="D21" s="54">
        <v>0</v>
      </c>
      <c r="E21" s="63"/>
      <c r="F21" s="64"/>
      <c r="G21" s="65">
        <v>0</v>
      </c>
      <c r="H21" s="54">
        <v>0</v>
      </c>
      <c r="I21" s="54">
        <v>0</v>
      </c>
      <c r="J21" s="54">
        <v>0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66">
        <v>0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4">
        <v>0</v>
      </c>
      <c r="AB21" s="54">
        <v>0</v>
      </c>
      <c r="AC21" s="54">
        <v>0</v>
      </c>
      <c r="AD21" s="54">
        <v>0</v>
      </c>
      <c r="AE21" s="54">
        <v>0</v>
      </c>
      <c r="AF21" s="66">
        <v>0</v>
      </c>
      <c r="AG21" s="67">
        <v>0</v>
      </c>
      <c r="AH21" s="67">
        <v>0</v>
      </c>
      <c r="AI21" s="67">
        <v>0</v>
      </c>
      <c r="AJ21" s="67">
        <v>0</v>
      </c>
      <c r="AK21" s="67">
        <v>0</v>
      </c>
      <c r="AL21" s="67">
        <v>0</v>
      </c>
      <c r="AM21" s="67">
        <v>0</v>
      </c>
      <c r="AN21" s="67">
        <v>0</v>
      </c>
      <c r="AO21" s="67">
        <v>0</v>
      </c>
      <c r="AP21" s="67">
        <v>0</v>
      </c>
      <c r="AQ21" s="67">
        <v>0</v>
      </c>
      <c r="AR21" s="67">
        <v>0</v>
      </c>
      <c r="AS21" s="68">
        <v>0</v>
      </c>
      <c r="AT21" s="63"/>
      <c r="AU21" s="63"/>
    </row>
    <row r="22" spans="1:47" collapsed="1" x14ac:dyDescent="0.2">
      <c r="A22" s="69" t="s">
        <v>70</v>
      </c>
      <c r="B22" s="70">
        <v>0</v>
      </c>
      <c r="C22" s="71">
        <v>0</v>
      </c>
      <c r="D22" s="71">
        <v>0</v>
      </c>
      <c r="E22" s="72"/>
      <c r="F22" s="73"/>
      <c r="G22" s="70">
        <v>0</v>
      </c>
      <c r="H22" s="71">
        <v>0</v>
      </c>
      <c r="I22" s="71">
        <v>0</v>
      </c>
      <c r="J22" s="71">
        <v>0</v>
      </c>
      <c r="K22" s="71">
        <v>0</v>
      </c>
      <c r="L22" s="71">
        <v>0</v>
      </c>
      <c r="M22" s="71">
        <v>0</v>
      </c>
      <c r="N22" s="71">
        <v>0</v>
      </c>
      <c r="O22" s="71">
        <v>0</v>
      </c>
      <c r="P22" s="71">
        <v>0</v>
      </c>
      <c r="Q22" s="71">
        <v>0</v>
      </c>
      <c r="R22" s="71">
        <v>0</v>
      </c>
      <c r="S22" s="71">
        <v>0</v>
      </c>
      <c r="T22" s="71">
        <v>0</v>
      </c>
      <c r="U22" s="71">
        <v>0</v>
      </c>
      <c r="V22" s="71">
        <v>0</v>
      </c>
      <c r="W22" s="71">
        <v>0</v>
      </c>
      <c r="X22" s="71">
        <v>0</v>
      </c>
      <c r="Y22" s="71">
        <v>0</v>
      </c>
      <c r="Z22" s="71">
        <v>0</v>
      </c>
      <c r="AA22" s="71">
        <v>0</v>
      </c>
      <c r="AB22" s="71">
        <v>0</v>
      </c>
      <c r="AC22" s="71">
        <v>0</v>
      </c>
      <c r="AD22" s="71">
        <v>0</v>
      </c>
      <c r="AE22" s="71">
        <v>0</v>
      </c>
      <c r="AF22" s="71">
        <v>0</v>
      </c>
      <c r="AG22" s="75">
        <v>494</v>
      </c>
      <c r="AH22" s="75">
        <v>494</v>
      </c>
      <c r="AI22" s="134">
        <v>-988</v>
      </c>
      <c r="AJ22" s="75">
        <v>0</v>
      </c>
      <c r="AK22" s="75">
        <v>0</v>
      </c>
      <c r="AL22" s="75">
        <v>0</v>
      </c>
      <c r="AM22" s="75">
        <v>0</v>
      </c>
      <c r="AN22" s="75">
        <v>0</v>
      </c>
      <c r="AO22" s="75">
        <v>0</v>
      </c>
      <c r="AP22" s="75">
        <v>0</v>
      </c>
      <c r="AQ22" s="75">
        <v>0</v>
      </c>
      <c r="AR22" s="75">
        <v>0</v>
      </c>
      <c r="AS22" s="75">
        <v>0</v>
      </c>
      <c r="AT22" s="72"/>
      <c r="AU22" s="72"/>
    </row>
    <row r="23" spans="1:47" hidden="1" outlineLevel="1" x14ac:dyDescent="0.2">
      <c r="A23" s="95" t="s">
        <v>174</v>
      </c>
      <c r="B23" s="62">
        <v>0</v>
      </c>
      <c r="C23" s="54">
        <v>0</v>
      </c>
      <c r="D23" s="54">
        <v>0</v>
      </c>
      <c r="E23" s="63"/>
      <c r="F23" s="64"/>
      <c r="G23" s="65">
        <v>0</v>
      </c>
      <c r="H23" s="54">
        <v>0</v>
      </c>
      <c r="I23" s="54">
        <v>0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0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0</v>
      </c>
      <c r="AH23" s="67">
        <v>148.4</v>
      </c>
      <c r="AI23" s="98">
        <v>-148.4</v>
      </c>
      <c r="AJ23" s="67">
        <v>0</v>
      </c>
      <c r="AK23" s="67">
        <v>0</v>
      </c>
      <c r="AL23" s="67">
        <v>0</v>
      </c>
      <c r="AM23" s="67">
        <v>0</v>
      </c>
      <c r="AN23" s="67">
        <v>0</v>
      </c>
      <c r="AO23" s="67">
        <v>0</v>
      </c>
      <c r="AP23" s="67">
        <v>0</v>
      </c>
      <c r="AQ23" s="67">
        <v>0</v>
      </c>
      <c r="AR23" s="67">
        <v>0</v>
      </c>
      <c r="AS23" s="68">
        <v>0</v>
      </c>
      <c r="AT23" s="63"/>
      <c r="AU23" s="63"/>
    </row>
    <row r="24" spans="1:47" hidden="1" outlineLevel="1" x14ac:dyDescent="0.2">
      <c r="A24" s="95" t="s">
        <v>99</v>
      </c>
      <c r="B24" s="62">
        <v>0</v>
      </c>
      <c r="C24" s="54">
        <v>0</v>
      </c>
      <c r="D24" s="54">
        <v>0</v>
      </c>
      <c r="E24" s="63"/>
      <c r="F24" s="64"/>
      <c r="G24" s="65">
        <v>0</v>
      </c>
      <c r="H24" s="54">
        <v>0</v>
      </c>
      <c r="I24" s="54">
        <v>0</v>
      </c>
      <c r="J24" s="54">
        <v>0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0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1216.82</v>
      </c>
      <c r="AH24" s="67">
        <v>1248.1400000000001</v>
      </c>
      <c r="AI24" s="98">
        <v>-2464.96</v>
      </c>
      <c r="AJ24" s="67">
        <v>0</v>
      </c>
      <c r="AK24" s="67">
        <v>0</v>
      </c>
      <c r="AL24" s="67">
        <v>0</v>
      </c>
      <c r="AM24" s="67">
        <v>0</v>
      </c>
      <c r="AN24" s="67">
        <v>0</v>
      </c>
      <c r="AO24" s="67">
        <v>0</v>
      </c>
      <c r="AP24" s="67">
        <v>0</v>
      </c>
      <c r="AQ24" s="67">
        <v>0</v>
      </c>
      <c r="AR24" s="67">
        <v>0</v>
      </c>
      <c r="AS24" s="68">
        <v>0</v>
      </c>
      <c r="AT24" s="63"/>
      <c r="AU24" s="63"/>
    </row>
    <row r="25" spans="1:47" hidden="1" outlineLevel="1" x14ac:dyDescent="0.2">
      <c r="A25" s="95" t="s">
        <v>175</v>
      </c>
      <c r="B25" s="62">
        <v>0</v>
      </c>
      <c r="C25" s="54">
        <v>0</v>
      </c>
      <c r="D25" s="54">
        <v>0</v>
      </c>
      <c r="E25" s="63"/>
      <c r="F25" s="64"/>
      <c r="G25" s="65">
        <v>0</v>
      </c>
      <c r="H25" s="54">
        <v>0</v>
      </c>
      <c r="I25" s="54">
        <v>0</v>
      </c>
      <c r="J25" s="54">
        <v>0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0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0</v>
      </c>
      <c r="AH25" s="67">
        <v>209.06</v>
      </c>
      <c r="AI25" s="98">
        <v>-209.06</v>
      </c>
      <c r="AJ25" s="67">
        <v>0</v>
      </c>
      <c r="AK25" s="67">
        <v>0</v>
      </c>
      <c r="AL25" s="67">
        <v>0</v>
      </c>
      <c r="AM25" s="67">
        <v>0</v>
      </c>
      <c r="AN25" s="67">
        <v>0</v>
      </c>
      <c r="AO25" s="67">
        <v>0</v>
      </c>
      <c r="AP25" s="67">
        <v>0</v>
      </c>
      <c r="AQ25" s="67">
        <v>0</v>
      </c>
      <c r="AR25" s="67">
        <v>0</v>
      </c>
      <c r="AS25" s="68">
        <v>0</v>
      </c>
      <c r="AT25" s="63"/>
      <c r="AU25" s="63"/>
    </row>
    <row r="26" spans="1:47" hidden="1" outlineLevel="1" x14ac:dyDescent="0.2">
      <c r="A26" s="95" t="s">
        <v>100</v>
      </c>
      <c r="B26" s="62">
        <v>0</v>
      </c>
      <c r="C26" s="54">
        <v>0</v>
      </c>
      <c r="D26" s="54">
        <v>0</v>
      </c>
      <c r="E26" s="63"/>
      <c r="F26" s="64"/>
      <c r="G26" s="65">
        <v>0</v>
      </c>
      <c r="H26" s="54">
        <v>0</v>
      </c>
      <c r="I26" s="54">
        <v>0</v>
      </c>
      <c r="J26" s="54">
        <v>0</v>
      </c>
      <c r="K26" s="54">
        <v>0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0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0</v>
      </c>
      <c r="AH26" s="67">
        <v>0</v>
      </c>
      <c r="AI26" s="67">
        <v>0</v>
      </c>
      <c r="AJ26" s="67">
        <v>0</v>
      </c>
      <c r="AK26" s="67">
        <v>0</v>
      </c>
      <c r="AL26" s="67">
        <v>0</v>
      </c>
      <c r="AM26" s="67">
        <v>0</v>
      </c>
      <c r="AN26" s="67">
        <v>0</v>
      </c>
      <c r="AO26" s="67">
        <v>0</v>
      </c>
      <c r="AP26" s="67">
        <v>0</v>
      </c>
      <c r="AQ26" s="67">
        <v>0</v>
      </c>
      <c r="AR26" s="67">
        <v>0</v>
      </c>
      <c r="AS26" s="68">
        <v>0</v>
      </c>
      <c r="AT26" s="63"/>
      <c r="AU26" s="63"/>
    </row>
    <row r="27" spans="1:47" hidden="1" outlineLevel="1" x14ac:dyDescent="0.2">
      <c r="A27" s="95" t="s">
        <v>101</v>
      </c>
      <c r="B27" s="62">
        <v>0</v>
      </c>
      <c r="C27" s="54">
        <v>0</v>
      </c>
      <c r="D27" s="54">
        <v>0</v>
      </c>
      <c r="E27" s="63"/>
      <c r="F27" s="64"/>
      <c r="G27" s="65">
        <v>0</v>
      </c>
      <c r="H27" s="54">
        <v>0</v>
      </c>
      <c r="I27" s="54">
        <v>0</v>
      </c>
      <c r="J27" s="54">
        <v>0</v>
      </c>
      <c r="K27" s="54">
        <v>0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0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81.53</v>
      </c>
      <c r="AH27" s="67">
        <v>79.150000000000006</v>
      </c>
      <c r="AI27" s="98">
        <v>-160.68</v>
      </c>
      <c r="AJ27" s="67">
        <v>0</v>
      </c>
      <c r="AK27" s="67">
        <v>0</v>
      </c>
      <c r="AL27" s="67">
        <v>0</v>
      </c>
      <c r="AM27" s="67">
        <v>0</v>
      </c>
      <c r="AN27" s="67">
        <v>0</v>
      </c>
      <c r="AO27" s="67">
        <v>0</v>
      </c>
      <c r="AP27" s="67">
        <v>0</v>
      </c>
      <c r="AQ27" s="67">
        <v>0</v>
      </c>
      <c r="AR27" s="67">
        <v>0</v>
      </c>
      <c r="AS27" s="68">
        <v>0</v>
      </c>
      <c r="AT27" s="63"/>
      <c r="AU27" s="63"/>
    </row>
    <row r="28" spans="1:47" hidden="1" outlineLevel="1" x14ac:dyDescent="0.2">
      <c r="A28" s="95" t="s">
        <v>176</v>
      </c>
      <c r="B28" s="62">
        <v>169.56</v>
      </c>
      <c r="C28" s="54">
        <v>0</v>
      </c>
      <c r="D28" s="54">
        <v>0</v>
      </c>
      <c r="E28" s="63"/>
      <c r="F28" s="64"/>
      <c r="G28" s="65">
        <v>196.02</v>
      </c>
      <c r="H28" s="54">
        <v>165.98</v>
      </c>
      <c r="I28" s="54">
        <v>160.08000000000001</v>
      </c>
      <c r="J28" s="54">
        <v>169.56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691.64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203.79</v>
      </c>
      <c r="AH28" s="67">
        <v>203.79</v>
      </c>
      <c r="AI28" s="98">
        <v>-407.58</v>
      </c>
      <c r="AJ28" s="67">
        <v>0</v>
      </c>
      <c r="AK28" s="67">
        <v>124.48</v>
      </c>
      <c r="AL28" s="67">
        <v>124.48</v>
      </c>
      <c r="AM28" s="67">
        <v>447.38</v>
      </c>
      <c r="AN28" s="67">
        <v>325.95</v>
      </c>
      <c r="AO28" s="67">
        <v>0</v>
      </c>
      <c r="AP28" s="67">
        <v>0</v>
      </c>
      <c r="AQ28" s="67">
        <v>405.05</v>
      </c>
      <c r="AR28" s="67">
        <v>212.49</v>
      </c>
      <c r="AS28" s="68">
        <v>0</v>
      </c>
      <c r="AT28" s="63"/>
      <c r="AU28" s="63"/>
    </row>
    <row r="29" spans="1:47" hidden="1" outlineLevel="1" x14ac:dyDescent="0.2">
      <c r="A29" s="95" t="s">
        <v>102</v>
      </c>
      <c r="B29" s="62">
        <v>0</v>
      </c>
      <c r="C29" s="54">
        <v>0</v>
      </c>
      <c r="D29" s="54">
        <v>0</v>
      </c>
      <c r="E29" s="63"/>
      <c r="F29" s="64"/>
      <c r="G29" s="65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0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0</v>
      </c>
      <c r="AH29" s="67">
        <v>0</v>
      </c>
      <c r="AI29" s="67">
        <v>0</v>
      </c>
      <c r="AJ29" s="67">
        <v>0</v>
      </c>
      <c r="AK29" s="67">
        <v>0</v>
      </c>
      <c r="AL29" s="67">
        <v>0</v>
      </c>
      <c r="AM29" s="67">
        <v>0</v>
      </c>
      <c r="AN29" s="67">
        <v>0</v>
      </c>
      <c r="AO29" s="67">
        <v>0</v>
      </c>
      <c r="AP29" s="67">
        <v>0</v>
      </c>
      <c r="AQ29" s="67">
        <v>0</v>
      </c>
      <c r="AR29" s="67">
        <v>0</v>
      </c>
      <c r="AS29" s="68">
        <v>0</v>
      </c>
      <c r="AT29" s="63"/>
      <c r="AU29" s="63"/>
    </row>
    <row r="30" spans="1:47" hidden="1" outlineLevel="1" x14ac:dyDescent="0.2">
      <c r="A30" s="95" t="s">
        <v>75</v>
      </c>
      <c r="B30" s="62">
        <v>804.17</v>
      </c>
      <c r="C30" s="54">
        <v>0</v>
      </c>
      <c r="D30" s="54">
        <v>0</v>
      </c>
      <c r="E30" s="63"/>
      <c r="F30" s="64"/>
      <c r="G30" s="65">
        <v>0</v>
      </c>
      <c r="H30" s="54">
        <v>168.09</v>
      </c>
      <c r="I30" s="54">
        <v>168.09</v>
      </c>
      <c r="J30" s="54">
        <v>804.17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1140.3499999999999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0</v>
      </c>
      <c r="AH30" s="67">
        <v>0</v>
      </c>
      <c r="AI30" s="67">
        <v>0</v>
      </c>
      <c r="AJ30" s="67">
        <v>0</v>
      </c>
      <c r="AK30" s="67">
        <v>0</v>
      </c>
      <c r="AL30" s="67">
        <v>946.63</v>
      </c>
      <c r="AM30" s="67">
        <v>4915.7299999999996</v>
      </c>
      <c r="AN30" s="67">
        <v>152.81</v>
      </c>
      <c r="AO30" s="67">
        <v>152.81</v>
      </c>
      <c r="AP30" s="67">
        <v>152.81</v>
      </c>
      <c r="AQ30" s="67">
        <v>152.81</v>
      </c>
      <c r="AR30" s="67">
        <v>152.81</v>
      </c>
      <c r="AS30" s="68">
        <v>0</v>
      </c>
      <c r="AT30" s="63"/>
      <c r="AU30" s="63"/>
    </row>
    <row r="31" spans="1:47" hidden="1" outlineLevel="1" x14ac:dyDescent="0.2">
      <c r="A31" s="95" t="s">
        <v>76</v>
      </c>
      <c r="B31" s="62">
        <v>0</v>
      </c>
      <c r="C31" s="54">
        <v>0</v>
      </c>
      <c r="D31" s="54">
        <v>0</v>
      </c>
      <c r="E31" s="63"/>
      <c r="F31" s="64"/>
      <c r="G31" s="65">
        <v>0</v>
      </c>
      <c r="H31" s="54">
        <v>0</v>
      </c>
      <c r="I31" s="54">
        <v>0</v>
      </c>
      <c r="J31" s="54">
        <v>0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0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557.65</v>
      </c>
      <c r="AH31" s="67">
        <v>561.09</v>
      </c>
      <c r="AI31" s="98">
        <v>-1118.75</v>
      </c>
      <c r="AJ31" s="67">
        <v>0</v>
      </c>
      <c r="AK31" s="67">
        <v>0</v>
      </c>
      <c r="AL31" s="67">
        <v>0</v>
      </c>
      <c r="AM31" s="67">
        <v>0</v>
      </c>
      <c r="AN31" s="67">
        <v>0</v>
      </c>
      <c r="AO31" s="67">
        <v>0</v>
      </c>
      <c r="AP31" s="67">
        <v>0</v>
      </c>
      <c r="AQ31" s="67">
        <v>0</v>
      </c>
      <c r="AR31" s="67">
        <v>0</v>
      </c>
      <c r="AS31" s="99">
        <v>-0.01</v>
      </c>
      <c r="AT31" s="63"/>
      <c r="AU31" s="63">
        <v>0</v>
      </c>
    </row>
    <row r="32" spans="1:47" hidden="1" outlineLevel="1" x14ac:dyDescent="0.2">
      <c r="A32" s="95" t="s">
        <v>77</v>
      </c>
      <c r="B32" s="62">
        <v>0</v>
      </c>
      <c r="C32" s="54">
        <v>0</v>
      </c>
      <c r="D32" s="54">
        <v>0</v>
      </c>
      <c r="E32" s="63"/>
      <c r="F32" s="64"/>
      <c r="G32" s="65">
        <v>0</v>
      </c>
      <c r="H32" s="54">
        <v>0</v>
      </c>
      <c r="I32" s="54">
        <v>0</v>
      </c>
      <c r="J32" s="54">
        <v>0</v>
      </c>
      <c r="K32" s="54">
        <v>0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66">
        <v>0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66">
        <v>0</v>
      </c>
      <c r="AG32" s="67">
        <v>110</v>
      </c>
      <c r="AH32" s="67">
        <v>110</v>
      </c>
      <c r="AI32" s="98">
        <v>-220</v>
      </c>
      <c r="AJ32" s="67">
        <v>0</v>
      </c>
      <c r="AK32" s="67">
        <v>0</v>
      </c>
      <c r="AL32" s="67">
        <v>0</v>
      </c>
      <c r="AM32" s="67">
        <v>0</v>
      </c>
      <c r="AN32" s="67">
        <v>0</v>
      </c>
      <c r="AO32" s="67">
        <v>0</v>
      </c>
      <c r="AP32" s="67">
        <v>0</v>
      </c>
      <c r="AQ32" s="67">
        <v>0</v>
      </c>
      <c r="AR32" s="67">
        <v>0</v>
      </c>
      <c r="AS32" s="68">
        <v>0</v>
      </c>
      <c r="AT32" s="63"/>
      <c r="AU32" s="63"/>
    </row>
    <row r="33" spans="1:47" collapsed="1" x14ac:dyDescent="0.2">
      <c r="A33" s="69" t="s">
        <v>177</v>
      </c>
      <c r="B33" s="70">
        <v>973.73</v>
      </c>
      <c r="C33" s="71">
        <v>0</v>
      </c>
      <c r="D33" s="71">
        <v>0</v>
      </c>
      <c r="E33" s="72"/>
      <c r="F33" s="73"/>
      <c r="G33" s="70">
        <v>196.02</v>
      </c>
      <c r="H33" s="71">
        <v>334.07</v>
      </c>
      <c r="I33" s="71">
        <v>328.17</v>
      </c>
      <c r="J33" s="71">
        <v>973.73</v>
      </c>
      <c r="K33" s="71">
        <v>0</v>
      </c>
      <c r="L33" s="71">
        <v>0</v>
      </c>
      <c r="M33" s="71">
        <v>0</v>
      </c>
      <c r="N33" s="71">
        <v>0</v>
      </c>
      <c r="O33" s="71">
        <v>0</v>
      </c>
      <c r="P33" s="71">
        <v>0</v>
      </c>
      <c r="Q33" s="71">
        <v>0</v>
      </c>
      <c r="R33" s="71">
        <v>0</v>
      </c>
      <c r="S33" s="71">
        <v>1831.99</v>
      </c>
      <c r="T33" s="71">
        <v>0</v>
      </c>
      <c r="U33" s="71">
        <v>0</v>
      </c>
      <c r="V33" s="71">
        <v>0</v>
      </c>
      <c r="W33" s="71">
        <v>0</v>
      </c>
      <c r="X33" s="71">
        <v>0</v>
      </c>
      <c r="Y33" s="71">
        <v>0</v>
      </c>
      <c r="Z33" s="71">
        <v>0</v>
      </c>
      <c r="AA33" s="71">
        <v>0</v>
      </c>
      <c r="AB33" s="71">
        <v>0</v>
      </c>
      <c r="AC33" s="71">
        <v>0</v>
      </c>
      <c r="AD33" s="71">
        <v>0</v>
      </c>
      <c r="AE33" s="71">
        <v>0</v>
      </c>
      <c r="AF33" s="71">
        <v>0</v>
      </c>
      <c r="AG33" s="75">
        <v>2169.79</v>
      </c>
      <c r="AH33" s="75">
        <v>2559.63</v>
      </c>
      <c r="AI33" s="134">
        <v>-4729.43</v>
      </c>
      <c r="AJ33" s="75">
        <v>0</v>
      </c>
      <c r="AK33" s="75">
        <v>124.48</v>
      </c>
      <c r="AL33" s="75">
        <v>1071.1099999999999</v>
      </c>
      <c r="AM33" s="75">
        <v>5363.11</v>
      </c>
      <c r="AN33" s="75">
        <v>478.76</v>
      </c>
      <c r="AO33" s="75">
        <v>152.81</v>
      </c>
      <c r="AP33" s="75">
        <v>152.81</v>
      </c>
      <c r="AQ33" s="75">
        <v>557.86</v>
      </c>
      <c r="AR33" s="75">
        <v>365.3</v>
      </c>
      <c r="AS33" s="134">
        <v>-0.01</v>
      </c>
      <c r="AT33" s="72"/>
      <c r="AU33" s="72">
        <v>-18319900</v>
      </c>
    </row>
    <row r="34" spans="1:47" hidden="1" outlineLevel="1" x14ac:dyDescent="0.2">
      <c r="A34" s="95" t="s">
        <v>178</v>
      </c>
      <c r="B34" s="62">
        <v>0</v>
      </c>
      <c r="C34" s="54">
        <v>0</v>
      </c>
      <c r="D34" s="54">
        <v>0</v>
      </c>
      <c r="E34" s="63"/>
      <c r="F34" s="64"/>
      <c r="G34" s="65">
        <v>0</v>
      </c>
      <c r="H34" s="54">
        <v>0</v>
      </c>
      <c r="I34" s="54">
        <v>0</v>
      </c>
      <c r="J34" s="54">
        <v>0</v>
      </c>
      <c r="K34" s="54">
        <v>0</v>
      </c>
      <c r="L34" s="54">
        <v>0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66">
        <v>0</v>
      </c>
      <c r="T34" s="54">
        <v>0</v>
      </c>
      <c r="U34" s="54">
        <v>0</v>
      </c>
      <c r="V34" s="54">
        <v>0</v>
      </c>
      <c r="W34" s="54">
        <v>0</v>
      </c>
      <c r="X34" s="54">
        <v>0</v>
      </c>
      <c r="Y34" s="54">
        <v>0</v>
      </c>
      <c r="Z34" s="54">
        <v>0</v>
      </c>
      <c r="AA34" s="54">
        <v>0</v>
      </c>
      <c r="AB34" s="54">
        <v>0</v>
      </c>
      <c r="AC34" s="54">
        <v>0</v>
      </c>
      <c r="AD34" s="54">
        <v>0</v>
      </c>
      <c r="AE34" s="54">
        <v>0</v>
      </c>
      <c r="AF34" s="66">
        <v>0</v>
      </c>
      <c r="AG34" s="67">
        <v>0</v>
      </c>
      <c r="AH34" s="67">
        <v>0</v>
      </c>
      <c r="AI34" s="67">
        <v>0</v>
      </c>
      <c r="AJ34" s="67">
        <v>0</v>
      </c>
      <c r="AK34" s="67">
        <v>0</v>
      </c>
      <c r="AL34" s="67">
        <v>0</v>
      </c>
      <c r="AM34" s="67">
        <v>0</v>
      </c>
      <c r="AN34" s="67">
        <v>0</v>
      </c>
      <c r="AO34" s="67">
        <v>0</v>
      </c>
      <c r="AP34" s="67">
        <v>0</v>
      </c>
      <c r="AQ34" s="67">
        <v>0</v>
      </c>
      <c r="AR34" s="67">
        <v>0</v>
      </c>
      <c r="AS34" s="68">
        <v>0</v>
      </c>
      <c r="AT34" s="63"/>
      <c r="AU34" s="63"/>
    </row>
    <row r="35" spans="1:47" hidden="1" outlineLevel="1" x14ac:dyDescent="0.2">
      <c r="A35" s="95" t="s">
        <v>179</v>
      </c>
      <c r="B35" s="62">
        <v>0</v>
      </c>
      <c r="C35" s="54">
        <v>0</v>
      </c>
      <c r="D35" s="54">
        <v>0</v>
      </c>
      <c r="E35" s="63"/>
      <c r="F35" s="64"/>
      <c r="G35" s="65">
        <v>0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0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23</v>
      </c>
      <c r="AH35" s="67">
        <v>23</v>
      </c>
      <c r="AI35" s="98">
        <v>-46</v>
      </c>
      <c r="AJ35" s="67">
        <v>0</v>
      </c>
      <c r="AK35" s="67">
        <v>0</v>
      </c>
      <c r="AL35" s="67">
        <v>0</v>
      </c>
      <c r="AM35" s="67">
        <v>0</v>
      </c>
      <c r="AN35" s="67">
        <v>0</v>
      </c>
      <c r="AO35" s="67">
        <v>0</v>
      </c>
      <c r="AP35" s="67">
        <v>0</v>
      </c>
      <c r="AQ35" s="67">
        <v>0</v>
      </c>
      <c r="AR35" s="67">
        <v>0</v>
      </c>
      <c r="AS35" s="68">
        <v>0</v>
      </c>
      <c r="AT35" s="63"/>
      <c r="AU35" s="63"/>
    </row>
    <row r="36" spans="1:47" hidden="1" outlineLevel="1" x14ac:dyDescent="0.2">
      <c r="A36" s="95" t="s">
        <v>180</v>
      </c>
      <c r="B36" s="62">
        <v>0</v>
      </c>
      <c r="C36" s="54">
        <v>0</v>
      </c>
      <c r="D36" s="54">
        <v>0</v>
      </c>
      <c r="E36" s="63"/>
      <c r="F36" s="64"/>
      <c r="G36" s="65">
        <v>0</v>
      </c>
      <c r="H36" s="54">
        <v>0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0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>
        <v>0</v>
      </c>
      <c r="AH36" s="67">
        <v>0</v>
      </c>
      <c r="AI36" s="67">
        <v>0</v>
      </c>
      <c r="AJ36" s="67">
        <v>0</v>
      </c>
      <c r="AK36" s="67">
        <v>0</v>
      </c>
      <c r="AL36" s="67">
        <v>0</v>
      </c>
      <c r="AM36" s="67">
        <v>0</v>
      </c>
      <c r="AN36" s="67">
        <v>0</v>
      </c>
      <c r="AO36" s="67">
        <v>0</v>
      </c>
      <c r="AP36" s="67">
        <v>0</v>
      </c>
      <c r="AQ36" s="67">
        <v>0</v>
      </c>
      <c r="AR36" s="67">
        <v>0</v>
      </c>
      <c r="AS36" s="68">
        <v>0</v>
      </c>
      <c r="AT36" s="63"/>
      <c r="AU36" s="63"/>
    </row>
    <row r="37" spans="1:47" hidden="1" outlineLevel="1" x14ac:dyDescent="0.2">
      <c r="A37" s="95" t="s">
        <v>181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0</v>
      </c>
      <c r="AM37" s="67">
        <v>0</v>
      </c>
      <c r="AN37" s="67">
        <v>0</v>
      </c>
      <c r="AO37" s="67">
        <v>0</v>
      </c>
      <c r="AP37" s="67">
        <v>0</v>
      </c>
      <c r="AQ37" s="67">
        <v>0</v>
      </c>
      <c r="AR37" s="67">
        <v>0</v>
      </c>
      <c r="AS37" s="68">
        <v>0</v>
      </c>
      <c r="AT37" s="63"/>
      <c r="AU37" s="63"/>
    </row>
    <row r="38" spans="1:47" hidden="1" outlineLevel="1" x14ac:dyDescent="0.2">
      <c r="A38" s="95" t="s">
        <v>182</v>
      </c>
      <c r="B38" s="62">
        <v>0</v>
      </c>
      <c r="C38" s="54">
        <v>0</v>
      </c>
      <c r="D38" s="54">
        <v>0</v>
      </c>
      <c r="E38" s="63"/>
      <c r="F38" s="64"/>
      <c r="G38" s="65">
        <v>0</v>
      </c>
      <c r="H38" s="54">
        <v>0</v>
      </c>
      <c r="I38" s="54">
        <v>0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0</v>
      </c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0</v>
      </c>
      <c r="Z38" s="54">
        <v>0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66">
        <v>0</v>
      </c>
      <c r="AG38" s="67">
        <v>0</v>
      </c>
      <c r="AH38" s="67">
        <v>0</v>
      </c>
      <c r="AI38" s="67">
        <v>0</v>
      </c>
      <c r="AJ38" s="67">
        <v>0</v>
      </c>
      <c r="AK38" s="67">
        <v>0</v>
      </c>
      <c r="AL38" s="67">
        <v>0</v>
      </c>
      <c r="AM38" s="67">
        <v>0</v>
      </c>
      <c r="AN38" s="67">
        <v>0</v>
      </c>
      <c r="AO38" s="67">
        <v>0</v>
      </c>
      <c r="AP38" s="67">
        <v>0</v>
      </c>
      <c r="AQ38" s="67">
        <v>0</v>
      </c>
      <c r="AR38" s="67">
        <v>0</v>
      </c>
      <c r="AS38" s="68">
        <v>0</v>
      </c>
      <c r="AT38" s="63"/>
      <c r="AU38" s="63"/>
    </row>
    <row r="39" spans="1:47" hidden="1" outlineLevel="1" x14ac:dyDescent="0.2">
      <c r="A39" s="95" t="s">
        <v>183</v>
      </c>
      <c r="B39" s="62">
        <v>0</v>
      </c>
      <c r="C39" s="54">
        <v>0</v>
      </c>
      <c r="D39" s="54">
        <v>0</v>
      </c>
      <c r="E39" s="63"/>
      <c r="F39" s="64"/>
      <c r="G39" s="65">
        <v>0</v>
      </c>
      <c r="H39" s="54">
        <v>0</v>
      </c>
      <c r="I39" s="54">
        <v>0</v>
      </c>
      <c r="J39" s="54">
        <v>0</v>
      </c>
      <c r="K39" s="54">
        <v>0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66">
        <v>0</v>
      </c>
      <c r="T39" s="54">
        <v>0</v>
      </c>
      <c r="U39" s="54">
        <v>0</v>
      </c>
      <c r="V39" s="54">
        <v>0</v>
      </c>
      <c r="W39" s="54">
        <v>0</v>
      </c>
      <c r="X39" s="54">
        <v>0</v>
      </c>
      <c r="Y39" s="54">
        <v>0</v>
      </c>
      <c r="Z39" s="54">
        <v>0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66">
        <v>0</v>
      </c>
      <c r="AG39" s="67">
        <v>0</v>
      </c>
      <c r="AH39" s="67">
        <v>0</v>
      </c>
      <c r="AI39" s="67">
        <v>0</v>
      </c>
      <c r="AJ39" s="67">
        <v>0</v>
      </c>
      <c r="AK39" s="67">
        <v>0</v>
      </c>
      <c r="AL39" s="67">
        <v>0</v>
      </c>
      <c r="AM39" s="67">
        <v>0</v>
      </c>
      <c r="AN39" s="67">
        <v>0</v>
      </c>
      <c r="AO39" s="67">
        <v>0</v>
      </c>
      <c r="AP39" s="67">
        <v>0</v>
      </c>
      <c r="AQ39" s="67">
        <v>0</v>
      </c>
      <c r="AR39" s="67">
        <v>0</v>
      </c>
      <c r="AS39" s="68">
        <v>0</v>
      </c>
      <c r="AT39" s="63"/>
      <c r="AU39" s="63"/>
    </row>
    <row r="40" spans="1:47" hidden="1" outlineLevel="1" x14ac:dyDescent="0.2">
      <c r="A40" s="95" t="s">
        <v>184</v>
      </c>
      <c r="B40" s="62">
        <v>0</v>
      </c>
      <c r="C40" s="54">
        <v>0</v>
      </c>
      <c r="D40" s="54">
        <v>0</v>
      </c>
      <c r="E40" s="63"/>
      <c r="F40" s="64"/>
      <c r="G40" s="65">
        <v>0</v>
      </c>
      <c r="H40" s="54">
        <v>0</v>
      </c>
      <c r="I40" s="54">
        <v>0</v>
      </c>
      <c r="J40" s="54">
        <v>0</v>
      </c>
      <c r="K40" s="54">
        <v>0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66">
        <v>0</v>
      </c>
      <c r="T40" s="54">
        <v>0</v>
      </c>
      <c r="U40" s="54">
        <v>0</v>
      </c>
      <c r="V40" s="54">
        <v>0</v>
      </c>
      <c r="W40" s="54">
        <v>0</v>
      </c>
      <c r="X40" s="54">
        <v>0</v>
      </c>
      <c r="Y40" s="54">
        <v>0</v>
      </c>
      <c r="Z40" s="54">
        <v>0</v>
      </c>
      <c r="AA40" s="54">
        <v>0</v>
      </c>
      <c r="AB40" s="54">
        <v>0</v>
      </c>
      <c r="AC40" s="54">
        <v>0</v>
      </c>
      <c r="AD40" s="54">
        <v>0</v>
      </c>
      <c r="AE40" s="54">
        <v>0</v>
      </c>
      <c r="AF40" s="66">
        <v>0</v>
      </c>
      <c r="AG40" s="67">
        <v>0</v>
      </c>
      <c r="AH40" s="67">
        <v>0</v>
      </c>
      <c r="AI40" s="67">
        <v>0</v>
      </c>
      <c r="AJ40" s="67">
        <v>0</v>
      </c>
      <c r="AK40" s="67">
        <v>0</v>
      </c>
      <c r="AL40" s="67">
        <v>0</v>
      </c>
      <c r="AM40" s="67">
        <v>0</v>
      </c>
      <c r="AN40" s="67">
        <v>0</v>
      </c>
      <c r="AO40" s="67">
        <v>0</v>
      </c>
      <c r="AP40" s="67">
        <v>0</v>
      </c>
      <c r="AQ40" s="67">
        <v>0</v>
      </c>
      <c r="AR40" s="67">
        <v>0</v>
      </c>
      <c r="AS40" s="68">
        <v>0</v>
      </c>
      <c r="AT40" s="63"/>
      <c r="AU40" s="63"/>
    </row>
    <row r="41" spans="1:47" hidden="1" outlineLevel="1" x14ac:dyDescent="0.2">
      <c r="A41" s="95" t="s">
        <v>185</v>
      </c>
      <c r="B41" s="62">
        <v>0</v>
      </c>
      <c r="C41" s="54">
        <v>0</v>
      </c>
      <c r="D41" s="54">
        <v>0</v>
      </c>
      <c r="E41" s="63"/>
      <c r="F41" s="64"/>
      <c r="G41" s="65">
        <v>0</v>
      </c>
      <c r="H41" s="54">
        <v>0</v>
      </c>
      <c r="I41" s="54">
        <v>0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66">
        <v>0</v>
      </c>
      <c r="T41" s="54">
        <v>0</v>
      </c>
      <c r="U41" s="54">
        <v>0</v>
      </c>
      <c r="V41" s="54">
        <v>0</v>
      </c>
      <c r="W41" s="54">
        <v>0</v>
      </c>
      <c r="X41" s="54">
        <v>0</v>
      </c>
      <c r="Y41" s="54">
        <v>0</v>
      </c>
      <c r="Z41" s="54">
        <v>0</v>
      </c>
      <c r="AA41" s="54">
        <v>0</v>
      </c>
      <c r="AB41" s="54">
        <v>0</v>
      </c>
      <c r="AC41" s="54">
        <v>0</v>
      </c>
      <c r="AD41" s="54">
        <v>0</v>
      </c>
      <c r="AE41" s="54">
        <v>0</v>
      </c>
      <c r="AF41" s="66">
        <v>0</v>
      </c>
      <c r="AG41" s="67">
        <v>0</v>
      </c>
      <c r="AH41" s="67">
        <v>0</v>
      </c>
      <c r="AI41" s="67">
        <v>0</v>
      </c>
      <c r="AJ41" s="67">
        <v>0</v>
      </c>
      <c r="AK41" s="67">
        <v>0</v>
      </c>
      <c r="AL41" s="67">
        <v>0</v>
      </c>
      <c r="AM41" s="67">
        <v>0</v>
      </c>
      <c r="AN41" s="67">
        <v>0</v>
      </c>
      <c r="AO41" s="67">
        <v>0</v>
      </c>
      <c r="AP41" s="67">
        <v>0</v>
      </c>
      <c r="AQ41" s="67">
        <v>0</v>
      </c>
      <c r="AR41" s="67">
        <v>0</v>
      </c>
      <c r="AS41" s="68">
        <v>0</v>
      </c>
      <c r="AT41" s="63"/>
      <c r="AU41" s="63"/>
    </row>
    <row r="42" spans="1:47" hidden="1" outlineLevel="1" x14ac:dyDescent="0.2">
      <c r="A42" s="95" t="s">
        <v>186</v>
      </c>
      <c r="B42" s="62">
        <v>0</v>
      </c>
      <c r="C42" s="54">
        <v>0</v>
      </c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0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0</v>
      </c>
      <c r="AS42" s="68">
        <v>0</v>
      </c>
      <c r="AT42" s="63"/>
      <c r="AU42" s="63"/>
    </row>
    <row r="43" spans="1:47" hidden="1" outlineLevel="1" x14ac:dyDescent="0.2">
      <c r="A43" s="95" t="s">
        <v>187</v>
      </c>
      <c r="B43" s="62">
        <v>0</v>
      </c>
      <c r="C43" s="54">
        <v>0</v>
      </c>
      <c r="D43" s="54">
        <v>0</v>
      </c>
      <c r="E43" s="63"/>
      <c r="F43" s="64"/>
      <c r="G43" s="65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66">
        <v>0</v>
      </c>
      <c r="T43" s="54">
        <v>0</v>
      </c>
      <c r="U43" s="54">
        <v>0</v>
      </c>
      <c r="V43" s="54">
        <v>0</v>
      </c>
      <c r="W43" s="54">
        <v>0</v>
      </c>
      <c r="X43" s="54">
        <v>0</v>
      </c>
      <c r="Y43" s="54">
        <v>0</v>
      </c>
      <c r="Z43" s="54">
        <v>0</v>
      </c>
      <c r="AA43" s="54">
        <v>0</v>
      </c>
      <c r="AB43" s="54">
        <v>0</v>
      </c>
      <c r="AC43" s="54">
        <v>0</v>
      </c>
      <c r="AD43" s="54">
        <v>0</v>
      </c>
      <c r="AE43" s="54">
        <v>0</v>
      </c>
      <c r="AF43" s="66">
        <v>0</v>
      </c>
      <c r="AG43" s="67">
        <v>0</v>
      </c>
      <c r="AH43" s="67">
        <v>0</v>
      </c>
      <c r="AI43" s="67">
        <v>0</v>
      </c>
      <c r="AJ43" s="67">
        <v>0</v>
      </c>
      <c r="AK43" s="67">
        <v>0</v>
      </c>
      <c r="AL43" s="67">
        <v>0</v>
      </c>
      <c r="AM43" s="67">
        <v>0</v>
      </c>
      <c r="AN43" s="67">
        <v>0</v>
      </c>
      <c r="AO43" s="67">
        <v>0</v>
      </c>
      <c r="AP43" s="67">
        <v>0</v>
      </c>
      <c r="AQ43" s="67">
        <v>0</v>
      </c>
      <c r="AR43" s="67">
        <v>0</v>
      </c>
      <c r="AS43" s="68">
        <v>0</v>
      </c>
      <c r="AT43" s="63"/>
      <c r="AU43" s="63"/>
    </row>
    <row r="44" spans="1:47" hidden="1" outlineLevel="1" x14ac:dyDescent="0.2">
      <c r="A44" s="95" t="s">
        <v>188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idden="1" outlineLevel="1" x14ac:dyDescent="0.2">
      <c r="A45" s="95" t="s">
        <v>189</v>
      </c>
      <c r="B45" s="62"/>
      <c r="C45" s="54"/>
      <c r="D45" s="54"/>
      <c r="E45" s="63"/>
      <c r="F45" s="64"/>
      <c r="G45" s="65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66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66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8"/>
      <c r="AT45" s="63"/>
      <c r="AU45" s="63"/>
    </row>
    <row r="46" spans="1:47" hidden="1" outlineLevel="1" x14ac:dyDescent="0.2">
      <c r="A46" s="95" t="s">
        <v>190</v>
      </c>
      <c r="B46" s="62">
        <v>0</v>
      </c>
      <c r="C46" s="54">
        <v>0</v>
      </c>
      <c r="D46" s="54">
        <v>0</v>
      </c>
      <c r="E46" s="63"/>
      <c r="F46" s="64"/>
      <c r="G46" s="65">
        <v>0</v>
      </c>
      <c r="H46" s="54">
        <v>0</v>
      </c>
      <c r="I46" s="54">
        <v>0</v>
      </c>
      <c r="J46" s="54">
        <v>0</v>
      </c>
      <c r="K46" s="54">
        <v>0</v>
      </c>
      <c r="L46" s="54">
        <v>0</v>
      </c>
      <c r="M46" s="54">
        <v>0</v>
      </c>
      <c r="N46" s="54">
        <v>0</v>
      </c>
      <c r="O46" s="54">
        <v>0</v>
      </c>
      <c r="P46" s="54">
        <v>0</v>
      </c>
      <c r="Q46" s="54">
        <v>0</v>
      </c>
      <c r="R46" s="54">
        <v>0</v>
      </c>
      <c r="S46" s="66">
        <v>0</v>
      </c>
      <c r="T46" s="54">
        <v>0</v>
      </c>
      <c r="U46" s="54">
        <v>0</v>
      </c>
      <c r="V46" s="54">
        <v>0</v>
      </c>
      <c r="W46" s="54">
        <v>0</v>
      </c>
      <c r="X46" s="54">
        <v>0</v>
      </c>
      <c r="Y46" s="54">
        <v>0</v>
      </c>
      <c r="Z46" s="54">
        <v>0</v>
      </c>
      <c r="AA46" s="54">
        <v>0</v>
      </c>
      <c r="AB46" s="54">
        <v>0</v>
      </c>
      <c r="AC46" s="54">
        <v>0</v>
      </c>
      <c r="AD46" s="54">
        <v>0</v>
      </c>
      <c r="AE46" s="54">
        <v>0</v>
      </c>
      <c r="AF46" s="66">
        <v>0</v>
      </c>
      <c r="AG46" s="67">
        <v>0</v>
      </c>
      <c r="AH46" s="67">
        <v>0</v>
      </c>
      <c r="AI46" s="67">
        <v>0</v>
      </c>
      <c r="AJ46" s="67">
        <v>0</v>
      </c>
      <c r="AK46" s="67">
        <v>0</v>
      </c>
      <c r="AL46" s="67">
        <v>0</v>
      </c>
      <c r="AM46" s="67">
        <v>0</v>
      </c>
      <c r="AN46" s="67">
        <v>0</v>
      </c>
      <c r="AO46" s="67">
        <v>0</v>
      </c>
      <c r="AP46" s="67">
        <v>0</v>
      </c>
      <c r="AQ46" s="67">
        <v>0</v>
      </c>
      <c r="AR46" s="67">
        <v>0</v>
      </c>
      <c r="AS46" s="68">
        <v>0</v>
      </c>
      <c r="AT46" s="63"/>
      <c r="AU46" s="63"/>
    </row>
    <row r="47" spans="1:47" hidden="1" outlineLevel="1" x14ac:dyDescent="0.2">
      <c r="A47" s="95" t="s">
        <v>191</v>
      </c>
      <c r="B47" s="62">
        <v>0</v>
      </c>
      <c r="C47" s="54">
        <v>0</v>
      </c>
      <c r="D47" s="54">
        <v>0</v>
      </c>
      <c r="E47" s="63"/>
      <c r="F47" s="64"/>
      <c r="G47" s="65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54">
        <v>0</v>
      </c>
      <c r="N47" s="54">
        <v>0</v>
      </c>
      <c r="O47" s="54">
        <v>0</v>
      </c>
      <c r="P47" s="54">
        <v>0</v>
      </c>
      <c r="Q47" s="54">
        <v>0</v>
      </c>
      <c r="R47" s="54">
        <v>0</v>
      </c>
      <c r="S47" s="66">
        <v>0</v>
      </c>
      <c r="T47" s="54">
        <v>0</v>
      </c>
      <c r="U47" s="54">
        <v>0</v>
      </c>
      <c r="V47" s="54">
        <v>0</v>
      </c>
      <c r="W47" s="54">
        <v>0</v>
      </c>
      <c r="X47" s="54">
        <v>0</v>
      </c>
      <c r="Y47" s="54">
        <v>0</v>
      </c>
      <c r="Z47" s="54">
        <v>0</v>
      </c>
      <c r="AA47" s="54">
        <v>0</v>
      </c>
      <c r="AB47" s="54">
        <v>0</v>
      </c>
      <c r="AC47" s="54">
        <v>0</v>
      </c>
      <c r="AD47" s="54">
        <v>0</v>
      </c>
      <c r="AE47" s="54">
        <v>0</v>
      </c>
      <c r="AF47" s="66">
        <v>0</v>
      </c>
      <c r="AG47" s="67">
        <v>0</v>
      </c>
      <c r="AH47" s="67">
        <v>0</v>
      </c>
      <c r="AI47" s="67">
        <v>0</v>
      </c>
      <c r="AJ47" s="67">
        <v>0</v>
      </c>
      <c r="AK47" s="67">
        <v>0</v>
      </c>
      <c r="AL47" s="67">
        <v>0</v>
      </c>
      <c r="AM47" s="67">
        <v>0</v>
      </c>
      <c r="AN47" s="67">
        <v>0</v>
      </c>
      <c r="AO47" s="67">
        <v>0</v>
      </c>
      <c r="AP47" s="67">
        <v>0</v>
      </c>
      <c r="AQ47" s="67">
        <v>0</v>
      </c>
      <c r="AR47" s="67">
        <v>0</v>
      </c>
      <c r="AS47" s="68">
        <v>0</v>
      </c>
      <c r="AT47" s="63"/>
      <c r="AU47" s="63"/>
    </row>
    <row r="48" spans="1:47" collapsed="1" x14ac:dyDescent="0.2">
      <c r="A48" s="69" t="s">
        <v>192</v>
      </c>
      <c r="B48" s="70">
        <v>0</v>
      </c>
      <c r="C48" s="71">
        <v>0</v>
      </c>
      <c r="D48" s="71">
        <v>0</v>
      </c>
      <c r="E48" s="72"/>
      <c r="F48" s="73"/>
      <c r="G48" s="70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>
        <v>0</v>
      </c>
      <c r="N48" s="71">
        <v>0</v>
      </c>
      <c r="O48" s="71">
        <v>0</v>
      </c>
      <c r="P48" s="71">
        <v>0</v>
      </c>
      <c r="Q48" s="71">
        <v>0</v>
      </c>
      <c r="R48" s="71">
        <v>0</v>
      </c>
      <c r="S48" s="71">
        <v>0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71">
        <v>0</v>
      </c>
      <c r="AE48" s="71">
        <v>0</v>
      </c>
      <c r="AF48" s="71">
        <v>0</v>
      </c>
      <c r="AG48" s="75">
        <v>23</v>
      </c>
      <c r="AH48" s="75">
        <v>23</v>
      </c>
      <c r="AI48" s="134">
        <v>-46</v>
      </c>
      <c r="AJ48" s="75">
        <v>0</v>
      </c>
      <c r="AK48" s="75">
        <v>0</v>
      </c>
      <c r="AL48" s="75">
        <v>0</v>
      </c>
      <c r="AM48" s="75">
        <v>0</v>
      </c>
      <c r="AN48" s="75">
        <v>0</v>
      </c>
      <c r="AO48" s="75">
        <v>0</v>
      </c>
      <c r="AP48" s="75">
        <v>0</v>
      </c>
      <c r="AQ48" s="75">
        <v>0</v>
      </c>
      <c r="AR48" s="75">
        <v>0</v>
      </c>
      <c r="AS48" s="75">
        <v>0</v>
      </c>
      <c r="AT48" s="72"/>
      <c r="AU48" s="72"/>
    </row>
    <row r="49" spans="1:47" hidden="1" outlineLevel="1" x14ac:dyDescent="0.2">
      <c r="A49" s="95" t="s">
        <v>193</v>
      </c>
      <c r="B49" s="62"/>
      <c r="C49" s="54"/>
      <c r="D49" s="54"/>
      <c r="E49" s="63"/>
      <c r="F49" s="64"/>
      <c r="G49" s="65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66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66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8"/>
      <c r="AT49" s="63"/>
      <c r="AU49" s="63"/>
    </row>
    <row r="50" spans="1:47" hidden="1" outlineLevel="1" x14ac:dyDescent="0.2">
      <c r="A50" s="95" t="s">
        <v>194</v>
      </c>
      <c r="B50" s="62">
        <v>0</v>
      </c>
      <c r="C50" s="54">
        <v>0</v>
      </c>
      <c r="D50" s="54">
        <v>0</v>
      </c>
      <c r="E50" s="63"/>
      <c r="F50" s="64"/>
      <c r="G50" s="65">
        <v>0</v>
      </c>
      <c r="H50" s="54">
        <v>0</v>
      </c>
      <c r="I50" s="54">
        <v>0</v>
      </c>
      <c r="J50" s="54">
        <v>0</v>
      </c>
      <c r="K50" s="54">
        <v>0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66">
        <v>0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>
        <v>0</v>
      </c>
      <c r="AH50" s="67">
        <v>0</v>
      </c>
      <c r="AI50" s="67">
        <v>0</v>
      </c>
      <c r="AJ50" s="67">
        <v>0</v>
      </c>
      <c r="AK50" s="67">
        <v>0</v>
      </c>
      <c r="AL50" s="67">
        <v>0</v>
      </c>
      <c r="AM50" s="67">
        <v>0</v>
      </c>
      <c r="AN50" s="67">
        <v>0</v>
      </c>
      <c r="AO50" s="67">
        <v>0</v>
      </c>
      <c r="AP50" s="67">
        <v>0</v>
      </c>
      <c r="AQ50" s="67">
        <v>0</v>
      </c>
      <c r="AR50" s="67">
        <v>0</v>
      </c>
      <c r="AS50" s="68">
        <v>0</v>
      </c>
      <c r="AT50" s="63"/>
      <c r="AU50" s="63"/>
    </row>
    <row r="51" spans="1:47" hidden="1" outlineLevel="1" x14ac:dyDescent="0.2">
      <c r="A51" s="95" t="s">
        <v>82</v>
      </c>
      <c r="B51" s="62">
        <v>0</v>
      </c>
      <c r="C51" s="54">
        <v>0</v>
      </c>
      <c r="D51" s="54">
        <v>0</v>
      </c>
      <c r="E51" s="63"/>
      <c r="F51" s="64"/>
      <c r="G51" s="65">
        <v>0</v>
      </c>
      <c r="H51" s="54">
        <v>0</v>
      </c>
      <c r="I51" s="54">
        <v>0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66">
        <v>0</v>
      </c>
      <c r="T51" s="54">
        <v>0</v>
      </c>
      <c r="U51" s="54">
        <v>0</v>
      </c>
      <c r="V51" s="54">
        <v>0</v>
      </c>
      <c r="W51" s="54">
        <v>0</v>
      </c>
      <c r="X51" s="54">
        <v>0</v>
      </c>
      <c r="Y51" s="54">
        <v>0</v>
      </c>
      <c r="Z51" s="54">
        <v>0</v>
      </c>
      <c r="AA51" s="54">
        <v>0</v>
      </c>
      <c r="AB51" s="54">
        <v>0</v>
      </c>
      <c r="AC51" s="54">
        <v>0</v>
      </c>
      <c r="AD51" s="54">
        <v>0</v>
      </c>
      <c r="AE51" s="54">
        <v>0</v>
      </c>
      <c r="AF51" s="66">
        <v>0</v>
      </c>
      <c r="AG51" s="67">
        <v>0</v>
      </c>
      <c r="AH51" s="67">
        <v>0</v>
      </c>
      <c r="AI51" s="67">
        <v>0</v>
      </c>
      <c r="AJ51" s="67">
        <v>0</v>
      </c>
      <c r="AK51" s="67">
        <v>0</v>
      </c>
      <c r="AL51" s="67">
        <v>0</v>
      </c>
      <c r="AM51" s="67">
        <v>0</v>
      </c>
      <c r="AN51" s="67">
        <v>0</v>
      </c>
      <c r="AO51" s="67">
        <v>0</v>
      </c>
      <c r="AP51" s="67">
        <v>0</v>
      </c>
      <c r="AQ51" s="67">
        <v>0</v>
      </c>
      <c r="AR51" s="67">
        <v>0</v>
      </c>
      <c r="AS51" s="68">
        <v>0</v>
      </c>
      <c r="AT51" s="63"/>
      <c r="AU51" s="63"/>
    </row>
    <row r="52" spans="1:47" hidden="1" outlineLevel="1" x14ac:dyDescent="0.2">
      <c r="A52" s="95" t="s">
        <v>83</v>
      </c>
      <c r="B52" s="62">
        <v>0</v>
      </c>
      <c r="C52" s="54">
        <v>0</v>
      </c>
      <c r="D52" s="54">
        <v>0</v>
      </c>
      <c r="E52" s="63"/>
      <c r="F52" s="64"/>
      <c r="G52" s="65">
        <v>0</v>
      </c>
      <c r="H52" s="54">
        <v>0</v>
      </c>
      <c r="I52" s="54">
        <v>0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66">
        <v>0</v>
      </c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66">
        <v>0</v>
      </c>
      <c r="AG52" s="67">
        <v>0</v>
      </c>
      <c r="AH52" s="67">
        <v>0</v>
      </c>
      <c r="AI52" s="67">
        <v>0</v>
      </c>
      <c r="AJ52" s="67">
        <v>0</v>
      </c>
      <c r="AK52" s="67">
        <v>0</v>
      </c>
      <c r="AL52" s="67">
        <v>0</v>
      </c>
      <c r="AM52" s="67">
        <v>0</v>
      </c>
      <c r="AN52" s="67">
        <v>0</v>
      </c>
      <c r="AO52" s="67">
        <v>0</v>
      </c>
      <c r="AP52" s="67">
        <v>0</v>
      </c>
      <c r="AQ52" s="67">
        <v>0</v>
      </c>
      <c r="AR52" s="67">
        <v>0</v>
      </c>
      <c r="AS52" s="68">
        <v>0</v>
      </c>
      <c r="AT52" s="63"/>
      <c r="AU52" s="63"/>
    </row>
    <row r="53" spans="1:47" hidden="1" outlineLevel="1" x14ac:dyDescent="0.2">
      <c r="A53" s="95" t="s">
        <v>84</v>
      </c>
      <c r="B53" s="62">
        <v>0</v>
      </c>
      <c r="C53" s="54">
        <v>0</v>
      </c>
      <c r="D53" s="54">
        <v>0</v>
      </c>
      <c r="E53" s="63"/>
      <c r="F53" s="64"/>
      <c r="G53" s="65">
        <v>0</v>
      </c>
      <c r="H53" s="54">
        <v>0</v>
      </c>
      <c r="I53" s="54">
        <v>0</v>
      </c>
      <c r="J53" s="54">
        <v>0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66">
        <v>0</v>
      </c>
      <c r="T53" s="54">
        <v>0</v>
      </c>
      <c r="U53" s="54">
        <v>0</v>
      </c>
      <c r="V53" s="54">
        <v>0</v>
      </c>
      <c r="W53" s="54">
        <v>0</v>
      </c>
      <c r="X53" s="54">
        <v>0</v>
      </c>
      <c r="Y53" s="54">
        <v>0</v>
      </c>
      <c r="Z53" s="54">
        <v>0</v>
      </c>
      <c r="AA53" s="54">
        <v>0</v>
      </c>
      <c r="AB53" s="54">
        <v>0</v>
      </c>
      <c r="AC53" s="54">
        <v>0</v>
      </c>
      <c r="AD53" s="54">
        <v>0</v>
      </c>
      <c r="AE53" s="54">
        <v>0</v>
      </c>
      <c r="AF53" s="66">
        <v>0</v>
      </c>
      <c r="AG53" s="67">
        <v>585</v>
      </c>
      <c r="AH53" s="67">
        <v>0</v>
      </c>
      <c r="AI53" s="67">
        <v>550</v>
      </c>
      <c r="AJ53" s="67">
        <v>0</v>
      </c>
      <c r="AK53" s="67">
        <v>0</v>
      </c>
      <c r="AL53" s="67">
        <v>0</v>
      </c>
      <c r="AM53" s="67">
        <v>0</v>
      </c>
      <c r="AN53" s="67">
        <v>0</v>
      </c>
      <c r="AO53" s="67">
        <v>367.5</v>
      </c>
      <c r="AP53" s="67">
        <v>0</v>
      </c>
      <c r="AQ53" s="67">
        <v>0</v>
      </c>
      <c r="AR53" s="67">
        <v>0</v>
      </c>
      <c r="AS53" s="68">
        <v>1135</v>
      </c>
      <c r="AT53" s="63"/>
      <c r="AU53" s="63">
        <v>0</v>
      </c>
    </row>
    <row r="54" spans="1:47" hidden="1" outlineLevel="1" x14ac:dyDescent="0.2">
      <c r="A54" s="95" t="s">
        <v>195</v>
      </c>
      <c r="B54" s="62">
        <v>0</v>
      </c>
      <c r="C54" s="54">
        <v>0</v>
      </c>
      <c r="D54" s="54">
        <v>0</v>
      </c>
      <c r="E54" s="63"/>
      <c r="F54" s="64"/>
      <c r="G54" s="65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66">
        <v>0</v>
      </c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>
        <v>0</v>
      </c>
      <c r="AH54" s="67">
        <v>0</v>
      </c>
      <c r="AI54" s="67">
        <v>0</v>
      </c>
      <c r="AJ54" s="67">
        <v>0</v>
      </c>
      <c r="AK54" s="67">
        <v>0</v>
      </c>
      <c r="AL54" s="67">
        <v>0</v>
      </c>
      <c r="AM54" s="67">
        <v>0</v>
      </c>
      <c r="AN54" s="67">
        <v>0</v>
      </c>
      <c r="AO54" s="67">
        <v>0</v>
      </c>
      <c r="AP54" s="67">
        <v>0</v>
      </c>
      <c r="AQ54" s="67">
        <v>0</v>
      </c>
      <c r="AR54" s="67">
        <v>0</v>
      </c>
      <c r="AS54" s="68">
        <v>0</v>
      </c>
      <c r="AT54" s="63"/>
      <c r="AU54" s="63"/>
    </row>
    <row r="55" spans="1:47" hidden="1" outlineLevel="1" x14ac:dyDescent="0.2">
      <c r="A55" s="95" t="s">
        <v>86</v>
      </c>
      <c r="B55" s="62">
        <v>0</v>
      </c>
      <c r="C55" s="54">
        <v>0</v>
      </c>
      <c r="D55" s="54">
        <v>0</v>
      </c>
      <c r="E55" s="63"/>
      <c r="F55" s="64"/>
      <c r="G55" s="65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66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66">
        <v>0</v>
      </c>
      <c r="AG55" s="67">
        <v>0</v>
      </c>
      <c r="AH55" s="67">
        <v>0</v>
      </c>
      <c r="AI55" s="67">
        <v>0</v>
      </c>
      <c r="AJ55" s="67">
        <v>0</v>
      </c>
      <c r="AK55" s="67">
        <v>0</v>
      </c>
      <c r="AL55" s="67">
        <v>0</v>
      </c>
      <c r="AM55" s="67">
        <v>0</v>
      </c>
      <c r="AN55" s="67">
        <v>0</v>
      </c>
      <c r="AO55" s="67">
        <v>0</v>
      </c>
      <c r="AP55" s="67">
        <v>0</v>
      </c>
      <c r="AQ55" s="67">
        <v>0</v>
      </c>
      <c r="AR55" s="67">
        <v>0</v>
      </c>
      <c r="AS55" s="68">
        <v>0</v>
      </c>
      <c r="AT55" s="63"/>
      <c r="AU55" s="63"/>
    </row>
    <row r="56" spans="1:47" hidden="1" outlineLevel="1" x14ac:dyDescent="0.2">
      <c r="A56" s="95" t="s">
        <v>110</v>
      </c>
      <c r="B56" s="62">
        <v>0</v>
      </c>
      <c r="C56" s="54"/>
      <c r="D56" s="54">
        <v>0</v>
      </c>
      <c r="E56" s="63"/>
      <c r="F56" s="64"/>
      <c r="G56" s="65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66">
        <v>0</v>
      </c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66"/>
      <c r="AG56" s="67">
        <v>0</v>
      </c>
      <c r="AH56" s="67">
        <v>0</v>
      </c>
      <c r="AI56" s="67">
        <v>0</v>
      </c>
      <c r="AJ56" s="67">
        <v>0</v>
      </c>
      <c r="AK56" s="67">
        <v>0</v>
      </c>
      <c r="AL56" s="67">
        <v>0</v>
      </c>
      <c r="AM56" s="67">
        <v>0</v>
      </c>
      <c r="AN56" s="67">
        <v>0</v>
      </c>
      <c r="AO56" s="67">
        <v>0</v>
      </c>
      <c r="AP56" s="67">
        <v>0</v>
      </c>
      <c r="AQ56" s="67">
        <v>0</v>
      </c>
      <c r="AR56" s="67">
        <v>0</v>
      </c>
      <c r="AS56" s="68">
        <v>0</v>
      </c>
      <c r="AT56" s="63"/>
      <c r="AU56" s="63"/>
    </row>
    <row r="57" spans="1:47" hidden="1" outlineLevel="1" x14ac:dyDescent="0.2">
      <c r="A57" s="95" t="s">
        <v>196</v>
      </c>
      <c r="B57" s="62">
        <v>0</v>
      </c>
      <c r="C57" s="54">
        <v>0</v>
      </c>
      <c r="D57" s="54">
        <v>0</v>
      </c>
      <c r="E57" s="63"/>
      <c r="F57" s="64"/>
      <c r="G57" s="65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66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66">
        <v>0</v>
      </c>
      <c r="AG57" s="67">
        <v>0</v>
      </c>
      <c r="AH57" s="67">
        <v>325</v>
      </c>
      <c r="AI57" s="98">
        <v>-325</v>
      </c>
      <c r="AJ57" s="67">
        <v>0</v>
      </c>
      <c r="AK57" s="67">
        <v>0</v>
      </c>
      <c r="AL57" s="67">
        <v>0</v>
      </c>
      <c r="AM57" s="67">
        <v>0</v>
      </c>
      <c r="AN57" s="67">
        <v>0</v>
      </c>
      <c r="AO57" s="67">
        <v>0</v>
      </c>
      <c r="AP57" s="67">
        <v>0</v>
      </c>
      <c r="AQ57" s="67">
        <v>0</v>
      </c>
      <c r="AR57" s="67">
        <v>0</v>
      </c>
      <c r="AS57" s="68">
        <v>0</v>
      </c>
      <c r="AT57" s="63"/>
      <c r="AU57" s="63"/>
    </row>
    <row r="58" spans="1:47" hidden="1" outlineLevel="1" x14ac:dyDescent="0.2">
      <c r="A58" s="95" t="s">
        <v>197</v>
      </c>
      <c r="B58" s="62">
        <v>0</v>
      </c>
      <c r="C58" s="54">
        <v>0</v>
      </c>
      <c r="D58" s="54">
        <v>0</v>
      </c>
      <c r="E58" s="63"/>
      <c r="F58" s="64"/>
      <c r="G58" s="65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0</v>
      </c>
      <c r="AI58" s="67">
        <v>0</v>
      </c>
      <c r="AJ58" s="67">
        <v>0</v>
      </c>
      <c r="AK58" s="67">
        <v>0</v>
      </c>
      <c r="AL58" s="67">
        <v>0</v>
      </c>
      <c r="AM58" s="67">
        <v>0</v>
      </c>
      <c r="AN58" s="67">
        <v>0</v>
      </c>
      <c r="AO58" s="67">
        <v>0</v>
      </c>
      <c r="AP58" s="67">
        <v>0</v>
      </c>
      <c r="AQ58" s="67">
        <v>0</v>
      </c>
      <c r="AR58" s="67">
        <v>0</v>
      </c>
      <c r="AS58" s="68">
        <v>0</v>
      </c>
      <c r="AT58" s="63"/>
      <c r="AU58" s="63"/>
    </row>
    <row r="59" spans="1:47" hidden="1" outlineLevel="1" x14ac:dyDescent="0.2">
      <c r="A59" s="95" t="s">
        <v>198</v>
      </c>
      <c r="B59" s="62">
        <v>0</v>
      </c>
      <c r="C59" s="54">
        <v>0</v>
      </c>
      <c r="D59" s="54">
        <v>0</v>
      </c>
      <c r="E59" s="63"/>
      <c r="F59" s="64"/>
      <c r="G59" s="65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66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66">
        <v>0</v>
      </c>
      <c r="AG59" s="67">
        <v>0</v>
      </c>
      <c r="AH59" s="67">
        <v>0</v>
      </c>
      <c r="AI59" s="67">
        <v>0</v>
      </c>
      <c r="AJ59" s="67">
        <v>0</v>
      </c>
      <c r="AK59" s="67">
        <v>0</v>
      </c>
      <c r="AL59" s="67">
        <v>0</v>
      </c>
      <c r="AM59" s="67">
        <v>0</v>
      </c>
      <c r="AN59" s="67">
        <v>0</v>
      </c>
      <c r="AO59" s="67">
        <v>0</v>
      </c>
      <c r="AP59" s="67">
        <v>0</v>
      </c>
      <c r="AQ59" s="67">
        <v>0</v>
      </c>
      <c r="AR59" s="67">
        <v>0</v>
      </c>
      <c r="AS59" s="68">
        <v>0</v>
      </c>
      <c r="AT59" s="63"/>
      <c r="AU59" s="63"/>
    </row>
    <row r="60" spans="1:47" hidden="1" outlineLevel="1" x14ac:dyDescent="0.2">
      <c r="A60" s="95" t="s">
        <v>199</v>
      </c>
      <c r="B60" s="62"/>
      <c r="C60" s="54"/>
      <c r="D60" s="54"/>
      <c r="E60" s="63"/>
      <c r="F60" s="64"/>
      <c r="G60" s="65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66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66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8"/>
      <c r="AT60" s="63"/>
      <c r="AU60" s="63"/>
    </row>
    <row r="61" spans="1:47" hidden="1" outlineLevel="1" x14ac:dyDescent="0.2">
      <c r="A61" s="95" t="s">
        <v>200</v>
      </c>
      <c r="B61" s="62">
        <v>0</v>
      </c>
      <c r="C61" s="54">
        <v>0</v>
      </c>
      <c r="D61" s="54">
        <v>0</v>
      </c>
      <c r="E61" s="63"/>
      <c r="F61" s="64"/>
      <c r="G61" s="65">
        <v>0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66">
        <v>0</v>
      </c>
      <c r="T61" s="54">
        <v>0</v>
      </c>
      <c r="U61" s="54">
        <v>0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0</v>
      </c>
      <c r="AB61" s="54">
        <v>0</v>
      </c>
      <c r="AC61" s="54">
        <v>0</v>
      </c>
      <c r="AD61" s="54">
        <v>0</v>
      </c>
      <c r="AE61" s="54">
        <v>0</v>
      </c>
      <c r="AF61" s="66">
        <v>0</v>
      </c>
      <c r="AG61" s="67">
        <v>0</v>
      </c>
      <c r="AH61" s="67">
        <v>0</v>
      </c>
      <c r="AI61" s="67">
        <v>0</v>
      </c>
      <c r="AJ61" s="67">
        <v>0</v>
      </c>
      <c r="AK61" s="67">
        <v>0</v>
      </c>
      <c r="AL61" s="67">
        <v>0</v>
      </c>
      <c r="AM61" s="67">
        <v>0</v>
      </c>
      <c r="AN61" s="67">
        <v>0</v>
      </c>
      <c r="AO61" s="67">
        <v>0</v>
      </c>
      <c r="AP61" s="67">
        <v>0</v>
      </c>
      <c r="AQ61" s="67">
        <v>0</v>
      </c>
      <c r="AR61" s="67">
        <v>0</v>
      </c>
      <c r="AS61" s="68">
        <v>0</v>
      </c>
      <c r="AT61" s="63"/>
      <c r="AU61" s="63"/>
    </row>
    <row r="62" spans="1:47" collapsed="1" x14ac:dyDescent="0.2">
      <c r="A62" s="69" t="s">
        <v>89</v>
      </c>
      <c r="B62" s="70">
        <v>0</v>
      </c>
      <c r="C62" s="71">
        <v>0</v>
      </c>
      <c r="D62" s="71">
        <v>0</v>
      </c>
      <c r="E62" s="72"/>
      <c r="F62" s="73"/>
      <c r="G62" s="70">
        <v>0</v>
      </c>
      <c r="H62" s="71">
        <v>0</v>
      </c>
      <c r="I62" s="71">
        <v>0</v>
      </c>
      <c r="J62" s="71">
        <v>0</v>
      </c>
      <c r="K62" s="71">
        <v>0</v>
      </c>
      <c r="L62" s="71">
        <v>0</v>
      </c>
      <c r="M62" s="71">
        <v>0</v>
      </c>
      <c r="N62" s="71">
        <v>0</v>
      </c>
      <c r="O62" s="71">
        <v>0</v>
      </c>
      <c r="P62" s="71">
        <v>0</v>
      </c>
      <c r="Q62" s="71">
        <v>0</v>
      </c>
      <c r="R62" s="71">
        <v>0</v>
      </c>
      <c r="S62" s="71">
        <v>0</v>
      </c>
      <c r="T62" s="71">
        <v>0</v>
      </c>
      <c r="U62" s="71">
        <v>0</v>
      </c>
      <c r="V62" s="71">
        <v>0</v>
      </c>
      <c r="W62" s="71">
        <v>0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71">
        <v>0</v>
      </c>
      <c r="AE62" s="71">
        <v>0</v>
      </c>
      <c r="AF62" s="71">
        <v>0</v>
      </c>
      <c r="AG62" s="75">
        <v>585</v>
      </c>
      <c r="AH62" s="75">
        <v>325</v>
      </c>
      <c r="AI62" s="75">
        <v>225</v>
      </c>
      <c r="AJ62" s="75">
        <v>0</v>
      </c>
      <c r="AK62" s="75">
        <v>0</v>
      </c>
      <c r="AL62" s="75">
        <v>0</v>
      </c>
      <c r="AM62" s="75">
        <v>0</v>
      </c>
      <c r="AN62" s="75">
        <v>0</v>
      </c>
      <c r="AO62" s="75">
        <v>367.5</v>
      </c>
      <c r="AP62" s="75">
        <v>0</v>
      </c>
      <c r="AQ62" s="75">
        <v>0</v>
      </c>
      <c r="AR62" s="75">
        <v>0</v>
      </c>
      <c r="AS62" s="75">
        <v>1135</v>
      </c>
      <c r="AT62" s="72"/>
      <c r="AU62" s="72">
        <v>0</v>
      </c>
    </row>
    <row r="63" spans="1:47" x14ac:dyDescent="0.2">
      <c r="A63" s="77" t="s">
        <v>201</v>
      </c>
      <c r="B63" s="78">
        <v>973.73</v>
      </c>
      <c r="C63" s="79">
        <v>0</v>
      </c>
      <c r="D63" s="79">
        <v>390.72</v>
      </c>
      <c r="E63" s="80"/>
      <c r="F63" s="81">
        <v>249.21427108927108</v>
      </c>
      <c r="G63" s="843">
        <v>-2070.14</v>
      </c>
      <c r="H63" s="79">
        <v>334.07</v>
      </c>
      <c r="I63" s="79">
        <v>328.17</v>
      </c>
      <c r="J63" s="79">
        <v>973.73</v>
      </c>
      <c r="K63" s="79">
        <v>0</v>
      </c>
      <c r="L63" s="79">
        <v>0</v>
      </c>
      <c r="M63" s="79">
        <v>0</v>
      </c>
      <c r="N63" s="79">
        <v>0</v>
      </c>
      <c r="O63" s="79">
        <v>0</v>
      </c>
      <c r="P63" s="79">
        <v>0</v>
      </c>
      <c r="Q63" s="79">
        <v>0</v>
      </c>
      <c r="R63" s="79">
        <v>0</v>
      </c>
      <c r="S63" s="82">
        <v>-434.17</v>
      </c>
      <c r="T63" s="79">
        <v>0</v>
      </c>
      <c r="U63" s="79">
        <v>0</v>
      </c>
      <c r="V63" s="79">
        <v>0</v>
      </c>
      <c r="W63" s="79">
        <v>0</v>
      </c>
      <c r="X63" s="79">
        <v>0</v>
      </c>
      <c r="Y63" s="79">
        <v>0</v>
      </c>
      <c r="Z63" s="79">
        <v>0</v>
      </c>
      <c r="AA63" s="79">
        <v>0</v>
      </c>
      <c r="AB63" s="79">
        <v>0</v>
      </c>
      <c r="AC63" s="79">
        <v>0</v>
      </c>
      <c r="AD63" s="79">
        <v>0</v>
      </c>
      <c r="AE63" s="79">
        <v>0</v>
      </c>
      <c r="AF63" s="79">
        <v>0</v>
      </c>
      <c r="AG63" s="83">
        <v>11149.77</v>
      </c>
      <c r="AH63" s="83">
        <v>14749.34</v>
      </c>
      <c r="AI63" s="137">
        <v>-23017.15</v>
      </c>
      <c r="AJ63" s="83">
        <v>390.72</v>
      </c>
      <c r="AK63" s="83">
        <v>1410.6</v>
      </c>
      <c r="AL63" s="83">
        <v>1071.1099999999999</v>
      </c>
      <c r="AM63" s="83">
        <v>5981.75</v>
      </c>
      <c r="AN63" s="83">
        <v>478.76</v>
      </c>
      <c r="AO63" s="83">
        <v>1464.55</v>
      </c>
      <c r="AP63" s="83">
        <v>1624.52</v>
      </c>
      <c r="AQ63" s="83">
        <v>1378.37</v>
      </c>
      <c r="AR63" s="83">
        <v>1120.68</v>
      </c>
      <c r="AS63" s="83">
        <v>3272.68</v>
      </c>
      <c r="AT63" s="80"/>
      <c r="AU63" s="80">
        <v>-13.266497182737083</v>
      </c>
    </row>
    <row r="64" spans="1:47" x14ac:dyDescent="0.2">
      <c r="A64" s="84" t="s">
        <v>8</v>
      </c>
      <c r="B64" s="85">
        <v>651.27</v>
      </c>
      <c r="C64" s="86">
        <v>0</v>
      </c>
      <c r="D64" s="89">
        <v>-390.72</v>
      </c>
      <c r="E64" s="87"/>
      <c r="F64" s="88">
        <v>-166.68458230958231</v>
      </c>
      <c r="G64" s="85">
        <v>3065.14</v>
      </c>
      <c r="H64" s="86">
        <v>1253.43</v>
      </c>
      <c r="I64" s="86">
        <v>1145.58</v>
      </c>
      <c r="J64" s="86">
        <v>651.27</v>
      </c>
      <c r="K64" s="86">
        <v>0</v>
      </c>
      <c r="L64" s="86">
        <v>0</v>
      </c>
      <c r="M64" s="86">
        <v>0</v>
      </c>
      <c r="N64" s="86">
        <v>0</v>
      </c>
      <c r="O64" s="86">
        <v>0</v>
      </c>
      <c r="P64" s="86">
        <v>0</v>
      </c>
      <c r="Q64" s="86">
        <v>0</v>
      </c>
      <c r="R64" s="86">
        <v>0</v>
      </c>
      <c r="S64" s="86">
        <v>6115.42</v>
      </c>
      <c r="T64" s="86">
        <v>0</v>
      </c>
      <c r="U64" s="86">
        <v>0</v>
      </c>
      <c r="V64" s="86">
        <v>0</v>
      </c>
      <c r="W64" s="86">
        <v>0</v>
      </c>
      <c r="X64" s="86">
        <v>0</v>
      </c>
      <c r="Y64" s="86">
        <v>0</v>
      </c>
      <c r="Z64" s="86">
        <v>0</v>
      </c>
      <c r="AA64" s="86">
        <v>0</v>
      </c>
      <c r="AB64" s="86">
        <v>0</v>
      </c>
      <c r="AC64" s="86">
        <v>0</v>
      </c>
      <c r="AD64" s="86">
        <v>0</v>
      </c>
      <c r="AE64" s="86">
        <v>0</v>
      </c>
      <c r="AF64" s="86">
        <v>0</v>
      </c>
      <c r="AG64" s="136">
        <v>-11149.77</v>
      </c>
      <c r="AH64" s="136">
        <v>-14749.34</v>
      </c>
      <c r="AI64" s="90">
        <v>23017.15</v>
      </c>
      <c r="AJ64" s="136">
        <v>-390.72</v>
      </c>
      <c r="AK64" s="90">
        <v>1429.4</v>
      </c>
      <c r="AL64" s="90">
        <v>2463.89</v>
      </c>
      <c r="AM64" s="136">
        <v>-4163.75</v>
      </c>
      <c r="AN64" s="136">
        <v>-153.76</v>
      </c>
      <c r="AO64" s="136">
        <v>-1034.55</v>
      </c>
      <c r="AP64" s="136">
        <v>-1034.52</v>
      </c>
      <c r="AQ64" s="136">
        <v>-1378.37</v>
      </c>
      <c r="AR64" s="90">
        <v>4813.57</v>
      </c>
      <c r="AS64" s="136">
        <v>-3272.68</v>
      </c>
      <c r="AT64" s="87"/>
      <c r="AU64" s="87">
        <v>-186.86275468423432</v>
      </c>
    </row>
    <row r="65" spans="1:46" x14ac:dyDescent="0.2">
      <c r="S65" s="497"/>
      <c r="T65" s="630"/>
      <c r="U65" s="630"/>
      <c r="V65" s="630"/>
      <c r="W65" s="630"/>
      <c r="X65" s="630"/>
      <c r="Y65" s="630"/>
      <c r="Z65" s="630"/>
      <c r="AA65" s="630"/>
      <c r="AB65" s="630"/>
      <c r="AC65" s="630"/>
      <c r="AD65" s="630"/>
      <c r="AE65" s="630"/>
      <c r="AF65" s="630"/>
      <c r="AG65" s="630"/>
      <c r="AH65" s="630"/>
      <c r="AI65" s="630"/>
      <c r="AJ65" s="630"/>
      <c r="AK65" s="630"/>
      <c r="AL65" s="630"/>
      <c r="AM65" s="630"/>
      <c r="AN65" s="630"/>
      <c r="AO65" s="630"/>
      <c r="AP65" s="630"/>
      <c r="AQ65" s="630"/>
      <c r="AR65" s="630"/>
      <c r="AS65" s="497"/>
    </row>
    <row r="66" spans="1:46" x14ac:dyDescent="0.2">
      <c r="S66" s="485"/>
    </row>
    <row r="67" spans="1:46" x14ac:dyDescent="0.2">
      <c r="AF67" s="485">
        <f>+AF64-S64</f>
        <v>-6115.42</v>
      </c>
    </row>
    <row r="68" spans="1:46" ht="15" x14ac:dyDescent="0.25">
      <c r="A68" s="210"/>
      <c r="B68" s="211"/>
      <c r="C68" s="211"/>
      <c r="D68" s="211"/>
      <c r="E68" s="211"/>
      <c r="F68" s="211" t="s">
        <v>416</v>
      </c>
      <c r="G68" s="21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R68" s="211"/>
      <c r="S68" s="488">
        <f>S2</f>
        <v>5681.25</v>
      </c>
      <c r="T68" s="211"/>
      <c r="U68" s="211"/>
      <c r="V68" s="211"/>
      <c r="W68" s="211"/>
      <c r="X68" s="211"/>
      <c r="Y68" s="211"/>
      <c r="Z68" s="211"/>
      <c r="AA68" s="211"/>
      <c r="AB68" s="211"/>
      <c r="AC68" s="211"/>
      <c r="AD68" s="211"/>
      <c r="AE68" s="211"/>
      <c r="AF68" s="211"/>
      <c r="AG68" s="211"/>
      <c r="AH68" s="211"/>
      <c r="AI68" s="211"/>
      <c r="AJ68" s="211"/>
      <c r="AK68" s="211"/>
      <c r="AL68" s="211"/>
      <c r="AM68" s="211"/>
      <c r="AN68" s="211"/>
      <c r="AO68" s="211"/>
      <c r="AP68" s="211"/>
      <c r="AQ68" s="211"/>
      <c r="AR68" s="211"/>
      <c r="AS68" s="211"/>
      <c r="AT68" s="211"/>
    </row>
    <row r="69" spans="1:46" s="214" customFormat="1" ht="15" x14ac:dyDescent="0.25">
      <c r="A69" s="210"/>
      <c r="B69" s="216"/>
      <c r="C69" s="216"/>
      <c r="D69" s="400"/>
      <c r="E69" s="210"/>
      <c r="F69" s="211" t="s">
        <v>547</v>
      </c>
      <c r="G69" s="211"/>
      <c r="H69" s="211"/>
      <c r="I69" s="211"/>
      <c r="J69" s="211"/>
      <c r="K69" s="211"/>
      <c r="L69" s="211"/>
      <c r="M69" s="211"/>
      <c r="N69" s="211"/>
      <c r="O69" s="211"/>
      <c r="P69" s="211"/>
      <c r="Q69" s="211"/>
      <c r="R69" s="211"/>
      <c r="S69" s="488">
        <f>SUM(S9:S16)</f>
        <v>-2266.16</v>
      </c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8"/>
      <c r="AF69" s="485"/>
      <c r="AG69" s="216"/>
      <c r="AH69" s="216"/>
      <c r="AI69" s="216"/>
      <c r="AJ69" s="216"/>
      <c r="AK69" s="216"/>
      <c r="AL69" s="216"/>
      <c r="AM69" s="216"/>
      <c r="AN69" s="216"/>
      <c r="AO69" s="216"/>
      <c r="AP69" s="216"/>
      <c r="AQ69" s="216"/>
      <c r="AR69" s="216"/>
      <c r="AS69" s="216"/>
      <c r="AT69" s="210"/>
    </row>
    <row r="70" spans="1:46" ht="15" x14ac:dyDescent="0.25">
      <c r="A70" s="211"/>
      <c r="B70" s="212"/>
      <c r="C70" s="212"/>
      <c r="D70" s="400"/>
      <c r="E70" s="211"/>
      <c r="F70" s="211" t="s">
        <v>303</v>
      </c>
      <c r="G70" s="211"/>
      <c r="H70" s="211"/>
      <c r="I70" s="211"/>
      <c r="J70" s="211"/>
      <c r="K70" s="211"/>
      <c r="L70" s="211"/>
      <c r="M70" s="211"/>
      <c r="N70" s="211"/>
      <c r="O70" s="211"/>
      <c r="P70" s="211"/>
      <c r="Q70" s="211"/>
      <c r="R70" s="211"/>
      <c r="S70" s="488">
        <f>S68-S69</f>
        <v>7947.41</v>
      </c>
      <c r="T70" s="213"/>
      <c r="U70" s="213"/>
      <c r="V70" s="213"/>
      <c r="W70" s="213"/>
      <c r="X70" s="213"/>
      <c r="Y70" s="213"/>
      <c r="Z70" s="213"/>
      <c r="AA70" s="213"/>
      <c r="AB70" s="213"/>
      <c r="AC70" s="213"/>
      <c r="AD70" s="213"/>
      <c r="AF70" s="485"/>
      <c r="AG70" s="212"/>
      <c r="AH70" s="212"/>
      <c r="AI70" s="212"/>
      <c r="AJ70" s="212"/>
      <c r="AK70" s="212"/>
      <c r="AL70" s="212"/>
      <c r="AM70" s="212"/>
      <c r="AN70" s="212"/>
      <c r="AO70" s="212"/>
      <c r="AP70" s="212"/>
      <c r="AQ70" s="212"/>
      <c r="AR70" s="212"/>
      <c r="AS70" s="216"/>
      <c r="AT70" s="211"/>
    </row>
    <row r="71" spans="1:46" ht="15" x14ac:dyDescent="0.25">
      <c r="A71" s="211"/>
      <c r="B71" s="212"/>
      <c r="C71" s="212"/>
      <c r="D71" s="400"/>
      <c r="F71" s="211" t="s">
        <v>548</v>
      </c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211"/>
      <c r="R71" s="211"/>
      <c r="S71" s="449">
        <f>S70/S68</f>
        <v>1.3988840484048404</v>
      </c>
      <c r="T71" s="213"/>
      <c r="U71" s="213"/>
      <c r="V71" s="213"/>
      <c r="W71" s="213"/>
      <c r="X71" s="213"/>
      <c r="Y71" s="213"/>
      <c r="Z71" s="213"/>
      <c r="AA71" s="213"/>
      <c r="AB71" s="213"/>
      <c r="AC71" s="213"/>
      <c r="AD71" s="213"/>
      <c r="AF71" s="485"/>
      <c r="AG71" s="209"/>
      <c r="AH71" s="209"/>
      <c r="AI71" s="209"/>
      <c r="AJ71" s="209"/>
      <c r="AK71" s="209"/>
      <c r="AL71" s="209"/>
      <c r="AM71" s="209"/>
      <c r="AN71" s="209"/>
      <c r="AO71" s="209"/>
      <c r="AP71" s="209"/>
      <c r="AQ71" s="209"/>
      <c r="AR71" s="209"/>
      <c r="AS71" s="216"/>
    </row>
    <row r="72" spans="1:46" ht="15" x14ac:dyDescent="0.25">
      <c r="A72" s="211"/>
      <c r="B72" s="212"/>
      <c r="C72" s="212"/>
      <c r="D72" s="400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488"/>
      <c r="T72" s="213"/>
      <c r="U72" s="213"/>
      <c r="V72" s="213"/>
      <c r="W72" s="213"/>
      <c r="X72" s="213"/>
      <c r="Y72" s="213"/>
      <c r="Z72" s="213"/>
      <c r="AA72" s="213"/>
      <c r="AB72" s="213"/>
      <c r="AC72" s="213"/>
      <c r="AD72" s="213"/>
      <c r="AF72" s="486"/>
      <c r="AG72" s="209"/>
      <c r="AH72" s="209"/>
      <c r="AI72" s="209"/>
      <c r="AJ72" s="209"/>
      <c r="AK72" s="209"/>
      <c r="AL72" s="209"/>
      <c r="AM72" s="209"/>
      <c r="AN72" s="209"/>
      <c r="AO72" s="209"/>
      <c r="AP72" s="209"/>
      <c r="AQ72" s="209"/>
      <c r="AR72" s="209"/>
      <c r="AS72" s="216"/>
    </row>
    <row r="73" spans="1:46" s="214" customFormat="1" ht="15" x14ac:dyDescent="0.25">
      <c r="A73" s="210"/>
      <c r="B73" s="215"/>
      <c r="C73" s="215"/>
      <c r="D73" s="400"/>
      <c r="F73" s="211"/>
      <c r="G73" s="211"/>
      <c r="H73" s="211"/>
      <c r="I73" s="211"/>
      <c r="J73" s="211"/>
      <c r="K73" s="211"/>
      <c r="L73" s="211"/>
      <c r="M73" s="211"/>
      <c r="N73" s="211"/>
      <c r="O73" s="211"/>
      <c r="P73" s="211"/>
      <c r="Q73" s="211"/>
      <c r="R73" s="211"/>
      <c r="S73" s="488"/>
      <c r="T73" s="215"/>
      <c r="U73" s="215"/>
      <c r="V73" s="215"/>
      <c r="W73" s="215"/>
      <c r="X73" s="215"/>
      <c r="Y73" s="215"/>
      <c r="Z73" s="215"/>
      <c r="AA73" s="215"/>
      <c r="AB73" s="215"/>
      <c r="AC73" s="215"/>
      <c r="AD73" s="215"/>
      <c r="AE73" s="8"/>
      <c r="AF73" s="8"/>
      <c r="AG73" s="215"/>
      <c r="AH73" s="215"/>
      <c r="AI73" s="215"/>
      <c r="AJ73" s="215"/>
      <c r="AK73" s="215"/>
      <c r="AL73" s="215"/>
      <c r="AM73" s="215"/>
      <c r="AN73" s="215"/>
      <c r="AO73" s="215"/>
      <c r="AP73" s="215"/>
      <c r="AQ73" s="215"/>
      <c r="AR73" s="215"/>
      <c r="AS73" s="216"/>
    </row>
    <row r="74" spans="1:46" ht="15" x14ac:dyDescent="0.25">
      <c r="F74" s="211"/>
      <c r="G74" s="211"/>
      <c r="H74" s="211"/>
      <c r="I74" s="211"/>
      <c r="J74" s="211"/>
      <c r="K74" s="211"/>
      <c r="L74" s="211"/>
      <c r="M74" s="211"/>
      <c r="N74" s="211"/>
      <c r="O74" s="211"/>
      <c r="P74" s="211"/>
      <c r="Q74" s="211"/>
      <c r="R74" s="211"/>
      <c r="S74" s="48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18"/>
      <c r="AF74" s="487"/>
      <c r="AG74" s="218"/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8"/>
      <c r="AS74" s="218"/>
    </row>
    <row r="75" spans="1:46" ht="15" x14ac:dyDescent="0.25">
      <c r="A75" s="211"/>
      <c r="B75" s="211"/>
      <c r="C75" s="211"/>
      <c r="D75" s="211"/>
      <c r="G75" s="209"/>
      <c r="H75" s="209"/>
      <c r="I75" s="209"/>
      <c r="J75" s="209"/>
      <c r="K75" s="209"/>
      <c r="L75" s="209"/>
      <c r="M75" s="209"/>
      <c r="N75" s="209"/>
      <c r="O75" s="209"/>
      <c r="P75" s="209"/>
      <c r="Q75" s="209"/>
      <c r="R75" s="209"/>
      <c r="S75" s="216"/>
      <c r="T75" s="209"/>
      <c r="U75" s="209"/>
      <c r="V75" s="209"/>
      <c r="W75" s="209"/>
      <c r="X75" s="209"/>
      <c r="Y75" s="209"/>
      <c r="Z75" s="209"/>
      <c r="AA75" s="209"/>
      <c r="AB75" s="209"/>
      <c r="AC75" s="209"/>
      <c r="AD75" s="209"/>
      <c r="AF75" s="486"/>
      <c r="AG75" s="209"/>
      <c r="AH75" s="209"/>
      <c r="AI75" s="209"/>
      <c r="AJ75" s="209"/>
      <c r="AK75" s="209"/>
      <c r="AL75" s="209"/>
      <c r="AM75" s="209"/>
      <c r="AN75" s="209"/>
      <c r="AO75" s="209"/>
      <c r="AP75" s="209"/>
      <c r="AQ75" s="209"/>
      <c r="AR75" s="209"/>
      <c r="AS75" s="216"/>
    </row>
    <row r="78" spans="1:46" ht="15" x14ac:dyDescent="0.25">
      <c r="A78" s="211"/>
      <c r="B78" s="211"/>
      <c r="C78" s="211"/>
      <c r="D78" s="211"/>
      <c r="E78" s="211"/>
      <c r="F78" s="211"/>
      <c r="G78" s="212"/>
      <c r="H78" s="212"/>
      <c r="I78" s="212"/>
      <c r="J78" s="212"/>
      <c r="K78" s="212"/>
      <c r="L78" s="212"/>
      <c r="M78" s="212"/>
      <c r="N78" s="212"/>
      <c r="O78" s="212"/>
      <c r="P78" s="212"/>
      <c r="Q78" s="212"/>
      <c r="R78" s="212"/>
      <c r="S78" s="213"/>
      <c r="T78" s="213"/>
      <c r="U78" s="213"/>
      <c r="V78" s="213"/>
      <c r="W78" s="213"/>
      <c r="X78" s="213"/>
      <c r="Y78" s="213"/>
      <c r="Z78" s="213"/>
      <c r="AA78" s="213"/>
      <c r="AB78" s="213"/>
      <c r="AC78" s="213"/>
      <c r="AD78" s="213"/>
      <c r="AE78" s="213"/>
      <c r="AF78" s="212"/>
      <c r="AG78" s="212"/>
      <c r="AH78" s="212"/>
      <c r="AI78" s="212"/>
      <c r="AJ78" s="212"/>
      <c r="AK78" s="212"/>
      <c r="AL78" s="212"/>
      <c r="AM78" s="212"/>
      <c r="AN78" s="212"/>
      <c r="AO78" s="212"/>
      <c r="AP78" s="212"/>
      <c r="AQ78" s="212"/>
      <c r="AR78" s="212"/>
      <c r="AS78" s="217"/>
      <c r="AT78" s="211"/>
    </row>
    <row r="79" spans="1:46" ht="15" x14ac:dyDescent="0.25">
      <c r="A79" s="211"/>
    </row>
    <row r="120" spans="19:45" x14ac:dyDescent="0.2">
      <c r="S120" s="485">
        <f>+S14</f>
        <v>0</v>
      </c>
      <c r="AS120" s="485">
        <f>SUM(AG14:AR14)</f>
        <v>0</v>
      </c>
    </row>
    <row r="121" spans="19:45" x14ac:dyDescent="0.2">
      <c r="S121" s="485">
        <f>+S2</f>
        <v>5681.25</v>
      </c>
      <c r="AS121" s="482">
        <f>SUM(AG2:AR2)</f>
        <v>15472.25</v>
      </c>
    </row>
    <row r="122" spans="19:45" x14ac:dyDescent="0.2">
      <c r="S122" s="8">
        <f>+S120/S121</f>
        <v>0</v>
      </c>
      <c r="AS122" s="8">
        <f>+AS120/AS121</f>
        <v>0</v>
      </c>
    </row>
  </sheetData>
  <hyperlinks>
    <hyperlink ref="AS121" r:id="rId1" display="=@sum(ag2.ar2)"/>
  </hyperlinks>
  <pageMargins left="0.75" right="0.75" top="1" bottom="1" header="0.5" footer="0.5"/>
  <pageSetup scale="62" orientation="landscape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FFFF"/>
  </sheetPr>
  <dimension ref="A1:BS126"/>
  <sheetViews>
    <sheetView zoomScale="110" zoomScaleNormal="110" workbookViewId="0">
      <pane xSplit="1" ySplit="1" topLeftCell="E2" activePane="bottomRight" state="frozen"/>
      <selection activeCell="A73" sqref="A73"/>
      <selection pane="topRight" activeCell="A73" sqref="A73"/>
      <selection pane="bottomLeft" activeCell="A73" sqref="A73"/>
      <selection pane="bottomRight" sqref="A1:AU64"/>
    </sheetView>
  </sheetViews>
  <sheetFormatPr defaultColWidth="9.42578125" defaultRowHeight="12.75" outlineLevelRow="1" outlineLevelCol="1" x14ac:dyDescent="0.2"/>
  <cols>
    <col min="1" max="1" width="66.42578125" style="8" customWidth="1"/>
    <col min="2" max="4" width="9.42578125" style="8" customWidth="1"/>
    <col min="5" max="5" width="9.5703125" style="8" customWidth="1"/>
    <col min="6" max="6" width="10.5703125" style="8" customWidth="1"/>
    <col min="7" max="7" width="9.42578125" style="8" customWidth="1" outlineLevel="1"/>
    <col min="8" max="8" width="8.5703125" style="8" customWidth="1" outlineLevel="1"/>
    <col min="9" max="11" width="9.42578125" style="8" customWidth="1" outlineLevel="1"/>
    <col min="12" max="12" width="16.42578125" style="8" customWidth="1" outlineLevel="1"/>
    <col min="13" max="18" width="9.42578125" style="8" customWidth="1" outlineLevel="1"/>
    <col min="19" max="19" width="15.42578125" style="8" customWidth="1"/>
    <col min="20" max="31" width="9.42578125" style="8" hidden="1" customWidth="1" outlineLevel="1"/>
    <col min="32" max="32" width="15.42578125" style="8" hidden="1" customWidth="1" collapsed="1"/>
    <col min="33" max="44" width="9.42578125" style="8" hidden="1" customWidth="1" outlineLevel="1"/>
    <col min="45" max="45" width="10.42578125" style="8" bestFit="1" customWidth="1" collapsed="1"/>
    <col min="46" max="47" width="10.5703125" style="8" customWidth="1"/>
    <col min="48" max="49" width="9.42578125" style="4"/>
    <col min="50" max="50" width="12.140625" style="4" bestFit="1" customWidth="1"/>
    <col min="51" max="16384" width="9.42578125" style="4"/>
  </cols>
  <sheetData>
    <row r="1" spans="1:51" ht="42.7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51" s="30" customFormat="1" x14ac:dyDescent="0.2">
      <c r="A2" s="95" t="s">
        <v>7</v>
      </c>
      <c r="B2" s="62">
        <v>288613.39</v>
      </c>
      <c r="C2" s="54">
        <v>0</v>
      </c>
      <c r="D2" s="54">
        <v>157609.29999999999</v>
      </c>
      <c r="E2" s="63"/>
      <c r="F2" s="64">
        <v>183.1195176934356</v>
      </c>
      <c r="G2" s="65">
        <v>229522.12</v>
      </c>
      <c r="H2" s="54">
        <v>304182.93</v>
      </c>
      <c r="I2" s="54">
        <v>276029.96000000002</v>
      </c>
      <c r="J2" s="54">
        <v>288613.39</v>
      </c>
      <c r="K2" s="56">
        <v>-25494.5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1098348.3999999999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165163.54999999999</v>
      </c>
      <c r="AH2" s="67">
        <v>217026.88</v>
      </c>
      <c r="AI2" s="67">
        <v>146725.88</v>
      </c>
      <c r="AJ2" s="67">
        <v>157609.29999999999</v>
      </c>
      <c r="AK2" s="67">
        <v>189202.78</v>
      </c>
      <c r="AL2" s="67">
        <v>187858.77</v>
      </c>
      <c r="AM2" s="67">
        <v>200599.44</v>
      </c>
      <c r="AN2" s="67">
        <v>191274.28</v>
      </c>
      <c r="AO2" s="67">
        <v>191292.04</v>
      </c>
      <c r="AP2" s="67">
        <v>217962.51</v>
      </c>
      <c r="AQ2" s="67">
        <v>261051.81</v>
      </c>
      <c r="AR2" s="67">
        <v>318461.95</v>
      </c>
      <c r="AS2" s="68">
        <v>686525.61</v>
      </c>
      <c r="AT2" s="63"/>
      <c r="AU2" s="63">
        <v>159.9865152881915</v>
      </c>
      <c r="AV2" s="26"/>
    </row>
    <row r="3" spans="1:51" ht="12.75" hidden="1" customHeight="1" outlineLevel="1" x14ac:dyDescent="0.2">
      <c r="A3" s="95" t="s">
        <v>160</v>
      </c>
      <c r="B3" s="62">
        <v>40222.71</v>
      </c>
      <c r="C3" s="54">
        <v>0</v>
      </c>
      <c r="D3" s="54">
        <v>26179.87</v>
      </c>
      <c r="E3" s="63"/>
      <c r="F3" s="64">
        <v>153.63983854770859</v>
      </c>
      <c r="G3" s="65">
        <v>51373.81</v>
      </c>
      <c r="H3" s="54">
        <v>41517.94</v>
      </c>
      <c r="I3" s="54">
        <v>29751.93</v>
      </c>
      <c r="J3" s="54">
        <v>40222.71</v>
      </c>
      <c r="K3" s="54">
        <v>0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162866.39000000001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34632.720000000001</v>
      </c>
      <c r="AH3" s="67">
        <v>33359.660000000003</v>
      </c>
      <c r="AI3" s="67">
        <v>37818.160000000003</v>
      </c>
      <c r="AJ3" s="67">
        <v>26179.87</v>
      </c>
      <c r="AK3" s="67">
        <v>34539.54</v>
      </c>
      <c r="AL3" s="67">
        <v>55467.15</v>
      </c>
      <c r="AM3" s="67">
        <v>42287.77</v>
      </c>
      <c r="AN3" s="67">
        <v>49950.25</v>
      </c>
      <c r="AO3" s="67">
        <v>48638.18</v>
      </c>
      <c r="AP3" s="67">
        <v>46024.1</v>
      </c>
      <c r="AQ3" s="67">
        <v>49587.49</v>
      </c>
      <c r="AR3" s="67">
        <v>46483.87</v>
      </c>
      <c r="AS3" s="68">
        <v>131990.41</v>
      </c>
      <c r="AT3" s="63"/>
      <c r="AU3" s="63">
        <v>123.39259344675116</v>
      </c>
    </row>
    <row r="4" spans="1:51" ht="12.75" hidden="1" customHeight="1" outlineLevel="1" x14ac:dyDescent="0.2">
      <c r="A4" s="95" t="s">
        <v>161</v>
      </c>
      <c r="B4" s="62">
        <v>2333.12</v>
      </c>
      <c r="C4" s="54">
        <v>0</v>
      </c>
      <c r="D4" s="54">
        <v>1695.86</v>
      </c>
      <c r="E4" s="63"/>
      <c r="F4" s="64">
        <v>137.57739436038352</v>
      </c>
      <c r="G4" s="65">
        <v>2967.47</v>
      </c>
      <c r="H4" s="54">
        <v>115.93</v>
      </c>
      <c r="I4" s="54">
        <v>4772.6499999999996</v>
      </c>
      <c r="J4" s="54">
        <v>2333.12</v>
      </c>
      <c r="K4" s="56">
        <v>-1185.7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10189.17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1796.74</v>
      </c>
      <c r="AH4" s="67">
        <v>1867.52</v>
      </c>
      <c r="AI4" s="67">
        <v>2456.79</v>
      </c>
      <c r="AJ4" s="67">
        <v>1695.86</v>
      </c>
      <c r="AK4" s="67">
        <v>1730.81</v>
      </c>
      <c r="AL4" s="67">
        <v>2939.42</v>
      </c>
      <c r="AM4" s="67">
        <v>2544.19</v>
      </c>
      <c r="AN4" s="67">
        <v>2695.35</v>
      </c>
      <c r="AO4" s="67">
        <v>303.57</v>
      </c>
      <c r="AP4" s="67">
        <v>3417.26</v>
      </c>
      <c r="AQ4" s="67">
        <v>3503.7</v>
      </c>
      <c r="AR4" s="67">
        <v>3584.53</v>
      </c>
      <c r="AS4" s="68">
        <v>7816.91</v>
      </c>
      <c r="AT4" s="63"/>
      <c r="AU4" s="63">
        <v>130.34779727539399</v>
      </c>
    </row>
    <row r="5" spans="1:51" ht="12.75" hidden="1" customHeight="1" outlineLevel="1" x14ac:dyDescent="0.2">
      <c r="A5" s="95" t="s">
        <v>162</v>
      </c>
      <c r="B5" s="62">
        <v>7193.57</v>
      </c>
      <c r="C5" s="54">
        <v>0</v>
      </c>
      <c r="D5" s="54">
        <v>7252.4</v>
      </c>
      <c r="E5" s="63"/>
      <c r="F5" s="64">
        <v>99.188820252606035</v>
      </c>
      <c r="G5" s="65">
        <v>5837.4</v>
      </c>
      <c r="H5" s="54">
        <v>2411.6</v>
      </c>
      <c r="I5" s="54">
        <v>91.98</v>
      </c>
      <c r="J5" s="54">
        <v>7193.57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15534.55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1238.3499999999999</v>
      </c>
      <c r="AH5" s="67">
        <v>4568.1899999999996</v>
      </c>
      <c r="AI5" s="67">
        <v>169.93</v>
      </c>
      <c r="AJ5" s="67">
        <v>7252.4</v>
      </c>
      <c r="AK5" s="67">
        <v>1442.96</v>
      </c>
      <c r="AL5" s="67">
        <v>5729.8</v>
      </c>
      <c r="AM5" s="67">
        <v>12837.76</v>
      </c>
      <c r="AN5" s="67">
        <v>3633.26</v>
      </c>
      <c r="AO5" s="67">
        <v>5017.49</v>
      </c>
      <c r="AP5" s="67">
        <v>4179.37</v>
      </c>
      <c r="AQ5" s="67">
        <v>6163.51</v>
      </c>
      <c r="AR5" s="67">
        <v>4588.62</v>
      </c>
      <c r="AS5" s="68">
        <v>13228.87</v>
      </c>
      <c r="AT5" s="63"/>
      <c r="AU5" s="63">
        <v>117.42915305691264</v>
      </c>
    </row>
    <row r="6" spans="1:51" ht="12.75" hidden="1" customHeight="1" outlineLevel="1" x14ac:dyDescent="0.2">
      <c r="A6" s="95" t="s">
        <v>163</v>
      </c>
      <c r="B6" s="62">
        <v>1075</v>
      </c>
      <c r="C6" s="54">
        <v>0</v>
      </c>
      <c r="D6" s="54">
        <v>0</v>
      </c>
      <c r="E6" s="63"/>
      <c r="F6" s="64"/>
      <c r="G6" s="65">
        <v>0</v>
      </c>
      <c r="H6" s="54">
        <v>0</v>
      </c>
      <c r="I6" s="54">
        <v>3225</v>
      </c>
      <c r="J6" s="54">
        <v>1075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4300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958</v>
      </c>
      <c r="AH6" s="67">
        <v>958</v>
      </c>
      <c r="AI6" s="67">
        <v>958</v>
      </c>
      <c r="AJ6" s="67">
        <v>0</v>
      </c>
      <c r="AK6" s="67">
        <v>0</v>
      </c>
      <c r="AL6" s="67">
        <v>0</v>
      </c>
      <c r="AM6" s="67">
        <v>0</v>
      </c>
      <c r="AN6" s="67">
        <v>0</v>
      </c>
      <c r="AO6" s="67">
        <v>0</v>
      </c>
      <c r="AP6" s="67">
        <v>0</v>
      </c>
      <c r="AQ6" s="67">
        <v>0</v>
      </c>
      <c r="AR6" s="67">
        <v>0</v>
      </c>
      <c r="AS6" s="68">
        <v>2874</v>
      </c>
      <c r="AT6" s="63"/>
      <c r="AU6" s="63">
        <v>149.61725817675713</v>
      </c>
    </row>
    <row r="7" spans="1:51" ht="12.75" hidden="1" customHeight="1" outlineLevel="1" x14ac:dyDescent="0.2">
      <c r="A7" s="95" t="s">
        <v>164</v>
      </c>
      <c r="B7" s="62">
        <v>233</v>
      </c>
      <c r="C7" s="54">
        <v>0</v>
      </c>
      <c r="D7" s="54">
        <v>202.35</v>
      </c>
      <c r="E7" s="63"/>
      <c r="F7" s="64">
        <v>115.14702248579195</v>
      </c>
      <c r="G7" s="65">
        <v>431.64</v>
      </c>
      <c r="H7" s="54">
        <v>233</v>
      </c>
      <c r="I7" s="54">
        <v>233</v>
      </c>
      <c r="J7" s="54">
        <v>233</v>
      </c>
      <c r="K7" s="56">
        <v>-188.85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1130.6400000000001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12.78</v>
      </c>
      <c r="AH7" s="67">
        <v>12.78</v>
      </c>
      <c r="AI7" s="67">
        <v>23.75</v>
      </c>
      <c r="AJ7" s="67">
        <v>202.35</v>
      </c>
      <c r="AK7" s="67">
        <v>202.35</v>
      </c>
      <c r="AL7" s="67">
        <v>202.35</v>
      </c>
      <c r="AM7" s="67">
        <v>202.35</v>
      </c>
      <c r="AN7" s="67">
        <v>202.35</v>
      </c>
      <c r="AO7" s="67">
        <v>202.35</v>
      </c>
      <c r="AP7" s="67">
        <v>286.52</v>
      </c>
      <c r="AQ7" s="67">
        <v>286.52</v>
      </c>
      <c r="AR7" s="67">
        <v>286.52</v>
      </c>
      <c r="AS7" s="68">
        <v>251.66</v>
      </c>
      <c r="AT7" s="63"/>
      <c r="AU7" s="63">
        <v>449.27282841929588</v>
      </c>
    </row>
    <row r="8" spans="1:51" ht="12.75" hidden="1" customHeight="1" outlineLevel="1" x14ac:dyDescent="0.2">
      <c r="A8" s="95" t="s">
        <v>165</v>
      </c>
      <c r="B8" s="62">
        <v>5004.87</v>
      </c>
      <c r="C8" s="54">
        <v>0</v>
      </c>
      <c r="D8" s="54">
        <v>3170.15</v>
      </c>
      <c r="E8" s="63"/>
      <c r="F8" s="64">
        <v>157.87486396542749</v>
      </c>
      <c r="G8" s="65">
        <v>5546.94</v>
      </c>
      <c r="H8" s="54">
        <v>4744.95</v>
      </c>
      <c r="I8" s="54">
        <v>4833.7700000000004</v>
      </c>
      <c r="J8" s="54">
        <v>5004.87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66">
        <v>20130.53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66">
        <v>0</v>
      </c>
      <c r="AG8" s="67">
        <v>3368.09</v>
      </c>
      <c r="AH8" s="67">
        <v>3486.18</v>
      </c>
      <c r="AI8" s="67">
        <v>3727.68</v>
      </c>
      <c r="AJ8" s="67">
        <v>3170.15</v>
      </c>
      <c r="AK8" s="67">
        <v>3258.86</v>
      </c>
      <c r="AL8" s="67">
        <v>5371.53</v>
      </c>
      <c r="AM8" s="67">
        <v>4547.96</v>
      </c>
      <c r="AN8" s="67">
        <v>4769.38</v>
      </c>
      <c r="AO8" s="67">
        <v>4821.26</v>
      </c>
      <c r="AP8" s="67">
        <v>5739.12</v>
      </c>
      <c r="AQ8" s="67">
        <v>6040.53</v>
      </c>
      <c r="AR8" s="67">
        <v>5756.65</v>
      </c>
      <c r="AS8" s="68">
        <v>13752.1</v>
      </c>
      <c r="AT8" s="63"/>
      <c r="AU8" s="63">
        <v>146.38149809847224</v>
      </c>
    </row>
    <row r="9" spans="1:51" ht="12.75" customHeight="1" collapsed="1" x14ac:dyDescent="0.2">
      <c r="A9" s="69" t="s">
        <v>166</v>
      </c>
      <c r="B9" s="70">
        <v>56062.27</v>
      </c>
      <c r="C9" s="71">
        <v>0</v>
      </c>
      <c r="D9" s="71">
        <v>38500.629999999997</v>
      </c>
      <c r="E9" s="72"/>
      <c r="F9" s="73">
        <v>145.61390294132849</v>
      </c>
      <c r="G9" s="70">
        <v>66157.259999999995</v>
      </c>
      <c r="H9" s="71">
        <v>49023.42</v>
      </c>
      <c r="I9" s="71">
        <v>42908.33</v>
      </c>
      <c r="J9" s="71">
        <v>56062.27</v>
      </c>
      <c r="K9" s="74">
        <v>-1374.55</v>
      </c>
      <c r="L9" s="71">
        <v>0</v>
      </c>
      <c r="M9" s="71">
        <v>0</v>
      </c>
      <c r="N9" s="71">
        <v>0</v>
      </c>
      <c r="O9" s="71">
        <v>0</v>
      </c>
      <c r="P9" s="71">
        <v>0</v>
      </c>
      <c r="Q9" s="71">
        <v>0</v>
      </c>
      <c r="R9" s="71">
        <v>0</v>
      </c>
      <c r="S9" s="71">
        <v>214151.28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0</v>
      </c>
      <c r="AA9" s="71">
        <v>0</v>
      </c>
      <c r="AB9" s="71">
        <v>0</v>
      </c>
      <c r="AC9" s="71">
        <v>0</v>
      </c>
      <c r="AD9" s="71">
        <v>0</v>
      </c>
      <c r="AE9" s="71">
        <v>0</v>
      </c>
      <c r="AF9" s="71">
        <v>0</v>
      </c>
      <c r="AG9" s="75">
        <v>42006.68</v>
      </c>
      <c r="AH9" s="75">
        <v>44252.33</v>
      </c>
      <c r="AI9" s="75">
        <v>45154.31</v>
      </c>
      <c r="AJ9" s="75">
        <v>38500.629999999997</v>
      </c>
      <c r="AK9" s="75">
        <v>41174.519999999997</v>
      </c>
      <c r="AL9" s="75">
        <v>69710.25</v>
      </c>
      <c r="AM9" s="75">
        <v>62420.03</v>
      </c>
      <c r="AN9" s="75">
        <v>61250.59</v>
      </c>
      <c r="AO9" s="75">
        <v>58982.85</v>
      </c>
      <c r="AP9" s="75">
        <v>59646.37</v>
      </c>
      <c r="AQ9" s="75">
        <v>65581.75</v>
      </c>
      <c r="AR9" s="75">
        <v>60700.19</v>
      </c>
      <c r="AS9" s="75">
        <v>169913.95</v>
      </c>
      <c r="AT9" s="72"/>
      <c r="AU9" s="72">
        <v>126.03513719738727</v>
      </c>
    </row>
    <row r="10" spans="1:51" ht="12.75" customHeight="1" x14ac:dyDescent="0.2">
      <c r="A10" s="95" t="s">
        <v>167</v>
      </c>
      <c r="B10" s="62"/>
      <c r="C10" s="54"/>
      <c r="D10" s="54"/>
      <c r="E10" s="63"/>
      <c r="F10" s="64"/>
      <c r="G10" s="65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66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8"/>
      <c r="AT10" s="63"/>
      <c r="AU10" s="63"/>
    </row>
    <row r="11" spans="1:51" ht="12.75" customHeight="1" x14ac:dyDescent="0.2">
      <c r="A11" s="95" t="s">
        <v>168</v>
      </c>
      <c r="B11" s="62"/>
      <c r="C11" s="54"/>
      <c r="D11" s="54"/>
      <c r="E11" s="63"/>
      <c r="F11" s="64"/>
      <c r="G11" s="65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66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66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8"/>
      <c r="AT11" s="63"/>
      <c r="AU11" s="63"/>
    </row>
    <row r="12" spans="1:51" ht="12.75" customHeight="1" x14ac:dyDescent="0.2">
      <c r="A12" s="95" t="s">
        <v>169</v>
      </c>
      <c r="B12" s="62"/>
      <c r="C12" s="54"/>
      <c r="D12" s="54"/>
      <c r="E12" s="63"/>
      <c r="F12" s="64"/>
      <c r="G12" s="65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66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6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8"/>
      <c r="AT12" s="63"/>
      <c r="AU12" s="63"/>
    </row>
    <row r="13" spans="1:51" ht="12.75" customHeight="1" x14ac:dyDescent="0.2">
      <c r="A13" s="95" t="s">
        <v>50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51" ht="12.75" customHeight="1" x14ac:dyDescent="0.2">
      <c r="A14" s="95" t="s">
        <v>170</v>
      </c>
      <c r="B14" s="62">
        <v>150823.79</v>
      </c>
      <c r="C14" s="54">
        <v>0</v>
      </c>
      <c r="D14" s="54">
        <v>67891.69</v>
      </c>
      <c r="E14" s="63"/>
      <c r="F14" s="64">
        <v>222.1535360218607</v>
      </c>
      <c r="G14" s="65">
        <v>127805.4</v>
      </c>
      <c r="H14" s="54">
        <v>160506.65</v>
      </c>
      <c r="I14" s="54">
        <v>156737.12</v>
      </c>
      <c r="J14" s="54">
        <v>150823.79</v>
      </c>
      <c r="K14" s="56">
        <v>-12232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595872.96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67">
        <v>72058.5</v>
      </c>
      <c r="AH14" s="67">
        <v>125297.35</v>
      </c>
      <c r="AI14" s="67">
        <v>96395.12</v>
      </c>
      <c r="AJ14" s="67">
        <v>67891.69</v>
      </c>
      <c r="AK14" s="67">
        <v>92297.52</v>
      </c>
      <c r="AL14" s="67">
        <v>71036.55</v>
      </c>
      <c r="AM14" s="67">
        <v>121900.03</v>
      </c>
      <c r="AN14" s="67">
        <v>107236.08</v>
      </c>
      <c r="AO14" s="67">
        <v>102608.75</v>
      </c>
      <c r="AP14" s="67">
        <v>108048.28</v>
      </c>
      <c r="AQ14" s="67">
        <v>129640.36</v>
      </c>
      <c r="AR14" s="67">
        <v>145534.76999999999</v>
      </c>
      <c r="AS14" s="68">
        <v>361642.66</v>
      </c>
      <c r="AT14" s="63"/>
      <c r="AU14" s="63">
        <v>164.76843744042807</v>
      </c>
      <c r="AV14" s="774"/>
      <c r="AW14" s="774"/>
    </row>
    <row r="15" spans="1:51" ht="12.75" customHeight="1" x14ac:dyDescent="0.2">
      <c r="A15" s="95" t="s">
        <v>171</v>
      </c>
      <c r="B15" s="62">
        <v>0</v>
      </c>
      <c r="C15" s="54">
        <v>0</v>
      </c>
      <c r="D15" s="54">
        <v>0</v>
      </c>
      <c r="E15" s="63"/>
      <c r="F15" s="64"/>
      <c r="G15" s="65">
        <v>0</v>
      </c>
      <c r="H15" s="54">
        <v>0</v>
      </c>
      <c r="I15" s="54">
        <v>0</v>
      </c>
      <c r="J15" s="54">
        <v>0</v>
      </c>
      <c r="K15" s="54">
        <v>0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66">
        <v>0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66">
        <v>0</v>
      </c>
      <c r="AG15" s="67">
        <v>0</v>
      </c>
      <c r="AH15" s="67">
        <v>0</v>
      </c>
      <c r="AI15" s="67">
        <v>0</v>
      </c>
      <c r="AJ15" s="67">
        <v>0</v>
      </c>
      <c r="AK15" s="67">
        <v>0</v>
      </c>
      <c r="AL15" s="67">
        <v>0</v>
      </c>
      <c r="AM15" s="67">
        <v>0</v>
      </c>
      <c r="AN15" s="67">
        <v>0</v>
      </c>
      <c r="AO15" s="67">
        <v>0</v>
      </c>
      <c r="AP15" s="67">
        <v>0</v>
      </c>
      <c r="AQ15" s="67">
        <v>0</v>
      </c>
      <c r="AR15" s="67">
        <v>0</v>
      </c>
      <c r="AS15" s="68">
        <v>0</v>
      </c>
      <c r="AT15" s="63"/>
      <c r="AU15" s="63"/>
      <c r="AY15" s="774"/>
    </row>
    <row r="16" spans="1:51" ht="12.75" customHeight="1" x14ac:dyDescent="0.2">
      <c r="A16" s="95" t="s">
        <v>172</v>
      </c>
      <c r="B16" s="62"/>
      <c r="C16" s="54"/>
      <c r="D16" s="54"/>
      <c r="E16" s="63"/>
      <c r="F16" s="64"/>
      <c r="G16" s="65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66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66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8"/>
      <c r="AT16" s="63"/>
      <c r="AU16" s="63"/>
    </row>
    <row r="17" spans="1:47" ht="12.75" customHeight="1" x14ac:dyDescent="0.2">
      <c r="A17" s="95" t="s">
        <v>173</v>
      </c>
      <c r="B17" s="62">
        <v>0</v>
      </c>
      <c r="C17" s="54">
        <v>0</v>
      </c>
      <c r="D17" s="54">
        <v>35.17</v>
      </c>
      <c r="E17" s="63"/>
      <c r="F17" s="64">
        <v>0</v>
      </c>
      <c r="G17" s="65">
        <v>0</v>
      </c>
      <c r="H17" s="54">
        <v>0</v>
      </c>
      <c r="I17" s="54">
        <v>0</v>
      </c>
      <c r="J17" s="54">
        <v>0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0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31.56</v>
      </c>
      <c r="AH17" s="67">
        <v>0</v>
      </c>
      <c r="AI17" s="67">
        <v>105.5</v>
      </c>
      <c r="AJ17" s="67">
        <v>35.17</v>
      </c>
      <c r="AK17" s="67">
        <v>35.159999999999997</v>
      </c>
      <c r="AL17" s="67">
        <v>35.17</v>
      </c>
      <c r="AM17" s="67">
        <v>35.17</v>
      </c>
      <c r="AN17" s="67">
        <v>35.159999999999997</v>
      </c>
      <c r="AO17" s="67">
        <v>35.17</v>
      </c>
      <c r="AP17" s="67">
        <v>35.17</v>
      </c>
      <c r="AQ17" s="67">
        <v>35.159999999999997</v>
      </c>
      <c r="AR17" s="67">
        <v>35.17</v>
      </c>
      <c r="AS17" s="68">
        <v>172.23</v>
      </c>
      <c r="AT17" s="63"/>
      <c r="AU17" s="63">
        <v>0</v>
      </c>
    </row>
    <row r="18" spans="1:47" ht="12.75" customHeight="1" x14ac:dyDescent="0.2">
      <c r="A18" s="95" t="s">
        <v>257</v>
      </c>
      <c r="B18" s="62">
        <v>2110.54</v>
      </c>
      <c r="C18" s="54">
        <v>0</v>
      </c>
      <c r="D18" s="54">
        <v>1979.27</v>
      </c>
      <c r="E18" s="63"/>
      <c r="F18" s="64">
        <v>106.63224320077605</v>
      </c>
      <c r="G18" s="65">
        <v>2031.17</v>
      </c>
      <c r="H18" s="54">
        <v>2363.1</v>
      </c>
      <c r="I18" s="54">
        <v>2140</v>
      </c>
      <c r="J18" s="54">
        <v>2110.54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8644.81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554.17999999999995</v>
      </c>
      <c r="AH18" s="67">
        <v>554.17999999999995</v>
      </c>
      <c r="AI18" s="67">
        <v>2642.84</v>
      </c>
      <c r="AJ18" s="67">
        <v>1979.27</v>
      </c>
      <c r="AK18" s="67">
        <v>2059.6999999999998</v>
      </c>
      <c r="AL18" s="67">
        <v>2048.13</v>
      </c>
      <c r="AM18" s="67">
        <v>2057.0300000000002</v>
      </c>
      <c r="AN18" s="67">
        <v>2052.6999999999998</v>
      </c>
      <c r="AO18" s="67">
        <v>2055.48</v>
      </c>
      <c r="AP18" s="67">
        <v>2107.02</v>
      </c>
      <c r="AQ18" s="67">
        <v>2081.19</v>
      </c>
      <c r="AR18" s="67">
        <v>2198.7199999999998</v>
      </c>
      <c r="AS18" s="68">
        <v>5730.47</v>
      </c>
      <c r="AT18" s="63"/>
      <c r="AU18" s="63">
        <v>150.85691051519333</v>
      </c>
    </row>
    <row r="19" spans="1:47" ht="12.75" customHeight="1" x14ac:dyDescent="0.2">
      <c r="A19" s="95" t="s">
        <v>109</v>
      </c>
      <c r="B19" s="62">
        <v>0</v>
      </c>
      <c r="C19" s="54">
        <v>0</v>
      </c>
      <c r="D19" s="54">
        <v>0</v>
      </c>
      <c r="E19" s="63"/>
      <c r="F19" s="64"/>
      <c r="G19" s="65">
        <v>0</v>
      </c>
      <c r="H19" s="54">
        <v>0</v>
      </c>
      <c r="I19" s="54">
        <v>0</v>
      </c>
      <c r="J19" s="54">
        <v>0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0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0</v>
      </c>
      <c r="AH19" s="67">
        <v>0</v>
      </c>
      <c r="AI19" s="67">
        <v>0</v>
      </c>
      <c r="AJ19" s="67">
        <v>0</v>
      </c>
      <c r="AK19" s="67">
        <v>0</v>
      </c>
      <c r="AL19" s="67">
        <v>0</v>
      </c>
      <c r="AM19" s="67">
        <v>0</v>
      </c>
      <c r="AN19" s="67">
        <v>0</v>
      </c>
      <c r="AO19" s="67">
        <v>0</v>
      </c>
      <c r="AP19" s="67">
        <v>0</v>
      </c>
      <c r="AQ19" s="67">
        <v>0</v>
      </c>
      <c r="AR19" s="67">
        <v>0</v>
      </c>
      <c r="AS19" s="68">
        <v>0</v>
      </c>
      <c r="AT19" s="63"/>
      <c r="AU19" s="63"/>
    </row>
    <row r="20" spans="1:47" ht="12.75" hidden="1" customHeight="1" outlineLevel="1" x14ac:dyDescent="0.2">
      <c r="A20" s="95" t="s">
        <v>97</v>
      </c>
      <c r="B20" s="62">
        <v>87</v>
      </c>
      <c r="C20" s="54">
        <v>0</v>
      </c>
      <c r="D20" s="54">
        <v>87</v>
      </c>
      <c r="E20" s="63"/>
      <c r="F20" s="64">
        <v>100</v>
      </c>
      <c r="G20" s="65">
        <v>87</v>
      </c>
      <c r="H20" s="54">
        <v>87</v>
      </c>
      <c r="I20" s="54">
        <v>87</v>
      </c>
      <c r="J20" s="54">
        <v>87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66">
        <v>348</v>
      </c>
      <c r="T20" s="54">
        <v>0</v>
      </c>
      <c r="U20" s="54">
        <v>0</v>
      </c>
      <c r="V20" s="54">
        <v>0</v>
      </c>
      <c r="W20" s="54">
        <v>0</v>
      </c>
      <c r="X20" s="54">
        <v>0</v>
      </c>
      <c r="Y20" s="54">
        <v>0</v>
      </c>
      <c r="Z20" s="54">
        <v>0</v>
      </c>
      <c r="AA20" s="54">
        <v>0</v>
      </c>
      <c r="AB20" s="54">
        <v>0</v>
      </c>
      <c r="AC20" s="54">
        <v>0</v>
      </c>
      <c r="AD20" s="54">
        <v>0</v>
      </c>
      <c r="AE20" s="54">
        <v>0</v>
      </c>
      <c r="AF20" s="66">
        <v>0</v>
      </c>
      <c r="AG20" s="67">
        <v>84</v>
      </c>
      <c r="AH20" s="67">
        <v>84</v>
      </c>
      <c r="AI20" s="67">
        <v>124.37</v>
      </c>
      <c r="AJ20" s="67">
        <v>87</v>
      </c>
      <c r="AK20" s="67">
        <v>30.26</v>
      </c>
      <c r="AL20" s="67">
        <v>87</v>
      </c>
      <c r="AM20" s="67">
        <v>87</v>
      </c>
      <c r="AN20" s="67">
        <v>87</v>
      </c>
      <c r="AO20" s="67">
        <v>87</v>
      </c>
      <c r="AP20" s="67">
        <v>87</v>
      </c>
      <c r="AQ20" s="67">
        <v>87</v>
      </c>
      <c r="AR20" s="67">
        <v>87</v>
      </c>
      <c r="AS20" s="68">
        <v>379.37</v>
      </c>
      <c r="AT20" s="63"/>
      <c r="AU20" s="63">
        <v>91.731027756543739</v>
      </c>
    </row>
    <row r="21" spans="1:47" ht="12.75" hidden="1" customHeight="1" outlineLevel="1" x14ac:dyDescent="0.2">
      <c r="A21" s="95" t="s">
        <v>69</v>
      </c>
      <c r="B21" s="62">
        <v>0</v>
      </c>
      <c r="C21" s="54">
        <v>0</v>
      </c>
      <c r="D21" s="54">
        <v>0</v>
      </c>
      <c r="E21" s="63"/>
      <c r="F21" s="64"/>
      <c r="G21" s="65">
        <v>0</v>
      </c>
      <c r="H21" s="54">
        <v>0</v>
      </c>
      <c r="I21" s="54">
        <v>0</v>
      </c>
      <c r="J21" s="54">
        <v>0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66">
        <v>0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4">
        <v>0</v>
      </c>
      <c r="AB21" s="54">
        <v>0</v>
      </c>
      <c r="AC21" s="54">
        <v>0</v>
      </c>
      <c r="AD21" s="54">
        <v>0</v>
      </c>
      <c r="AE21" s="54">
        <v>0</v>
      </c>
      <c r="AF21" s="66">
        <v>0</v>
      </c>
      <c r="AG21" s="67">
        <v>0</v>
      </c>
      <c r="AH21" s="67">
        <v>0</v>
      </c>
      <c r="AI21" s="67">
        <v>0</v>
      </c>
      <c r="AJ21" s="67">
        <v>0</v>
      </c>
      <c r="AK21" s="67">
        <v>0</v>
      </c>
      <c r="AL21" s="67">
        <v>0</v>
      </c>
      <c r="AM21" s="67">
        <v>0</v>
      </c>
      <c r="AN21" s="67">
        <v>0</v>
      </c>
      <c r="AO21" s="67">
        <v>0</v>
      </c>
      <c r="AP21" s="67">
        <v>0</v>
      </c>
      <c r="AQ21" s="67">
        <v>0</v>
      </c>
      <c r="AR21" s="67">
        <v>0</v>
      </c>
      <c r="AS21" s="68">
        <v>0</v>
      </c>
      <c r="AT21" s="63"/>
      <c r="AU21" s="63"/>
    </row>
    <row r="22" spans="1:47" ht="12.75" customHeight="1" collapsed="1" x14ac:dyDescent="0.2">
      <c r="A22" s="69" t="s">
        <v>70</v>
      </c>
      <c r="B22" s="70">
        <v>87</v>
      </c>
      <c r="C22" s="71">
        <v>0</v>
      </c>
      <c r="D22" s="71">
        <v>87</v>
      </c>
      <c r="E22" s="72"/>
      <c r="F22" s="73">
        <v>100</v>
      </c>
      <c r="G22" s="70">
        <v>87</v>
      </c>
      <c r="H22" s="71">
        <v>87</v>
      </c>
      <c r="I22" s="71">
        <v>87</v>
      </c>
      <c r="J22" s="71">
        <v>87</v>
      </c>
      <c r="K22" s="71">
        <v>0</v>
      </c>
      <c r="L22" s="71">
        <v>0</v>
      </c>
      <c r="M22" s="71">
        <v>0</v>
      </c>
      <c r="N22" s="71">
        <v>0</v>
      </c>
      <c r="O22" s="71">
        <v>0</v>
      </c>
      <c r="P22" s="71">
        <v>0</v>
      </c>
      <c r="Q22" s="71">
        <v>0</v>
      </c>
      <c r="R22" s="71">
        <v>0</v>
      </c>
      <c r="S22" s="71">
        <v>348</v>
      </c>
      <c r="T22" s="71">
        <v>0</v>
      </c>
      <c r="U22" s="71">
        <v>0</v>
      </c>
      <c r="V22" s="71">
        <v>0</v>
      </c>
      <c r="W22" s="71">
        <v>0</v>
      </c>
      <c r="X22" s="71">
        <v>0</v>
      </c>
      <c r="Y22" s="71">
        <v>0</v>
      </c>
      <c r="Z22" s="71">
        <v>0</v>
      </c>
      <c r="AA22" s="71">
        <v>0</v>
      </c>
      <c r="AB22" s="71">
        <v>0</v>
      </c>
      <c r="AC22" s="71">
        <v>0</v>
      </c>
      <c r="AD22" s="71">
        <v>0</v>
      </c>
      <c r="AE22" s="71">
        <v>0</v>
      </c>
      <c r="AF22" s="71">
        <v>0</v>
      </c>
      <c r="AG22" s="75">
        <v>84</v>
      </c>
      <c r="AH22" s="75">
        <v>84</v>
      </c>
      <c r="AI22" s="75">
        <v>124.37</v>
      </c>
      <c r="AJ22" s="75">
        <v>87</v>
      </c>
      <c r="AK22" s="75">
        <v>30.26</v>
      </c>
      <c r="AL22" s="75">
        <v>87</v>
      </c>
      <c r="AM22" s="75">
        <v>87</v>
      </c>
      <c r="AN22" s="75">
        <v>87</v>
      </c>
      <c r="AO22" s="75">
        <v>87</v>
      </c>
      <c r="AP22" s="75">
        <v>87</v>
      </c>
      <c r="AQ22" s="75">
        <v>87</v>
      </c>
      <c r="AR22" s="75">
        <v>87</v>
      </c>
      <c r="AS22" s="75">
        <v>379.37</v>
      </c>
      <c r="AT22" s="72"/>
      <c r="AU22" s="72">
        <v>91.731027756543739</v>
      </c>
    </row>
    <row r="23" spans="1:47" ht="12.75" hidden="1" customHeight="1" outlineLevel="1" x14ac:dyDescent="0.2">
      <c r="A23" s="95" t="s">
        <v>174</v>
      </c>
      <c r="B23" s="62">
        <v>0</v>
      </c>
      <c r="C23" s="54">
        <v>0</v>
      </c>
      <c r="D23" s="54">
        <v>0</v>
      </c>
      <c r="E23" s="63"/>
      <c r="F23" s="64"/>
      <c r="G23" s="65">
        <v>0</v>
      </c>
      <c r="H23" s="54">
        <v>42.84</v>
      </c>
      <c r="I23" s="54">
        <v>0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42.84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0</v>
      </c>
      <c r="AH23" s="67">
        <v>21.2</v>
      </c>
      <c r="AI23" s="67">
        <v>20.399999999999999</v>
      </c>
      <c r="AJ23" s="67">
        <v>0</v>
      </c>
      <c r="AK23" s="67">
        <v>41.48</v>
      </c>
      <c r="AL23" s="67">
        <v>0</v>
      </c>
      <c r="AM23" s="67">
        <v>0</v>
      </c>
      <c r="AN23" s="67">
        <v>42.02</v>
      </c>
      <c r="AO23" s="67">
        <v>0</v>
      </c>
      <c r="AP23" s="67">
        <v>0</v>
      </c>
      <c r="AQ23" s="67">
        <v>42.84</v>
      </c>
      <c r="AR23" s="67">
        <v>0</v>
      </c>
      <c r="AS23" s="68">
        <v>41.6</v>
      </c>
      <c r="AT23" s="63"/>
      <c r="AU23" s="63">
        <v>102.98076923076923</v>
      </c>
    </row>
    <row r="24" spans="1:47" ht="12.75" hidden="1" customHeight="1" outlineLevel="1" x14ac:dyDescent="0.2">
      <c r="A24" s="95" t="s">
        <v>99</v>
      </c>
      <c r="B24" s="62">
        <v>7652.82</v>
      </c>
      <c r="C24" s="54">
        <v>0</v>
      </c>
      <c r="D24" s="54">
        <v>433.89</v>
      </c>
      <c r="E24" s="63"/>
      <c r="F24" s="64">
        <v>1763.7696190278641</v>
      </c>
      <c r="G24" s="65">
        <v>4777.71</v>
      </c>
      <c r="H24" s="54">
        <v>4364.2700000000004</v>
      </c>
      <c r="I24" s="54">
        <v>0</v>
      </c>
      <c r="J24" s="54">
        <v>7652.82</v>
      </c>
      <c r="K24" s="56">
        <v>-1956.48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16794.8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173.83</v>
      </c>
      <c r="AH24" s="67">
        <v>178.31</v>
      </c>
      <c r="AI24" s="67">
        <v>260.18</v>
      </c>
      <c r="AJ24" s="67">
        <v>433.89</v>
      </c>
      <c r="AK24" s="67">
        <v>690.43</v>
      </c>
      <c r="AL24" s="67">
        <v>1843.87</v>
      </c>
      <c r="AM24" s="67">
        <v>5115.34</v>
      </c>
      <c r="AN24" s="98">
        <v>-708.69</v>
      </c>
      <c r="AO24" s="67">
        <v>2543.09</v>
      </c>
      <c r="AP24" s="67">
        <v>0</v>
      </c>
      <c r="AQ24" s="67">
        <v>2535.6</v>
      </c>
      <c r="AR24" s="67">
        <v>3264.93</v>
      </c>
      <c r="AS24" s="68">
        <v>1046.21</v>
      </c>
      <c r="AT24" s="63"/>
      <c r="AU24" s="63">
        <v>1605.2991273262537</v>
      </c>
    </row>
    <row r="25" spans="1:47" ht="12.75" hidden="1" customHeight="1" outlineLevel="1" x14ac:dyDescent="0.2">
      <c r="A25" s="95" t="s">
        <v>175</v>
      </c>
      <c r="B25" s="62">
        <v>55.66</v>
      </c>
      <c r="C25" s="54">
        <v>0</v>
      </c>
      <c r="D25" s="54">
        <v>0</v>
      </c>
      <c r="E25" s="63"/>
      <c r="F25" s="64"/>
      <c r="G25" s="65">
        <v>0</v>
      </c>
      <c r="H25" s="54">
        <v>64.69</v>
      </c>
      <c r="I25" s="54">
        <v>0</v>
      </c>
      <c r="J25" s="54">
        <v>55.66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120.35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0</v>
      </c>
      <c r="AH25" s="67">
        <v>29.87</v>
      </c>
      <c r="AI25" s="98">
        <v>-53.42</v>
      </c>
      <c r="AJ25" s="67">
        <v>0</v>
      </c>
      <c r="AK25" s="67">
        <v>53.74</v>
      </c>
      <c r="AL25" s="67">
        <v>0</v>
      </c>
      <c r="AM25" s="67">
        <v>51.58</v>
      </c>
      <c r="AN25" s="67">
        <v>2.0699999999999998</v>
      </c>
      <c r="AO25" s="67">
        <v>60.64</v>
      </c>
      <c r="AP25" s="67">
        <v>0</v>
      </c>
      <c r="AQ25" s="67">
        <v>65.33</v>
      </c>
      <c r="AR25" s="67">
        <v>0</v>
      </c>
      <c r="AS25" s="99">
        <v>-23.55</v>
      </c>
      <c r="AT25" s="63"/>
      <c r="AU25" s="63">
        <v>-511.04033970276009</v>
      </c>
    </row>
    <row r="26" spans="1:47" ht="12.75" hidden="1" customHeight="1" outlineLevel="1" x14ac:dyDescent="0.2">
      <c r="A26" s="95" t="s">
        <v>100</v>
      </c>
      <c r="B26" s="62">
        <v>0</v>
      </c>
      <c r="C26" s="54">
        <v>0</v>
      </c>
      <c r="D26" s="54">
        <v>0</v>
      </c>
      <c r="E26" s="63"/>
      <c r="F26" s="64"/>
      <c r="G26" s="65">
        <v>0</v>
      </c>
      <c r="H26" s="54">
        <v>0</v>
      </c>
      <c r="I26" s="54">
        <v>0</v>
      </c>
      <c r="J26" s="54">
        <v>0</v>
      </c>
      <c r="K26" s="54">
        <v>0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0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0</v>
      </c>
      <c r="AH26" s="67">
        <v>0</v>
      </c>
      <c r="AI26" s="67">
        <v>0</v>
      </c>
      <c r="AJ26" s="67">
        <v>0</v>
      </c>
      <c r="AK26" s="67">
        <v>0</v>
      </c>
      <c r="AL26" s="67">
        <v>0</v>
      </c>
      <c r="AM26" s="67">
        <v>0</v>
      </c>
      <c r="AN26" s="67">
        <v>0</v>
      </c>
      <c r="AO26" s="67">
        <v>0</v>
      </c>
      <c r="AP26" s="67">
        <v>0</v>
      </c>
      <c r="AQ26" s="67">
        <v>0</v>
      </c>
      <c r="AR26" s="67">
        <v>0</v>
      </c>
      <c r="AS26" s="68">
        <v>0</v>
      </c>
      <c r="AT26" s="63"/>
      <c r="AU26" s="63"/>
    </row>
    <row r="27" spans="1:47" ht="12.75" hidden="1" customHeight="1" outlineLevel="1" x14ac:dyDescent="0.2">
      <c r="A27" s="95" t="s">
        <v>101</v>
      </c>
      <c r="B27" s="62">
        <v>81.81</v>
      </c>
      <c r="C27" s="54">
        <v>0</v>
      </c>
      <c r="D27" s="54">
        <v>36.36</v>
      </c>
      <c r="E27" s="63"/>
      <c r="F27" s="64">
        <v>225</v>
      </c>
      <c r="G27" s="65">
        <v>157.27000000000001</v>
      </c>
      <c r="H27" s="54">
        <v>250.4</v>
      </c>
      <c r="I27" s="54">
        <v>134.81</v>
      </c>
      <c r="J27" s="54">
        <v>81.81</v>
      </c>
      <c r="K27" s="54">
        <v>0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624.29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72.72</v>
      </c>
      <c r="AH27" s="67">
        <v>36.36</v>
      </c>
      <c r="AI27" s="67">
        <v>36.36</v>
      </c>
      <c r="AJ27" s="67">
        <v>36.36</v>
      </c>
      <c r="AK27" s="67">
        <v>95.45</v>
      </c>
      <c r="AL27" s="67">
        <v>95.45</v>
      </c>
      <c r="AM27" s="67">
        <v>231.81</v>
      </c>
      <c r="AN27" s="67">
        <v>317.45999999999998</v>
      </c>
      <c r="AO27" s="67">
        <v>192.06</v>
      </c>
      <c r="AP27" s="67">
        <v>324.58999999999997</v>
      </c>
      <c r="AQ27" s="67">
        <v>186.48</v>
      </c>
      <c r="AR27" s="67">
        <v>254.12</v>
      </c>
      <c r="AS27" s="68">
        <v>181.8</v>
      </c>
      <c r="AT27" s="63"/>
      <c r="AU27" s="63">
        <v>343.39383938393837</v>
      </c>
    </row>
    <row r="28" spans="1:47" ht="12.75" hidden="1" customHeight="1" outlineLevel="1" x14ac:dyDescent="0.2">
      <c r="A28" s="95" t="s">
        <v>176</v>
      </c>
      <c r="B28" s="62">
        <v>179.2</v>
      </c>
      <c r="C28" s="54">
        <v>0</v>
      </c>
      <c r="D28" s="54">
        <v>0</v>
      </c>
      <c r="E28" s="63"/>
      <c r="F28" s="64"/>
      <c r="G28" s="65">
        <v>207.14</v>
      </c>
      <c r="H28" s="54">
        <v>175.41</v>
      </c>
      <c r="I28" s="54">
        <v>210.02</v>
      </c>
      <c r="J28" s="54">
        <v>179.2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771.77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272.94</v>
      </c>
      <c r="AH28" s="67">
        <v>272.94</v>
      </c>
      <c r="AI28" s="67">
        <v>278</v>
      </c>
      <c r="AJ28" s="67">
        <v>0</v>
      </c>
      <c r="AK28" s="67">
        <v>131.56</v>
      </c>
      <c r="AL28" s="67">
        <v>131.56</v>
      </c>
      <c r="AM28" s="67">
        <v>472.78</v>
      </c>
      <c r="AN28" s="67">
        <v>344.45</v>
      </c>
      <c r="AO28" s="67">
        <v>0</v>
      </c>
      <c r="AP28" s="67">
        <v>0</v>
      </c>
      <c r="AQ28" s="67">
        <v>468.95</v>
      </c>
      <c r="AR28" s="67">
        <v>265.45999999999998</v>
      </c>
      <c r="AS28" s="68">
        <v>823.88</v>
      </c>
      <c r="AT28" s="63"/>
      <c r="AU28" s="63">
        <v>93.675049764528808</v>
      </c>
    </row>
    <row r="29" spans="1:47" ht="12.75" hidden="1" customHeight="1" outlineLevel="1" x14ac:dyDescent="0.2">
      <c r="A29" s="95" t="s">
        <v>102</v>
      </c>
      <c r="B29" s="62">
        <v>0</v>
      </c>
      <c r="C29" s="54">
        <v>0</v>
      </c>
      <c r="D29" s="54">
        <v>0</v>
      </c>
      <c r="E29" s="63"/>
      <c r="F29" s="64"/>
      <c r="G29" s="65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0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0</v>
      </c>
      <c r="AH29" s="67">
        <v>0</v>
      </c>
      <c r="AI29" s="67">
        <v>0</v>
      </c>
      <c r="AJ29" s="67">
        <v>0</v>
      </c>
      <c r="AK29" s="67">
        <v>0</v>
      </c>
      <c r="AL29" s="67">
        <v>0</v>
      </c>
      <c r="AM29" s="67">
        <v>0</v>
      </c>
      <c r="AN29" s="67">
        <v>0</v>
      </c>
      <c r="AO29" s="67">
        <v>0</v>
      </c>
      <c r="AP29" s="67">
        <v>0</v>
      </c>
      <c r="AQ29" s="67">
        <v>0</v>
      </c>
      <c r="AR29" s="67">
        <v>0</v>
      </c>
      <c r="AS29" s="68">
        <v>0</v>
      </c>
      <c r="AT29" s="63"/>
      <c r="AU29" s="63"/>
    </row>
    <row r="30" spans="1:47" ht="12.75" hidden="1" customHeight="1" outlineLevel="1" x14ac:dyDescent="0.2">
      <c r="A30" s="95" t="s">
        <v>75</v>
      </c>
      <c r="B30" s="62">
        <v>106.36</v>
      </c>
      <c r="C30" s="54">
        <v>0</v>
      </c>
      <c r="D30" s="54">
        <v>0</v>
      </c>
      <c r="E30" s="63"/>
      <c r="F30" s="64"/>
      <c r="G30" s="65">
        <v>0</v>
      </c>
      <c r="H30" s="54">
        <v>15.59</v>
      </c>
      <c r="I30" s="54">
        <v>15.59</v>
      </c>
      <c r="J30" s="54">
        <v>106.36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137.54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0</v>
      </c>
      <c r="AH30" s="67">
        <v>0</v>
      </c>
      <c r="AI30" s="67">
        <v>0</v>
      </c>
      <c r="AJ30" s="67">
        <v>0</v>
      </c>
      <c r="AK30" s="67">
        <v>0</v>
      </c>
      <c r="AL30" s="67">
        <v>122.46</v>
      </c>
      <c r="AM30" s="67">
        <v>688.86</v>
      </c>
      <c r="AN30" s="67">
        <v>9.18</v>
      </c>
      <c r="AO30" s="67">
        <v>9.18</v>
      </c>
      <c r="AP30" s="67">
        <v>9.18</v>
      </c>
      <c r="AQ30" s="67">
        <v>9.18</v>
      </c>
      <c r="AR30" s="67">
        <v>9.18</v>
      </c>
      <c r="AS30" s="68">
        <v>0</v>
      </c>
      <c r="AT30" s="63"/>
      <c r="AU30" s="63"/>
    </row>
    <row r="31" spans="1:47" ht="12.75" hidden="1" customHeight="1" outlineLevel="1" x14ac:dyDescent="0.2">
      <c r="A31" s="95" t="s">
        <v>76</v>
      </c>
      <c r="B31" s="62">
        <v>135.84</v>
      </c>
      <c r="C31" s="54">
        <v>0</v>
      </c>
      <c r="D31" s="54">
        <v>251.62</v>
      </c>
      <c r="E31" s="63"/>
      <c r="F31" s="64">
        <v>53.986169620856849</v>
      </c>
      <c r="G31" s="65">
        <v>247.4</v>
      </c>
      <c r="H31" s="54">
        <v>132.72999999999999</v>
      </c>
      <c r="I31" s="54">
        <v>679.58</v>
      </c>
      <c r="J31" s="54">
        <v>135.84</v>
      </c>
      <c r="K31" s="56">
        <v>-132.72999999999999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1195.55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189.28</v>
      </c>
      <c r="AH31" s="67">
        <v>189.77</v>
      </c>
      <c r="AI31" s="67">
        <v>338.06</v>
      </c>
      <c r="AJ31" s="67">
        <v>251.62</v>
      </c>
      <c r="AK31" s="67">
        <v>251.62</v>
      </c>
      <c r="AL31" s="67">
        <v>244.19</v>
      </c>
      <c r="AM31" s="67">
        <v>266.62</v>
      </c>
      <c r="AN31" s="67">
        <v>123.7</v>
      </c>
      <c r="AO31" s="67">
        <v>133.26</v>
      </c>
      <c r="AP31" s="67">
        <v>268.75</v>
      </c>
      <c r="AQ31" s="67">
        <v>123.7</v>
      </c>
      <c r="AR31" s="67">
        <v>406.47</v>
      </c>
      <c r="AS31" s="68">
        <v>968.73</v>
      </c>
      <c r="AT31" s="63"/>
      <c r="AU31" s="63">
        <v>123.41416080848121</v>
      </c>
    </row>
    <row r="32" spans="1:47" ht="12.75" hidden="1" customHeight="1" outlineLevel="1" x14ac:dyDescent="0.2">
      <c r="A32" s="95" t="s">
        <v>77</v>
      </c>
      <c r="B32" s="62">
        <v>160</v>
      </c>
      <c r="C32" s="54">
        <v>0</v>
      </c>
      <c r="D32" s="54">
        <v>160</v>
      </c>
      <c r="E32" s="63"/>
      <c r="F32" s="64">
        <v>100</v>
      </c>
      <c r="G32" s="65">
        <v>160</v>
      </c>
      <c r="H32" s="54">
        <v>160</v>
      </c>
      <c r="I32" s="54">
        <v>160</v>
      </c>
      <c r="J32" s="54">
        <v>160</v>
      </c>
      <c r="K32" s="54">
        <v>0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66">
        <v>640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66">
        <v>0</v>
      </c>
      <c r="AG32" s="67">
        <v>103.33</v>
      </c>
      <c r="AH32" s="67">
        <v>103.33</v>
      </c>
      <c r="AI32" s="67">
        <v>160</v>
      </c>
      <c r="AJ32" s="67">
        <v>160</v>
      </c>
      <c r="AK32" s="67">
        <v>160</v>
      </c>
      <c r="AL32" s="67">
        <v>160</v>
      </c>
      <c r="AM32" s="67">
        <v>160</v>
      </c>
      <c r="AN32" s="67">
        <v>160</v>
      </c>
      <c r="AO32" s="67">
        <v>160</v>
      </c>
      <c r="AP32" s="67">
        <v>160</v>
      </c>
      <c r="AQ32" s="67">
        <v>160</v>
      </c>
      <c r="AR32" s="67">
        <v>160</v>
      </c>
      <c r="AS32" s="68">
        <v>526.66</v>
      </c>
      <c r="AT32" s="63"/>
      <c r="AU32" s="63">
        <v>121.52052557627312</v>
      </c>
    </row>
    <row r="33" spans="1:47" ht="12.75" customHeight="1" collapsed="1" x14ac:dyDescent="0.2">
      <c r="A33" s="69" t="s">
        <v>177</v>
      </c>
      <c r="B33" s="70">
        <v>8371.69</v>
      </c>
      <c r="C33" s="71">
        <v>0</v>
      </c>
      <c r="D33" s="71">
        <v>881.87</v>
      </c>
      <c r="E33" s="72"/>
      <c r="F33" s="73">
        <v>949.31112295463049</v>
      </c>
      <c r="G33" s="70">
        <v>5549.52</v>
      </c>
      <c r="H33" s="71">
        <v>5205.93</v>
      </c>
      <c r="I33" s="71">
        <v>1200</v>
      </c>
      <c r="J33" s="71">
        <v>8371.69</v>
      </c>
      <c r="K33" s="74">
        <v>-2089.21</v>
      </c>
      <c r="L33" s="71">
        <v>0</v>
      </c>
      <c r="M33" s="71">
        <v>0</v>
      </c>
      <c r="N33" s="71">
        <v>0</v>
      </c>
      <c r="O33" s="71">
        <v>0</v>
      </c>
      <c r="P33" s="71">
        <v>0</v>
      </c>
      <c r="Q33" s="71">
        <v>0</v>
      </c>
      <c r="R33" s="71">
        <v>0</v>
      </c>
      <c r="S33" s="71">
        <v>20327.14</v>
      </c>
      <c r="T33" s="71">
        <v>0</v>
      </c>
      <c r="U33" s="71">
        <v>0</v>
      </c>
      <c r="V33" s="71">
        <v>0</v>
      </c>
      <c r="W33" s="71">
        <v>0</v>
      </c>
      <c r="X33" s="71">
        <v>0</v>
      </c>
      <c r="Y33" s="71">
        <v>0</v>
      </c>
      <c r="Z33" s="71">
        <v>0</v>
      </c>
      <c r="AA33" s="71">
        <v>0</v>
      </c>
      <c r="AB33" s="71">
        <v>0</v>
      </c>
      <c r="AC33" s="71">
        <v>0</v>
      </c>
      <c r="AD33" s="71">
        <v>0</v>
      </c>
      <c r="AE33" s="71">
        <v>0</v>
      </c>
      <c r="AF33" s="71">
        <v>0</v>
      </c>
      <c r="AG33" s="75">
        <v>812.1</v>
      </c>
      <c r="AH33" s="75">
        <v>831.78</v>
      </c>
      <c r="AI33" s="75">
        <v>1039.58</v>
      </c>
      <c r="AJ33" s="75">
        <v>881.87</v>
      </c>
      <c r="AK33" s="75">
        <v>1424.28</v>
      </c>
      <c r="AL33" s="75">
        <v>2597.5300000000002</v>
      </c>
      <c r="AM33" s="75">
        <v>6986.99</v>
      </c>
      <c r="AN33" s="75">
        <v>290.19</v>
      </c>
      <c r="AO33" s="75">
        <v>3098.23</v>
      </c>
      <c r="AP33" s="75">
        <v>762.52</v>
      </c>
      <c r="AQ33" s="75">
        <v>3592.08</v>
      </c>
      <c r="AR33" s="75">
        <v>4360.16</v>
      </c>
      <c r="AS33" s="75">
        <v>3565.33</v>
      </c>
      <c r="AT33" s="72"/>
      <c r="AU33" s="72">
        <v>570.13347993032903</v>
      </c>
    </row>
    <row r="34" spans="1:47" ht="12.75" hidden="1" customHeight="1" outlineLevel="1" x14ac:dyDescent="0.2">
      <c r="A34" s="95" t="s">
        <v>178</v>
      </c>
      <c r="B34" s="62">
        <v>0</v>
      </c>
      <c r="C34" s="54">
        <v>0</v>
      </c>
      <c r="D34" s="54">
        <v>0</v>
      </c>
      <c r="E34" s="63"/>
      <c r="F34" s="64"/>
      <c r="G34" s="65">
        <v>0</v>
      </c>
      <c r="H34" s="54">
        <v>0</v>
      </c>
      <c r="I34" s="54">
        <v>0</v>
      </c>
      <c r="J34" s="54">
        <v>0</v>
      </c>
      <c r="K34" s="54">
        <v>0</v>
      </c>
      <c r="L34" s="54">
        <v>0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66">
        <v>0</v>
      </c>
      <c r="T34" s="54">
        <v>0</v>
      </c>
      <c r="U34" s="54">
        <v>0</v>
      </c>
      <c r="V34" s="54">
        <v>0</v>
      </c>
      <c r="W34" s="54">
        <v>0</v>
      </c>
      <c r="X34" s="54">
        <v>0</v>
      </c>
      <c r="Y34" s="54">
        <v>0</v>
      </c>
      <c r="Z34" s="54">
        <v>0</v>
      </c>
      <c r="AA34" s="54">
        <v>0</v>
      </c>
      <c r="AB34" s="54">
        <v>0</v>
      </c>
      <c r="AC34" s="54">
        <v>0</v>
      </c>
      <c r="AD34" s="54">
        <v>0</v>
      </c>
      <c r="AE34" s="54">
        <v>0</v>
      </c>
      <c r="AF34" s="66">
        <v>0</v>
      </c>
      <c r="AG34" s="67">
        <v>0</v>
      </c>
      <c r="AH34" s="67">
        <v>0</v>
      </c>
      <c r="AI34" s="67">
        <v>0</v>
      </c>
      <c r="AJ34" s="67">
        <v>0</v>
      </c>
      <c r="AK34" s="67">
        <v>0</v>
      </c>
      <c r="AL34" s="67">
        <v>0</v>
      </c>
      <c r="AM34" s="67">
        <v>0</v>
      </c>
      <c r="AN34" s="67">
        <v>0</v>
      </c>
      <c r="AO34" s="67">
        <v>0</v>
      </c>
      <c r="AP34" s="67">
        <v>0</v>
      </c>
      <c r="AQ34" s="67">
        <v>0</v>
      </c>
      <c r="AR34" s="67">
        <v>0</v>
      </c>
      <c r="AS34" s="68">
        <v>0</v>
      </c>
      <c r="AT34" s="63"/>
      <c r="AU34" s="63"/>
    </row>
    <row r="35" spans="1:47" ht="12.75" hidden="1" customHeight="1" outlineLevel="1" x14ac:dyDescent="0.2">
      <c r="A35" s="95" t="s">
        <v>179</v>
      </c>
      <c r="B35" s="62">
        <v>66.67</v>
      </c>
      <c r="C35" s="54">
        <v>0</v>
      </c>
      <c r="D35" s="54">
        <v>40</v>
      </c>
      <c r="E35" s="63"/>
      <c r="F35" s="64">
        <v>166.67500000000001</v>
      </c>
      <c r="G35" s="65">
        <v>66.67</v>
      </c>
      <c r="H35" s="54">
        <v>66.67</v>
      </c>
      <c r="I35" s="54">
        <v>66.67</v>
      </c>
      <c r="J35" s="54">
        <v>66.67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266.68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17</v>
      </c>
      <c r="AH35" s="67">
        <v>17</v>
      </c>
      <c r="AI35" s="67">
        <v>40</v>
      </c>
      <c r="AJ35" s="67">
        <v>40</v>
      </c>
      <c r="AK35" s="67">
        <v>40</v>
      </c>
      <c r="AL35" s="67">
        <v>40</v>
      </c>
      <c r="AM35" s="67">
        <v>40</v>
      </c>
      <c r="AN35" s="67">
        <v>40</v>
      </c>
      <c r="AO35" s="67">
        <v>66.67</v>
      </c>
      <c r="AP35" s="67">
        <v>66.67</v>
      </c>
      <c r="AQ35" s="67">
        <v>66.67</v>
      </c>
      <c r="AR35" s="67">
        <v>66.67</v>
      </c>
      <c r="AS35" s="68">
        <v>114</v>
      </c>
      <c r="AT35" s="63"/>
      <c r="AU35" s="63">
        <v>233.92982456140351</v>
      </c>
    </row>
    <row r="36" spans="1:47" ht="12.75" hidden="1" customHeight="1" outlineLevel="1" x14ac:dyDescent="0.2">
      <c r="A36" s="95" t="s">
        <v>180</v>
      </c>
      <c r="B36" s="62">
        <v>0</v>
      </c>
      <c r="C36" s="54">
        <v>0</v>
      </c>
      <c r="D36" s="54">
        <v>0</v>
      </c>
      <c r="E36" s="63"/>
      <c r="F36" s="64"/>
      <c r="G36" s="65">
        <v>0</v>
      </c>
      <c r="H36" s="54">
        <v>2668.32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2668.32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>
        <v>0</v>
      </c>
      <c r="AH36" s="67">
        <v>0</v>
      </c>
      <c r="AI36" s="67">
        <v>0</v>
      </c>
      <c r="AJ36" s="67">
        <v>0</v>
      </c>
      <c r="AK36" s="67">
        <v>0</v>
      </c>
      <c r="AL36" s="67">
        <v>0</v>
      </c>
      <c r="AM36" s="67">
        <v>0</v>
      </c>
      <c r="AN36" s="67">
        <v>317.27</v>
      </c>
      <c r="AO36" s="67">
        <v>0</v>
      </c>
      <c r="AP36" s="67">
        <v>0</v>
      </c>
      <c r="AQ36" s="67">
        <v>0</v>
      </c>
      <c r="AR36" s="67">
        <v>1610.72</v>
      </c>
      <c r="AS36" s="68">
        <v>0</v>
      </c>
      <c r="AT36" s="63"/>
      <c r="AU36" s="63"/>
    </row>
    <row r="37" spans="1:47" ht="12.75" hidden="1" customHeight="1" outlineLevel="1" x14ac:dyDescent="0.2">
      <c r="A37" s="95" t="s">
        <v>181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0</v>
      </c>
      <c r="AM37" s="67">
        <v>0</v>
      </c>
      <c r="AN37" s="67">
        <v>0</v>
      </c>
      <c r="AO37" s="67">
        <v>0</v>
      </c>
      <c r="AP37" s="67">
        <v>0</v>
      </c>
      <c r="AQ37" s="67">
        <v>0</v>
      </c>
      <c r="AR37" s="67">
        <v>0</v>
      </c>
      <c r="AS37" s="68">
        <v>0</v>
      </c>
      <c r="AT37" s="63"/>
      <c r="AU37" s="63"/>
    </row>
    <row r="38" spans="1:47" ht="12.75" hidden="1" customHeight="1" outlineLevel="1" x14ac:dyDescent="0.2">
      <c r="A38" s="95" t="s">
        <v>182</v>
      </c>
      <c r="B38" s="62">
        <v>2586.27</v>
      </c>
      <c r="C38" s="54">
        <v>0</v>
      </c>
      <c r="D38" s="54">
        <v>0</v>
      </c>
      <c r="E38" s="63"/>
      <c r="F38" s="64"/>
      <c r="G38" s="65">
        <v>275.69</v>
      </c>
      <c r="H38" s="54">
        <v>608.09</v>
      </c>
      <c r="I38" s="54">
        <v>1317.28</v>
      </c>
      <c r="J38" s="54">
        <v>2586.27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4787.33</v>
      </c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0</v>
      </c>
      <c r="Z38" s="54">
        <v>0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66">
        <v>0</v>
      </c>
      <c r="AG38" s="67">
        <v>0</v>
      </c>
      <c r="AH38" s="67">
        <v>0</v>
      </c>
      <c r="AI38" s="67">
        <v>0</v>
      </c>
      <c r="AJ38" s="67">
        <v>0</v>
      </c>
      <c r="AK38" s="67">
        <v>0</v>
      </c>
      <c r="AL38" s="67">
        <v>334.55</v>
      </c>
      <c r="AM38" s="67">
        <v>0</v>
      </c>
      <c r="AN38" s="67">
        <v>185.18</v>
      </c>
      <c r="AO38" s="67">
        <v>145.18</v>
      </c>
      <c r="AP38" s="67">
        <v>250.91</v>
      </c>
      <c r="AQ38" s="67">
        <v>0</v>
      </c>
      <c r="AR38" s="67">
        <v>1483.94</v>
      </c>
      <c r="AS38" s="68">
        <v>0</v>
      </c>
      <c r="AT38" s="63"/>
      <c r="AU38" s="63"/>
    </row>
    <row r="39" spans="1:47" ht="12.75" hidden="1" customHeight="1" outlineLevel="1" x14ac:dyDescent="0.2">
      <c r="A39" s="95" t="s">
        <v>183</v>
      </c>
      <c r="B39" s="62">
        <v>0</v>
      </c>
      <c r="C39" s="54">
        <v>0</v>
      </c>
      <c r="D39" s="54">
        <v>0</v>
      </c>
      <c r="E39" s="63"/>
      <c r="F39" s="64"/>
      <c r="G39" s="65">
        <v>436.81</v>
      </c>
      <c r="H39" s="54">
        <v>604.78</v>
      </c>
      <c r="I39" s="56">
        <v>-1317.28</v>
      </c>
      <c r="J39" s="54">
        <v>0</v>
      </c>
      <c r="K39" s="54">
        <v>0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76">
        <v>-275.69</v>
      </c>
      <c r="T39" s="54">
        <v>0</v>
      </c>
      <c r="U39" s="54">
        <v>0</v>
      </c>
      <c r="V39" s="54">
        <v>0</v>
      </c>
      <c r="W39" s="54">
        <v>0</v>
      </c>
      <c r="X39" s="54">
        <v>0</v>
      </c>
      <c r="Y39" s="54">
        <v>0</v>
      </c>
      <c r="Z39" s="54">
        <v>0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66">
        <v>0</v>
      </c>
      <c r="AG39" s="67">
        <v>0</v>
      </c>
      <c r="AH39" s="67">
        <v>0</v>
      </c>
      <c r="AI39" s="67">
        <v>0</v>
      </c>
      <c r="AJ39" s="67">
        <v>0</v>
      </c>
      <c r="AK39" s="67">
        <v>0</v>
      </c>
      <c r="AL39" s="67">
        <v>0</v>
      </c>
      <c r="AM39" s="67">
        <v>0</v>
      </c>
      <c r="AN39" s="67">
        <v>0</v>
      </c>
      <c r="AO39" s="67">
        <v>526.6</v>
      </c>
      <c r="AP39" s="67">
        <v>376.56</v>
      </c>
      <c r="AQ39" s="67">
        <v>259.17</v>
      </c>
      <c r="AR39" s="98">
        <v>-795</v>
      </c>
      <c r="AS39" s="68">
        <v>0</v>
      </c>
      <c r="AT39" s="63"/>
      <c r="AU39" s="63"/>
    </row>
    <row r="40" spans="1:47" ht="12.75" hidden="1" customHeight="1" outlineLevel="1" x14ac:dyDescent="0.2">
      <c r="A40" s="95" t="s">
        <v>184</v>
      </c>
      <c r="B40" s="62">
        <v>0</v>
      </c>
      <c r="C40" s="54">
        <v>0</v>
      </c>
      <c r="D40" s="54">
        <v>0</v>
      </c>
      <c r="E40" s="63"/>
      <c r="F40" s="64"/>
      <c r="G40" s="65">
        <v>0</v>
      </c>
      <c r="H40" s="54">
        <v>546.13</v>
      </c>
      <c r="I40" s="56">
        <v>-546.13</v>
      </c>
      <c r="J40" s="54">
        <v>0</v>
      </c>
      <c r="K40" s="54">
        <v>0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66">
        <v>0</v>
      </c>
      <c r="T40" s="54">
        <v>0</v>
      </c>
      <c r="U40" s="54">
        <v>0</v>
      </c>
      <c r="V40" s="54">
        <v>0</v>
      </c>
      <c r="W40" s="54">
        <v>0</v>
      </c>
      <c r="X40" s="54">
        <v>0</v>
      </c>
      <c r="Y40" s="54">
        <v>0</v>
      </c>
      <c r="Z40" s="54">
        <v>0</v>
      </c>
      <c r="AA40" s="54">
        <v>0</v>
      </c>
      <c r="AB40" s="54">
        <v>0</v>
      </c>
      <c r="AC40" s="54">
        <v>0</v>
      </c>
      <c r="AD40" s="54">
        <v>0</v>
      </c>
      <c r="AE40" s="54">
        <v>0</v>
      </c>
      <c r="AF40" s="66">
        <v>0</v>
      </c>
      <c r="AG40" s="67">
        <v>0</v>
      </c>
      <c r="AH40" s="67">
        <v>0</v>
      </c>
      <c r="AI40" s="67">
        <v>0</v>
      </c>
      <c r="AJ40" s="67">
        <v>0</v>
      </c>
      <c r="AK40" s="67">
        <v>0</v>
      </c>
      <c r="AL40" s="67">
        <v>0</v>
      </c>
      <c r="AM40" s="67">
        <v>0</v>
      </c>
      <c r="AN40" s="67">
        <v>31.24</v>
      </c>
      <c r="AO40" s="67">
        <v>0</v>
      </c>
      <c r="AP40" s="67">
        <v>0</v>
      </c>
      <c r="AQ40" s="67">
        <v>0</v>
      </c>
      <c r="AR40" s="67">
        <v>0</v>
      </c>
      <c r="AS40" s="68">
        <v>0</v>
      </c>
      <c r="AT40" s="63"/>
      <c r="AU40" s="63"/>
    </row>
    <row r="41" spans="1:47" ht="12.75" hidden="1" customHeight="1" outlineLevel="1" x14ac:dyDescent="0.2">
      <c r="A41" s="95" t="s">
        <v>185</v>
      </c>
      <c r="B41" s="62">
        <v>0</v>
      </c>
      <c r="C41" s="54">
        <v>0</v>
      </c>
      <c r="D41" s="54">
        <v>0</v>
      </c>
      <c r="E41" s="63"/>
      <c r="F41" s="64"/>
      <c r="G41" s="65">
        <v>0</v>
      </c>
      <c r="H41" s="54">
        <v>0</v>
      </c>
      <c r="I41" s="54">
        <v>0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66">
        <v>0</v>
      </c>
      <c r="T41" s="54">
        <v>0</v>
      </c>
      <c r="U41" s="54">
        <v>0</v>
      </c>
      <c r="V41" s="54">
        <v>0</v>
      </c>
      <c r="W41" s="54">
        <v>0</v>
      </c>
      <c r="X41" s="54">
        <v>0</v>
      </c>
      <c r="Y41" s="54">
        <v>0</v>
      </c>
      <c r="Z41" s="54">
        <v>0</v>
      </c>
      <c r="AA41" s="54">
        <v>0</v>
      </c>
      <c r="AB41" s="54">
        <v>0</v>
      </c>
      <c r="AC41" s="54">
        <v>0</v>
      </c>
      <c r="AD41" s="54">
        <v>0</v>
      </c>
      <c r="AE41" s="54">
        <v>0</v>
      </c>
      <c r="AF41" s="66">
        <v>0</v>
      </c>
      <c r="AG41" s="67">
        <v>0</v>
      </c>
      <c r="AH41" s="67">
        <v>0</v>
      </c>
      <c r="AI41" s="67">
        <v>0</v>
      </c>
      <c r="AJ41" s="67">
        <v>0</v>
      </c>
      <c r="AK41" s="67">
        <v>0</v>
      </c>
      <c r="AL41" s="67">
        <v>0</v>
      </c>
      <c r="AM41" s="67">
        <v>0</v>
      </c>
      <c r="AN41" s="67">
        <v>0</v>
      </c>
      <c r="AO41" s="67">
        <v>0</v>
      </c>
      <c r="AP41" s="67">
        <v>0</v>
      </c>
      <c r="AQ41" s="67">
        <v>0</v>
      </c>
      <c r="AR41" s="67">
        <v>0</v>
      </c>
      <c r="AS41" s="68">
        <v>0</v>
      </c>
      <c r="AT41" s="63"/>
      <c r="AU41" s="63"/>
    </row>
    <row r="42" spans="1:47" ht="12.75" hidden="1" customHeight="1" outlineLevel="1" x14ac:dyDescent="0.2">
      <c r="A42" s="95" t="s">
        <v>186</v>
      </c>
      <c r="B42" s="62">
        <v>0</v>
      </c>
      <c r="C42" s="54">
        <v>0</v>
      </c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0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0</v>
      </c>
      <c r="AS42" s="68">
        <v>0</v>
      </c>
      <c r="AT42" s="63"/>
      <c r="AU42" s="63"/>
    </row>
    <row r="43" spans="1:47" ht="12.75" hidden="1" customHeight="1" outlineLevel="1" x14ac:dyDescent="0.2">
      <c r="A43" s="95" t="s">
        <v>187</v>
      </c>
      <c r="B43" s="62">
        <v>0</v>
      </c>
      <c r="C43" s="54">
        <v>0</v>
      </c>
      <c r="D43" s="54">
        <v>0</v>
      </c>
      <c r="E43" s="63"/>
      <c r="F43" s="64"/>
      <c r="G43" s="65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66">
        <v>0</v>
      </c>
      <c r="T43" s="54">
        <v>0</v>
      </c>
      <c r="U43" s="54">
        <v>0</v>
      </c>
      <c r="V43" s="54">
        <v>0</v>
      </c>
      <c r="W43" s="54">
        <v>0</v>
      </c>
      <c r="X43" s="54">
        <v>0</v>
      </c>
      <c r="Y43" s="54">
        <v>0</v>
      </c>
      <c r="Z43" s="54">
        <v>0</v>
      </c>
      <c r="AA43" s="54">
        <v>0</v>
      </c>
      <c r="AB43" s="54">
        <v>0</v>
      </c>
      <c r="AC43" s="54">
        <v>0</v>
      </c>
      <c r="AD43" s="54">
        <v>0</v>
      </c>
      <c r="AE43" s="54">
        <v>0</v>
      </c>
      <c r="AF43" s="66">
        <v>0</v>
      </c>
      <c r="AG43" s="67">
        <v>0</v>
      </c>
      <c r="AH43" s="67">
        <v>0</v>
      </c>
      <c r="AI43" s="67">
        <v>0</v>
      </c>
      <c r="AJ43" s="67">
        <v>0</v>
      </c>
      <c r="AK43" s="67">
        <v>0</v>
      </c>
      <c r="AL43" s="67">
        <v>0</v>
      </c>
      <c r="AM43" s="67">
        <v>0</v>
      </c>
      <c r="AN43" s="67">
        <v>0</v>
      </c>
      <c r="AO43" s="67">
        <v>0</v>
      </c>
      <c r="AP43" s="67">
        <v>0</v>
      </c>
      <c r="AQ43" s="67">
        <v>0</v>
      </c>
      <c r="AR43" s="67">
        <v>0</v>
      </c>
      <c r="AS43" s="68">
        <v>0</v>
      </c>
      <c r="AT43" s="63"/>
      <c r="AU43" s="63"/>
    </row>
    <row r="44" spans="1:47" ht="12.75" hidden="1" customHeight="1" outlineLevel="1" x14ac:dyDescent="0.2">
      <c r="A44" s="95" t="s">
        <v>188</v>
      </c>
      <c r="B44" s="62">
        <v>0</v>
      </c>
      <c r="C44" s="54"/>
      <c r="D44" s="54">
        <v>0</v>
      </c>
      <c r="E44" s="63"/>
      <c r="F44" s="64"/>
      <c r="G44" s="65">
        <v>0</v>
      </c>
      <c r="H44" s="54">
        <v>0</v>
      </c>
      <c r="I44" s="54">
        <v>0</v>
      </c>
      <c r="J44" s="54">
        <v>0</v>
      </c>
      <c r="K44" s="54">
        <v>0</v>
      </c>
      <c r="L44" s="54">
        <v>0</v>
      </c>
      <c r="M44" s="54">
        <v>0</v>
      </c>
      <c r="N44" s="54">
        <v>0</v>
      </c>
      <c r="O44" s="54">
        <v>0</v>
      </c>
      <c r="P44" s="54">
        <v>0</v>
      </c>
      <c r="Q44" s="54">
        <v>0</v>
      </c>
      <c r="R44" s="54">
        <v>0</v>
      </c>
      <c r="S44" s="66">
        <v>0</v>
      </c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>
        <v>0</v>
      </c>
      <c r="AH44" s="67">
        <v>0</v>
      </c>
      <c r="AI44" s="67">
        <v>0</v>
      </c>
      <c r="AJ44" s="67">
        <v>0</v>
      </c>
      <c r="AK44" s="67">
        <v>0</v>
      </c>
      <c r="AL44" s="67">
        <v>0</v>
      </c>
      <c r="AM44" s="67">
        <v>0</v>
      </c>
      <c r="AN44" s="67">
        <v>0</v>
      </c>
      <c r="AO44" s="67">
        <v>0</v>
      </c>
      <c r="AP44" s="67">
        <v>0</v>
      </c>
      <c r="AQ44" s="67">
        <v>0</v>
      </c>
      <c r="AR44" s="67">
        <v>0</v>
      </c>
      <c r="AS44" s="68">
        <v>0</v>
      </c>
      <c r="AT44" s="63"/>
      <c r="AU44" s="63"/>
    </row>
    <row r="45" spans="1:47" ht="12.75" hidden="1" customHeight="1" outlineLevel="1" x14ac:dyDescent="0.2">
      <c r="A45" s="95" t="s">
        <v>189</v>
      </c>
      <c r="B45" s="62">
        <v>0</v>
      </c>
      <c r="C45" s="54"/>
      <c r="D45" s="54">
        <v>0</v>
      </c>
      <c r="E45" s="63"/>
      <c r="F45" s="64"/>
      <c r="G45" s="65">
        <v>0</v>
      </c>
      <c r="H45" s="54">
        <v>0</v>
      </c>
      <c r="I45" s="54">
        <v>0</v>
      </c>
      <c r="J45" s="54">
        <v>0</v>
      </c>
      <c r="K45" s="54">
        <v>0</v>
      </c>
      <c r="L45" s="54">
        <v>0</v>
      </c>
      <c r="M45" s="54">
        <v>0</v>
      </c>
      <c r="N45" s="54">
        <v>0</v>
      </c>
      <c r="O45" s="54">
        <v>0</v>
      </c>
      <c r="P45" s="54">
        <v>0</v>
      </c>
      <c r="Q45" s="54">
        <v>0</v>
      </c>
      <c r="R45" s="54">
        <v>0</v>
      </c>
      <c r="S45" s="66">
        <v>0</v>
      </c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66"/>
      <c r="AG45" s="67">
        <v>0</v>
      </c>
      <c r="AH45" s="67">
        <v>0</v>
      </c>
      <c r="AI45" s="67">
        <v>0</v>
      </c>
      <c r="AJ45" s="67">
        <v>0</v>
      </c>
      <c r="AK45" s="67">
        <v>0</v>
      </c>
      <c r="AL45" s="67">
        <v>0</v>
      </c>
      <c r="AM45" s="67">
        <v>0</v>
      </c>
      <c r="AN45" s="67">
        <v>0</v>
      </c>
      <c r="AO45" s="67">
        <v>0</v>
      </c>
      <c r="AP45" s="67">
        <v>0</v>
      </c>
      <c r="AQ45" s="67">
        <v>0</v>
      </c>
      <c r="AR45" s="67">
        <v>0</v>
      </c>
      <c r="AS45" s="68">
        <v>0</v>
      </c>
      <c r="AT45" s="63"/>
      <c r="AU45" s="63"/>
    </row>
    <row r="46" spans="1:47" ht="12.75" hidden="1" customHeight="1" outlineLevel="1" x14ac:dyDescent="0.2">
      <c r="A46" s="95" t="s">
        <v>190</v>
      </c>
      <c r="B46" s="62">
        <v>628.1</v>
      </c>
      <c r="C46" s="54">
        <v>0</v>
      </c>
      <c r="D46" s="54">
        <v>0</v>
      </c>
      <c r="E46" s="63"/>
      <c r="F46" s="64"/>
      <c r="G46" s="65">
        <v>579.37</v>
      </c>
      <c r="H46" s="54">
        <v>0</v>
      </c>
      <c r="I46" s="54">
        <v>0</v>
      </c>
      <c r="J46" s="54">
        <v>628.1</v>
      </c>
      <c r="K46" s="54">
        <v>0</v>
      </c>
      <c r="L46" s="54">
        <v>0</v>
      </c>
      <c r="M46" s="54">
        <v>0</v>
      </c>
      <c r="N46" s="54">
        <v>0</v>
      </c>
      <c r="O46" s="54">
        <v>0</v>
      </c>
      <c r="P46" s="54">
        <v>0</v>
      </c>
      <c r="Q46" s="54">
        <v>0</v>
      </c>
      <c r="R46" s="54">
        <v>0</v>
      </c>
      <c r="S46" s="66">
        <v>1207.47</v>
      </c>
      <c r="T46" s="54">
        <v>0</v>
      </c>
      <c r="U46" s="54">
        <v>0</v>
      </c>
      <c r="V46" s="54">
        <v>0</v>
      </c>
      <c r="W46" s="54">
        <v>0</v>
      </c>
      <c r="X46" s="54">
        <v>0</v>
      </c>
      <c r="Y46" s="54">
        <v>0</v>
      </c>
      <c r="Z46" s="54">
        <v>0</v>
      </c>
      <c r="AA46" s="54">
        <v>0</v>
      </c>
      <c r="AB46" s="54">
        <v>0</v>
      </c>
      <c r="AC46" s="54">
        <v>0</v>
      </c>
      <c r="AD46" s="54">
        <v>0</v>
      </c>
      <c r="AE46" s="54">
        <v>0</v>
      </c>
      <c r="AF46" s="66">
        <v>0</v>
      </c>
      <c r="AG46" s="67">
        <v>0</v>
      </c>
      <c r="AH46" s="67">
        <v>0</v>
      </c>
      <c r="AI46" s="67">
        <v>0</v>
      </c>
      <c r="AJ46" s="67">
        <v>0</v>
      </c>
      <c r="AK46" s="67">
        <v>0</v>
      </c>
      <c r="AL46" s="67">
        <v>0</v>
      </c>
      <c r="AM46" s="67">
        <v>0</v>
      </c>
      <c r="AN46" s="67">
        <v>118.74</v>
      </c>
      <c r="AO46" s="67">
        <v>275.13</v>
      </c>
      <c r="AP46" s="67">
        <v>722.72</v>
      </c>
      <c r="AQ46" s="67">
        <v>0</v>
      </c>
      <c r="AR46" s="67">
        <v>230.45</v>
      </c>
      <c r="AS46" s="68">
        <v>0</v>
      </c>
      <c r="AT46" s="63"/>
      <c r="AU46" s="63"/>
    </row>
    <row r="47" spans="1:47" ht="12.75" hidden="1" customHeight="1" outlineLevel="1" x14ac:dyDescent="0.2">
      <c r="A47" s="95" t="s">
        <v>191</v>
      </c>
      <c r="B47" s="62">
        <v>0</v>
      </c>
      <c r="C47" s="54">
        <v>0</v>
      </c>
      <c r="D47" s="54">
        <v>0</v>
      </c>
      <c r="E47" s="63"/>
      <c r="F47" s="64"/>
      <c r="G47" s="65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54">
        <v>0</v>
      </c>
      <c r="N47" s="54">
        <v>0</v>
      </c>
      <c r="O47" s="54">
        <v>0</v>
      </c>
      <c r="P47" s="54">
        <v>0</v>
      </c>
      <c r="Q47" s="54">
        <v>0</v>
      </c>
      <c r="R47" s="54">
        <v>0</v>
      </c>
      <c r="S47" s="66">
        <v>0</v>
      </c>
      <c r="T47" s="54">
        <v>0</v>
      </c>
      <c r="U47" s="54">
        <v>0</v>
      </c>
      <c r="V47" s="54">
        <v>0</v>
      </c>
      <c r="W47" s="54">
        <v>0</v>
      </c>
      <c r="X47" s="54">
        <v>0</v>
      </c>
      <c r="Y47" s="54">
        <v>0</v>
      </c>
      <c r="Z47" s="54">
        <v>0</v>
      </c>
      <c r="AA47" s="54">
        <v>0</v>
      </c>
      <c r="AB47" s="54">
        <v>0</v>
      </c>
      <c r="AC47" s="54">
        <v>0</v>
      </c>
      <c r="AD47" s="54">
        <v>0</v>
      </c>
      <c r="AE47" s="54">
        <v>0</v>
      </c>
      <c r="AF47" s="66">
        <v>0</v>
      </c>
      <c r="AG47" s="67">
        <v>0</v>
      </c>
      <c r="AH47" s="67">
        <v>0</v>
      </c>
      <c r="AI47" s="67">
        <v>0</v>
      </c>
      <c r="AJ47" s="67">
        <v>0</v>
      </c>
      <c r="AK47" s="67">
        <v>0</v>
      </c>
      <c r="AL47" s="67">
        <v>0</v>
      </c>
      <c r="AM47" s="67">
        <v>0</v>
      </c>
      <c r="AN47" s="67">
        <v>0</v>
      </c>
      <c r="AO47" s="67">
        <v>0</v>
      </c>
      <c r="AP47" s="67">
        <v>0</v>
      </c>
      <c r="AQ47" s="67">
        <v>0</v>
      </c>
      <c r="AR47" s="67">
        <v>0</v>
      </c>
      <c r="AS47" s="68">
        <v>0</v>
      </c>
      <c r="AT47" s="63"/>
      <c r="AU47" s="63"/>
    </row>
    <row r="48" spans="1:47" ht="12.75" customHeight="1" collapsed="1" x14ac:dyDescent="0.2">
      <c r="A48" s="69" t="s">
        <v>192</v>
      </c>
      <c r="B48" s="70">
        <v>3281.04</v>
      </c>
      <c r="C48" s="71">
        <v>0</v>
      </c>
      <c r="D48" s="71">
        <v>40</v>
      </c>
      <c r="E48" s="72"/>
      <c r="F48" s="73">
        <v>8202.6</v>
      </c>
      <c r="G48" s="70">
        <v>1358.54</v>
      </c>
      <c r="H48" s="71">
        <v>4493.99</v>
      </c>
      <c r="I48" s="74">
        <v>-479.46</v>
      </c>
      <c r="J48" s="71">
        <v>3281.04</v>
      </c>
      <c r="K48" s="71">
        <v>0</v>
      </c>
      <c r="L48" s="71">
        <v>0</v>
      </c>
      <c r="M48" s="71">
        <v>0</v>
      </c>
      <c r="N48" s="71">
        <v>0</v>
      </c>
      <c r="O48" s="71">
        <v>0</v>
      </c>
      <c r="P48" s="71">
        <v>0</v>
      </c>
      <c r="Q48" s="71">
        <v>0</v>
      </c>
      <c r="R48" s="71">
        <v>0</v>
      </c>
      <c r="S48" s="71">
        <v>8654.11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71">
        <v>0</v>
      </c>
      <c r="AE48" s="71">
        <v>0</v>
      </c>
      <c r="AF48" s="71">
        <v>0</v>
      </c>
      <c r="AG48" s="75">
        <v>17</v>
      </c>
      <c r="AH48" s="75">
        <v>17</v>
      </c>
      <c r="AI48" s="75">
        <v>40</v>
      </c>
      <c r="AJ48" s="75">
        <v>40</v>
      </c>
      <c r="AK48" s="75">
        <v>40</v>
      </c>
      <c r="AL48" s="75">
        <v>374.55</v>
      </c>
      <c r="AM48" s="75">
        <v>40</v>
      </c>
      <c r="AN48" s="75">
        <v>692.43</v>
      </c>
      <c r="AO48" s="75">
        <v>1013.58</v>
      </c>
      <c r="AP48" s="75">
        <v>1416.86</v>
      </c>
      <c r="AQ48" s="75">
        <v>325.83999999999997</v>
      </c>
      <c r="AR48" s="75">
        <v>2596.7800000000002</v>
      </c>
      <c r="AS48" s="75">
        <v>114</v>
      </c>
      <c r="AT48" s="72"/>
      <c r="AU48" s="72">
        <v>7591.3245614035086</v>
      </c>
    </row>
    <row r="49" spans="1:47" ht="12.75" hidden="1" customHeight="1" outlineLevel="1" x14ac:dyDescent="0.2">
      <c r="A49" s="95" t="s">
        <v>193</v>
      </c>
      <c r="B49" s="62"/>
      <c r="C49" s="54"/>
      <c r="D49" s="54"/>
      <c r="E49" s="63"/>
      <c r="F49" s="64"/>
      <c r="G49" s="65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66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66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8"/>
      <c r="AT49" s="63"/>
      <c r="AU49" s="63"/>
    </row>
    <row r="50" spans="1:47" ht="12.75" hidden="1" customHeight="1" outlineLevel="1" x14ac:dyDescent="0.2">
      <c r="A50" s="95" t="s">
        <v>194</v>
      </c>
      <c r="B50" s="62">
        <v>0</v>
      </c>
      <c r="C50" s="54">
        <v>0</v>
      </c>
      <c r="D50" s="54">
        <v>0</v>
      </c>
      <c r="E50" s="63"/>
      <c r="F50" s="64"/>
      <c r="G50" s="65">
        <v>0</v>
      </c>
      <c r="H50" s="54">
        <v>0</v>
      </c>
      <c r="I50" s="54">
        <v>0</v>
      </c>
      <c r="J50" s="54">
        <v>0</v>
      </c>
      <c r="K50" s="54">
        <v>0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66">
        <v>0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>
        <v>0</v>
      </c>
      <c r="AH50" s="67">
        <v>0</v>
      </c>
      <c r="AI50" s="67">
        <v>0</v>
      </c>
      <c r="AJ50" s="67">
        <v>0</v>
      </c>
      <c r="AK50" s="67">
        <v>0</v>
      </c>
      <c r="AL50" s="67">
        <v>0</v>
      </c>
      <c r="AM50" s="67">
        <v>0</v>
      </c>
      <c r="AN50" s="67">
        <v>0</v>
      </c>
      <c r="AO50" s="67">
        <v>0</v>
      </c>
      <c r="AP50" s="67">
        <v>0</v>
      </c>
      <c r="AQ50" s="67">
        <v>0</v>
      </c>
      <c r="AR50" s="67">
        <v>0</v>
      </c>
      <c r="AS50" s="68">
        <v>0</v>
      </c>
      <c r="AT50" s="63"/>
      <c r="AU50" s="63"/>
    </row>
    <row r="51" spans="1:47" ht="12.75" hidden="1" customHeight="1" outlineLevel="1" x14ac:dyDescent="0.2">
      <c r="A51" s="95" t="s">
        <v>82</v>
      </c>
      <c r="B51" s="62">
        <v>0</v>
      </c>
      <c r="C51" s="54">
        <v>0</v>
      </c>
      <c r="D51" s="54">
        <v>0</v>
      </c>
      <c r="E51" s="63"/>
      <c r="F51" s="64"/>
      <c r="G51" s="65">
        <v>0</v>
      </c>
      <c r="H51" s="54">
        <v>0</v>
      </c>
      <c r="I51" s="54">
        <v>0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66">
        <v>0</v>
      </c>
      <c r="T51" s="54">
        <v>0</v>
      </c>
      <c r="U51" s="54">
        <v>0</v>
      </c>
      <c r="V51" s="54">
        <v>0</v>
      </c>
      <c r="W51" s="54">
        <v>0</v>
      </c>
      <c r="X51" s="54">
        <v>0</v>
      </c>
      <c r="Y51" s="54">
        <v>0</v>
      </c>
      <c r="Z51" s="54">
        <v>0</v>
      </c>
      <c r="AA51" s="54">
        <v>0</v>
      </c>
      <c r="AB51" s="54">
        <v>0</v>
      </c>
      <c r="AC51" s="54">
        <v>0</v>
      </c>
      <c r="AD51" s="54">
        <v>0</v>
      </c>
      <c r="AE51" s="54">
        <v>0</v>
      </c>
      <c r="AF51" s="66">
        <v>0</v>
      </c>
      <c r="AG51" s="67">
        <v>0</v>
      </c>
      <c r="AH51" s="67">
        <v>0</v>
      </c>
      <c r="AI51" s="67">
        <v>0</v>
      </c>
      <c r="AJ51" s="67">
        <v>0</v>
      </c>
      <c r="AK51" s="67">
        <v>0</v>
      </c>
      <c r="AL51" s="67">
        <v>0</v>
      </c>
      <c r="AM51" s="67">
        <v>0</v>
      </c>
      <c r="AN51" s="67">
        <v>0</v>
      </c>
      <c r="AO51" s="67">
        <v>0</v>
      </c>
      <c r="AP51" s="67">
        <v>0</v>
      </c>
      <c r="AQ51" s="67">
        <v>0</v>
      </c>
      <c r="AR51" s="67">
        <v>0</v>
      </c>
      <c r="AS51" s="68">
        <v>0</v>
      </c>
      <c r="AT51" s="63"/>
      <c r="AU51" s="63"/>
    </row>
    <row r="52" spans="1:47" ht="12.75" hidden="1" customHeight="1" outlineLevel="1" x14ac:dyDescent="0.2">
      <c r="A52" s="95" t="s">
        <v>83</v>
      </c>
      <c r="B52" s="62">
        <v>4372.87</v>
      </c>
      <c r="C52" s="54">
        <v>0</v>
      </c>
      <c r="D52" s="54">
        <v>10419.14</v>
      </c>
      <c r="E52" s="63"/>
      <c r="F52" s="64">
        <v>41.969586741324143</v>
      </c>
      <c r="G52" s="65">
        <v>9315.91</v>
      </c>
      <c r="H52" s="54">
        <v>29418.66</v>
      </c>
      <c r="I52" s="54">
        <v>10505.91</v>
      </c>
      <c r="J52" s="54">
        <v>4372.87</v>
      </c>
      <c r="K52" s="54">
        <v>8120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66">
        <v>53613.35</v>
      </c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66">
        <v>0</v>
      </c>
      <c r="AG52" s="67">
        <v>7775</v>
      </c>
      <c r="AH52" s="67">
        <v>22568.13</v>
      </c>
      <c r="AI52" s="67">
        <v>17640</v>
      </c>
      <c r="AJ52" s="67">
        <v>10419.14</v>
      </c>
      <c r="AK52" s="67">
        <v>15140.94</v>
      </c>
      <c r="AL52" s="67">
        <v>9897.5</v>
      </c>
      <c r="AM52" s="67">
        <v>17570</v>
      </c>
      <c r="AN52" s="67">
        <v>9410.91</v>
      </c>
      <c r="AO52" s="67">
        <v>15482.62</v>
      </c>
      <c r="AP52" s="67">
        <v>19633.490000000002</v>
      </c>
      <c r="AQ52" s="67">
        <v>18665.330000000002</v>
      </c>
      <c r="AR52" s="67">
        <v>10125.91</v>
      </c>
      <c r="AS52" s="68">
        <v>58402.27</v>
      </c>
      <c r="AT52" s="63"/>
      <c r="AU52" s="63">
        <v>91.800113249022687</v>
      </c>
    </row>
    <row r="53" spans="1:47" ht="12.75" hidden="1" customHeight="1" outlineLevel="1" x14ac:dyDescent="0.2">
      <c r="A53" s="95" t="s">
        <v>84</v>
      </c>
      <c r="B53" s="62">
        <v>0</v>
      </c>
      <c r="C53" s="54">
        <v>0</v>
      </c>
      <c r="D53" s="54">
        <v>0</v>
      </c>
      <c r="E53" s="63"/>
      <c r="F53" s="64"/>
      <c r="G53" s="65">
        <v>0</v>
      </c>
      <c r="H53" s="54">
        <v>0</v>
      </c>
      <c r="I53" s="54">
        <v>0</v>
      </c>
      <c r="J53" s="54">
        <v>0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66">
        <v>0</v>
      </c>
      <c r="T53" s="54">
        <v>0</v>
      </c>
      <c r="U53" s="54">
        <v>0</v>
      </c>
      <c r="V53" s="54">
        <v>0</v>
      </c>
      <c r="W53" s="54">
        <v>0</v>
      </c>
      <c r="X53" s="54">
        <v>0</v>
      </c>
      <c r="Y53" s="54">
        <v>0</v>
      </c>
      <c r="Z53" s="54">
        <v>0</v>
      </c>
      <c r="AA53" s="54">
        <v>0</v>
      </c>
      <c r="AB53" s="54">
        <v>0</v>
      </c>
      <c r="AC53" s="54">
        <v>0</v>
      </c>
      <c r="AD53" s="54">
        <v>0</v>
      </c>
      <c r="AE53" s="54">
        <v>0</v>
      </c>
      <c r="AF53" s="66">
        <v>0</v>
      </c>
      <c r="AG53" s="67">
        <v>0</v>
      </c>
      <c r="AH53" s="67">
        <v>0</v>
      </c>
      <c r="AI53" s="67">
        <v>0</v>
      </c>
      <c r="AJ53" s="67">
        <v>0</v>
      </c>
      <c r="AK53" s="67">
        <v>0</v>
      </c>
      <c r="AL53" s="67">
        <v>0</v>
      </c>
      <c r="AM53" s="67">
        <v>0</v>
      </c>
      <c r="AN53" s="67">
        <v>0</v>
      </c>
      <c r="AO53" s="67">
        <v>0</v>
      </c>
      <c r="AP53" s="67">
        <v>359.09</v>
      </c>
      <c r="AQ53" s="67">
        <v>0</v>
      </c>
      <c r="AR53" s="67">
        <v>11200</v>
      </c>
      <c r="AS53" s="68">
        <v>0</v>
      </c>
      <c r="AT53" s="63"/>
      <c r="AU53" s="63"/>
    </row>
    <row r="54" spans="1:47" ht="12.75" hidden="1" customHeight="1" outlineLevel="1" x14ac:dyDescent="0.2">
      <c r="A54" s="95" t="s">
        <v>195</v>
      </c>
      <c r="B54" s="62">
        <v>0</v>
      </c>
      <c r="C54" s="54">
        <v>0</v>
      </c>
      <c r="D54" s="54">
        <v>0</v>
      </c>
      <c r="E54" s="63"/>
      <c r="F54" s="64"/>
      <c r="G54" s="65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66">
        <v>0</v>
      </c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>
        <v>0</v>
      </c>
      <c r="AH54" s="67">
        <v>0</v>
      </c>
      <c r="AI54" s="67">
        <v>0</v>
      </c>
      <c r="AJ54" s="67">
        <v>0</v>
      </c>
      <c r="AK54" s="67">
        <v>0</v>
      </c>
      <c r="AL54" s="67">
        <v>0</v>
      </c>
      <c r="AM54" s="67">
        <v>0</v>
      </c>
      <c r="AN54" s="67">
        <v>0</v>
      </c>
      <c r="AO54" s="67">
        <v>0</v>
      </c>
      <c r="AP54" s="67">
        <v>0</v>
      </c>
      <c r="AQ54" s="67">
        <v>0</v>
      </c>
      <c r="AR54" s="67">
        <v>0</v>
      </c>
      <c r="AS54" s="68">
        <v>0</v>
      </c>
      <c r="AT54" s="63"/>
      <c r="AU54" s="63"/>
    </row>
    <row r="55" spans="1:47" ht="12.75" hidden="1" customHeight="1" outlineLevel="1" x14ac:dyDescent="0.2">
      <c r="A55" s="95" t="s">
        <v>86</v>
      </c>
      <c r="B55" s="62">
        <v>0</v>
      </c>
      <c r="C55" s="54">
        <v>0</v>
      </c>
      <c r="D55" s="54">
        <v>0</v>
      </c>
      <c r="E55" s="63"/>
      <c r="F55" s="64"/>
      <c r="G55" s="65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66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66">
        <v>0</v>
      </c>
      <c r="AG55" s="67">
        <v>0</v>
      </c>
      <c r="AH55" s="67">
        <v>0</v>
      </c>
      <c r="AI55" s="67">
        <v>0</v>
      </c>
      <c r="AJ55" s="67">
        <v>0</v>
      </c>
      <c r="AK55" s="67">
        <v>0</v>
      </c>
      <c r="AL55" s="67">
        <v>0</v>
      </c>
      <c r="AM55" s="67">
        <v>0</v>
      </c>
      <c r="AN55" s="67">
        <v>0</v>
      </c>
      <c r="AO55" s="67">
        <v>155.31</v>
      </c>
      <c r="AP55" s="67">
        <v>0</v>
      </c>
      <c r="AQ55" s="67">
        <v>0</v>
      </c>
      <c r="AR55" s="67">
        <v>0</v>
      </c>
      <c r="AS55" s="68">
        <v>0</v>
      </c>
      <c r="AT55" s="63"/>
      <c r="AU55" s="63"/>
    </row>
    <row r="56" spans="1:47" ht="12.75" hidden="1" customHeight="1" outlineLevel="1" x14ac:dyDescent="0.2">
      <c r="A56" s="95" t="s">
        <v>110</v>
      </c>
      <c r="B56" s="62"/>
      <c r="C56" s="54"/>
      <c r="D56" s="54"/>
      <c r="E56" s="63"/>
      <c r="F56" s="64"/>
      <c r="G56" s="65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66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66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8"/>
      <c r="AT56" s="63"/>
      <c r="AU56" s="63"/>
    </row>
    <row r="57" spans="1:47" ht="12.75" hidden="1" customHeight="1" outlineLevel="1" x14ac:dyDescent="0.2">
      <c r="A57" s="95" t="s">
        <v>196</v>
      </c>
      <c r="B57" s="62">
        <v>175</v>
      </c>
      <c r="C57" s="54">
        <v>0</v>
      </c>
      <c r="D57" s="54">
        <v>0</v>
      </c>
      <c r="E57" s="63"/>
      <c r="F57" s="64"/>
      <c r="G57" s="65">
        <v>0</v>
      </c>
      <c r="H57" s="54">
        <v>2023.64</v>
      </c>
      <c r="I57" s="54">
        <v>650.23</v>
      </c>
      <c r="J57" s="54">
        <v>175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66">
        <v>2848.87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66">
        <v>0</v>
      </c>
      <c r="AG57" s="67">
        <v>0</v>
      </c>
      <c r="AH57" s="67">
        <v>555.65</v>
      </c>
      <c r="AI57" s="67">
        <v>325</v>
      </c>
      <c r="AJ57" s="67">
        <v>0</v>
      </c>
      <c r="AK57" s="67">
        <v>0</v>
      </c>
      <c r="AL57" s="67">
        <v>1170.77</v>
      </c>
      <c r="AM57" s="67">
        <v>609.20000000000005</v>
      </c>
      <c r="AN57" s="67">
        <v>694.33</v>
      </c>
      <c r="AO57" s="67">
        <v>0</v>
      </c>
      <c r="AP57" s="67">
        <v>287.04000000000002</v>
      </c>
      <c r="AQ57" s="67">
        <v>918.18</v>
      </c>
      <c r="AR57" s="67">
        <v>0</v>
      </c>
      <c r="AS57" s="68">
        <v>880.65</v>
      </c>
      <c r="AT57" s="63"/>
      <c r="AU57" s="63">
        <v>323.49628115596437</v>
      </c>
    </row>
    <row r="58" spans="1:47" ht="12.75" hidden="1" customHeight="1" outlineLevel="1" x14ac:dyDescent="0.2">
      <c r="A58" s="95" t="s">
        <v>197</v>
      </c>
      <c r="B58" s="62">
        <v>0</v>
      </c>
      <c r="C58" s="54">
        <v>0</v>
      </c>
      <c r="D58" s="54">
        <v>0</v>
      </c>
      <c r="E58" s="63"/>
      <c r="F58" s="64"/>
      <c r="G58" s="65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0</v>
      </c>
      <c r="AI58" s="67">
        <v>0</v>
      </c>
      <c r="AJ58" s="67">
        <v>0</v>
      </c>
      <c r="AK58" s="67">
        <v>0</v>
      </c>
      <c r="AL58" s="67">
        <v>0</v>
      </c>
      <c r="AM58" s="67">
        <v>0</v>
      </c>
      <c r="AN58" s="67">
        <v>0</v>
      </c>
      <c r="AO58" s="67">
        <v>0</v>
      </c>
      <c r="AP58" s="67">
        <v>0</v>
      </c>
      <c r="AQ58" s="67">
        <v>0</v>
      </c>
      <c r="AR58" s="67">
        <v>0</v>
      </c>
      <c r="AS58" s="68">
        <v>0</v>
      </c>
      <c r="AT58" s="63"/>
      <c r="AU58" s="63"/>
    </row>
    <row r="59" spans="1:47" ht="12.75" hidden="1" customHeight="1" outlineLevel="1" x14ac:dyDescent="0.2">
      <c r="A59" s="95" t="s">
        <v>198</v>
      </c>
      <c r="B59" s="62">
        <v>0</v>
      </c>
      <c r="C59" s="54">
        <v>0</v>
      </c>
      <c r="D59" s="54">
        <v>0</v>
      </c>
      <c r="E59" s="63"/>
      <c r="F59" s="64"/>
      <c r="G59" s="65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66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66">
        <v>0</v>
      </c>
      <c r="AG59" s="67">
        <v>311.81</v>
      </c>
      <c r="AH59" s="67">
        <v>0</v>
      </c>
      <c r="AI59" s="67">
        <v>0</v>
      </c>
      <c r="AJ59" s="67">
        <v>0</v>
      </c>
      <c r="AK59" s="67">
        <v>0</v>
      </c>
      <c r="AL59" s="67">
        <v>0</v>
      </c>
      <c r="AM59" s="67">
        <v>0</v>
      </c>
      <c r="AN59" s="67">
        <v>0</v>
      </c>
      <c r="AO59" s="67">
        <v>633.64</v>
      </c>
      <c r="AP59" s="67">
        <v>0</v>
      </c>
      <c r="AQ59" s="67">
        <v>0</v>
      </c>
      <c r="AR59" s="67">
        <v>8613.6</v>
      </c>
      <c r="AS59" s="68">
        <v>311.81</v>
      </c>
      <c r="AT59" s="63"/>
      <c r="AU59" s="63">
        <v>0</v>
      </c>
    </row>
    <row r="60" spans="1:47" ht="12.75" hidden="1" customHeight="1" outlineLevel="1" x14ac:dyDescent="0.2">
      <c r="A60" s="95" t="s">
        <v>199</v>
      </c>
      <c r="B60" s="62">
        <v>8021.3</v>
      </c>
      <c r="C60" s="54">
        <v>0</v>
      </c>
      <c r="D60" s="54">
        <v>2454.9</v>
      </c>
      <c r="E60" s="63"/>
      <c r="F60" s="64">
        <v>326.74650698602795</v>
      </c>
      <c r="G60" s="65">
        <v>9234.1200000000008</v>
      </c>
      <c r="H60" s="54">
        <v>480.17</v>
      </c>
      <c r="I60" s="54">
        <v>16143.83</v>
      </c>
      <c r="J60" s="54">
        <v>8021.3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66">
        <v>33879.42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>
        <v>0</v>
      </c>
      <c r="AE60" s="54">
        <v>0</v>
      </c>
      <c r="AF60" s="66">
        <v>0</v>
      </c>
      <c r="AG60" s="67">
        <v>5597.47</v>
      </c>
      <c r="AH60" s="98">
        <v>-56.97</v>
      </c>
      <c r="AI60" s="67">
        <v>6916.13</v>
      </c>
      <c r="AJ60" s="67">
        <v>2454.9</v>
      </c>
      <c r="AK60" s="67">
        <v>9722.9699999999993</v>
      </c>
      <c r="AL60" s="67">
        <v>0</v>
      </c>
      <c r="AM60" s="67">
        <v>6237.9</v>
      </c>
      <c r="AN60" s="67">
        <v>2777.92</v>
      </c>
      <c r="AO60" s="67">
        <v>4036.83</v>
      </c>
      <c r="AP60" s="67">
        <v>5276.42</v>
      </c>
      <c r="AQ60" s="67">
        <v>6483.73</v>
      </c>
      <c r="AR60" s="67">
        <v>3946.84</v>
      </c>
      <c r="AS60" s="68">
        <v>14911.53</v>
      </c>
      <c r="AT60" s="63"/>
      <c r="AU60" s="63">
        <v>227.20284236426443</v>
      </c>
    </row>
    <row r="61" spans="1:47" ht="12.75" hidden="1" customHeight="1" outlineLevel="1" x14ac:dyDescent="0.2">
      <c r="A61" s="95" t="s">
        <v>200</v>
      </c>
      <c r="B61" s="62">
        <v>0</v>
      </c>
      <c r="C61" s="54">
        <v>0</v>
      </c>
      <c r="D61" s="54">
        <v>0</v>
      </c>
      <c r="E61" s="63"/>
      <c r="F61" s="64"/>
      <c r="G61" s="65">
        <v>0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66">
        <v>0</v>
      </c>
      <c r="T61" s="54">
        <v>0</v>
      </c>
      <c r="U61" s="54">
        <v>0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0</v>
      </c>
      <c r="AB61" s="54">
        <v>0</v>
      </c>
      <c r="AC61" s="54">
        <v>0</v>
      </c>
      <c r="AD61" s="54">
        <v>0</v>
      </c>
      <c r="AE61" s="54">
        <v>0</v>
      </c>
      <c r="AF61" s="66">
        <v>0</v>
      </c>
      <c r="AG61" s="67">
        <v>0</v>
      </c>
      <c r="AH61" s="67">
        <v>0</v>
      </c>
      <c r="AI61" s="67">
        <v>0</v>
      </c>
      <c r="AJ61" s="67">
        <v>0</v>
      </c>
      <c r="AK61" s="67">
        <v>0</v>
      </c>
      <c r="AL61" s="67">
        <v>0</v>
      </c>
      <c r="AM61" s="67">
        <v>0</v>
      </c>
      <c r="AN61" s="67">
        <v>0</v>
      </c>
      <c r="AO61" s="67">
        <v>0</v>
      </c>
      <c r="AP61" s="67">
        <v>0</v>
      </c>
      <c r="AQ61" s="67">
        <v>0</v>
      </c>
      <c r="AR61" s="67">
        <v>0</v>
      </c>
      <c r="AS61" s="68">
        <v>0</v>
      </c>
      <c r="AT61" s="63"/>
      <c r="AU61" s="63"/>
    </row>
    <row r="62" spans="1:47" ht="12.75" customHeight="1" collapsed="1" x14ac:dyDescent="0.2">
      <c r="A62" s="69" t="s">
        <v>89</v>
      </c>
      <c r="B62" s="70">
        <v>12569.17</v>
      </c>
      <c r="C62" s="71">
        <v>0</v>
      </c>
      <c r="D62" s="71">
        <v>12874.04</v>
      </c>
      <c r="E62" s="72"/>
      <c r="F62" s="73">
        <v>97.631901097091514</v>
      </c>
      <c r="G62" s="70">
        <v>18550.03</v>
      </c>
      <c r="H62" s="71">
        <v>31922.47</v>
      </c>
      <c r="I62" s="71">
        <v>27299.97</v>
      </c>
      <c r="J62" s="71">
        <v>12569.17</v>
      </c>
      <c r="K62" s="71">
        <v>8120</v>
      </c>
      <c r="L62" s="71">
        <v>0</v>
      </c>
      <c r="M62" s="71">
        <v>0</v>
      </c>
      <c r="N62" s="71">
        <v>0</v>
      </c>
      <c r="O62" s="71">
        <v>0</v>
      </c>
      <c r="P62" s="71">
        <v>0</v>
      </c>
      <c r="Q62" s="71">
        <v>0</v>
      </c>
      <c r="R62" s="71">
        <v>0</v>
      </c>
      <c r="S62" s="71">
        <v>90341.64</v>
      </c>
      <c r="T62" s="71">
        <v>0</v>
      </c>
      <c r="U62" s="71">
        <v>0</v>
      </c>
      <c r="V62" s="71">
        <v>0</v>
      </c>
      <c r="W62" s="71">
        <v>0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71">
        <v>0</v>
      </c>
      <c r="AE62" s="71">
        <v>0</v>
      </c>
      <c r="AF62" s="71">
        <v>0</v>
      </c>
      <c r="AG62" s="75">
        <v>13684.28</v>
      </c>
      <c r="AH62" s="75">
        <v>23066.81</v>
      </c>
      <c r="AI62" s="75">
        <v>24881.13</v>
      </c>
      <c r="AJ62" s="75">
        <v>12874.04</v>
      </c>
      <c r="AK62" s="75">
        <v>24863.91</v>
      </c>
      <c r="AL62" s="75">
        <v>11068.27</v>
      </c>
      <c r="AM62" s="75">
        <v>24417.1</v>
      </c>
      <c r="AN62" s="75">
        <v>12883.16</v>
      </c>
      <c r="AO62" s="75">
        <v>20308.400000000001</v>
      </c>
      <c r="AP62" s="75">
        <v>25556.04</v>
      </c>
      <c r="AQ62" s="75">
        <v>26067.24</v>
      </c>
      <c r="AR62" s="75">
        <v>33886.35</v>
      </c>
      <c r="AS62" s="75">
        <v>74506.259999999995</v>
      </c>
      <c r="AT62" s="72"/>
      <c r="AU62" s="72">
        <v>121.2537577379404</v>
      </c>
    </row>
    <row r="63" spans="1:47" ht="12.75" customHeight="1" x14ac:dyDescent="0.2">
      <c r="A63" s="77" t="s">
        <v>201</v>
      </c>
      <c r="B63" s="78">
        <v>233305.5</v>
      </c>
      <c r="C63" s="79">
        <v>0</v>
      </c>
      <c r="D63" s="79">
        <v>122289.67</v>
      </c>
      <c r="E63" s="80"/>
      <c r="F63" s="81">
        <v>190.78103653399342</v>
      </c>
      <c r="G63" s="78">
        <v>221538.92</v>
      </c>
      <c r="H63" s="79">
        <v>253602.56</v>
      </c>
      <c r="I63" s="79">
        <v>229892.96</v>
      </c>
      <c r="J63" s="79">
        <v>233305.5</v>
      </c>
      <c r="K63" s="82">
        <v>-7575.76</v>
      </c>
      <c r="L63" s="79">
        <v>0</v>
      </c>
      <c r="M63" s="79">
        <v>0</v>
      </c>
      <c r="N63" s="79">
        <v>0</v>
      </c>
      <c r="O63" s="79">
        <v>0</v>
      </c>
      <c r="P63" s="79">
        <v>0</v>
      </c>
      <c r="Q63" s="79">
        <v>0</v>
      </c>
      <c r="R63" s="79">
        <v>0</v>
      </c>
      <c r="S63" s="79">
        <v>938339.94</v>
      </c>
      <c r="T63" s="79">
        <v>0</v>
      </c>
      <c r="U63" s="79">
        <v>0</v>
      </c>
      <c r="V63" s="79">
        <v>0</v>
      </c>
      <c r="W63" s="79">
        <v>0</v>
      </c>
      <c r="X63" s="79">
        <v>0</v>
      </c>
      <c r="Y63" s="79">
        <v>0</v>
      </c>
      <c r="Z63" s="79">
        <v>0</v>
      </c>
      <c r="AA63" s="79">
        <v>0</v>
      </c>
      <c r="AB63" s="79">
        <v>0</v>
      </c>
      <c r="AC63" s="79">
        <v>0</v>
      </c>
      <c r="AD63" s="79">
        <v>0</v>
      </c>
      <c r="AE63" s="79">
        <v>0</v>
      </c>
      <c r="AF63" s="79">
        <v>0</v>
      </c>
      <c r="AG63" s="83">
        <v>129248.3</v>
      </c>
      <c r="AH63" s="83">
        <v>194103.45</v>
      </c>
      <c r="AI63" s="83">
        <v>170382.85</v>
      </c>
      <c r="AJ63" s="83">
        <v>122289.67</v>
      </c>
      <c r="AK63" s="83">
        <v>161925.35</v>
      </c>
      <c r="AL63" s="83">
        <v>156957.45000000001</v>
      </c>
      <c r="AM63" s="83">
        <v>217943.35</v>
      </c>
      <c r="AN63" s="83">
        <v>184527.31</v>
      </c>
      <c r="AO63" s="83">
        <v>188189.46</v>
      </c>
      <c r="AP63" s="83">
        <v>197659.26</v>
      </c>
      <c r="AQ63" s="83">
        <v>227410.62</v>
      </c>
      <c r="AR63" s="83">
        <v>249399.14</v>
      </c>
      <c r="AS63" s="83">
        <v>616024.27</v>
      </c>
      <c r="AT63" s="80"/>
      <c r="AU63" s="80">
        <v>152.3219109532811</v>
      </c>
    </row>
    <row r="64" spans="1:47" ht="12.75" customHeight="1" x14ac:dyDescent="0.2">
      <c r="A64" s="84" t="s">
        <v>8</v>
      </c>
      <c r="B64" s="85">
        <v>55307.89</v>
      </c>
      <c r="C64" s="86">
        <v>0</v>
      </c>
      <c r="D64" s="86">
        <v>35319.629999999997</v>
      </c>
      <c r="E64" s="87"/>
      <c r="F64" s="88">
        <v>156.59249544799874</v>
      </c>
      <c r="G64" s="85">
        <v>7983.2</v>
      </c>
      <c r="H64" s="86">
        <v>50580.37</v>
      </c>
      <c r="I64" s="86">
        <v>46137</v>
      </c>
      <c r="J64" s="86">
        <v>55307.89</v>
      </c>
      <c r="K64" s="89">
        <v>-17918.740000000002</v>
      </c>
      <c r="L64" s="86">
        <v>0</v>
      </c>
      <c r="M64" s="86">
        <v>0</v>
      </c>
      <c r="N64" s="86">
        <v>0</v>
      </c>
      <c r="O64" s="86">
        <v>0</v>
      </c>
      <c r="P64" s="86">
        <v>0</v>
      </c>
      <c r="Q64" s="86">
        <v>0</v>
      </c>
      <c r="R64" s="86">
        <v>0</v>
      </c>
      <c r="S64" s="86">
        <v>160008.46</v>
      </c>
      <c r="T64" s="86">
        <v>0</v>
      </c>
      <c r="U64" s="86">
        <v>0</v>
      </c>
      <c r="V64" s="86">
        <v>0</v>
      </c>
      <c r="W64" s="86">
        <v>0</v>
      </c>
      <c r="X64" s="86">
        <v>0</v>
      </c>
      <c r="Y64" s="86">
        <v>0</v>
      </c>
      <c r="Z64" s="86">
        <v>0</v>
      </c>
      <c r="AA64" s="86">
        <v>0</v>
      </c>
      <c r="AB64" s="86">
        <v>0</v>
      </c>
      <c r="AC64" s="86">
        <v>0</v>
      </c>
      <c r="AD64" s="86">
        <v>0</v>
      </c>
      <c r="AE64" s="86">
        <v>0</v>
      </c>
      <c r="AF64" s="86">
        <v>0</v>
      </c>
      <c r="AG64" s="90">
        <v>35915.25</v>
      </c>
      <c r="AH64" s="90">
        <v>22923.43</v>
      </c>
      <c r="AI64" s="136">
        <v>-23656.97</v>
      </c>
      <c r="AJ64" s="90">
        <v>35319.629999999997</v>
      </c>
      <c r="AK64" s="90">
        <v>27277.43</v>
      </c>
      <c r="AL64" s="90">
        <v>30901.32</v>
      </c>
      <c r="AM64" s="136">
        <v>-17343.91</v>
      </c>
      <c r="AN64" s="90">
        <v>6746.97</v>
      </c>
      <c r="AO64" s="90">
        <v>3102.58</v>
      </c>
      <c r="AP64" s="90">
        <v>20303.25</v>
      </c>
      <c r="AQ64" s="90">
        <v>33641.19</v>
      </c>
      <c r="AR64" s="90">
        <v>69062.81</v>
      </c>
      <c r="AS64" s="90">
        <v>70501.34</v>
      </c>
      <c r="AT64" s="87"/>
      <c r="AU64" s="87">
        <v>226.95804079752244</v>
      </c>
    </row>
    <row r="65" spans="1:71" x14ac:dyDescent="0.2"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</row>
    <row r="66" spans="1:71" x14ac:dyDescent="0.2"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</row>
    <row r="67" spans="1:71" ht="15" x14ac:dyDescent="0.25">
      <c r="A67" s="211"/>
      <c r="B67" s="211"/>
      <c r="C67" s="211"/>
      <c r="D67" s="211"/>
      <c r="E67" s="211"/>
      <c r="F67" s="211"/>
      <c r="G67" s="449"/>
      <c r="H67" s="655"/>
      <c r="I67" s="655"/>
      <c r="J67" s="655"/>
      <c r="K67" s="655"/>
      <c r="L67" s="655"/>
      <c r="M67" s="655"/>
      <c r="N67" s="655"/>
      <c r="O67" s="655"/>
      <c r="P67" s="655"/>
      <c r="Q67" s="655"/>
      <c r="R67" s="655"/>
      <c r="S67" s="655"/>
      <c r="T67" s="449"/>
      <c r="U67" s="449"/>
      <c r="V67" s="449"/>
      <c r="W67" s="655"/>
      <c r="X67" s="655"/>
      <c r="Y67" s="655"/>
      <c r="Z67" s="655"/>
      <c r="AA67" s="655"/>
      <c r="AB67" s="655"/>
      <c r="AC67" s="655"/>
      <c r="AD67" s="655"/>
      <c r="AE67" s="655"/>
      <c r="AF67" s="655"/>
      <c r="AG67" s="655"/>
      <c r="AH67" s="655"/>
      <c r="AI67" s="655"/>
      <c r="AJ67" s="655"/>
      <c r="AK67" s="655"/>
      <c r="AL67" s="655"/>
      <c r="AM67" s="655"/>
      <c r="AN67" s="655"/>
      <c r="AO67" s="655"/>
      <c r="AP67" s="655"/>
      <c r="AQ67" s="655"/>
      <c r="AR67" s="655"/>
      <c r="AS67" s="655"/>
      <c r="AT67" s="211"/>
    </row>
    <row r="68" spans="1:71" ht="15" x14ac:dyDescent="0.25">
      <c r="A68" s="211"/>
      <c r="B68" s="211"/>
      <c r="C68" s="211"/>
      <c r="D68" s="211"/>
      <c r="E68" s="211"/>
      <c r="F68" s="211"/>
      <c r="G68" s="21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Z68" s="211"/>
      <c r="AA68" s="211"/>
      <c r="AB68" s="211"/>
      <c r="AC68" s="211"/>
      <c r="AD68" s="211"/>
      <c r="AE68" s="211"/>
      <c r="AF68" s="211"/>
      <c r="AG68" s="211"/>
      <c r="AH68" s="211"/>
      <c r="AI68" s="211"/>
      <c r="AJ68" s="211"/>
      <c r="AK68" s="211"/>
      <c r="AL68" s="211"/>
      <c r="AM68" s="211"/>
      <c r="AN68" s="211"/>
      <c r="AO68" s="211"/>
      <c r="AP68" s="211"/>
      <c r="AQ68" s="211"/>
      <c r="AR68" s="211"/>
      <c r="AS68" s="211"/>
      <c r="AT68" s="211"/>
    </row>
    <row r="69" spans="1:71" ht="15" x14ac:dyDescent="0.25">
      <c r="A69" s="211"/>
      <c r="B69" s="211"/>
      <c r="C69" s="211"/>
      <c r="D69" s="211"/>
      <c r="E69" s="211"/>
      <c r="F69" s="211"/>
      <c r="G69" s="488"/>
      <c r="H69" s="488"/>
      <c r="I69" s="211"/>
      <c r="J69" s="211"/>
      <c r="K69" s="211"/>
      <c r="L69" s="211"/>
      <c r="M69" s="211"/>
      <c r="N69" s="211"/>
      <c r="O69" s="211"/>
      <c r="P69" s="211"/>
      <c r="Q69" s="211"/>
      <c r="R69" s="211"/>
      <c r="S69" s="16"/>
      <c r="T69" s="189"/>
      <c r="U69" s="189"/>
      <c r="V69" s="189"/>
      <c r="W69" s="189"/>
      <c r="X69" s="189"/>
      <c r="Y69" s="189"/>
      <c r="Z69" s="189"/>
      <c r="AA69" s="189"/>
      <c r="AB69" s="189"/>
      <c r="AC69" s="189"/>
      <c r="AD69" s="189"/>
      <c r="AE69" s="189"/>
      <c r="AF69" s="189"/>
      <c r="AG69" s="189"/>
      <c r="AH69" s="189"/>
      <c r="AI69" s="189"/>
      <c r="AJ69" s="189"/>
      <c r="AK69" s="189"/>
      <c r="AL69" s="189"/>
      <c r="AM69" s="189"/>
      <c r="AN69" s="189"/>
      <c r="AO69" s="189"/>
      <c r="AP69" s="189"/>
      <c r="AQ69" s="189"/>
      <c r="AR69" s="189"/>
      <c r="AS69" s="16"/>
      <c r="AT69" s="189"/>
      <c r="AU69" s="189"/>
      <c r="AV69" s="775"/>
      <c r="AW69" s="775"/>
      <c r="AX69" s="775"/>
      <c r="AY69" s="775"/>
      <c r="AZ69" s="775"/>
      <c r="BA69" s="775"/>
      <c r="BB69" s="775"/>
      <c r="BC69" s="775"/>
      <c r="BD69" s="775"/>
      <c r="BE69" s="775"/>
      <c r="BF69" s="775"/>
      <c r="BG69" s="775"/>
      <c r="BH69" s="775"/>
      <c r="BI69" s="775"/>
      <c r="BJ69" s="775"/>
      <c r="BK69" s="775"/>
      <c r="BL69" s="775"/>
      <c r="BM69" s="775"/>
      <c r="BN69" s="775"/>
      <c r="BO69" s="775"/>
      <c r="BP69" s="775"/>
      <c r="BQ69" s="775"/>
      <c r="BR69" s="775"/>
      <c r="BS69" s="27" t="e">
        <f>+(BS9+BS10+BS11+BS12+BS13+BS14)/BS2</f>
        <v>#DIV/0!</v>
      </c>
    </row>
    <row r="70" spans="1:71" ht="31.5" x14ac:dyDescent="0.25">
      <c r="A70" s="211"/>
      <c r="B70" s="211"/>
      <c r="C70" s="211"/>
      <c r="D70" s="211"/>
      <c r="M70" s="366" t="s">
        <v>594</v>
      </c>
      <c r="N70" s="366" t="s">
        <v>595</v>
      </c>
      <c r="O70" s="366" t="s">
        <v>596</v>
      </c>
      <c r="P70" s="366" t="s">
        <v>597</v>
      </c>
      <c r="Q70" s="366" t="s">
        <v>598</v>
      </c>
      <c r="R70" s="366" t="s">
        <v>587</v>
      </c>
      <c r="AF70" s="485"/>
    </row>
    <row r="71" spans="1:71" ht="15" x14ac:dyDescent="0.25">
      <c r="B71" s="211"/>
      <c r="C71" s="211"/>
      <c r="D71" s="211"/>
      <c r="AF71" s="485"/>
    </row>
    <row r="72" spans="1:71" ht="15" x14ac:dyDescent="0.25">
      <c r="A72" s="211"/>
      <c r="B72" s="211"/>
      <c r="C72" s="211"/>
      <c r="D72" s="211"/>
      <c r="H72" s="8" t="s">
        <v>346</v>
      </c>
      <c r="L72" s="8" t="s">
        <v>607</v>
      </c>
      <c r="M72" s="8" t="s">
        <v>610</v>
      </c>
      <c r="N72" s="8" t="s">
        <v>610</v>
      </c>
      <c r="O72" s="8" t="s">
        <v>610</v>
      </c>
      <c r="P72" s="8" t="s">
        <v>610</v>
      </c>
      <c r="Q72" s="8" t="s">
        <v>610</v>
      </c>
      <c r="R72" s="8" t="s">
        <v>610</v>
      </c>
      <c r="AF72" s="485"/>
    </row>
    <row r="73" spans="1:71" ht="15" x14ac:dyDescent="0.25">
      <c r="A73" s="211"/>
      <c r="B73" s="211"/>
      <c r="C73" s="211"/>
      <c r="D73" s="211"/>
      <c r="L73" s="8" t="s">
        <v>608</v>
      </c>
      <c r="M73" s="8">
        <v>0</v>
      </c>
      <c r="N73" s="8" t="s">
        <v>610</v>
      </c>
      <c r="O73" s="8" t="s">
        <v>610</v>
      </c>
      <c r="P73" s="8" t="s">
        <v>610</v>
      </c>
      <c r="Q73" s="8" t="s">
        <v>610</v>
      </c>
      <c r="R73" s="8" t="s">
        <v>610</v>
      </c>
      <c r="AF73" s="486"/>
    </row>
    <row r="74" spans="1:71" x14ac:dyDescent="0.2">
      <c r="L74" s="8" t="s">
        <v>609</v>
      </c>
    </row>
    <row r="75" spans="1:71" x14ac:dyDescent="0.2">
      <c r="AF75" s="487"/>
    </row>
    <row r="76" spans="1:71" x14ac:dyDescent="0.2">
      <c r="AF76" s="486"/>
    </row>
    <row r="120" spans="19:45" x14ac:dyDescent="0.2">
      <c r="S120" s="485">
        <f>+S14</f>
        <v>595872.96</v>
      </c>
      <c r="AS120" s="485">
        <f>SUM(AG14:AR14)</f>
        <v>1239945</v>
      </c>
    </row>
    <row r="121" spans="19:45" x14ac:dyDescent="0.2">
      <c r="S121" s="485">
        <f>+S2</f>
        <v>1098348.3999999999</v>
      </c>
      <c r="AS121" s="485">
        <f>SUM(AG2:AR2)</f>
        <v>2444229.1900000004</v>
      </c>
    </row>
    <row r="122" spans="19:45" x14ac:dyDescent="0.2">
      <c r="S122" s="626">
        <f>+S120/S121</f>
        <v>0.54251725590896294</v>
      </c>
      <c r="T122" s="626"/>
      <c r="U122" s="626"/>
      <c r="V122" s="626"/>
      <c r="W122" s="626"/>
      <c r="X122" s="626"/>
      <c r="Y122" s="626"/>
      <c r="Z122" s="626"/>
      <c r="AA122" s="626"/>
      <c r="AB122" s="626"/>
      <c r="AC122" s="626"/>
      <c r="AD122" s="626"/>
      <c r="AE122" s="626"/>
      <c r="AF122" s="626"/>
      <c r="AG122" s="626"/>
      <c r="AH122" s="626"/>
      <c r="AI122" s="626"/>
      <c r="AJ122" s="626"/>
      <c r="AK122" s="626"/>
      <c r="AL122" s="626"/>
      <c r="AM122" s="626"/>
      <c r="AN122" s="626"/>
      <c r="AO122" s="626"/>
      <c r="AP122" s="626"/>
      <c r="AQ122" s="626"/>
      <c r="AR122" s="626"/>
      <c r="AS122" s="626">
        <f>+AS120/AS121</f>
        <v>0.50729489896976465</v>
      </c>
    </row>
    <row r="126" spans="19:45" x14ac:dyDescent="0.2">
      <c r="S126" s="485">
        <f>+S120+'Mngt-Chemistry '!S120+'Mngt-Microbiology '!S121+'Mngt-Consulting '!S120+'Mngt-Digital Solution'!S119</f>
        <v>922054.86</v>
      </c>
      <c r="AS126" s="485">
        <f>+AS120+'Mngt-Chemistry '!AS120+'Mngt-Microbiology '!AS121+'Mngt-Consulting '!AS120+'Mngt-Digital Solution'!AS119</f>
        <v>2358170.87</v>
      </c>
    </row>
  </sheetData>
  <pageMargins left="0.75" right="0.75" top="1" bottom="1" header="0.5" footer="0.5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rgb="FF00FFFF"/>
  </sheetPr>
  <dimension ref="A1:AU76"/>
  <sheetViews>
    <sheetView workbookViewId="0">
      <pane xSplit="1" ySplit="1" topLeftCell="B2" activePane="bottomRight" state="frozen"/>
      <selection activeCell="A73" sqref="A73"/>
      <selection pane="topRight" activeCell="A73" sqref="A73"/>
      <selection pane="bottomLeft" activeCell="A73" sqref="A73"/>
      <selection pane="bottomRight" sqref="A1:AU64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customWidth="1" outlineLevel="1"/>
    <col min="8" max="8" width="8.5703125" customWidth="1" outlineLevel="1"/>
    <col min="9" max="18" width="9.42578125" customWidth="1" outlineLevel="1"/>
    <col min="19" max="19" width="15.42578125" customWidth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9.42578125" collapsed="1"/>
    <col min="46" max="47" width="10.5703125" customWidth="1"/>
  </cols>
  <sheetData>
    <row r="1" spans="1:47" ht="40.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x14ac:dyDescent="0.2">
      <c r="A2" s="61" t="s">
        <v>7</v>
      </c>
      <c r="B2" s="62">
        <v>47383.79</v>
      </c>
      <c r="C2" s="54">
        <v>0</v>
      </c>
      <c r="D2" s="54">
        <v>21254.76</v>
      </c>
      <c r="E2" s="63"/>
      <c r="F2" s="64">
        <v>222.93260427311341</v>
      </c>
      <c r="G2" s="65">
        <v>21661.99</v>
      </c>
      <c r="H2" s="54">
        <v>45725.24</v>
      </c>
      <c r="I2" s="54">
        <v>20446.98</v>
      </c>
      <c r="J2" s="54">
        <v>47383.79</v>
      </c>
      <c r="K2" s="56">
        <v>-1166.8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135218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26590.23</v>
      </c>
      <c r="AH2" s="67">
        <v>60087.79</v>
      </c>
      <c r="AI2" s="67">
        <v>32753.05</v>
      </c>
      <c r="AJ2" s="67">
        <v>21254.76</v>
      </c>
      <c r="AK2" s="67">
        <v>36921.5</v>
      </c>
      <c r="AL2" s="67">
        <v>15538.89</v>
      </c>
      <c r="AM2" s="67">
        <v>22059.48</v>
      </c>
      <c r="AN2" s="67">
        <v>40387.800000000003</v>
      </c>
      <c r="AO2" s="67">
        <v>22953.78</v>
      </c>
      <c r="AP2" s="67">
        <v>59445.61</v>
      </c>
      <c r="AQ2" s="67">
        <v>40896.18</v>
      </c>
      <c r="AR2" s="67">
        <v>41277.300000000003</v>
      </c>
      <c r="AS2" s="68">
        <v>140685.82999999999</v>
      </c>
      <c r="AT2" s="63"/>
      <c r="AU2" s="63">
        <v>96.113446535447096</v>
      </c>
    </row>
    <row r="3" spans="1:47" ht="14.25" hidden="1" customHeight="1" outlineLevel="1" x14ac:dyDescent="0.2">
      <c r="A3" s="61" t="s">
        <v>160</v>
      </c>
      <c r="B3" s="62">
        <v>5892.2</v>
      </c>
      <c r="C3" s="54">
        <v>0</v>
      </c>
      <c r="D3" s="54">
        <v>14281.38</v>
      </c>
      <c r="E3" s="63"/>
      <c r="F3" s="64">
        <v>41.257917652215681</v>
      </c>
      <c r="G3" s="65">
        <v>6860.01</v>
      </c>
      <c r="H3" s="54">
        <v>7374.63</v>
      </c>
      <c r="I3" s="54">
        <v>7180.97</v>
      </c>
      <c r="J3" s="54">
        <v>5892.2</v>
      </c>
      <c r="K3" s="54">
        <v>0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27307.81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18620.900000000001</v>
      </c>
      <c r="AH3" s="67">
        <v>20022.62</v>
      </c>
      <c r="AI3" s="67">
        <v>20099.48</v>
      </c>
      <c r="AJ3" s="67">
        <v>14281.38</v>
      </c>
      <c r="AK3" s="67">
        <v>24915.97</v>
      </c>
      <c r="AL3" s="67">
        <v>26212.3</v>
      </c>
      <c r="AM3" s="67">
        <v>25847.119999999999</v>
      </c>
      <c r="AN3" s="67">
        <v>16138.3</v>
      </c>
      <c r="AO3" s="67">
        <v>62454.19</v>
      </c>
      <c r="AP3" s="67">
        <v>13830.63</v>
      </c>
      <c r="AQ3" s="67">
        <v>3952.82</v>
      </c>
      <c r="AR3" s="67">
        <v>6746.72</v>
      </c>
      <c r="AS3" s="68">
        <v>73024.38</v>
      </c>
      <c r="AT3" s="63"/>
      <c r="AU3" s="63">
        <v>37.39546984171588</v>
      </c>
    </row>
    <row r="4" spans="1:47" ht="12.75" hidden="1" customHeight="1" outlineLevel="1" x14ac:dyDescent="0.2">
      <c r="A4" s="61" t="s">
        <v>161</v>
      </c>
      <c r="B4" s="62">
        <v>375.7</v>
      </c>
      <c r="C4" s="54">
        <v>0</v>
      </c>
      <c r="D4" s="54">
        <v>954.2</v>
      </c>
      <c r="E4" s="63"/>
      <c r="F4" s="64">
        <v>39.373297002724797</v>
      </c>
      <c r="G4" s="65">
        <v>353.46</v>
      </c>
      <c r="H4" s="54">
        <v>40.76</v>
      </c>
      <c r="I4" s="54">
        <v>758.18</v>
      </c>
      <c r="J4" s="54">
        <v>375.7</v>
      </c>
      <c r="K4" s="56">
        <v>-202.35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1528.1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934.11</v>
      </c>
      <c r="AH4" s="67">
        <v>1042.46</v>
      </c>
      <c r="AI4" s="67">
        <v>1172</v>
      </c>
      <c r="AJ4" s="67">
        <v>954.2</v>
      </c>
      <c r="AK4" s="67">
        <v>1412.57</v>
      </c>
      <c r="AL4" s="67">
        <v>1246.18</v>
      </c>
      <c r="AM4" s="67">
        <v>1309.32</v>
      </c>
      <c r="AN4" s="67">
        <v>959.68</v>
      </c>
      <c r="AO4" s="67">
        <v>127.44</v>
      </c>
      <c r="AP4" s="67">
        <v>2848.18</v>
      </c>
      <c r="AQ4" s="67">
        <v>525.63</v>
      </c>
      <c r="AR4" s="67">
        <v>745.73</v>
      </c>
      <c r="AS4" s="68">
        <v>4102.7700000000004</v>
      </c>
      <c r="AT4" s="63"/>
      <c r="AU4" s="63">
        <v>37.245568238044051</v>
      </c>
    </row>
    <row r="5" spans="1:47" s="365" customFormat="1" ht="12.75" hidden="1" customHeight="1" outlineLevel="1" x14ac:dyDescent="0.2">
      <c r="A5" s="61" t="s">
        <v>162</v>
      </c>
      <c r="B5" s="96">
        <v>-143.44999999999999</v>
      </c>
      <c r="C5" s="54">
        <v>0</v>
      </c>
      <c r="D5" s="54">
        <v>6357.55</v>
      </c>
      <c r="E5" s="63"/>
      <c r="F5" s="64">
        <v>-2.2563723446925308</v>
      </c>
      <c r="G5" s="65">
        <v>935.96</v>
      </c>
      <c r="H5" s="54">
        <v>712.99</v>
      </c>
      <c r="I5" s="54">
        <v>1375.52</v>
      </c>
      <c r="J5" s="56">
        <v>-143.44999999999999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2881.02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2292.13</v>
      </c>
      <c r="AH5" s="67">
        <v>5103.55</v>
      </c>
      <c r="AI5" s="98">
        <v>-286.52999999999997</v>
      </c>
      <c r="AJ5" s="67">
        <v>6357.55</v>
      </c>
      <c r="AK5" s="67">
        <v>2070.96</v>
      </c>
      <c r="AL5" s="67">
        <v>2922.69</v>
      </c>
      <c r="AM5" s="67">
        <v>3413.9</v>
      </c>
      <c r="AN5" s="67">
        <v>1803.65</v>
      </c>
      <c r="AO5" s="67">
        <v>1578.64</v>
      </c>
      <c r="AP5" s="67">
        <v>329.49</v>
      </c>
      <c r="AQ5" s="67">
        <v>624.97</v>
      </c>
      <c r="AR5" s="67">
        <v>743.34</v>
      </c>
      <c r="AS5" s="68">
        <v>13466.7</v>
      </c>
      <c r="AT5" s="63"/>
      <c r="AU5" s="63">
        <v>21.393659916683376</v>
      </c>
    </row>
    <row r="6" spans="1:47" ht="12.75" hidden="1" customHeight="1" outlineLevel="1" x14ac:dyDescent="0.2">
      <c r="A6" s="61" t="s">
        <v>163</v>
      </c>
      <c r="B6" s="62">
        <v>0</v>
      </c>
      <c r="C6" s="54"/>
      <c r="D6" s="54">
        <v>0</v>
      </c>
      <c r="E6" s="63"/>
      <c r="F6" s="64"/>
      <c r="G6" s="65">
        <v>0</v>
      </c>
      <c r="H6" s="54">
        <v>0</v>
      </c>
      <c r="I6" s="54">
        <v>0</v>
      </c>
      <c r="J6" s="54">
        <v>0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0</v>
      </c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66"/>
      <c r="AG6" s="67">
        <v>1167</v>
      </c>
      <c r="AH6" s="67">
        <v>1167</v>
      </c>
      <c r="AI6" s="67">
        <v>1167</v>
      </c>
      <c r="AJ6" s="67">
        <v>0</v>
      </c>
      <c r="AK6" s="67">
        <v>0</v>
      </c>
      <c r="AL6" s="67">
        <v>0</v>
      </c>
      <c r="AM6" s="67">
        <v>0</v>
      </c>
      <c r="AN6" s="67">
        <v>0</v>
      </c>
      <c r="AO6" s="67">
        <v>0</v>
      </c>
      <c r="AP6" s="67">
        <v>0</v>
      </c>
      <c r="AQ6" s="67">
        <v>0</v>
      </c>
      <c r="AR6" s="67">
        <v>0</v>
      </c>
      <c r="AS6" s="68">
        <v>3501</v>
      </c>
      <c r="AT6" s="63"/>
      <c r="AU6" s="63">
        <v>0</v>
      </c>
    </row>
    <row r="7" spans="1:47" ht="12.75" hidden="1" customHeight="1" outlineLevel="1" x14ac:dyDescent="0.2">
      <c r="A7" s="61" t="s">
        <v>164</v>
      </c>
      <c r="B7" s="62">
        <v>233.02</v>
      </c>
      <c r="C7" s="54">
        <v>0</v>
      </c>
      <c r="D7" s="54">
        <v>190</v>
      </c>
      <c r="E7" s="63"/>
      <c r="F7" s="64">
        <v>122.6421052631579</v>
      </c>
      <c r="G7" s="65">
        <v>431.66</v>
      </c>
      <c r="H7" s="54">
        <v>233.01</v>
      </c>
      <c r="I7" s="54">
        <v>233.01</v>
      </c>
      <c r="J7" s="54">
        <v>233.02</v>
      </c>
      <c r="K7" s="56">
        <v>-188.85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1130.7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12.77</v>
      </c>
      <c r="AH7" s="67">
        <v>12.77</v>
      </c>
      <c r="AI7" s="67">
        <v>22.3</v>
      </c>
      <c r="AJ7" s="67">
        <v>190</v>
      </c>
      <c r="AK7" s="67">
        <v>190</v>
      </c>
      <c r="AL7" s="67">
        <v>190</v>
      </c>
      <c r="AM7" s="67">
        <v>190</v>
      </c>
      <c r="AN7" s="67">
        <v>190</v>
      </c>
      <c r="AO7" s="67">
        <v>190</v>
      </c>
      <c r="AP7" s="67">
        <v>275.61</v>
      </c>
      <c r="AQ7" s="67">
        <v>275.61</v>
      </c>
      <c r="AR7" s="67">
        <v>275.61</v>
      </c>
      <c r="AS7" s="68">
        <v>237.84</v>
      </c>
      <c r="AT7" s="63"/>
      <c r="AU7" s="63">
        <v>475.40363269424824</v>
      </c>
    </row>
    <row r="8" spans="1:47" ht="12.75" hidden="1" customHeight="1" outlineLevel="1" x14ac:dyDescent="0.2">
      <c r="A8" s="61" t="s">
        <v>302</v>
      </c>
      <c r="B8" s="62">
        <v>0</v>
      </c>
      <c r="C8" s="54"/>
      <c r="D8" s="54">
        <v>0</v>
      </c>
      <c r="E8" s="63"/>
      <c r="F8" s="64"/>
      <c r="G8" s="65">
        <v>0</v>
      </c>
      <c r="H8" s="54">
        <v>0</v>
      </c>
      <c r="I8" s="54">
        <v>0</v>
      </c>
      <c r="J8" s="54">
        <v>0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66">
        <v>0</v>
      </c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66"/>
      <c r="AG8" s="67">
        <v>0</v>
      </c>
      <c r="AH8" s="67">
        <v>0</v>
      </c>
      <c r="AI8" s="67">
        <v>0</v>
      </c>
      <c r="AJ8" s="67">
        <v>0</v>
      </c>
      <c r="AK8" s="67">
        <v>0</v>
      </c>
      <c r="AL8" s="67">
        <v>0</v>
      </c>
      <c r="AM8" s="67">
        <v>0</v>
      </c>
      <c r="AN8" s="67">
        <v>0</v>
      </c>
      <c r="AO8" s="67">
        <v>0</v>
      </c>
      <c r="AP8" s="67">
        <v>0</v>
      </c>
      <c r="AQ8" s="67">
        <v>0</v>
      </c>
      <c r="AR8" s="67">
        <v>0</v>
      </c>
      <c r="AS8" s="68">
        <v>0</v>
      </c>
      <c r="AT8" s="63"/>
      <c r="AU8" s="63"/>
    </row>
    <row r="9" spans="1:47" ht="12.75" hidden="1" customHeight="1" outlineLevel="1" x14ac:dyDescent="0.2">
      <c r="A9" s="61" t="s">
        <v>165</v>
      </c>
      <c r="B9" s="62">
        <v>726.29</v>
      </c>
      <c r="C9" s="54">
        <v>0</v>
      </c>
      <c r="D9" s="54">
        <v>1893.9</v>
      </c>
      <c r="E9" s="63"/>
      <c r="F9" s="64">
        <v>38.348909657320874</v>
      </c>
      <c r="G9" s="65">
        <v>676.77</v>
      </c>
      <c r="H9" s="54">
        <v>713.69</v>
      </c>
      <c r="I9" s="54">
        <v>706.91</v>
      </c>
      <c r="J9" s="54">
        <v>726.29</v>
      </c>
      <c r="K9" s="54">
        <v>0</v>
      </c>
      <c r="L9" s="54">
        <v>0</v>
      </c>
      <c r="M9" s="54">
        <v>0</v>
      </c>
      <c r="N9" s="54">
        <v>0</v>
      </c>
      <c r="O9" s="54">
        <v>0</v>
      </c>
      <c r="P9" s="54">
        <v>0</v>
      </c>
      <c r="Q9" s="54">
        <v>0</v>
      </c>
      <c r="R9" s="54">
        <v>0</v>
      </c>
      <c r="S9" s="66">
        <v>2823.66</v>
      </c>
      <c r="T9" s="54">
        <v>0</v>
      </c>
      <c r="U9" s="54">
        <v>0</v>
      </c>
      <c r="V9" s="54">
        <v>0</v>
      </c>
      <c r="W9" s="54">
        <v>0</v>
      </c>
      <c r="X9" s="54">
        <v>0</v>
      </c>
      <c r="Y9" s="54">
        <v>0</v>
      </c>
      <c r="Z9" s="54">
        <v>0</v>
      </c>
      <c r="AA9" s="54">
        <v>0</v>
      </c>
      <c r="AB9" s="54">
        <v>0</v>
      </c>
      <c r="AC9" s="54">
        <v>0</v>
      </c>
      <c r="AD9" s="54">
        <v>0</v>
      </c>
      <c r="AE9" s="54">
        <v>0</v>
      </c>
      <c r="AF9" s="66">
        <v>0</v>
      </c>
      <c r="AG9" s="67">
        <v>1820.59</v>
      </c>
      <c r="AH9" s="67">
        <v>1923.73</v>
      </c>
      <c r="AI9" s="67">
        <v>1987.57</v>
      </c>
      <c r="AJ9" s="67">
        <v>1893.9</v>
      </c>
      <c r="AK9" s="67">
        <v>2692.88</v>
      </c>
      <c r="AL9" s="67">
        <v>2725.92</v>
      </c>
      <c r="AM9" s="67">
        <v>2582.5700000000002</v>
      </c>
      <c r="AN9" s="67">
        <v>1855.5</v>
      </c>
      <c r="AO9" s="67">
        <v>1969.94</v>
      </c>
      <c r="AP9" s="67">
        <v>2722.59</v>
      </c>
      <c r="AQ9" s="67">
        <v>409.05</v>
      </c>
      <c r="AR9" s="67">
        <v>699.5</v>
      </c>
      <c r="AS9" s="68">
        <v>7625.79</v>
      </c>
      <c r="AT9" s="63"/>
      <c r="AU9" s="63">
        <v>37.027770237575389</v>
      </c>
    </row>
    <row r="10" spans="1:47" ht="12.75" customHeight="1" collapsed="1" x14ac:dyDescent="0.2">
      <c r="A10" s="69" t="s">
        <v>166</v>
      </c>
      <c r="B10" s="70">
        <v>7083.76</v>
      </c>
      <c r="C10" s="71">
        <v>0</v>
      </c>
      <c r="D10" s="71">
        <v>23677.03</v>
      </c>
      <c r="E10" s="72"/>
      <c r="F10" s="73">
        <v>29.918279446366373</v>
      </c>
      <c r="G10" s="70">
        <v>9257.86</v>
      </c>
      <c r="H10" s="71">
        <v>9075.08</v>
      </c>
      <c r="I10" s="71">
        <v>10254.59</v>
      </c>
      <c r="J10" s="71">
        <v>7083.76</v>
      </c>
      <c r="K10" s="74">
        <v>-391.2</v>
      </c>
      <c r="L10" s="71">
        <v>0</v>
      </c>
      <c r="M10" s="71">
        <v>0</v>
      </c>
      <c r="N10" s="71">
        <v>0</v>
      </c>
      <c r="O10" s="71">
        <v>0</v>
      </c>
      <c r="P10" s="71">
        <v>0</v>
      </c>
      <c r="Q10" s="71">
        <v>0</v>
      </c>
      <c r="R10" s="71">
        <v>0</v>
      </c>
      <c r="S10" s="71">
        <v>35671.29</v>
      </c>
      <c r="T10" s="71">
        <v>0</v>
      </c>
      <c r="U10" s="71">
        <v>0</v>
      </c>
      <c r="V10" s="71">
        <v>0</v>
      </c>
      <c r="W10" s="71">
        <v>0</v>
      </c>
      <c r="X10" s="71">
        <v>0</v>
      </c>
      <c r="Y10" s="71">
        <v>0</v>
      </c>
      <c r="Z10" s="71">
        <v>0</v>
      </c>
      <c r="AA10" s="71">
        <v>0</v>
      </c>
      <c r="AB10" s="71">
        <v>0</v>
      </c>
      <c r="AC10" s="71">
        <v>0</v>
      </c>
      <c r="AD10" s="71">
        <v>0</v>
      </c>
      <c r="AE10" s="71">
        <v>0</v>
      </c>
      <c r="AF10" s="71">
        <v>0</v>
      </c>
      <c r="AG10" s="75">
        <v>24847.5</v>
      </c>
      <c r="AH10" s="75">
        <v>29272.13</v>
      </c>
      <c r="AI10" s="75">
        <v>24161.82</v>
      </c>
      <c r="AJ10" s="75">
        <v>23677.03</v>
      </c>
      <c r="AK10" s="75">
        <v>31282.38</v>
      </c>
      <c r="AL10" s="75">
        <v>33297.089999999997</v>
      </c>
      <c r="AM10" s="75">
        <v>33342.910000000003</v>
      </c>
      <c r="AN10" s="75">
        <v>20947.13</v>
      </c>
      <c r="AO10" s="75">
        <v>66320.210000000006</v>
      </c>
      <c r="AP10" s="75">
        <v>20006.5</v>
      </c>
      <c r="AQ10" s="75">
        <v>5788.08</v>
      </c>
      <c r="AR10" s="75">
        <v>9210.9</v>
      </c>
      <c r="AS10" s="75">
        <v>101958.48</v>
      </c>
      <c r="AT10" s="72"/>
      <c r="AU10" s="72">
        <v>34.98609433957823</v>
      </c>
    </row>
    <row r="11" spans="1:47" ht="12.75" customHeight="1" x14ac:dyDescent="0.2">
      <c r="A11" s="61" t="s">
        <v>167</v>
      </c>
      <c r="B11" s="62">
        <v>0</v>
      </c>
      <c r="C11" s="54">
        <v>0</v>
      </c>
      <c r="D11" s="54">
        <v>0</v>
      </c>
      <c r="E11" s="63"/>
      <c r="F11" s="64"/>
      <c r="G11" s="65">
        <v>0</v>
      </c>
      <c r="H11" s="54">
        <v>0</v>
      </c>
      <c r="I11" s="54">
        <v>0</v>
      </c>
      <c r="J11" s="54">
        <v>0</v>
      </c>
      <c r="K11" s="54">
        <v>0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66">
        <v>0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0</v>
      </c>
      <c r="AC11" s="54">
        <v>0</v>
      </c>
      <c r="AD11" s="54">
        <v>0</v>
      </c>
      <c r="AE11" s="54">
        <v>0</v>
      </c>
      <c r="AF11" s="66">
        <v>0</v>
      </c>
      <c r="AG11" s="67">
        <v>0</v>
      </c>
      <c r="AH11" s="67">
        <v>13500</v>
      </c>
      <c r="AI11" s="67">
        <v>0</v>
      </c>
      <c r="AJ11" s="67">
        <v>0</v>
      </c>
      <c r="AK11" s="67">
        <v>0</v>
      </c>
      <c r="AL11" s="67">
        <v>0</v>
      </c>
      <c r="AM11" s="67">
        <v>0</v>
      </c>
      <c r="AN11" s="67">
        <v>0</v>
      </c>
      <c r="AO11" s="67">
        <v>0</v>
      </c>
      <c r="AP11" s="67">
        <v>0</v>
      </c>
      <c r="AQ11" s="67">
        <v>0</v>
      </c>
      <c r="AR11" s="67">
        <v>0</v>
      </c>
      <c r="AS11" s="68">
        <v>13500</v>
      </c>
      <c r="AT11" s="63"/>
      <c r="AU11" s="63">
        <v>0</v>
      </c>
    </row>
    <row r="12" spans="1:47" ht="12.75" customHeight="1" x14ac:dyDescent="0.2">
      <c r="A12" s="61" t="s">
        <v>168</v>
      </c>
      <c r="B12" s="62"/>
      <c r="C12" s="54"/>
      <c r="D12" s="54"/>
      <c r="E12" s="63"/>
      <c r="F12" s="64"/>
      <c r="G12" s="65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66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6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8"/>
      <c r="AT12" s="63"/>
      <c r="AU12" s="63"/>
    </row>
    <row r="13" spans="1:47" ht="12.75" customHeight="1" x14ac:dyDescent="0.2">
      <c r="A13" s="61" t="s">
        <v>169</v>
      </c>
      <c r="B13" s="62"/>
      <c r="C13" s="54">
        <v>0</v>
      </c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>
        <v>0</v>
      </c>
      <c r="U13" s="54">
        <v>0</v>
      </c>
      <c r="V13" s="54">
        <v>0</v>
      </c>
      <c r="W13" s="54">
        <v>0</v>
      </c>
      <c r="X13" s="54">
        <v>0</v>
      </c>
      <c r="Y13" s="54">
        <v>0</v>
      </c>
      <c r="Z13" s="54">
        <v>0</v>
      </c>
      <c r="AA13" s="54">
        <v>0</v>
      </c>
      <c r="AB13" s="54">
        <v>0</v>
      </c>
      <c r="AC13" s="54">
        <v>0</v>
      </c>
      <c r="AD13" s="54">
        <v>0</v>
      </c>
      <c r="AE13" s="54">
        <v>0</v>
      </c>
      <c r="AF13" s="66">
        <v>0</v>
      </c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47" ht="12.75" customHeight="1" x14ac:dyDescent="0.2">
      <c r="A14" s="61" t="s">
        <v>50</v>
      </c>
      <c r="B14" s="62">
        <v>0</v>
      </c>
      <c r="C14" s="54">
        <v>0</v>
      </c>
      <c r="D14" s="54">
        <v>0</v>
      </c>
      <c r="E14" s="63"/>
      <c r="F14" s="64"/>
      <c r="G14" s="65">
        <v>0</v>
      </c>
      <c r="H14" s="54">
        <v>0</v>
      </c>
      <c r="I14" s="54">
        <v>0</v>
      </c>
      <c r="J14" s="54">
        <v>0</v>
      </c>
      <c r="K14" s="54">
        <v>0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0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67">
        <v>0</v>
      </c>
      <c r="AH14" s="67">
        <v>0</v>
      </c>
      <c r="AI14" s="67">
        <v>0</v>
      </c>
      <c r="AJ14" s="67">
        <v>0</v>
      </c>
      <c r="AK14" s="67">
        <v>0</v>
      </c>
      <c r="AL14" s="67">
        <v>0</v>
      </c>
      <c r="AM14" s="67">
        <v>0</v>
      </c>
      <c r="AN14" s="67">
        <v>0</v>
      </c>
      <c r="AO14" s="67">
        <v>0</v>
      </c>
      <c r="AP14" s="67">
        <v>0</v>
      </c>
      <c r="AQ14" s="67">
        <v>0</v>
      </c>
      <c r="AR14" s="67">
        <v>0</v>
      </c>
      <c r="AS14" s="68">
        <v>0</v>
      </c>
      <c r="AT14" s="63"/>
      <c r="AU14" s="63"/>
    </row>
    <row r="15" spans="1:47" ht="12.75" customHeight="1" x14ac:dyDescent="0.2">
      <c r="A15" s="61" t="s">
        <v>170</v>
      </c>
      <c r="B15" s="62">
        <v>0</v>
      </c>
      <c r="C15" s="54"/>
      <c r="D15" s="54">
        <v>0</v>
      </c>
      <c r="E15" s="63"/>
      <c r="F15" s="64"/>
      <c r="G15" s="65">
        <v>0</v>
      </c>
      <c r="H15" s="54">
        <v>0</v>
      </c>
      <c r="I15" s="54">
        <v>0</v>
      </c>
      <c r="J15" s="54">
        <v>0</v>
      </c>
      <c r="K15" s="54">
        <v>0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66">
        <v>0</v>
      </c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66"/>
      <c r="AG15" s="67">
        <v>0</v>
      </c>
      <c r="AH15" s="67">
        <v>0</v>
      </c>
      <c r="AI15" s="67">
        <v>0</v>
      </c>
      <c r="AJ15" s="67">
        <v>0</v>
      </c>
      <c r="AK15" s="67">
        <v>0</v>
      </c>
      <c r="AL15" s="67">
        <v>0</v>
      </c>
      <c r="AM15" s="67">
        <v>0</v>
      </c>
      <c r="AN15" s="67">
        <v>0</v>
      </c>
      <c r="AO15" s="67">
        <v>0</v>
      </c>
      <c r="AP15" s="67">
        <v>0</v>
      </c>
      <c r="AQ15" s="67">
        <v>0</v>
      </c>
      <c r="AR15" s="67">
        <v>0</v>
      </c>
      <c r="AS15" s="68">
        <v>0</v>
      </c>
      <c r="AT15" s="63"/>
      <c r="AU15" s="63"/>
    </row>
    <row r="16" spans="1:47" ht="12.75" customHeight="1" x14ac:dyDescent="0.2">
      <c r="A16" s="61" t="s">
        <v>171</v>
      </c>
      <c r="B16" s="62"/>
      <c r="C16" s="54"/>
      <c r="D16" s="54"/>
      <c r="E16" s="63"/>
      <c r="F16" s="64"/>
      <c r="G16" s="65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66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66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8"/>
      <c r="AT16" s="63"/>
      <c r="AU16" s="63"/>
    </row>
    <row r="17" spans="1:47" ht="12.75" customHeight="1" x14ac:dyDescent="0.2">
      <c r="A17" s="61" t="s">
        <v>172</v>
      </c>
      <c r="B17" s="62"/>
      <c r="C17" s="54"/>
      <c r="D17" s="54"/>
      <c r="E17" s="63"/>
      <c r="F17" s="64"/>
      <c r="G17" s="65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66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66"/>
      <c r="AG17" s="67"/>
      <c r="AH17" s="67"/>
      <c r="AI17" s="67"/>
      <c r="AJ17" s="67"/>
      <c r="AK17" s="67"/>
      <c r="AL17" s="67"/>
      <c r="AM17" s="67"/>
      <c r="AN17" s="67"/>
      <c r="AO17" s="67"/>
      <c r="AP17" s="67"/>
      <c r="AQ17" s="67"/>
      <c r="AR17" s="67"/>
      <c r="AS17" s="68"/>
      <c r="AT17" s="63"/>
      <c r="AU17" s="63"/>
    </row>
    <row r="18" spans="1:47" ht="12.75" customHeight="1" x14ac:dyDescent="0.2">
      <c r="A18" s="61" t="s">
        <v>173</v>
      </c>
      <c r="B18" s="62">
        <v>768.09</v>
      </c>
      <c r="C18" s="54">
        <v>0</v>
      </c>
      <c r="D18" s="54">
        <v>162.11000000000001</v>
      </c>
      <c r="E18" s="63"/>
      <c r="F18" s="64">
        <v>473.80790821047435</v>
      </c>
      <c r="G18" s="65">
        <v>768.08</v>
      </c>
      <c r="H18" s="54">
        <v>768.07</v>
      </c>
      <c r="I18" s="54">
        <v>768.08</v>
      </c>
      <c r="J18" s="54">
        <v>768.09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3072.32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311.48</v>
      </c>
      <c r="AH18" s="67">
        <v>560.95000000000005</v>
      </c>
      <c r="AI18" s="67">
        <v>162.12</v>
      </c>
      <c r="AJ18" s="67">
        <v>162.11000000000001</v>
      </c>
      <c r="AK18" s="67">
        <v>162.11000000000001</v>
      </c>
      <c r="AL18" s="67">
        <v>162.11000000000001</v>
      </c>
      <c r="AM18" s="67">
        <v>162.12</v>
      </c>
      <c r="AN18" s="67">
        <v>162.11000000000001</v>
      </c>
      <c r="AO18" s="67">
        <v>162.11000000000001</v>
      </c>
      <c r="AP18" s="67">
        <v>162.11000000000001</v>
      </c>
      <c r="AQ18" s="67">
        <v>162.12</v>
      </c>
      <c r="AR18" s="67">
        <v>162.11000000000001</v>
      </c>
      <c r="AS18" s="68">
        <v>1196.6600000000001</v>
      </c>
      <c r="AT18" s="63"/>
      <c r="AU18" s="63">
        <v>256.74126318252468</v>
      </c>
    </row>
    <row r="19" spans="1:47" ht="12.75" customHeight="1" x14ac:dyDescent="0.2">
      <c r="A19" s="61" t="s">
        <v>257</v>
      </c>
      <c r="B19" s="62">
        <v>1585.41</v>
      </c>
      <c r="C19" s="54">
        <v>0</v>
      </c>
      <c r="D19" s="54">
        <v>1486.83</v>
      </c>
      <c r="E19" s="63"/>
      <c r="F19" s="64">
        <v>106.63021327253284</v>
      </c>
      <c r="G19" s="65">
        <v>1608.52</v>
      </c>
      <c r="H19" s="54">
        <v>1608.52</v>
      </c>
      <c r="I19" s="54">
        <v>1607.57</v>
      </c>
      <c r="J19" s="54">
        <v>1585.41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6410.02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1662.54</v>
      </c>
      <c r="AH19" s="67">
        <v>1662.54</v>
      </c>
      <c r="AI19" s="67">
        <v>1985.29</v>
      </c>
      <c r="AJ19" s="67">
        <v>1486.83</v>
      </c>
      <c r="AK19" s="67">
        <v>1547.24</v>
      </c>
      <c r="AL19" s="67">
        <v>1545.25</v>
      </c>
      <c r="AM19" s="67">
        <v>1545.24</v>
      </c>
      <c r="AN19" s="67">
        <v>1541.99</v>
      </c>
      <c r="AO19" s="67">
        <v>1544.08</v>
      </c>
      <c r="AP19" s="67">
        <v>1582.79</v>
      </c>
      <c r="AQ19" s="67">
        <v>1563.34</v>
      </c>
      <c r="AR19" s="67">
        <v>1650.64</v>
      </c>
      <c r="AS19" s="68">
        <v>6797.2</v>
      </c>
      <c r="AT19" s="63"/>
      <c r="AU19" s="63">
        <v>94.30383098923086</v>
      </c>
    </row>
    <row r="20" spans="1:47" ht="12.75" hidden="1" customHeight="1" outlineLevel="1" x14ac:dyDescent="0.2">
      <c r="A20" s="61" t="s">
        <v>109</v>
      </c>
      <c r="B20" s="62">
        <v>0</v>
      </c>
      <c r="C20" s="54">
        <v>0</v>
      </c>
      <c r="D20" s="54">
        <v>0</v>
      </c>
      <c r="E20" s="63"/>
      <c r="F20" s="64"/>
      <c r="G20" s="65">
        <v>0</v>
      </c>
      <c r="H20" s="54">
        <v>0</v>
      </c>
      <c r="I20" s="54">
        <v>0</v>
      </c>
      <c r="J20" s="54">
        <v>0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66">
        <v>0</v>
      </c>
      <c r="T20" s="54">
        <v>0</v>
      </c>
      <c r="U20" s="54">
        <v>0</v>
      </c>
      <c r="V20" s="54">
        <v>0</v>
      </c>
      <c r="W20" s="54">
        <v>0</v>
      </c>
      <c r="X20" s="54">
        <v>0</v>
      </c>
      <c r="Y20" s="54">
        <v>0</v>
      </c>
      <c r="Z20" s="54">
        <v>0</v>
      </c>
      <c r="AA20" s="54">
        <v>0</v>
      </c>
      <c r="AB20" s="54">
        <v>0</v>
      </c>
      <c r="AC20" s="54">
        <v>0</v>
      </c>
      <c r="AD20" s="54">
        <v>0</v>
      </c>
      <c r="AE20" s="54">
        <v>0</v>
      </c>
      <c r="AF20" s="66">
        <v>0</v>
      </c>
      <c r="AG20" s="67">
        <v>0</v>
      </c>
      <c r="AH20" s="67">
        <v>0</v>
      </c>
      <c r="AI20" s="67">
        <v>0</v>
      </c>
      <c r="AJ20" s="67">
        <v>0</v>
      </c>
      <c r="AK20" s="67">
        <v>0</v>
      </c>
      <c r="AL20" s="67">
        <v>53.56</v>
      </c>
      <c r="AM20" s="67">
        <v>0</v>
      </c>
      <c r="AN20" s="67">
        <v>0</v>
      </c>
      <c r="AO20" s="67">
        <v>0</v>
      </c>
      <c r="AP20" s="67">
        <v>0</v>
      </c>
      <c r="AQ20" s="67">
        <v>0</v>
      </c>
      <c r="AR20" s="67">
        <v>0</v>
      </c>
      <c r="AS20" s="68">
        <v>0</v>
      </c>
      <c r="AT20" s="63"/>
      <c r="AU20" s="63"/>
    </row>
    <row r="21" spans="1:47" ht="12.75" hidden="1" customHeight="1" outlineLevel="1" x14ac:dyDescent="0.2">
      <c r="A21" s="61" t="s">
        <v>97</v>
      </c>
      <c r="B21" s="62">
        <v>65</v>
      </c>
      <c r="C21" s="54"/>
      <c r="D21" s="54">
        <v>65</v>
      </c>
      <c r="E21" s="63"/>
      <c r="F21" s="64">
        <v>100</v>
      </c>
      <c r="G21" s="65">
        <v>65</v>
      </c>
      <c r="H21" s="54">
        <v>65</v>
      </c>
      <c r="I21" s="54">
        <v>65</v>
      </c>
      <c r="J21" s="54">
        <v>65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66">
        <v>260</v>
      </c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66"/>
      <c r="AG21" s="67">
        <v>0</v>
      </c>
      <c r="AH21" s="67">
        <v>0</v>
      </c>
      <c r="AI21" s="67">
        <v>92.92</v>
      </c>
      <c r="AJ21" s="67">
        <v>65</v>
      </c>
      <c r="AK21" s="67">
        <v>22.61</v>
      </c>
      <c r="AL21" s="67">
        <v>65</v>
      </c>
      <c r="AM21" s="67">
        <v>65</v>
      </c>
      <c r="AN21" s="67">
        <v>65</v>
      </c>
      <c r="AO21" s="67">
        <v>65</v>
      </c>
      <c r="AP21" s="67">
        <v>65</v>
      </c>
      <c r="AQ21" s="67">
        <v>65</v>
      </c>
      <c r="AR21" s="67">
        <v>65</v>
      </c>
      <c r="AS21" s="68">
        <v>157.91999999999999</v>
      </c>
      <c r="AT21" s="63"/>
      <c r="AU21" s="63">
        <v>164.64032421479229</v>
      </c>
    </row>
    <row r="22" spans="1:47" ht="12.75" hidden="1" customHeight="1" outlineLevel="1" x14ac:dyDescent="0.2">
      <c r="A22" s="61" t="s">
        <v>69</v>
      </c>
      <c r="B22" s="62">
        <v>0</v>
      </c>
      <c r="C22" s="54"/>
      <c r="D22" s="54">
        <v>0</v>
      </c>
      <c r="E22" s="63"/>
      <c r="F22" s="64"/>
      <c r="G22" s="65">
        <v>0</v>
      </c>
      <c r="H22" s="54">
        <v>0</v>
      </c>
      <c r="I22" s="54">
        <v>0</v>
      </c>
      <c r="J22" s="54">
        <v>0</v>
      </c>
      <c r="K22" s="54">
        <v>0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66">
        <v>0</v>
      </c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66"/>
      <c r="AG22" s="67">
        <v>0</v>
      </c>
      <c r="AH22" s="67">
        <v>0</v>
      </c>
      <c r="AI22" s="67">
        <v>0</v>
      </c>
      <c r="AJ22" s="67">
        <v>0</v>
      </c>
      <c r="AK22" s="67">
        <v>0</v>
      </c>
      <c r="AL22" s="67">
        <v>0</v>
      </c>
      <c r="AM22" s="67">
        <v>0</v>
      </c>
      <c r="AN22" s="67">
        <v>0</v>
      </c>
      <c r="AO22" s="67">
        <v>0</v>
      </c>
      <c r="AP22" s="67">
        <v>0</v>
      </c>
      <c r="AQ22" s="67">
        <v>0</v>
      </c>
      <c r="AR22" s="67">
        <v>0</v>
      </c>
      <c r="AS22" s="68">
        <v>0</v>
      </c>
      <c r="AT22" s="63"/>
      <c r="AU22" s="63"/>
    </row>
    <row r="23" spans="1:47" ht="12.75" customHeight="1" collapsed="1" x14ac:dyDescent="0.2">
      <c r="A23" s="69" t="s">
        <v>70</v>
      </c>
      <c r="B23" s="70">
        <v>65</v>
      </c>
      <c r="C23" s="71">
        <v>0</v>
      </c>
      <c r="D23" s="71">
        <v>65</v>
      </c>
      <c r="E23" s="72"/>
      <c r="F23" s="73">
        <v>100</v>
      </c>
      <c r="G23" s="70">
        <v>65</v>
      </c>
      <c r="H23" s="71">
        <v>65</v>
      </c>
      <c r="I23" s="71">
        <v>65</v>
      </c>
      <c r="J23" s="71">
        <v>65</v>
      </c>
      <c r="K23" s="71">
        <v>0</v>
      </c>
      <c r="L23" s="71">
        <v>0</v>
      </c>
      <c r="M23" s="71">
        <v>0</v>
      </c>
      <c r="N23" s="71">
        <v>0</v>
      </c>
      <c r="O23" s="71">
        <v>0</v>
      </c>
      <c r="P23" s="71">
        <v>0</v>
      </c>
      <c r="Q23" s="71">
        <v>0</v>
      </c>
      <c r="R23" s="71">
        <v>0</v>
      </c>
      <c r="S23" s="71">
        <v>260</v>
      </c>
      <c r="T23" s="71">
        <v>0</v>
      </c>
      <c r="U23" s="71">
        <v>0</v>
      </c>
      <c r="V23" s="71">
        <v>0</v>
      </c>
      <c r="W23" s="71">
        <v>0</v>
      </c>
      <c r="X23" s="71">
        <v>0</v>
      </c>
      <c r="Y23" s="71">
        <v>0</v>
      </c>
      <c r="Z23" s="71">
        <v>0</v>
      </c>
      <c r="AA23" s="71">
        <v>0</v>
      </c>
      <c r="AB23" s="71">
        <v>0</v>
      </c>
      <c r="AC23" s="71">
        <v>0</v>
      </c>
      <c r="AD23" s="71">
        <v>0</v>
      </c>
      <c r="AE23" s="71">
        <v>0</v>
      </c>
      <c r="AF23" s="71">
        <v>0</v>
      </c>
      <c r="AG23" s="75">
        <v>0</v>
      </c>
      <c r="AH23" s="75">
        <v>0</v>
      </c>
      <c r="AI23" s="75">
        <v>92.92</v>
      </c>
      <c r="AJ23" s="75">
        <v>65</v>
      </c>
      <c r="AK23" s="75">
        <v>22.61</v>
      </c>
      <c r="AL23" s="75">
        <v>118.56</v>
      </c>
      <c r="AM23" s="75">
        <v>65</v>
      </c>
      <c r="AN23" s="75">
        <v>65</v>
      </c>
      <c r="AO23" s="75">
        <v>65</v>
      </c>
      <c r="AP23" s="75">
        <v>65</v>
      </c>
      <c r="AQ23" s="75">
        <v>65</v>
      </c>
      <c r="AR23" s="75">
        <v>65</v>
      </c>
      <c r="AS23" s="75">
        <v>157.91999999999999</v>
      </c>
      <c r="AT23" s="72"/>
      <c r="AU23" s="72">
        <v>164.64032421479229</v>
      </c>
    </row>
    <row r="24" spans="1:47" ht="12.75" hidden="1" customHeight="1" outlineLevel="1" x14ac:dyDescent="0.2">
      <c r="A24" s="61" t="s">
        <v>174</v>
      </c>
      <c r="B24" s="62">
        <v>0</v>
      </c>
      <c r="C24" s="54">
        <v>0</v>
      </c>
      <c r="D24" s="54">
        <v>0</v>
      </c>
      <c r="E24" s="63"/>
      <c r="F24" s="64"/>
      <c r="G24" s="65">
        <v>0</v>
      </c>
      <c r="H24" s="54">
        <v>42.84</v>
      </c>
      <c r="I24" s="54">
        <v>0</v>
      </c>
      <c r="J24" s="54">
        <v>0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42.84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0</v>
      </c>
      <c r="AH24" s="67">
        <v>21.2</v>
      </c>
      <c r="AI24" s="98">
        <v>-128</v>
      </c>
      <c r="AJ24" s="67">
        <v>0</v>
      </c>
      <c r="AK24" s="67">
        <v>41.48</v>
      </c>
      <c r="AL24" s="67">
        <v>0</v>
      </c>
      <c r="AM24" s="67">
        <v>0</v>
      </c>
      <c r="AN24" s="67">
        <v>42.02</v>
      </c>
      <c r="AO24" s="67">
        <v>0</v>
      </c>
      <c r="AP24" s="67">
        <v>0</v>
      </c>
      <c r="AQ24" s="67">
        <v>42.84</v>
      </c>
      <c r="AR24" s="67">
        <v>0</v>
      </c>
      <c r="AS24" s="99">
        <v>-106.8</v>
      </c>
      <c r="AT24" s="63"/>
      <c r="AU24" s="63">
        <v>-40.112359550561798</v>
      </c>
    </row>
    <row r="25" spans="1:47" ht="12.75" hidden="1" customHeight="1" outlineLevel="1" x14ac:dyDescent="0.2">
      <c r="A25" s="61" t="s">
        <v>99</v>
      </c>
      <c r="B25" s="62">
        <v>0</v>
      </c>
      <c r="C25" s="54">
        <v>0</v>
      </c>
      <c r="D25" s="54">
        <v>433.89</v>
      </c>
      <c r="E25" s="63"/>
      <c r="F25" s="64">
        <v>0</v>
      </c>
      <c r="G25" s="65">
        <v>0</v>
      </c>
      <c r="H25" s="54">
        <v>0</v>
      </c>
      <c r="I25" s="54">
        <v>0</v>
      </c>
      <c r="J25" s="54">
        <v>0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0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173.85</v>
      </c>
      <c r="AH25" s="67">
        <v>178.29</v>
      </c>
      <c r="AI25" s="67">
        <v>260.18</v>
      </c>
      <c r="AJ25" s="67">
        <v>433.89</v>
      </c>
      <c r="AK25" s="67">
        <v>690.43</v>
      </c>
      <c r="AL25" s="67">
        <v>1843.87</v>
      </c>
      <c r="AM25" s="98">
        <v>-93.51</v>
      </c>
      <c r="AN25" s="98">
        <v>-708.69</v>
      </c>
      <c r="AO25" s="67">
        <v>0</v>
      </c>
      <c r="AP25" s="67">
        <v>0</v>
      </c>
      <c r="AQ25" s="67">
        <v>0</v>
      </c>
      <c r="AR25" s="67">
        <v>0</v>
      </c>
      <c r="AS25" s="68">
        <v>1046.21</v>
      </c>
      <c r="AT25" s="63"/>
      <c r="AU25" s="63">
        <v>0</v>
      </c>
    </row>
    <row r="26" spans="1:47" ht="12.75" hidden="1" customHeight="1" outlineLevel="1" x14ac:dyDescent="0.2">
      <c r="A26" s="61" t="s">
        <v>175</v>
      </c>
      <c r="B26" s="62">
        <v>55.66</v>
      </c>
      <c r="C26" s="54">
        <v>0</v>
      </c>
      <c r="D26" s="54">
        <v>0</v>
      </c>
      <c r="E26" s="63"/>
      <c r="F26" s="64"/>
      <c r="G26" s="65">
        <v>0</v>
      </c>
      <c r="H26" s="54">
        <v>64.69</v>
      </c>
      <c r="I26" s="54">
        <v>0</v>
      </c>
      <c r="J26" s="54">
        <v>55.66</v>
      </c>
      <c r="K26" s="54">
        <v>0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120.35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0</v>
      </c>
      <c r="AH26" s="67">
        <v>29.85</v>
      </c>
      <c r="AI26" s="98">
        <v>-53.42</v>
      </c>
      <c r="AJ26" s="67">
        <v>0</v>
      </c>
      <c r="AK26" s="67">
        <v>53.74</v>
      </c>
      <c r="AL26" s="67">
        <v>0</v>
      </c>
      <c r="AM26" s="67">
        <v>51.58</v>
      </c>
      <c r="AN26" s="67">
        <v>2.0699999999999998</v>
      </c>
      <c r="AO26" s="67">
        <v>60.64</v>
      </c>
      <c r="AP26" s="67">
        <v>0</v>
      </c>
      <c r="AQ26" s="67">
        <v>65.33</v>
      </c>
      <c r="AR26" s="67">
        <v>0</v>
      </c>
      <c r="AS26" s="99">
        <v>-23.57</v>
      </c>
      <c r="AT26" s="63"/>
      <c r="AU26" s="63">
        <v>-510.60670343657193</v>
      </c>
    </row>
    <row r="27" spans="1:47" ht="12.75" hidden="1" customHeight="1" outlineLevel="1" x14ac:dyDescent="0.2">
      <c r="A27" s="61" t="s">
        <v>101</v>
      </c>
      <c r="B27" s="62"/>
      <c r="C27" s="54">
        <v>0</v>
      </c>
      <c r="D27" s="54"/>
      <c r="E27" s="63"/>
      <c r="F27" s="64"/>
      <c r="G27" s="65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66"/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8"/>
      <c r="AT27" s="63"/>
      <c r="AU27" s="63"/>
    </row>
    <row r="28" spans="1:47" ht="12.75" hidden="1" customHeight="1" outlineLevel="1" x14ac:dyDescent="0.2">
      <c r="A28" s="61" t="s">
        <v>176</v>
      </c>
      <c r="B28" s="62">
        <v>61.24</v>
      </c>
      <c r="C28" s="54">
        <v>0</v>
      </c>
      <c r="D28" s="54">
        <v>0</v>
      </c>
      <c r="E28" s="63"/>
      <c r="F28" s="64"/>
      <c r="G28" s="65">
        <v>70.8</v>
      </c>
      <c r="H28" s="54">
        <v>59.95</v>
      </c>
      <c r="I28" s="54">
        <v>57.82</v>
      </c>
      <c r="J28" s="54">
        <v>61.24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249.81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29.7</v>
      </c>
      <c r="AH28" s="67">
        <v>29.7</v>
      </c>
      <c r="AI28" s="67">
        <v>50</v>
      </c>
      <c r="AJ28" s="67">
        <v>0</v>
      </c>
      <c r="AK28" s="67">
        <v>44.96</v>
      </c>
      <c r="AL28" s="67">
        <v>44.96</v>
      </c>
      <c r="AM28" s="67">
        <v>161.58000000000001</v>
      </c>
      <c r="AN28" s="67">
        <v>117.73</v>
      </c>
      <c r="AO28" s="67">
        <v>0</v>
      </c>
      <c r="AP28" s="67">
        <v>0</v>
      </c>
      <c r="AQ28" s="67">
        <v>146.30000000000001</v>
      </c>
      <c r="AR28" s="67">
        <v>76.75</v>
      </c>
      <c r="AS28" s="68">
        <v>109.4</v>
      </c>
      <c r="AT28" s="63"/>
      <c r="AU28" s="63">
        <v>228.345521023766</v>
      </c>
    </row>
    <row r="29" spans="1:47" ht="12.75" hidden="1" customHeight="1" outlineLevel="1" x14ac:dyDescent="0.2">
      <c r="A29" s="61" t="s">
        <v>102</v>
      </c>
      <c r="B29" s="62">
        <v>0</v>
      </c>
      <c r="C29" s="54">
        <v>0</v>
      </c>
      <c r="D29" s="54">
        <v>0</v>
      </c>
      <c r="E29" s="63"/>
      <c r="F29" s="64"/>
      <c r="G29" s="65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0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0</v>
      </c>
      <c r="AH29" s="67">
        <v>0</v>
      </c>
      <c r="AI29" s="67">
        <v>0</v>
      </c>
      <c r="AJ29" s="67">
        <v>0</v>
      </c>
      <c r="AK29" s="67">
        <v>0</v>
      </c>
      <c r="AL29" s="67">
        <v>0</v>
      </c>
      <c r="AM29" s="67">
        <v>0</v>
      </c>
      <c r="AN29" s="67">
        <v>0</v>
      </c>
      <c r="AO29" s="67">
        <v>0</v>
      </c>
      <c r="AP29" s="67">
        <v>0</v>
      </c>
      <c r="AQ29" s="67">
        <v>0</v>
      </c>
      <c r="AR29" s="67">
        <v>0</v>
      </c>
      <c r="AS29" s="68">
        <v>0</v>
      </c>
      <c r="AT29" s="63"/>
      <c r="AU29" s="63"/>
    </row>
    <row r="30" spans="1:47" ht="12.75" hidden="1" customHeight="1" outlineLevel="1" x14ac:dyDescent="0.2">
      <c r="A30" s="61" t="s">
        <v>75</v>
      </c>
      <c r="B30" s="62">
        <v>106.31</v>
      </c>
      <c r="C30" s="54">
        <v>0</v>
      </c>
      <c r="D30" s="54">
        <v>0</v>
      </c>
      <c r="E30" s="63"/>
      <c r="F30" s="64"/>
      <c r="G30" s="65">
        <v>0</v>
      </c>
      <c r="H30" s="54">
        <v>15.54</v>
      </c>
      <c r="I30" s="54">
        <v>15.54</v>
      </c>
      <c r="J30" s="54">
        <v>106.31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137.38999999999999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0</v>
      </c>
      <c r="AH30" s="67">
        <v>0</v>
      </c>
      <c r="AI30" s="67">
        <v>0</v>
      </c>
      <c r="AJ30" s="67">
        <v>0</v>
      </c>
      <c r="AK30" s="67">
        <v>0</v>
      </c>
      <c r="AL30" s="67">
        <v>113.25</v>
      </c>
      <c r="AM30" s="67">
        <v>679.5</v>
      </c>
      <c r="AN30" s="67">
        <v>0</v>
      </c>
      <c r="AO30" s="67">
        <v>0</v>
      </c>
      <c r="AP30" s="67">
        <v>0</v>
      </c>
      <c r="AQ30" s="67">
        <v>0</v>
      </c>
      <c r="AR30" s="67">
        <v>0</v>
      </c>
      <c r="AS30" s="68">
        <v>0</v>
      </c>
      <c r="AT30" s="63"/>
      <c r="AU30" s="63"/>
    </row>
    <row r="31" spans="1:47" ht="12.75" hidden="1" customHeight="1" outlineLevel="1" x14ac:dyDescent="0.2">
      <c r="A31" s="61" t="s">
        <v>76</v>
      </c>
      <c r="B31" s="62">
        <v>136.05000000000001</v>
      </c>
      <c r="C31" s="54">
        <v>0</v>
      </c>
      <c r="D31" s="54">
        <v>251.83</v>
      </c>
      <c r="E31" s="63"/>
      <c r="F31" s="64">
        <v>54.024540364531632</v>
      </c>
      <c r="G31" s="65">
        <v>247.4</v>
      </c>
      <c r="H31" s="54">
        <v>132.72999999999999</v>
      </c>
      <c r="I31" s="54">
        <v>680.24</v>
      </c>
      <c r="J31" s="54">
        <v>136.05000000000001</v>
      </c>
      <c r="K31" s="56">
        <v>-132.72999999999999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1196.42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61.36</v>
      </c>
      <c r="AH31" s="67">
        <v>61.85</v>
      </c>
      <c r="AI31" s="67">
        <v>320.83</v>
      </c>
      <c r="AJ31" s="67">
        <v>251.83</v>
      </c>
      <c r="AK31" s="67">
        <v>251.83</v>
      </c>
      <c r="AL31" s="67">
        <v>244.19</v>
      </c>
      <c r="AM31" s="67">
        <v>267.04000000000002</v>
      </c>
      <c r="AN31" s="67">
        <v>123.7</v>
      </c>
      <c r="AO31" s="67">
        <v>133.27000000000001</v>
      </c>
      <c r="AP31" s="67">
        <v>268.97000000000003</v>
      </c>
      <c r="AQ31" s="67">
        <v>123.7</v>
      </c>
      <c r="AR31" s="67">
        <v>407.1</v>
      </c>
      <c r="AS31" s="68">
        <v>695.87</v>
      </c>
      <c r="AT31" s="63"/>
      <c r="AU31" s="63">
        <v>171.9315389368704</v>
      </c>
    </row>
    <row r="32" spans="1:47" ht="12.75" hidden="1" customHeight="1" outlineLevel="1" x14ac:dyDescent="0.2">
      <c r="A32" s="61" t="s">
        <v>77</v>
      </c>
      <c r="B32" s="62">
        <v>0</v>
      </c>
      <c r="C32" s="54">
        <v>0</v>
      </c>
      <c r="D32" s="54">
        <v>0</v>
      </c>
      <c r="E32" s="63"/>
      <c r="F32" s="64"/>
      <c r="G32" s="65">
        <v>0</v>
      </c>
      <c r="H32" s="54">
        <v>0</v>
      </c>
      <c r="I32" s="54">
        <v>0</v>
      </c>
      <c r="J32" s="54">
        <v>0</v>
      </c>
      <c r="K32" s="54">
        <v>0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66">
        <v>0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66">
        <v>0</v>
      </c>
      <c r="AG32" s="67">
        <v>161.66999999999999</v>
      </c>
      <c r="AH32" s="67">
        <v>161.66999999999999</v>
      </c>
      <c r="AI32" s="67">
        <v>0</v>
      </c>
      <c r="AJ32" s="67">
        <v>0</v>
      </c>
      <c r="AK32" s="67">
        <v>0</v>
      </c>
      <c r="AL32" s="67">
        <v>0</v>
      </c>
      <c r="AM32" s="67">
        <v>0</v>
      </c>
      <c r="AN32" s="67">
        <v>0</v>
      </c>
      <c r="AO32" s="67">
        <v>0</v>
      </c>
      <c r="AP32" s="67">
        <v>0</v>
      </c>
      <c r="AQ32" s="67">
        <v>0</v>
      </c>
      <c r="AR32" s="67">
        <v>0</v>
      </c>
      <c r="AS32" s="68">
        <v>323.33999999999997</v>
      </c>
      <c r="AT32" s="63"/>
      <c r="AU32" s="63">
        <v>0</v>
      </c>
    </row>
    <row r="33" spans="1:47" ht="12.75" customHeight="1" collapsed="1" x14ac:dyDescent="0.2">
      <c r="A33" s="69" t="s">
        <v>177</v>
      </c>
      <c r="B33" s="70">
        <v>359.26</v>
      </c>
      <c r="C33" s="71">
        <v>0</v>
      </c>
      <c r="D33" s="71">
        <v>685.72</v>
      </c>
      <c r="E33" s="72"/>
      <c r="F33" s="73">
        <v>52.391646736277195</v>
      </c>
      <c r="G33" s="70">
        <v>318.2</v>
      </c>
      <c r="H33" s="71">
        <v>315.75</v>
      </c>
      <c r="I33" s="71">
        <v>753.6</v>
      </c>
      <c r="J33" s="71">
        <v>359.26</v>
      </c>
      <c r="K33" s="74">
        <v>-132.72999999999999</v>
      </c>
      <c r="L33" s="71">
        <v>0</v>
      </c>
      <c r="M33" s="71">
        <v>0</v>
      </c>
      <c r="N33" s="71">
        <v>0</v>
      </c>
      <c r="O33" s="71">
        <v>0</v>
      </c>
      <c r="P33" s="71">
        <v>0</v>
      </c>
      <c r="Q33" s="71">
        <v>0</v>
      </c>
      <c r="R33" s="71">
        <v>0</v>
      </c>
      <c r="S33" s="71">
        <v>1746.81</v>
      </c>
      <c r="T33" s="71">
        <v>0</v>
      </c>
      <c r="U33" s="71">
        <v>0</v>
      </c>
      <c r="V33" s="71">
        <v>0</v>
      </c>
      <c r="W33" s="71">
        <v>0</v>
      </c>
      <c r="X33" s="71">
        <v>0</v>
      </c>
      <c r="Y33" s="71">
        <v>0</v>
      </c>
      <c r="Z33" s="71">
        <v>0</v>
      </c>
      <c r="AA33" s="71">
        <v>0</v>
      </c>
      <c r="AB33" s="71">
        <v>0</v>
      </c>
      <c r="AC33" s="71">
        <v>0</v>
      </c>
      <c r="AD33" s="71">
        <v>0</v>
      </c>
      <c r="AE33" s="71">
        <v>0</v>
      </c>
      <c r="AF33" s="71">
        <v>0</v>
      </c>
      <c r="AG33" s="75">
        <v>426.58</v>
      </c>
      <c r="AH33" s="75">
        <v>482.56</v>
      </c>
      <c r="AI33" s="75">
        <v>449.59</v>
      </c>
      <c r="AJ33" s="75">
        <v>685.72</v>
      </c>
      <c r="AK33" s="75">
        <v>1082.44</v>
      </c>
      <c r="AL33" s="75">
        <v>2246.27</v>
      </c>
      <c r="AM33" s="75">
        <v>1066.19</v>
      </c>
      <c r="AN33" s="134">
        <v>-423.17</v>
      </c>
      <c r="AO33" s="75">
        <v>193.91</v>
      </c>
      <c r="AP33" s="75">
        <v>268.97000000000003</v>
      </c>
      <c r="AQ33" s="75">
        <v>378.17</v>
      </c>
      <c r="AR33" s="75">
        <v>483.85</v>
      </c>
      <c r="AS33" s="75">
        <v>2044.45</v>
      </c>
      <c r="AT33" s="72"/>
      <c r="AU33" s="72">
        <v>85.441561300105164</v>
      </c>
    </row>
    <row r="34" spans="1:47" ht="12.75" hidden="1" customHeight="1" outlineLevel="1" x14ac:dyDescent="0.2">
      <c r="A34" s="61" t="s">
        <v>178</v>
      </c>
      <c r="B34" s="62"/>
      <c r="C34" s="54"/>
      <c r="D34" s="54"/>
      <c r="E34" s="63"/>
      <c r="F34" s="64"/>
      <c r="G34" s="65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66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66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8"/>
      <c r="AT34" s="63"/>
      <c r="AU34" s="63"/>
    </row>
    <row r="35" spans="1:47" ht="12.75" hidden="1" customHeight="1" outlineLevel="1" x14ac:dyDescent="0.2">
      <c r="A35" s="61" t="s">
        <v>179</v>
      </c>
      <c r="B35" s="62">
        <v>41.67</v>
      </c>
      <c r="C35" s="54">
        <v>0</v>
      </c>
      <c r="D35" s="54">
        <v>25</v>
      </c>
      <c r="E35" s="63"/>
      <c r="F35" s="64">
        <v>166.68</v>
      </c>
      <c r="G35" s="65">
        <v>41.67</v>
      </c>
      <c r="H35" s="54">
        <v>41.67</v>
      </c>
      <c r="I35" s="54">
        <v>41.67</v>
      </c>
      <c r="J35" s="54">
        <v>41.67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166.68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25</v>
      </c>
      <c r="AH35" s="67">
        <v>25</v>
      </c>
      <c r="AI35" s="67">
        <v>25</v>
      </c>
      <c r="AJ35" s="67">
        <v>25</v>
      </c>
      <c r="AK35" s="67">
        <v>25</v>
      </c>
      <c r="AL35" s="67">
        <v>25</v>
      </c>
      <c r="AM35" s="67">
        <v>25</v>
      </c>
      <c r="AN35" s="67">
        <v>25</v>
      </c>
      <c r="AO35" s="67">
        <v>41.67</v>
      </c>
      <c r="AP35" s="67">
        <v>41.67</v>
      </c>
      <c r="AQ35" s="67">
        <v>41.67</v>
      </c>
      <c r="AR35" s="67">
        <v>41.67</v>
      </c>
      <c r="AS35" s="68">
        <v>100</v>
      </c>
      <c r="AT35" s="63"/>
      <c r="AU35" s="63">
        <v>166.68</v>
      </c>
    </row>
    <row r="36" spans="1:47" ht="12.75" hidden="1" customHeight="1" outlineLevel="1" x14ac:dyDescent="0.2">
      <c r="A36" s="61" t="s">
        <v>180</v>
      </c>
      <c r="B36" s="62">
        <v>0</v>
      </c>
      <c r="C36" s="54">
        <v>0</v>
      </c>
      <c r="D36" s="54">
        <v>0</v>
      </c>
      <c r="E36" s="63"/>
      <c r="F36" s="64"/>
      <c r="G36" s="65">
        <v>0</v>
      </c>
      <c r="H36" s="54">
        <v>0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0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>
        <v>0</v>
      </c>
      <c r="AH36" s="67">
        <v>0</v>
      </c>
      <c r="AI36" s="67">
        <v>0</v>
      </c>
      <c r="AJ36" s="67">
        <v>0</v>
      </c>
      <c r="AK36" s="67">
        <v>0</v>
      </c>
      <c r="AL36" s="67">
        <v>0</v>
      </c>
      <c r="AM36" s="67">
        <v>0</v>
      </c>
      <c r="AN36" s="67">
        <v>0</v>
      </c>
      <c r="AO36" s="67">
        <v>0</v>
      </c>
      <c r="AP36" s="67">
        <v>0</v>
      </c>
      <c r="AQ36" s="67">
        <v>0</v>
      </c>
      <c r="AR36" s="67">
        <v>0</v>
      </c>
      <c r="AS36" s="68">
        <v>0</v>
      </c>
      <c r="AT36" s="63"/>
      <c r="AU36" s="63"/>
    </row>
    <row r="37" spans="1:47" ht="12.75" hidden="1" customHeight="1" outlineLevel="1" x14ac:dyDescent="0.2">
      <c r="A37" s="61" t="s">
        <v>181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0</v>
      </c>
      <c r="AM37" s="67">
        <v>0</v>
      </c>
      <c r="AN37" s="67">
        <v>0</v>
      </c>
      <c r="AO37" s="67">
        <v>0</v>
      </c>
      <c r="AP37" s="67">
        <v>0</v>
      </c>
      <c r="AQ37" s="67">
        <v>0</v>
      </c>
      <c r="AR37" s="67">
        <v>0</v>
      </c>
      <c r="AS37" s="68">
        <v>0</v>
      </c>
      <c r="AT37" s="63"/>
      <c r="AU37" s="63"/>
    </row>
    <row r="38" spans="1:47" ht="12.75" hidden="1" customHeight="1" outlineLevel="1" x14ac:dyDescent="0.2">
      <c r="A38" s="61" t="s">
        <v>182</v>
      </c>
      <c r="B38" s="62">
        <v>0</v>
      </c>
      <c r="C38" s="54">
        <v>0</v>
      </c>
      <c r="D38" s="54">
        <v>0</v>
      </c>
      <c r="E38" s="63"/>
      <c r="F38" s="64"/>
      <c r="G38" s="65">
        <v>0</v>
      </c>
      <c r="H38" s="54">
        <v>0</v>
      </c>
      <c r="I38" s="54">
        <v>0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0</v>
      </c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0</v>
      </c>
      <c r="Z38" s="54">
        <v>0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66">
        <v>0</v>
      </c>
      <c r="AG38" s="67">
        <v>0</v>
      </c>
      <c r="AH38" s="67">
        <v>0</v>
      </c>
      <c r="AI38" s="67">
        <v>0</v>
      </c>
      <c r="AJ38" s="67">
        <v>0</v>
      </c>
      <c r="AK38" s="67">
        <v>0</v>
      </c>
      <c r="AL38" s="67">
        <v>0</v>
      </c>
      <c r="AM38" s="67">
        <v>0</v>
      </c>
      <c r="AN38" s="67">
        <v>0</v>
      </c>
      <c r="AO38" s="67">
        <v>0</v>
      </c>
      <c r="AP38" s="67">
        <v>0</v>
      </c>
      <c r="AQ38" s="67">
        <v>0</v>
      </c>
      <c r="AR38" s="67">
        <v>0</v>
      </c>
      <c r="AS38" s="68">
        <v>0</v>
      </c>
      <c r="AT38" s="63"/>
      <c r="AU38" s="63"/>
    </row>
    <row r="39" spans="1:47" ht="12.75" hidden="1" customHeight="1" outlineLevel="1" x14ac:dyDescent="0.2">
      <c r="A39" s="61" t="s">
        <v>183</v>
      </c>
      <c r="B39" s="62">
        <v>0</v>
      </c>
      <c r="C39" s="54">
        <v>0</v>
      </c>
      <c r="D39" s="54">
        <v>0</v>
      </c>
      <c r="E39" s="63"/>
      <c r="F39" s="64"/>
      <c r="G39" s="65">
        <v>0</v>
      </c>
      <c r="H39" s="54">
        <v>0</v>
      </c>
      <c r="I39" s="54">
        <v>0</v>
      </c>
      <c r="J39" s="54">
        <v>0</v>
      </c>
      <c r="K39" s="54">
        <v>0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66">
        <v>0</v>
      </c>
      <c r="T39" s="54">
        <v>0</v>
      </c>
      <c r="U39" s="54">
        <v>0</v>
      </c>
      <c r="V39" s="54">
        <v>0</v>
      </c>
      <c r="W39" s="54">
        <v>0</v>
      </c>
      <c r="X39" s="54">
        <v>0</v>
      </c>
      <c r="Y39" s="54">
        <v>0</v>
      </c>
      <c r="Z39" s="54">
        <v>0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66">
        <v>0</v>
      </c>
      <c r="AG39" s="67">
        <v>0</v>
      </c>
      <c r="AH39" s="67">
        <v>0</v>
      </c>
      <c r="AI39" s="67">
        <v>0</v>
      </c>
      <c r="AJ39" s="67">
        <v>0</v>
      </c>
      <c r="AK39" s="67">
        <v>0</v>
      </c>
      <c r="AL39" s="67">
        <v>0</v>
      </c>
      <c r="AM39" s="67">
        <v>0</v>
      </c>
      <c r="AN39" s="67">
        <v>0</v>
      </c>
      <c r="AO39" s="67">
        <v>0</v>
      </c>
      <c r="AP39" s="67">
        <v>0</v>
      </c>
      <c r="AQ39" s="67">
        <v>0</v>
      </c>
      <c r="AR39" s="67">
        <v>0</v>
      </c>
      <c r="AS39" s="68">
        <v>0</v>
      </c>
      <c r="AT39" s="63"/>
      <c r="AU39" s="63"/>
    </row>
    <row r="40" spans="1:47" ht="12.75" hidden="1" customHeight="1" outlineLevel="1" x14ac:dyDescent="0.2">
      <c r="A40" s="61" t="s">
        <v>184</v>
      </c>
      <c r="B40" s="62">
        <v>0</v>
      </c>
      <c r="C40" s="54"/>
      <c r="D40" s="54">
        <v>0</v>
      </c>
      <c r="E40" s="63"/>
      <c r="F40" s="64"/>
      <c r="G40" s="65">
        <v>0</v>
      </c>
      <c r="H40" s="54">
        <v>0</v>
      </c>
      <c r="I40" s="54">
        <v>0</v>
      </c>
      <c r="J40" s="54">
        <v>0</v>
      </c>
      <c r="K40" s="54">
        <v>0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66">
        <v>0</v>
      </c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66"/>
      <c r="AG40" s="67">
        <v>0</v>
      </c>
      <c r="AH40" s="67">
        <v>0</v>
      </c>
      <c r="AI40" s="67">
        <v>0</v>
      </c>
      <c r="AJ40" s="67">
        <v>0</v>
      </c>
      <c r="AK40" s="67">
        <v>0</v>
      </c>
      <c r="AL40" s="67">
        <v>0</v>
      </c>
      <c r="AM40" s="67">
        <v>0</v>
      </c>
      <c r="AN40" s="67">
        <v>0</v>
      </c>
      <c r="AO40" s="67">
        <v>0</v>
      </c>
      <c r="AP40" s="67">
        <v>0</v>
      </c>
      <c r="AQ40" s="67">
        <v>0</v>
      </c>
      <c r="AR40" s="67">
        <v>0</v>
      </c>
      <c r="AS40" s="68">
        <v>0</v>
      </c>
      <c r="AT40" s="63"/>
      <c r="AU40" s="63"/>
    </row>
    <row r="41" spans="1:47" ht="12.75" hidden="1" customHeight="1" outlineLevel="1" x14ac:dyDescent="0.2">
      <c r="A41" s="61" t="s">
        <v>185</v>
      </c>
      <c r="B41" s="62"/>
      <c r="C41" s="54"/>
      <c r="D41" s="54"/>
      <c r="E41" s="63"/>
      <c r="F41" s="64"/>
      <c r="G41" s="65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66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66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8"/>
      <c r="AT41" s="63"/>
      <c r="AU41" s="63"/>
    </row>
    <row r="42" spans="1:47" ht="12.75" hidden="1" customHeight="1" outlineLevel="1" x14ac:dyDescent="0.2">
      <c r="A42" s="61" t="s">
        <v>186</v>
      </c>
      <c r="B42" s="62">
        <v>0</v>
      </c>
      <c r="C42" s="54">
        <v>0</v>
      </c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0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108.73</v>
      </c>
      <c r="AP42" s="67">
        <v>0</v>
      </c>
      <c r="AQ42" s="67">
        <v>0</v>
      </c>
      <c r="AR42" s="67">
        <v>0</v>
      </c>
      <c r="AS42" s="68">
        <v>0</v>
      </c>
      <c r="AT42" s="63"/>
      <c r="AU42" s="63"/>
    </row>
    <row r="43" spans="1:47" ht="12.75" hidden="1" customHeight="1" outlineLevel="1" x14ac:dyDescent="0.2">
      <c r="A43" s="61" t="s">
        <v>191</v>
      </c>
      <c r="B43" s="62">
        <v>0</v>
      </c>
      <c r="C43" s="54">
        <v>0</v>
      </c>
      <c r="D43" s="54">
        <v>0</v>
      </c>
      <c r="E43" s="63"/>
      <c r="F43" s="64"/>
      <c r="G43" s="65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66">
        <v>0</v>
      </c>
      <c r="T43" s="54">
        <v>0</v>
      </c>
      <c r="U43" s="54">
        <v>0</v>
      </c>
      <c r="V43" s="54">
        <v>0</v>
      </c>
      <c r="W43" s="54">
        <v>0</v>
      </c>
      <c r="X43" s="54">
        <v>0</v>
      </c>
      <c r="Y43" s="54">
        <v>0</v>
      </c>
      <c r="Z43" s="54">
        <v>0</v>
      </c>
      <c r="AA43" s="54">
        <v>0</v>
      </c>
      <c r="AB43" s="54">
        <v>0</v>
      </c>
      <c r="AC43" s="54">
        <v>0</v>
      </c>
      <c r="AD43" s="54">
        <v>0</v>
      </c>
      <c r="AE43" s="54">
        <v>0</v>
      </c>
      <c r="AF43" s="66">
        <v>0</v>
      </c>
      <c r="AG43" s="67">
        <v>0</v>
      </c>
      <c r="AH43" s="67">
        <v>0</v>
      </c>
      <c r="AI43" s="67">
        <v>0</v>
      </c>
      <c r="AJ43" s="67">
        <v>0</v>
      </c>
      <c r="AK43" s="67">
        <v>0</v>
      </c>
      <c r="AL43" s="67">
        <v>0</v>
      </c>
      <c r="AM43" s="67">
        <v>0</v>
      </c>
      <c r="AN43" s="67">
        <v>0</v>
      </c>
      <c r="AO43" s="67">
        <v>0</v>
      </c>
      <c r="AP43" s="67">
        <v>0</v>
      </c>
      <c r="AQ43" s="67">
        <v>0</v>
      </c>
      <c r="AR43" s="67">
        <v>0</v>
      </c>
      <c r="AS43" s="68">
        <v>0</v>
      </c>
      <c r="AT43" s="63"/>
      <c r="AU43" s="63"/>
    </row>
    <row r="44" spans="1:47" ht="12.75" hidden="1" customHeight="1" outlineLevel="1" x14ac:dyDescent="0.2">
      <c r="A44" s="61" t="s">
        <v>187</v>
      </c>
      <c r="B44" s="62">
        <v>0</v>
      </c>
      <c r="C44" s="54">
        <v>0</v>
      </c>
      <c r="D44" s="54">
        <v>0</v>
      </c>
      <c r="E44" s="63"/>
      <c r="F44" s="64"/>
      <c r="G44" s="65">
        <v>0</v>
      </c>
      <c r="H44" s="54">
        <v>0</v>
      </c>
      <c r="I44" s="54">
        <v>0</v>
      </c>
      <c r="J44" s="54">
        <v>0</v>
      </c>
      <c r="K44" s="54">
        <v>0</v>
      </c>
      <c r="L44" s="54">
        <v>0</v>
      </c>
      <c r="M44" s="54">
        <v>0</v>
      </c>
      <c r="N44" s="54">
        <v>0</v>
      </c>
      <c r="O44" s="54">
        <v>0</v>
      </c>
      <c r="P44" s="54">
        <v>0</v>
      </c>
      <c r="Q44" s="54">
        <v>0</v>
      </c>
      <c r="R44" s="54">
        <v>0</v>
      </c>
      <c r="S44" s="66">
        <v>0</v>
      </c>
      <c r="T44" s="54">
        <v>0</v>
      </c>
      <c r="U44" s="54">
        <v>0</v>
      </c>
      <c r="V44" s="54">
        <v>0</v>
      </c>
      <c r="W44" s="54">
        <v>0</v>
      </c>
      <c r="X44" s="54">
        <v>0</v>
      </c>
      <c r="Y44" s="54">
        <v>0</v>
      </c>
      <c r="Z44" s="54">
        <v>0</v>
      </c>
      <c r="AA44" s="54">
        <v>0</v>
      </c>
      <c r="AB44" s="54">
        <v>0</v>
      </c>
      <c r="AC44" s="54">
        <v>0</v>
      </c>
      <c r="AD44" s="54">
        <v>0</v>
      </c>
      <c r="AE44" s="54">
        <v>0</v>
      </c>
      <c r="AF44" s="66">
        <v>0</v>
      </c>
      <c r="AG44" s="67">
        <v>0</v>
      </c>
      <c r="AH44" s="67">
        <v>0</v>
      </c>
      <c r="AI44" s="67">
        <v>0</v>
      </c>
      <c r="AJ44" s="67">
        <v>0</v>
      </c>
      <c r="AK44" s="67">
        <v>0</v>
      </c>
      <c r="AL44" s="67">
        <v>0</v>
      </c>
      <c r="AM44" s="67">
        <v>0</v>
      </c>
      <c r="AN44" s="67">
        <v>0</v>
      </c>
      <c r="AO44" s="67">
        <v>0</v>
      </c>
      <c r="AP44" s="67">
        <v>0</v>
      </c>
      <c r="AQ44" s="67">
        <v>0</v>
      </c>
      <c r="AR44" s="67">
        <v>0</v>
      </c>
      <c r="AS44" s="68">
        <v>0</v>
      </c>
      <c r="AT44" s="63"/>
      <c r="AU44" s="63"/>
    </row>
    <row r="45" spans="1:47" ht="12.75" hidden="1" customHeight="1" outlineLevel="1" x14ac:dyDescent="0.2">
      <c r="A45" s="61" t="s">
        <v>188</v>
      </c>
      <c r="B45" s="62"/>
      <c r="C45" s="54"/>
      <c r="D45" s="54"/>
      <c r="E45" s="63"/>
      <c r="F45" s="64"/>
      <c r="G45" s="65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66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66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8"/>
      <c r="AT45" s="63"/>
      <c r="AU45" s="63"/>
    </row>
    <row r="46" spans="1:47" ht="12.75" hidden="1" customHeight="1" outlineLevel="1" x14ac:dyDescent="0.2">
      <c r="A46" s="61" t="s">
        <v>189</v>
      </c>
      <c r="B46" s="62"/>
      <c r="C46" s="54"/>
      <c r="D46" s="54"/>
      <c r="E46" s="63"/>
      <c r="F46" s="64"/>
      <c r="G46" s="65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66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66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8"/>
      <c r="AT46" s="63"/>
      <c r="AU46" s="63"/>
    </row>
    <row r="47" spans="1:47" ht="12.75" hidden="1" customHeight="1" outlineLevel="1" x14ac:dyDescent="0.2">
      <c r="A47" s="61" t="s">
        <v>190</v>
      </c>
      <c r="B47" s="62">
        <v>0</v>
      </c>
      <c r="C47" s="54">
        <v>0</v>
      </c>
      <c r="D47" s="54">
        <v>0</v>
      </c>
      <c r="E47" s="63"/>
      <c r="F47" s="64"/>
      <c r="G47" s="65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54">
        <v>0</v>
      </c>
      <c r="N47" s="54">
        <v>0</v>
      </c>
      <c r="O47" s="54">
        <v>0</v>
      </c>
      <c r="P47" s="54">
        <v>0</v>
      </c>
      <c r="Q47" s="54">
        <v>0</v>
      </c>
      <c r="R47" s="54">
        <v>0</v>
      </c>
      <c r="S47" s="66">
        <v>0</v>
      </c>
      <c r="T47" s="54">
        <v>0</v>
      </c>
      <c r="U47" s="54">
        <v>0</v>
      </c>
      <c r="V47" s="54">
        <v>0</v>
      </c>
      <c r="W47" s="54">
        <v>0</v>
      </c>
      <c r="X47" s="54">
        <v>0</v>
      </c>
      <c r="Y47" s="54">
        <v>0</v>
      </c>
      <c r="Z47" s="54">
        <v>0</v>
      </c>
      <c r="AA47" s="54">
        <v>0</v>
      </c>
      <c r="AB47" s="54">
        <v>0</v>
      </c>
      <c r="AC47" s="54">
        <v>0</v>
      </c>
      <c r="AD47" s="54">
        <v>0</v>
      </c>
      <c r="AE47" s="54">
        <v>0</v>
      </c>
      <c r="AF47" s="66">
        <v>0</v>
      </c>
      <c r="AG47" s="67">
        <v>0</v>
      </c>
      <c r="AH47" s="67">
        <v>0</v>
      </c>
      <c r="AI47" s="67">
        <v>0</v>
      </c>
      <c r="AJ47" s="67">
        <v>0</v>
      </c>
      <c r="AK47" s="67">
        <v>0</v>
      </c>
      <c r="AL47" s="67">
        <v>0</v>
      </c>
      <c r="AM47" s="67">
        <v>0</v>
      </c>
      <c r="AN47" s="67">
        <v>0</v>
      </c>
      <c r="AO47" s="67">
        <v>0</v>
      </c>
      <c r="AP47" s="67">
        <v>0</v>
      </c>
      <c r="AQ47" s="67">
        <v>0</v>
      </c>
      <c r="AR47" s="67">
        <v>0</v>
      </c>
      <c r="AS47" s="68">
        <v>0</v>
      </c>
      <c r="AT47" s="63"/>
      <c r="AU47" s="63"/>
    </row>
    <row r="48" spans="1:47" ht="12.75" customHeight="1" collapsed="1" x14ac:dyDescent="0.2">
      <c r="A48" s="69" t="s">
        <v>192</v>
      </c>
      <c r="B48" s="70">
        <v>41.67</v>
      </c>
      <c r="C48" s="71">
        <v>0</v>
      </c>
      <c r="D48" s="71">
        <v>25</v>
      </c>
      <c r="E48" s="72"/>
      <c r="F48" s="73">
        <v>166.68</v>
      </c>
      <c r="G48" s="70">
        <v>41.67</v>
      </c>
      <c r="H48" s="71">
        <v>41.67</v>
      </c>
      <c r="I48" s="71">
        <v>41.67</v>
      </c>
      <c r="J48" s="71">
        <v>41.67</v>
      </c>
      <c r="K48" s="71">
        <v>0</v>
      </c>
      <c r="L48" s="71">
        <v>0</v>
      </c>
      <c r="M48" s="71">
        <v>0</v>
      </c>
      <c r="N48" s="71">
        <v>0</v>
      </c>
      <c r="O48" s="71">
        <v>0</v>
      </c>
      <c r="P48" s="71">
        <v>0</v>
      </c>
      <c r="Q48" s="71">
        <v>0</v>
      </c>
      <c r="R48" s="71">
        <v>0</v>
      </c>
      <c r="S48" s="71">
        <v>166.68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71">
        <v>0</v>
      </c>
      <c r="AE48" s="71">
        <v>0</v>
      </c>
      <c r="AF48" s="71">
        <v>0</v>
      </c>
      <c r="AG48" s="75">
        <v>25</v>
      </c>
      <c r="AH48" s="75">
        <v>25</v>
      </c>
      <c r="AI48" s="75">
        <v>25</v>
      </c>
      <c r="AJ48" s="75">
        <v>25</v>
      </c>
      <c r="AK48" s="75">
        <v>25</v>
      </c>
      <c r="AL48" s="75">
        <v>25</v>
      </c>
      <c r="AM48" s="75">
        <v>25</v>
      </c>
      <c r="AN48" s="75">
        <v>25</v>
      </c>
      <c r="AO48" s="75">
        <v>150.4</v>
      </c>
      <c r="AP48" s="75">
        <v>41.67</v>
      </c>
      <c r="AQ48" s="75">
        <v>41.67</v>
      </c>
      <c r="AR48" s="75">
        <v>41.67</v>
      </c>
      <c r="AS48" s="75">
        <v>100</v>
      </c>
      <c r="AT48" s="72"/>
      <c r="AU48" s="72">
        <v>166.68</v>
      </c>
    </row>
    <row r="49" spans="1:47" ht="12.75" hidden="1" customHeight="1" outlineLevel="1" x14ac:dyDescent="0.2">
      <c r="A49" s="61" t="s">
        <v>193</v>
      </c>
      <c r="B49" s="62">
        <v>0</v>
      </c>
      <c r="C49" s="54"/>
      <c r="D49" s="54">
        <v>0</v>
      </c>
      <c r="E49" s="63"/>
      <c r="F49" s="64"/>
      <c r="G49" s="65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54">
        <v>0</v>
      </c>
      <c r="N49" s="54">
        <v>0</v>
      </c>
      <c r="O49" s="54">
        <v>0</v>
      </c>
      <c r="P49" s="54">
        <v>0</v>
      </c>
      <c r="Q49" s="54">
        <v>0</v>
      </c>
      <c r="R49" s="54">
        <v>0</v>
      </c>
      <c r="S49" s="66">
        <v>0</v>
      </c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66"/>
      <c r="AG49" s="67">
        <v>0</v>
      </c>
      <c r="AH49" s="67">
        <v>0</v>
      </c>
      <c r="AI49" s="67">
        <v>0</v>
      </c>
      <c r="AJ49" s="67">
        <v>0</v>
      </c>
      <c r="AK49" s="67">
        <v>0</v>
      </c>
      <c r="AL49" s="67">
        <v>0</v>
      </c>
      <c r="AM49" s="67">
        <v>0</v>
      </c>
      <c r="AN49" s="67">
        <v>0</v>
      </c>
      <c r="AO49" s="67">
        <v>0</v>
      </c>
      <c r="AP49" s="67">
        <v>0</v>
      </c>
      <c r="AQ49" s="67">
        <v>0</v>
      </c>
      <c r="AR49" s="67">
        <v>0</v>
      </c>
      <c r="AS49" s="68">
        <v>0</v>
      </c>
      <c r="AT49" s="63"/>
      <c r="AU49" s="63"/>
    </row>
    <row r="50" spans="1:47" ht="12.75" hidden="1" customHeight="1" outlineLevel="1" x14ac:dyDescent="0.2">
      <c r="A50" s="61" t="s">
        <v>194</v>
      </c>
      <c r="B50" s="62"/>
      <c r="C50" s="54">
        <v>0</v>
      </c>
      <c r="D50" s="54"/>
      <c r="E50" s="63"/>
      <c r="F50" s="64"/>
      <c r="G50" s="65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66"/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8"/>
      <c r="AT50" s="63"/>
      <c r="AU50" s="63"/>
    </row>
    <row r="51" spans="1:47" ht="12.75" hidden="1" customHeight="1" outlineLevel="1" x14ac:dyDescent="0.2">
      <c r="A51" s="61" t="s">
        <v>82</v>
      </c>
      <c r="B51" s="62"/>
      <c r="C51" s="54"/>
      <c r="D51" s="54"/>
      <c r="E51" s="63"/>
      <c r="F51" s="64"/>
      <c r="G51" s="65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66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66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8"/>
      <c r="AT51" s="63"/>
      <c r="AU51" s="63"/>
    </row>
    <row r="52" spans="1:47" ht="12.75" hidden="1" customHeight="1" outlineLevel="1" x14ac:dyDescent="0.2">
      <c r="A52" s="61" t="s">
        <v>83</v>
      </c>
      <c r="B52" s="62">
        <v>0</v>
      </c>
      <c r="C52" s="54">
        <v>0</v>
      </c>
      <c r="D52" s="54">
        <v>0</v>
      </c>
      <c r="E52" s="63"/>
      <c r="F52" s="64"/>
      <c r="G52" s="65">
        <v>0</v>
      </c>
      <c r="H52" s="54">
        <v>0</v>
      </c>
      <c r="I52" s="54">
        <v>0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66">
        <v>0</v>
      </c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66">
        <v>0</v>
      </c>
      <c r="AG52" s="67">
        <v>0</v>
      </c>
      <c r="AH52" s="67">
        <v>0</v>
      </c>
      <c r="AI52" s="67">
        <v>0</v>
      </c>
      <c r="AJ52" s="67">
        <v>0</v>
      </c>
      <c r="AK52" s="67">
        <v>0</v>
      </c>
      <c r="AL52" s="67">
        <v>0</v>
      </c>
      <c r="AM52" s="67">
        <v>0</v>
      </c>
      <c r="AN52" s="67">
        <v>0</v>
      </c>
      <c r="AO52" s="67">
        <v>0</v>
      </c>
      <c r="AP52" s="67">
        <v>0</v>
      </c>
      <c r="AQ52" s="67">
        <v>0</v>
      </c>
      <c r="AR52" s="67">
        <v>0</v>
      </c>
      <c r="AS52" s="68">
        <v>0</v>
      </c>
      <c r="AT52" s="63"/>
      <c r="AU52" s="63"/>
    </row>
    <row r="53" spans="1:47" ht="12.75" hidden="1" customHeight="1" outlineLevel="1" x14ac:dyDescent="0.2">
      <c r="A53" s="61" t="s">
        <v>84</v>
      </c>
      <c r="B53" s="62">
        <v>0</v>
      </c>
      <c r="C53" s="54">
        <v>0</v>
      </c>
      <c r="D53" s="54">
        <v>0</v>
      </c>
      <c r="E53" s="63"/>
      <c r="F53" s="64"/>
      <c r="G53" s="65">
        <v>0</v>
      </c>
      <c r="H53" s="54">
        <v>0</v>
      </c>
      <c r="I53" s="54">
        <v>0</v>
      </c>
      <c r="J53" s="54">
        <v>0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66">
        <v>0</v>
      </c>
      <c r="T53" s="54">
        <v>0</v>
      </c>
      <c r="U53" s="54">
        <v>0</v>
      </c>
      <c r="V53" s="54">
        <v>0</v>
      </c>
      <c r="W53" s="54">
        <v>0</v>
      </c>
      <c r="X53" s="54">
        <v>0</v>
      </c>
      <c r="Y53" s="54">
        <v>0</v>
      </c>
      <c r="Z53" s="54">
        <v>0</v>
      </c>
      <c r="AA53" s="54">
        <v>0</v>
      </c>
      <c r="AB53" s="54">
        <v>0</v>
      </c>
      <c r="AC53" s="54">
        <v>0</v>
      </c>
      <c r="AD53" s="54">
        <v>0</v>
      </c>
      <c r="AE53" s="54">
        <v>0</v>
      </c>
      <c r="AF53" s="66">
        <v>0</v>
      </c>
      <c r="AG53" s="67">
        <v>0</v>
      </c>
      <c r="AH53" s="67">
        <v>0</v>
      </c>
      <c r="AI53" s="67">
        <v>0</v>
      </c>
      <c r="AJ53" s="67">
        <v>0</v>
      </c>
      <c r="AK53" s="67">
        <v>0</v>
      </c>
      <c r="AL53" s="67">
        <v>0</v>
      </c>
      <c r="AM53" s="67">
        <v>0</v>
      </c>
      <c r="AN53" s="67">
        <v>0</v>
      </c>
      <c r="AO53" s="67">
        <v>0</v>
      </c>
      <c r="AP53" s="67">
        <v>0</v>
      </c>
      <c r="AQ53" s="67">
        <v>0</v>
      </c>
      <c r="AR53" s="67">
        <v>0</v>
      </c>
      <c r="AS53" s="68">
        <v>0</v>
      </c>
      <c r="AT53" s="63"/>
      <c r="AU53" s="63"/>
    </row>
    <row r="54" spans="1:47" ht="12.75" hidden="1" customHeight="1" outlineLevel="1" x14ac:dyDescent="0.2">
      <c r="A54" s="61" t="s">
        <v>195</v>
      </c>
      <c r="B54" s="62"/>
      <c r="C54" s="54"/>
      <c r="D54" s="54"/>
      <c r="E54" s="63"/>
      <c r="F54" s="64"/>
      <c r="G54" s="65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66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66"/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8"/>
      <c r="AT54" s="63"/>
      <c r="AU54" s="63"/>
    </row>
    <row r="55" spans="1:47" ht="12.75" hidden="1" customHeight="1" outlineLevel="1" x14ac:dyDescent="0.2">
      <c r="A55" s="61" t="s">
        <v>86</v>
      </c>
      <c r="B55" s="62">
        <v>0</v>
      </c>
      <c r="C55" s="54">
        <v>0</v>
      </c>
      <c r="D55" s="54">
        <v>0</v>
      </c>
      <c r="E55" s="63"/>
      <c r="F55" s="64"/>
      <c r="G55" s="65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66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66">
        <v>0</v>
      </c>
      <c r="AG55" s="67">
        <v>0</v>
      </c>
      <c r="AH55" s="67">
        <v>0</v>
      </c>
      <c r="AI55" s="67">
        <v>0</v>
      </c>
      <c r="AJ55" s="67">
        <v>0</v>
      </c>
      <c r="AK55" s="67">
        <v>0</v>
      </c>
      <c r="AL55" s="67">
        <v>0</v>
      </c>
      <c r="AM55" s="67">
        <v>0</v>
      </c>
      <c r="AN55" s="67">
        <v>0</v>
      </c>
      <c r="AO55" s="67">
        <v>0</v>
      </c>
      <c r="AP55" s="67">
        <v>0</v>
      </c>
      <c r="AQ55" s="67">
        <v>0</v>
      </c>
      <c r="AR55" s="67">
        <v>0</v>
      </c>
      <c r="AS55" s="68">
        <v>0</v>
      </c>
      <c r="AT55" s="63"/>
      <c r="AU55" s="63"/>
    </row>
    <row r="56" spans="1:47" ht="12.75" hidden="1" customHeight="1" outlineLevel="1" x14ac:dyDescent="0.2">
      <c r="A56" s="61" t="s">
        <v>110</v>
      </c>
      <c r="B56" s="62"/>
      <c r="C56" s="54"/>
      <c r="D56" s="54"/>
      <c r="E56" s="63"/>
      <c r="F56" s="64"/>
      <c r="G56" s="65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66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66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8"/>
      <c r="AT56" s="63"/>
      <c r="AU56" s="63"/>
    </row>
    <row r="57" spans="1:47" ht="12.75" hidden="1" customHeight="1" outlineLevel="1" x14ac:dyDescent="0.2">
      <c r="A57" s="61" t="s">
        <v>196</v>
      </c>
      <c r="B57" s="62">
        <v>0</v>
      </c>
      <c r="C57" s="54">
        <v>0</v>
      </c>
      <c r="D57" s="54">
        <v>0</v>
      </c>
      <c r="E57" s="63"/>
      <c r="F57" s="64"/>
      <c r="G57" s="65">
        <v>0</v>
      </c>
      <c r="H57" s="56">
        <v>-3000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76">
        <v>-3000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66">
        <v>0</v>
      </c>
      <c r="AG57" s="67">
        <v>0</v>
      </c>
      <c r="AH57" s="67">
        <v>0</v>
      </c>
      <c r="AI57" s="67">
        <v>0</v>
      </c>
      <c r="AJ57" s="67">
        <v>0</v>
      </c>
      <c r="AK57" s="67">
        <v>0</v>
      </c>
      <c r="AL57" s="67">
        <v>3000</v>
      </c>
      <c r="AM57" s="67">
        <v>0</v>
      </c>
      <c r="AN57" s="67">
        <v>0</v>
      </c>
      <c r="AO57" s="67">
        <v>0</v>
      </c>
      <c r="AP57" s="67">
        <v>0</v>
      </c>
      <c r="AQ57" s="67">
        <v>0</v>
      </c>
      <c r="AR57" s="67">
        <v>0</v>
      </c>
      <c r="AS57" s="68">
        <v>0</v>
      </c>
      <c r="AT57" s="63"/>
      <c r="AU57" s="63"/>
    </row>
    <row r="58" spans="1:47" ht="12.75" hidden="1" customHeight="1" outlineLevel="1" x14ac:dyDescent="0.2">
      <c r="A58" s="61" t="s">
        <v>197</v>
      </c>
      <c r="B58" s="62">
        <v>0</v>
      </c>
      <c r="C58" s="54">
        <v>0</v>
      </c>
      <c r="D58" s="54">
        <v>0</v>
      </c>
      <c r="E58" s="63"/>
      <c r="F58" s="64"/>
      <c r="G58" s="65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0</v>
      </c>
      <c r="AI58" s="67">
        <v>0</v>
      </c>
      <c r="AJ58" s="67">
        <v>0</v>
      </c>
      <c r="AK58" s="67">
        <v>0</v>
      </c>
      <c r="AL58" s="67">
        <v>0</v>
      </c>
      <c r="AM58" s="67">
        <v>0</v>
      </c>
      <c r="AN58" s="67">
        <v>0</v>
      </c>
      <c r="AO58" s="67">
        <v>0</v>
      </c>
      <c r="AP58" s="67">
        <v>0</v>
      </c>
      <c r="AQ58" s="67">
        <v>0</v>
      </c>
      <c r="AR58" s="67">
        <v>0</v>
      </c>
      <c r="AS58" s="68">
        <v>0</v>
      </c>
      <c r="AT58" s="63"/>
      <c r="AU58" s="63"/>
    </row>
    <row r="59" spans="1:47" ht="12.75" hidden="1" customHeight="1" outlineLevel="1" x14ac:dyDescent="0.2">
      <c r="A59" s="61" t="s">
        <v>198</v>
      </c>
      <c r="B59" s="62">
        <v>0</v>
      </c>
      <c r="C59" s="54">
        <v>0</v>
      </c>
      <c r="D59" s="54">
        <v>0</v>
      </c>
      <c r="E59" s="63"/>
      <c r="F59" s="64"/>
      <c r="G59" s="65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66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66">
        <v>0</v>
      </c>
      <c r="AG59" s="67">
        <v>63.67</v>
      </c>
      <c r="AH59" s="67">
        <v>0</v>
      </c>
      <c r="AI59" s="67">
        <v>0</v>
      </c>
      <c r="AJ59" s="67">
        <v>0</v>
      </c>
      <c r="AK59" s="67">
        <v>0</v>
      </c>
      <c r="AL59" s="67">
        <v>0</v>
      </c>
      <c r="AM59" s="67">
        <v>0</v>
      </c>
      <c r="AN59" s="67">
        <v>0</v>
      </c>
      <c r="AO59" s="67">
        <v>0</v>
      </c>
      <c r="AP59" s="67">
        <v>154.38</v>
      </c>
      <c r="AQ59" s="67">
        <v>0</v>
      </c>
      <c r="AR59" s="67">
        <v>0</v>
      </c>
      <c r="AS59" s="68">
        <v>63.67</v>
      </c>
      <c r="AT59" s="63"/>
      <c r="AU59" s="63">
        <v>0</v>
      </c>
    </row>
    <row r="60" spans="1:47" ht="12.75" hidden="1" customHeight="1" outlineLevel="1" x14ac:dyDescent="0.2">
      <c r="A60" s="61" t="s">
        <v>199</v>
      </c>
      <c r="B60" s="62">
        <v>0</v>
      </c>
      <c r="C60" s="54">
        <v>0</v>
      </c>
      <c r="D60" s="54">
        <v>0</v>
      </c>
      <c r="E60" s="63"/>
      <c r="F60" s="64"/>
      <c r="G60" s="65">
        <v>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66">
        <v>0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>
        <v>0</v>
      </c>
      <c r="AE60" s="54">
        <v>0</v>
      </c>
      <c r="AF60" s="66">
        <v>0</v>
      </c>
      <c r="AG60" s="67">
        <v>0</v>
      </c>
      <c r="AH60" s="67">
        <v>0</v>
      </c>
      <c r="AI60" s="67">
        <v>0</v>
      </c>
      <c r="AJ60" s="67">
        <v>0</v>
      </c>
      <c r="AK60" s="67">
        <v>0</v>
      </c>
      <c r="AL60" s="67">
        <v>0</v>
      </c>
      <c r="AM60" s="67">
        <v>0</v>
      </c>
      <c r="AN60" s="67">
        <v>0</v>
      </c>
      <c r="AO60" s="67">
        <v>0</v>
      </c>
      <c r="AP60" s="67">
        <v>0</v>
      </c>
      <c r="AQ60" s="67">
        <v>0</v>
      </c>
      <c r="AR60" s="67">
        <v>0</v>
      </c>
      <c r="AS60" s="68">
        <v>0</v>
      </c>
      <c r="AT60" s="63"/>
      <c r="AU60" s="63"/>
    </row>
    <row r="61" spans="1:47" ht="12.75" hidden="1" customHeight="1" outlineLevel="1" x14ac:dyDescent="0.2">
      <c r="A61" s="61" t="s">
        <v>200</v>
      </c>
      <c r="B61" s="62"/>
      <c r="C61" s="54"/>
      <c r="D61" s="54"/>
      <c r="E61" s="63"/>
      <c r="F61" s="64"/>
      <c r="G61" s="65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66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66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8"/>
      <c r="AT61" s="63"/>
      <c r="AU61" s="63"/>
    </row>
    <row r="62" spans="1:47" ht="12.75" customHeight="1" collapsed="1" x14ac:dyDescent="0.2">
      <c r="A62" s="69" t="s">
        <v>89</v>
      </c>
      <c r="B62" s="70">
        <v>0</v>
      </c>
      <c r="C62" s="71">
        <v>0</v>
      </c>
      <c r="D62" s="71">
        <v>0</v>
      </c>
      <c r="E62" s="72"/>
      <c r="F62" s="73"/>
      <c r="G62" s="70">
        <v>0</v>
      </c>
      <c r="H62" s="74">
        <v>-3000</v>
      </c>
      <c r="I62" s="71">
        <v>0</v>
      </c>
      <c r="J62" s="71">
        <v>0</v>
      </c>
      <c r="K62" s="71">
        <v>0</v>
      </c>
      <c r="L62" s="71">
        <v>0</v>
      </c>
      <c r="M62" s="71">
        <v>0</v>
      </c>
      <c r="N62" s="71">
        <v>0</v>
      </c>
      <c r="O62" s="71">
        <v>0</v>
      </c>
      <c r="P62" s="71">
        <v>0</v>
      </c>
      <c r="Q62" s="71">
        <v>0</v>
      </c>
      <c r="R62" s="71">
        <v>0</v>
      </c>
      <c r="S62" s="74">
        <v>-3000</v>
      </c>
      <c r="T62" s="71">
        <v>0</v>
      </c>
      <c r="U62" s="71">
        <v>0</v>
      </c>
      <c r="V62" s="71">
        <v>0</v>
      </c>
      <c r="W62" s="71">
        <v>0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71">
        <v>0</v>
      </c>
      <c r="AE62" s="71">
        <v>0</v>
      </c>
      <c r="AF62" s="71">
        <v>0</v>
      </c>
      <c r="AG62" s="75">
        <v>63.67</v>
      </c>
      <c r="AH62" s="75">
        <v>0</v>
      </c>
      <c r="AI62" s="75">
        <v>0</v>
      </c>
      <c r="AJ62" s="75">
        <v>0</v>
      </c>
      <c r="AK62" s="75">
        <v>0</v>
      </c>
      <c r="AL62" s="75">
        <v>3000</v>
      </c>
      <c r="AM62" s="75">
        <v>0</v>
      </c>
      <c r="AN62" s="75">
        <v>0</v>
      </c>
      <c r="AO62" s="75">
        <v>0</v>
      </c>
      <c r="AP62" s="75">
        <v>154.38</v>
      </c>
      <c r="AQ62" s="75">
        <v>0</v>
      </c>
      <c r="AR62" s="75">
        <v>0</v>
      </c>
      <c r="AS62" s="75">
        <v>63.67</v>
      </c>
      <c r="AT62" s="72"/>
      <c r="AU62" s="72">
        <v>-4711.7951939689019</v>
      </c>
    </row>
    <row r="63" spans="1:47" ht="12.75" customHeight="1" x14ac:dyDescent="0.2">
      <c r="A63" s="77" t="s">
        <v>201</v>
      </c>
      <c r="B63" s="78">
        <v>9903.19</v>
      </c>
      <c r="C63" s="79">
        <v>0</v>
      </c>
      <c r="D63" s="79">
        <v>26101.69</v>
      </c>
      <c r="E63" s="80"/>
      <c r="F63" s="81">
        <v>37.940800001838959</v>
      </c>
      <c r="G63" s="78">
        <v>12059.33</v>
      </c>
      <c r="H63" s="79">
        <v>8874.09</v>
      </c>
      <c r="I63" s="79">
        <v>13490.51</v>
      </c>
      <c r="J63" s="79">
        <v>9903.19</v>
      </c>
      <c r="K63" s="82">
        <v>-523.92999999999995</v>
      </c>
      <c r="L63" s="79">
        <v>0</v>
      </c>
      <c r="M63" s="79">
        <v>0</v>
      </c>
      <c r="N63" s="79">
        <v>0</v>
      </c>
      <c r="O63" s="79">
        <v>0</v>
      </c>
      <c r="P63" s="79">
        <v>0</v>
      </c>
      <c r="Q63" s="79">
        <v>0</v>
      </c>
      <c r="R63" s="79">
        <v>0</v>
      </c>
      <c r="S63" s="79">
        <v>44327.12</v>
      </c>
      <c r="T63" s="79">
        <v>0</v>
      </c>
      <c r="U63" s="79">
        <v>0</v>
      </c>
      <c r="V63" s="79">
        <v>0</v>
      </c>
      <c r="W63" s="79">
        <v>0</v>
      </c>
      <c r="X63" s="79">
        <v>0</v>
      </c>
      <c r="Y63" s="79">
        <v>0</v>
      </c>
      <c r="Z63" s="79">
        <v>0</v>
      </c>
      <c r="AA63" s="79">
        <v>0</v>
      </c>
      <c r="AB63" s="79">
        <v>0</v>
      </c>
      <c r="AC63" s="79">
        <v>0</v>
      </c>
      <c r="AD63" s="79">
        <v>0</v>
      </c>
      <c r="AE63" s="79">
        <v>0</v>
      </c>
      <c r="AF63" s="79">
        <v>0</v>
      </c>
      <c r="AG63" s="83">
        <v>27336.77</v>
      </c>
      <c r="AH63" s="83">
        <v>45503.18</v>
      </c>
      <c r="AI63" s="83">
        <v>26876.74</v>
      </c>
      <c r="AJ63" s="83">
        <v>26101.69</v>
      </c>
      <c r="AK63" s="83">
        <v>34121.78</v>
      </c>
      <c r="AL63" s="83">
        <v>40394.28</v>
      </c>
      <c r="AM63" s="83">
        <v>36206.46</v>
      </c>
      <c r="AN63" s="83">
        <v>22318.06</v>
      </c>
      <c r="AO63" s="83">
        <v>68435.710000000006</v>
      </c>
      <c r="AP63" s="83">
        <v>22281.42</v>
      </c>
      <c r="AQ63" s="83">
        <v>7998.38</v>
      </c>
      <c r="AR63" s="83">
        <v>11614.17</v>
      </c>
      <c r="AS63" s="83">
        <v>125818.38</v>
      </c>
      <c r="AT63" s="80"/>
      <c r="AU63" s="80">
        <v>35.231036991574683</v>
      </c>
    </row>
    <row r="64" spans="1:47" ht="12.75" customHeight="1" x14ac:dyDescent="0.2">
      <c r="A64" s="84" t="s">
        <v>8</v>
      </c>
      <c r="B64" s="85">
        <v>37480.6</v>
      </c>
      <c r="C64" s="86">
        <v>0</v>
      </c>
      <c r="D64" s="89">
        <v>-4846.93</v>
      </c>
      <c r="E64" s="87"/>
      <c r="F64" s="88">
        <v>-773.28535794822699</v>
      </c>
      <c r="G64" s="85">
        <v>9602.66</v>
      </c>
      <c r="H64" s="86">
        <v>36851.15</v>
      </c>
      <c r="I64" s="86">
        <v>6956.47</v>
      </c>
      <c r="J64" s="86">
        <v>37480.6</v>
      </c>
      <c r="K64" s="89">
        <v>-642.87</v>
      </c>
      <c r="L64" s="86">
        <v>0</v>
      </c>
      <c r="M64" s="86">
        <v>0</v>
      </c>
      <c r="N64" s="86">
        <v>0</v>
      </c>
      <c r="O64" s="86">
        <v>0</v>
      </c>
      <c r="P64" s="86">
        <v>0</v>
      </c>
      <c r="Q64" s="86">
        <v>0</v>
      </c>
      <c r="R64" s="86">
        <v>0</v>
      </c>
      <c r="S64" s="86">
        <v>90890.880000000005</v>
      </c>
      <c r="T64" s="86">
        <v>0</v>
      </c>
      <c r="U64" s="86">
        <v>0</v>
      </c>
      <c r="V64" s="86">
        <v>0</v>
      </c>
      <c r="W64" s="86">
        <v>0</v>
      </c>
      <c r="X64" s="86">
        <v>0</v>
      </c>
      <c r="Y64" s="86">
        <v>0</v>
      </c>
      <c r="Z64" s="86">
        <v>0</v>
      </c>
      <c r="AA64" s="86">
        <v>0</v>
      </c>
      <c r="AB64" s="86">
        <v>0</v>
      </c>
      <c r="AC64" s="86">
        <v>0</v>
      </c>
      <c r="AD64" s="86">
        <v>0</v>
      </c>
      <c r="AE64" s="86">
        <v>0</v>
      </c>
      <c r="AF64" s="86">
        <v>0</v>
      </c>
      <c r="AG64" s="136">
        <v>-746.54</v>
      </c>
      <c r="AH64" s="90">
        <v>14584.61</v>
      </c>
      <c r="AI64" s="90">
        <v>5876.31</v>
      </c>
      <c r="AJ64" s="136">
        <v>-4846.93</v>
      </c>
      <c r="AK64" s="90">
        <v>2799.72</v>
      </c>
      <c r="AL64" s="136">
        <v>-24855.39</v>
      </c>
      <c r="AM64" s="136">
        <v>-14146.98</v>
      </c>
      <c r="AN64" s="90">
        <v>18069.740000000002</v>
      </c>
      <c r="AO64" s="136">
        <v>-45481.93</v>
      </c>
      <c r="AP64" s="90">
        <v>37164.19</v>
      </c>
      <c r="AQ64" s="90">
        <v>32897.800000000003</v>
      </c>
      <c r="AR64" s="90">
        <v>29663.13</v>
      </c>
      <c r="AS64" s="90">
        <v>14867.45</v>
      </c>
      <c r="AT64" s="87"/>
      <c r="AU64" s="87">
        <v>611.34142035116986</v>
      </c>
    </row>
    <row r="65" spans="1:45" x14ac:dyDescent="0.2"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  <c r="AI65" s="94"/>
      <c r="AJ65" s="94"/>
      <c r="AK65" s="94"/>
      <c r="AL65" s="94"/>
      <c r="AM65" s="94"/>
      <c r="AN65" s="94"/>
      <c r="AO65" s="94"/>
      <c r="AP65" s="94"/>
      <c r="AQ65" s="94"/>
      <c r="AR65" s="94"/>
      <c r="AS65" s="94"/>
    </row>
    <row r="66" spans="1:45" x14ac:dyDescent="0.2"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  <c r="AI66" s="94"/>
      <c r="AJ66" s="94"/>
      <c r="AK66" s="94"/>
      <c r="AL66" s="94"/>
      <c r="AM66" s="94"/>
      <c r="AN66" s="94"/>
      <c r="AO66" s="94"/>
      <c r="AP66" s="94"/>
      <c r="AQ66" s="94"/>
      <c r="AR66" s="94"/>
      <c r="AS66" s="94"/>
    </row>
    <row r="67" spans="1:45" x14ac:dyDescent="0.2"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  <c r="AI67" s="94"/>
      <c r="AJ67" s="94"/>
      <c r="AK67" s="94"/>
      <c r="AL67" s="94"/>
      <c r="AM67" s="94"/>
      <c r="AN67" s="94"/>
      <c r="AO67" s="94"/>
      <c r="AP67" s="94"/>
      <c r="AQ67" s="94"/>
      <c r="AR67" s="94"/>
      <c r="AS67" s="94"/>
    </row>
    <row r="68" spans="1:45" ht="15" x14ac:dyDescent="0.25">
      <c r="A68" s="16"/>
      <c r="B68" s="16"/>
      <c r="C68" s="16"/>
      <c r="D68" s="16"/>
    </row>
    <row r="69" spans="1:45" ht="15" x14ac:dyDescent="0.25">
      <c r="A69" s="16"/>
      <c r="B69" s="16"/>
      <c r="C69" s="16"/>
      <c r="D69" s="16"/>
    </row>
    <row r="70" spans="1:45" ht="15" x14ac:dyDescent="0.25">
      <c r="A70" s="16"/>
      <c r="B70" s="16"/>
      <c r="C70" s="16"/>
      <c r="D70" s="16"/>
      <c r="AE70" s="365"/>
      <c r="AF70" s="26"/>
    </row>
    <row r="71" spans="1:45" ht="15" x14ac:dyDescent="0.25">
      <c r="A71" s="16"/>
      <c r="B71" s="365"/>
      <c r="C71" s="405"/>
      <c r="D71" s="16"/>
      <c r="AE71" s="365"/>
      <c r="AF71" s="26"/>
    </row>
    <row r="72" spans="1:45" ht="15" x14ac:dyDescent="0.25">
      <c r="A72" s="16"/>
      <c r="B72" s="365"/>
      <c r="C72" s="405"/>
      <c r="D72" s="16"/>
      <c r="AE72" s="365"/>
      <c r="AF72" s="26"/>
    </row>
    <row r="73" spans="1:45" ht="15" x14ac:dyDescent="0.25">
      <c r="A73" s="16"/>
      <c r="B73" s="365"/>
      <c r="C73" s="405"/>
      <c r="D73" s="16"/>
      <c r="AE73" s="365"/>
      <c r="AF73" s="482"/>
    </row>
    <row r="74" spans="1:45" ht="15" x14ac:dyDescent="0.25">
      <c r="A74" s="16"/>
      <c r="B74" s="365"/>
      <c r="C74" s="549"/>
      <c r="D74" s="16"/>
      <c r="AE74" s="365"/>
      <c r="AF74" s="365"/>
    </row>
    <row r="75" spans="1:45" x14ac:dyDescent="0.2">
      <c r="AE75" s="365"/>
      <c r="AF75" s="18"/>
    </row>
    <row r="76" spans="1:45" x14ac:dyDescent="0.2">
      <c r="AE76" s="365"/>
      <c r="AF76" s="482"/>
    </row>
  </sheetData>
  <hyperlinks>
    <hyperlink ref="AF73" r:id="rId1" display="+@sum(T17:AE18)+@sum(T22:AE22)+@sum(T33:AE33)+@sum(T48:AE48)+@sum(T62:AE62)"/>
    <hyperlink ref="AF76" r:id="rId2" display="+AF75-@sum(T64:AE64)"/>
  </hyperlinks>
  <pageMargins left="0.75" right="0.75" top="1" bottom="1" header="0.5" footer="0.5"/>
  <pageSetup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6" tint="0.59999389629810485"/>
  </sheetPr>
  <dimension ref="A1:AU121"/>
  <sheetViews>
    <sheetView workbookViewId="0">
      <pane xSplit="1" ySplit="1" topLeftCell="G2" activePane="bottomRight" state="frozen"/>
      <selection activeCell="A73" sqref="A73"/>
      <selection pane="topRight" activeCell="A73" sqref="A73"/>
      <selection pane="bottomLeft" activeCell="A73" sqref="A73"/>
      <selection pane="bottomRight" sqref="A1:AU63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customWidth="1" outlineLevel="1"/>
    <col min="8" max="8" width="8.5703125" customWidth="1" outlineLevel="1"/>
    <col min="9" max="18" width="9.42578125" customWidth="1" outlineLevel="1"/>
    <col min="19" max="19" width="15.42578125" customWidth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9.5703125" bestFit="1" customWidth="1" collapsed="1"/>
    <col min="46" max="47" width="10.5703125" customWidth="1"/>
  </cols>
  <sheetData>
    <row r="1" spans="1:47" ht="40.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s="203" customFormat="1" ht="12.75" customHeight="1" x14ac:dyDescent="0.2">
      <c r="A2" s="95" t="s">
        <v>7</v>
      </c>
      <c r="B2" s="62">
        <v>15201.7</v>
      </c>
      <c r="C2" s="54">
        <v>0</v>
      </c>
      <c r="D2" s="54">
        <v>17351.7</v>
      </c>
      <c r="E2" s="63"/>
      <c r="F2" s="64">
        <v>87.609283240258875</v>
      </c>
      <c r="G2" s="65">
        <v>17351.7</v>
      </c>
      <c r="H2" s="54">
        <v>17351.7</v>
      </c>
      <c r="I2" s="54">
        <v>17351.7</v>
      </c>
      <c r="J2" s="54">
        <v>15201.7</v>
      </c>
      <c r="K2" s="54">
        <v>0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67256.800000000003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18313.400000000001</v>
      </c>
      <c r="AH2" s="67">
        <v>20351.7</v>
      </c>
      <c r="AI2" s="67">
        <v>17351.7</v>
      </c>
      <c r="AJ2" s="67">
        <v>17351.7</v>
      </c>
      <c r="AK2" s="67">
        <v>17351.7</v>
      </c>
      <c r="AL2" s="67">
        <v>17351.7</v>
      </c>
      <c r="AM2" s="67">
        <v>15491.7</v>
      </c>
      <c r="AN2" s="67">
        <v>17351.7</v>
      </c>
      <c r="AO2" s="67">
        <v>19501.7</v>
      </c>
      <c r="AP2" s="67">
        <v>17351.7</v>
      </c>
      <c r="AQ2" s="67">
        <v>17351.7</v>
      </c>
      <c r="AR2" s="67">
        <v>17351.7</v>
      </c>
      <c r="AS2" s="68">
        <v>73368.5</v>
      </c>
      <c r="AT2" s="63"/>
      <c r="AU2" s="63">
        <v>91.669858317942982</v>
      </c>
    </row>
    <row r="3" spans="1:47" ht="12.75" hidden="1" customHeight="1" outlineLevel="1" x14ac:dyDescent="0.2">
      <c r="A3" s="95" t="s">
        <v>160</v>
      </c>
      <c r="B3" s="62"/>
      <c r="C3" s="54"/>
      <c r="D3" s="54"/>
      <c r="E3" s="63"/>
      <c r="F3" s="64"/>
      <c r="G3" s="65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66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66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8"/>
      <c r="AT3" s="63"/>
      <c r="AU3" s="63"/>
    </row>
    <row r="4" spans="1:47" ht="12.75" hidden="1" customHeight="1" outlineLevel="1" x14ac:dyDescent="0.2">
      <c r="A4" s="95" t="s">
        <v>161</v>
      </c>
      <c r="B4" s="62"/>
      <c r="C4" s="54"/>
      <c r="D4" s="54"/>
      <c r="E4" s="63"/>
      <c r="F4" s="64"/>
      <c r="G4" s="65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66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66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8"/>
      <c r="AT4" s="63"/>
      <c r="AU4" s="63"/>
    </row>
    <row r="5" spans="1:47" ht="12.75" hidden="1" customHeight="1" outlineLevel="1" x14ac:dyDescent="0.2">
      <c r="A5" s="95" t="s">
        <v>162</v>
      </c>
      <c r="B5" s="62"/>
      <c r="C5" s="54"/>
      <c r="D5" s="54"/>
      <c r="E5" s="63"/>
      <c r="F5" s="64"/>
      <c r="G5" s="65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66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66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8"/>
      <c r="AT5" s="63"/>
      <c r="AU5" s="63"/>
    </row>
    <row r="6" spans="1:47" ht="12.75" hidden="1" customHeight="1" outlineLevel="1" x14ac:dyDescent="0.2">
      <c r="A6" s="95" t="s">
        <v>163</v>
      </c>
      <c r="B6" s="62"/>
      <c r="C6" s="54"/>
      <c r="D6" s="54"/>
      <c r="E6" s="63"/>
      <c r="F6" s="64"/>
      <c r="G6" s="65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66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66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8"/>
      <c r="AT6" s="63"/>
      <c r="AU6" s="63"/>
    </row>
    <row r="7" spans="1:47" ht="12.75" hidden="1" customHeight="1" outlineLevel="1" x14ac:dyDescent="0.2">
      <c r="A7" s="95" t="s">
        <v>164</v>
      </c>
      <c r="B7" s="62"/>
      <c r="C7" s="54"/>
      <c r="D7" s="54"/>
      <c r="E7" s="63"/>
      <c r="F7" s="64"/>
      <c r="G7" s="65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66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66"/>
      <c r="AG7" s="67"/>
      <c r="AH7" s="67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8"/>
      <c r="AT7" s="63"/>
      <c r="AU7" s="63"/>
    </row>
    <row r="8" spans="1:47" ht="12.75" hidden="1" customHeight="1" outlineLevel="1" x14ac:dyDescent="0.2">
      <c r="A8" s="95" t="s">
        <v>165</v>
      </c>
      <c r="B8" s="62"/>
      <c r="C8" s="54"/>
      <c r="D8" s="54"/>
      <c r="E8" s="63"/>
      <c r="F8" s="64"/>
      <c r="G8" s="65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66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66"/>
      <c r="AG8" s="67"/>
      <c r="AH8" s="67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8"/>
      <c r="AT8" s="63"/>
      <c r="AU8" s="63"/>
    </row>
    <row r="9" spans="1:47" ht="12.75" customHeight="1" collapsed="1" x14ac:dyDescent="0.2">
      <c r="A9" s="69" t="s">
        <v>166</v>
      </c>
      <c r="B9" s="70"/>
      <c r="C9" s="71"/>
      <c r="D9" s="71"/>
      <c r="E9" s="72"/>
      <c r="F9" s="73"/>
      <c r="G9" s="70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2"/>
      <c r="AU9" s="72"/>
    </row>
    <row r="10" spans="1:47" ht="12.75" customHeight="1" x14ac:dyDescent="0.2">
      <c r="A10" s="95" t="s">
        <v>167</v>
      </c>
      <c r="B10" s="62"/>
      <c r="C10" s="54"/>
      <c r="D10" s="54"/>
      <c r="E10" s="63"/>
      <c r="F10" s="64"/>
      <c r="G10" s="65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66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8"/>
      <c r="AT10" s="63"/>
      <c r="AU10" s="63"/>
    </row>
    <row r="11" spans="1:47" ht="12.75" customHeight="1" x14ac:dyDescent="0.2">
      <c r="A11" s="95" t="s">
        <v>168</v>
      </c>
      <c r="B11" s="62"/>
      <c r="C11" s="54"/>
      <c r="D11" s="54"/>
      <c r="E11" s="63"/>
      <c r="F11" s="64"/>
      <c r="G11" s="65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66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66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8"/>
      <c r="AT11" s="63"/>
      <c r="AU11" s="63"/>
    </row>
    <row r="12" spans="1:47" ht="12.75" customHeight="1" x14ac:dyDescent="0.2">
      <c r="A12" s="95" t="s">
        <v>169</v>
      </c>
      <c r="B12" s="62"/>
      <c r="C12" s="54"/>
      <c r="D12" s="54"/>
      <c r="E12" s="63"/>
      <c r="F12" s="64"/>
      <c r="G12" s="65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66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6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8"/>
      <c r="AT12" s="63"/>
      <c r="AU12" s="63"/>
    </row>
    <row r="13" spans="1:47" ht="12.75" customHeight="1" x14ac:dyDescent="0.2">
      <c r="A13" s="95" t="s">
        <v>50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47" ht="12.75" customHeight="1" x14ac:dyDescent="0.2">
      <c r="A14" s="95" t="s">
        <v>170</v>
      </c>
      <c r="B14" s="62">
        <v>10951.25</v>
      </c>
      <c r="C14" s="54">
        <v>0</v>
      </c>
      <c r="D14" s="54">
        <v>12226.9</v>
      </c>
      <c r="E14" s="63"/>
      <c r="F14" s="64">
        <v>89.56685668485062</v>
      </c>
      <c r="G14" s="65">
        <v>14999.43</v>
      </c>
      <c r="H14" s="54">
        <v>8289.81</v>
      </c>
      <c r="I14" s="54">
        <v>11225.49</v>
      </c>
      <c r="J14" s="54">
        <v>10951.25</v>
      </c>
      <c r="K14" s="54">
        <v>0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45465.98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67">
        <v>12390.15</v>
      </c>
      <c r="AH14" s="67">
        <v>12107.93</v>
      </c>
      <c r="AI14" s="67">
        <v>12091.74</v>
      </c>
      <c r="AJ14" s="67">
        <v>12226.9</v>
      </c>
      <c r="AK14" s="67">
        <v>12103.14</v>
      </c>
      <c r="AL14" s="67">
        <v>11555.17</v>
      </c>
      <c r="AM14" s="67">
        <v>11880.59</v>
      </c>
      <c r="AN14" s="67">
        <v>12054.94</v>
      </c>
      <c r="AO14" s="67">
        <v>12120.97</v>
      </c>
      <c r="AP14" s="67">
        <v>14132.27</v>
      </c>
      <c r="AQ14" s="67">
        <v>12603.25</v>
      </c>
      <c r="AR14" s="67">
        <v>12586.12</v>
      </c>
      <c r="AS14" s="68">
        <v>48816.72</v>
      </c>
      <c r="AT14" s="63"/>
      <c r="AU14" s="63">
        <v>93.136081244294985</v>
      </c>
    </row>
    <row r="15" spans="1:47" ht="12.75" customHeight="1" x14ac:dyDescent="0.2">
      <c r="A15" s="95" t="s">
        <v>171</v>
      </c>
      <c r="B15" s="62"/>
      <c r="C15" s="54"/>
      <c r="D15" s="54"/>
      <c r="E15" s="63"/>
      <c r="F15" s="64"/>
      <c r="G15" s="65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66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66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8"/>
      <c r="AT15" s="63"/>
      <c r="AU15" s="63"/>
    </row>
    <row r="16" spans="1:47" ht="12.75" customHeight="1" x14ac:dyDescent="0.2">
      <c r="A16" s="95" t="s">
        <v>172</v>
      </c>
      <c r="B16" s="62"/>
      <c r="C16" s="54"/>
      <c r="D16" s="54"/>
      <c r="E16" s="63"/>
      <c r="F16" s="64"/>
      <c r="G16" s="65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66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66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8"/>
      <c r="AT16" s="63"/>
      <c r="AU16" s="63"/>
    </row>
    <row r="17" spans="1:47" ht="12.75" customHeight="1" x14ac:dyDescent="0.2">
      <c r="A17" s="95" t="s">
        <v>173</v>
      </c>
      <c r="B17" s="62"/>
      <c r="C17" s="54"/>
      <c r="D17" s="54"/>
      <c r="E17" s="63"/>
      <c r="F17" s="64"/>
      <c r="G17" s="65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66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66"/>
      <c r="AG17" s="67"/>
      <c r="AH17" s="67"/>
      <c r="AI17" s="67"/>
      <c r="AJ17" s="67"/>
      <c r="AK17" s="67"/>
      <c r="AL17" s="67"/>
      <c r="AM17" s="67"/>
      <c r="AN17" s="67"/>
      <c r="AO17" s="67"/>
      <c r="AP17" s="67"/>
      <c r="AQ17" s="67"/>
      <c r="AR17" s="67"/>
      <c r="AS17" s="68"/>
      <c r="AT17" s="63"/>
      <c r="AU17" s="63"/>
    </row>
    <row r="18" spans="1:47" ht="12.75" hidden="1" customHeight="1" outlineLevel="1" x14ac:dyDescent="0.2">
      <c r="A18" s="95" t="s">
        <v>109</v>
      </c>
      <c r="B18" s="62"/>
      <c r="C18" s="54"/>
      <c r="D18" s="54"/>
      <c r="E18" s="63"/>
      <c r="F18" s="64"/>
      <c r="G18" s="65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66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66"/>
      <c r="AG18" s="67"/>
      <c r="AH18" s="67"/>
      <c r="AI18" s="67"/>
      <c r="AJ18" s="67"/>
      <c r="AK18" s="67"/>
      <c r="AL18" s="67"/>
      <c r="AM18" s="67"/>
      <c r="AN18" s="67"/>
      <c r="AO18" s="67"/>
      <c r="AP18" s="67"/>
      <c r="AQ18" s="67"/>
      <c r="AR18" s="67"/>
      <c r="AS18" s="68"/>
      <c r="AT18" s="63"/>
      <c r="AU18" s="63"/>
    </row>
    <row r="19" spans="1:47" ht="12.75" hidden="1" customHeight="1" outlineLevel="1" x14ac:dyDescent="0.2">
      <c r="A19" s="95" t="s">
        <v>97</v>
      </c>
      <c r="B19" s="62"/>
      <c r="C19" s="54"/>
      <c r="D19" s="54"/>
      <c r="E19" s="63"/>
      <c r="F19" s="64"/>
      <c r="G19" s="65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66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66"/>
      <c r="AG19" s="67"/>
      <c r="AH19" s="67"/>
      <c r="AI19" s="67"/>
      <c r="AJ19" s="67"/>
      <c r="AK19" s="67"/>
      <c r="AL19" s="67"/>
      <c r="AM19" s="67"/>
      <c r="AN19" s="67"/>
      <c r="AO19" s="67"/>
      <c r="AP19" s="67"/>
      <c r="AQ19" s="67"/>
      <c r="AR19" s="67"/>
      <c r="AS19" s="68"/>
      <c r="AT19" s="63"/>
      <c r="AU19" s="63"/>
    </row>
    <row r="20" spans="1:47" ht="12.75" hidden="1" customHeight="1" outlineLevel="1" x14ac:dyDescent="0.2">
      <c r="A20" s="95" t="s">
        <v>69</v>
      </c>
      <c r="B20" s="62"/>
      <c r="C20" s="54"/>
      <c r="D20" s="54"/>
      <c r="E20" s="63"/>
      <c r="F20" s="64"/>
      <c r="G20" s="65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66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66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8"/>
      <c r="AT20" s="63"/>
      <c r="AU20" s="63"/>
    </row>
    <row r="21" spans="1:47" ht="12.75" customHeight="1" collapsed="1" x14ac:dyDescent="0.2">
      <c r="A21" s="69" t="s">
        <v>70</v>
      </c>
      <c r="B21" s="70"/>
      <c r="C21" s="71"/>
      <c r="D21" s="71"/>
      <c r="E21" s="72"/>
      <c r="F21" s="73"/>
      <c r="G21" s="70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2"/>
      <c r="AU21" s="72"/>
    </row>
    <row r="22" spans="1:47" ht="12.75" hidden="1" customHeight="1" outlineLevel="1" x14ac:dyDescent="0.2">
      <c r="A22" s="95" t="s">
        <v>174</v>
      </c>
      <c r="B22" s="62"/>
      <c r="C22" s="54"/>
      <c r="D22" s="54"/>
      <c r="E22" s="63"/>
      <c r="F22" s="64"/>
      <c r="G22" s="65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66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66"/>
      <c r="AG22" s="67"/>
      <c r="AH22" s="67"/>
      <c r="AI22" s="67"/>
      <c r="AJ22" s="67"/>
      <c r="AK22" s="67"/>
      <c r="AL22" s="67"/>
      <c r="AM22" s="67"/>
      <c r="AN22" s="67"/>
      <c r="AO22" s="67"/>
      <c r="AP22" s="67"/>
      <c r="AQ22" s="67"/>
      <c r="AR22" s="67"/>
      <c r="AS22" s="68"/>
      <c r="AT22" s="63"/>
      <c r="AU22" s="63"/>
    </row>
    <row r="23" spans="1:47" ht="12.75" hidden="1" customHeight="1" outlineLevel="1" x14ac:dyDescent="0.2">
      <c r="A23" s="95" t="s">
        <v>99</v>
      </c>
      <c r="B23" s="62"/>
      <c r="C23" s="54"/>
      <c r="D23" s="54"/>
      <c r="E23" s="63"/>
      <c r="F23" s="64"/>
      <c r="G23" s="65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66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66"/>
      <c r="AG23" s="67"/>
      <c r="AH23" s="67"/>
      <c r="AI23" s="67"/>
      <c r="AJ23" s="67"/>
      <c r="AK23" s="67"/>
      <c r="AL23" s="67"/>
      <c r="AM23" s="67"/>
      <c r="AN23" s="67"/>
      <c r="AO23" s="67"/>
      <c r="AP23" s="67"/>
      <c r="AQ23" s="67"/>
      <c r="AR23" s="67"/>
      <c r="AS23" s="68"/>
      <c r="AT23" s="63"/>
      <c r="AU23" s="63"/>
    </row>
    <row r="24" spans="1:47" ht="12.75" hidden="1" customHeight="1" outlineLevel="1" x14ac:dyDescent="0.2">
      <c r="A24" s="95" t="s">
        <v>175</v>
      </c>
      <c r="B24" s="62"/>
      <c r="C24" s="54"/>
      <c r="D24" s="54"/>
      <c r="E24" s="63"/>
      <c r="F24" s="64"/>
      <c r="G24" s="65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66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66"/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8"/>
      <c r="AT24" s="63"/>
      <c r="AU24" s="63"/>
    </row>
    <row r="25" spans="1:47" ht="12.75" hidden="1" customHeight="1" outlineLevel="1" x14ac:dyDescent="0.2">
      <c r="A25" s="95" t="s">
        <v>100</v>
      </c>
      <c r="B25" s="62"/>
      <c r="C25" s="54"/>
      <c r="D25" s="54"/>
      <c r="E25" s="63"/>
      <c r="F25" s="64"/>
      <c r="G25" s="65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66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66"/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8"/>
      <c r="AT25" s="63"/>
      <c r="AU25" s="63"/>
    </row>
    <row r="26" spans="1:47" ht="12.75" hidden="1" customHeight="1" outlineLevel="1" x14ac:dyDescent="0.2">
      <c r="A26" s="95" t="s">
        <v>101</v>
      </c>
      <c r="B26" s="62"/>
      <c r="C26" s="54"/>
      <c r="D26" s="54"/>
      <c r="E26" s="63"/>
      <c r="F26" s="64"/>
      <c r="G26" s="65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66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66"/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8"/>
      <c r="AT26" s="63"/>
      <c r="AU26" s="63"/>
    </row>
    <row r="27" spans="1:47" ht="12.75" hidden="1" customHeight="1" outlineLevel="1" x14ac:dyDescent="0.2">
      <c r="A27" s="95" t="s">
        <v>176</v>
      </c>
      <c r="B27" s="62"/>
      <c r="C27" s="54"/>
      <c r="D27" s="54"/>
      <c r="E27" s="63"/>
      <c r="F27" s="64"/>
      <c r="G27" s="65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66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66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8"/>
      <c r="AT27" s="63"/>
      <c r="AU27" s="63"/>
    </row>
    <row r="28" spans="1:47" ht="12.75" hidden="1" customHeight="1" outlineLevel="1" x14ac:dyDescent="0.2">
      <c r="A28" s="95" t="s">
        <v>102</v>
      </c>
      <c r="B28" s="62"/>
      <c r="C28" s="54"/>
      <c r="D28" s="54"/>
      <c r="E28" s="63"/>
      <c r="F28" s="64"/>
      <c r="G28" s="65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66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66"/>
      <c r="AG28" s="67"/>
      <c r="AH28" s="67"/>
      <c r="AI28" s="67"/>
      <c r="AJ28" s="67"/>
      <c r="AK28" s="67"/>
      <c r="AL28" s="67"/>
      <c r="AM28" s="67"/>
      <c r="AN28" s="67"/>
      <c r="AO28" s="67"/>
      <c r="AP28" s="67"/>
      <c r="AQ28" s="67"/>
      <c r="AR28" s="67"/>
      <c r="AS28" s="68"/>
      <c r="AT28" s="63"/>
      <c r="AU28" s="63"/>
    </row>
    <row r="29" spans="1:47" ht="12.75" hidden="1" customHeight="1" outlineLevel="1" x14ac:dyDescent="0.2">
      <c r="A29" s="95" t="s">
        <v>75</v>
      </c>
      <c r="B29" s="62"/>
      <c r="C29" s="54"/>
      <c r="D29" s="54"/>
      <c r="E29" s="63"/>
      <c r="F29" s="64"/>
      <c r="G29" s="65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66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66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8"/>
      <c r="AT29" s="63"/>
      <c r="AU29" s="63"/>
    </row>
    <row r="30" spans="1:47" ht="12.75" hidden="1" customHeight="1" outlineLevel="1" x14ac:dyDescent="0.2">
      <c r="A30" s="95" t="s">
        <v>76</v>
      </c>
      <c r="B30" s="62"/>
      <c r="C30" s="54"/>
      <c r="D30" s="54"/>
      <c r="E30" s="63"/>
      <c r="F30" s="64"/>
      <c r="G30" s="65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66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66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8"/>
      <c r="AT30" s="63"/>
      <c r="AU30" s="63"/>
    </row>
    <row r="31" spans="1:47" ht="12.75" hidden="1" customHeight="1" outlineLevel="1" x14ac:dyDescent="0.2">
      <c r="A31" s="95" t="s">
        <v>77</v>
      </c>
      <c r="B31" s="62"/>
      <c r="C31" s="54"/>
      <c r="D31" s="54"/>
      <c r="E31" s="63"/>
      <c r="F31" s="64"/>
      <c r="G31" s="65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66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66"/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8"/>
      <c r="AT31" s="63"/>
      <c r="AU31" s="63"/>
    </row>
    <row r="32" spans="1:47" ht="12.75" customHeight="1" collapsed="1" x14ac:dyDescent="0.2">
      <c r="A32" s="69" t="s">
        <v>177</v>
      </c>
      <c r="B32" s="70"/>
      <c r="C32" s="71"/>
      <c r="D32" s="71"/>
      <c r="E32" s="72"/>
      <c r="F32" s="73"/>
      <c r="G32" s="70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5"/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2"/>
      <c r="AU32" s="72"/>
    </row>
    <row r="33" spans="1:47" ht="12.75" hidden="1" customHeight="1" outlineLevel="1" x14ac:dyDescent="0.2">
      <c r="A33" s="95" t="s">
        <v>178</v>
      </c>
      <c r="B33" s="62"/>
      <c r="C33" s="54"/>
      <c r="D33" s="54"/>
      <c r="E33" s="63"/>
      <c r="F33" s="64"/>
      <c r="G33" s="65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66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66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8"/>
      <c r="AT33" s="63"/>
      <c r="AU33" s="63"/>
    </row>
    <row r="34" spans="1:47" ht="12.75" hidden="1" customHeight="1" outlineLevel="1" x14ac:dyDescent="0.2">
      <c r="A34" s="95" t="s">
        <v>179</v>
      </c>
      <c r="B34" s="62"/>
      <c r="C34" s="54"/>
      <c r="D34" s="54"/>
      <c r="E34" s="63"/>
      <c r="F34" s="64"/>
      <c r="G34" s="65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66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66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8"/>
      <c r="AT34" s="63"/>
      <c r="AU34" s="63"/>
    </row>
    <row r="35" spans="1:47" ht="12.75" hidden="1" customHeight="1" outlineLevel="1" x14ac:dyDescent="0.2">
      <c r="A35" s="95" t="s">
        <v>180</v>
      </c>
      <c r="B35" s="62"/>
      <c r="C35" s="54"/>
      <c r="D35" s="54"/>
      <c r="E35" s="63"/>
      <c r="F35" s="64"/>
      <c r="G35" s="65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66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66"/>
      <c r="AG35" s="67"/>
      <c r="AH35" s="67"/>
      <c r="AI35" s="67"/>
      <c r="AJ35" s="67"/>
      <c r="AK35" s="67"/>
      <c r="AL35" s="67"/>
      <c r="AM35" s="67"/>
      <c r="AN35" s="67"/>
      <c r="AO35" s="67"/>
      <c r="AP35" s="67"/>
      <c r="AQ35" s="67"/>
      <c r="AR35" s="67"/>
      <c r="AS35" s="68"/>
      <c r="AT35" s="63"/>
      <c r="AU35" s="63"/>
    </row>
    <row r="36" spans="1:47" ht="12.75" hidden="1" customHeight="1" outlineLevel="1" x14ac:dyDescent="0.2">
      <c r="A36" s="95" t="s">
        <v>181</v>
      </c>
      <c r="B36" s="62"/>
      <c r="C36" s="54"/>
      <c r="D36" s="54"/>
      <c r="E36" s="63"/>
      <c r="F36" s="64"/>
      <c r="G36" s="65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66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66"/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8"/>
      <c r="AT36" s="63"/>
      <c r="AU36" s="63"/>
    </row>
    <row r="37" spans="1:47" ht="12.75" hidden="1" customHeight="1" outlineLevel="1" x14ac:dyDescent="0.2">
      <c r="A37" s="95" t="s">
        <v>182</v>
      </c>
      <c r="B37" s="62"/>
      <c r="C37" s="54"/>
      <c r="D37" s="54"/>
      <c r="E37" s="63"/>
      <c r="F37" s="64"/>
      <c r="G37" s="65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66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66"/>
      <c r="AG37" s="67"/>
      <c r="AH37" s="67"/>
      <c r="AI37" s="67"/>
      <c r="AJ37" s="67"/>
      <c r="AK37" s="67"/>
      <c r="AL37" s="67"/>
      <c r="AM37" s="67"/>
      <c r="AN37" s="67"/>
      <c r="AO37" s="67"/>
      <c r="AP37" s="67"/>
      <c r="AQ37" s="67"/>
      <c r="AR37" s="67"/>
      <c r="AS37" s="68"/>
      <c r="AT37" s="63"/>
      <c r="AU37" s="63"/>
    </row>
    <row r="38" spans="1:47" ht="12.75" hidden="1" customHeight="1" outlineLevel="1" x14ac:dyDescent="0.2">
      <c r="A38" s="95" t="s">
        <v>183</v>
      </c>
      <c r="B38" s="62"/>
      <c r="C38" s="54"/>
      <c r="D38" s="54"/>
      <c r="E38" s="63"/>
      <c r="F38" s="64"/>
      <c r="G38" s="65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66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66"/>
      <c r="AG38" s="67"/>
      <c r="AH38" s="67"/>
      <c r="AI38" s="67"/>
      <c r="AJ38" s="67"/>
      <c r="AK38" s="67"/>
      <c r="AL38" s="67"/>
      <c r="AM38" s="67"/>
      <c r="AN38" s="67"/>
      <c r="AO38" s="67"/>
      <c r="AP38" s="67"/>
      <c r="AQ38" s="67"/>
      <c r="AR38" s="67"/>
      <c r="AS38" s="68"/>
      <c r="AT38" s="63"/>
      <c r="AU38" s="63"/>
    </row>
    <row r="39" spans="1:47" ht="12.75" hidden="1" customHeight="1" outlineLevel="1" x14ac:dyDescent="0.2">
      <c r="A39" s="95" t="s">
        <v>184</v>
      </c>
      <c r="B39" s="62"/>
      <c r="C39" s="54"/>
      <c r="D39" s="54"/>
      <c r="E39" s="63"/>
      <c r="F39" s="64"/>
      <c r="G39" s="65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66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66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8"/>
      <c r="AT39" s="63"/>
      <c r="AU39" s="63"/>
    </row>
    <row r="40" spans="1:47" ht="12.75" hidden="1" customHeight="1" outlineLevel="1" x14ac:dyDescent="0.2">
      <c r="A40" s="95" t="s">
        <v>185</v>
      </c>
      <c r="B40" s="62"/>
      <c r="C40" s="54"/>
      <c r="D40" s="54"/>
      <c r="E40" s="63"/>
      <c r="F40" s="64"/>
      <c r="G40" s="65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66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66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8"/>
      <c r="AT40" s="63"/>
      <c r="AU40" s="63"/>
    </row>
    <row r="41" spans="1:47" ht="12.75" hidden="1" customHeight="1" outlineLevel="1" x14ac:dyDescent="0.2">
      <c r="A41" s="95" t="s">
        <v>186</v>
      </c>
      <c r="B41" s="62"/>
      <c r="C41" s="54"/>
      <c r="D41" s="54"/>
      <c r="E41" s="63"/>
      <c r="F41" s="64"/>
      <c r="G41" s="65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66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66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8"/>
      <c r="AT41" s="63"/>
      <c r="AU41" s="63"/>
    </row>
    <row r="42" spans="1:47" ht="12.75" hidden="1" customHeight="1" outlineLevel="1" x14ac:dyDescent="0.2">
      <c r="A42" s="95" t="s">
        <v>187</v>
      </c>
      <c r="B42" s="62"/>
      <c r="C42" s="54"/>
      <c r="D42" s="54"/>
      <c r="E42" s="63"/>
      <c r="F42" s="64"/>
      <c r="G42" s="65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66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66"/>
      <c r="AG42" s="67"/>
      <c r="AH42" s="67"/>
      <c r="AI42" s="67"/>
      <c r="AJ42" s="67"/>
      <c r="AK42" s="67"/>
      <c r="AL42" s="67"/>
      <c r="AM42" s="67"/>
      <c r="AN42" s="67"/>
      <c r="AO42" s="67"/>
      <c r="AP42" s="67"/>
      <c r="AQ42" s="67"/>
      <c r="AR42" s="67"/>
      <c r="AS42" s="68"/>
      <c r="AT42" s="63"/>
      <c r="AU42" s="63"/>
    </row>
    <row r="43" spans="1:47" ht="12.75" hidden="1" customHeight="1" outlineLevel="1" x14ac:dyDescent="0.2">
      <c r="A43" s="95" t="s">
        <v>188</v>
      </c>
      <c r="B43" s="62"/>
      <c r="C43" s="54"/>
      <c r="D43" s="54"/>
      <c r="E43" s="63"/>
      <c r="F43" s="64"/>
      <c r="G43" s="65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66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66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8"/>
      <c r="AT43" s="63"/>
      <c r="AU43" s="63"/>
    </row>
    <row r="44" spans="1:47" ht="12.75" hidden="1" customHeight="1" outlineLevel="1" x14ac:dyDescent="0.2">
      <c r="A44" s="95" t="s">
        <v>189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95" t="s">
        <v>190</v>
      </c>
      <c r="B45" s="62"/>
      <c r="C45" s="54"/>
      <c r="D45" s="54"/>
      <c r="E45" s="63"/>
      <c r="F45" s="64"/>
      <c r="G45" s="65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66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66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8"/>
      <c r="AT45" s="63"/>
      <c r="AU45" s="63"/>
    </row>
    <row r="46" spans="1:47" ht="12.75" hidden="1" customHeight="1" outlineLevel="1" x14ac:dyDescent="0.2">
      <c r="A46" s="95" t="s">
        <v>191</v>
      </c>
      <c r="B46" s="62"/>
      <c r="C46" s="54"/>
      <c r="D46" s="54"/>
      <c r="E46" s="63"/>
      <c r="F46" s="64"/>
      <c r="G46" s="65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66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66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8"/>
      <c r="AT46" s="63"/>
      <c r="AU46" s="63"/>
    </row>
    <row r="47" spans="1:47" ht="12.75" customHeight="1" collapsed="1" x14ac:dyDescent="0.2">
      <c r="A47" s="69" t="s">
        <v>192</v>
      </c>
      <c r="B47" s="70"/>
      <c r="C47" s="71"/>
      <c r="D47" s="71"/>
      <c r="E47" s="72"/>
      <c r="F47" s="73"/>
      <c r="G47" s="70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5"/>
      <c r="AH47" s="75"/>
      <c r="AI47" s="75"/>
      <c r="AJ47" s="75"/>
      <c r="AK47" s="75"/>
      <c r="AL47" s="75"/>
      <c r="AM47" s="75"/>
      <c r="AN47" s="75"/>
      <c r="AO47" s="75"/>
      <c r="AP47" s="75"/>
      <c r="AQ47" s="75"/>
      <c r="AR47" s="75"/>
      <c r="AS47" s="75"/>
      <c r="AT47" s="72"/>
      <c r="AU47" s="72"/>
    </row>
    <row r="48" spans="1:47" ht="12.75" hidden="1" customHeight="1" outlineLevel="1" x14ac:dyDescent="0.2">
      <c r="A48" s="95" t="s">
        <v>193</v>
      </c>
      <c r="B48" s="62"/>
      <c r="C48" s="54"/>
      <c r="D48" s="54"/>
      <c r="E48" s="63"/>
      <c r="F48" s="64"/>
      <c r="G48" s="65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66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66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8"/>
      <c r="AT48" s="63"/>
      <c r="AU48" s="63"/>
    </row>
    <row r="49" spans="1:47" ht="12.75" hidden="1" customHeight="1" outlineLevel="1" x14ac:dyDescent="0.2">
      <c r="A49" s="95" t="s">
        <v>194</v>
      </c>
      <c r="B49" s="62"/>
      <c r="C49" s="54"/>
      <c r="D49" s="54"/>
      <c r="E49" s="63"/>
      <c r="F49" s="64"/>
      <c r="G49" s="65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66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66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8"/>
      <c r="AT49" s="63"/>
      <c r="AU49" s="63"/>
    </row>
    <row r="50" spans="1:47" ht="12.75" hidden="1" customHeight="1" outlineLevel="1" x14ac:dyDescent="0.2">
      <c r="A50" s="95" t="s">
        <v>82</v>
      </c>
      <c r="B50" s="62"/>
      <c r="C50" s="54"/>
      <c r="D50" s="54"/>
      <c r="E50" s="63"/>
      <c r="F50" s="64"/>
      <c r="G50" s="65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66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66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8"/>
      <c r="AT50" s="63"/>
      <c r="AU50" s="63"/>
    </row>
    <row r="51" spans="1:47" ht="12.75" hidden="1" customHeight="1" outlineLevel="1" x14ac:dyDescent="0.2">
      <c r="A51" s="95" t="s">
        <v>83</v>
      </c>
      <c r="B51" s="62"/>
      <c r="C51" s="54"/>
      <c r="D51" s="54"/>
      <c r="E51" s="63"/>
      <c r="F51" s="64"/>
      <c r="G51" s="65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66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66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8"/>
      <c r="AT51" s="63"/>
      <c r="AU51" s="63"/>
    </row>
    <row r="52" spans="1:47" ht="12.75" hidden="1" customHeight="1" outlineLevel="1" x14ac:dyDescent="0.2">
      <c r="A52" s="95" t="s">
        <v>84</v>
      </c>
      <c r="B52" s="62"/>
      <c r="C52" s="54"/>
      <c r="D52" s="54"/>
      <c r="E52" s="63"/>
      <c r="F52" s="64"/>
      <c r="G52" s="65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66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66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8"/>
      <c r="AT52" s="63"/>
      <c r="AU52" s="63"/>
    </row>
    <row r="53" spans="1:47" ht="12.75" hidden="1" customHeight="1" outlineLevel="1" x14ac:dyDescent="0.2">
      <c r="A53" s="95" t="s">
        <v>195</v>
      </c>
      <c r="B53" s="62"/>
      <c r="C53" s="54"/>
      <c r="D53" s="54"/>
      <c r="E53" s="63"/>
      <c r="F53" s="64"/>
      <c r="G53" s="65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66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66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8"/>
      <c r="AT53" s="63"/>
      <c r="AU53" s="63"/>
    </row>
    <row r="54" spans="1:47" ht="12.75" hidden="1" customHeight="1" outlineLevel="1" x14ac:dyDescent="0.2">
      <c r="A54" s="95" t="s">
        <v>86</v>
      </c>
      <c r="B54" s="62"/>
      <c r="C54" s="54"/>
      <c r="D54" s="54"/>
      <c r="E54" s="63"/>
      <c r="F54" s="64"/>
      <c r="G54" s="65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66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66"/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8"/>
      <c r="AT54" s="63"/>
      <c r="AU54" s="63"/>
    </row>
    <row r="55" spans="1:47" ht="12.75" hidden="1" customHeight="1" outlineLevel="1" x14ac:dyDescent="0.2">
      <c r="A55" s="95" t="s">
        <v>110</v>
      </c>
      <c r="B55" s="62"/>
      <c r="C55" s="54"/>
      <c r="D55" s="54"/>
      <c r="E55" s="63"/>
      <c r="F55" s="64"/>
      <c r="G55" s="65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66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66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8"/>
      <c r="AT55" s="63"/>
      <c r="AU55" s="63"/>
    </row>
    <row r="56" spans="1:47" ht="12.75" hidden="1" customHeight="1" outlineLevel="1" x14ac:dyDescent="0.2">
      <c r="A56" s="95" t="s">
        <v>196</v>
      </c>
      <c r="B56" s="62"/>
      <c r="C56" s="54"/>
      <c r="D56" s="54"/>
      <c r="E56" s="63"/>
      <c r="F56" s="64"/>
      <c r="G56" s="65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66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66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8"/>
      <c r="AT56" s="63"/>
      <c r="AU56" s="63"/>
    </row>
    <row r="57" spans="1:47" ht="12.75" hidden="1" customHeight="1" outlineLevel="1" x14ac:dyDescent="0.2">
      <c r="A57" s="95" t="s">
        <v>197</v>
      </c>
      <c r="B57" s="62"/>
      <c r="C57" s="54"/>
      <c r="D57" s="54"/>
      <c r="E57" s="63"/>
      <c r="F57" s="64"/>
      <c r="G57" s="65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66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66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8"/>
      <c r="AT57" s="63"/>
      <c r="AU57" s="63"/>
    </row>
    <row r="58" spans="1:47" ht="12.75" hidden="1" customHeight="1" outlineLevel="1" x14ac:dyDescent="0.2">
      <c r="A58" s="95" t="s">
        <v>198</v>
      </c>
      <c r="B58" s="62"/>
      <c r="C58" s="54"/>
      <c r="D58" s="54"/>
      <c r="E58" s="63"/>
      <c r="F58" s="64"/>
      <c r="G58" s="65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66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66"/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8"/>
      <c r="AT58" s="63"/>
      <c r="AU58" s="63"/>
    </row>
    <row r="59" spans="1:47" ht="12.75" hidden="1" customHeight="1" outlineLevel="1" x14ac:dyDescent="0.2">
      <c r="A59" s="95" t="s">
        <v>199</v>
      </c>
      <c r="B59" s="62">
        <v>0</v>
      </c>
      <c r="C59" s="54">
        <v>0</v>
      </c>
      <c r="D59" s="54">
        <v>0</v>
      </c>
      <c r="E59" s="63"/>
      <c r="F59" s="64"/>
      <c r="G59" s="65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66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66">
        <v>0</v>
      </c>
      <c r="AG59" s="67">
        <v>0</v>
      </c>
      <c r="AH59" s="67">
        <v>0</v>
      </c>
      <c r="AI59" s="67">
        <v>0</v>
      </c>
      <c r="AJ59" s="67">
        <v>0</v>
      </c>
      <c r="AK59" s="67">
        <v>0</v>
      </c>
      <c r="AL59" s="67">
        <v>0</v>
      </c>
      <c r="AM59" s="67">
        <v>0</v>
      </c>
      <c r="AN59" s="67">
        <v>0</v>
      </c>
      <c r="AO59" s="67">
        <v>0</v>
      </c>
      <c r="AP59" s="67">
        <v>0</v>
      </c>
      <c r="AQ59" s="67">
        <v>0</v>
      </c>
      <c r="AR59" s="67">
        <v>0</v>
      </c>
      <c r="AS59" s="68">
        <v>0</v>
      </c>
      <c r="AT59" s="63"/>
      <c r="AU59" s="63"/>
    </row>
    <row r="60" spans="1:47" ht="12.75" hidden="1" customHeight="1" outlineLevel="1" x14ac:dyDescent="0.2">
      <c r="A60" s="95" t="s">
        <v>200</v>
      </c>
      <c r="B60" s="62"/>
      <c r="C60" s="54"/>
      <c r="D60" s="54"/>
      <c r="E60" s="63"/>
      <c r="F60" s="64"/>
      <c r="G60" s="65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66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66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8"/>
      <c r="AT60" s="63"/>
      <c r="AU60" s="63"/>
    </row>
    <row r="61" spans="1:47" ht="12.75" customHeight="1" collapsed="1" x14ac:dyDescent="0.2">
      <c r="A61" s="69" t="s">
        <v>89</v>
      </c>
      <c r="B61" s="70">
        <v>0</v>
      </c>
      <c r="C61" s="71">
        <v>0</v>
      </c>
      <c r="D61" s="71">
        <v>0</v>
      </c>
      <c r="E61" s="72"/>
      <c r="F61" s="73"/>
      <c r="G61" s="70">
        <v>0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  <c r="M61" s="71">
        <v>0</v>
      </c>
      <c r="N61" s="71">
        <v>0</v>
      </c>
      <c r="O61" s="71">
        <v>0</v>
      </c>
      <c r="P61" s="71">
        <v>0</v>
      </c>
      <c r="Q61" s="71">
        <v>0</v>
      </c>
      <c r="R61" s="71">
        <v>0</v>
      </c>
      <c r="S61" s="71">
        <v>0</v>
      </c>
      <c r="T61" s="71">
        <v>0</v>
      </c>
      <c r="U61" s="71">
        <v>0</v>
      </c>
      <c r="V61" s="71">
        <v>0</v>
      </c>
      <c r="W61" s="71">
        <v>0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71">
        <v>0</v>
      </c>
      <c r="AE61" s="71">
        <v>0</v>
      </c>
      <c r="AF61" s="71">
        <v>0</v>
      </c>
      <c r="AG61" s="75">
        <v>0</v>
      </c>
      <c r="AH61" s="75">
        <v>0</v>
      </c>
      <c r="AI61" s="75">
        <v>0</v>
      </c>
      <c r="AJ61" s="75">
        <v>0</v>
      </c>
      <c r="AK61" s="75">
        <v>0</v>
      </c>
      <c r="AL61" s="75">
        <v>0</v>
      </c>
      <c r="AM61" s="75">
        <v>0</v>
      </c>
      <c r="AN61" s="75">
        <v>0</v>
      </c>
      <c r="AO61" s="75">
        <v>0</v>
      </c>
      <c r="AP61" s="75">
        <v>0</v>
      </c>
      <c r="AQ61" s="75">
        <v>0</v>
      </c>
      <c r="AR61" s="75">
        <v>0</v>
      </c>
      <c r="AS61" s="75">
        <v>0</v>
      </c>
      <c r="AT61" s="72"/>
      <c r="AU61" s="72"/>
    </row>
    <row r="62" spans="1:47" ht="12.75" customHeight="1" x14ac:dyDescent="0.2">
      <c r="A62" s="77" t="s">
        <v>201</v>
      </c>
      <c r="B62" s="78">
        <v>10951.25</v>
      </c>
      <c r="C62" s="79">
        <v>0</v>
      </c>
      <c r="D62" s="79">
        <v>12226.9</v>
      </c>
      <c r="E62" s="80"/>
      <c r="F62" s="81">
        <v>89.56685668485062</v>
      </c>
      <c r="G62" s="78">
        <v>14999.43</v>
      </c>
      <c r="H62" s="79">
        <v>8289.81</v>
      </c>
      <c r="I62" s="79">
        <v>11225.49</v>
      </c>
      <c r="J62" s="79">
        <v>10951.25</v>
      </c>
      <c r="K62" s="79">
        <v>0</v>
      </c>
      <c r="L62" s="79">
        <v>0</v>
      </c>
      <c r="M62" s="79">
        <v>0</v>
      </c>
      <c r="N62" s="79">
        <v>0</v>
      </c>
      <c r="O62" s="79">
        <v>0</v>
      </c>
      <c r="P62" s="79">
        <v>0</v>
      </c>
      <c r="Q62" s="79">
        <v>0</v>
      </c>
      <c r="R62" s="79">
        <v>0</v>
      </c>
      <c r="S62" s="79">
        <v>45465.98</v>
      </c>
      <c r="T62" s="79">
        <v>0</v>
      </c>
      <c r="U62" s="79">
        <v>0</v>
      </c>
      <c r="V62" s="79">
        <v>0</v>
      </c>
      <c r="W62" s="79">
        <v>0</v>
      </c>
      <c r="X62" s="79">
        <v>0</v>
      </c>
      <c r="Y62" s="79">
        <v>0</v>
      </c>
      <c r="Z62" s="79">
        <v>0</v>
      </c>
      <c r="AA62" s="79">
        <v>0</v>
      </c>
      <c r="AB62" s="79">
        <v>0</v>
      </c>
      <c r="AC62" s="79">
        <v>0</v>
      </c>
      <c r="AD62" s="79">
        <v>0</v>
      </c>
      <c r="AE62" s="79">
        <v>0</v>
      </c>
      <c r="AF62" s="79">
        <v>0</v>
      </c>
      <c r="AG62" s="83">
        <v>12390.15</v>
      </c>
      <c r="AH62" s="83">
        <v>12107.93</v>
      </c>
      <c r="AI62" s="83">
        <v>12091.74</v>
      </c>
      <c r="AJ62" s="83">
        <v>12226.9</v>
      </c>
      <c r="AK62" s="83">
        <v>12103.14</v>
      </c>
      <c r="AL62" s="83">
        <v>11555.17</v>
      </c>
      <c r="AM62" s="83">
        <v>11880.59</v>
      </c>
      <c r="AN62" s="83">
        <v>12054.94</v>
      </c>
      <c r="AO62" s="83">
        <v>12120.97</v>
      </c>
      <c r="AP62" s="83">
        <v>14132.27</v>
      </c>
      <c r="AQ62" s="83">
        <v>12603.25</v>
      </c>
      <c r="AR62" s="83">
        <v>12586.12</v>
      </c>
      <c r="AS62" s="83">
        <v>48816.72</v>
      </c>
      <c r="AT62" s="80"/>
      <c r="AU62" s="80">
        <v>93.136081244294985</v>
      </c>
    </row>
    <row r="63" spans="1:47" ht="12.75" customHeight="1" x14ac:dyDescent="0.2">
      <c r="A63" s="84" t="s">
        <v>8</v>
      </c>
      <c r="B63" s="85">
        <v>4250.45</v>
      </c>
      <c r="C63" s="86">
        <v>0</v>
      </c>
      <c r="D63" s="86">
        <v>5124.8</v>
      </c>
      <c r="E63" s="87"/>
      <c r="F63" s="88">
        <v>82.938846394005623</v>
      </c>
      <c r="G63" s="85">
        <v>2352.27</v>
      </c>
      <c r="H63" s="86">
        <v>9061.89</v>
      </c>
      <c r="I63" s="86">
        <v>6126.21</v>
      </c>
      <c r="J63" s="86">
        <v>4250.45</v>
      </c>
      <c r="K63" s="86">
        <v>0</v>
      </c>
      <c r="L63" s="86">
        <v>0</v>
      </c>
      <c r="M63" s="86">
        <v>0</v>
      </c>
      <c r="N63" s="86">
        <v>0</v>
      </c>
      <c r="O63" s="86">
        <v>0</v>
      </c>
      <c r="P63" s="86">
        <v>0</v>
      </c>
      <c r="Q63" s="86">
        <v>0</v>
      </c>
      <c r="R63" s="86">
        <v>0</v>
      </c>
      <c r="S63" s="86">
        <v>21790.82</v>
      </c>
      <c r="T63" s="86">
        <v>0</v>
      </c>
      <c r="U63" s="86">
        <v>0</v>
      </c>
      <c r="V63" s="86">
        <v>0</v>
      </c>
      <c r="W63" s="86">
        <v>0</v>
      </c>
      <c r="X63" s="86">
        <v>0</v>
      </c>
      <c r="Y63" s="86">
        <v>0</v>
      </c>
      <c r="Z63" s="86">
        <v>0</v>
      </c>
      <c r="AA63" s="86">
        <v>0</v>
      </c>
      <c r="AB63" s="86">
        <v>0</v>
      </c>
      <c r="AC63" s="86">
        <v>0</v>
      </c>
      <c r="AD63" s="86">
        <v>0</v>
      </c>
      <c r="AE63" s="86">
        <v>0</v>
      </c>
      <c r="AF63" s="86">
        <v>0</v>
      </c>
      <c r="AG63" s="90">
        <v>5923.25</v>
      </c>
      <c r="AH63" s="90">
        <v>8243.77</v>
      </c>
      <c r="AI63" s="90">
        <v>5259.96</v>
      </c>
      <c r="AJ63" s="90">
        <v>5124.8</v>
      </c>
      <c r="AK63" s="90">
        <v>5248.56</v>
      </c>
      <c r="AL63" s="90">
        <v>5796.53</v>
      </c>
      <c r="AM63" s="90">
        <v>3611.11</v>
      </c>
      <c r="AN63" s="90">
        <v>5296.76</v>
      </c>
      <c r="AO63" s="90">
        <v>7380.73</v>
      </c>
      <c r="AP63" s="90">
        <v>3219.43</v>
      </c>
      <c r="AQ63" s="90">
        <v>4748.45</v>
      </c>
      <c r="AR63" s="90">
        <v>4765.58</v>
      </c>
      <c r="AS63" s="90">
        <v>24551.78</v>
      </c>
      <c r="AT63" s="87"/>
      <c r="AU63" s="87">
        <v>88.754542440507365</v>
      </c>
    </row>
    <row r="64" spans="1:47" x14ac:dyDescent="0.2">
      <c r="G64" s="94"/>
      <c r="H64" s="94"/>
      <c r="I64" s="94"/>
      <c r="J64" s="94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  <c r="AI64" s="94"/>
      <c r="AJ64" s="94"/>
      <c r="AK64" s="94"/>
      <c r="AL64" s="94"/>
      <c r="AM64" s="94"/>
      <c r="AN64" s="94"/>
      <c r="AO64" s="94"/>
      <c r="AP64" s="94"/>
      <c r="AQ64" s="94"/>
      <c r="AR64" s="94"/>
      <c r="AS64" s="94"/>
    </row>
    <row r="65" spans="1:45" ht="15" x14ac:dyDescent="0.25">
      <c r="A65" s="16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  <c r="AI65" s="94"/>
      <c r="AJ65" s="94"/>
      <c r="AK65" s="94"/>
      <c r="AL65" s="94"/>
      <c r="AM65" s="94"/>
      <c r="AN65" s="94"/>
      <c r="AO65" s="94"/>
      <c r="AP65" s="94"/>
      <c r="AQ65" s="94"/>
      <c r="AR65" s="94"/>
      <c r="AS65" s="94"/>
    </row>
    <row r="66" spans="1:45" ht="15" x14ac:dyDescent="0.25">
      <c r="A66" s="16"/>
      <c r="S66" s="26"/>
    </row>
    <row r="67" spans="1:45" ht="15" x14ac:dyDescent="0.25">
      <c r="A67" s="16"/>
    </row>
    <row r="69" spans="1:45" x14ac:dyDescent="0.2">
      <c r="AE69" s="365" t="s">
        <v>465</v>
      </c>
      <c r="AF69" s="26">
        <f>SUM(T2:AE2)</f>
        <v>0</v>
      </c>
    </row>
    <row r="70" spans="1:45" x14ac:dyDescent="0.2">
      <c r="AE70" s="365"/>
      <c r="AF70" s="26">
        <f>SUM(T9:AE16)</f>
        <v>0</v>
      </c>
    </row>
    <row r="71" spans="1:45" x14ac:dyDescent="0.2">
      <c r="AE71" s="365" t="s">
        <v>303</v>
      </c>
      <c r="AF71" s="26">
        <f>+AF69-AF70</f>
        <v>0</v>
      </c>
    </row>
    <row r="72" spans="1:45" x14ac:dyDescent="0.2">
      <c r="AE72" s="365" t="s">
        <v>466</v>
      </c>
      <c r="AF72" s="482">
        <f>+SUM(T16:AE17)+SUM(T21:AE21)+SUM(T32:AE32)+SUM(T47:AE47)+SUM(T61:AE61)</f>
        <v>0</v>
      </c>
    </row>
    <row r="73" spans="1:45" x14ac:dyDescent="0.2">
      <c r="AE73" s="365"/>
      <c r="AF73" s="365"/>
    </row>
    <row r="74" spans="1:45" x14ac:dyDescent="0.2">
      <c r="AE74" s="365" t="s">
        <v>419</v>
      </c>
      <c r="AF74" s="18">
        <f>+AF71-AF72</f>
        <v>0</v>
      </c>
    </row>
    <row r="75" spans="1:45" x14ac:dyDescent="0.2">
      <c r="AE75" s="365"/>
      <c r="AF75" s="482">
        <f>+AF74-SUM(T63:AE63)</f>
        <v>0</v>
      </c>
    </row>
    <row r="119" spans="19:45" x14ac:dyDescent="0.2">
      <c r="S119" s="26">
        <f>+S14</f>
        <v>45465.98</v>
      </c>
      <c r="AS119" s="26">
        <f>SUM(AG14:AR14)</f>
        <v>147853.16999999998</v>
      </c>
    </row>
    <row r="120" spans="19:45" x14ac:dyDescent="0.2">
      <c r="S120" s="26">
        <f>+S2</f>
        <v>67256.800000000003</v>
      </c>
      <c r="AS120" s="26">
        <f>SUM(AG2:AR2)</f>
        <v>212472.10000000003</v>
      </c>
    </row>
    <row r="121" spans="19:45" x14ac:dyDescent="0.2">
      <c r="S121">
        <f>+S119/S120</f>
        <v>0.67600569756515327</v>
      </c>
      <c r="AS121" s="365">
        <f>+AS119/AS120</f>
        <v>0.69587098729668484</v>
      </c>
    </row>
  </sheetData>
  <hyperlinks>
    <hyperlink ref="AF72" r:id="rId1" display="+@sum(T17:AE18)+@sum(T22:AE22)+@sum(T33:AE33)+@sum(T48:AE48)+@sum(T62:AE62)"/>
    <hyperlink ref="AF75" r:id="rId2" display="+AF75-@sum(T64:AE64)"/>
  </hyperlink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33CC"/>
  </sheetPr>
  <dimension ref="A1:AW69"/>
  <sheetViews>
    <sheetView workbookViewId="0">
      <selection sqref="A1:AU62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customWidth="1" outlineLevel="1"/>
    <col min="8" max="8" width="8.5703125" customWidth="1" outlineLevel="1"/>
    <col min="9" max="18" width="9.42578125" customWidth="1" outlineLevel="1"/>
    <col min="19" max="19" width="15.42578125" customWidth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10.42578125" customWidth="1" collapsed="1"/>
    <col min="46" max="47" width="10.5703125" customWidth="1"/>
  </cols>
  <sheetData>
    <row r="1" spans="1:49" ht="45.7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9" ht="12.75" hidden="1" customHeight="1" outlineLevel="1" x14ac:dyDescent="0.2">
      <c r="A2" s="95" t="s">
        <v>160</v>
      </c>
      <c r="B2" s="62">
        <v>81384.08</v>
      </c>
      <c r="C2" s="54">
        <v>0</v>
      </c>
      <c r="D2" s="54">
        <v>60511.01</v>
      </c>
      <c r="E2" s="63"/>
      <c r="F2" s="64">
        <v>134.49466468994652</v>
      </c>
      <c r="G2" s="65">
        <v>53546.12</v>
      </c>
      <c r="H2" s="54">
        <v>62776.13</v>
      </c>
      <c r="I2" s="54">
        <v>36343.26</v>
      </c>
      <c r="J2" s="54">
        <v>81384.08</v>
      </c>
      <c r="K2" s="54">
        <v>0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234049.59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56726.34</v>
      </c>
      <c r="AH2" s="67">
        <v>59559.9</v>
      </c>
      <c r="AI2" s="67">
        <v>59782.82</v>
      </c>
      <c r="AJ2" s="67">
        <v>60511.01</v>
      </c>
      <c r="AK2" s="67">
        <v>78187.95</v>
      </c>
      <c r="AL2" s="67">
        <v>81886.490000000005</v>
      </c>
      <c r="AM2" s="67">
        <v>67239.899999999994</v>
      </c>
      <c r="AN2" s="67">
        <v>86668.66</v>
      </c>
      <c r="AO2" s="67">
        <v>86373.1</v>
      </c>
      <c r="AP2" s="67">
        <v>72757.58</v>
      </c>
      <c r="AQ2" s="67">
        <v>122895.27</v>
      </c>
      <c r="AR2" s="67">
        <v>52557.95</v>
      </c>
      <c r="AS2" s="68">
        <v>236580.07</v>
      </c>
      <c r="AT2" s="63"/>
      <c r="AU2" s="63">
        <v>98.930391727418126</v>
      </c>
    </row>
    <row r="3" spans="1:49" ht="12.75" hidden="1" customHeight="1" outlineLevel="1" x14ac:dyDescent="0.2">
      <c r="A3" s="95" t="s">
        <v>161</v>
      </c>
      <c r="B3" s="62">
        <v>3012.27</v>
      </c>
      <c r="C3" s="54">
        <v>0</v>
      </c>
      <c r="D3" s="54">
        <v>3644.29</v>
      </c>
      <c r="E3" s="63"/>
      <c r="F3" s="64">
        <v>82.657252853093468</v>
      </c>
      <c r="G3" s="65">
        <v>3349.92</v>
      </c>
      <c r="H3" s="54">
        <v>314.06</v>
      </c>
      <c r="I3" s="54">
        <v>6994.94</v>
      </c>
      <c r="J3" s="54">
        <v>3012.27</v>
      </c>
      <c r="K3" s="56">
        <v>-1594.15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13671.19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2969.74</v>
      </c>
      <c r="AH3" s="67">
        <v>3222.88</v>
      </c>
      <c r="AI3" s="67">
        <v>4019.37</v>
      </c>
      <c r="AJ3" s="67">
        <v>3644.29</v>
      </c>
      <c r="AK3" s="67">
        <v>4591.46</v>
      </c>
      <c r="AL3" s="67">
        <v>4448.8599999999997</v>
      </c>
      <c r="AM3" s="67">
        <v>4413.04</v>
      </c>
      <c r="AN3" s="67">
        <v>4863.67</v>
      </c>
      <c r="AO3" s="67">
        <v>702.98</v>
      </c>
      <c r="AP3" s="67">
        <v>7171.44</v>
      </c>
      <c r="AQ3" s="67">
        <v>7471.28</v>
      </c>
      <c r="AR3" s="67">
        <v>5229.13</v>
      </c>
      <c r="AS3" s="68">
        <v>13856.28</v>
      </c>
      <c r="AT3" s="63"/>
      <c r="AU3" s="63">
        <v>98.66421579240604</v>
      </c>
    </row>
    <row r="4" spans="1:49" ht="12.75" hidden="1" customHeight="1" outlineLevel="1" x14ac:dyDescent="0.2">
      <c r="A4" s="95" t="s">
        <v>162</v>
      </c>
      <c r="B4" s="62">
        <v>12107.29</v>
      </c>
      <c r="C4" s="54">
        <v>0</v>
      </c>
      <c r="D4" s="54">
        <v>10588.85</v>
      </c>
      <c r="E4" s="63"/>
      <c r="F4" s="64">
        <v>114.33998970615318</v>
      </c>
      <c r="G4" s="65">
        <v>7655.92</v>
      </c>
      <c r="H4" s="56">
        <v>-230.83</v>
      </c>
      <c r="I4" s="56">
        <v>-7425.29</v>
      </c>
      <c r="J4" s="54">
        <v>12107.29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12107.09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5875.91</v>
      </c>
      <c r="AH4" s="67">
        <v>11453.26</v>
      </c>
      <c r="AI4" s="67">
        <v>2021.36</v>
      </c>
      <c r="AJ4" s="67">
        <v>10588.85</v>
      </c>
      <c r="AK4" s="67">
        <v>8179.18</v>
      </c>
      <c r="AL4" s="67">
        <v>12671.74</v>
      </c>
      <c r="AM4" s="67">
        <v>13179.65</v>
      </c>
      <c r="AN4" s="67">
        <v>8430.32</v>
      </c>
      <c r="AO4" s="67">
        <v>13209.93</v>
      </c>
      <c r="AP4" s="67">
        <v>13348.79</v>
      </c>
      <c r="AQ4" s="67">
        <v>7164.96</v>
      </c>
      <c r="AR4" s="67">
        <v>14552.54</v>
      </c>
      <c r="AS4" s="68">
        <v>29939.38</v>
      </c>
      <c r="AT4" s="63"/>
      <c r="AU4" s="63">
        <v>40.438679758899482</v>
      </c>
    </row>
    <row r="5" spans="1:49" ht="12.75" hidden="1" customHeight="1" outlineLevel="1" x14ac:dyDescent="0.2">
      <c r="A5" s="95" t="s">
        <v>163</v>
      </c>
      <c r="B5" s="62">
        <v>3425</v>
      </c>
      <c r="C5" s="54">
        <v>0</v>
      </c>
      <c r="D5" s="54">
        <v>1166.67</v>
      </c>
      <c r="E5" s="63"/>
      <c r="F5" s="64">
        <v>293.57058979831487</v>
      </c>
      <c r="G5" s="65">
        <v>1166.67</v>
      </c>
      <c r="H5" s="54">
        <v>1166.67</v>
      </c>
      <c r="I5" s="54">
        <v>7941.66</v>
      </c>
      <c r="J5" s="54">
        <v>3425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13700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0</v>
      </c>
      <c r="AH5" s="67">
        <v>0</v>
      </c>
      <c r="AI5" s="67">
        <v>0</v>
      </c>
      <c r="AJ5" s="67">
        <v>1166.67</v>
      </c>
      <c r="AK5" s="67">
        <v>1166.67</v>
      </c>
      <c r="AL5" s="67">
        <v>1166.67</v>
      </c>
      <c r="AM5" s="67">
        <v>1166.67</v>
      </c>
      <c r="AN5" s="67">
        <v>1166.67</v>
      </c>
      <c r="AO5" s="67">
        <v>1166.67</v>
      </c>
      <c r="AP5" s="67">
        <v>1166.67</v>
      </c>
      <c r="AQ5" s="98">
        <v>-11654.02</v>
      </c>
      <c r="AR5" s="67">
        <v>0</v>
      </c>
      <c r="AS5" s="68">
        <v>1166.67</v>
      </c>
      <c r="AT5" s="63"/>
      <c r="AU5" s="63">
        <v>1174.2823591932595</v>
      </c>
    </row>
    <row r="6" spans="1:49" ht="12.75" hidden="1" customHeight="1" outlineLevel="1" x14ac:dyDescent="0.2">
      <c r="A6" s="95" t="s">
        <v>164</v>
      </c>
      <c r="B6" s="62">
        <v>929.54</v>
      </c>
      <c r="C6" s="54">
        <v>0</v>
      </c>
      <c r="D6" s="54">
        <v>700.17</v>
      </c>
      <c r="E6" s="63"/>
      <c r="F6" s="64">
        <v>132.75918705457246</v>
      </c>
      <c r="G6" s="65">
        <v>790.49</v>
      </c>
      <c r="H6" s="54">
        <v>929.54</v>
      </c>
      <c r="I6" s="54">
        <v>1068.1600000000001</v>
      </c>
      <c r="J6" s="54">
        <v>929.54</v>
      </c>
      <c r="K6" s="56">
        <v>-188.85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3717.73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111.78</v>
      </c>
      <c r="AH6" s="67">
        <v>728.46</v>
      </c>
      <c r="AI6" s="67">
        <v>469.2</v>
      </c>
      <c r="AJ6" s="67">
        <v>700.17</v>
      </c>
      <c r="AK6" s="67">
        <v>700.17</v>
      </c>
      <c r="AL6" s="67">
        <v>766.71</v>
      </c>
      <c r="AM6" s="67">
        <v>766.71</v>
      </c>
      <c r="AN6" s="67">
        <v>766.71</v>
      </c>
      <c r="AO6" s="67">
        <v>766.71</v>
      </c>
      <c r="AP6" s="67">
        <v>838.9</v>
      </c>
      <c r="AQ6" s="67">
        <v>838.9</v>
      </c>
      <c r="AR6" s="67">
        <v>1136.42</v>
      </c>
      <c r="AS6" s="68">
        <v>2009.61</v>
      </c>
      <c r="AT6" s="63"/>
      <c r="AU6" s="63">
        <v>184.99758659640429</v>
      </c>
    </row>
    <row r="7" spans="1:49" ht="12.75" hidden="1" customHeight="1" outlineLevel="1" x14ac:dyDescent="0.2">
      <c r="A7" s="95" t="s">
        <v>302</v>
      </c>
      <c r="B7" s="62">
        <v>0</v>
      </c>
      <c r="C7" s="54">
        <v>0</v>
      </c>
      <c r="D7" s="54">
        <v>0</v>
      </c>
      <c r="E7" s="63"/>
      <c r="F7" s="64"/>
      <c r="G7" s="65">
        <v>0</v>
      </c>
      <c r="H7" s="54">
        <v>0</v>
      </c>
      <c r="I7" s="54">
        <v>0</v>
      </c>
      <c r="J7" s="54">
        <v>0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0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0</v>
      </c>
      <c r="AH7" s="67">
        <v>0</v>
      </c>
      <c r="AI7" s="67">
        <v>0</v>
      </c>
      <c r="AJ7" s="67">
        <v>0</v>
      </c>
      <c r="AK7" s="67">
        <v>0</v>
      </c>
      <c r="AL7" s="67">
        <v>0</v>
      </c>
      <c r="AM7" s="67">
        <v>0</v>
      </c>
      <c r="AN7" s="67">
        <v>0</v>
      </c>
      <c r="AO7" s="67">
        <v>0</v>
      </c>
      <c r="AP7" s="67">
        <v>0</v>
      </c>
      <c r="AQ7" s="67">
        <v>0</v>
      </c>
      <c r="AR7" s="67">
        <v>15328.94</v>
      </c>
      <c r="AS7" s="68">
        <v>0</v>
      </c>
      <c r="AT7" s="63"/>
      <c r="AU7" s="63"/>
    </row>
    <row r="8" spans="1:49" hidden="1" outlineLevel="1" x14ac:dyDescent="0.2">
      <c r="A8" s="95" t="s">
        <v>165</v>
      </c>
      <c r="B8" s="62">
        <v>7306.98</v>
      </c>
      <c r="C8" s="54">
        <v>0</v>
      </c>
      <c r="D8" s="54">
        <v>6895.23</v>
      </c>
      <c r="E8" s="63"/>
      <c r="F8" s="64">
        <v>105.97151944170101</v>
      </c>
      <c r="G8" s="65">
        <v>6797.13</v>
      </c>
      <c r="H8" s="54">
        <v>7205.62</v>
      </c>
      <c r="I8" s="54">
        <v>5926.86</v>
      </c>
      <c r="J8" s="54">
        <v>7306.98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66">
        <v>27236.59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66">
        <v>0</v>
      </c>
      <c r="AG8" s="67">
        <v>5695.84</v>
      </c>
      <c r="AH8" s="67">
        <v>6102.95</v>
      </c>
      <c r="AI8" s="67">
        <v>6324.04</v>
      </c>
      <c r="AJ8" s="67">
        <v>6895.23</v>
      </c>
      <c r="AK8" s="67">
        <v>8346.58</v>
      </c>
      <c r="AL8" s="67">
        <v>9272.14</v>
      </c>
      <c r="AM8" s="67">
        <v>8213.15</v>
      </c>
      <c r="AN8" s="67">
        <v>9266.2999999999993</v>
      </c>
      <c r="AO8" s="67">
        <v>10019.15</v>
      </c>
      <c r="AP8" s="67">
        <v>9557.14</v>
      </c>
      <c r="AQ8" s="67">
        <v>11104.99</v>
      </c>
      <c r="AR8" s="67">
        <v>7065.28</v>
      </c>
      <c r="AS8" s="68">
        <v>25018.06</v>
      </c>
      <c r="AT8" s="63"/>
      <c r="AU8" s="63">
        <v>108.86771396343282</v>
      </c>
    </row>
    <row r="9" spans="1:49" ht="12.75" customHeight="1" collapsed="1" x14ac:dyDescent="0.2">
      <c r="A9" s="69" t="s">
        <v>166</v>
      </c>
      <c r="B9" s="70">
        <v>108165.16</v>
      </c>
      <c r="C9" s="71">
        <v>0</v>
      </c>
      <c r="D9" s="71">
        <v>83506.22</v>
      </c>
      <c r="E9" s="72"/>
      <c r="F9" s="73">
        <v>129.52946499075159</v>
      </c>
      <c r="G9" s="70">
        <v>73306.25</v>
      </c>
      <c r="H9" s="71">
        <v>72161.19</v>
      </c>
      <c r="I9" s="71">
        <v>50849.59</v>
      </c>
      <c r="J9" s="71">
        <v>108165.16</v>
      </c>
      <c r="K9" s="74">
        <v>-1783</v>
      </c>
      <c r="L9" s="71">
        <v>0</v>
      </c>
      <c r="M9" s="71">
        <v>0</v>
      </c>
      <c r="N9" s="71">
        <v>0</v>
      </c>
      <c r="O9" s="71">
        <v>0</v>
      </c>
      <c r="P9" s="71">
        <v>0</v>
      </c>
      <c r="Q9" s="71">
        <v>0</v>
      </c>
      <c r="R9" s="71">
        <v>0</v>
      </c>
      <c r="S9" s="71">
        <v>304482.19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0</v>
      </c>
      <c r="AA9" s="71">
        <v>0</v>
      </c>
      <c r="AB9" s="71">
        <v>0</v>
      </c>
      <c r="AC9" s="71">
        <v>0</v>
      </c>
      <c r="AD9" s="71">
        <v>0</v>
      </c>
      <c r="AE9" s="71">
        <v>0</v>
      </c>
      <c r="AF9" s="71">
        <v>0</v>
      </c>
      <c r="AG9" s="75">
        <v>71379.61</v>
      </c>
      <c r="AH9" s="75">
        <v>81067.45</v>
      </c>
      <c r="AI9" s="75">
        <v>72616.789999999994</v>
      </c>
      <c r="AJ9" s="75">
        <v>83506.22</v>
      </c>
      <c r="AK9" s="75">
        <v>101172.01</v>
      </c>
      <c r="AL9" s="75">
        <v>110212.61</v>
      </c>
      <c r="AM9" s="75">
        <v>94979.12</v>
      </c>
      <c r="AN9" s="75">
        <v>111162.33</v>
      </c>
      <c r="AO9" s="75">
        <v>112238.54</v>
      </c>
      <c r="AP9" s="75">
        <v>104840.52</v>
      </c>
      <c r="AQ9" s="75">
        <v>137821.38</v>
      </c>
      <c r="AR9" s="75">
        <v>95870.26</v>
      </c>
      <c r="AS9" s="75">
        <v>308570.07</v>
      </c>
      <c r="AT9" s="72"/>
      <c r="AU9" s="72">
        <v>98.675218241354386</v>
      </c>
      <c r="AW9" s="26">
        <f>+S9-AS9</f>
        <v>-4087.8800000000047</v>
      </c>
    </row>
    <row r="10" spans="1:49" ht="12.75" customHeight="1" x14ac:dyDescent="0.2">
      <c r="A10" s="95" t="s">
        <v>167</v>
      </c>
      <c r="B10" s="62">
        <v>44.94</v>
      </c>
      <c r="C10" s="54"/>
      <c r="D10" s="54">
        <v>759.9</v>
      </c>
      <c r="E10" s="63"/>
      <c r="F10" s="64">
        <v>5.913936044216344</v>
      </c>
      <c r="G10" s="65">
        <v>201.91</v>
      </c>
      <c r="H10" s="54">
        <v>210</v>
      </c>
      <c r="I10" s="54">
        <v>3.04</v>
      </c>
      <c r="J10" s="54">
        <v>44.94</v>
      </c>
      <c r="K10" s="54">
        <v>0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66">
        <v>459.89</v>
      </c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>
        <v>959.86</v>
      </c>
      <c r="AH10" s="98">
        <v>-86.02</v>
      </c>
      <c r="AI10" s="67">
        <v>679.92</v>
      </c>
      <c r="AJ10" s="67">
        <v>759.9</v>
      </c>
      <c r="AK10" s="67">
        <v>1160.04</v>
      </c>
      <c r="AL10" s="67">
        <v>799.92</v>
      </c>
      <c r="AM10" s="67">
        <v>821.44</v>
      </c>
      <c r="AN10" s="67">
        <v>696.98</v>
      </c>
      <c r="AO10" s="67">
        <v>761.84</v>
      </c>
      <c r="AP10" s="67">
        <v>799.55</v>
      </c>
      <c r="AQ10" s="67">
        <v>1190.02</v>
      </c>
      <c r="AR10" s="67">
        <v>724.39</v>
      </c>
      <c r="AS10" s="68">
        <v>2313.66</v>
      </c>
      <c r="AT10" s="63"/>
      <c r="AU10" s="63">
        <v>19.877164319735829</v>
      </c>
    </row>
    <row r="11" spans="1:49" ht="12.75" customHeight="1" x14ac:dyDescent="0.2">
      <c r="A11" s="95" t="s">
        <v>168</v>
      </c>
      <c r="B11" s="96">
        <v>-0.02</v>
      </c>
      <c r="C11" s="54"/>
      <c r="D11" s="54">
        <v>0</v>
      </c>
      <c r="E11" s="63"/>
      <c r="F11" s="64"/>
      <c r="G11" s="65">
        <v>0.01</v>
      </c>
      <c r="H11" s="56">
        <v>-0.01</v>
      </c>
      <c r="I11" s="54">
        <v>0</v>
      </c>
      <c r="J11" s="56">
        <v>-0.02</v>
      </c>
      <c r="K11" s="54">
        <v>0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76">
        <v>-0.02</v>
      </c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66"/>
      <c r="AG11" s="67">
        <v>0</v>
      </c>
      <c r="AH11" s="67">
        <v>58.5</v>
      </c>
      <c r="AI11" s="67">
        <v>0</v>
      </c>
      <c r="AJ11" s="67">
        <v>0</v>
      </c>
      <c r="AK11" s="67">
        <v>0.02</v>
      </c>
      <c r="AL11" s="67">
        <v>0</v>
      </c>
      <c r="AM11" s="98">
        <v>-101.16</v>
      </c>
      <c r="AN11" s="98">
        <v>-0.01</v>
      </c>
      <c r="AO11" s="67">
        <v>0.01</v>
      </c>
      <c r="AP11" s="98">
        <v>-0.01</v>
      </c>
      <c r="AQ11" s="98">
        <v>-0.02</v>
      </c>
      <c r="AR11" s="98">
        <v>-3.02</v>
      </c>
      <c r="AS11" s="68">
        <v>58.5</v>
      </c>
      <c r="AT11" s="63"/>
      <c r="AU11" s="63">
        <v>-3.4188034188034191E-2</v>
      </c>
    </row>
    <row r="12" spans="1:49" ht="12.75" customHeight="1" x14ac:dyDescent="0.2">
      <c r="A12" s="95" t="s">
        <v>169</v>
      </c>
      <c r="B12" s="62">
        <v>3941.87</v>
      </c>
      <c r="C12" s="54">
        <v>0</v>
      </c>
      <c r="D12" s="54">
        <v>3533.07</v>
      </c>
      <c r="E12" s="63"/>
      <c r="F12" s="64">
        <v>111.57067366341454</v>
      </c>
      <c r="G12" s="65">
        <v>6394.22</v>
      </c>
      <c r="H12" s="54">
        <v>7916.28</v>
      </c>
      <c r="I12" s="54">
        <v>6815.39</v>
      </c>
      <c r="J12" s="54">
        <v>3941.87</v>
      </c>
      <c r="K12" s="56">
        <v>-3131.68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66">
        <v>25067.759999999998</v>
      </c>
      <c r="T12" s="54">
        <v>0</v>
      </c>
      <c r="U12" s="54">
        <v>0</v>
      </c>
      <c r="V12" s="54">
        <v>0</v>
      </c>
      <c r="W12" s="54">
        <v>0</v>
      </c>
      <c r="X12" s="54">
        <v>0</v>
      </c>
      <c r="Y12" s="54">
        <v>0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66">
        <v>0</v>
      </c>
      <c r="AG12" s="67">
        <v>6143.92</v>
      </c>
      <c r="AH12" s="67">
        <v>7163.66</v>
      </c>
      <c r="AI12" s="67">
        <v>3758.79</v>
      </c>
      <c r="AJ12" s="67">
        <v>3533.07</v>
      </c>
      <c r="AK12" s="67">
        <v>5072.08</v>
      </c>
      <c r="AL12" s="67">
        <v>7440.38</v>
      </c>
      <c r="AM12" s="98">
        <v>-8048.34</v>
      </c>
      <c r="AN12" s="67">
        <v>5215.87</v>
      </c>
      <c r="AO12" s="67">
        <v>7736.17</v>
      </c>
      <c r="AP12" s="67">
        <v>1771.83</v>
      </c>
      <c r="AQ12" s="67">
        <v>5434.2</v>
      </c>
      <c r="AR12" s="67">
        <v>4721.3900000000003</v>
      </c>
      <c r="AS12" s="68">
        <v>20599.439999999999</v>
      </c>
      <c r="AT12" s="63"/>
      <c r="AU12" s="63">
        <v>121.69146345725903</v>
      </c>
    </row>
    <row r="13" spans="1:49" ht="12.75" customHeight="1" x14ac:dyDescent="0.2">
      <c r="A13" s="95" t="s">
        <v>50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49" ht="12.75" customHeight="1" x14ac:dyDescent="0.2">
      <c r="A14" s="95" t="s">
        <v>170</v>
      </c>
      <c r="B14" s="62"/>
      <c r="C14" s="54"/>
      <c r="D14" s="54"/>
      <c r="E14" s="63"/>
      <c r="F14" s="64"/>
      <c r="G14" s="65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66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66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8"/>
      <c r="AT14" s="63"/>
      <c r="AU14" s="63"/>
    </row>
    <row r="15" spans="1:49" ht="12.75" customHeight="1" x14ac:dyDescent="0.2">
      <c r="A15" s="95" t="s">
        <v>171</v>
      </c>
      <c r="B15" s="62">
        <v>1168.51</v>
      </c>
      <c r="C15" s="54">
        <v>0</v>
      </c>
      <c r="D15" s="54">
        <v>5107.18</v>
      </c>
      <c r="E15" s="63"/>
      <c r="F15" s="64">
        <v>22.879749685736552</v>
      </c>
      <c r="G15" s="65">
        <v>1757.95</v>
      </c>
      <c r="H15" s="54">
        <v>1891.72</v>
      </c>
      <c r="I15" s="54">
        <v>1732</v>
      </c>
      <c r="J15" s="54">
        <v>1168.51</v>
      </c>
      <c r="K15" s="54">
        <v>564.32000000000005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66">
        <v>6550.18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66">
        <v>0</v>
      </c>
      <c r="AG15" s="67">
        <v>4400.45</v>
      </c>
      <c r="AH15" s="67">
        <v>7124.14</v>
      </c>
      <c r="AI15" s="67">
        <v>5565.32</v>
      </c>
      <c r="AJ15" s="67">
        <v>5107.18</v>
      </c>
      <c r="AK15" s="67">
        <v>5409.37</v>
      </c>
      <c r="AL15" s="67">
        <v>959.64</v>
      </c>
      <c r="AM15" s="67">
        <v>0</v>
      </c>
      <c r="AN15" s="67">
        <v>2915.42</v>
      </c>
      <c r="AO15" s="67">
        <v>189.33</v>
      </c>
      <c r="AP15" s="67">
        <v>1371.15</v>
      </c>
      <c r="AQ15" s="67">
        <v>981.76</v>
      </c>
      <c r="AR15" s="67">
        <v>2283.85</v>
      </c>
      <c r="AS15" s="68">
        <v>22197.09</v>
      </c>
      <c r="AT15" s="63"/>
      <c r="AU15" s="63">
        <v>29.509183410978647</v>
      </c>
    </row>
    <row r="16" spans="1:49" ht="12.75" customHeight="1" x14ac:dyDescent="0.2">
      <c r="A16" s="95" t="s">
        <v>172</v>
      </c>
      <c r="B16" s="62">
        <v>0</v>
      </c>
      <c r="C16" s="54">
        <v>0</v>
      </c>
      <c r="D16" s="54">
        <v>0</v>
      </c>
      <c r="E16" s="63"/>
      <c r="F16" s="64"/>
      <c r="G16" s="65">
        <v>0</v>
      </c>
      <c r="H16" s="54">
        <v>0</v>
      </c>
      <c r="I16" s="54">
        <v>0</v>
      </c>
      <c r="J16" s="54">
        <v>0</v>
      </c>
      <c r="K16" s="54"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66">
        <v>0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>
        <v>0</v>
      </c>
      <c r="AH16" s="67">
        <v>0</v>
      </c>
      <c r="AI16" s="67">
        <v>0</v>
      </c>
      <c r="AJ16" s="67">
        <v>0</v>
      </c>
      <c r="AK16" s="67">
        <v>0</v>
      </c>
      <c r="AL16" s="67">
        <v>0</v>
      </c>
      <c r="AM16" s="67">
        <v>0</v>
      </c>
      <c r="AN16" s="67">
        <v>0</v>
      </c>
      <c r="AO16" s="67">
        <v>0</v>
      </c>
      <c r="AP16" s="67">
        <v>0</v>
      </c>
      <c r="AQ16" s="67">
        <v>0</v>
      </c>
      <c r="AR16" s="67">
        <v>0</v>
      </c>
      <c r="AS16" s="68">
        <v>0</v>
      </c>
      <c r="AT16" s="63"/>
      <c r="AU16" s="63"/>
    </row>
    <row r="17" spans="1:47" ht="12" customHeight="1" x14ac:dyDescent="0.2">
      <c r="A17" s="95" t="s">
        <v>173</v>
      </c>
      <c r="B17" s="62">
        <v>1230.2</v>
      </c>
      <c r="C17" s="54">
        <v>0</v>
      </c>
      <c r="D17" s="54">
        <v>1461.15</v>
      </c>
      <c r="E17" s="63"/>
      <c r="F17" s="64">
        <v>84.193956814837634</v>
      </c>
      <c r="G17" s="65">
        <v>1321.93</v>
      </c>
      <c r="H17" s="54">
        <v>1230.2</v>
      </c>
      <c r="I17" s="54">
        <v>1230.2</v>
      </c>
      <c r="J17" s="54">
        <v>1230.2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5012.53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1499.96</v>
      </c>
      <c r="AH17" s="67">
        <v>1461.15</v>
      </c>
      <c r="AI17" s="67">
        <v>1461.17</v>
      </c>
      <c r="AJ17" s="67">
        <v>1461.15</v>
      </c>
      <c r="AK17" s="67">
        <v>1461.18</v>
      </c>
      <c r="AL17" s="67">
        <v>1461.14</v>
      </c>
      <c r="AM17" s="67">
        <v>1412.12</v>
      </c>
      <c r="AN17" s="67">
        <v>1320.37</v>
      </c>
      <c r="AO17" s="67">
        <v>1320.35</v>
      </c>
      <c r="AP17" s="67">
        <v>1320.35</v>
      </c>
      <c r="AQ17" s="67">
        <v>1320.37</v>
      </c>
      <c r="AR17" s="67">
        <v>1320.36</v>
      </c>
      <c r="AS17" s="68">
        <v>5883.43</v>
      </c>
      <c r="AT17" s="63"/>
      <c r="AU17" s="63">
        <v>85.197410354164148</v>
      </c>
    </row>
    <row r="18" spans="1:47" ht="12.75" customHeight="1" x14ac:dyDescent="0.2">
      <c r="A18" s="95" t="s">
        <v>257</v>
      </c>
      <c r="B18" s="62">
        <v>3630.06</v>
      </c>
      <c r="C18" s="54">
        <v>0</v>
      </c>
      <c r="D18" s="54">
        <v>3404.35</v>
      </c>
      <c r="E18" s="63"/>
      <c r="F18" s="64">
        <v>106.63004685182193</v>
      </c>
      <c r="G18" s="65">
        <v>3682.99</v>
      </c>
      <c r="H18" s="54">
        <v>3682.99</v>
      </c>
      <c r="I18" s="54">
        <v>3680.8</v>
      </c>
      <c r="J18" s="54">
        <v>3630.06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14676.84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3456.2</v>
      </c>
      <c r="AH18" s="67">
        <v>3456.2</v>
      </c>
      <c r="AI18" s="67">
        <v>4545.6499999999996</v>
      </c>
      <c r="AJ18" s="67">
        <v>3404.35</v>
      </c>
      <c r="AK18" s="67">
        <v>3542.68</v>
      </c>
      <c r="AL18" s="67">
        <v>3538.11</v>
      </c>
      <c r="AM18" s="67">
        <v>3538.1</v>
      </c>
      <c r="AN18" s="67">
        <v>3530.65</v>
      </c>
      <c r="AO18" s="67">
        <v>3535.43</v>
      </c>
      <c r="AP18" s="67">
        <v>3624.07</v>
      </c>
      <c r="AQ18" s="67">
        <v>3579.65</v>
      </c>
      <c r="AR18" s="67">
        <v>3779.42</v>
      </c>
      <c r="AS18" s="68">
        <v>14862.4</v>
      </c>
      <c r="AT18" s="63"/>
      <c r="AU18" s="63">
        <v>98.751480245451603</v>
      </c>
    </row>
    <row r="19" spans="1:47" ht="12.75" hidden="1" customHeight="1" outlineLevel="1" x14ac:dyDescent="0.2">
      <c r="A19" s="95" t="s">
        <v>109</v>
      </c>
      <c r="B19" s="62">
        <v>0</v>
      </c>
      <c r="C19" s="54">
        <v>0</v>
      </c>
      <c r="D19" s="54">
        <v>0</v>
      </c>
      <c r="E19" s="63"/>
      <c r="F19" s="64"/>
      <c r="G19" s="65">
        <v>0</v>
      </c>
      <c r="H19" s="54">
        <v>0</v>
      </c>
      <c r="I19" s="54">
        <v>0</v>
      </c>
      <c r="J19" s="54">
        <v>0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0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0</v>
      </c>
      <c r="AH19" s="67">
        <v>0</v>
      </c>
      <c r="AI19" s="67">
        <v>0</v>
      </c>
      <c r="AJ19" s="67">
        <v>0</v>
      </c>
      <c r="AK19" s="67">
        <v>1812.48</v>
      </c>
      <c r="AL19" s="67">
        <v>0</v>
      </c>
      <c r="AM19" s="67">
        <v>0</v>
      </c>
      <c r="AN19" s="67">
        <v>0</v>
      </c>
      <c r="AO19" s="67">
        <v>0</v>
      </c>
      <c r="AP19" s="67">
        <v>0</v>
      </c>
      <c r="AQ19" s="67">
        <v>468</v>
      </c>
      <c r="AR19" s="67">
        <v>1295</v>
      </c>
      <c r="AS19" s="68">
        <v>0</v>
      </c>
      <c r="AT19" s="63"/>
      <c r="AU19" s="63"/>
    </row>
    <row r="20" spans="1:47" ht="12.75" hidden="1" customHeight="1" outlineLevel="1" x14ac:dyDescent="0.2">
      <c r="A20" s="95" t="s">
        <v>97</v>
      </c>
      <c r="B20" s="62">
        <v>284</v>
      </c>
      <c r="C20" s="54">
        <v>0</v>
      </c>
      <c r="D20" s="54">
        <v>284</v>
      </c>
      <c r="E20" s="63"/>
      <c r="F20" s="64">
        <v>100</v>
      </c>
      <c r="G20" s="65">
        <v>284</v>
      </c>
      <c r="H20" s="54">
        <v>284</v>
      </c>
      <c r="I20" s="54">
        <v>284</v>
      </c>
      <c r="J20" s="54">
        <v>284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66">
        <v>1136</v>
      </c>
      <c r="T20" s="54">
        <v>0</v>
      </c>
      <c r="U20" s="54">
        <v>0</v>
      </c>
      <c r="V20" s="54">
        <v>0</v>
      </c>
      <c r="W20" s="54">
        <v>0</v>
      </c>
      <c r="X20" s="54">
        <v>0</v>
      </c>
      <c r="Y20" s="54">
        <v>0</v>
      </c>
      <c r="Z20" s="54">
        <v>0</v>
      </c>
      <c r="AA20" s="54">
        <v>0</v>
      </c>
      <c r="AB20" s="54">
        <v>0</v>
      </c>
      <c r="AC20" s="54">
        <v>0</v>
      </c>
      <c r="AD20" s="54">
        <v>0</v>
      </c>
      <c r="AE20" s="54">
        <v>0</v>
      </c>
      <c r="AF20" s="66">
        <v>0</v>
      </c>
      <c r="AG20" s="67">
        <v>1195.9100000000001</v>
      </c>
      <c r="AH20" s="67">
        <v>467</v>
      </c>
      <c r="AI20" s="67">
        <v>405.99</v>
      </c>
      <c r="AJ20" s="67">
        <v>284</v>
      </c>
      <c r="AK20" s="67">
        <v>98.78</v>
      </c>
      <c r="AL20" s="67">
        <v>284</v>
      </c>
      <c r="AM20" s="67">
        <v>284</v>
      </c>
      <c r="AN20" s="67">
        <v>284</v>
      </c>
      <c r="AO20" s="67">
        <v>284</v>
      </c>
      <c r="AP20" s="67">
        <v>284</v>
      </c>
      <c r="AQ20" s="67">
        <v>284</v>
      </c>
      <c r="AR20" s="67">
        <v>284</v>
      </c>
      <c r="AS20" s="68">
        <v>2352.9</v>
      </c>
      <c r="AT20" s="63"/>
      <c r="AU20" s="63">
        <v>48.280844914786009</v>
      </c>
    </row>
    <row r="21" spans="1:47" ht="12.75" hidden="1" customHeight="1" outlineLevel="1" x14ac:dyDescent="0.2">
      <c r="A21" s="95" t="s">
        <v>69</v>
      </c>
      <c r="B21" s="62">
        <v>490</v>
      </c>
      <c r="C21" s="54">
        <v>0</v>
      </c>
      <c r="D21" s="54">
        <v>2764</v>
      </c>
      <c r="E21" s="63"/>
      <c r="F21" s="64">
        <v>17.727930535455862</v>
      </c>
      <c r="G21" s="65">
        <v>1047</v>
      </c>
      <c r="H21" s="54">
        <v>0</v>
      </c>
      <c r="I21" s="54">
        <v>1308.26</v>
      </c>
      <c r="J21" s="54">
        <v>490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66">
        <v>2845.26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4">
        <v>0</v>
      </c>
      <c r="AB21" s="54">
        <v>0</v>
      </c>
      <c r="AC21" s="54">
        <v>0</v>
      </c>
      <c r="AD21" s="54">
        <v>0</v>
      </c>
      <c r="AE21" s="54">
        <v>0</v>
      </c>
      <c r="AF21" s="66">
        <v>0</v>
      </c>
      <c r="AG21" s="67">
        <v>1205</v>
      </c>
      <c r="AH21" s="67">
        <v>0</v>
      </c>
      <c r="AI21" s="67">
        <v>975</v>
      </c>
      <c r="AJ21" s="67">
        <v>2764</v>
      </c>
      <c r="AK21" s="67">
        <v>0</v>
      </c>
      <c r="AL21" s="67">
        <v>5189.0600000000004</v>
      </c>
      <c r="AM21" s="98">
        <v>-2719.5</v>
      </c>
      <c r="AN21" s="67">
        <v>0</v>
      </c>
      <c r="AO21" s="67">
        <v>854.96</v>
      </c>
      <c r="AP21" s="67">
        <v>0</v>
      </c>
      <c r="AQ21" s="67">
        <v>0</v>
      </c>
      <c r="AR21" s="67">
        <v>0</v>
      </c>
      <c r="AS21" s="68">
        <v>4944</v>
      </c>
      <c r="AT21" s="63"/>
      <c r="AU21" s="63">
        <v>57.549757281553397</v>
      </c>
    </row>
    <row r="22" spans="1:47" ht="12.75" customHeight="1" collapsed="1" x14ac:dyDescent="0.2">
      <c r="A22" s="69" t="s">
        <v>70</v>
      </c>
      <c r="B22" s="70">
        <v>774</v>
      </c>
      <c r="C22" s="71">
        <v>0</v>
      </c>
      <c r="D22" s="71">
        <v>3048</v>
      </c>
      <c r="E22" s="72"/>
      <c r="F22" s="73">
        <v>25.393700787401574</v>
      </c>
      <c r="G22" s="70">
        <v>1331</v>
      </c>
      <c r="H22" s="71">
        <v>284</v>
      </c>
      <c r="I22" s="71">
        <v>1592.26</v>
      </c>
      <c r="J22" s="71">
        <v>774</v>
      </c>
      <c r="K22" s="71">
        <v>0</v>
      </c>
      <c r="L22" s="71">
        <v>0</v>
      </c>
      <c r="M22" s="71">
        <v>0</v>
      </c>
      <c r="N22" s="71">
        <v>0</v>
      </c>
      <c r="O22" s="71">
        <v>0</v>
      </c>
      <c r="P22" s="71">
        <v>0</v>
      </c>
      <c r="Q22" s="71">
        <v>0</v>
      </c>
      <c r="R22" s="71">
        <v>0</v>
      </c>
      <c r="S22" s="71">
        <v>3981.26</v>
      </c>
      <c r="T22" s="71">
        <v>0</v>
      </c>
      <c r="U22" s="71">
        <v>0</v>
      </c>
      <c r="V22" s="71">
        <v>0</v>
      </c>
      <c r="W22" s="71">
        <v>0</v>
      </c>
      <c r="X22" s="71">
        <v>0</v>
      </c>
      <c r="Y22" s="71">
        <v>0</v>
      </c>
      <c r="Z22" s="71">
        <v>0</v>
      </c>
      <c r="AA22" s="71">
        <v>0</v>
      </c>
      <c r="AB22" s="71">
        <v>0</v>
      </c>
      <c r="AC22" s="71">
        <v>0</v>
      </c>
      <c r="AD22" s="71">
        <v>0</v>
      </c>
      <c r="AE22" s="71">
        <v>0</v>
      </c>
      <c r="AF22" s="71">
        <v>0</v>
      </c>
      <c r="AG22" s="75">
        <v>2400.91</v>
      </c>
      <c r="AH22" s="75">
        <v>467</v>
      </c>
      <c r="AI22" s="75">
        <v>1380.99</v>
      </c>
      <c r="AJ22" s="75">
        <v>3048</v>
      </c>
      <c r="AK22" s="75">
        <v>1911.26</v>
      </c>
      <c r="AL22" s="75">
        <v>5473.06</v>
      </c>
      <c r="AM22" s="134">
        <v>-2435.5</v>
      </c>
      <c r="AN22" s="75">
        <v>284</v>
      </c>
      <c r="AO22" s="75">
        <v>1138.96</v>
      </c>
      <c r="AP22" s="75">
        <v>284</v>
      </c>
      <c r="AQ22" s="75">
        <v>752</v>
      </c>
      <c r="AR22" s="75">
        <v>1579</v>
      </c>
      <c r="AS22" s="75">
        <v>7296.9</v>
      </c>
      <c r="AT22" s="72"/>
      <c r="AU22" s="72">
        <v>54.560977949540217</v>
      </c>
    </row>
    <row r="23" spans="1:47" ht="12.75" hidden="1" customHeight="1" outlineLevel="1" x14ac:dyDescent="0.2">
      <c r="A23" s="95" t="s">
        <v>174</v>
      </c>
      <c r="B23" s="62">
        <v>0</v>
      </c>
      <c r="C23" s="54">
        <v>0</v>
      </c>
      <c r="D23" s="54">
        <v>0</v>
      </c>
      <c r="E23" s="63"/>
      <c r="F23" s="64"/>
      <c r="G23" s="65">
        <v>113.9</v>
      </c>
      <c r="H23" s="54">
        <v>85.68</v>
      </c>
      <c r="I23" s="54">
        <v>149.16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348.74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320</v>
      </c>
      <c r="AH23" s="67">
        <v>21.2</v>
      </c>
      <c r="AI23" s="67">
        <v>504.5</v>
      </c>
      <c r="AJ23" s="67">
        <v>0</v>
      </c>
      <c r="AK23" s="67">
        <v>589.32000000000005</v>
      </c>
      <c r="AL23" s="67">
        <v>0</v>
      </c>
      <c r="AM23" s="67">
        <v>331.72</v>
      </c>
      <c r="AN23" s="67">
        <v>84.03</v>
      </c>
      <c r="AO23" s="67">
        <v>264.87</v>
      </c>
      <c r="AP23" s="67">
        <v>0</v>
      </c>
      <c r="AQ23" s="67">
        <v>85.68</v>
      </c>
      <c r="AR23" s="67">
        <v>103.19</v>
      </c>
      <c r="AS23" s="68">
        <v>845.7</v>
      </c>
      <c r="AT23" s="63"/>
      <c r="AU23" s="63">
        <v>41.236845216980015</v>
      </c>
    </row>
    <row r="24" spans="1:47" ht="12.75" hidden="1" customHeight="1" outlineLevel="1" x14ac:dyDescent="0.2">
      <c r="A24" s="95" t="s">
        <v>99</v>
      </c>
      <c r="B24" s="62">
        <v>1861.33</v>
      </c>
      <c r="C24" s="54">
        <v>0</v>
      </c>
      <c r="D24" s="54">
        <v>2551.69</v>
      </c>
      <c r="E24" s="63"/>
      <c r="F24" s="64">
        <v>72.944989399182504</v>
      </c>
      <c r="G24" s="65">
        <v>2850.15</v>
      </c>
      <c r="H24" s="54">
        <v>2371.66</v>
      </c>
      <c r="I24" s="54">
        <v>1705.73</v>
      </c>
      <c r="J24" s="54">
        <v>1861.33</v>
      </c>
      <c r="K24" s="56">
        <v>-1327.91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8788.8700000000008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1569.05</v>
      </c>
      <c r="AH24" s="67">
        <v>2135.29</v>
      </c>
      <c r="AI24" s="67">
        <v>1093.81</v>
      </c>
      <c r="AJ24" s="67">
        <v>2551.69</v>
      </c>
      <c r="AK24" s="67">
        <v>3530.2</v>
      </c>
      <c r="AL24" s="67">
        <v>3286.19</v>
      </c>
      <c r="AM24" s="67">
        <v>135.5</v>
      </c>
      <c r="AN24" s="67">
        <v>2008.44</v>
      </c>
      <c r="AO24" s="67">
        <v>1919.22</v>
      </c>
      <c r="AP24" s="67">
        <v>213.66</v>
      </c>
      <c r="AQ24" s="67">
        <v>2524.4899999999998</v>
      </c>
      <c r="AR24" s="67">
        <v>0</v>
      </c>
      <c r="AS24" s="68">
        <v>7349.84</v>
      </c>
      <c r="AT24" s="63"/>
      <c r="AU24" s="63">
        <v>119.5790656667356</v>
      </c>
    </row>
    <row r="25" spans="1:47" ht="12.75" hidden="1" customHeight="1" outlineLevel="1" x14ac:dyDescent="0.2">
      <c r="A25" s="95" t="s">
        <v>175</v>
      </c>
      <c r="B25" s="62">
        <v>83.49</v>
      </c>
      <c r="C25" s="54">
        <v>0</v>
      </c>
      <c r="D25" s="54">
        <v>0</v>
      </c>
      <c r="E25" s="63"/>
      <c r="F25" s="64"/>
      <c r="G25" s="65">
        <v>0</v>
      </c>
      <c r="H25" s="54">
        <v>97.03</v>
      </c>
      <c r="I25" s="54">
        <v>4.5199999999999996</v>
      </c>
      <c r="J25" s="54">
        <v>83.49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185.04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0</v>
      </c>
      <c r="AH25" s="67">
        <v>29.87</v>
      </c>
      <c r="AI25" s="98">
        <v>-20.37</v>
      </c>
      <c r="AJ25" s="67">
        <v>0</v>
      </c>
      <c r="AK25" s="67">
        <v>80.61</v>
      </c>
      <c r="AL25" s="67">
        <v>0</v>
      </c>
      <c r="AM25" s="67">
        <v>82.17</v>
      </c>
      <c r="AN25" s="67">
        <v>3.1</v>
      </c>
      <c r="AO25" s="67">
        <v>90.96</v>
      </c>
      <c r="AP25" s="67">
        <v>0</v>
      </c>
      <c r="AQ25" s="67">
        <v>103.08</v>
      </c>
      <c r="AR25" s="67">
        <v>5.58</v>
      </c>
      <c r="AS25" s="68">
        <v>9.5</v>
      </c>
      <c r="AT25" s="63"/>
      <c r="AU25" s="63">
        <v>1947.7894736842106</v>
      </c>
    </row>
    <row r="26" spans="1:47" ht="12.75" hidden="1" customHeight="1" outlineLevel="1" x14ac:dyDescent="0.2">
      <c r="A26" s="95" t="s">
        <v>100</v>
      </c>
      <c r="B26" s="62">
        <v>3609.12</v>
      </c>
      <c r="C26" s="54">
        <v>0</v>
      </c>
      <c r="D26" s="54">
        <v>4049.16</v>
      </c>
      <c r="E26" s="63"/>
      <c r="F26" s="64">
        <v>89.132560827430879</v>
      </c>
      <c r="G26" s="65">
        <v>6217.88</v>
      </c>
      <c r="H26" s="54">
        <v>4191.5</v>
      </c>
      <c r="I26" s="54">
        <v>4686.07</v>
      </c>
      <c r="J26" s="54">
        <v>3609.12</v>
      </c>
      <c r="K26" s="56">
        <v>-6892.9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18704.57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4907.93</v>
      </c>
      <c r="AH26" s="67">
        <v>3516.57</v>
      </c>
      <c r="AI26" s="67">
        <v>7040.17</v>
      </c>
      <c r="AJ26" s="67">
        <v>4049.16</v>
      </c>
      <c r="AK26" s="67">
        <v>3746.35</v>
      </c>
      <c r="AL26" s="67">
        <v>1272.93</v>
      </c>
      <c r="AM26" s="67">
        <v>5760.49</v>
      </c>
      <c r="AN26" s="67">
        <v>2730.34</v>
      </c>
      <c r="AO26" s="67">
        <v>697.45</v>
      </c>
      <c r="AP26" s="67">
        <v>1511.14</v>
      </c>
      <c r="AQ26" s="67">
        <v>5009.0200000000004</v>
      </c>
      <c r="AR26" s="67">
        <v>1145.1400000000001</v>
      </c>
      <c r="AS26" s="68">
        <v>19513.830000000002</v>
      </c>
      <c r="AT26" s="63"/>
      <c r="AU26" s="63">
        <v>95.852889975981142</v>
      </c>
    </row>
    <row r="27" spans="1:47" ht="12.75" hidden="1" customHeight="1" outlineLevel="1" x14ac:dyDescent="0.2">
      <c r="A27" s="95" t="s">
        <v>101</v>
      </c>
      <c r="B27" s="62">
        <v>308.7</v>
      </c>
      <c r="C27" s="54">
        <v>0</v>
      </c>
      <c r="D27" s="54">
        <v>448.72</v>
      </c>
      <c r="E27" s="63"/>
      <c r="F27" s="64">
        <v>68.795685505437689</v>
      </c>
      <c r="G27" s="65">
        <v>371.61</v>
      </c>
      <c r="H27" s="54">
        <v>1045.98</v>
      </c>
      <c r="I27" s="54">
        <v>545.25</v>
      </c>
      <c r="J27" s="54">
        <v>308.7</v>
      </c>
      <c r="K27" s="56">
        <v>-295.98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2271.54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658.47</v>
      </c>
      <c r="AH27" s="67">
        <v>428.23</v>
      </c>
      <c r="AI27" s="67">
        <v>525.21</v>
      </c>
      <c r="AJ27" s="67">
        <v>448.72</v>
      </c>
      <c r="AK27" s="67">
        <v>788.25</v>
      </c>
      <c r="AL27" s="67">
        <v>412.76</v>
      </c>
      <c r="AM27" s="67">
        <v>170.45</v>
      </c>
      <c r="AN27" s="67">
        <v>190.92</v>
      </c>
      <c r="AO27" s="67">
        <v>721.8</v>
      </c>
      <c r="AP27" s="67">
        <v>412.6</v>
      </c>
      <c r="AQ27" s="67">
        <v>9.09</v>
      </c>
      <c r="AR27" s="67">
        <v>1097.77</v>
      </c>
      <c r="AS27" s="68">
        <v>2060.63</v>
      </c>
      <c r="AT27" s="63"/>
      <c r="AU27" s="63">
        <v>110.23521932612842</v>
      </c>
    </row>
    <row r="28" spans="1:47" ht="12.75" hidden="1" customHeight="1" outlineLevel="1" x14ac:dyDescent="0.2">
      <c r="A28" s="95" t="s">
        <v>176</v>
      </c>
      <c r="B28" s="62">
        <v>533.28</v>
      </c>
      <c r="C28" s="54">
        <v>0</v>
      </c>
      <c r="D28" s="54">
        <v>0</v>
      </c>
      <c r="E28" s="63"/>
      <c r="F28" s="64"/>
      <c r="G28" s="65">
        <v>616.44000000000005</v>
      </c>
      <c r="H28" s="54">
        <v>522.04</v>
      </c>
      <c r="I28" s="54">
        <v>503.49</v>
      </c>
      <c r="J28" s="54">
        <v>533.28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2175.25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550.88</v>
      </c>
      <c r="AH28" s="67">
        <v>550.88</v>
      </c>
      <c r="AI28" s="67">
        <v>410.32</v>
      </c>
      <c r="AJ28" s="67">
        <v>0</v>
      </c>
      <c r="AK28" s="67">
        <v>391.59</v>
      </c>
      <c r="AL28" s="67">
        <v>391.43</v>
      </c>
      <c r="AM28" s="67">
        <v>1407.14</v>
      </c>
      <c r="AN28" s="67">
        <v>1025.07</v>
      </c>
      <c r="AO28" s="67">
        <v>0</v>
      </c>
      <c r="AP28" s="67">
        <v>0</v>
      </c>
      <c r="AQ28" s="67">
        <v>1273.96</v>
      </c>
      <c r="AR28" s="67">
        <v>668.32</v>
      </c>
      <c r="AS28" s="68">
        <v>1512.08</v>
      </c>
      <c r="AT28" s="63"/>
      <c r="AU28" s="63">
        <v>143.85812919951326</v>
      </c>
    </row>
    <row r="29" spans="1:47" ht="12.75" hidden="1" customHeight="1" outlineLevel="1" x14ac:dyDescent="0.2">
      <c r="A29" s="95" t="s">
        <v>102</v>
      </c>
      <c r="B29" s="62">
        <v>295.31</v>
      </c>
      <c r="C29" s="54">
        <v>0</v>
      </c>
      <c r="D29" s="54">
        <v>294.51</v>
      </c>
      <c r="E29" s="63"/>
      <c r="F29" s="64">
        <v>100.27163763539438</v>
      </c>
      <c r="G29" s="65">
        <v>295.31</v>
      </c>
      <c r="H29" s="54">
        <v>279.23</v>
      </c>
      <c r="I29" s="54">
        <v>279.23</v>
      </c>
      <c r="J29" s="54">
        <v>295.31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1149.08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261.94</v>
      </c>
      <c r="AH29" s="67">
        <v>279.23</v>
      </c>
      <c r="AI29" s="67">
        <v>279.23</v>
      </c>
      <c r="AJ29" s="67">
        <v>294.51</v>
      </c>
      <c r="AK29" s="67">
        <v>279.23</v>
      </c>
      <c r="AL29" s="67">
        <v>279.23</v>
      </c>
      <c r="AM29" s="67">
        <v>279.23</v>
      </c>
      <c r="AN29" s="67">
        <v>279.23</v>
      </c>
      <c r="AO29" s="67">
        <v>279.23</v>
      </c>
      <c r="AP29" s="67">
        <v>279.23</v>
      </c>
      <c r="AQ29" s="67">
        <v>294.51</v>
      </c>
      <c r="AR29" s="67">
        <v>279.23</v>
      </c>
      <c r="AS29" s="68">
        <v>1114.9100000000001</v>
      </c>
      <c r="AT29" s="63"/>
      <c r="AU29" s="63">
        <v>103.06482137571642</v>
      </c>
    </row>
    <row r="30" spans="1:47" ht="12.75" hidden="1" customHeight="1" outlineLevel="1" x14ac:dyDescent="0.2">
      <c r="A30" s="95" t="s">
        <v>75</v>
      </c>
      <c r="B30" s="62">
        <v>401.5</v>
      </c>
      <c r="C30" s="54">
        <v>0</v>
      </c>
      <c r="D30" s="54">
        <v>0</v>
      </c>
      <c r="E30" s="63"/>
      <c r="F30" s="64"/>
      <c r="G30" s="65">
        <v>0</v>
      </c>
      <c r="H30" s="54">
        <v>310.73</v>
      </c>
      <c r="I30" s="54">
        <v>310.73</v>
      </c>
      <c r="J30" s="54">
        <v>401.5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1022.96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0</v>
      </c>
      <c r="AH30" s="67">
        <v>0</v>
      </c>
      <c r="AI30" s="67">
        <v>0</v>
      </c>
      <c r="AJ30" s="67">
        <v>0</v>
      </c>
      <c r="AK30" s="67">
        <v>0</v>
      </c>
      <c r="AL30" s="67">
        <v>1180.07</v>
      </c>
      <c r="AM30" s="67">
        <v>1746.47</v>
      </c>
      <c r="AN30" s="67">
        <v>1066.79</v>
      </c>
      <c r="AO30" s="67">
        <v>1066.79</v>
      </c>
      <c r="AP30" s="67">
        <v>1066.79</v>
      </c>
      <c r="AQ30" s="67">
        <v>1066.79</v>
      </c>
      <c r="AR30" s="67">
        <v>1066.79</v>
      </c>
      <c r="AS30" s="68">
        <v>0</v>
      </c>
      <c r="AT30" s="63"/>
      <c r="AU30" s="63"/>
    </row>
    <row r="31" spans="1:47" ht="12.75" hidden="1" customHeight="1" outlineLevel="1" x14ac:dyDescent="0.2">
      <c r="A31" s="95" t="s">
        <v>76</v>
      </c>
      <c r="B31" s="62">
        <v>9040.3799999999992</v>
      </c>
      <c r="C31" s="54">
        <v>0</v>
      </c>
      <c r="D31" s="54">
        <v>8986.23</v>
      </c>
      <c r="E31" s="63"/>
      <c r="F31" s="64">
        <v>100.60258862726639</v>
      </c>
      <c r="G31" s="65">
        <v>11562.2</v>
      </c>
      <c r="H31" s="54">
        <v>8022.84</v>
      </c>
      <c r="I31" s="54">
        <v>3946.81</v>
      </c>
      <c r="J31" s="54">
        <v>9040.3799999999992</v>
      </c>
      <c r="K31" s="56">
        <v>-524.67999999999995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32572.23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3611.98</v>
      </c>
      <c r="AH31" s="67">
        <v>6163.55</v>
      </c>
      <c r="AI31" s="67">
        <v>10933.8</v>
      </c>
      <c r="AJ31" s="67">
        <v>8986.23</v>
      </c>
      <c r="AK31" s="67">
        <v>4285.3900000000003</v>
      </c>
      <c r="AL31" s="67">
        <v>6411.94</v>
      </c>
      <c r="AM31" s="67">
        <v>461.5</v>
      </c>
      <c r="AN31" s="67">
        <v>817.71</v>
      </c>
      <c r="AO31" s="67">
        <v>11484.47</v>
      </c>
      <c r="AP31" s="67">
        <v>1447.92</v>
      </c>
      <c r="AQ31" s="67">
        <v>6604.93</v>
      </c>
      <c r="AR31" s="67">
        <v>7372.68</v>
      </c>
      <c r="AS31" s="68">
        <v>29695.56</v>
      </c>
      <c r="AT31" s="63"/>
      <c r="AU31" s="63">
        <v>109.68720576409403</v>
      </c>
    </row>
    <row r="32" spans="1:47" ht="12.75" hidden="1" customHeight="1" outlineLevel="1" x14ac:dyDescent="0.2">
      <c r="A32" s="95" t="s">
        <v>77</v>
      </c>
      <c r="B32" s="62">
        <v>252.09</v>
      </c>
      <c r="C32" s="54">
        <v>0</v>
      </c>
      <c r="D32" s="54">
        <v>252.09</v>
      </c>
      <c r="E32" s="63"/>
      <c r="F32" s="64">
        <v>100</v>
      </c>
      <c r="G32" s="65">
        <v>252.09</v>
      </c>
      <c r="H32" s="54">
        <v>252.09</v>
      </c>
      <c r="I32" s="54">
        <v>252.09</v>
      </c>
      <c r="J32" s="54">
        <v>252.09</v>
      </c>
      <c r="K32" s="54">
        <v>0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66">
        <v>1008.36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66">
        <v>0</v>
      </c>
      <c r="AG32" s="67">
        <v>219.75</v>
      </c>
      <c r="AH32" s="67">
        <v>219.75</v>
      </c>
      <c r="AI32" s="67">
        <v>332.09</v>
      </c>
      <c r="AJ32" s="67">
        <v>252.09</v>
      </c>
      <c r="AK32" s="67">
        <v>252.09</v>
      </c>
      <c r="AL32" s="67">
        <v>252.09</v>
      </c>
      <c r="AM32" s="67">
        <v>252.09</v>
      </c>
      <c r="AN32" s="67">
        <v>252.09</v>
      </c>
      <c r="AO32" s="67">
        <v>252.09</v>
      </c>
      <c r="AP32" s="67">
        <v>252.09</v>
      </c>
      <c r="AQ32" s="67">
        <v>252.09</v>
      </c>
      <c r="AR32" s="67">
        <v>252.09</v>
      </c>
      <c r="AS32" s="68">
        <v>1023.68</v>
      </c>
      <c r="AT32" s="63"/>
      <c r="AU32" s="63">
        <v>98.503438574554551</v>
      </c>
    </row>
    <row r="33" spans="1:47" ht="12.75" customHeight="1" collapsed="1" x14ac:dyDescent="0.2">
      <c r="A33" s="69" t="s">
        <v>177</v>
      </c>
      <c r="B33" s="70">
        <v>16385.2</v>
      </c>
      <c r="C33" s="71">
        <v>0</v>
      </c>
      <c r="D33" s="71">
        <v>16582.400000000001</v>
      </c>
      <c r="E33" s="72"/>
      <c r="F33" s="73">
        <v>98.810787340795059</v>
      </c>
      <c r="G33" s="70">
        <v>22279.58</v>
      </c>
      <c r="H33" s="71">
        <v>17178.78</v>
      </c>
      <c r="I33" s="71">
        <v>12383.08</v>
      </c>
      <c r="J33" s="71">
        <v>16385.2</v>
      </c>
      <c r="K33" s="74">
        <v>-9041.4699999999993</v>
      </c>
      <c r="L33" s="71">
        <v>0</v>
      </c>
      <c r="M33" s="71">
        <v>0</v>
      </c>
      <c r="N33" s="71">
        <v>0</v>
      </c>
      <c r="O33" s="71">
        <v>0</v>
      </c>
      <c r="P33" s="71">
        <v>0</v>
      </c>
      <c r="Q33" s="71">
        <v>0</v>
      </c>
      <c r="R33" s="71">
        <v>0</v>
      </c>
      <c r="S33" s="71">
        <v>68226.64</v>
      </c>
      <c r="T33" s="71">
        <v>0</v>
      </c>
      <c r="U33" s="71">
        <v>0</v>
      </c>
      <c r="V33" s="71">
        <v>0</v>
      </c>
      <c r="W33" s="71">
        <v>0</v>
      </c>
      <c r="X33" s="71">
        <v>0</v>
      </c>
      <c r="Y33" s="71">
        <v>0</v>
      </c>
      <c r="Z33" s="71">
        <v>0</v>
      </c>
      <c r="AA33" s="71">
        <v>0</v>
      </c>
      <c r="AB33" s="71">
        <v>0</v>
      </c>
      <c r="AC33" s="71">
        <v>0</v>
      </c>
      <c r="AD33" s="71">
        <v>0</v>
      </c>
      <c r="AE33" s="71">
        <v>0</v>
      </c>
      <c r="AF33" s="71">
        <v>0</v>
      </c>
      <c r="AG33" s="75">
        <v>12100</v>
      </c>
      <c r="AH33" s="75">
        <v>13344.57</v>
      </c>
      <c r="AI33" s="75">
        <v>21098.76</v>
      </c>
      <c r="AJ33" s="75">
        <v>16582.400000000001</v>
      </c>
      <c r="AK33" s="75">
        <v>13943.03</v>
      </c>
      <c r="AL33" s="75">
        <v>13486.64</v>
      </c>
      <c r="AM33" s="75">
        <v>10626.76</v>
      </c>
      <c r="AN33" s="75">
        <v>8457.7199999999993</v>
      </c>
      <c r="AO33" s="75">
        <v>16776.88</v>
      </c>
      <c r="AP33" s="75">
        <v>5183.43</v>
      </c>
      <c r="AQ33" s="75">
        <v>17223.64</v>
      </c>
      <c r="AR33" s="75">
        <v>11990.79</v>
      </c>
      <c r="AS33" s="75">
        <v>63125.73</v>
      </c>
      <c r="AT33" s="72"/>
      <c r="AU33" s="72">
        <v>108.08055605852003</v>
      </c>
    </row>
    <row r="34" spans="1:47" ht="12.75" hidden="1" customHeight="1" outlineLevel="1" x14ac:dyDescent="0.2">
      <c r="A34" s="95" t="s">
        <v>178</v>
      </c>
      <c r="B34" s="62">
        <v>664.32</v>
      </c>
      <c r="C34" s="54">
        <v>0</v>
      </c>
      <c r="D34" s="54">
        <v>0</v>
      </c>
      <c r="E34" s="63"/>
      <c r="F34" s="64"/>
      <c r="G34" s="65">
        <v>1889.94</v>
      </c>
      <c r="H34" s="54">
        <v>1671.56</v>
      </c>
      <c r="I34" s="54">
        <v>0</v>
      </c>
      <c r="J34" s="54">
        <v>664.32</v>
      </c>
      <c r="K34" s="54">
        <v>0</v>
      </c>
      <c r="L34" s="54">
        <v>0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66">
        <v>4225.82</v>
      </c>
      <c r="T34" s="54">
        <v>0</v>
      </c>
      <c r="U34" s="54">
        <v>0</v>
      </c>
      <c r="V34" s="54">
        <v>0</v>
      </c>
      <c r="W34" s="54">
        <v>0</v>
      </c>
      <c r="X34" s="54">
        <v>0</v>
      </c>
      <c r="Y34" s="54">
        <v>0</v>
      </c>
      <c r="Z34" s="54">
        <v>0</v>
      </c>
      <c r="AA34" s="54">
        <v>0</v>
      </c>
      <c r="AB34" s="54">
        <v>0</v>
      </c>
      <c r="AC34" s="54">
        <v>0</v>
      </c>
      <c r="AD34" s="54">
        <v>0</v>
      </c>
      <c r="AE34" s="54">
        <v>0</v>
      </c>
      <c r="AF34" s="66">
        <v>0</v>
      </c>
      <c r="AG34" s="67">
        <v>0</v>
      </c>
      <c r="AH34" s="67">
        <v>0</v>
      </c>
      <c r="AI34" s="67">
        <v>0</v>
      </c>
      <c r="AJ34" s="67">
        <v>0</v>
      </c>
      <c r="AK34" s="67">
        <v>0</v>
      </c>
      <c r="AL34" s="67">
        <v>0</v>
      </c>
      <c r="AM34" s="67">
        <v>0</v>
      </c>
      <c r="AN34" s="67">
        <v>0</v>
      </c>
      <c r="AO34" s="67">
        <v>264.55</v>
      </c>
      <c r="AP34" s="67">
        <v>0</v>
      </c>
      <c r="AQ34" s="67">
        <v>0</v>
      </c>
      <c r="AR34" s="67">
        <v>0</v>
      </c>
      <c r="AS34" s="68">
        <v>0</v>
      </c>
      <c r="AT34" s="63"/>
      <c r="AU34" s="63"/>
    </row>
    <row r="35" spans="1:47" ht="12.75" hidden="1" customHeight="1" outlineLevel="1" x14ac:dyDescent="0.2">
      <c r="A35" s="95" t="s">
        <v>179</v>
      </c>
      <c r="B35" s="62">
        <v>105.3</v>
      </c>
      <c r="C35" s="54">
        <v>0</v>
      </c>
      <c r="D35" s="54">
        <v>381.47</v>
      </c>
      <c r="E35" s="63"/>
      <c r="F35" s="64">
        <v>27.603743413636721</v>
      </c>
      <c r="G35" s="65">
        <v>105.3</v>
      </c>
      <c r="H35" s="54">
        <v>363.27</v>
      </c>
      <c r="I35" s="54">
        <v>1065.54</v>
      </c>
      <c r="J35" s="54">
        <v>105.3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1639.41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321.44</v>
      </c>
      <c r="AH35" s="67">
        <v>578.82000000000005</v>
      </c>
      <c r="AI35" s="67">
        <v>1475.88</v>
      </c>
      <c r="AJ35" s="67">
        <v>381.47</v>
      </c>
      <c r="AK35" s="67">
        <v>351.68</v>
      </c>
      <c r="AL35" s="67">
        <v>398.34</v>
      </c>
      <c r="AM35" s="67">
        <v>1354.89</v>
      </c>
      <c r="AN35" s="67">
        <v>259.27</v>
      </c>
      <c r="AO35" s="67">
        <v>105.3</v>
      </c>
      <c r="AP35" s="67">
        <v>897.39</v>
      </c>
      <c r="AQ35" s="67">
        <v>928.02</v>
      </c>
      <c r="AR35" s="67">
        <v>2123.25</v>
      </c>
      <c r="AS35" s="68">
        <v>2757.61</v>
      </c>
      <c r="AT35" s="63"/>
      <c r="AU35" s="63">
        <v>59.450393637969114</v>
      </c>
    </row>
    <row r="36" spans="1:47" ht="12.75" hidden="1" customHeight="1" outlineLevel="1" x14ac:dyDescent="0.2">
      <c r="A36" s="95" t="s">
        <v>180</v>
      </c>
      <c r="B36" s="62">
        <v>0</v>
      </c>
      <c r="C36" s="54">
        <v>0</v>
      </c>
      <c r="D36" s="54">
        <v>0</v>
      </c>
      <c r="E36" s="63"/>
      <c r="F36" s="64"/>
      <c r="G36" s="65">
        <v>1383.41</v>
      </c>
      <c r="H36" s="54">
        <v>0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1383.41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>
        <v>0</v>
      </c>
      <c r="AH36" s="67">
        <v>0</v>
      </c>
      <c r="AI36" s="67">
        <v>0</v>
      </c>
      <c r="AJ36" s="67">
        <v>0</v>
      </c>
      <c r="AK36" s="67">
        <v>0</v>
      </c>
      <c r="AL36" s="67">
        <v>52.75</v>
      </c>
      <c r="AM36" s="67">
        <v>235.45</v>
      </c>
      <c r="AN36" s="67">
        <v>602.6</v>
      </c>
      <c r="AO36" s="98">
        <v>-567.6</v>
      </c>
      <c r="AP36" s="67">
        <v>917.8</v>
      </c>
      <c r="AQ36" s="67">
        <v>0</v>
      </c>
      <c r="AR36" s="67">
        <v>910.49</v>
      </c>
      <c r="AS36" s="68">
        <v>0</v>
      </c>
      <c r="AT36" s="63"/>
      <c r="AU36" s="63"/>
    </row>
    <row r="37" spans="1:47" ht="12.75" hidden="1" customHeight="1" outlineLevel="1" x14ac:dyDescent="0.2">
      <c r="A37" s="95" t="s">
        <v>181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3201.58</v>
      </c>
      <c r="AM37" s="67">
        <v>0</v>
      </c>
      <c r="AN37" s="67">
        <v>15</v>
      </c>
      <c r="AO37" s="67">
        <v>0</v>
      </c>
      <c r="AP37" s="67">
        <v>0</v>
      </c>
      <c r="AQ37" s="67">
        <v>0</v>
      </c>
      <c r="AR37" s="67">
        <v>2274.4699999999998</v>
      </c>
      <c r="AS37" s="68">
        <v>0</v>
      </c>
      <c r="AT37" s="63"/>
      <c r="AU37" s="63"/>
    </row>
    <row r="38" spans="1:47" ht="12.75" hidden="1" customHeight="1" outlineLevel="1" x14ac:dyDescent="0.2">
      <c r="A38" s="95" t="s">
        <v>182</v>
      </c>
      <c r="B38" s="62">
        <v>0</v>
      </c>
      <c r="C38" s="54">
        <v>0</v>
      </c>
      <c r="D38" s="54">
        <v>0</v>
      </c>
      <c r="E38" s="63"/>
      <c r="F38" s="64"/>
      <c r="G38" s="65">
        <v>516</v>
      </c>
      <c r="H38" s="54">
        <v>906.64</v>
      </c>
      <c r="I38" s="54">
        <v>0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1422.64</v>
      </c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0</v>
      </c>
      <c r="Z38" s="54">
        <v>0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66">
        <v>0</v>
      </c>
      <c r="AG38" s="67">
        <v>0</v>
      </c>
      <c r="AH38" s="67">
        <v>764.05</v>
      </c>
      <c r="AI38" s="67">
        <v>0</v>
      </c>
      <c r="AJ38" s="67">
        <v>0</v>
      </c>
      <c r="AK38" s="67">
        <v>18.899999999999999</v>
      </c>
      <c r="AL38" s="67">
        <v>245.01</v>
      </c>
      <c r="AM38" s="67">
        <v>2433.2600000000002</v>
      </c>
      <c r="AN38" s="67">
        <v>397.74</v>
      </c>
      <c r="AO38" s="98">
        <v>-550.33000000000004</v>
      </c>
      <c r="AP38" s="67">
        <v>607.09</v>
      </c>
      <c r="AQ38" s="67">
        <v>0</v>
      </c>
      <c r="AR38" s="67">
        <v>439.09</v>
      </c>
      <c r="AS38" s="68">
        <v>764.05</v>
      </c>
      <c r="AT38" s="63"/>
      <c r="AU38" s="63">
        <v>186.19723840062824</v>
      </c>
    </row>
    <row r="39" spans="1:47" ht="12.75" hidden="1" customHeight="1" outlineLevel="1" x14ac:dyDescent="0.2">
      <c r="A39" s="95" t="s">
        <v>183</v>
      </c>
      <c r="B39" s="62">
        <v>1524.28</v>
      </c>
      <c r="C39" s="54">
        <v>0</v>
      </c>
      <c r="D39" s="54">
        <v>0</v>
      </c>
      <c r="E39" s="63"/>
      <c r="F39" s="64"/>
      <c r="G39" s="97">
        <v>-3770.71</v>
      </c>
      <c r="H39" s="54">
        <v>1228.83</v>
      </c>
      <c r="I39" s="54">
        <v>259.63</v>
      </c>
      <c r="J39" s="54">
        <v>1524.28</v>
      </c>
      <c r="K39" s="56">
        <v>-6489.11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76">
        <v>-757.97</v>
      </c>
      <c r="T39" s="54">
        <v>0</v>
      </c>
      <c r="U39" s="54">
        <v>0</v>
      </c>
      <c r="V39" s="54">
        <v>0</v>
      </c>
      <c r="W39" s="54">
        <v>0</v>
      </c>
      <c r="X39" s="54">
        <v>0</v>
      </c>
      <c r="Y39" s="54">
        <v>0</v>
      </c>
      <c r="Z39" s="54">
        <v>0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66">
        <v>0</v>
      </c>
      <c r="AG39" s="67">
        <v>0</v>
      </c>
      <c r="AH39" s="67">
        <v>0</v>
      </c>
      <c r="AI39" s="67">
        <v>0</v>
      </c>
      <c r="AJ39" s="67">
        <v>0</v>
      </c>
      <c r="AK39" s="67">
        <v>0</v>
      </c>
      <c r="AL39" s="67">
        <v>0</v>
      </c>
      <c r="AM39" s="67">
        <v>0</v>
      </c>
      <c r="AN39" s="67">
        <v>0</v>
      </c>
      <c r="AO39" s="67">
        <v>4599.34</v>
      </c>
      <c r="AP39" s="67">
        <v>4031.18</v>
      </c>
      <c r="AQ39" s="67">
        <v>451.73</v>
      </c>
      <c r="AR39" s="67">
        <v>32.68</v>
      </c>
      <c r="AS39" s="68">
        <v>0</v>
      </c>
      <c r="AT39" s="63"/>
      <c r="AU39" s="63"/>
    </row>
    <row r="40" spans="1:47" ht="12.75" hidden="1" customHeight="1" outlineLevel="1" x14ac:dyDescent="0.2">
      <c r="A40" s="95" t="s">
        <v>184</v>
      </c>
      <c r="B40" s="62">
        <v>512.38</v>
      </c>
      <c r="C40" s="54">
        <v>0</v>
      </c>
      <c r="D40" s="54">
        <v>0</v>
      </c>
      <c r="E40" s="63"/>
      <c r="F40" s="64"/>
      <c r="G40" s="97">
        <v>-290.99</v>
      </c>
      <c r="H40" s="56">
        <v>-27.63</v>
      </c>
      <c r="I40" s="56">
        <v>-381.18</v>
      </c>
      <c r="J40" s="54">
        <v>512.38</v>
      </c>
      <c r="K40" s="56">
        <v>-512.38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76">
        <v>-187.42</v>
      </c>
      <c r="T40" s="54">
        <v>0</v>
      </c>
      <c r="U40" s="54">
        <v>0</v>
      </c>
      <c r="V40" s="54">
        <v>0</v>
      </c>
      <c r="W40" s="54">
        <v>0</v>
      </c>
      <c r="X40" s="54">
        <v>0</v>
      </c>
      <c r="Y40" s="54">
        <v>0</v>
      </c>
      <c r="Z40" s="54">
        <v>0</v>
      </c>
      <c r="AA40" s="54">
        <v>0</v>
      </c>
      <c r="AB40" s="54">
        <v>0</v>
      </c>
      <c r="AC40" s="54">
        <v>0</v>
      </c>
      <c r="AD40" s="54">
        <v>0</v>
      </c>
      <c r="AE40" s="54">
        <v>0</v>
      </c>
      <c r="AF40" s="66">
        <v>0</v>
      </c>
      <c r="AG40" s="67">
        <v>0</v>
      </c>
      <c r="AH40" s="67">
        <v>0</v>
      </c>
      <c r="AI40" s="67">
        <v>0</v>
      </c>
      <c r="AJ40" s="67">
        <v>0</v>
      </c>
      <c r="AK40" s="67">
        <v>0</v>
      </c>
      <c r="AL40" s="67">
        <v>0</v>
      </c>
      <c r="AM40" s="67">
        <v>0</v>
      </c>
      <c r="AN40" s="67">
        <v>0</v>
      </c>
      <c r="AO40" s="67">
        <v>0</v>
      </c>
      <c r="AP40" s="67">
        <v>0</v>
      </c>
      <c r="AQ40" s="67">
        <v>0</v>
      </c>
      <c r="AR40" s="67">
        <v>699.8</v>
      </c>
      <c r="AS40" s="68">
        <v>0</v>
      </c>
      <c r="AT40" s="63"/>
      <c r="AU40" s="63"/>
    </row>
    <row r="41" spans="1:47" ht="12.75" hidden="1" customHeight="1" outlineLevel="1" x14ac:dyDescent="0.2">
      <c r="A41" s="95" t="s">
        <v>185</v>
      </c>
      <c r="B41" s="62">
        <v>0</v>
      </c>
      <c r="C41" s="54">
        <v>0</v>
      </c>
      <c r="D41" s="54">
        <v>0</v>
      </c>
      <c r="E41" s="63"/>
      <c r="F41" s="64"/>
      <c r="G41" s="65">
        <v>0</v>
      </c>
      <c r="H41" s="54">
        <v>0</v>
      </c>
      <c r="I41" s="54">
        <v>0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66">
        <v>0</v>
      </c>
      <c r="T41" s="54">
        <v>0</v>
      </c>
      <c r="U41" s="54">
        <v>0</v>
      </c>
      <c r="V41" s="54">
        <v>0</v>
      </c>
      <c r="W41" s="54">
        <v>0</v>
      </c>
      <c r="X41" s="54">
        <v>0</v>
      </c>
      <c r="Y41" s="54">
        <v>0</v>
      </c>
      <c r="Z41" s="54">
        <v>0</v>
      </c>
      <c r="AA41" s="54">
        <v>0</v>
      </c>
      <c r="AB41" s="54">
        <v>0</v>
      </c>
      <c r="AC41" s="54">
        <v>0</v>
      </c>
      <c r="AD41" s="54">
        <v>0</v>
      </c>
      <c r="AE41" s="54">
        <v>0</v>
      </c>
      <c r="AF41" s="66">
        <v>0</v>
      </c>
      <c r="AG41" s="67">
        <v>0</v>
      </c>
      <c r="AH41" s="67">
        <v>0</v>
      </c>
      <c r="AI41" s="67">
        <v>0</v>
      </c>
      <c r="AJ41" s="67">
        <v>0</v>
      </c>
      <c r="AK41" s="67">
        <v>0</v>
      </c>
      <c r="AL41" s="67">
        <v>0</v>
      </c>
      <c r="AM41" s="67">
        <v>0</v>
      </c>
      <c r="AN41" s="67">
        <v>0</v>
      </c>
      <c r="AO41" s="67">
        <v>0</v>
      </c>
      <c r="AP41" s="67">
        <v>0</v>
      </c>
      <c r="AQ41" s="67">
        <v>0</v>
      </c>
      <c r="AR41" s="67">
        <v>0</v>
      </c>
      <c r="AS41" s="68">
        <v>0</v>
      </c>
      <c r="AT41" s="63"/>
      <c r="AU41" s="63"/>
    </row>
    <row r="42" spans="1:47" ht="12.75" hidden="1" customHeight="1" outlineLevel="1" x14ac:dyDescent="0.2">
      <c r="A42" s="95" t="s">
        <v>186</v>
      </c>
      <c r="B42" s="62">
        <v>0</v>
      </c>
      <c r="C42" s="54">
        <v>0</v>
      </c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0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100</v>
      </c>
      <c r="AS42" s="68">
        <v>0</v>
      </c>
      <c r="AT42" s="63"/>
      <c r="AU42" s="63"/>
    </row>
    <row r="43" spans="1:47" ht="12.75" hidden="1" customHeight="1" outlineLevel="1" x14ac:dyDescent="0.2">
      <c r="A43" s="95" t="s">
        <v>187</v>
      </c>
      <c r="B43" s="62">
        <v>0</v>
      </c>
      <c r="C43" s="54">
        <v>0</v>
      </c>
      <c r="D43" s="54">
        <v>0</v>
      </c>
      <c r="E43" s="63"/>
      <c r="F43" s="64"/>
      <c r="G43" s="65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66">
        <v>0</v>
      </c>
      <c r="T43" s="54">
        <v>0</v>
      </c>
      <c r="U43" s="54">
        <v>0</v>
      </c>
      <c r="V43" s="54">
        <v>0</v>
      </c>
      <c r="W43" s="54">
        <v>0</v>
      </c>
      <c r="X43" s="54">
        <v>0</v>
      </c>
      <c r="Y43" s="54">
        <v>0</v>
      </c>
      <c r="Z43" s="54">
        <v>0</v>
      </c>
      <c r="AA43" s="54">
        <v>0</v>
      </c>
      <c r="AB43" s="54">
        <v>0</v>
      </c>
      <c r="AC43" s="54">
        <v>0</v>
      </c>
      <c r="AD43" s="54">
        <v>0</v>
      </c>
      <c r="AE43" s="54">
        <v>0</v>
      </c>
      <c r="AF43" s="66">
        <v>0</v>
      </c>
      <c r="AG43" s="67">
        <v>0</v>
      </c>
      <c r="AH43" s="67">
        <v>0</v>
      </c>
      <c r="AI43" s="67">
        <v>0</v>
      </c>
      <c r="AJ43" s="67">
        <v>0</v>
      </c>
      <c r="AK43" s="67">
        <v>0</v>
      </c>
      <c r="AL43" s="67">
        <v>0</v>
      </c>
      <c r="AM43" s="67">
        <v>0</v>
      </c>
      <c r="AN43" s="67">
        <v>0</v>
      </c>
      <c r="AO43" s="67">
        <v>0</v>
      </c>
      <c r="AP43" s="67">
        <v>0</v>
      </c>
      <c r="AQ43" s="67">
        <v>0</v>
      </c>
      <c r="AR43" s="67">
        <v>0</v>
      </c>
      <c r="AS43" s="68">
        <v>0</v>
      </c>
      <c r="AT43" s="63"/>
      <c r="AU43" s="63"/>
    </row>
    <row r="44" spans="1:47" ht="12.75" hidden="1" customHeight="1" outlineLevel="1" x14ac:dyDescent="0.2">
      <c r="A44" s="95" t="s">
        <v>188</v>
      </c>
      <c r="B44" s="62">
        <v>0</v>
      </c>
      <c r="C44" s="54">
        <v>0</v>
      </c>
      <c r="D44" s="54">
        <v>0</v>
      </c>
      <c r="E44" s="63"/>
      <c r="F44" s="64"/>
      <c r="G44" s="65">
        <v>0</v>
      </c>
      <c r="H44" s="54">
        <v>0</v>
      </c>
      <c r="I44" s="54">
        <v>0</v>
      </c>
      <c r="J44" s="54">
        <v>0</v>
      </c>
      <c r="K44" s="54">
        <v>0</v>
      </c>
      <c r="L44" s="54">
        <v>0</v>
      </c>
      <c r="M44" s="54">
        <v>0</v>
      </c>
      <c r="N44" s="54">
        <v>0</v>
      </c>
      <c r="O44" s="54">
        <v>0</v>
      </c>
      <c r="P44" s="54">
        <v>0</v>
      </c>
      <c r="Q44" s="54">
        <v>0</v>
      </c>
      <c r="R44" s="54">
        <v>0</v>
      </c>
      <c r="S44" s="66">
        <v>0</v>
      </c>
      <c r="T44" s="54">
        <v>0</v>
      </c>
      <c r="U44" s="54">
        <v>0</v>
      </c>
      <c r="V44" s="54">
        <v>0</v>
      </c>
      <c r="W44" s="54">
        <v>0</v>
      </c>
      <c r="X44" s="54">
        <v>0</v>
      </c>
      <c r="Y44" s="54">
        <v>0</v>
      </c>
      <c r="Z44" s="54">
        <v>0</v>
      </c>
      <c r="AA44" s="54">
        <v>0</v>
      </c>
      <c r="AB44" s="54">
        <v>0</v>
      </c>
      <c r="AC44" s="54">
        <v>0</v>
      </c>
      <c r="AD44" s="54">
        <v>0</v>
      </c>
      <c r="AE44" s="54">
        <v>0</v>
      </c>
      <c r="AF44" s="66">
        <v>0</v>
      </c>
      <c r="AG44" s="67">
        <v>0</v>
      </c>
      <c r="AH44" s="67">
        <v>0</v>
      </c>
      <c r="AI44" s="67">
        <v>0</v>
      </c>
      <c r="AJ44" s="67">
        <v>0</v>
      </c>
      <c r="AK44" s="67">
        <v>0</v>
      </c>
      <c r="AL44" s="67">
        <v>0</v>
      </c>
      <c r="AM44" s="67">
        <v>0</v>
      </c>
      <c r="AN44" s="67">
        <v>0</v>
      </c>
      <c r="AO44" s="67">
        <v>0</v>
      </c>
      <c r="AP44" s="67">
        <v>0</v>
      </c>
      <c r="AQ44" s="67">
        <v>0</v>
      </c>
      <c r="AR44" s="67">
        <v>0</v>
      </c>
      <c r="AS44" s="68">
        <v>0</v>
      </c>
      <c r="AT44" s="63"/>
      <c r="AU44" s="63"/>
    </row>
    <row r="45" spans="1:47" ht="12.75" hidden="1" customHeight="1" outlineLevel="1" x14ac:dyDescent="0.2">
      <c r="A45" s="95" t="s">
        <v>189</v>
      </c>
      <c r="B45" s="62">
        <v>0</v>
      </c>
      <c r="C45" s="54">
        <v>0</v>
      </c>
      <c r="D45" s="54">
        <v>0</v>
      </c>
      <c r="E45" s="63"/>
      <c r="F45" s="64"/>
      <c r="G45" s="65">
        <v>0</v>
      </c>
      <c r="H45" s="54">
        <v>0</v>
      </c>
      <c r="I45" s="54">
        <v>0</v>
      </c>
      <c r="J45" s="54">
        <v>0</v>
      </c>
      <c r="K45" s="54">
        <v>0</v>
      </c>
      <c r="L45" s="54">
        <v>0</v>
      </c>
      <c r="M45" s="54">
        <v>0</v>
      </c>
      <c r="N45" s="54">
        <v>0</v>
      </c>
      <c r="O45" s="54">
        <v>0</v>
      </c>
      <c r="P45" s="54">
        <v>0</v>
      </c>
      <c r="Q45" s="54">
        <v>0</v>
      </c>
      <c r="R45" s="54">
        <v>0</v>
      </c>
      <c r="S45" s="66">
        <v>0</v>
      </c>
      <c r="T45" s="54">
        <v>0</v>
      </c>
      <c r="U45" s="54">
        <v>0</v>
      </c>
      <c r="V45" s="54">
        <v>0</v>
      </c>
      <c r="W45" s="54">
        <v>0</v>
      </c>
      <c r="X45" s="54">
        <v>0</v>
      </c>
      <c r="Y45" s="54">
        <v>0</v>
      </c>
      <c r="Z45" s="54">
        <v>0</v>
      </c>
      <c r="AA45" s="54">
        <v>0</v>
      </c>
      <c r="AB45" s="54">
        <v>0</v>
      </c>
      <c r="AC45" s="54">
        <v>0</v>
      </c>
      <c r="AD45" s="54">
        <v>0</v>
      </c>
      <c r="AE45" s="54">
        <v>0</v>
      </c>
      <c r="AF45" s="66">
        <v>0</v>
      </c>
      <c r="AG45" s="67">
        <v>0</v>
      </c>
      <c r="AH45" s="67">
        <v>0</v>
      </c>
      <c r="AI45" s="67">
        <v>0</v>
      </c>
      <c r="AJ45" s="67">
        <v>0</v>
      </c>
      <c r="AK45" s="67">
        <v>0</v>
      </c>
      <c r="AL45" s="67">
        <v>0</v>
      </c>
      <c r="AM45" s="67">
        <v>0</v>
      </c>
      <c r="AN45" s="67">
        <v>0</v>
      </c>
      <c r="AO45" s="67">
        <v>0</v>
      </c>
      <c r="AP45" s="67">
        <v>0</v>
      </c>
      <c r="AQ45" s="67">
        <v>0</v>
      </c>
      <c r="AR45" s="67">
        <v>0</v>
      </c>
      <c r="AS45" s="68">
        <v>0</v>
      </c>
      <c r="AT45" s="63"/>
      <c r="AU45" s="63"/>
    </row>
    <row r="46" spans="1:47" ht="12.75" hidden="1" customHeight="1" outlineLevel="1" x14ac:dyDescent="0.2">
      <c r="A46" s="95" t="s">
        <v>190</v>
      </c>
      <c r="B46" s="62">
        <v>0</v>
      </c>
      <c r="C46" s="54">
        <v>0</v>
      </c>
      <c r="D46" s="54">
        <v>0</v>
      </c>
      <c r="E46" s="63"/>
      <c r="F46" s="64"/>
      <c r="G46" s="65">
        <v>0</v>
      </c>
      <c r="H46" s="54">
        <v>499.67</v>
      </c>
      <c r="I46" s="54">
        <v>118.18</v>
      </c>
      <c r="J46" s="54">
        <v>0</v>
      </c>
      <c r="K46" s="54">
        <v>0</v>
      </c>
      <c r="L46" s="54">
        <v>0</v>
      </c>
      <c r="M46" s="54">
        <v>0</v>
      </c>
      <c r="N46" s="54">
        <v>0</v>
      </c>
      <c r="O46" s="54">
        <v>0</v>
      </c>
      <c r="P46" s="54">
        <v>0</v>
      </c>
      <c r="Q46" s="54">
        <v>0</v>
      </c>
      <c r="R46" s="54">
        <v>0</v>
      </c>
      <c r="S46" s="66">
        <v>617.85</v>
      </c>
      <c r="T46" s="54">
        <v>0</v>
      </c>
      <c r="U46" s="54">
        <v>0</v>
      </c>
      <c r="V46" s="54">
        <v>0</v>
      </c>
      <c r="W46" s="54">
        <v>0</v>
      </c>
      <c r="X46" s="54">
        <v>0</v>
      </c>
      <c r="Y46" s="54">
        <v>0</v>
      </c>
      <c r="Z46" s="54">
        <v>0</v>
      </c>
      <c r="AA46" s="54">
        <v>0</v>
      </c>
      <c r="AB46" s="54">
        <v>0</v>
      </c>
      <c r="AC46" s="54">
        <v>0</v>
      </c>
      <c r="AD46" s="54">
        <v>0</v>
      </c>
      <c r="AE46" s="54">
        <v>0</v>
      </c>
      <c r="AF46" s="66">
        <v>0</v>
      </c>
      <c r="AG46" s="67">
        <v>0</v>
      </c>
      <c r="AH46" s="67">
        <v>0</v>
      </c>
      <c r="AI46" s="67">
        <v>36.36</v>
      </c>
      <c r="AJ46" s="67">
        <v>0</v>
      </c>
      <c r="AK46" s="67">
        <v>212.16</v>
      </c>
      <c r="AL46" s="67">
        <v>337.24</v>
      </c>
      <c r="AM46" s="67">
        <v>585.74</v>
      </c>
      <c r="AN46" s="67">
        <v>731.51</v>
      </c>
      <c r="AO46" s="67">
        <v>851.22</v>
      </c>
      <c r="AP46" s="67">
        <v>724.47</v>
      </c>
      <c r="AQ46" s="67">
        <v>0</v>
      </c>
      <c r="AR46" s="67">
        <v>0</v>
      </c>
      <c r="AS46" s="68">
        <v>36.36</v>
      </c>
      <c r="AT46" s="63"/>
      <c r="AU46" s="63">
        <v>1699.2574257425742</v>
      </c>
    </row>
    <row r="47" spans="1:47" ht="12.75" hidden="1" customHeight="1" outlineLevel="1" x14ac:dyDescent="0.2">
      <c r="A47" s="95" t="s">
        <v>191</v>
      </c>
      <c r="B47" s="62">
        <v>0</v>
      </c>
      <c r="C47" s="54">
        <v>0</v>
      </c>
      <c r="D47" s="54">
        <v>0</v>
      </c>
      <c r="E47" s="63"/>
      <c r="F47" s="64"/>
      <c r="G47" s="65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54">
        <v>0</v>
      </c>
      <c r="N47" s="54">
        <v>0</v>
      </c>
      <c r="O47" s="54">
        <v>0</v>
      </c>
      <c r="P47" s="54">
        <v>0</v>
      </c>
      <c r="Q47" s="54">
        <v>0</v>
      </c>
      <c r="R47" s="54">
        <v>0</v>
      </c>
      <c r="S47" s="66">
        <v>0</v>
      </c>
      <c r="T47" s="54">
        <v>0</v>
      </c>
      <c r="U47" s="54">
        <v>0</v>
      </c>
      <c r="V47" s="54">
        <v>0</v>
      </c>
      <c r="W47" s="54">
        <v>0</v>
      </c>
      <c r="X47" s="54">
        <v>0</v>
      </c>
      <c r="Y47" s="54">
        <v>0</v>
      </c>
      <c r="Z47" s="54">
        <v>0</v>
      </c>
      <c r="AA47" s="54">
        <v>0</v>
      </c>
      <c r="AB47" s="54">
        <v>0</v>
      </c>
      <c r="AC47" s="54">
        <v>0</v>
      </c>
      <c r="AD47" s="54">
        <v>0</v>
      </c>
      <c r="AE47" s="54">
        <v>0</v>
      </c>
      <c r="AF47" s="66">
        <v>0</v>
      </c>
      <c r="AG47" s="67">
        <v>0</v>
      </c>
      <c r="AH47" s="67">
        <v>0</v>
      </c>
      <c r="AI47" s="67">
        <v>0</v>
      </c>
      <c r="AJ47" s="67">
        <v>0</v>
      </c>
      <c r="AK47" s="67">
        <v>0</v>
      </c>
      <c r="AL47" s="67">
        <v>0</v>
      </c>
      <c r="AM47" s="67">
        <v>0</v>
      </c>
      <c r="AN47" s="67">
        <v>0</v>
      </c>
      <c r="AO47" s="67">
        <v>200.83</v>
      </c>
      <c r="AP47" s="67">
        <v>0</v>
      </c>
      <c r="AQ47" s="67">
        <v>0</v>
      </c>
      <c r="AR47" s="67">
        <v>0</v>
      </c>
      <c r="AS47" s="68">
        <v>0</v>
      </c>
      <c r="AT47" s="63"/>
      <c r="AU47" s="63"/>
    </row>
    <row r="48" spans="1:47" ht="12.75" customHeight="1" collapsed="1" x14ac:dyDescent="0.2">
      <c r="A48" s="69" t="s">
        <v>192</v>
      </c>
      <c r="B48" s="70">
        <v>2806.28</v>
      </c>
      <c r="C48" s="71">
        <v>0</v>
      </c>
      <c r="D48" s="71">
        <v>381.47</v>
      </c>
      <c r="E48" s="72"/>
      <c r="F48" s="73">
        <v>735.64893700684195</v>
      </c>
      <c r="G48" s="133">
        <v>-167.05</v>
      </c>
      <c r="H48" s="71">
        <v>4642.34</v>
      </c>
      <c r="I48" s="71">
        <v>1062.17</v>
      </c>
      <c r="J48" s="71">
        <v>2806.28</v>
      </c>
      <c r="K48" s="74">
        <v>-7001.49</v>
      </c>
      <c r="L48" s="71">
        <v>0</v>
      </c>
      <c r="M48" s="71">
        <v>0</v>
      </c>
      <c r="N48" s="71">
        <v>0</v>
      </c>
      <c r="O48" s="71">
        <v>0</v>
      </c>
      <c r="P48" s="71">
        <v>0</v>
      </c>
      <c r="Q48" s="71">
        <v>0</v>
      </c>
      <c r="R48" s="71">
        <v>0</v>
      </c>
      <c r="S48" s="71">
        <v>8343.74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71">
        <v>0</v>
      </c>
      <c r="AE48" s="71">
        <v>0</v>
      </c>
      <c r="AF48" s="71">
        <v>0</v>
      </c>
      <c r="AG48" s="75">
        <v>321.44</v>
      </c>
      <c r="AH48" s="75">
        <v>1342.87</v>
      </c>
      <c r="AI48" s="75">
        <v>1512.24</v>
      </c>
      <c r="AJ48" s="75">
        <v>381.47</v>
      </c>
      <c r="AK48" s="75">
        <v>582.74</v>
      </c>
      <c r="AL48" s="75">
        <v>4234.92</v>
      </c>
      <c r="AM48" s="75">
        <v>4609.34</v>
      </c>
      <c r="AN48" s="75">
        <v>2006.12</v>
      </c>
      <c r="AO48" s="75">
        <v>4903.3100000000004</v>
      </c>
      <c r="AP48" s="75">
        <v>7177.93</v>
      </c>
      <c r="AQ48" s="75">
        <v>1379.75</v>
      </c>
      <c r="AR48" s="75">
        <v>6579.78</v>
      </c>
      <c r="AS48" s="75">
        <v>3558.02</v>
      </c>
      <c r="AT48" s="72"/>
      <c r="AU48" s="72">
        <v>234.50514612059516</v>
      </c>
    </row>
    <row r="49" spans="1:47" ht="12.75" hidden="1" customHeight="1" outlineLevel="1" x14ac:dyDescent="0.2">
      <c r="A49" s="95" t="s">
        <v>193</v>
      </c>
      <c r="B49" s="62"/>
      <c r="C49" s="54"/>
      <c r="D49" s="54"/>
      <c r="E49" s="63"/>
      <c r="F49" s="64"/>
      <c r="G49" s="65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66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66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8"/>
      <c r="AT49" s="63"/>
      <c r="AU49" s="63"/>
    </row>
    <row r="50" spans="1:47" ht="12.75" hidden="1" customHeight="1" outlineLevel="1" x14ac:dyDescent="0.2">
      <c r="A50" s="95" t="s">
        <v>194</v>
      </c>
      <c r="B50" s="62">
        <v>0</v>
      </c>
      <c r="C50" s="54">
        <v>0</v>
      </c>
      <c r="D50" s="54">
        <v>569.16999999999996</v>
      </c>
      <c r="E50" s="63"/>
      <c r="F50" s="64">
        <v>0</v>
      </c>
      <c r="G50" s="65">
        <v>294.17</v>
      </c>
      <c r="H50" s="54">
        <v>588.34</v>
      </c>
      <c r="I50" s="54">
        <v>294.17</v>
      </c>
      <c r="J50" s="54">
        <v>0</v>
      </c>
      <c r="K50" s="54">
        <v>0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66">
        <v>1176.68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>
        <v>294.17</v>
      </c>
      <c r="AH50" s="67">
        <v>569.16999999999996</v>
      </c>
      <c r="AI50" s="67">
        <v>825.17</v>
      </c>
      <c r="AJ50" s="67">
        <v>569.16999999999996</v>
      </c>
      <c r="AK50" s="67">
        <v>294.17</v>
      </c>
      <c r="AL50" s="67">
        <v>569.16999999999996</v>
      </c>
      <c r="AM50" s="67">
        <v>294.17</v>
      </c>
      <c r="AN50" s="67">
        <v>0</v>
      </c>
      <c r="AO50" s="67">
        <v>4557.7299999999996</v>
      </c>
      <c r="AP50" s="67">
        <v>0</v>
      </c>
      <c r="AQ50" s="67">
        <v>4453.51</v>
      </c>
      <c r="AR50" s="67">
        <v>696.92</v>
      </c>
      <c r="AS50" s="68">
        <v>2257.6799999999998</v>
      </c>
      <c r="AT50" s="63"/>
      <c r="AU50" s="63">
        <v>52.118989405052972</v>
      </c>
    </row>
    <row r="51" spans="1:47" ht="12.75" hidden="1" customHeight="1" outlineLevel="1" x14ac:dyDescent="0.2">
      <c r="A51" s="95" t="s">
        <v>82</v>
      </c>
      <c r="B51" s="62">
        <v>348.51</v>
      </c>
      <c r="C51" s="54">
        <v>0</v>
      </c>
      <c r="D51" s="54">
        <v>171.82</v>
      </c>
      <c r="E51" s="63"/>
      <c r="F51" s="64">
        <v>202.8343615411477</v>
      </c>
      <c r="G51" s="65">
        <v>171.82</v>
      </c>
      <c r="H51" s="54">
        <v>0</v>
      </c>
      <c r="I51" s="54">
        <v>163.63999999999999</v>
      </c>
      <c r="J51" s="54">
        <v>348.51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66">
        <v>683.97</v>
      </c>
      <c r="T51" s="54">
        <v>0</v>
      </c>
      <c r="U51" s="54">
        <v>0</v>
      </c>
      <c r="V51" s="54">
        <v>0</v>
      </c>
      <c r="W51" s="54">
        <v>0</v>
      </c>
      <c r="X51" s="54">
        <v>0</v>
      </c>
      <c r="Y51" s="54">
        <v>0</v>
      </c>
      <c r="Z51" s="54">
        <v>0</v>
      </c>
      <c r="AA51" s="54">
        <v>0</v>
      </c>
      <c r="AB51" s="54">
        <v>0</v>
      </c>
      <c r="AC51" s="54">
        <v>0</v>
      </c>
      <c r="AD51" s="54">
        <v>0</v>
      </c>
      <c r="AE51" s="54">
        <v>0</v>
      </c>
      <c r="AF51" s="66">
        <v>0</v>
      </c>
      <c r="AG51" s="67">
        <v>152.72999999999999</v>
      </c>
      <c r="AH51" s="67">
        <v>181.37</v>
      </c>
      <c r="AI51" s="67">
        <v>180</v>
      </c>
      <c r="AJ51" s="67">
        <v>171.82</v>
      </c>
      <c r="AK51" s="67">
        <v>155.44999999999999</v>
      </c>
      <c r="AL51" s="67">
        <v>476.37</v>
      </c>
      <c r="AM51" s="67">
        <v>188.18</v>
      </c>
      <c r="AN51" s="67">
        <v>152.19</v>
      </c>
      <c r="AO51" s="67">
        <v>180</v>
      </c>
      <c r="AP51" s="67">
        <v>173.82</v>
      </c>
      <c r="AQ51" s="67">
        <v>0</v>
      </c>
      <c r="AR51" s="67">
        <v>369.79</v>
      </c>
      <c r="AS51" s="68">
        <v>685.92</v>
      </c>
      <c r="AT51" s="63"/>
      <c r="AU51" s="63">
        <v>99.715710286913932</v>
      </c>
    </row>
    <row r="52" spans="1:47" ht="12.75" hidden="1" customHeight="1" outlineLevel="1" x14ac:dyDescent="0.2">
      <c r="A52" s="95" t="s">
        <v>83</v>
      </c>
      <c r="B52" s="62">
        <v>0</v>
      </c>
      <c r="C52" s="54">
        <v>0</v>
      </c>
      <c r="D52" s="54">
        <v>0</v>
      </c>
      <c r="E52" s="63"/>
      <c r="F52" s="64"/>
      <c r="G52" s="65">
        <v>0</v>
      </c>
      <c r="H52" s="54">
        <v>0</v>
      </c>
      <c r="I52" s="54">
        <v>0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66">
        <v>0</v>
      </c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66">
        <v>0</v>
      </c>
      <c r="AG52" s="67">
        <v>0</v>
      </c>
      <c r="AH52" s="67">
        <v>0</v>
      </c>
      <c r="AI52" s="67">
        <v>327.27</v>
      </c>
      <c r="AJ52" s="67">
        <v>0</v>
      </c>
      <c r="AK52" s="67">
        <v>240</v>
      </c>
      <c r="AL52" s="67">
        <v>58</v>
      </c>
      <c r="AM52" s="98">
        <v>-58</v>
      </c>
      <c r="AN52" s="67">
        <v>0</v>
      </c>
      <c r="AO52" s="67">
        <v>0</v>
      </c>
      <c r="AP52" s="67">
        <v>10.91</v>
      </c>
      <c r="AQ52" s="67">
        <v>0</v>
      </c>
      <c r="AR52" s="67">
        <v>0</v>
      </c>
      <c r="AS52" s="68">
        <v>327.27</v>
      </c>
      <c r="AT52" s="63"/>
      <c r="AU52" s="63">
        <v>0</v>
      </c>
    </row>
    <row r="53" spans="1:47" ht="12.75" hidden="1" customHeight="1" outlineLevel="1" x14ac:dyDescent="0.2">
      <c r="A53" s="95" t="s">
        <v>84</v>
      </c>
      <c r="B53" s="62">
        <v>0</v>
      </c>
      <c r="C53" s="54">
        <v>0</v>
      </c>
      <c r="D53" s="54">
        <v>0</v>
      </c>
      <c r="E53" s="63"/>
      <c r="F53" s="64"/>
      <c r="G53" s="65">
        <v>0</v>
      </c>
      <c r="H53" s="54">
        <v>0</v>
      </c>
      <c r="I53" s="54">
        <v>0</v>
      </c>
      <c r="J53" s="54">
        <v>0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66">
        <v>0</v>
      </c>
      <c r="T53" s="54">
        <v>0</v>
      </c>
      <c r="U53" s="54">
        <v>0</v>
      </c>
      <c r="V53" s="54">
        <v>0</v>
      </c>
      <c r="W53" s="54">
        <v>0</v>
      </c>
      <c r="X53" s="54">
        <v>0</v>
      </c>
      <c r="Y53" s="54">
        <v>0</v>
      </c>
      <c r="Z53" s="54">
        <v>0</v>
      </c>
      <c r="AA53" s="54">
        <v>0</v>
      </c>
      <c r="AB53" s="54">
        <v>0</v>
      </c>
      <c r="AC53" s="54">
        <v>0</v>
      </c>
      <c r="AD53" s="54">
        <v>0</v>
      </c>
      <c r="AE53" s="54">
        <v>0</v>
      </c>
      <c r="AF53" s="66">
        <v>0</v>
      </c>
      <c r="AG53" s="67">
        <v>0</v>
      </c>
      <c r="AH53" s="67">
        <v>0</v>
      </c>
      <c r="AI53" s="67">
        <v>0</v>
      </c>
      <c r="AJ53" s="67">
        <v>0</v>
      </c>
      <c r="AK53" s="67">
        <v>0</v>
      </c>
      <c r="AL53" s="67">
        <v>0</v>
      </c>
      <c r="AM53" s="67">
        <v>0</v>
      </c>
      <c r="AN53" s="67">
        <v>0</v>
      </c>
      <c r="AO53" s="67">
        <v>0</v>
      </c>
      <c r="AP53" s="67">
        <v>0</v>
      </c>
      <c r="AQ53" s="67">
        <v>0</v>
      </c>
      <c r="AR53" s="67">
        <v>0</v>
      </c>
      <c r="AS53" s="68">
        <v>0</v>
      </c>
      <c r="AT53" s="63"/>
      <c r="AU53" s="63"/>
    </row>
    <row r="54" spans="1:47" ht="12.75" hidden="1" customHeight="1" outlineLevel="1" x14ac:dyDescent="0.2">
      <c r="A54" s="95" t="s">
        <v>199</v>
      </c>
      <c r="B54" s="62">
        <v>0</v>
      </c>
      <c r="C54" s="54">
        <v>0</v>
      </c>
      <c r="D54" s="54">
        <v>0</v>
      </c>
      <c r="E54" s="63"/>
      <c r="F54" s="64"/>
      <c r="G54" s="65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66">
        <v>0</v>
      </c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>
        <v>0</v>
      </c>
      <c r="AH54" s="67">
        <v>0</v>
      </c>
      <c r="AI54" s="67">
        <v>0</v>
      </c>
      <c r="AJ54" s="67">
        <v>0</v>
      </c>
      <c r="AK54" s="67">
        <v>0</v>
      </c>
      <c r="AL54" s="67">
        <v>0</v>
      </c>
      <c r="AM54" s="67">
        <v>0</v>
      </c>
      <c r="AN54" s="67">
        <v>0</v>
      </c>
      <c r="AO54" s="67">
        <v>0</v>
      </c>
      <c r="AP54" s="67">
        <v>0</v>
      </c>
      <c r="AQ54" s="67">
        <v>0</v>
      </c>
      <c r="AR54" s="98">
        <v>-2448.13</v>
      </c>
      <c r="AS54" s="68">
        <v>0</v>
      </c>
      <c r="AT54" s="63"/>
      <c r="AU54" s="63"/>
    </row>
    <row r="55" spans="1:47" ht="12.75" hidden="1" customHeight="1" outlineLevel="1" x14ac:dyDescent="0.2">
      <c r="A55" s="95" t="s">
        <v>195</v>
      </c>
      <c r="B55" s="62">
        <v>0</v>
      </c>
      <c r="C55" s="54">
        <v>0</v>
      </c>
      <c r="D55" s="54">
        <v>0</v>
      </c>
      <c r="E55" s="63"/>
      <c r="F55" s="64"/>
      <c r="G55" s="65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66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66">
        <v>0</v>
      </c>
      <c r="AG55" s="67">
        <v>0</v>
      </c>
      <c r="AH55" s="67">
        <v>0</v>
      </c>
      <c r="AI55" s="67">
        <v>0</v>
      </c>
      <c r="AJ55" s="67">
        <v>0</v>
      </c>
      <c r="AK55" s="67">
        <v>0</v>
      </c>
      <c r="AL55" s="67">
        <v>0</v>
      </c>
      <c r="AM55" s="67">
        <v>0</v>
      </c>
      <c r="AN55" s="67">
        <v>0</v>
      </c>
      <c r="AO55" s="67">
        <v>0</v>
      </c>
      <c r="AP55" s="67">
        <v>0</v>
      </c>
      <c r="AQ55" s="67">
        <v>0</v>
      </c>
      <c r="AR55" s="67">
        <v>0</v>
      </c>
      <c r="AS55" s="68">
        <v>0</v>
      </c>
      <c r="AT55" s="63"/>
      <c r="AU55" s="63"/>
    </row>
    <row r="56" spans="1:47" ht="12.75" hidden="1" customHeight="1" outlineLevel="1" x14ac:dyDescent="0.2">
      <c r="A56" s="95" t="s">
        <v>86</v>
      </c>
      <c r="B56" s="62">
        <v>6959.8</v>
      </c>
      <c r="C56" s="54">
        <v>0</v>
      </c>
      <c r="D56" s="54">
        <v>4563.45</v>
      </c>
      <c r="E56" s="63"/>
      <c r="F56" s="64">
        <v>152.51180576099225</v>
      </c>
      <c r="G56" s="65">
        <v>5987.46</v>
      </c>
      <c r="H56" s="54">
        <v>4184.2700000000004</v>
      </c>
      <c r="I56" s="54">
        <v>3802.39</v>
      </c>
      <c r="J56" s="54">
        <v>6959.8</v>
      </c>
      <c r="K56" s="56">
        <v>-3765.59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66">
        <v>20933.919999999998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66">
        <v>0</v>
      </c>
      <c r="AG56" s="67">
        <v>6424.96</v>
      </c>
      <c r="AH56" s="67">
        <v>7002.59</v>
      </c>
      <c r="AI56" s="67">
        <v>3422.14</v>
      </c>
      <c r="AJ56" s="67">
        <v>4563.45</v>
      </c>
      <c r="AK56" s="67">
        <v>5014.42</v>
      </c>
      <c r="AL56" s="67">
        <v>7121.39</v>
      </c>
      <c r="AM56" s="67">
        <v>1743.7</v>
      </c>
      <c r="AN56" s="67">
        <v>3609.72</v>
      </c>
      <c r="AO56" s="67">
        <v>5567.93</v>
      </c>
      <c r="AP56" s="67">
        <v>4841.76</v>
      </c>
      <c r="AQ56" s="67">
        <v>5326.83</v>
      </c>
      <c r="AR56" s="67">
        <v>6049.75</v>
      </c>
      <c r="AS56" s="68">
        <v>21413.14</v>
      </c>
      <c r="AT56" s="63"/>
      <c r="AU56" s="63">
        <v>97.762028362024438</v>
      </c>
    </row>
    <row r="57" spans="1:47" ht="12.75" hidden="1" customHeight="1" outlineLevel="1" x14ac:dyDescent="0.2">
      <c r="A57" s="95" t="s">
        <v>110</v>
      </c>
      <c r="B57" s="62"/>
      <c r="C57" s="54"/>
      <c r="D57" s="54"/>
      <c r="E57" s="63"/>
      <c r="F57" s="64"/>
      <c r="G57" s="65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66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66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8"/>
      <c r="AT57" s="63"/>
      <c r="AU57" s="63"/>
    </row>
    <row r="58" spans="1:47" ht="12.75" hidden="1" customHeight="1" outlineLevel="1" x14ac:dyDescent="0.2">
      <c r="A58" s="95" t="s">
        <v>196</v>
      </c>
      <c r="B58" s="62">
        <v>0</v>
      </c>
      <c r="C58" s="54">
        <v>0</v>
      </c>
      <c r="D58" s="54">
        <v>1019.87</v>
      </c>
      <c r="E58" s="63"/>
      <c r="F58" s="64">
        <v>0</v>
      </c>
      <c r="G58" s="65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126.36</v>
      </c>
      <c r="AI58" s="67">
        <v>0</v>
      </c>
      <c r="AJ58" s="67">
        <v>1019.87</v>
      </c>
      <c r="AK58" s="67">
        <v>0</v>
      </c>
      <c r="AL58" s="67">
        <v>0</v>
      </c>
      <c r="AM58" s="67">
        <v>0</v>
      </c>
      <c r="AN58" s="67">
        <v>164.85</v>
      </c>
      <c r="AO58" s="67">
        <v>74.91</v>
      </c>
      <c r="AP58" s="67">
        <v>3810</v>
      </c>
      <c r="AQ58" s="67">
        <v>250</v>
      </c>
      <c r="AR58" s="67">
        <v>0</v>
      </c>
      <c r="AS58" s="68">
        <v>1146.23</v>
      </c>
      <c r="AT58" s="63"/>
      <c r="AU58" s="63">
        <v>0</v>
      </c>
    </row>
    <row r="59" spans="1:47" ht="12.75" hidden="1" customHeight="1" outlineLevel="1" x14ac:dyDescent="0.2">
      <c r="A59" s="95" t="s">
        <v>88</v>
      </c>
      <c r="B59" s="62">
        <v>1520.32</v>
      </c>
      <c r="C59" s="54">
        <v>0</v>
      </c>
      <c r="D59" s="54">
        <v>4854.54</v>
      </c>
      <c r="E59" s="63"/>
      <c r="F59" s="64">
        <v>31.317488371709782</v>
      </c>
      <c r="G59" s="65">
        <v>0</v>
      </c>
      <c r="H59" s="54">
        <v>11104.18</v>
      </c>
      <c r="I59" s="54">
        <v>0</v>
      </c>
      <c r="J59" s="54">
        <v>1520.32</v>
      </c>
      <c r="K59" s="56">
        <v>-3570.01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66">
        <v>12624.5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66">
        <v>0</v>
      </c>
      <c r="AG59" s="67">
        <v>0</v>
      </c>
      <c r="AH59" s="67">
        <v>3627.27</v>
      </c>
      <c r="AI59" s="67">
        <v>2154.54</v>
      </c>
      <c r="AJ59" s="67">
        <v>4854.54</v>
      </c>
      <c r="AK59" s="67">
        <v>1922.73</v>
      </c>
      <c r="AL59" s="67">
        <v>3381.82</v>
      </c>
      <c r="AM59" s="98">
        <v>-3381.82</v>
      </c>
      <c r="AN59" s="67">
        <v>11880</v>
      </c>
      <c r="AO59" s="67">
        <v>0</v>
      </c>
      <c r="AP59" s="67">
        <v>0</v>
      </c>
      <c r="AQ59" s="67">
        <v>0</v>
      </c>
      <c r="AR59" s="98">
        <v>-1472.73</v>
      </c>
      <c r="AS59" s="68">
        <v>10636.35</v>
      </c>
      <c r="AT59" s="63"/>
      <c r="AU59" s="63">
        <v>118.69203251115279</v>
      </c>
    </row>
    <row r="60" spans="1:47" ht="12.75" hidden="1" customHeight="1" outlineLevel="1" x14ac:dyDescent="0.2">
      <c r="A60" s="95" t="s">
        <v>198</v>
      </c>
      <c r="B60" s="62">
        <v>117.2</v>
      </c>
      <c r="C60" s="54">
        <v>0</v>
      </c>
      <c r="D60" s="54">
        <v>31.4</v>
      </c>
      <c r="E60" s="63"/>
      <c r="F60" s="64">
        <v>373.24840764331208</v>
      </c>
      <c r="G60" s="65">
        <v>240.74</v>
      </c>
      <c r="H60" s="54">
        <v>1446.71</v>
      </c>
      <c r="I60" s="54">
        <v>1087.3399999999999</v>
      </c>
      <c r="J60" s="54">
        <v>117.2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66">
        <v>2891.99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>
        <v>0</v>
      </c>
      <c r="AE60" s="54">
        <v>0</v>
      </c>
      <c r="AF60" s="66">
        <v>0</v>
      </c>
      <c r="AG60" s="67">
        <v>616.9</v>
      </c>
      <c r="AH60" s="67">
        <v>2023.87</v>
      </c>
      <c r="AI60" s="67">
        <v>871.9</v>
      </c>
      <c r="AJ60" s="67">
        <v>31.4</v>
      </c>
      <c r="AK60" s="67">
        <v>391.4</v>
      </c>
      <c r="AL60" s="67">
        <v>2408.4499999999998</v>
      </c>
      <c r="AM60" s="98">
        <v>-1175.45</v>
      </c>
      <c r="AN60" s="67">
        <v>1076.3</v>
      </c>
      <c r="AO60" s="67">
        <v>1633.64</v>
      </c>
      <c r="AP60" s="67">
        <v>68.430000000000007</v>
      </c>
      <c r="AQ60" s="67">
        <v>676.21</v>
      </c>
      <c r="AR60" s="67">
        <v>373.2</v>
      </c>
      <c r="AS60" s="68">
        <v>3544.07</v>
      </c>
      <c r="AT60" s="63"/>
      <c r="AU60" s="63">
        <v>81.600814882324556</v>
      </c>
    </row>
    <row r="61" spans="1:47" ht="12.75" customHeight="1" collapsed="1" x14ac:dyDescent="0.2">
      <c r="A61" s="69" t="s">
        <v>89</v>
      </c>
      <c r="B61" s="70">
        <v>8945.83</v>
      </c>
      <c r="C61" s="71">
        <v>0</v>
      </c>
      <c r="D61" s="71">
        <v>11210.25</v>
      </c>
      <c r="E61" s="72"/>
      <c r="F61" s="73">
        <v>79.80045048058696</v>
      </c>
      <c r="G61" s="70">
        <v>6694.19</v>
      </c>
      <c r="H61" s="71">
        <v>17323.5</v>
      </c>
      <c r="I61" s="71">
        <v>5347.54</v>
      </c>
      <c r="J61" s="71">
        <v>8945.83</v>
      </c>
      <c r="K61" s="74">
        <v>-7335.6</v>
      </c>
      <c r="L61" s="71">
        <v>0</v>
      </c>
      <c r="M61" s="71">
        <v>0</v>
      </c>
      <c r="N61" s="71">
        <v>0</v>
      </c>
      <c r="O61" s="71">
        <v>0</v>
      </c>
      <c r="P61" s="71">
        <v>0</v>
      </c>
      <c r="Q61" s="71">
        <v>0</v>
      </c>
      <c r="R61" s="71">
        <v>0</v>
      </c>
      <c r="S61" s="71">
        <v>38311.06</v>
      </c>
      <c r="T61" s="71">
        <v>0</v>
      </c>
      <c r="U61" s="71">
        <v>0</v>
      </c>
      <c r="V61" s="71">
        <v>0</v>
      </c>
      <c r="W61" s="71">
        <v>0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71">
        <v>0</v>
      </c>
      <c r="AE61" s="71">
        <v>0</v>
      </c>
      <c r="AF61" s="71">
        <v>0</v>
      </c>
      <c r="AG61" s="75">
        <v>7488.76</v>
      </c>
      <c r="AH61" s="75">
        <v>13530.63</v>
      </c>
      <c r="AI61" s="75">
        <v>7781.02</v>
      </c>
      <c r="AJ61" s="75">
        <v>11210.25</v>
      </c>
      <c r="AK61" s="75">
        <v>8018.17</v>
      </c>
      <c r="AL61" s="75">
        <v>14015.2</v>
      </c>
      <c r="AM61" s="134">
        <v>-2389.2199999999998</v>
      </c>
      <c r="AN61" s="75">
        <v>16883.060000000001</v>
      </c>
      <c r="AO61" s="75">
        <v>12014.21</v>
      </c>
      <c r="AP61" s="75">
        <v>8904.92</v>
      </c>
      <c r="AQ61" s="75">
        <v>10706.55</v>
      </c>
      <c r="AR61" s="75">
        <v>3568.8</v>
      </c>
      <c r="AS61" s="75">
        <v>40010.660000000003</v>
      </c>
      <c r="AT61" s="72"/>
      <c r="AU61" s="72">
        <v>95.752132056806857</v>
      </c>
    </row>
    <row r="62" spans="1:47" x14ac:dyDescent="0.2">
      <c r="A62" s="77" t="s">
        <v>201</v>
      </c>
      <c r="B62" s="78">
        <v>147092.03</v>
      </c>
      <c r="C62" s="79">
        <v>0</v>
      </c>
      <c r="D62" s="79">
        <v>128993.99</v>
      </c>
      <c r="E62" s="80"/>
      <c r="F62" s="81">
        <v>114.03014202444625</v>
      </c>
      <c r="G62" s="78">
        <v>116802.98</v>
      </c>
      <c r="H62" s="79">
        <v>126520.99</v>
      </c>
      <c r="I62" s="79">
        <v>84696.07</v>
      </c>
      <c r="J62" s="79">
        <v>147092.03</v>
      </c>
      <c r="K62" s="82">
        <v>-27728.92</v>
      </c>
      <c r="L62" s="79">
        <v>0</v>
      </c>
      <c r="M62" s="79">
        <v>0</v>
      </c>
      <c r="N62" s="79">
        <v>0</v>
      </c>
      <c r="O62" s="79">
        <v>0</v>
      </c>
      <c r="P62" s="79">
        <v>0</v>
      </c>
      <c r="Q62" s="79">
        <v>0</v>
      </c>
      <c r="R62" s="79">
        <v>0</v>
      </c>
      <c r="S62" s="79">
        <v>475112.07</v>
      </c>
      <c r="T62" s="79">
        <v>0</v>
      </c>
      <c r="U62" s="79">
        <v>0</v>
      </c>
      <c r="V62" s="79">
        <v>0</v>
      </c>
      <c r="W62" s="79">
        <v>0</v>
      </c>
      <c r="X62" s="79">
        <v>0</v>
      </c>
      <c r="Y62" s="79">
        <v>0</v>
      </c>
      <c r="Z62" s="79">
        <v>0</v>
      </c>
      <c r="AA62" s="79">
        <v>0</v>
      </c>
      <c r="AB62" s="79">
        <v>0</v>
      </c>
      <c r="AC62" s="79">
        <v>0</v>
      </c>
      <c r="AD62" s="79">
        <v>0</v>
      </c>
      <c r="AE62" s="79">
        <v>0</v>
      </c>
      <c r="AF62" s="79">
        <v>0</v>
      </c>
      <c r="AG62" s="83">
        <v>110151.11</v>
      </c>
      <c r="AH62" s="83">
        <v>128930.15</v>
      </c>
      <c r="AI62" s="83">
        <v>120400.65</v>
      </c>
      <c r="AJ62" s="83">
        <v>128993.99</v>
      </c>
      <c r="AK62" s="83">
        <v>142272.57999999999</v>
      </c>
      <c r="AL62" s="83">
        <v>161621.62</v>
      </c>
      <c r="AM62" s="83">
        <v>103012.66</v>
      </c>
      <c r="AN62" s="83">
        <v>152472.51</v>
      </c>
      <c r="AO62" s="83">
        <v>160615.03</v>
      </c>
      <c r="AP62" s="83">
        <v>135277.74</v>
      </c>
      <c r="AQ62" s="83">
        <v>180389.3</v>
      </c>
      <c r="AR62" s="83">
        <v>132415.01999999999</v>
      </c>
      <c r="AS62" s="83">
        <v>488475.9</v>
      </c>
      <c r="AT62" s="80"/>
      <c r="AU62" s="80">
        <v>97.26417823274393</v>
      </c>
    </row>
    <row r="63" spans="1:47" ht="15" x14ac:dyDescent="0.2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405"/>
      <c r="AT63" s="16"/>
    </row>
    <row r="64" spans="1:47" ht="15" x14ac:dyDescent="0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405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405">
        <f>+AS62-S62</f>
        <v>13363.830000000016</v>
      </c>
      <c r="AT64" s="16"/>
    </row>
    <row r="65" spans="1:46" ht="15" x14ac:dyDescent="0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785" t="s">
        <v>293</v>
      </c>
      <c r="AT65" s="16"/>
    </row>
    <row r="66" spans="1:46" ht="15" x14ac:dyDescent="0.25">
      <c r="A66" s="16"/>
      <c r="B66" s="16"/>
      <c r="C66" s="16"/>
      <c r="D66" s="16"/>
    </row>
    <row r="67" spans="1:46" ht="15" x14ac:dyDescent="0.25">
      <c r="A67" s="16"/>
      <c r="B67" s="16"/>
      <c r="C67" s="16"/>
      <c r="D67" s="16"/>
    </row>
    <row r="68" spans="1:46" ht="15" x14ac:dyDescent="0.25">
      <c r="A68" s="16"/>
      <c r="B68" s="16"/>
      <c r="C68" s="16"/>
      <c r="D68" s="405"/>
    </row>
    <row r="69" spans="1:46" ht="15" x14ac:dyDescent="0.25">
      <c r="A69" s="16"/>
      <c r="B69" s="16"/>
      <c r="C69" s="16"/>
      <c r="D69" s="16"/>
    </row>
  </sheetData>
  <pageMargins left="0.75" right="0.75" top="1" bottom="1" header="0.5" footer="0.5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7C80"/>
  </sheetPr>
  <dimension ref="A1:AU73"/>
  <sheetViews>
    <sheetView zoomScaleNormal="100" workbookViewId="0">
      <pane xSplit="1" ySplit="1" topLeftCell="B2" activePane="bottomRight" state="frozen"/>
      <selection activeCell="A73" sqref="A73"/>
      <selection pane="topRight" activeCell="A73" sqref="A73"/>
      <selection pane="bottomLeft" activeCell="A73" sqref="A73"/>
      <selection pane="bottomRight" sqref="A1:AU63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customWidth="1" outlineLevel="1"/>
    <col min="8" max="8" width="8.5703125" customWidth="1" outlineLevel="1"/>
    <col min="9" max="18" width="9.42578125" customWidth="1" outlineLevel="1"/>
    <col min="19" max="19" width="15.42578125" customWidth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10.42578125" bestFit="1" customWidth="1" collapsed="1"/>
    <col min="46" max="47" width="10.5703125" customWidth="1"/>
  </cols>
  <sheetData>
    <row r="1" spans="1:47" ht="49.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hidden="1" outlineLevel="1" x14ac:dyDescent="0.2">
      <c r="A2" s="95" t="s">
        <v>7</v>
      </c>
      <c r="B2" s="62"/>
      <c r="C2" s="54"/>
      <c r="D2" s="54"/>
      <c r="E2" s="63"/>
      <c r="F2" s="64"/>
      <c r="G2" s="65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66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66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8"/>
      <c r="AT2" s="63"/>
      <c r="AU2" s="63"/>
    </row>
    <row r="3" spans="1:47" s="365" customFormat="1" ht="12.75" hidden="1" customHeight="1" outlineLevel="1" x14ac:dyDescent="0.2">
      <c r="A3" s="95" t="s">
        <v>160</v>
      </c>
      <c r="B3" s="62">
        <v>6436.27</v>
      </c>
      <c r="C3" s="54">
        <v>0</v>
      </c>
      <c r="D3" s="54">
        <v>12170.17</v>
      </c>
      <c r="E3" s="63"/>
      <c r="F3" s="64">
        <v>52.885621154018388</v>
      </c>
      <c r="G3" s="65">
        <v>6361.43</v>
      </c>
      <c r="H3" s="54">
        <v>5949.39</v>
      </c>
      <c r="I3" s="54">
        <v>6914.82</v>
      </c>
      <c r="J3" s="54">
        <v>6436.27</v>
      </c>
      <c r="K3" s="54">
        <v>0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25661.91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15760.72</v>
      </c>
      <c r="AH3" s="67">
        <v>16923.009999999998</v>
      </c>
      <c r="AI3" s="67">
        <v>17614.52</v>
      </c>
      <c r="AJ3" s="67">
        <v>12170.17</v>
      </c>
      <c r="AK3" s="67">
        <v>16758.8</v>
      </c>
      <c r="AL3" s="67">
        <v>16926.849999999999</v>
      </c>
      <c r="AM3" s="67">
        <v>13930.01</v>
      </c>
      <c r="AN3" s="67">
        <v>18055.12</v>
      </c>
      <c r="AO3" s="67">
        <v>12359.89</v>
      </c>
      <c r="AP3" s="67">
        <v>18701.16</v>
      </c>
      <c r="AQ3" s="67">
        <v>17951.580000000002</v>
      </c>
      <c r="AR3" s="67">
        <v>12272.5</v>
      </c>
      <c r="AS3" s="68">
        <v>62468.42</v>
      </c>
      <c r="AT3" s="63"/>
      <c r="AU3" s="63">
        <v>41.079812807815536</v>
      </c>
    </row>
    <row r="4" spans="1:47" ht="12.75" hidden="1" customHeight="1" outlineLevel="1" x14ac:dyDescent="0.2">
      <c r="A4" s="95" t="s">
        <v>161</v>
      </c>
      <c r="B4" s="62">
        <v>380.95</v>
      </c>
      <c r="C4" s="54">
        <v>0</v>
      </c>
      <c r="D4" s="54">
        <v>832.15</v>
      </c>
      <c r="E4" s="63"/>
      <c r="F4" s="64">
        <v>45.779006188788081</v>
      </c>
      <c r="G4" s="65">
        <v>303.19</v>
      </c>
      <c r="H4" s="54">
        <v>39.119999999999997</v>
      </c>
      <c r="I4" s="54">
        <v>727.13</v>
      </c>
      <c r="J4" s="54">
        <v>380.95</v>
      </c>
      <c r="K4" s="56">
        <v>-210.38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1450.39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806.46</v>
      </c>
      <c r="AH4" s="67">
        <v>855.66</v>
      </c>
      <c r="AI4" s="67">
        <v>1038.42</v>
      </c>
      <c r="AJ4" s="67">
        <v>832.15</v>
      </c>
      <c r="AK4" s="67">
        <v>784.31</v>
      </c>
      <c r="AL4" s="67">
        <v>843.09</v>
      </c>
      <c r="AM4" s="67">
        <v>836.71</v>
      </c>
      <c r="AN4" s="67">
        <v>1301.73</v>
      </c>
      <c r="AO4" s="67">
        <v>105.87</v>
      </c>
      <c r="AP4" s="67">
        <v>1174.43</v>
      </c>
      <c r="AQ4" s="67">
        <v>1236.67</v>
      </c>
      <c r="AR4" s="67">
        <v>1601.79</v>
      </c>
      <c r="AS4" s="68">
        <v>3532.69</v>
      </c>
      <c r="AT4" s="63"/>
      <c r="AU4" s="63">
        <v>41.056248920794069</v>
      </c>
    </row>
    <row r="5" spans="1:47" ht="12.75" hidden="1" customHeight="1" outlineLevel="1" x14ac:dyDescent="0.2">
      <c r="A5" s="95" t="s">
        <v>162</v>
      </c>
      <c r="B5" s="62">
        <v>2333.29</v>
      </c>
      <c r="C5" s="54">
        <v>0</v>
      </c>
      <c r="D5" s="54">
        <v>5649.73</v>
      </c>
      <c r="E5" s="63"/>
      <c r="F5" s="64">
        <v>41.299141728896778</v>
      </c>
      <c r="G5" s="97">
        <v>-211.5</v>
      </c>
      <c r="H5" s="54">
        <v>488.86</v>
      </c>
      <c r="I5" s="54">
        <v>638.76</v>
      </c>
      <c r="J5" s="54">
        <v>2333.29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3249.41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1957.9</v>
      </c>
      <c r="AH5" s="67">
        <v>4128.92</v>
      </c>
      <c r="AI5" s="98">
        <v>-75.16</v>
      </c>
      <c r="AJ5" s="67">
        <v>5649.73</v>
      </c>
      <c r="AK5" s="67">
        <v>1346.7</v>
      </c>
      <c r="AL5" s="67">
        <v>2484.1799999999998</v>
      </c>
      <c r="AM5" s="67">
        <v>2487.7800000000002</v>
      </c>
      <c r="AN5" s="98">
        <v>-126.14</v>
      </c>
      <c r="AO5" s="67">
        <v>3400.98</v>
      </c>
      <c r="AP5" s="98">
        <v>-257.51</v>
      </c>
      <c r="AQ5" s="67">
        <v>1166.82</v>
      </c>
      <c r="AR5" s="98">
        <v>-11603.9</v>
      </c>
      <c r="AS5" s="68">
        <v>11661.39</v>
      </c>
      <c r="AT5" s="63"/>
      <c r="AU5" s="63">
        <v>27.864688514833993</v>
      </c>
    </row>
    <row r="6" spans="1:47" ht="12.75" hidden="1" customHeight="1" outlineLevel="1" x14ac:dyDescent="0.2">
      <c r="A6" s="95" t="s">
        <v>163</v>
      </c>
      <c r="B6" s="62">
        <v>0</v>
      </c>
      <c r="C6" s="54">
        <v>0</v>
      </c>
      <c r="D6" s="54">
        <v>0</v>
      </c>
      <c r="E6" s="63"/>
      <c r="F6" s="64"/>
      <c r="G6" s="65">
        <v>0</v>
      </c>
      <c r="H6" s="54">
        <v>0</v>
      </c>
      <c r="I6" s="54">
        <v>0</v>
      </c>
      <c r="J6" s="54">
        <v>0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0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0</v>
      </c>
      <c r="AH6" s="67">
        <v>0</v>
      </c>
      <c r="AI6" s="67">
        <v>0</v>
      </c>
      <c r="AJ6" s="67">
        <v>0</v>
      </c>
      <c r="AK6" s="67">
        <v>0</v>
      </c>
      <c r="AL6" s="67">
        <v>0</v>
      </c>
      <c r="AM6" s="67">
        <v>0</v>
      </c>
      <c r="AN6" s="67">
        <v>0</v>
      </c>
      <c r="AO6" s="67">
        <v>0</v>
      </c>
      <c r="AP6" s="67">
        <v>0</v>
      </c>
      <c r="AQ6" s="67">
        <v>0</v>
      </c>
      <c r="AR6" s="67">
        <v>0</v>
      </c>
      <c r="AS6" s="68">
        <v>0</v>
      </c>
      <c r="AT6" s="63"/>
      <c r="AU6" s="63"/>
    </row>
    <row r="7" spans="1:47" s="365" customFormat="1" ht="12.75" hidden="1" customHeight="1" outlineLevel="1" x14ac:dyDescent="0.2">
      <c r="A7" s="95" t="s">
        <v>164</v>
      </c>
      <c r="B7" s="62">
        <v>233</v>
      </c>
      <c r="C7" s="54">
        <v>0</v>
      </c>
      <c r="D7" s="54">
        <v>101.22</v>
      </c>
      <c r="E7" s="63"/>
      <c r="F7" s="64">
        <v>230.19166172693144</v>
      </c>
      <c r="G7" s="65">
        <v>431.64</v>
      </c>
      <c r="H7" s="54">
        <v>233</v>
      </c>
      <c r="I7" s="54">
        <v>233</v>
      </c>
      <c r="J7" s="54">
        <v>233</v>
      </c>
      <c r="K7" s="56">
        <v>-188.85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1130.6400000000001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12.78</v>
      </c>
      <c r="AH7" s="67">
        <v>12.78</v>
      </c>
      <c r="AI7" s="67">
        <v>11.88</v>
      </c>
      <c r="AJ7" s="67">
        <v>101.22</v>
      </c>
      <c r="AK7" s="67">
        <v>101.22</v>
      </c>
      <c r="AL7" s="67">
        <v>101.22</v>
      </c>
      <c r="AM7" s="67">
        <v>101.22</v>
      </c>
      <c r="AN7" s="67">
        <v>101.22</v>
      </c>
      <c r="AO7" s="67">
        <v>101.22</v>
      </c>
      <c r="AP7" s="67">
        <v>197.26</v>
      </c>
      <c r="AQ7" s="67">
        <v>197.26</v>
      </c>
      <c r="AR7" s="67">
        <v>197.26</v>
      </c>
      <c r="AS7" s="68">
        <v>138.66</v>
      </c>
      <c r="AT7" s="63"/>
      <c r="AU7" s="63">
        <v>815.40458675897878</v>
      </c>
    </row>
    <row r="8" spans="1:47" hidden="1" outlineLevel="1" x14ac:dyDescent="0.2">
      <c r="A8" s="95" t="s">
        <v>165</v>
      </c>
      <c r="B8" s="62">
        <v>959.5</v>
      </c>
      <c r="C8" s="54">
        <v>0</v>
      </c>
      <c r="D8" s="54">
        <v>1835.97</v>
      </c>
      <c r="E8" s="63"/>
      <c r="F8" s="64">
        <v>52.261202525095726</v>
      </c>
      <c r="G8" s="65">
        <v>821.71</v>
      </c>
      <c r="H8" s="54">
        <v>908.38</v>
      </c>
      <c r="I8" s="54">
        <v>908.38</v>
      </c>
      <c r="J8" s="54">
        <v>959.5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66">
        <v>3597.97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66">
        <v>0</v>
      </c>
      <c r="AG8" s="67">
        <v>1781.53</v>
      </c>
      <c r="AH8" s="67">
        <v>1866.38</v>
      </c>
      <c r="AI8" s="67">
        <v>1951.2</v>
      </c>
      <c r="AJ8" s="67">
        <v>1835.97</v>
      </c>
      <c r="AK8" s="67">
        <v>1754</v>
      </c>
      <c r="AL8" s="67">
        <v>2017.1</v>
      </c>
      <c r="AM8" s="67">
        <v>1841.7</v>
      </c>
      <c r="AN8" s="67">
        <v>2766.12</v>
      </c>
      <c r="AO8" s="67">
        <v>1929.39</v>
      </c>
      <c r="AP8" s="67">
        <v>1953.95</v>
      </c>
      <c r="AQ8" s="67">
        <v>2109.31</v>
      </c>
      <c r="AR8" s="67">
        <v>1558.79</v>
      </c>
      <c r="AS8" s="68">
        <v>7435.08</v>
      </c>
      <c r="AT8" s="63"/>
      <c r="AU8" s="63">
        <v>48.391812865497073</v>
      </c>
    </row>
    <row r="9" spans="1:47" ht="12.75" customHeight="1" collapsed="1" x14ac:dyDescent="0.2">
      <c r="A9" s="69" t="s">
        <v>166</v>
      </c>
      <c r="B9" s="70">
        <v>10343.01</v>
      </c>
      <c r="C9" s="71">
        <v>0</v>
      </c>
      <c r="D9" s="71">
        <v>20589.240000000002</v>
      </c>
      <c r="E9" s="72"/>
      <c r="F9" s="73">
        <v>50.23502567360427</v>
      </c>
      <c r="G9" s="70">
        <v>7706.47</v>
      </c>
      <c r="H9" s="71">
        <v>7618.75</v>
      </c>
      <c r="I9" s="71">
        <v>9422.09</v>
      </c>
      <c r="J9" s="71">
        <v>10343.01</v>
      </c>
      <c r="K9" s="74">
        <v>-399.23</v>
      </c>
      <c r="L9" s="71">
        <v>0</v>
      </c>
      <c r="M9" s="71">
        <v>0</v>
      </c>
      <c r="N9" s="71">
        <v>0</v>
      </c>
      <c r="O9" s="71">
        <v>0</v>
      </c>
      <c r="P9" s="71">
        <v>0</v>
      </c>
      <c r="Q9" s="71">
        <v>0</v>
      </c>
      <c r="R9" s="71">
        <v>0</v>
      </c>
      <c r="S9" s="71">
        <v>35090.32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0</v>
      </c>
      <c r="AA9" s="71">
        <v>0</v>
      </c>
      <c r="AB9" s="71">
        <v>0</v>
      </c>
      <c r="AC9" s="71">
        <v>0</v>
      </c>
      <c r="AD9" s="71">
        <v>0</v>
      </c>
      <c r="AE9" s="71">
        <v>0</v>
      </c>
      <c r="AF9" s="71">
        <v>0</v>
      </c>
      <c r="AG9" s="75">
        <v>20319.39</v>
      </c>
      <c r="AH9" s="75">
        <v>23786.75</v>
      </c>
      <c r="AI9" s="75">
        <v>20540.86</v>
      </c>
      <c r="AJ9" s="75">
        <v>20589.240000000002</v>
      </c>
      <c r="AK9" s="75">
        <v>20745.03</v>
      </c>
      <c r="AL9" s="75">
        <v>22372.44</v>
      </c>
      <c r="AM9" s="75">
        <v>19197.419999999998</v>
      </c>
      <c r="AN9" s="75">
        <v>22098.05</v>
      </c>
      <c r="AO9" s="75">
        <v>17897.349999999999</v>
      </c>
      <c r="AP9" s="75">
        <v>21769.29</v>
      </c>
      <c r="AQ9" s="75">
        <v>22661.64</v>
      </c>
      <c r="AR9" s="75">
        <v>4026.44</v>
      </c>
      <c r="AS9" s="75">
        <v>85236.24</v>
      </c>
      <c r="AT9" s="72"/>
      <c r="AU9" s="72">
        <v>41.168310568368575</v>
      </c>
    </row>
    <row r="10" spans="1:47" ht="12.75" customHeight="1" x14ac:dyDescent="0.2">
      <c r="A10" s="95" t="s">
        <v>167</v>
      </c>
      <c r="B10" s="62"/>
      <c r="C10" s="54"/>
      <c r="D10" s="54"/>
      <c r="E10" s="63"/>
      <c r="F10" s="64"/>
      <c r="G10" s="65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66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8"/>
      <c r="AT10" s="63"/>
      <c r="AU10" s="63"/>
    </row>
    <row r="11" spans="1:47" ht="12.75" customHeight="1" x14ac:dyDescent="0.2">
      <c r="A11" s="95" t="s">
        <v>168</v>
      </c>
      <c r="B11" s="62"/>
      <c r="C11" s="54"/>
      <c r="D11" s="54"/>
      <c r="E11" s="63"/>
      <c r="F11" s="64"/>
      <c r="G11" s="65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66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66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8"/>
      <c r="AT11" s="63"/>
      <c r="AU11" s="63"/>
    </row>
    <row r="12" spans="1:47" ht="12.75" customHeight="1" x14ac:dyDescent="0.2">
      <c r="A12" s="95" t="s">
        <v>169</v>
      </c>
      <c r="B12" s="62"/>
      <c r="C12" s="54"/>
      <c r="D12" s="54"/>
      <c r="E12" s="63"/>
      <c r="F12" s="64"/>
      <c r="G12" s="65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66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6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8"/>
      <c r="AT12" s="63"/>
      <c r="AU12" s="63"/>
    </row>
    <row r="13" spans="1:47" ht="12.75" customHeight="1" x14ac:dyDescent="0.2">
      <c r="A13" s="95" t="s">
        <v>50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47" ht="12.75" customHeight="1" x14ac:dyDescent="0.2">
      <c r="A14" s="95" t="s">
        <v>170</v>
      </c>
      <c r="B14" s="62"/>
      <c r="C14" s="54"/>
      <c r="D14" s="54"/>
      <c r="E14" s="63"/>
      <c r="F14" s="64"/>
      <c r="G14" s="65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66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66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8"/>
      <c r="AT14" s="63"/>
      <c r="AU14" s="63"/>
    </row>
    <row r="15" spans="1:47" ht="12.75" customHeight="1" x14ac:dyDescent="0.2">
      <c r="A15" s="95" t="s">
        <v>171</v>
      </c>
      <c r="B15" s="62"/>
      <c r="C15" s="54"/>
      <c r="D15" s="54"/>
      <c r="E15" s="63"/>
      <c r="F15" s="64"/>
      <c r="G15" s="65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66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66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8"/>
      <c r="AT15" s="63"/>
      <c r="AU15" s="63"/>
    </row>
    <row r="16" spans="1:47" ht="12.75" customHeight="1" x14ac:dyDescent="0.2">
      <c r="A16" s="95" t="s">
        <v>172</v>
      </c>
      <c r="B16" s="62"/>
      <c r="C16" s="54"/>
      <c r="D16" s="54"/>
      <c r="E16" s="63"/>
      <c r="F16" s="64"/>
      <c r="G16" s="65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66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66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8"/>
      <c r="AT16" s="63"/>
      <c r="AU16" s="63"/>
    </row>
    <row r="17" spans="1:47" ht="12.75" customHeight="1" x14ac:dyDescent="0.2">
      <c r="A17" s="95" t="s">
        <v>173</v>
      </c>
      <c r="B17" s="62">
        <v>2304.86</v>
      </c>
      <c r="C17" s="54">
        <v>0</v>
      </c>
      <c r="D17" s="54">
        <v>2453.7199999999998</v>
      </c>
      <c r="E17" s="63"/>
      <c r="F17" s="64">
        <v>93.933293122279636</v>
      </c>
      <c r="G17" s="65">
        <v>2347.77</v>
      </c>
      <c r="H17" s="54">
        <v>2347.73</v>
      </c>
      <c r="I17" s="54">
        <v>2304.8200000000002</v>
      </c>
      <c r="J17" s="54">
        <v>2304.86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9305.18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2487.91</v>
      </c>
      <c r="AH17" s="67">
        <v>2152.91</v>
      </c>
      <c r="AI17" s="67">
        <v>2894.86</v>
      </c>
      <c r="AJ17" s="67">
        <v>2453.7199999999998</v>
      </c>
      <c r="AK17" s="67">
        <v>2207.2399999999998</v>
      </c>
      <c r="AL17" s="67">
        <v>2010.74</v>
      </c>
      <c r="AM17" s="67">
        <v>2010.9</v>
      </c>
      <c r="AN17" s="67">
        <v>2010.79</v>
      </c>
      <c r="AO17" s="67">
        <v>2010.84</v>
      </c>
      <c r="AP17" s="67">
        <v>3302.41</v>
      </c>
      <c r="AQ17" s="67">
        <v>2313.69</v>
      </c>
      <c r="AR17" s="67">
        <v>2313.64</v>
      </c>
      <c r="AS17" s="68">
        <v>9989.4</v>
      </c>
      <c r="AT17" s="63"/>
      <c r="AU17" s="63">
        <v>93.150539571946268</v>
      </c>
    </row>
    <row r="18" spans="1:47" ht="12.75" customHeight="1" x14ac:dyDescent="0.2">
      <c r="A18" s="95" t="s">
        <v>257</v>
      </c>
      <c r="B18" s="62">
        <v>844.2</v>
      </c>
      <c r="C18" s="54">
        <v>0</v>
      </c>
      <c r="D18" s="54">
        <v>791.71</v>
      </c>
      <c r="E18" s="63"/>
      <c r="F18" s="64">
        <v>106.62995288678935</v>
      </c>
      <c r="G18" s="65">
        <v>856.51</v>
      </c>
      <c r="H18" s="54">
        <v>856.51</v>
      </c>
      <c r="I18" s="54">
        <v>856</v>
      </c>
      <c r="J18" s="54">
        <v>844.2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3413.22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831.27</v>
      </c>
      <c r="AH18" s="67">
        <v>831.27</v>
      </c>
      <c r="AI18" s="67">
        <v>1057.1300000000001</v>
      </c>
      <c r="AJ18" s="67">
        <v>791.71</v>
      </c>
      <c r="AK18" s="67">
        <v>823.88</v>
      </c>
      <c r="AL18" s="67">
        <v>822.82</v>
      </c>
      <c r="AM18" s="67">
        <v>822.81</v>
      </c>
      <c r="AN18" s="67">
        <v>821.08</v>
      </c>
      <c r="AO18" s="67">
        <v>822.19</v>
      </c>
      <c r="AP18" s="67">
        <v>842.81</v>
      </c>
      <c r="AQ18" s="67">
        <v>832.48</v>
      </c>
      <c r="AR18" s="67">
        <v>878.93</v>
      </c>
      <c r="AS18" s="68">
        <v>3511.38</v>
      </c>
      <c r="AT18" s="63"/>
      <c r="AU18" s="63">
        <v>97.204517881858408</v>
      </c>
    </row>
    <row r="19" spans="1:47" ht="12.75" hidden="1" customHeight="1" outlineLevel="1" x14ac:dyDescent="0.2">
      <c r="A19" s="95" t="s">
        <v>109</v>
      </c>
      <c r="B19" s="62">
        <v>0</v>
      </c>
      <c r="C19" s="54">
        <v>0</v>
      </c>
      <c r="D19" s="54">
        <v>140</v>
      </c>
      <c r="E19" s="63"/>
      <c r="F19" s="64">
        <v>0</v>
      </c>
      <c r="G19" s="65">
        <v>0</v>
      </c>
      <c r="H19" s="54">
        <v>1498.71</v>
      </c>
      <c r="I19" s="54">
        <v>418.51</v>
      </c>
      <c r="J19" s="54">
        <v>0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1917.22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0</v>
      </c>
      <c r="AH19" s="67">
        <v>0</v>
      </c>
      <c r="AI19" s="67">
        <v>0</v>
      </c>
      <c r="AJ19" s="67">
        <v>140</v>
      </c>
      <c r="AK19" s="67">
        <v>0</v>
      </c>
      <c r="AL19" s="67">
        <v>263.04000000000002</v>
      </c>
      <c r="AM19" s="67">
        <v>0</v>
      </c>
      <c r="AN19" s="67">
        <v>2715.33</v>
      </c>
      <c r="AO19" s="98">
        <v>-0.9</v>
      </c>
      <c r="AP19" s="67">
        <v>1151.49</v>
      </c>
      <c r="AQ19" s="67">
        <v>988</v>
      </c>
      <c r="AR19" s="67">
        <v>603.64</v>
      </c>
      <c r="AS19" s="68">
        <v>140</v>
      </c>
      <c r="AT19" s="63"/>
      <c r="AU19" s="63">
        <v>1369.4428571428571</v>
      </c>
    </row>
    <row r="20" spans="1:47" ht="12.75" hidden="1" customHeight="1" outlineLevel="1" x14ac:dyDescent="0.2">
      <c r="A20" s="95" t="s">
        <v>97</v>
      </c>
      <c r="B20" s="62">
        <v>35</v>
      </c>
      <c r="C20" s="54">
        <v>0</v>
      </c>
      <c r="D20" s="54">
        <v>35</v>
      </c>
      <c r="E20" s="63"/>
      <c r="F20" s="64">
        <v>100</v>
      </c>
      <c r="G20" s="65">
        <v>35</v>
      </c>
      <c r="H20" s="54">
        <v>35</v>
      </c>
      <c r="I20" s="54">
        <v>35</v>
      </c>
      <c r="J20" s="54">
        <v>35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66">
        <v>140</v>
      </c>
      <c r="T20" s="54">
        <v>0</v>
      </c>
      <c r="U20" s="54">
        <v>0</v>
      </c>
      <c r="V20" s="54">
        <v>0</v>
      </c>
      <c r="W20" s="54">
        <v>0</v>
      </c>
      <c r="X20" s="54">
        <v>0</v>
      </c>
      <c r="Y20" s="54">
        <v>0</v>
      </c>
      <c r="Z20" s="54">
        <v>0</v>
      </c>
      <c r="AA20" s="54">
        <v>0</v>
      </c>
      <c r="AB20" s="54">
        <v>0</v>
      </c>
      <c r="AC20" s="54">
        <v>0</v>
      </c>
      <c r="AD20" s="54">
        <v>0</v>
      </c>
      <c r="AE20" s="54">
        <v>0</v>
      </c>
      <c r="AF20" s="66">
        <v>0</v>
      </c>
      <c r="AG20" s="67">
        <v>12</v>
      </c>
      <c r="AH20" s="67">
        <v>12</v>
      </c>
      <c r="AI20" s="67">
        <v>50.06</v>
      </c>
      <c r="AJ20" s="67">
        <v>35</v>
      </c>
      <c r="AK20" s="67">
        <v>12.17</v>
      </c>
      <c r="AL20" s="67">
        <v>35</v>
      </c>
      <c r="AM20" s="67">
        <v>35</v>
      </c>
      <c r="AN20" s="67">
        <v>35</v>
      </c>
      <c r="AO20" s="67">
        <v>35</v>
      </c>
      <c r="AP20" s="67">
        <v>35</v>
      </c>
      <c r="AQ20" s="67">
        <v>35</v>
      </c>
      <c r="AR20" s="67">
        <v>35</v>
      </c>
      <c r="AS20" s="68">
        <v>109.06</v>
      </c>
      <c r="AT20" s="63"/>
      <c r="AU20" s="63">
        <v>128.36970474967907</v>
      </c>
    </row>
    <row r="21" spans="1:47" ht="12.75" hidden="1" customHeight="1" outlineLevel="1" x14ac:dyDescent="0.2">
      <c r="A21" s="95" t="s">
        <v>69</v>
      </c>
      <c r="B21" s="62">
        <v>0</v>
      </c>
      <c r="C21" s="54">
        <v>0</v>
      </c>
      <c r="D21" s="54">
        <v>0</v>
      </c>
      <c r="E21" s="63"/>
      <c r="F21" s="64"/>
      <c r="G21" s="65">
        <v>0</v>
      </c>
      <c r="H21" s="54">
        <v>0</v>
      </c>
      <c r="I21" s="54">
        <v>0</v>
      </c>
      <c r="J21" s="54">
        <v>0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66">
        <v>0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4">
        <v>0</v>
      </c>
      <c r="AB21" s="54">
        <v>0</v>
      </c>
      <c r="AC21" s="54">
        <v>0</v>
      </c>
      <c r="AD21" s="54">
        <v>0</v>
      </c>
      <c r="AE21" s="54">
        <v>0</v>
      </c>
      <c r="AF21" s="66">
        <v>0</v>
      </c>
      <c r="AG21" s="67">
        <v>843.55</v>
      </c>
      <c r="AH21" s="67">
        <v>392.3</v>
      </c>
      <c r="AI21" s="67">
        <v>0</v>
      </c>
      <c r="AJ21" s="67">
        <v>0</v>
      </c>
      <c r="AK21" s="67">
        <v>0</v>
      </c>
      <c r="AL21" s="67">
        <v>0</v>
      </c>
      <c r="AM21" s="67">
        <v>0</v>
      </c>
      <c r="AN21" s="67">
        <v>0</v>
      </c>
      <c r="AO21" s="67">
        <v>0</v>
      </c>
      <c r="AP21" s="67">
        <v>0</v>
      </c>
      <c r="AQ21" s="67">
        <v>0</v>
      </c>
      <c r="AR21" s="67">
        <v>0</v>
      </c>
      <c r="AS21" s="68">
        <v>1235.8499999999999</v>
      </c>
      <c r="AT21" s="63"/>
      <c r="AU21" s="63">
        <v>0</v>
      </c>
    </row>
    <row r="22" spans="1:47" ht="12.75" customHeight="1" collapsed="1" x14ac:dyDescent="0.2">
      <c r="A22" s="69" t="s">
        <v>70</v>
      </c>
      <c r="B22" s="70">
        <v>35</v>
      </c>
      <c r="C22" s="71">
        <v>0</v>
      </c>
      <c r="D22" s="71">
        <v>175</v>
      </c>
      <c r="E22" s="72"/>
      <c r="F22" s="73">
        <v>20</v>
      </c>
      <c r="G22" s="70">
        <v>35</v>
      </c>
      <c r="H22" s="71">
        <v>1533.71</v>
      </c>
      <c r="I22" s="71">
        <v>453.51</v>
      </c>
      <c r="J22" s="71">
        <v>35</v>
      </c>
      <c r="K22" s="71">
        <v>0</v>
      </c>
      <c r="L22" s="71">
        <v>0</v>
      </c>
      <c r="M22" s="71">
        <v>0</v>
      </c>
      <c r="N22" s="71">
        <v>0</v>
      </c>
      <c r="O22" s="71">
        <v>0</v>
      </c>
      <c r="P22" s="71">
        <v>0</v>
      </c>
      <c r="Q22" s="71">
        <v>0</v>
      </c>
      <c r="R22" s="71">
        <v>0</v>
      </c>
      <c r="S22" s="71">
        <v>2057.2199999999998</v>
      </c>
      <c r="T22" s="71">
        <v>0</v>
      </c>
      <c r="U22" s="71">
        <v>0</v>
      </c>
      <c r="V22" s="71">
        <v>0</v>
      </c>
      <c r="W22" s="71">
        <v>0</v>
      </c>
      <c r="X22" s="71">
        <v>0</v>
      </c>
      <c r="Y22" s="71">
        <v>0</v>
      </c>
      <c r="Z22" s="71">
        <v>0</v>
      </c>
      <c r="AA22" s="71">
        <v>0</v>
      </c>
      <c r="AB22" s="71">
        <v>0</v>
      </c>
      <c r="AC22" s="71">
        <v>0</v>
      </c>
      <c r="AD22" s="71">
        <v>0</v>
      </c>
      <c r="AE22" s="71">
        <v>0</v>
      </c>
      <c r="AF22" s="71">
        <v>0</v>
      </c>
      <c r="AG22" s="75">
        <v>855.55</v>
      </c>
      <c r="AH22" s="75">
        <v>404.3</v>
      </c>
      <c r="AI22" s="75">
        <v>50.06</v>
      </c>
      <c r="AJ22" s="75">
        <v>175</v>
      </c>
      <c r="AK22" s="75">
        <v>12.17</v>
      </c>
      <c r="AL22" s="75">
        <v>298.04000000000002</v>
      </c>
      <c r="AM22" s="75">
        <v>35</v>
      </c>
      <c r="AN22" s="75">
        <v>2750.33</v>
      </c>
      <c r="AO22" s="75">
        <v>34.1</v>
      </c>
      <c r="AP22" s="75">
        <v>1186.49</v>
      </c>
      <c r="AQ22" s="75">
        <v>1023</v>
      </c>
      <c r="AR22" s="75">
        <v>638.64</v>
      </c>
      <c r="AS22" s="75">
        <v>1484.91</v>
      </c>
      <c r="AT22" s="72"/>
      <c r="AU22" s="72">
        <v>138.54172980180618</v>
      </c>
    </row>
    <row r="23" spans="1:47" ht="12.75" hidden="1" customHeight="1" outlineLevel="1" x14ac:dyDescent="0.2">
      <c r="A23" s="95" t="s">
        <v>174</v>
      </c>
      <c r="B23" s="62">
        <v>0</v>
      </c>
      <c r="C23" s="54">
        <v>0</v>
      </c>
      <c r="D23" s="54">
        <v>0</v>
      </c>
      <c r="E23" s="63"/>
      <c r="F23" s="64"/>
      <c r="G23" s="65">
        <v>0</v>
      </c>
      <c r="H23" s="54">
        <v>21.42</v>
      </c>
      <c r="I23" s="54">
        <v>0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21.42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0</v>
      </c>
      <c r="AH23" s="67">
        <v>21.2</v>
      </c>
      <c r="AI23" s="98">
        <v>-128</v>
      </c>
      <c r="AJ23" s="67">
        <v>0</v>
      </c>
      <c r="AK23" s="67">
        <v>20.74</v>
      </c>
      <c r="AL23" s="67">
        <v>0</v>
      </c>
      <c r="AM23" s="67">
        <v>0</v>
      </c>
      <c r="AN23" s="67">
        <v>21.01</v>
      </c>
      <c r="AO23" s="67">
        <v>0</v>
      </c>
      <c r="AP23" s="67">
        <v>0</v>
      </c>
      <c r="AQ23" s="67">
        <v>21.42</v>
      </c>
      <c r="AR23" s="67">
        <v>0</v>
      </c>
      <c r="AS23" s="99">
        <v>-106.8</v>
      </c>
      <c r="AT23" s="63"/>
      <c r="AU23" s="63">
        <v>-20.056179775280899</v>
      </c>
    </row>
    <row r="24" spans="1:47" ht="12.75" hidden="1" customHeight="1" outlineLevel="1" x14ac:dyDescent="0.2">
      <c r="A24" s="95" t="s">
        <v>99</v>
      </c>
      <c r="B24" s="62">
        <v>0</v>
      </c>
      <c r="C24" s="54">
        <v>0</v>
      </c>
      <c r="D24" s="54">
        <v>216.95</v>
      </c>
      <c r="E24" s="63"/>
      <c r="F24" s="64">
        <v>0</v>
      </c>
      <c r="G24" s="65">
        <v>0</v>
      </c>
      <c r="H24" s="54">
        <v>0</v>
      </c>
      <c r="I24" s="54">
        <v>0</v>
      </c>
      <c r="J24" s="54">
        <v>0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0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173.83</v>
      </c>
      <c r="AH24" s="67">
        <v>178.31</v>
      </c>
      <c r="AI24" s="98">
        <v>-15.51</v>
      </c>
      <c r="AJ24" s="67">
        <v>216.95</v>
      </c>
      <c r="AK24" s="67">
        <v>345.21</v>
      </c>
      <c r="AL24" s="67">
        <v>921.93</v>
      </c>
      <c r="AM24" s="98">
        <v>-46.75</v>
      </c>
      <c r="AN24" s="98">
        <v>-354.37</v>
      </c>
      <c r="AO24" s="67">
        <v>0</v>
      </c>
      <c r="AP24" s="67">
        <v>0</v>
      </c>
      <c r="AQ24" s="67">
        <v>0</v>
      </c>
      <c r="AR24" s="67">
        <v>0</v>
      </c>
      <c r="AS24" s="68">
        <v>553.58000000000004</v>
      </c>
      <c r="AT24" s="63"/>
      <c r="AU24" s="63">
        <v>0</v>
      </c>
    </row>
    <row r="25" spans="1:47" ht="12.75" hidden="1" customHeight="1" outlineLevel="1" x14ac:dyDescent="0.2">
      <c r="A25" s="95" t="s">
        <v>175</v>
      </c>
      <c r="B25" s="62">
        <v>27.83</v>
      </c>
      <c r="C25" s="54">
        <v>0</v>
      </c>
      <c r="D25" s="54">
        <v>0</v>
      </c>
      <c r="E25" s="63"/>
      <c r="F25" s="64"/>
      <c r="G25" s="65">
        <v>0</v>
      </c>
      <c r="H25" s="54">
        <v>32.340000000000003</v>
      </c>
      <c r="I25" s="54">
        <v>0</v>
      </c>
      <c r="J25" s="54">
        <v>27.83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60.17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0</v>
      </c>
      <c r="AH25" s="67">
        <v>29.87</v>
      </c>
      <c r="AI25" s="98">
        <v>-81.91</v>
      </c>
      <c r="AJ25" s="67">
        <v>0</v>
      </c>
      <c r="AK25" s="67">
        <v>26.87</v>
      </c>
      <c r="AL25" s="67">
        <v>0</v>
      </c>
      <c r="AM25" s="67">
        <v>25.79</v>
      </c>
      <c r="AN25" s="67">
        <v>1.03</v>
      </c>
      <c r="AO25" s="67">
        <v>30.32</v>
      </c>
      <c r="AP25" s="67">
        <v>0</v>
      </c>
      <c r="AQ25" s="67">
        <v>32.659999999999997</v>
      </c>
      <c r="AR25" s="67">
        <v>0</v>
      </c>
      <c r="AS25" s="99">
        <v>-52.04</v>
      </c>
      <c r="AT25" s="63"/>
      <c r="AU25" s="63">
        <v>-115.62259800153728</v>
      </c>
    </row>
    <row r="26" spans="1:47" ht="12.75" hidden="1" customHeight="1" outlineLevel="1" x14ac:dyDescent="0.2">
      <c r="A26" s="95" t="s">
        <v>100</v>
      </c>
      <c r="B26" s="62">
        <v>326.81</v>
      </c>
      <c r="C26" s="54">
        <v>0</v>
      </c>
      <c r="D26" s="54">
        <v>313.12</v>
      </c>
      <c r="E26" s="63"/>
      <c r="F26" s="64">
        <v>104.37212570260603</v>
      </c>
      <c r="G26" s="65">
        <v>221.58</v>
      </c>
      <c r="H26" s="54">
        <v>515.91</v>
      </c>
      <c r="I26" s="54">
        <v>477.01</v>
      </c>
      <c r="J26" s="54">
        <v>326.81</v>
      </c>
      <c r="K26" s="56">
        <v>-326.81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1541.31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560.01</v>
      </c>
      <c r="AH26" s="67">
        <v>496.36</v>
      </c>
      <c r="AI26" s="67">
        <v>1131.99</v>
      </c>
      <c r="AJ26" s="67">
        <v>313.12</v>
      </c>
      <c r="AK26" s="67">
        <v>313.25</v>
      </c>
      <c r="AL26" s="67">
        <v>156.13</v>
      </c>
      <c r="AM26" s="67">
        <v>275.2</v>
      </c>
      <c r="AN26" s="67">
        <v>379.54</v>
      </c>
      <c r="AO26" s="67">
        <v>27.76</v>
      </c>
      <c r="AP26" s="98">
        <v>-588.47</v>
      </c>
      <c r="AQ26" s="67">
        <v>856.32</v>
      </c>
      <c r="AR26" s="98">
        <v>-375.06</v>
      </c>
      <c r="AS26" s="68">
        <v>2501.48</v>
      </c>
      <c r="AT26" s="63"/>
      <c r="AU26" s="63">
        <v>61.615923373362968</v>
      </c>
    </row>
    <row r="27" spans="1:47" ht="12.75" hidden="1" customHeight="1" outlineLevel="1" x14ac:dyDescent="0.2">
      <c r="A27" s="95" t="s">
        <v>101</v>
      </c>
      <c r="B27" s="62">
        <v>5850.49</v>
      </c>
      <c r="C27" s="54">
        <v>0</v>
      </c>
      <c r="D27" s="54">
        <v>8312.07</v>
      </c>
      <c r="E27" s="63"/>
      <c r="F27" s="64">
        <v>70.385475579488627</v>
      </c>
      <c r="G27" s="65">
        <v>5846.91</v>
      </c>
      <c r="H27" s="54">
        <v>5802</v>
      </c>
      <c r="I27" s="54">
        <v>5822.48</v>
      </c>
      <c r="J27" s="54">
        <v>5850.49</v>
      </c>
      <c r="K27" s="56">
        <v>-5797.45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23321.88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8611.6</v>
      </c>
      <c r="AH27" s="67">
        <v>8362.01</v>
      </c>
      <c r="AI27" s="67">
        <v>8545.94</v>
      </c>
      <c r="AJ27" s="67">
        <v>8312.07</v>
      </c>
      <c r="AK27" s="67">
        <v>6326.57</v>
      </c>
      <c r="AL27" s="67">
        <v>6304.22</v>
      </c>
      <c r="AM27" s="67">
        <v>659.75</v>
      </c>
      <c r="AN27" s="98">
        <v>-647.25</v>
      </c>
      <c r="AO27" s="67">
        <v>12362.85</v>
      </c>
      <c r="AP27" s="67">
        <v>6826.17</v>
      </c>
      <c r="AQ27" s="67">
        <v>90.57</v>
      </c>
      <c r="AR27" s="67">
        <v>17634.240000000002</v>
      </c>
      <c r="AS27" s="68">
        <v>33831.620000000003</v>
      </c>
      <c r="AT27" s="63"/>
      <c r="AU27" s="63">
        <v>68.935155928093309</v>
      </c>
    </row>
    <row r="28" spans="1:47" ht="12.75" hidden="1" customHeight="1" outlineLevel="1" x14ac:dyDescent="0.2">
      <c r="A28" s="95" t="s">
        <v>176</v>
      </c>
      <c r="B28" s="62">
        <v>112.36</v>
      </c>
      <c r="C28" s="54">
        <v>0</v>
      </c>
      <c r="D28" s="54">
        <v>0</v>
      </c>
      <c r="E28" s="63"/>
      <c r="F28" s="64"/>
      <c r="G28" s="65">
        <v>129.9</v>
      </c>
      <c r="H28" s="54">
        <v>109.99</v>
      </c>
      <c r="I28" s="54">
        <v>106.08</v>
      </c>
      <c r="J28" s="54">
        <v>112.36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458.33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135.80000000000001</v>
      </c>
      <c r="AH28" s="67">
        <v>135.80000000000001</v>
      </c>
      <c r="AI28" s="67">
        <v>706.69</v>
      </c>
      <c r="AJ28" s="67">
        <v>0</v>
      </c>
      <c r="AK28" s="67">
        <v>82.49</v>
      </c>
      <c r="AL28" s="67">
        <v>82.49</v>
      </c>
      <c r="AM28" s="67">
        <v>296.45999999999998</v>
      </c>
      <c r="AN28" s="67">
        <v>216</v>
      </c>
      <c r="AO28" s="67">
        <v>0</v>
      </c>
      <c r="AP28" s="67">
        <v>0</v>
      </c>
      <c r="AQ28" s="67">
        <v>268.42</v>
      </c>
      <c r="AR28" s="67">
        <v>140.81</v>
      </c>
      <c r="AS28" s="68">
        <v>978.29</v>
      </c>
      <c r="AT28" s="63"/>
      <c r="AU28" s="63">
        <v>46.850116018767444</v>
      </c>
    </row>
    <row r="29" spans="1:47" ht="12.75" hidden="1" customHeight="1" outlineLevel="1" x14ac:dyDescent="0.2">
      <c r="A29" s="95" t="s">
        <v>102</v>
      </c>
      <c r="B29" s="62">
        <v>0</v>
      </c>
      <c r="C29" s="54">
        <v>0</v>
      </c>
      <c r="D29" s="54">
        <v>0</v>
      </c>
      <c r="E29" s="63"/>
      <c r="F29" s="64"/>
      <c r="G29" s="65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0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0</v>
      </c>
      <c r="AH29" s="67">
        <v>0</v>
      </c>
      <c r="AI29" s="67">
        <v>0</v>
      </c>
      <c r="AJ29" s="67">
        <v>0</v>
      </c>
      <c r="AK29" s="67">
        <v>0</v>
      </c>
      <c r="AL29" s="67">
        <v>0</v>
      </c>
      <c r="AM29" s="67">
        <v>0</v>
      </c>
      <c r="AN29" s="67">
        <v>0</v>
      </c>
      <c r="AO29" s="67">
        <v>0</v>
      </c>
      <c r="AP29" s="67">
        <v>0</v>
      </c>
      <c r="AQ29" s="67">
        <v>0</v>
      </c>
      <c r="AR29" s="67">
        <v>0</v>
      </c>
      <c r="AS29" s="68">
        <v>0</v>
      </c>
      <c r="AT29" s="63"/>
      <c r="AU29" s="63"/>
    </row>
    <row r="30" spans="1:47" ht="12.75" hidden="1" customHeight="1" outlineLevel="1" x14ac:dyDescent="0.2">
      <c r="A30" s="95" t="s">
        <v>75</v>
      </c>
      <c r="B30" s="62">
        <v>106.36</v>
      </c>
      <c r="C30" s="54">
        <v>0</v>
      </c>
      <c r="D30" s="54">
        <v>0</v>
      </c>
      <c r="E30" s="63"/>
      <c r="F30" s="64"/>
      <c r="G30" s="65">
        <v>0</v>
      </c>
      <c r="H30" s="54">
        <v>15.59</v>
      </c>
      <c r="I30" s="54">
        <v>15.59</v>
      </c>
      <c r="J30" s="54">
        <v>106.36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137.54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0</v>
      </c>
      <c r="AH30" s="67">
        <v>0</v>
      </c>
      <c r="AI30" s="67">
        <v>0</v>
      </c>
      <c r="AJ30" s="67">
        <v>0</v>
      </c>
      <c r="AK30" s="67">
        <v>0</v>
      </c>
      <c r="AL30" s="67">
        <v>129.33000000000001</v>
      </c>
      <c r="AM30" s="67">
        <v>695.73</v>
      </c>
      <c r="AN30" s="67">
        <v>16.05</v>
      </c>
      <c r="AO30" s="67">
        <v>16.05</v>
      </c>
      <c r="AP30" s="67">
        <v>16.05</v>
      </c>
      <c r="AQ30" s="67">
        <v>16.05</v>
      </c>
      <c r="AR30" s="67">
        <v>16.05</v>
      </c>
      <c r="AS30" s="68">
        <v>0</v>
      </c>
      <c r="AT30" s="63"/>
      <c r="AU30" s="63"/>
    </row>
    <row r="31" spans="1:47" ht="12.75" hidden="1" customHeight="1" outlineLevel="1" x14ac:dyDescent="0.2">
      <c r="A31" s="95" t="s">
        <v>76</v>
      </c>
      <c r="B31" s="62">
        <v>0</v>
      </c>
      <c r="C31" s="54">
        <v>0</v>
      </c>
      <c r="D31" s="54">
        <v>61.85</v>
      </c>
      <c r="E31" s="63"/>
      <c r="F31" s="64">
        <v>0</v>
      </c>
      <c r="G31" s="65">
        <v>123.7</v>
      </c>
      <c r="H31" s="54">
        <v>66.37</v>
      </c>
      <c r="I31" s="54">
        <v>132.74</v>
      </c>
      <c r="J31" s="54">
        <v>0</v>
      </c>
      <c r="K31" s="56">
        <v>-66.37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322.81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61.36</v>
      </c>
      <c r="AH31" s="67">
        <v>61.85</v>
      </c>
      <c r="AI31" s="67">
        <v>96.35</v>
      </c>
      <c r="AJ31" s="67">
        <v>61.85</v>
      </c>
      <c r="AK31" s="67">
        <v>61.85</v>
      </c>
      <c r="AL31" s="67">
        <v>61.85</v>
      </c>
      <c r="AM31" s="67">
        <v>61.85</v>
      </c>
      <c r="AN31" s="67">
        <v>61.85</v>
      </c>
      <c r="AO31" s="67">
        <v>61.85</v>
      </c>
      <c r="AP31" s="67">
        <v>61.85</v>
      </c>
      <c r="AQ31" s="67">
        <v>61.85</v>
      </c>
      <c r="AR31" s="67">
        <v>0</v>
      </c>
      <c r="AS31" s="68">
        <v>281.41000000000003</v>
      </c>
      <c r="AT31" s="63"/>
      <c r="AU31" s="63">
        <v>114.71163071674781</v>
      </c>
    </row>
    <row r="32" spans="1:47" ht="12.75" hidden="1" customHeight="1" outlineLevel="1" x14ac:dyDescent="0.2">
      <c r="A32" s="95" t="s">
        <v>77</v>
      </c>
      <c r="B32" s="62">
        <v>80</v>
      </c>
      <c r="C32" s="54">
        <v>0</v>
      </c>
      <c r="D32" s="54">
        <v>80</v>
      </c>
      <c r="E32" s="63"/>
      <c r="F32" s="64">
        <v>100</v>
      </c>
      <c r="G32" s="65">
        <v>80</v>
      </c>
      <c r="H32" s="54">
        <v>80</v>
      </c>
      <c r="I32" s="54">
        <v>80</v>
      </c>
      <c r="J32" s="54">
        <v>80</v>
      </c>
      <c r="K32" s="54">
        <v>0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66">
        <v>320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66">
        <v>0</v>
      </c>
      <c r="AG32" s="67">
        <v>63.33</v>
      </c>
      <c r="AH32" s="67">
        <v>63.33</v>
      </c>
      <c r="AI32" s="67">
        <v>150</v>
      </c>
      <c r="AJ32" s="67">
        <v>80</v>
      </c>
      <c r="AK32" s="67">
        <v>80</v>
      </c>
      <c r="AL32" s="67">
        <v>80</v>
      </c>
      <c r="AM32" s="67">
        <v>80</v>
      </c>
      <c r="AN32" s="67">
        <v>80</v>
      </c>
      <c r="AO32" s="67">
        <v>80</v>
      </c>
      <c r="AP32" s="67">
        <v>80</v>
      </c>
      <c r="AQ32" s="67">
        <v>80</v>
      </c>
      <c r="AR32" s="67">
        <v>80</v>
      </c>
      <c r="AS32" s="68">
        <v>356.66</v>
      </c>
      <c r="AT32" s="63"/>
      <c r="AU32" s="63">
        <v>89.721303201929004</v>
      </c>
    </row>
    <row r="33" spans="1:47" ht="12.75" customHeight="1" collapsed="1" x14ac:dyDescent="0.2">
      <c r="A33" s="69" t="s">
        <v>177</v>
      </c>
      <c r="B33" s="70">
        <v>6503.85</v>
      </c>
      <c r="C33" s="71">
        <v>0</v>
      </c>
      <c r="D33" s="71">
        <v>8983.99</v>
      </c>
      <c r="E33" s="72"/>
      <c r="F33" s="73">
        <v>72.393780491741424</v>
      </c>
      <c r="G33" s="70">
        <v>6402.09</v>
      </c>
      <c r="H33" s="71">
        <v>6643.62</v>
      </c>
      <c r="I33" s="71">
        <v>6633.9</v>
      </c>
      <c r="J33" s="71">
        <v>6503.85</v>
      </c>
      <c r="K33" s="74">
        <v>-6190.63</v>
      </c>
      <c r="L33" s="71">
        <v>0</v>
      </c>
      <c r="M33" s="71">
        <v>0</v>
      </c>
      <c r="N33" s="71">
        <v>0</v>
      </c>
      <c r="O33" s="71">
        <v>0</v>
      </c>
      <c r="P33" s="71">
        <v>0</v>
      </c>
      <c r="Q33" s="71">
        <v>0</v>
      </c>
      <c r="R33" s="71">
        <v>0</v>
      </c>
      <c r="S33" s="71">
        <v>26183.46</v>
      </c>
      <c r="T33" s="71">
        <v>0</v>
      </c>
      <c r="U33" s="71">
        <v>0</v>
      </c>
      <c r="V33" s="71">
        <v>0</v>
      </c>
      <c r="W33" s="71">
        <v>0</v>
      </c>
      <c r="X33" s="71">
        <v>0</v>
      </c>
      <c r="Y33" s="71">
        <v>0</v>
      </c>
      <c r="Z33" s="71">
        <v>0</v>
      </c>
      <c r="AA33" s="71">
        <v>0</v>
      </c>
      <c r="AB33" s="71">
        <v>0</v>
      </c>
      <c r="AC33" s="71">
        <v>0</v>
      </c>
      <c r="AD33" s="71">
        <v>0</v>
      </c>
      <c r="AE33" s="71">
        <v>0</v>
      </c>
      <c r="AF33" s="71">
        <v>0</v>
      </c>
      <c r="AG33" s="75">
        <v>9605.93</v>
      </c>
      <c r="AH33" s="75">
        <v>9348.73</v>
      </c>
      <c r="AI33" s="75">
        <v>10405.549999999999</v>
      </c>
      <c r="AJ33" s="75">
        <v>8983.99</v>
      </c>
      <c r="AK33" s="75">
        <v>7256.98</v>
      </c>
      <c r="AL33" s="75">
        <v>7735.95</v>
      </c>
      <c r="AM33" s="75">
        <v>2048.0300000000002</v>
      </c>
      <c r="AN33" s="134">
        <v>-226.14</v>
      </c>
      <c r="AO33" s="75">
        <v>12578.83</v>
      </c>
      <c r="AP33" s="75">
        <v>6395.6</v>
      </c>
      <c r="AQ33" s="75">
        <v>1427.29</v>
      </c>
      <c r="AR33" s="75">
        <v>17496.04</v>
      </c>
      <c r="AS33" s="75">
        <v>38344.199999999997</v>
      </c>
      <c r="AT33" s="72"/>
      <c r="AU33" s="72">
        <v>68.285320856870143</v>
      </c>
    </row>
    <row r="34" spans="1:47" ht="12.75" hidden="1" customHeight="1" outlineLevel="1" x14ac:dyDescent="0.2">
      <c r="A34" s="95" t="s">
        <v>178</v>
      </c>
      <c r="B34" s="62"/>
      <c r="C34" s="54"/>
      <c r="D34" s="54"/>
      <c r="E34" s="63"/>
      <c r="F34" s="64"/>
      <c r="G34" s="65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66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66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8"/>
      <c r="AT34" s="63"/>
      <c r="AU34" s="63"/>
    </row>
    <row r="35" spans="1:47" ht="12.75" hidden="1" customHeight="1" outlineLevel="1" x14ac:dyDescent="0.2">
      <c r="A35" s="95" t="s">
        <v>179</v>
      </c>
      <c r="B35" s="62">
        <v>13.33</v>
      </c>
      <c r="C35" s="54">
        <v>0</v>
      </c>
      <c r="D35" s="54">
        <v>8</v>
      </c>
      <c r="E35" s="63"/>
      <c r="F35" s="64">
        <v>166.625</v>
      </c>
      <c r="G35" s="65">
        <v>13.33</v>
      </c>
      <c r="H35" s="54">
        <v>13.33</v>
      </c>
      <c r="I35" s="54">
        <v>13.33</v>
      </c>
      <c r="J35" s="54">
        <v>13.33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53.32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8</v>
      </c>
      <c r="AH35" s="67">
        <v>8</v>
      </c>
      <c r="AI35" s="67">
        <v>8</v>
      </c>
      <c r="AJ35" s="67">
        <v>8</v>
      </c>
      <c r="AK35" s="67">
        <v>8</v>
      </c>
      <c r="AL35" s="67">
        <v>8</v>
      </c>
      <c r="AM35" s="67">
        <v>8</v>
      </c>
      <c r="AN35" s="67">
        <v>8</v>
      </c>
      <c r="AO35" s="67">
        <v>13.33</v>
      </c>
      <c r="AP35" s="67">
        <v>13.33</v>
      </c>
      <c r="AQ35" s="67">
        <v>13.33</v>
      </c>
      <c r="AR35" s="67">
        <v>13.33</v>
      </c>
      <c r="AS35" s="68">
        <v>32</v>
      </c>
      <c r="AT35" s="63"/>
      <c r="AU35" s="63">
        <v>166.625</v>
      </c>
    </row>
    <row r="36" spans="1:47" ht="12.75" hidden="1" customHeight="1" outlineLevel="1" x14ac:dyDescent="0.2">
      <c r="A36" s="95" t="s">
        <v>180</v>
      </c>
      <c r="B36" s="62">
        <v>0</v>
      </c>
      <c r="C36" s="54">
        <v>0</v>
      </c>
      <c r="D36" s="54">
        <v>0</v>
      </c>
      <c r="E36" s="63"/>
      <c r="F36" s="64"/>
      <c r="G36" s="65">
        <v>0</v>
      </c>
      <c r="H36" s="54">
        <v>0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0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>
        <v>0</v>
      </c>
      <c r="AH36" s="67">
        <v>0</v>
      </c>
      <c r="AI36" s="67">
        <v>0</v>
      </c>
      <c r="AJ36" s="67">
        <v>0</v>
      </c>
      <c r="AK36" s="67">
        <v>0</v>
      </c>
      <c r="AL36" s="67">
        <v>0</v>
      </c>
      <c r="AM36" s="67">
        <v>0</v>
      </c>
      <c r="AN36" s="67">
        <v>0</v>
      </c>
      <c r="AO36" s="67">
        <v>0</v>
      </c>
      <c r="AP36" s="67">
        <v>0</v>
      </c>
      <c r="AQ36" s="67">
        <v>0</v>
      </c>
      <c r="AR36" s="67">
        <v>340.91</v>
      </c>
      <c r="AS36" s="68">
        <v>0</v>
      </c>
      <c r="AT36" s="63"/>
      <c r="AU36" s="63"/>
    </row>
    <row r="37" spans="1:47" ht="12.75" hidden="1" customHeight="1" outlineLevel="1" x14ac:dyDescent="0.2">
      <c r="A37" s="95" t="s">
        <v>181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0</v>
      </c>
      <c r="AM37" s="67">
        <v>0</v>
      </c>
      <c r="AN37" s="67">
        <v>0</v>
      </c>
      <c r="AO37" s="67">
        <v>0</v>
      </c>
      <c r="AP37" s="67">
        <v>0</v>
      </c>
      <c r="AQ37" s="67">
        <v>0</v>
      </c>
      <c r="AR37" s="67">
        <v>0</v>
      </c>
      <c r="AS37" s="68">
        <v>0</v>
      </c>
      <c r="AT37" s="63"/>
      <c r="AU37" s="63"/>
    </row>
    <row r="38" spans="1:47" ht="12.75" hidden="1" customHeight="1" outlineLevel="1" x14ac:dyDescent="0.2">
      <c r="A38" s="95" t="s">
        <v>182</v>
      </c>
      <c r="B38" s="62">
        <v>0</v>
      </c>
      <c r="C38" s="54">
        <v>0</v>
      </c>
      <c r="D38" s="54">
        <v>0</v>
      </c>
      <c r="E38" s="63"/>
      <c r="F38" s="64"/>
      <c r="G38" s="65">
        <v>0</v>
      </c>
      <c r="H38" s="54">
        <v>0</v>
      </c>
      <c r="I38" s="54">
        <v>0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0</v>
      </c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0</v>
      </c>
      <c r="Z38" s="54">
        <v>0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66">
        <v>0</v>
      </c>
      <c r="AG38" s="67">
        <v>0</v>
      </c>
      <c r="AH38" s="67">
        <v>0</v>
      </c>
      <c r="AI38" s="67">
        <v>0</v>
      </c>
      <c r="AJ38" s="67">
        <v>0</v>
      </c>
      <c r="AK38" s="67">
        <v>0</v>
      </c>
      <c r="AL38" s="67">
        <v>0</v>
      </c>
      <c r="AM38" s="67">
        <v>0</v>
      </c>
      <c r="AN38" s="67">
        <v>0</v>
      </c>
      <c r="AO38" s="67">
        <v>0</v>
      </c>
      <c r="AP38" s="67">
        <v>0</v>
      </c>
      <c r="AQ38" s="67">
        <v>0</v>
      </c>
      <c r="AR38" s="67">
        <v>0</v>
      </c>
      <c r="AS38" s="68">
        <v>0</v>
      </c>
      <c r="AT38" s="63"/>
      <c r="AU38" s="63"/>
    </row>
    <row r="39" spans="1:47" ht="12.75" hidden="1" customHeight="1" outlineLevel="1" x14ac:dyDescent="0.2">
      <c r="A39" s="95" t="s">
        <v>183</v>
      </c>
      <c r="B39" s="62">
        <v>0</v>
      </c>
      <c r="C39" s="54">
        <v>0</v>
      </c>
      <c r="D39" s="54">
        <v>0</v>
      </c>
      <c r="E39" s="63"/>
      <c r="F39" s="64"/>
      <c r="G39" s="65">
        <v>0</v>
      </c>
      <c r="H39" s="54">
        <v>0</v>
      </c>
      <c r="I39" s="54">
        <v>0</v>
      </c>
      <c r="J39" s="54">
        <v>0</v>
      </c>
      <c r="K39" s="54">
        <v>0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66">
        <v>0</v>
      </c>
      <c r="T39" s="54">
        <v>0</v>
      </c>
      <c r="U39" s="54">
        <v>0</v>
      </c>
      <c r="V39" s="54">
        <v>0</v>
      </c>
      <c r="W39" s="54">
        <v>0</v>
      </c>
      <c r="X39" s="54">
        <v>0</v>
      </c>
      <c r="Y39" s="54">
        <v>0</v>
      </c>
      <c r="Z39" s="54">
        <v>0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66">
        <v>0</v>
      </c>
      <c r="AG39" s="67">
        <v>0</v>
      </c>
      <c r="AH39" s="67">
        <v>0</v>
      </c>
      <c r="AI39" s="67">
        <v>0</v>
      </c>
      <c r="AJ39" s="67">
        <v>0</v>
      </c>
      <c r="AK39" s="67">
        <v>0</v>
      </c>
      <c r="AL39" s="67">
        <v>0</v>
      </c>
      <c r="AM39" s="67">
        <v>0</v>
      </c>
      <c r="AN39" s="67">
        <v>0</v>
      </c>
      <c r="AO39" s="67">
        <v>0</v>
      </c>
      <c r="AP39" s="67">
        <v>0</v>
      </c>
      <c r="AQ39" s="67">
        <v>340.91</v>
      </c>
      <c r="AR39" s="98">
        <v>-340.91</v>
      </c>
      <c r="AS39" s="68">
        <v>0</v>
      </c>
      <c r="AT39" s="63"/>
      <c r="AU39" s="63"/>
    </row>
    <row r="40" spans="1:47" ht="12.75" hidden="1" customHeight="1" outlineLevel="1" x14ac:dyDescent="0.2">
      <c r="A40" s="95" t="s">
        <v>184</v>
      </c>
      <c r="B40" s="62">
        <v>0</v>
      </c>
      <c r="C40" s="54">
        <v>0</v>
      </c>
      <c r="D40" s="54">
        <v>0</v>
      </c>
      <c r="E40" s="63"/>
      <c r="F40" s="64"/>
      <c r="G40" s="65">
        <v>0</v>
      </c>
      <c r="H40" s="54">
        <v>0</v>
      </c>
      <c r="I40" s="54">
        <v>0</v>
      </c>
      <c r="J40" s="54">
        <v>0</v>
      </c>
      <c r="K40" s="54">
        <v>0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66">
        <v>0</v>
      </c>
      <c r="T40" s="54">
        <v>0</v>
      </c>
      <c r="U40" s="54">
        <v>0</v>
      </c>
      <c r="V40" s="54">
        <v>0</v>
      </c>
      <c r="W40" s="54">
        <v>0</v>
      </c>
      <c r="X40" s="54">
        <v>0</v>
      </c>
      <c r="Y40" s="54">
        <v>0</v>
      </c>
      <c r="Z40" s="54">
        <v>0</v>
      </c>
      <c r="AA40" s="54">
        <v>0</v>
      </c>
      <c r="AB40" s="54">
        <v>0</v>
      </c>
      <c r="AC40" s="54">
        <v>0</v>
      </c>
      <c r="AD40" s="54">
        <v>0</v>
      </c>
      <c r="AE40" s="54">
        <v>0</v>
      </c>
      <c r="AF40" s="66">
        <v>0</v>
      </c>
      <c r="AG40" s="67">
        <v>0</v>
      </c>
      <c r="AH40" s="67">
        <v>0</v>
      </c>
      <c r="AI40" s="67">
        <v>0</v>
      </c>
      <c r="AJ40" s="67">
        <v>0</v>
      </c>
      <c r="AK40" s="67">
        <v>0</v>
      </c>
      <c r="AL40" s="67">
        <v>0</v>
      </c>
      <c r="AM40" s="67">
        <v>0</v>
      </c>
      <c r="AN40" s="67">
        <v>0</v>
      </c>
      <c r="AO40" s="67">
        <v>0</v>
      </c>
      <c r="AP40" s="67">
        <v>0</v>
      </c>
      <c r="AQ40" s="67">
        <v>0</v>
      </c>
      <c r="AR40" s="67">
        <v>0</v>
      </c>
      <c r="AS40" s="68">
        <v>0</v>
      </c>
      <c r="AT40" s="63"/>
      <c r="AU40" s="63"/>
    </row>
    <row r="41" spans="1:47" ht="12.75" hidden="1" customHeight="1" outlineLevel="1" x14ac:dyDescent="0.2">
      <c r="A41" s="95" t="s">
        <v>185</v>
      </c>
      <c r="B41" s="62"/>
      <c r="C41" s="54"/>
      <c r="D41" s="54"/>
      <c r="E41" s="63"/>
      <c r="F41" s="64"/>
      <c r="G41" s="65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66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66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8"/>
      <c r="AT41" s="63"/>
      <c r="AU41" s="63"/>
    </row>
    <row r="42" spans="1:47" ht="12.75" hidden="1" customHeight="1" outlineLevel="1" x14ac:dyDescent="0.2">
      <c r="A42" s="95" t="s">
        <v>186</v>
      </c>
      <c r="B42" s="62">
        <v>0</v>
      </c>
      <c r="C42" s="54">
        <v>0</v>
      </c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0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0</v>
      </c>
      <c r="AS42" s="68">
        <v>0</v>
      </c>
      <c r="AT42" s="63"/>
      <c r="AU42" s="63"/>
    </row>
    <row r="43" spans="1:47" ht="12.75" hidden="1" customHeight="1" outlineLevel="1" x14ac:dyDescent="0.2">
      <c r="A43" s="95" t="s">
        <v>187</v>
      </c>
      <c r="B43" s="62">
        <v>0</v>
      </c>
      <c r="C43" s="54">
        <v>0</v>
      </c>
      <c r="D43" s="54">
        <v>0</v>
      </c>
      <c r="E43" s="63"/>
      <c r="F43" s="64"/>
      <c r="G43" s="65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66">
        <v>0</v>
      </c>
      <c r="T43" s="54">
        <v>0</v>
      </c>
      <c r="U43" s="54">
        <v>0</v>
      </c>
      <c r="V43" s="54">
        <v>0</v>
      </c>
      <c r="W43" s="54">
        <v>0</v>
      </c>
      <c r="X43" s="54">
        <v>0</v>
      </c>
      <c r="Y43" s="54">
        <v>0</v>
      </c>
      <c r="Z43" s="54">
        <v>0</v>
      </c>
      <c r="AA43" s="54">
        <v>0</v>
      </c>
      <c r="AB43" s="54">
        <v>0</v>
      </c>
      <c r="AC43" s="54">
        <v>0</v>
      </c>
      <c r="AD43" s="54">
        <v>0</v>
      </c>
      <c r="AE43" s="54">
        <v>0</v>
      </c>
      <c r="AF43" s="66">
        <v>0</v>
      </c>
      <c r="AG43" s="67">
        <v>0</v>
      </c>
      <c r="AH43" s="67">
        <v>0</v>
      </c>
      <c r="AI43" s="67">
        <v>0</v>
      </c>
      <c r="AJ43" s="67">
        <v>0</v>
      </c>
      <c r="AK43" s="67">
        <v>0</v>
      </c>
      <c r="AL43" s="67">
        <v>0</v>
      </c>
      <c r="AM43" s="67">
        <v>0</v>
      </c>
      <c r="AN43" s="67">
        <v>0</v>
      </c>
      <c r="AO43" s="67">
        <v>0</v>
      </c>
      <c r="AP43" s="67">
        <v>0</v>
      </c>
      <c r="AQ43" s="67">
        <v>0</v>
      </c>
      <c r="AR43" s="67">
        <v>0</v>
      </c>
      <c r="AS43" s="68">
        <v>0</v>
      </c>
      <c r="AT43" s="63"/>
      <c r="AU43" s="63"/>
    </row>
    <row r="44" spans="1:47" ht="12.75" hidden="1" customHeight="1" outlineLevel="1" x14ac:dyDescent="0.2">
      <c r="A44" s="95" t="s">
        <v>188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95" t="s">
        <v>189</v>
      </c>
      <c r="B45" s="62"/>
      <c r="C45" s="54"/>
      <c r="D45" s="54"/>
      <c r="E45" s="63"/>
      <c r="F45" s="64"/>
      <c r="G45" s="65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66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66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8"/>
      <c r="AT45" s="63"/>
      <c r="AU45" s="63"/>
    </row>
    <row r="46" spans="1:47" ht="12.75" hidden="1" customHeight="1" outlineLevel="1" x14ac:dyDescent="0.2">
      <c r="A46" s="95" t="s">
        <v>190</v>
      </c>
      <c r="B46" s="62">
        <v>0</v>
      </c>
      <c r="C46" s="54">
        <v>0</v>
      </c>
      <c r="D46" s="54">
        <v>0</v>
      </c>
      <c r="E46" s="63"/>
      <c r="F46" s="64"/>
      <c r="G46" s="65">
        <v>0</v>
      </c>
      <c r="H46" s="54">
        <v>0</v>
      </c>
      <c r="I46" s="54">
        <v>0</v>
      </c>
      <c r="J46" s="54">
        <v>0</v>
      </c>
      <c r="K46" s="54">
        <v>0</v>
      </c>
      <c r="L46" s="54">
        <v>0</v>
      </c>
      <c r="M46" s="54">
        <v>0</v>
      </c>
      <c r="N46" s="54">
        <v>0</v>
      </c>
      <c r="O46" s="54">
        <v>0</v>
      </c>
      <c r="P46" s="54">
        <v>0</v>
      </c>
      <c r="Q46" s="54">
        <v>0</v>
      </c>
      <c r="R46" s="54">
        <v>0</v>
      </c>
      <c r="S46" s="66">
        <v>0</v>
      </c>
      <c r="T46" s="54">
        <v>0</v>
      </c>
      <c r="U46" s="54">
        <v>0</v>
      </c>
      <c r="V46" s="54">
        <v>0</v>
      </c>
      <c r="W46" s="54">
        <v>0</v>
      </c>
      <c r="X46" s="54">
        <v>0</v>
      </c>
      <c r="Y46" s="54">
        <v>0</v>
      </c>
      <c r="Z46" s="54">
        <v>0</v>
      </c>
      <c r="AA46" s="54">
        <v>0</v>
      </c>
      <c r="AB46" s="54">
        <v>0</v>
      </c>
      <c r="AC46" s="54">
        <v>0</v>
      </c>
      <c r="AD46" s="54">
        <v>0</v>
      </c>
      <c r="AE46" s="54">
        <v>0</v>
      </c>
      <c r="AF46" s="66">
        <v>0</v>
      </c>
      <c r="AG46" s="67">
        <v>0</v>
      </c>
      <c r="AH46" s="67">
        <v>0</v>
      </c>
      <c r="AI46" s="67">
        <v>0</v>
      </c>
      <c r="AJ46" s="67">
        <v>0</v>
      </c>
      <c r="AK46" s="67">
        <v>0</v>
      </c>
      <c r="AL46" s="67">
        <v>0</v>
      </c>
      <c r="AM46" s="67">
        <v>0</v>
      </c>
      <c r="AN46" s="67">
        <v>0</v>
      </c>
      <c r="AO46" s="67">
        <v>0</v>
      </c>
      <c r="AP46" s="67">
        <v>0</v>
      </c>
      <c r="AQ46" s="67">
        <v>204.11</v>
      </c>
      <c r="AR46" s="67">
        <v>0</v>
      </c>
      <c r="AS46" s="68">
        <v>0</v>
      </c>
      <c r="AT46" s="63"/>
      <c r="AU46" s="63"/>
    </row>
    <row r="47" spans="1:47" ht="12.75" hidden="1" customHeight="1" outlineLevel="1" x14ac:dyDescent="0.2">
      <c r="A47" s="95" t="s">
        <v>191</v>
      </c>
      <c r="B47" s="62">
        <v>0</v>
      </c>
      <c r="C47" s="54">
        <v>0</v>
      </c>
      <c r="D47" s="54">
        <v>0</v>
      </c>
      <c r="E47" s="63"/>
      <c r="F47" s="64"/>
      <c r="G47" s="65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54">
        <v>0</v>
      </c>
      <c r="N47" s="54">
        <v>0</v>
      </c>
      <c r="O47" s="54">
        <v>0</v>
      </c>
      <c r="P47" s="54">
        <v>0</v>
      </c>
      <c r="Q47" s="54">
        <v>0</v>
      </c>
      <c r="R47" s="54">
        <v>0</v>
      </c>
      <c r="S47" s="66">
        <v>0</v>
      </c>
      <c r="T47" s="54">
        <v>0</v>
      </c>
      <c r="U47" s="54">
        <v>0</v>
      </c>
      <c r="V47" s="54">
        <v>0</v>
      </c>
      <c r="W47" s="54">
        <v>0</v>
      </c>
      <c r="X47" s="54">
        <v>0</v>
      </c>
      <c r="Y47" s="54">
        <v>0</v>
      </c>
      <c r="Z47" s="54">
        <v>0</v>
      </c>
      <c r="AA47" s="54">
        <v>0</v>
      </c>
      <c r="AB47" s="54">
        <v>0</v>
      </c>
      <c r="AC47" s="54">
        <v>0</v>
      </c>
      <c r="AD47" s="54">
        <v>0</v>
      </c>
      <c r="AE47" s="54">
        <v>0</v>
      </c>
      <c r="AF47" s="66">
        <v>0</v>
      </c>
      <c r="AG47" s="67">
        <v>0</v>
      </c>
      <c r="AH47" s="67">
        <v>0</v>
      </c>
      <c r="AI47" s="67">
        <v>0</v>
      </c>
      <c r="AJ47" s="67">
        <v>0</v>
      </c>
      <c r="AK47" s="67">
        <v>0</v>
      </c>
      <c r="AL47" s="67">
        <v>0</v>
      </c>
      <c r="AM47" s="67">
        <v>0</v>
      </c>
      <c r="AN47" s="67">
        <v>0</v>
      </c>
      <c r="AO47" s="67">
        <v>0</v>
      </c>
      <c r="AP47" s="67">
        <v>0</v>
      </c>
      <c r="AQ47" s="67">
        <v>0</v>
      </c>
      <c r="AR47" s="67">
        <v>0</v>
      </c>
      <c r="AS47" s="68">
        <v>0</v>
      </c>
      <c r="AT47" s="63"/>
      <c r="AU47" s="63"/>
    </row>
    <row r="48" spans="1:47" ht="12.75" customHeight="1" collapsed="1" x14ac:dyDescent="0.2">
      <c r="A48" s="69" t="s">
        <v>192</v>
      </c>
      <c r="B48" s="70">
        <v>13.33</v>
      </c>
      <c r="C48" s="71">
        <v>0</v>
      </c>
      <c r="D48" s="71">
        <v>8</v>
      </c>
      <c r="E48" s="72"/>
      <c r="F48" s="73">
        <v>166.625</v>
      </c>
      <c r="G48" s="70">
        <v>13.33</v>
      </c>
      <c r="H48" s="71">
        <v>13.33</v>
      </c>
      <c r="I48" s="71">
        <v>13.33</v>
      </c>
      <c r="J48" s="71">
        <v>13.33</v>
      </c>
      <c r="K48" s="71">
        <v>0</v>
      </c>
      <c r="L48" s="71">
        <v>0</v>
      </c>
      <c r="M48" s="71">
        <v>0</v>
      </c>
      <c r="N48" s="71">
        <v>0</v>
      </c>
      <c r="O48" s="71">
        <v>0</v>
      </c>
      <c r="P48" s="71">
        <v>0</v>
      </c>
      <c r="Q48" s="71">
        <v>0</v>
      </c>
      <c r="R48" s="71">
        <v>0</v>
      </c>
      <c r="S48" s="71">
        <v>53.32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71">
        <v>0</v>
      </c>
      <c r="AE48" s="71">
        <v>0</v>
      </c>
      <c r="AF48" s="71">
        <v>0</v>
      </c>
      <c r="AG48" s="75">
        <v>8</v>
      </c>
      <c r="AH48" s="75">
        <v>8</v>
      </c>
      <c r="AI48" s="75">
        <v>8</v>
      </c>
      <c r="AJ48" s="75">
        <v>8</v>
      </c>
      <c r="AK48" s="75">
        <v>8</v>
      </c>
      <c r="AL48" s="75">
        <v>8</v>
      </c>
      <c r="AM48" s="75">
        <v>8</v>
      </c>
      <c r="AN48" s="75">
        <v>8</v>
      </c>
      <c r="AO48" s="75">
        <v>13.33</v>
      </c>
      <c r="AP48" s="75">
        <v>13.33</v>
      </c>
      <c r="AQ48" s="75">
        <v>558.35</v>
      </c>
      <c r="AR48" s="75">
        <v>13.33</v>
      </c>
      <c r="AS48" s="75">
        <v>32</v>
      </c>
      <c r="AT48" s="72"/>
      <c r="AU48" s="72">
        <v>166.625</v>
      </c>
    </row>
    <row r="49" spans="1:47" ht="12.75" hidden="1" customHeight="1" outlineLevel="1" x14ac:dyDescent="0.2">
      <c r="A49" s="95" t="s">
        <v>193</v>
      </c>
      <c r="B49" s="62"/>
      <c r="C49" s="54"/>
      <c r="D49" s="54"/>
      <c r="E49" s="63"/>
      <c r="F49" s="64"/>
      <c r="G49" s="65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66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66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8"/>
      <c r="AT49" s="63"/>
      <c r="AU49" s="63"/>
    </row>
    <row r="50" spans="1:47" ht="12.75" hidden="1" customHeight="1" outlineLevel="1" x14ac:dyDescent="0.2">
      <c r="A50" s="95" t="s">
        <v>194</v>
      </c>
      <c r="B50" s="62"/>
      <c r="C50" s="54">
        <v>0</v>
      </c>
      <c r="D50" s="54"/>
      <c r="E50" s="63"/>
      <c r="F50" s="64"/>
      <c r="G50" s="65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66"/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8"/>
      <c r="AT50" s="63"/>
      <c r="AU50" s="63"/>
    </row>
    <row r="51" spans="1:47" ht="12.75" hidden="1" customHeight="1" outlineLevel="1" x14ac:dyDescent="0.2">
      <c r="A51" s="95" t="s">
        <v>82</v>
      </c>
      <c r="B51" s="62">
        <v>0</v>
      </c>
      <c r="C51" s="54">
        <v>0</v>
      </c>
      <c r="D51" s="54">
        <v>0</v>
      </c>
      <c r="E51" s="63"/>
      <c r="F51" s="64"/>
      <c r="G51" s="65">
        <v>0</v>
      </c>
      <c r="H51" s="54">
        <v>0</v>
      </c>
      <c r="I51" s="54">
        <v>0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66">
        <v>0</v>
      </c>
      <c r="T51" s="54">
        <v>0</v>
      </c>
      <c r="U51" s="54">
        <v>0</v>
      </c>
      <c r="V51" s="54">
        <v>0</v>
      </c>
      <c r="W51" s="54">
        <v>0</v>
      </c>
      <c r="X51" s="54">
        <v>0</v>
      </c>
      <c r="Y51" s="54">
        <v>0</v>
      </c>
      <c r="Z51" s="54">
        <v>0</v>
      </c>
      <c r="AA51" s="54">
        <v>0</v>
      </c>
      <c r="AB51" s="54">
        <v>0</v>
      </c>
      <c r="AC51" s="54">
        <v>0</v>
      </c>
      <c r="AD51" s="54">
        <v>0</v>
      </c>
      <c r="AE51" s="54">
        <v>0</v>
      </c>
      <c r="AF51" s="66">
        <v>0</v>
      </c>
      <c r="AG51" s="67">
        <v>0</v>
      </c>
      <c r="AH51" s="67">
        <v>0</v>
      </c>
      <c r="AI51" s="67">
        <v>0</v>
      </c>
      <c r="AJ51" s="67">
        <v>0</v>
      </c>
      <c r="AK51" s="67">
        <v>0</v>
      </c>
      <c r="AL51" s="67">
        <v>0</v>
      </c>
      <c r="AM51" s="67">
        <v>0</v>
      </c>
      <c r="AN51" s="67">
        <v>0</v>
      </c>
      <c r="AO51" s="67">
        <v>0</v>
      </c>
      <c r="AP51" s="67">
        <v>0</v>
      </c>
      <c r="AQ51" s="67">
        <v>0</v>
      </c>
      <c r="AR51" s="67">
        <v>0</v>
      </c>
      <c r="AS51" s="68">
        <v>0</v>
      </c>
      <c r="AT51" s="63"/>
      <c r="AU51" s="63"/>
    </row>
    <row r="52" spans="1:47" ht="12.75" hidden="1" customHeight="1" outlineLevel="1" x14ac:dyDescent="0.2">
      <c r="A52" s="95" t="s">
        <v>83</v>
      </c>
      <c r="B52" s="62">
        <v>0</v>
      </c>
      <c r="C52" s="54">
        <v>0</v>
      </c>
      <c r="D52" s="54">
        <v>0</v>
      </c>
      <c r="E52" s="63"/>
      <c r="F52" s="64"/>
      <c r="G52" s="65">
        <v>0</v>
      </c>
      <c r="H52" s="54">
        <v>0</v>
      </c>
      <c r="I52" s="54">
        <v>0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66">
        <v>0</v>
      </c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66">
        <v>0</v>
      </c>
      <c r="AG52" s="67">
        <v>0</v>
      </c>
      <c r="AH52" s="67">
        <v>0</v>
      </c>
      <c r="AI52" s="67">
        <v>0</v>
      </c>
      <c r="AJ52" s="67">
        <v>0</v>
      </c>
      <c r="AK52" s="67">
        <v>0</v>
      </c>
      <c r="AL52" s="67">
        <v>0</v>
      </c>
      <c r="AM52" s="67">
        <v>0</v>
      </c>
      <c r="AN52" s="67">
        <v>0</v>
      </c>
      <c r="AO52" s="67">
        <v>0</v>
      </c>
      <c r="AP52" s="67">
        <v>0</v>
      </c>
      <c r="AQ52" s="67">
        <v>0</v>
      </c>
      <c r="AR52" s="67">
        <v>0</v>
      </c>
      <c r="AS52" s="68">
        <v>0</v>
      </c>
      <c r="AT52" s="63"/>
      <c r="AU52" s="63"/>
    </row>
    <row r="53" spans="1:47" ht="12.75" hidden="1" customHeight="1" outlineLevel="1" x14ac:dyDescent="0.2">
      <c r="A53" s="95" t="s">
        <v>84</v>
      </c>
      <c r="B53" s="62">
        <v>1800</v>
      </c>
      <c r="C53" s="54">
        <v>0</v>
      </c>
      <c r="D53" s="54">
        <v>0</v>
      </c>
      <c r="E53" s="63"/>
      <c r="F53" s="64"/>
      <c r="G53" s="65">
        <v>4000</v>
      </c>
      <c r="H53" s="54">
        <v>1000</v>
      </c>
      <c r="I53" s="54">
        <v>2400</v>
      </c>
      <c r="J53" s="54">
        <v>1800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66">
        <v>9200</v>
      </c>
      <c r="T53" s="54">
        <v>0</v>
      </c>
      <c r="U53" s="54">
        <v>0</v>
      </c>
      <c r="V53" s="54">
        <v>0</v>
      </c>
      <c r="W53" s="54">
        <v>0</v>
      </c>
      <c r="X53" s="54">
        <v>0</v>
      </c>
      <c r="Y53" s="54">
        <v>0</v>
      </c>
      <c r="Z53" s="54">
        <v>0</v>
      </c>
      <c r="AA53" s="54">
        <v>0</v>
      </c>
      <c r="AB53" s="54">
        <v>0</v>
      </c>
      <c r="AC53" s="54">
        <v>0</v>
      </c>
      <c r="AD53" s="54">
        <v>0</v>
      </c>
      <c r="AE53" s="54">
        <v>0</v>
      </c>
      <c r="AF53" s="66">
        <v>0</v>
      </c>
      <c r="AG53" s="67">
        <v>0</v>
      </c>
      <c r="AH53" s="67">
        <v>0</v>
      </c>
      <c r="AI53" s="67">
        <v>1702</v>
      </c>
      <c r="AJ53" s="67">
        <v>0</v>
      </c>
      <c r="AK53" s="67">
        <v>0</v>
      </c>
      <c r="AL53" s="67">
        <v>0</v>
      </c>
      <c r="AM53" s="67">
        <v>0</v>
      </c>
      <c r="AN53" s="67">
        <v>0</v>
      </c>
      <c r="AO53" s="67">
        <v>0</v>
      </c>
      <c r="AP53" s="67">
        <v>0</v>
      </c>
      <c r="AQ53" s="67">
        <v>0</v>
      </c>
      <c r="AR53" s="67">
        <v>0</v>
      </c>
      <c r="AS53" s="68">
        <v>1702</v>
      </c>
      <c r="AT53" s="63"/>
      <c r="AU53" s="63">
        <v>540.54054054054052</v>
      </c>
    </row>
    <row r="54" spans="1:47" ht="12.75" hidden="1" customHeight="1" outlineLevel="1" x14ac:dyDescent="0.2">
      <c r="A54" s="95" t="s">
        <v>195</v>
      </c>
      <c r="B54" s="62"/>
      <c r="C54" s="54"/>
      <c r="D54" s="54"/>
      <c r="E54" s="63"/>
      <c r="F54" s="64"/>
      <c r="G54" s="65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66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66"/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8"/>
      <c r="AT54" s="63"/>
      <c r="AU54" s="63"/>
    </row>
    <row r="55" spans="1:47" ht="12.75" hidden="1" customHeight="1" outlineLevel="1" x14ac:dyDescent="0.2">
      <c r="A55" s="95" t="s">
        <v>86</v>
      </c>
      <c r="B55" s="62">
        <v>0</v>
      </c>
      <c r="C55" s="54">
        <v>0</v>
      </c>
      <c r="D55" s="56">
        <v>-168</v>
      </c>
      <c r="E55" s="63"/>
      <c r="F55" s="64">
        <v>0</v>
      </c>
      <c r="G55" s="65">
        <v>0</v>
      </c>
      <c r="H55" s="54">
        <v>273.07</v>
      </c>
      <c r="I55" s="54">
        <v>175.42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66">
        <v>448.49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66">
        <v>0</v>
      </c>
      <c r="AG55" s="67">
        <v>0</v>
      </c>
      <c r="AH55" s="67">
        <v>285.27</v>
      </c>
      <c r="AI55" s="67">
        <v>2173.44</v>
      </c>
      <c r="AJ55" s="98">
        <v>-168</v>
      </c>
      <c r="AK55" s="67">
        <v>129.43</v>
      </c>
      <c r="AL55" s="67">
        <v>0</v>
      </c>
      <c r="AM55" s="67">
        <v>106.36</v>
      </c>
      <c r="AN55" s="67">
        <v>0</v>
      </c>
      <c r="AO55" s="67">
        <v>125.46</v>
      </c>
      <c r="AP55" s="67">
        <v>0</v>
      </c>
      <c r="AQ55" s="67">
        <v>699.51</v>
      </c>
      <c r="AR55" s="67">
        <v>0</v>
      </c>
      <c r="AS55" s="68">
        <v>2290.71</v>
      </c>
      <c r="AT55" s="63"/>
      <c r="AU55" s="63">
        <v>19.578645922006714</v>
      </c>
    </row>
    <row r="56" spans="1:47" ht="12.75" hidden="1" customHeight="1" outlineLevel="1" x14ac:dyDescent="0.2">
      <c r="A56" s="95" t="s">
        <v>110</v>
      </c>
      <c r="B56" s="62"/>
      <c r="C56" s="54"/>
      <c r="D56" s="54"/>
      <c r="E56" s="63"/>
      <c r="F56" s="64"/>
      <c r="G56" s="65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66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66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8"/>
      <c r="AT56" s="63"/>
      <c r="AU56" s="63"/>
    </row>
    <row r="57" spans="1:47" ht="12.75" hidden="1" customHeight="1" outlineLevel="1" x14ac:dyDescent="0.2">
      <c r="A57" s="95" t="s">
        <v>196</v>
      </c>
      <c r="B57" s="62">
        <v>0</v>
      </c>
      <c r="C57" s="54">
        <v>0</v>
      </c>
      <c r="D57" s="54">
        <v>0</v>
      </c>
      <c r="E57" s="63"/>
      <c r="F57" s="64"/>
      <c r="G57" s="65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66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66">
        <v>0</v>
      </c>
      <c r="AG57" s="67">
        <v>0</v>
      </c>
      <c r="AH57" s="67">
        <v>175</v>
      </c>
      <c r="AI57" s="67">
        <v>0</v>
      </c>
      <c r="AJ57" s="67">
        <v>0</v>
      </c>
      <c r="AK57" s="67">
        <v>0</v>
      </c>
      <c r="AL57" s="67">
        <v>0</v>
      </c>
      <c r="AM57" s="67">
        <v>0</v>
      </c>
      <c r="AN57" s="67">
        <v>0</v>
      </c>
      <c r="AO57" s="67">
        <v>0</v>
      </c>
      <c r="AP57" s="67">
        <v>0</v>
      </c>
      <c r="AQ57" s="67">
        <v>0</v>
      </c>
      <c r="AR57" s="67">
        <v>0</v>
      </c>
      <c r="AS57" s="68">
        <v>175</v>
      </c>
      <c r="AT57" s="63"/>
      <c r="AU57" s="63">
        <v>0</v>
      </c>
    </row>
    <row r="58" spans="1:47" ht="12.75" hidden="1" customHeight="1" outlineLevel="1" x14ac:dyDescent="0.2">
      <c r="A58" s="95" t="s">
        <v>197</v>
      </c>
      <c r="B58" s="62">
        <v>17680</v>
      </c>
      <c r="C58" s="54">
        <v>0</v>
      </c>
      <c r="D58" s="54">
        <v>0</v>
      </c>
      <c r="E58" s="63"/>
      <c r="F58" s="64"/>
      <c r="G58" s="65">
        <v>0</v>
      </c>
      <c r="H58" s="54">
        <v>0</v>
      </c>
      <c r="I58" s="54">
        <v>0</v>
      </c>
      <c r="J58" s="54">
        <v>17680</v>
      </c>
      <c r="K58" s="56">
        <v>-17680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17680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0</v>
      </c>
      <c r="AI58" s="67">
        <v>0</v>
      </c>
      <c r="AJ58" s="67">
        <v>0</v>
      </c>
      <c r="AK58" s="67">
        <v>0</v>
      </c>
      <c r="AL58" s="67">
        <v>0</v>
      </c>
      <c r="AM58" s="67">
        <v>0</v>
      </c>
      <c r="AN58" s="67">
        <v>0</v>
      </c>
      <c r="AO58" s="67">
        <v>0</v>
      </c>
      <c r="AP58" s="67">
        <v>0</v>
      </c>
      <c r="AQ58" s="67">
        <v>0</v>
      </c>
      <c r="AR58" s="67">
        <v>0</v>
      </c>
      <c r="AS58" s="68">
        <v>0</v>
      </c>
      <c r="AT58" s="63"/>
      <c r="AU58" s="63"/>
    </row>
    <row r="59" spans="1:47" ht="12.75" hidden="1" customHeight="1" outlineLevel="1" x14ac:dyDescent="0.2">
      <c r="A59" s="95" t="s">
        <v>198</v>
      </c>
      <c r="B59" s="62">
        <v>0</v>
      </c>
      <c r="C59" s="54">
        <v>0</v>
      </c>
      <c r="D59" s="54">
        <v>11.78</v>
      </c>
      <c r="E59" s="63"/>
      <c r="F59" s="64">
        <v>0</v>
      </c>
      <c r="G59" s="65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66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66">
        <v>0</v>
      </c>
      <c r="AG59" s="67">
        <v>0</v>
      </c>
      <c r="AH59" s="67">
        <v>0</v>
      </c>
      <c r="AI59" s="67">
        <v>0</v>
      </c>
      <c r="AJ59" s="67">
        <v>11.78</v>
      </c>
      <c r="AK59" s="67">
        <v>5746</v>
      </c>
      <c r="AL59" s="67">
        <v>0</v>
      </c>
      <c r="AM59" s="67">
        <v>0</v>
      </c>
      <c r="AN59" s="67">
        <v>0</v>
      </c>
      <c r="AO59" s="67">
        <v>0</v>
      </c>
      <c r="AP59" s="67">
        <v>0</v>
      </c>
      <c r="AQ59" s="67">
        <v>0</v>
      </c>
      <c r="AR59" s="67">
        <v>0</v>
      </c>
      <c r="AS59" s="68">
        <v>11.78</v>
      </c>
      <c r="AT59" s="63"/>
      <c r="AU59" s="63">
        <v>0</v>
      </c>
    </row>
    <row r="60" spans="1:47" ht="12.75" hidden="1" customHeight="1" outlineLevel="1" x14ac:dyDescent="0.2">
      <c r="A60" s="95" t="s">
        <v>199</v>
      </c>
      <c r="B60" s="62">
        <v>47345.66</v>
      </c>
      <c r="C60" s="54">
        <v>0</v>
      </c>
      <c r="D60" s="54">
        <v>31217.45</v>
      </c>
      <c r="E60" s="63"/>
      <c r="F60" s="64">
        <v>151.66408531126021</v>
      </c>
      <c r="G60" s="65">
        <v>51722.34</v>
      </c>
      <c r="H60" s="54">
        <v>49860.69</v>
      </c>
      <c r="I60" s="54">
        <v>42640.66</v>
      </c>
      <c r="J60" s="54">
        <v>47345.66</v>
      </c>
      <c r="K60" s="56">
        <v>-47345.66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66">
        <v>191569.35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>
        <v>0</v>
      </c>
      <c r="AE60" s="54">
        <v>0</v>
      </c>
      <c r="AF60" s="66">
        <v>0</v>
      </c>
      <c r="AG60" s="67">
        <v>30302.85</v>
      </c>
      <c r="AH60" s="67">
        <v>30636.86</v>
      </c>
      <c r="AI60" s="67">
        <v>30560.65</v>
      </c>
      <c r="AJ60" s="67">
        <v>31217.45</v>
      </c>
      <c r="AK60" s="67">
        <v>31291.43</v>
      </c>
      <c r="AL60" s="67">
        <v>29744.36</v>
      </c>
      <c r="AM60" s="67">
        <v>30258.02</v>
      </c>
      <c r="AN60" s="67">
        <v>67850.42</v>
      </c>
      <c r="AO60" s="67">
        <v>30889.55</v>
      </c>
      <c r="AP60" s="67">
        <v>182755.42</v>
      </c>
      <c r="AQ60" s="67">
        <v>42071.41</v>
      </c>
      <c r="AR60" s="67">
        <v>43130.400000000001</v>
      </c>
      <c r="AS60" s="68">
        <v>122717.81</v>
      </c>
      <c r="AT60" s="63"/>
      <c r="AU60" s="63">
        <v>156.10558076289007</v>
      </c>
    </row>
    <row r="61" spans="1:47" ht="12.75" hidden="1" customHeight="1" outlineLevel="1" x14ac:dyDescent="0.2">
      <c r="A61" s="95" t="s">
        <v>200</v>
      </c>
      <c r="B61" s="62"/>
      <c r="C61" s="54"/>
      <c r="D61" s="54"/>
      <c r="E61" s="63"/>
      <c r="F61" s="64"/>
      <c r="G61" s="65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66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66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8"/>
      <c r="AT61" s="63"/>
      <c r="AU61" s="63"/>
    </row>
    <row r="62" spans="1:47" ht="12.75" customHeight="1" collapsed="1" x14ac:dyDescent="0.2">
      <c r="A62" s="69" t="s">
        <v>89</v>
      </c>
      <c r="B62" s="70">
        <v>66825.66</v>
      </c>
      <c r="C62" s="71">
        <v>0</v>
      </c>
      <c r="D62" s="71">
        <v>31061.23</v>
      </c>
      <c r="E62" s="72"/>
      <c r="F62" s="73">
        <v>215.14170559247009</v>
      </c>
      <c r="G62" s="70">
        <v>55722.34</v>
      </c>
      <c r="H62" s="71">
        <v>51133.760000000002</v>
      </c>
      <c r="I62" s="71">
        <v>45216.08</v>
      </c>
      <c r="J62" s="71">
        <v>66825.66</v>
      </c>
      <c r="K62" s="74">
        <v>-65025.66</v>
      </c>
      <c r="L62" s="71">
        <v>0</v>
      </c>
      <c r="M62" s="71">
        <v>0</v>
      </c>
      <c r="N62" s="71">
        <v>0</v>
      </c>
      <c r="O62" s="71">
        <v>0</v>
      </c>
      <c r="P62" s="71">
        <v>0</v>
      </c>
      <c r="Q62" s="71">
        <v>0</v>
      </c>
      <c r="R62" s="71">
        <v>0</v>
      </c>
      <c r="S62" s="71">
        <v>218897.84</v>
      </c>
      <c r="T62" s="71">
        <v>0</v>
      </c>
      <c r="U62" s="71">
        <v>0</v>
      </c>
      <c r="V62" s="71">
        <v>0</v>
      </c>
      <c r="W62" s="71">
        <v>0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71">
        <v>0</v>
      </c>
      <c r="AE62" s="71">
        <v>0</v>
      </c>
      <c r="AF62" s="71">
        <v>0</v>
      </c>
      <c r="AG62" s="75">
        <v>30302.85</v>
      </c>
      <c r="AH62" s="75">
        <v>31097.13</v>
      </c>
      <c r="AI62" s="75">
        <v>34436.089999999997</v>
      </c>
      <c r="AJ62" s="75">
        <v>31061.23</v>
      </c>
      <c r="AK62" s="75">
        <v>37166.86</v>
      </c>
      <c r="AL62" s="75">
        <v>29744.36</v>
      </c>
      <c r="AM62" s="75">
        <v>30364.38</v>
      </c>
      <c r="AN62" s="75">
        <v>67850.42</v>
      </c>
      <c r="AO62" s="75">
        <v>31015.01</v>
      </c>
      <c r="AP62" s="75">
        <v>182755.42</v>
      </c>
      <c r="AQ62" s="75">
        <v>42770.92</v>
      </c>
      <c r="AR62" s="75">
        <v>43130.400000000001</v>
      </c>
      <c r="AS62" s="75">
        <v>126897.3</v>
      </c>
      <c r="AT62" s="72"/>
      <c r="AU62" s="72">
        <v>172.49999802990291</v>
      </c>
    </row>
    <row r="63" spans="1:47" ht="12.75" customHeight="1" x14ac:dyDescent="0.2">
      <c r="A63" s="77" t="s">
        <v>201</v>
      </c>
      <c r="B63" s="78">
        <v>86869.91</v>
      </c>
      <c r="C63" s="79">
        <v>0</v>
      </c>
      <c r="D63" s="79">
        <v>64062.89</v>
      </c>
      <c r="E63" s="80"/>
      <c r="F63" s="81">
        <v>135.60098521936803</v>
      </c>
      <c r="G63" s="78">
        <v>73083.509999999995</v>
      </c>
      <c r="H63" s="79">
        <v>70147.41</v>
      </c>
      <c r="I63" s="79">
        <v>64899.73</v>
      </c>
      <c r="J63" s="79">
        <v>86869.91</v>
      </c>
      <c r="K63" s="82">
        <v>-71615.520000000004</v>
      </c>
      <c r="L63" s="79">
        <v>0</v>
      </c>
      <c r="M63" s="79">
        <v>0</v>
      </c>
      <c r="N63" s="79">
        <v>0</v>
      </c>
      <c r="O63" s="79">
        <v>0</v>
      </c>
      <c r="P63" s="79">
        <v>0</v>
      </c>
      <c r="Q63" s="79">
        <v>0</v>
      </c>
      <c r="R63" s="79">
        <v>0</v>
      </c>
      <c r="S63" s="79">
        <v>295000.56</v>
      </c>
      <c r="T63" s="79">
        <v>0</v>
      </c>
      <c r="U63" s="79">
        <v>0</v>
      </c>
      <c r="V63" s="79">
        <v>0</v>
      </c>
      <c r="W63" s="79">
        <v>0</v>
      </c>
      <c r="X63" s="79">
        <v>0</v>
      </c>
      <c r="Y63" s="79">
        <v>0</v>
      </c>
      <c r="Z63" s="79">
        <v>0</v>
      </c>
      <c r="AA63" s="79">
        <v>0</v>
      </c>
      <c r="AB63" s="79">
        <v>0</v>
      </c>
      <c r="AC63" s="79">
        <v>0</v>
      </c>
      <c r="AD63" s="79">
        <v>0</v>
      </c>
      <c r="AE63" s="79">
        <v>0</v>
      </c>
      <c r="AF63" s="79">
        <v>0</v>
      </c>
      <c r="AG63" s="83">
        <v>64410.9</v>
      </c>
      <c r="AH63" s="83">
        <v>67629.09</v>
      </c>
      <c r="AI63" s="83">
        <v>69392.55</v>
      </c>
      <c r="AJ63" s="83">
        <v>64062.89</v>
      </c>
      <c r="AK63" s="83">
        <v>68220.160000000003</v>
      </c>
      <c r="AL63" s="83">
        <v>62992.35</v>
      </c>
      <c r="AM63" s="83">
        <v>54486.54</v>
      </c>
      <c r="AN63" s="83">
        <v>95312.53</v>
      </c>
      <c r="AO63" s="83">
        <v>64371.65</v>
      </c>
      <c r="AP63" s="83">
        <v>216265.35</v>
      </c>
      <c r="AQ63" s="83">
        <v>71587.37</v>
      </c>
      <c r="AR63" s="83">
        <v>68497.42</v>
      </c>
      <c r="AS63" s="83">
        <v>265495.43</v>
      </c>
      <c r="AT63" s="80"/>
      <c r="AU63" s="80">
        <v>111.11323460445251</v>
      </c>
    </row>
    <row r="64" spans="1:47" x14ac:dyDescent="0.2">
      <c r="B64" s="22"/>
      <c r="C64" s="22"/>
      <c r="D64" s="22"/>
      <c r="E64" s="23"/>
      <c r="F64" s="23"/>
      <c r="G64" s="22"/>
      <c r="H64" s="22"/>
      <c r="I64" s="22"/>
      <c r="J64" s="22"/>
      <c r="K64" s="22"/>
      <c r="L64" s="22"/>
      <c r="M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3"/>
      <c r="AU64" s="23"/>
    </row>
    <row r="65" spans="1:46" x14ac:dyDescent="0.2">
      <c r="AS65" s="26">
        <f>+AS63-S63</f>
        <v>-29505.130000000005</v>
      </c>
    </row>
    <row r="66" spans="1:46" x14ac:dyDescent="0.2">
      <c r="AS66" t="s">
        <v>613</v>
      </c>
    </row>
    <row r="67" spans="1:46" ht="15" x14ac:dyDescent="0.2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</row>
    <row r="68" spans="1:46" ht="15" x14ac:dyDescent="0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</row>
    <row r="69" spans="1:46" ht="15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</row>
    <row r="70" spans="1:46" ht="15" x14ac:dyDescent="0.25">
      <c r="A70" s="16"/>
      <c r="B70" s="16"/>
      <c r="C70" s="16"/>
      <c r="D70" s="16"/>
    </row>
    <row r="71" spans="1:46" ht="15" x14ac:dyDescent="0.25">
      <c r="A71" s="16"/>
      <c r="B71" s="16"/>
      <c r="C71" s="16"/>
      <c r="D71" s="16"/>
    </row>
    <row r="72" spans="1:46" ht="15" x14ac:dyDescent="0.25">
      <c r="A72" s="16"/>
      <c r="B72" s="16"/>
      <c r="C72" s="16"/>
      <c r="D72" s="16"/>
    </row>
    <row r="73" spans="1:46" ht="15" x14ac:dyDescent="0.25">
      <c r="A73" s="16"/>
      <c r="B73" s="16"/>
      <c r="C73" s="16"/>
      <c r="D73" s="16"/>
    </row>
  </sheetData>
  <pageMargins left="0.75" right="0.75" top="1" bottom="1" header="0.5" footer="0.5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AV74"/>
  <sheetViews>
    <sheetView workbookViewId="0">
      <pane xSplit="1" ySplit="8" topLeftCell="B39" activePane="bottomRight" state="frozen"/>
      <selection activeCell="A73" sqref="A73"/>
      <selection pane="topRight" activeCell="A73" sqref="A73"/>
      <selection pane="bottomLeft" activeCell="A73" sqref="A73"/>
      <selection pane="bottomRight" sqref="A1:AU66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customWidth="1" outlineLevel="1"/>
    <col min="8" max="8" width="8.5703125" customWidth="1" outlineLevel="1"/>
    <col min="9" max="18" width="9.42578125" customWidth="1" outlineLevel="1"/>
    <col min="19" max="19" width="15.42578125" customWidth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10.42578125" bestFit="1" customWidth="1" collapsed="1"/>
    <col min="46" max="47" width="10.5703125" customWidth="1"/>
  </cols>
  <sheetData>
    <row r="1" spans="1:47" ht="39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ht="12.75" customHeight="1" outlineLevel="1" x14ac:dyDescent="0.2">
      <c r="A2" s="95" t="s">
        <v>7</v>
      </c>
      <c r="B2" s="62"/>
      <c r="C2" s="54"/>
      <c r="D2" s="54"/>
      <c r="E2" s="63"/>
      <c r="F2" s="64"/>
      <c r="G2" s="65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66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66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8"/>
      <c r="AT2" s="63"/>
      <c r="AU2" s="63"/>
    </row>
    <row r="3" spans="1:47" s="365" customFormat="1" ht="12.75" customHeight="1" outlineLevel="1" x14ac:dyDescent="0.2">
      <c r="A3" s="95" t="s">
        <v>160</v>
      </c>
      <c r="B3" s="62">
        <v>54331.55</v>
      </c>
      <c r="C3" s="54">
        <v>0</v>
      </c>
      <c r="D3" s="54">
        <v>30241.57</v>
      </c>
      <c r="E3" s="63"/>
      <c r="F3" s="64">
        <v>179.65849656615049</v>
      </c>
      <c r="G3" s="65">
        <v>58435.39</v>
      </c>
      <c r="H3" s="54">
        <v>62016.62</v>
      </c>
      <c r="I3" s="54">
        <v>49711.51</v>
      </c>
      <c r="J3" s="54">
        <v>54331.55</v>
      </c>
      <c r="K3" s="54">
        <v>0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224495.07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52463.3</v>
      </c>
      <c r="AH3" s="67">
        <v>58682.38</v>
      </c>
      <c r="AI3" s="67">
        <v>50413.599999999999</v>
      </c>
      <c r="AJ3" s="67">
        <v>30241.57</v>
      </c>
      <c r="AK3" s="67">
        <v>54823.73</v>
      </c>
      <c r="AL3" s="67">
        <v>62160.65</v>
      </c>
      <c r="AM3" s="67">
        <v>55829.43</v>
      </c>
      <c r="AN3" s="67">
        <v>72785.67</v>
      </c>
      <c r="AO3" s="67">
        <v>70249.179999999993</v>
      </c>
      <c r="AP3" s="67">
        <v>63713.02</v>
      </c>
      <c r="AQ3" s="67">
        <v>76928.83</v>
      </c>
      <c r="AR3" s="67">
        <v>70021.919999999998</v>
      </c>
      <c r="AS3" s="68">
        <v>191800.85</v>
      </c>
      <c r="AT3" s="63"/>
      <c r="AU3" s="63">
        <v>117.04592028658892</v>
      </c>
    </row>
    <row r="4" spans="1:47" ht="12.75" customHeight="1" outlineLevel="1" x14ac:dyDescent="0.2">
      <c r="A4" s="95" t="s">
        <v>161</v>
      </c>
      <c r="B4" s="62">
        <v>3721.09</v>
      </c>
      <c r="C4" s="54">
        <v>0</v>
      </c>
      <c r="D4" s="54">
        <v>3645.65</v>
      </c>
      <c r="E4" s="63"/>
      <c r="F4" s="64">
        <v>102.0693154855787</v>
      </c>
      <c r="G4" s="65">
        <v>3521.62</v>
      </c>
      <c r="H4" s="54">
        <v>503.25</v>
      </c>
      <c r="I4" s="54">
        <v>7572.55</v>
      </c>
      <c r="J4" s="54">
        <v>3721.09</v>
      </c>
      <c r="K4" s="56">
        <v>-1711.96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15318.51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3382.99</v>
      </c>
      <c r="AH4" s="67">
        <v>3900.89</v>
      </c>
      <c r="AI4" s="67">
        <v>4751.67</v>
      </c>
      <c r="AJ4" s="67">
        <v>3645.65</v>
      </c>
      <c r="AK4" s="67">
        <v>3882.74</v>
      </c>
      <c r="AL4" s="67">
        <v>4207.55</v>
      </c>
      <c r="AM4" s="67">
        <v>4169.4799999999996</v>
      </c>
      <c r="AN4" s="67">
        <v>4736.7</v>
      </c>
      <c r="AO4" s="67">
        <v>634.19000000000005</v>
      </c>
      <c r="AP4" s="67">
        <v>5980.32</v>
      </c>
      <c r="AQ4" s="67">
        <v>7103.31</v>
      </c>
      <c r="AR4" s="67">
        <v>5965.09</v>
      </c>
      <c r="AS4" s="68">
        <v>15681.2</v>
      </c>
      <c r="AT4" s="63"/>
      <c r="AU4" s="63">
        <v>97.687103027829508</v>
      </c>
    </row>
    <row r="5" spans="1:47" ht="12.75" customHeight="1" outlineLevel="1" x14ac:dyDescent="0.2">
      <c r="A5" s="95" t="s">
        <v>162</v>
      </c>
      <c r="B5" s="62">
        <v>11617.09</v>
      </c>
      <c r="C5" s="54">
        <v>0</v>
      </c>
      <c r="D5" s="54">
        <v>14625.1</v>
      </c>
      <c r="E5" s="63"/>
      <c r="F5" s="64">
        <v>79.432550888540931</v>
      </c>
      <c r="G5" s="65">
        <v>5159.5600000000004</v>
      </c>
      <c r="H5" s="54">
        <v>5339.87</v>
      </c>
      <c r="I5" s="56">
        <v>-1180.46</v>
      </c>
      <c r="J5" s="54">
        <v>11617.09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20936.060000000001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4435.32</v>
      </c>
      <c r="AH5" s="67">
        <v>6852.6</v>
      </c>
      <c r="AI5" s="67">
        <v>4839.58</v>
      </c>
      <c r="AJ5" s="67">
        <v>14625.1</v>
      </c>
      <c r="AK5" s="67">
        <v>5334.12</v>
      </c>
      <c r="AL5" s="67">
        <v>9157.43</v>
      </c>
      <c r="AM5" s="67">
        <v>9795.3799999999992</v>
      </c>
      <c r="AN5" s="67">
        <v>5530.36</v>
      </c>
      <c r="AO5" s="67">
        <v>7716.76</v>
      </c>
      <c r="AP5" s="67">
        <v>7700.17</v>
      </c>
      <c r="AQ5" s="67">
        <v>4896.54</v>
      </c>
      <c r="AR5" s="67">
        <v>13670.89</v>
      </c>
      <c r="AS5" s="68">
        <v>30752.6</v>
      </c>
      <c r="AT5" s="63"/>
      <c r="AU5" s="63">
        <v>68.078991695011155</v>
      </c>
    </row>
    <row r="6" spans="1:47" ht="12.75" customHeight="1" outlineLevel="1" x14ac:dyDescent="0.2">
      <c r="A6" s="95" t="s">
        <v>163</v>
      </c>
      <c r="B6" s="62">
        <v>1233</v>
      </c>
      <c r="C6" s="54">
        <v>0</v>
      </c>
      <c r="D6" s="54">
        <v>773.5</v>
      </c>
      <c r="E6" s="63"/>
      <c r="F6" s="64">
        <v>159.40530058177117</v>
      </c>
      <c r="G6" s="65">
        <v>773.5</v>
      </c>
      <c r="H6" s="54">
        <v>773.5</v>
      </c>
      <c r="I6" s="54">
        <v>2152</v>
      </c>
      <c r="J6" s="54">
        <v>1233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4932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0</v>
      </c>
      <c r="AH6" s="67">
        <v>0</v>
      </c>
      <c r="AI6" s="67">
        <v>0</v>
      </c>
      <c r="AJ6" s="67">
        <v>773.5</v>
      </c>
      <c r="AK6" s="67">
        <v>773.5</v>
      </c>
      <c r="AL6" s="67">
        <v>773.5</v>
      </c>
      <c r="AM6" s="67">
        <v>773.5</v>
      </c>
      <c r="AN6" s="67">
        <v>773.5</v>
      </c>
      <c r="AO6" s="67">
        <v>773.5</v>
      </c>
      <c r="AP6" s="67">
        <v>773.5</v>
      </c>
      <c r="AQ6" s="98">
        <v>-7723.28</v>
      </c>
      <c r="AR6" s="67">
        <v>0</v>
      </c>
      <c r="AS6" s="68">
        <v>773.5</v>
      </c>
      <c r="AT6" s="63"/>
      <c r="AU6" s="63">
        <v>637.62120232708469</v>
      </c>
    </row>
    <row r="7" spans="1:47" s="365" customFormat="1" ht="12.75" customHeight="1" outlineLevel="1" x14ac:dyDescent="0.2">
      <c r="A7" s="95" t="s">
        <v>164</v>
      </c>
      <c r="B7" s="62">
        <v>616</v>
      </c>
      <c r="C7" s="54">
        <v>0</v>
      </c>
      <c r="D7" s="54">
        <v>203.69</v>
      </c>
      <c r="E7" s="63"/>
      <c r="F7" s="64">
        <v>302.4203446413668</v>
      </c>
      <c r="G7" s="65">
        <v>595.75</v>
      </c>
      <c r="H7" s="54">
        <v>616</v>
      </c>
      <c r="I7" s="54">
        <v>669.31</v>
      </c>
      <c r="J7" s="54">
        <v>616</v>
      </c>
      <c r="K7" s="56">
        <v>-350.72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2497.06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81.41</v>
      </c>
      <c r="AH7" s="67">
        <v>184.21</v>
      </c>
      <c r="AI7" s="67">
        <v>117.53</v>
      </c>
      <c r="AJ7" s="67">
        <v>203.69</v>
      </c>
      <c r="AK7" s="67">
        <v>203.69</v>
      </c>
      <c r="AL7" s="67">
        <v>229.27</v>
      </c>
      <c r="AM7" s="67">
        <v>229.27</v>
      </c>
      <c r="AN7" s="67">
        <v>229.27</v>
      </c>
      <c r="AO7" s="67">
        <v>229.27</v>
      </c>
      <c r="AP7" s="67">
        <v>491.88</v>
      </c>
      <c r="AQ7" s="67">
        <v>491.88</v>
      </c>
      <c r="AR7" s="67">
        <v>598.15</v>
      </c>
      <c r="AS7" s="68">
        <v>586.84</v>
      </c>
      <c r="AT7" s="63"/>
      <c r="AU7" s="63">
        <v>425.50950855429079</v>
      </c>
    </row>
    <row r="8" spans="1:47" s="365" customFormat="1" outlineLevel="1" x14ac:dyDescent="0.2">
      <c r="A8" s="95" t="s">
        <v>165</v>
      </c>
      <c r="B8" s="62">
        <v>6159.21</v>
      </c>
      <c r="C8" s="54">
        <v>0</v>
      </c>
      <c r="D8" s="54">
        <v>5937.03</v>
      </c>
      <c r="E8" s="63"/>
      <c r="F8" s="64">
        <v>103.74227517799304</v>
      </c>
      <c r="G8" s="65">
        <v>5758.69</v>
      </c>
      <c r="H8" s="54">
        <v>6263.67</v>
      </c>
      <c r="I8" s="54">
        <v>6164.82</v>
      </c>
      <c r="J8" s="54">
        <v>6159.21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66">
        <v>24346.39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66">
        <v>0</v>
      </c>
      <c r="AG8" s="67">
        <v>5462.69</v>
      </c>
      <c r="AH8" s="67">
        <v>6260.38</v>
      </c>
      <c r="AI8" s="67">
        <v>6323.82</v>
      </c>
      <c r="AJ8" s="67">
        <v>5937.03</v>
      </c>
      <c r="AK8" s="67">
        <v>6314.19</v>
      </c>
      <c r="AL8" s="67">
        <v>7298.31</v>
      </c>
      <c r="AM8" s="67">
        <v>6841.44</v>
      </c>
      <c r="AN8" s="67">
        <v>7660</v>
      </c>
      <c r="AO8" s="67">
        <v>7626.52</v>
      </c>
      <c r="AP8" s="67">
        <v>7765.27</v>
      </c>
      <c r="AQ8" s="67">
        <v>8654.83</v>
      </c>
      <c r="AR8" s="67">
        <v>7948.28</v>
      </c>
      <c r="AS8" s="68">
        <v>23983.919999999998</v>
      </c>
      <c r="AT8" s="63"/>
      <c r="AU8" s="63">
        <v>101.51130424050781</v>
      </c>
    </row>
    <row r="9" spans="1:47" s="365" customFormat="1" ht="12.75" customHeight="1" x14ac:dyDescent="0.2">
      <c r="A9" s="69" t="s">
        <v>166</v>
      </c>
      <c r="B9" s="70">
        <v>77677.94</v>
      </c>
      <c r="C9" s="71">
        <v>0</v>
      </c>
      <c r="D9" s="71">
        <v>55426.54</v>
      </c>
      <c r="E9" s="72"/>
      <c r="F9" s="73">
        <v>140.14574967154724</v>
      </c>
      <c r="G9" s="70">
        <v>74244.509999999995</v>
      </c>
      <c r="H9" s="71">
        <v>75512.91</v>
      </c>
      <c r="I9" s="71">
        <v>65089.73</v>
      </c>
      <c r="J9" s="71">
        <v>77677.94</v>
      </c>
      <c r="K9" s="74">
        <v>-2062.6799999999998</v>
      </c>
      <c r="L9" s="71">
        <v>0</v>
      </c>
      <c r="M9" s="71">
        <v>0</v>
      </c>
      <c r="N9" s="71">
        <v>0</v>
      </c>
      <c r="O9" s="71">
        <v>0</v>
      </c>
      <c r="P9" s="71">
        <v>0</v>
      </c>
      <c r="Q9" s="71">
        <v>0</v>
      </c>
      <c r="R9" s="71">
        <v>0</v>
      </c>
      <c r="S9" s="71">
        <v>292525.09000000003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0</v>
      </c>
      <c r="AA9" s="71">
        <v>0</v>
      </c>
      <c r="AB9" s="71">
        <v>0</v>
      </c>
      <c r="AC9" s="71">
        <v>0</v>
      </c>
      <c r="AD9" s="71">
        <v>0</v>
      </c>
      <c r="AE9" s="71">
        <v>0</v>
      </c>
      <c r="AF9" s="71">
        <v>0</v>
      </c>
      <c r="AG9" s="75">
        <v>65825.710000000006</v>
      </c>
      <c r="AH9" s="75">
        <v>75880.460000000006</v>
      </c>
      <c r="AI9" s="75">
        <v>66446.2</v>
      </c>
      <c r="AJ9" s="75">
        <v>55426.54</v>
      </c>
      <c r="AK9" s="75">
        <v>71331.97</v>
      </c>
      <c r="AL9" s="75">
        <v>83826.710000000006</v>
      </c>
      <c r="AM9" s="75">
        <v>77638.5</v>
      </c>
      <c r="AN9" s="75">
        <v>91715.5</v>
      </c>
      <c r="AO9" s="75">
        <v>87229.42</v>
      </c>
      <c r="AP9" s="75">
        <v>86424.16</v>
      </c>
      <c r="AQ9" s="75">
        <v>90352.11</v>
      </c>
      <c r="AR9" s="75">
        <v>98204.33</v>
      </c>
      <c r="AS9" s="75">
        <v>263578.90999999997</v>
      </c>
      <c r="AT9" s="72"/>
      <c r="AU9" s="72">
        <v>110.9819787933716</v>
      </c>
    </row>
    <row r="10" spans="1:47" ht="12.75" customHeight="1" x14ac:dyDescent="0.2">
      <c r="A10" s="95" t="s">
        <v>167</v>
      </c>
      <c r="B10" s="62"/>
      <c r="C10" s="54"/>
      <c r="D10" s="54"/>
      <c r="E10" s="63"/>
      <c r="F10" s="64"/>
      <c r="G10" s="65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66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8"/>
      <c r="AT10" s="63"/>
      <c r="AU10" s="63"/>
    </row>
    <row r="11" spans="1:47" ht="12.75" customHeight="1" x14ac:dyDescent="0.2">
      <c r="A11" s="95" t="s">
        <v>168</v>
      </c>
      <c r="B11" s="62"/>
      <c r="C11" s="54"/>
      <c r="D11" s="54"/>
      <c r="E11" s="63"/>
      <c r="F11" s="64"/>
      <c r="G11" s="65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66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66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8"/>
      <c r="AT11" s="63"/>
      <c r="AU11" s="63"/>
    </row>
    <row r="12" spans="1:47" ht="12.75" customHeight="1" x14ac:dyDescent="0.2">
      <c r="A12" s="95" t="s">
        <v>169</v>
      </c>
      <c r="B12" s="62"/>
      <c r="C12" s="54"/>
      <c r="D12" s="54"/>
      <c r="E12" s="63"/>
      <c r="F12" s="64"/>
      <c r="G12" s="65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66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6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8"/>
      <c r="AT12" s="63"/>
      <c r="AU12" s="63"/>
    </row>
    <row r="13" spans="1:47" ht="12.75" customHeight="1" x14ac:dyDescent="0.2">
      <c r="A13" s="95" t="s">
        <v>50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47" ht="12.75" customHeight="1" x14ac:dyDescent="0.2">
      <c r="A14" s="95" t="s">
        <v>170</v>
      </c>
      <c r="B14" s="62"/>
      <c r="C14" s="54"/>
      <c r="D14" s="54"/>
      <c r="E14" s="63"/>
      <c r="F14" s="64"/>
      <c r="G14" s="65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66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66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8"/>
      <c r="AT14" s="63"/>
      <c r="AU14" s="63"/>
    </row>
    <row r="15" spans="1:47" ht="12.75" customHeight="1" x14ac:dyDescent="0.2">
      <c r="A15" s="95" t="s">
        <v>171</v>
      </c>
      <c r="B15" s="62">
        <v>0</v>
      </c>
      <c r="C15" s="54">
        <v>0</v>
      </c>
      <c r="D15" s="54">
        <v>0</v>
      </c>
      <c r="E15" s="63"/>
      <c r="F15" s="64"/>
      <c r="G15" s="65">
        <v>0</v>
      </c>
      <c r="H15" s="54">
        <v>0</v>
      </c>
      <c r="I15" s="54">
        <v>0</v>
      </c>
      <c r="J15" s="54">
        <v>0</v>
      </c>
      <c r="K15" s="54">
        <v>0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66">
        <v>0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66">
        <v>0</v>
      </c>
      <c r="AG15" s="67">
        <v>0</v>
      </c>
      <c r="AH15" s="67">
        <v>0</v>
      </c>
      <c r="AI15" s="67">
        <v>0</v>
      </c>
      <c r="AJ15" s="67">
        <v>0</v>
      </c>
      <c r="AK15" s="67">
        <v>0</v>
      </c>
      <c r="AL15" s="67">
        <v>0</v>
      </c>
      <c r="AM15" s="67">
        <v>0</v>
      </c>
      <c r="AN15" s="67">
        <v>0</v>
      </c>
      <c r="AO15" s="67">
        <v>0</v>
      </c>
      <c r="AP15" s="67">
        <v>0</v>
      </c>
      <c r="AQ15" s="67">
        <v>0</v>
      </c>
      <c r="AR15" s="67">
        <v>0</v>
      </c>
      <c r="AS15" s="68">
        <v>0</v>
      </c>
      <c r="AT15" s="63"/>
      <c r="AU15" s="63"/>
    </row>
    <row r="16" spans="1:47" ht="12.75" customHeight="1" x14ac:dyDescent="0.2">
      <c r="A16" s="95" t="s">
        <v>172</v>
      </c>
      <c r="B16" s="62"/>
      <c r="C16" s="54"/>
      <c r="D16" s="54"/>
      <c r="E16" s="63"/>
      <c r="F16" s="64"/>
      <c r="G16" s="65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66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66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8"/>
      <c r="AT16" s="63"/>
      <c r="AU16" s="63"/>
    </row>
    <row r="17" spans="1:47" ht="12.75" customHeight="1" x14ac:dyDescent="0.2">
      <c r="A17" s="95" t="s">
        <v>173</v>
      </c>
      <c r="B17" s="62">
        <v>0</v>
      </c>
      <c r="C17" s="54">
        <v>0</v>
      </c>
      <c r="D17" s="54">
        <v>146.09</v>
      </c>
      <c r="E17" s="63"/>
      <c r="F17" s="64">
        <v>0</v>
      </c>
      <c r="G17" s="65">
        <v>0</v>
      </c>
      <c r="H17" s="54">
        <v>0</v>
      </c>
      <c r="I17" s="54">
        <v>0</v>
      </c>
      <c r="J17" s="54">
        <v>0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0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197.22</v>
      </c>
      <c r="AH17" s="67">
        <v>197.22</v>
      </c>
      <c r="AI17" s="67">
        <v>197.2</v>
      </c>
      <c r="AJ17" s="67">
        <v>146.09</v>
      </c>
      <c r="AK17" s="67">
        <v>144.69999999999999</v>
      </c>
      <c r="AL17" s="67">
        <v>144.69999999999999</v>
      </c>
      <c r="AM17" s="67">
        <v>95.61</v>
      </c>
      <c r="AN17" s="67">
        <v>49.75</v>
      </c>
      <c r="AO17" s="67">
        <v>0</v>
      </c>
      <c r="AP17" s="67">
        <v>0</v>
      </c>
      <c r="AQ17" s="67">
        <v>0</v>
      </c>
      <c r="AR17" s="67">
        <v>0</v>
      </c>
      <c r="AS17" s="68">
        <v>737.73</v>
      </c>
      <c r="AT17" s="63"/>
      <c r="AU17" s="63">
        <v>0</v>
      </c>
    </row>
    <row r="18" spans="1:47" ht="12.75" customHeight="1" x14ac:dyDescent="0.2">
      <c r="A18" s="95" t="s">
        <v>257</v>
      </c>
      <c r="B18" s="62">
        <v>3334.6</v>
      </c>
      <c r="C18" s="54">
        <v>0</v>
      </c>
      <c r="D18" s="54">
        <v>3127.25</v>
      </c>
      <c r="E18" s="63"/>
      <c r="F18" s="64">
        <v>106.63042609321289</v>
      </c>
      <c r="G18" s="65">
        <v>3383.21</v>
      </c>
      <c r="H18" s="54">
        <v>3383.21</v>
      </c>
      <c r="I18" s="54">
        <v>3381.21</v>
      </c>
      <c r="J18" s="54">
        <v>3334.6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13482.23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2683.6</v>
      </c>
      <c r="AH18" s="67">
        <v>2684.28</v>
      </c>
      <c r="AI18" s="67">
        <v>4175.67</v>
      </c>
      <c r="AJ18" s="67">
        <v>3127.25</v>
      </c>
      <c r="AK18" s="67">
        <v>3254.33</v>
      </c>
      <c r="AL18" s="67">
        <v>3250.13</v>
      </c>
      <c r="AM18" s="67">
        <v>3250.11</v>
      </c>
      <c r="AN18" s="67">
        <v>3243.3</v>
      </c>
      <c r="AO18" s="67">
        <v>3247.66</v>
      </c>
      <c r="AP18" s="67">
        <v>3329.09</v>
      </c>
      <c r="AQ18" s="67">
        <v>3288.28</v>
      </c>
      <c r="AR18" s="67">
        <v>3471.79</v>
      </c>
      <c r="AS18" s="68">
        <v>12670.8</v>
      </c>
      <c r="AT18" s="63"/>
      <c r="AU18" s="63">
        <v>106.40393661015879</v>
      </c>
    </row>
    <row r="19" spans="1:47" ht="12.75" customHeight="1" outlineLevel="1" x14ac:dyDescent="0.2">
      <c r="A19" s="95" t="s">
        <v>109</v>
      </c>
      <c r="B19" s="62">
        <v>0</v>
      </c>
      <c r="C19" s="54">
        <v>0</v>
      </c>
      <c r="D19" s="54">
        <v>0</v>
      </c>
      <c r="E19" s="63"/>
      <c r="F19" s="64"/>
      <c r="G19" s="65">
        <v>555.27</v>
      </c>
      <c r="H19" s="54">
        <v>0</v>
      </c>
      <c r="I19" s="54">
        <v>0</v>
      </c>
      <c r="J19" s="54">
        <v>0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555.27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119.71</v>
      </c>
      <c r="AH19" s="67">
        <v>0</v>
      </c>
      <c r="AI19" s="67">
        <v>0</v>
      </c>
      <c r="AJ19" s="67">
        <v>0</v>
      </c>
      <c r="AK19" s="67">
        <v>0</v>
      </c>
      <c r="AL19" s="67">
        <v>0</v>
      </c>
      <c r="AM19" s="67">
        <v>0</v>
      </c>
      <c r="AN19" s="67">
        <v>185.38</v>
      </c>
      <c r="AO19" s="67">
        <v>0</v>
      </c>
      <c r="AP19" s="67">
        <v>0</v>
      </c>
      <c r="AQ19" s="67">
        <v>0</v>
      </c>
      <c r="AR19" s="67">
        <v>0</v>
      </c>
      <c r="AS19" s="68">
        <v>119.71</v>
      </c>
      <c r="AT19" s="63"/>
      <c r="AU19" s="63">
        <v>463.8459610725921</v>
      </c>
    </row>
    <row r="20" spans="1:47" ht="12.75" customHeight="1" outlineLevel="1" x14ac:dyDescent="0.2">
      <c r="A20" s="95" t="s">
        <v>97</v>
      </c>
      <c r="B20" s="62">
        <v>57</v>
      </c>
      <c r="C20" s="54">
        <v>0</v>
      </c>
      <c r="D20" s="54">
        <v>57</v>
      </c>
      <c r="E20" s="63"/>
      <c r="F20" s="64">
        <v>100</v>
      </c>
      <c r="G20" s="65">
        <v>57</v>
      </c>
      <c r="H20" s="54">
        <v>57</v>
      </c>
      <c r="I20" s="54">
        <v>57</v>
      </c>
      <c r="J20" s="54">
        <v>57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66">
        <v>228</v>
      </c>
      <c r="T20" s="54">
        <v>0</v>
      </c>
      <c r="U20" s="54">
        <v>0</v>
      </c>
      <c r="V20" s="54">
        <v>0</v>
      </c>
      <c r="W20" s="54">
        <v>0</v>
      </c>
      <c r="X20" s="54">
        <v>0</v>
      </c>
      <c r="Y20" s="54">
        <v>0</v>
      </c>
      <c r="Z20" s="54">
        <v>0</v>
      </c>
      <c r="AA20" s="54">
        <v>0</v>
      </c>
      <c r="AB20" s="54">
        <v>0</v>
      </c>
      <c r="AC20" s="54">
        <v>0</v>
      </c>
      <c r="AD20" s="54">
        <v>0</v>
      </c>
      <c r="AE20" s="54">
        <v>0</v>
      </c>
      <c r="AF20" s="66">
        <v>0</v>
      </c>
      <c r="AG20" s="67">
        <v>30</v>
      </c>
      <c r="AH20" s="67">
        <v>30</v>
      </c>
      <c r="AI20" s="67">
        <v>81.489999999999995</v>
      </c>
      <c r="AJ20" s="67">
        <v>57</v>
      </c>
      <c r="AK20" s="67">
        <v>19.829999999999998</v>
      </c>
      <c r="AL20" s="67">
        <v>57</v>
      </c>
      <c r="AM20" s="67">
        <v>57</v>
      </c>
      <c r="AN20" s="67">
        <v>57</v>
      </c>
      <c r="AO20" s="67">
        <v>57</v>
      </c>
      <c r="AP20" s="67">
        <v>57</v>
      </c>
      <c r="AQ20" s="67">
        <v>57</v>
      </c>
      <c r="AR20" s="67">
        <v>57</v>
      </c>
      <c r="AS20" s="68">
        <v>198.49</v>
      </c>
      <c r="AT20" s="63"/>
      <c r="AU20" s="63">
        <v>114.86724772028818</v>
      </c>
    </row>
    <row r="21" spans="1:47" ht="12.75" customHeight="1" outlineLevel="1" x14ac:dyDescent="0.2">
      <c r="A21" s="95" t="s">
        <v>69</v>
      </c>
      <c r="B21" s="62">
        <v>0</v>
      </c>
      <c r="C21" s="54">
        <v>0</v>
      </c>
      <c r="D21" s="54">
        <v>0</v>
      </c>
      <c r="E21" s="63"/>
      <c r="F21" s="64"/>
      <c r="G21" s="65">
        <v>0</v>
      </c>
      <c r="H21" s="54">
        <v>0</v>
      </c>
      <c r="I21" s="54">
        <v>0</v>
      </c>
      <c r="J21" s="54">
        <v>0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66">
        <v>0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4">
        <v>0</v>
      </c>
      <c r="AB21" s="54">
        <v>0</v>
      </c>
      <c r="AC21" s="54">
        <v>0</v>
      </c>
      <c r="AD21" s="54">
        <v>0</v>
      </c>
      <c r="AE21" s="54">
        <v>0</v>
      </c>
      <c r="AF21" s="66">
        <v>0</v>
      </c>
      <c r="AG21" s="67">
        <v>0</v>
      </c>
      <c r="AH21" s="67">
        <v>0</v>
      </c>
      <c r="AI21" s="67">
        <v>0</v>
      </c>
      <c r="AJ21" s="67">
        <v>0</v>
      </c>
      <c r="AK21" s="67">
        <v>0</v>
      </c>
      <c r="AL21" s="67">
        <v>0</v>
      </c>
      <c r="AM21" s="67">
        <v>0</v>
      </c>
      <c r="AN21" s="67">
        <v>0</v>
      </c>
      <c r="AO21" s="67">
        <v>0</v>
      </c>
      <c r="AP21" s="67">
        <v>0</v>
      </c>
      <c r="AQ21" s="67">
        <v>0</v>
      </c>
      <c r="AR21" s="67">
        <v>0</v>
      </c>
      <c r="AS21" s="68">
        <v>0</v>
      </c>
      <c r="AT21" s="63"/>
      <c r="AU21" s="63"/>
    </row>
    <row r="22" spans="1:47" ht="12.75" customHeight="1" x14ac:dyDescent="0.2">
      <c r="A22" s="69" t="s">
        <v>70</v>
      </c>
      <c r="B22" s="70">
        <v>57</v>
      </c>
      <c r="C22" s="71">
        <v>0</v>
      </c>
      <c r="D22" s="71">
        <v>57</v>
      </c>
      <c r="E22" s="72"/>
      <c r="F22" s="73">
        <v>100</v>
      </c>
      <c r="G22" s="70">
        <v>612.27</v>
      </c>
      <c r="H22" s="71">
        <v>57</v>
      </c>
      <c r="I22" s="71">
        <v>57</v>
      </c>
      <c r="J22" s="71">
        <v>57</v>
      </c>
      <c r="K22" s="71">
        <v>0</v>
      </c>
      <c r="L22" s="71">
        <v>0</v>
      </c>
      <c r="M22" s="71">
        <v>0</v>
      </c>
      <c r="N22" s="71">
        <v>0</v>
      </c>
      <c r="O22" s="71">
        <v>0</v>
      </c>
      <c r="P22" s="71">
        <v>0</v>
      </c>
      <c r="Q22" s="71">
        <v>0</v>
      </c>
      <c r="R22" s="71">
        <v>0</v>
      </c>
      <c r="S22" s="71">
        <v>783.27</v>
      </c>
      <c r="T22" s="71">
        <v>0</v>
      </c>
      <c r="U22" s="71">
        <v>0</v>
      </c>
      <c r="V22" s="71">
        <v>0</v>
      </c>
      <c r="W22" s="71">
        <v>0</v>
      </c>
      <c r="X22" s="71">
        <v>0</v>
      </c>
      <c r="Y22" s="71">
        <v>0</v>
      </c>
      <c r="Z22" s="71">
        <v>0</v>
      </c>
      <c r="AA22" s="71">
        <v>0</v>
      </c>
      <c r="AB22" s="71">
        <v>0</v>
      </c>
      <c r="AC22" s="71">
        <v>0</v>
      </c>
      <c r="AD22" s="71">
        <v>0</v>
      </c>
      <c r="AE22" s="71">
        <v>0</v>
      </c>
      <c r="AF22" s="71">
        <v>0</v>
      </c>
      <c r="AG22" s="75">
        <v>149.71</v>
      </c>
      <c r="AH22" s="75">
        <v>30</v>
      </c>
      <c r="AI22" s="75">
        <v>81.489999999999995</v>
      </c>
      <c r="AJ22" s="75">
        <v>57</v>
      </c>
      <c r="AK22" s="75">
        <v>19.829999999999998</v>
      </c>
      <c r="AL22" s="75">
        <v>57</v>
      </c>
      <c r="AM22" s="75">
        <v>57</v>
      </c>
      <c r="AN22" s="75">
        <v>242.38</v>
      </c>
      <c r="AO22" s="75">
        <v>57</v>
      </c>
      <c r="AP22" s="75">
        <v>57</v>
      </c>
      <c r="AQ22" s="75">
        <v>57</v>
      </c>
      <c r="AR22" s="75">
        <v>57</v>
      </c>
      <c r="AS22" s="75">
        <v>318.2</v>
      </c>
      <c r="AT22" s="72"/>
      <c r="AU22" s="72">
        <v>246.15650534255187</v>
      </c>
    </row>
    <row r="23" spans="1:47" ht="12.75" customHeight="1" outlineLevel="1" x14ac:dyDescent="0.2">
      <c r="A23" s="95" t="s">
        <v>174</v>
      </c>
      <c r="B23" s="62">
        <v>0</v>
      </c>
      <c r="C23" s="54">
        <v>0</v>
      </c>
      <c r="D23" s="54">
        <v>0</v>
      </c>
      <c r="E23" s="63"/>
      <c r="F23" s="64"/>
      <c r="G23" s="65">
        <v>0</v>
      </c>
      <c r="H23" s="54">
        <v>21.42</v>
      </c>
      <c r="I23" s="54">
        <v>0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21.42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0</v>
      </c>
      <c r="AH23" s="67">
        <v>53</v>
      </c>
      <c r="AI23" s="98">
        <v>-224</v>
      </c>
      <c r="AJ23" s="67">
        <v>0</v>
      </c>
      <c r="AK23" s="67">
        <v>20.74</v>
      </c>
      <c r="AL23" s="67">
        <v>0</v>
      </c>
      <c r="AM23" s="67">
        <v>0</v>
      </c>
      <c r="AN23" s="67">
        <v>21.01</v>
      </c>
      <c r="AO23" s="67">
        <v>0</v>
      </c>
      <c r="AP23" s="67">
        <v>0</v>
      </c>
      <c r="AQ23" s="67">
        <v>21.42</v>
      </c>
      <c r="AR23" s="67">
        <v>0</v>
      </c>
      <c r="AS23" s="99">
        <v>-171</v>
      </c>
      <c r="AT23" s="63"/>
      <c r="AU23" s="63">
        <v>-12.526315789473685</v>
      </c>
    </row>
    <row r="24" spans="1:47" ht="12.75" customHeight="1" outlineLevel="1" x14ac:dyDescent="0.2">
      <c r="A24" s="95" t="s">
        <v>99</v>
      </c>
      <c r="B24" s="62">
        <v>534.54</v>
      </c>
      <c r="C24" s="54">
        <v>0</v>
      </c>
      <c r="D24" s="54">
        <v>705.75</v>
      </c>
      <c r="E24" s="63"/>
      <c r="F24" s="64">
        <v>75.740701381509027</v>
      </c>
      <c r="G24" s="65">
        <v>693.62</v>
      </c>
      <c r="H24" s="54">
        <v>455.27</v>
      </c>
      <c r="I24" s="54">
        <v>458.72</v>
      </c>
      <c r="J24" s="54">
        <v>534.54</v>
      </c>
      <c r="K24" s="56">
        <v>-281.31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2142.15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719.39</v>
      </c>
      <c r="AH24" s="67">
        <v>997.69</v>
      </c>
      <c r="AI24" s="98">
        <v>-175.1</v>
      </c>
      <c r="AJ24" s="67">
        <v>705.75</v>
      </c>
      <c r="AK24" s="67">
        <v>911.2</v>
      </c>
      <c r="AL24" s="67">
        <v>1148.77</v>
      </c>
      <c r="AM24" s="67">
        <v>91.13</v>
      </c>
      <c r="AN24" s="67">
        <v>347.67</v>
      </c>
      <c r="AO24" s="67">
        <v>370.12</v>
      </c>
      <c r="AP24" s="67">
        <v>82.18</v>
      </c>
      <c r="AQ24" s="67">
        <v>563.72</v>
      </c>
      <c r="AR24" s="67">
        <v>0</v>
      </c>
      <c r="AS24" s="68">
        <v>2247.73</v>
      </c>
      <c r="AT24" s="63"/>
      <c r="AU24" s="63">
        <v>95.302816619433827</v>
      </c>
    </row>
    <row r="25" spans="1:47" ht="12.75" customHeight="1" outlineLevel="1" x14ac:dyDescent="0.2">
      <c r="A25" s="95" t="s">
        <v>175</v>
      </c>
      <c r="B25" s="62">
        <v>27.83</v>
      </c>
      <c r="C25" s="54">
        <v>0</v>
      </c>
      <c r="D25" s="54">
        <v>0</v>
      </c>
      <c r="E25" s="63"/>
      <c r="F25" s="64"/>
      <c r="G25" s="65">
        <v>0</v>
      </c>
      <c r="H25" s="54">
        <v>32.340000000000003</v>
      </c>
      <c r="I25" s="54">
        <v>1.74</v>
      </c>
      <c r="J25" s="54">
        <v>27.83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61.91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0</v>
      </c>
      <c r="AH25" s="67">
        <v>74.66</v>
      </c>
      <c r="AI25" s="98">
        <v>-162.96</v>
      </c>
      <c r="AJ25" s="67">
        <v>0</v>
      </c>
      <c r="AK25" s="67">
        <v>26.87</v>
      </c>
      <c r="AL25" s="67">
        <v>0</v>
      </c>
      <c r="AM25" s="67">
        <v>27.64</v>
      </c>
      <c r="AN25" s="67">
        <v>1.03</v>
      </c>
      <c r="AO25" s="67">
        <v>30.32</v>
      </c>
      <c r="AP25" s="67">
        <v>0</v>
      </c>
      <c r="AQ25" s="67">
        <v>34.61</v>
      </c>
      <c r="AR25" s="67">
        <v>2.15</v>
      </c>
      <c r="AS25" s="99">
        <v>-88.3</v>
      </c>
      <c r="AT25" s="63"/>
      <c r="AU25" s="63">
        <v>-70.113250283125709</v>
      </c>
    </row>
    <row r="26" spans="1:47" ht="12.75" customHeight="1" outlineLevel="1" x14ac:dyDescent="0.2">
      <c r="A26" s="95" t="s">
        <v>100</v>
      </c>
      <c r="B26" s="62">
        <v>351.66</v>
      </c>
      <c r="C26" s="54">
        <v>0</v>
      </c>
      <c r="D26" s="54">
        <v>379.8</v>
      </c>
      <c r="E26" s="63"/>
      <c r="F26" s="64">
        <v>92.590837282780413</v>
      </c>
      <c r="G26" s="65">
        <v>654.54999999999995</v>
      </c>
      <c r="H26" s="54">
        <v>540.08000000000004</v>
      </c>
      <c r="I26" s="54">
        <v>467.02</v>
      </c>
      <c r="J26" s="54">
        <v>351.66</v>
      </c>
      <c r="K26" s="56">
        <v>-437.49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2013.31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588.6</v>
      </c>
      <c r="AH26" s="67">
        <v>450.32</v>
      </c>
      <c r="AI26" s="67">
        <v>1035.1500000000001</v>
      </c>
      <c r="AJ26" s="67">
        <v>379.8</v>
      </c>
      <c r="AK26" s="67">
        <v>338.87</v>
      </c>
      <c r="AL26" s="67">
        <v>214.69</v>
      </c>
      <c r="AM26" s="67">
        <v>169.57</v>
      </c>
      <c r="AN26" s="67">
        <v>544.97</v>
      </c>
      <c r="AO26" s="67">
        <v>113.69</v>
      </c>
      <c r="AP26" s="98">
        <v>-380.38</v>
      </c>
      <c r="AQ26" s="67">
        <v>795.67</v>
      </c>
      <c r="AR26" s="98">
        <v>-652.5</v>
      </c>
      <c r="AS26" s="68">
        <v>2453.87</v>
      </c>
      <c r="AT26" s="63"/>
      <c r="AU26" s="63">
        <v>82.046318672138298</v>
      </c>
    </row>
    <row r="27" spans="1:47" ht="12.75" customHeight="1" outlineLevel="1" x14ac:dyDescent="0.2">
      <c r="A27" s="95" t="s">
        <v>101</v>
      </c>
      <c r="B27" s="62">
        <v>49.56</v>
      </c>
      <c r="C27" s="54">
        <v>0</v>
      </c>
      <c r="D27" s="54">
        <v>228.27</v>
      </c>
      <c r="E27" s="63"/>
      <c r="F27" s="64">
        <v>21.711131554737811</v>
      </c>
      <c r="G27" s="65">
        <v>86.72</v>
      </c>
      <c r="H27" s="54">
        <v>612.76</v>
      </c>
      <c r="I27" s="54">
        <v>74.12</v>
      </c>
      <c r="J27" s="54">
        <v>49.56</v>
      </c>
      <c r="K27" s="56">
        <v>-49.12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823.16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75.8</v>
      </c>
      <c r="AH27" s="67">
        <v>637.6</v>
      </c>
      <c r="AI27" s="67">
        <v>128.88999999999999</v>
      </c>
      <c r="AJ27" s="67">
        <v>228.27</v>
      </c>
      <c r="AK27" s="67">
        <v>66</v>
      </c>
      <c r="AL27" s="67">
        <v>53.42</v>
      </c>
      <c r="AM27" s="67">
        <v>12.5</v>
      </c>
      <c r="AN27" s="67">
        <v>290.91000000000003</v>
      </c>
      <c r="AO27" s="67">
        <v>377.47</v>
      </c>
      <c r="AP27" s="67">
        <v>56.4</v>
      </c>
      <c r="AQ27" s="67">
        <v>0</v>
      </c>
      <c r="AR27" s="67">
        <v>198.98</v>
      </c>
      <c r="AS27" s="68">
        <v>1070.56</v>
      </c>
      <c r="AT27" s="63"/>
      <c r="AU27" s="63">
        <v>76.890599312509337</v>
      </c>
    </row>
    <row r="28" spans="1:47" ht="12.75" customHeight="1" outlineLevel="1" x14ac:dyDescent="0.2">
      <c r="A28" s="95" t="s">
        <v>176</v>
      </c>
      <c r="B28" s="62">
        <v>588.17999999999995</v>
      </c>
      <c r="C28" s="54">
        <v>0</v>
      </c>
      <c r="D28" s="54">
        <v>0</v>
      </c>
      <c r="E28" s="63"/>
      <c r="F28" s="64"/>
      <c r="G28" s="65">
        <v>679.97</v>
      </c>
      <c r="H28" s="54">
        <v>575.77</v>
      </c>
      <c r="I28" s="54">
        <v>555.30999999999995</v>
      </c>
      <c r="J28" s="54">
        <v>588.17999999999995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2399.23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739.15</v>
      </c>
      <c r="AH28" s="67">
        <v>739.15</v>
      </c>
      <c r="AI28" s="67">
        <v>659.06</v>
      </c>
      <c r="AJ28" s="67">
        <v>0</v>
      </c>
      <c r="AK28" s="67">
        <v>431.82</v>
      </c>
      <c r="AL28" s="67">
        <v>431.82</v>
      </c>
      <c r="AM28" s="67">
        <v>1551.87</v>
      </c>
      <c r="AN28" s="67">
        <v>1130.69</v>
      </c>
      <c r="AO28" s="67">
        <v>0</v>
      </c>
      <c r="AP28" s="67">
        <v>0</v>
      </c>
      <c r="AQ28" s="67">
        <v>1427.79</v>
      </c>
      <c r="AR28" s="67">
        <v>737.04</v>
      </c>
      <c r="AS28" s="68">
        <v>2137.36</v>
      </c>
      <c r="AT28" s="63"/>
      <c r="AU28" s="63">
        <v>112.25203054235131</v>
      </c>
    </row>
    <row r="29" spans="1:47" ht="12.75" customHeight="1" outlineLevel="1" x14ac:dyDescent="0.2">
      <c r="A29" s="95" t="s">
        <v>102</v>
      </c>
      <c r="B29" s="62">
        <v>465.59</v>
      </c>
      <c r="C29" s="54">
        <v>0</v>
      </c>
      <c r="D29" s="54">
        <v>465.21</v>
      </c>
      <c r="E29" s="63"/>
      <c r="F29" s="64">
        <v>100.08168354076653</v>
      </c>
      <c r="G29" s="65">
        <v>465.58</v>
      </c>
      <c r="H29" s="54">
        <v>457.56</v>
      </c>
      <c r="I29" s="54">
        <v>457.56</v>
      </c>
      <c r="J29" s="54">
        <v>465.59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1846.29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431</v>
      </c>
      <c r="AH29" s="67">
        <v>457.56</v>
      </c>
      <c r="AI29" s="67">
        <v>457.56</v>
      </c>
      <c r="AJ29" s="67">
        <v>465.21</v>
      </c>
      <c r="AK29" s="67">
        <v>457.56</v>
      </c>
      <c r="AL29" s="67">
        <v>602.55999999999995</v>
      </c>
      <c r="AM29" s="67">
        <v>312.56</v>
      </c>
      <c r="AN29" s="67">
        <v>457.56</v>
      </c>
      <c r="AO29" s="67">
        <v>457.56</v>
      </c>
      <c r="AP29" s="67">
        <v>457.56</v>
      </c>
      <c r="AQ29" s="67">
        <v>465.21</v>
      </c>
      <c r="AR29" s="67">
        <v>457.56</v>
      </c>
      <c r="AS29" s="68">
        <v>1811.33</v>
      </c>
      <c r="AT29" s="63"/>
      <c r="AU29" s="63">
        <v>101.93007348191661</v>
      </c>
    </row>
    <row r="30" spans="1:47" ht="12.75" customHeight="1" outlineLevel="1" x14ac:dyDescent="0.2">
      <c r="A30" s="95" t="s">
        <v>75</v>
      </c>
      <c r="B30" s="62">
        <v>266.89999999999998</v>
      </c>
      <c r="C30" s="54">
        <v>0</v>
      </c>
      <c r="D30" s="54">
        <v>0</v>
      </c>
      <c r="E30" s="63"/>
      <c r="F30" s="64"/>
      <c r="G30" s="65">
        <v>0</v>
      </c>
      <c r="H30" s="54">
        <v>38.950000000000003</v>
      </c>
      <c r="I30" s="54">
        <v>38.950000000000003</v>
      </c>
      <c r="J30" s="54">
        <v>266.89999999999998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344.8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0</v>
      </c>
      <c r="AH30" s="67">
        <v>0</v>
      </c>
      <c r="AI30" s="67">
        <v>0</v>
      </c>
      <c r="AJ30" s="67">
        <v>0</v>
      </c>
      <c r="AK30" s="67">
        <v>0</v>
      </c>
      <c r="AL30" s="67">
        <v>316.61</v>
      </c>
      <c r="AM30" s="67">
        <v>1739.01</v>
      </c>
      <c r="AN30" s="67">
        <v>32.130000000000003</v>
      </c>
      <c r="AO30" s="67">
        <v>32.130000000000003</v>
      </c>
      <c r="AP30" s="67">
        <v>32.130000000000003</v>
      </c>
      <c r="AQ30" s="67">
        <v>32.130000000000003</v>
      </c>
      <c r="AR30" s="67">
        <v>32.130000000000003</v>
      </c>
      <c r="AS30" s="68">
        <v>0</v>
      </c>
      <c r="AT30" s="63"/>
      <c r="AU30" s="63"/>
    </row>
    <row r="31" spans="1:47" ht="12.75" customHeight="1" outlineLevel="1" x14ac:dyDescent="0.2">
      <c r="A31" s="95" t="s">
        <v>76</v>
      </c>
      <c r="B31" s="62">
        <v>537.38</v>
      </c>
      <c r="C31" s="54">
        <v>0</v>
      </c>
      <c r="D31" s="54">
        <v>354.47</v>
      </c>
      <c r="E31" s="63"/>
      <c r="F31" s="64">
        <v>151.60098174739753</v>
      </c>
      <c r="G31" s="65">
        <v>729.6</v>
      </c>
      <c r="H31" s="54">
        <v>162.47999999999999</v>
      </c>
      <c r="I31" s="54">
        <v>691.09</v>
      </c>
      <c r="J31" s="54">
        <v>537.38</v>
      </c>
      <c r="K31" s="56">
        <v>-645.29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2120.5500000000002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252.52</v>
      </c>
      <c r="AH31" s="67">
        <v>653.45000000000005</v>
      </c>
      <c r="AI31" s="67">
        <v>326.64999999999998</v>
      </c>
      <c r="AJ31" s="67">
        <v>354.47</v>
      </c>
      <c r="AK31" s="67">
        <v>390.8</v>
      </c>
      <c r="AL31" s="67">
        <v>3121.61</v>
      </c>
      <c r="AM31" s="98">
        <v>-2686.72</v>
      </c>
      <c r="AN31" s="67">
        <v>202.5</v>
      </c>
      <c r="AO31" s="67">
        <v>757.51</v>
      </c>
      <c r="AP31" s="67">
        <v>161.72</v>
      </c>
      <c r="AQ31" s="67">
        <v>571.63</v>
      </c>
      <c r="AR31" s="98">
        <v>-3.75</v>
      </c>
      <c r="AS31" s="68">
        <v>1587.09</v>
      </c>
      <c r="AT31" s="63"/>
      <c r="AU31" s="63">
        <v>133.61246054099013</v>
      </c>
    </row>
    <row r="32" spans="1:47" ht="12.75" customHeight="1" outlineLevel="1" x14ac:dyDescent="0.2">
      <c r="A32" s="95" t="s">
        <v>77</v>
      </c>
      <c r="B32" s="62">
        <v>80</v>
      </c>
      <c r="C32" s="54">
        <v>0</v>
      </c>
      <c r="D32" s="54">
        <v>80</v>
      </c>
      <c r="E32" s="63"/>
      <c r="F32" s="64">
        <v>100</v>
      </c>
      <c r="G32" s="65">
        <v>80</v>
      </c>
      <c r="H32" s="54">
        <v>80</v>
      </c>
      <c r="I32" s="54">
        <v>80</v>
      </c>
      <c r="J32" s="54">
        <v>80</v>
      </c>
      <c r="K32" s="54">
        <v>0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66">
        <v>320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66">
        <v>0</v>
      </c>
      <c r="AG32" s="67">
        <v>63.34</v>
      </c>
      <c r="AH32" s="67">
        <v>63.34</v>
      </c>
      <c r="AI32" s="67">
        <v>150</v>
      </c>
      <c r="AJ32" s="67">
        <v>80</v>
      </c>
      <c r="AK32" s="67">
        <v>80</v>
      </c>
      <c r="AL32" s="67">
        <v>80</v>
      </c>
      <c r="AM32" s="67">
        <v>80</v>
      </c>
      <c r="AN32" s="67">
        <v>80</v>
      </c>
      <c r="AO32" s="67">
        <v>80</v>
      </c>
      <c r="AP32" s="67">
        <v>80</v>
      </c>
      <c r="AQ32" s="67">
        <v>80</v>
      </c>
      <c r="AR32" s="67">
        <v>80</v>
      </c>
      <c r="AS32" s="68">
        <v>356.68</v>
      </c>
      <c r="AT32" s="63"/>
      <c r="AU32" s="63">
        <v>89.716272288886401</v>
      </c>
    </row>
    <row r="33" spans="1:47" ht="12.75" customHeight="1" x14ac:dyDescent="0.2">
      <c r="A33" s="69" t="s">
        <v>177</v>
      </c>
      <c r="B33" s="70">
        <v>2901.64</v>
      </c>
      <c r="C33" s="71">
        <v>0</v>
      </c>
      <c r="D33" s="71">
        <v>2213.5</v>
      </c>
      <c r="E33" s="72"/>
      <c r="F33" s="73">
        <v>131.0883216625254</v>
      </c>
      <c r="G33" s="70">
        <v>3390.04</v>
      </c>
      <c r="H33" s="71">
        <v>2976.63</v>
      </c>
      <c r="I33" s="71">
        <v>2824.51</v>
      </c>
      <c r="J33" s="71">
        <v>2901.64</v>
      </c>
      <c r="K33" s="74">
        <v>-1413.21</v>
      </c>
      <c r="L33" s="71">
        <v>0</v>
      </c>
      <c r="M33" s="71">
        <v>0</v>
      </c>
      <c r="N33" s="71">
        <v>0</v>
      </c>
      <c r="O33" s="71">
        <v>0</v>
      </c>
      <c r="P33" s="71">
        <v>0</v>
      </c>
      <c r="Q33" s="71">
        <v>0</v>
      </c>
      <c r="R33" s="71">
        <v>0</v>
      </c>
      <c r="S33" s="71">
        <v>12092.82</v>
      </c>
      <c r="T33" s="71">
        <v>0</v>
      </c>
      <c r="U33" s="71">
        <v>0</v>
      </c>
      <c r="V33" s="71">
        <v>0</v>
      </c>
      <c r="W33" s="71">
        <v>0</v>
      </c>
      <c r="X33" s="71">
        <v>0</v>
      </c>
      <c r="Y33" s="71">
        <v>0</v>
      </c>
      <c r="Z33" s="71">
        <v>0</v>
      </c>
      <c r="AA33" s="71">
        <v>0</v>
      </c>
      <c r="AB33" s="71">
        <v>0</v>
      </c>
      <c r="AC33" s="71">
        <v>0</v>
      </c>
      <c r="AD33" s="71">
        <v>0</v>
      </c>
      <c r="AE33" s="71">
        <v>0</v>
      </c>
      <c r="AF33" s="71">
        <v>0</v>
      </c>
      <c r="AG33" s="75">
        <v>2869.8</v>
      </c>
      <c r="AH33" s="75">
        <v>4126.7700000000004</v>
      </c>
      <c r="AI33" s="75">
        <v>2195.25</v>
      </c>
      <c r="AJ33" s="75">
        <v>2213.5</v>
      </c>
      <c r="AK33" s="75">
        <v>2723.86</v>
      </c>
      <c r="AL33" s="75">
        <v>5969.48</v>
      </c>
      <c r="AM33" s="75">
        <v>1297.56</v>
      </c>
      <c r="AN33" s="75">
        <v>3108.47</v>
      </c>
      <c r="AO33" s="75">
        <v>2218.8000000000002</v>
      </c>
      <c r="AP33" s="75">
        <v>489.61</v>
      </c>
      <c r="AQ33" s="75">
        <v>3992.18</v>
      </c>
      <c r="AR33" s="75">
        <v>851.61</v>
      </c>
      <c r="AS33" s="75">
        <v>11405.32</v>
      </c>
      <c r="AT33" s="72"/>
      <c r="AU33" s="72">
        <v>106.0278887396408</v>
      </c>
    </row>
    <row r="34" spans="1:47" ht="12.75" customHeight="1" outlineLevel="1" x14ac:dyDescent="0.2">
      <c r="A34" s="95" t="s">
        <v>178</v>
      </c>
      <c r="B34" s="62">
        <v>0</v>
      </c>
      <c r="C34" s="54">
        <v>0</v>
      </c>
      <c r="D34" s="54">
        <v>0</v>
      </c>
      <c r="E34" s="63"/>
      <c r="F34" s="64"/>
      <c r="G34" s="65">
        <v>0</v>
      </c>
      <c r="H34" s="54">
        <v>0</v>
      </c>
      <c r="I34" s="54">
        <v>0</v>
      </c>
      <c r="J34" s="54">
        <v>0</v>
      </c>
      <c r="K34" s="54">
        <v>0</v>
      </c>
      <c r="L34" s="54">
        <v>0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66">
        <v>0</v>
      </c>
      <c r="T34" s="54">
        <v>0</v>
      </c>
      <c r="U34" s="54">
        <v>0</v>
      </c>
      <c r="V34" s="54">
        <v>0</v>
      </c>
      <c r="W34" s="54">
        <v>0</v>
      </c>
      <c r="X34" s="54">
        <v>0</v>
      </c>
      <c r="Y34" s="54">
        <v>0</v>
      </c>
      <c r="Z34" s="54">
        <v>0</v>
      </c>
      <c r="AA34" s="54">
        <v>0</v>
      </c>
      <c r="AB34" s="54">
        <v>0</v>
      </c>
      <c r="AC34" s="54">
        <v>0</v>
      </c>
      <c r="AD34" s="54">
        <v>0</v>
      </c>
      <c r="AE34" s="54">
        <v>0</v>
      </c>
      <c r="AF34" s="66">
        <v>0</v>
      </c>
      <c r="AG34" s="67">
        <v>0</v>
      </c>
      <c r="AH34" s="67">
        <v>0</v>
      </c>
      <c r="AI34" s="67">
        <v>0</v>
      </c>
      <c r="AJ34" s="67">
        <v>0</v>
      </c>
      <c r="AK34" s="67">
        <v>0</v>
      </c>
      <c r="AL34" s="67">
        <v>0</v>
      </c>
      <c r="AM34" s="67">
        <v>783.23</v>
      </c>
      <c r="AN34" s="98">
        <v>-783.23</v>
      </c>
      <c r="AO34" s="67">
        <v>0</v>
      </c>
      <c r="AP34" s="67">
        <v>0</v>
      </c>
      <c r="AQ34" s="67">
        <v>0</v>
      </c>
      <c r="AR34" s="67">
        <v>0</v>
      </c>
      <c r="AS34" s="68">
        <v>0</v>
      </c>
      <c r="AT34" s="63"/>
      <c r="AU34" s="63"/>
    </row>
    <row r="35" spans="1:47" ht="12.75" customHeight="1" outlineLevel="1" x14ac:dyDescent="0.2">
      <c r="A35" s="95" t="s">
        <v>179</v>
      </c>
      <c r="B35" s="62">
        <v>40.6</v>
      </c>
      <c r="C35" s="54">
        <v>0</v>
      </c>
      <c r="D35" s="54">
        <v>87.23</v>
      </c>
      <c r="E35" s="63"/>
      <c r="F35" s="64">
        <v>46.543620314112118</v>
      </c>
      <c r="G35" s="65">
        <v>40.6</v>
      </c>
      <c r="H35" s="54">
        <v>40.6</v>
      </c>
      <c r="I35" s="54">
        <v>40.6</v>
      </c>
      <c r="J35" s="54">
        <v>40.6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162.4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11</v>
      </c>
      <c r="AH35" s="67">
        <v>11</v>
      </c>
      <c r="AI35" s="67">
        <v>73.42</v>
      </c>
      <c r="AJ35" s="67">
        <v>87.23</v>
      </c>
      <c r="AK35" s="67">
        <v>11</v>
      </c>
      <c r="AL35" s="67">
        <v>11</v>
      </c>
      <c r="AM35" s="67">
        <v>11</v>
      </c>
      <c r="AN35" s="67">
        <v>11</v>
      </c>
      <c r="AO35" s="67">
        <v>270.35000000000002</v>
      </c>
      <c r="AP35" s="67">
        <v>40.6</v>
      </c>
      <c r="AQ35" s="67">
        <v>40.6</v>
      </c>
      <c r="AR35" s="67">
        <v>40.6</v>
      </c>
      <c r="AS35" s="68">
        <v>182.65</v>
      </c>
      <c r="AT35" s="63"/>
      <c r="AU35" s="63">
        <v>88.913222009307418</v>
      </c>
    </row>
    <row r="36" spans="1:47" ht="12.75" customHeight="1" outlineLevel="1" x14ac:dyDescent="0.2">
      <c r="A36" s="95" t="s">
        <v>180</v>
      </c>
      <c r="B36" s="62">
        <v>0</v>
      </c>
      <c r="C36" s="54">
        <v>0</v>
      </c>
      <c r="D36" s="54">
        <v>168.64</v>
      </c>
      <c r="E36" s="63"/>
      <c r="F36" s="64">
        <v>0</v>
      </c>
      <c r="G36" s="65">
        <v>704.9</v>
      </c>
      <c r="H36" s="54">
        <v>917.28</v>
      </c>
      <c r="I36" s="54">
        <v>2029.07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3651.25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>
        <v>187.27</v>
      </c>
      <c r="AH36" s="98">
        <v>-127.27</v>
      </c>
      <c r="AI36" s="67">
        <v>4624.84</v>
      </c>
      <c r="AJ36" s="67">
        <v>168.64</v>
      </c>
      <c r="AK36" s="67">
        <v>816.69</v>
      </c>
      <c r="AL36" s="67">
        <v>2619.96</v>
      </c>
      <c r="AM36" s="67">
        <v>1245.32</v>
      </c>
      <c r="AN36" s="67">
        <v>7376.67</v>
      </c>
      <c r="AO36" s="98">
        <v>-5421.96</v>
      </c>
      <c r="AP36" s="67">
        <v>3440.24</v>
      </c>
      <c r="AQ36" s="98">
        <v>-209.09</v>
      </c>
      <c r="AR36" s="67">
        <v>10232.75</v>
      </c>
      <c r="AS36" s="68">
        <v>4853.4799999999996</v>
      </c>
      <c r="AT36" s="63"/>
      <c r="AU36" s="63">
        <v>75.229526030806767</v>
      </c>
    </row>
    <row r="37" spans="1:47" ht="12.75" customHeight="1" outlineLevel="1" x14ac:dyDescent="0.2">
      <c r="A37" s="95" t="s">
        <v>181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0</v>
      </c>
      <c r="AM37" s="67">
        <v>0</v>
      </c>
      <c r="AN37" s="67">
        <v>0</v>
      </c>
      <c r="AO37" s="67">
        <v>0</v>
      </c>
      <c r="AP37" s="67">
        <v>0</v>
      </c>
      <c r="AQ37" s="67">
        <v>0</v>
      </c>
      <c r="AR37" s="67">
        <v>0</v>
      </c>
      <c r="AS37" s="68">
        <v>0</v>
      </c>
      <c r="AT37" s="63"/>
      <c r="AU37" s="63"/>
    </row>
    <row r="38" spans="1:47" ht="12.75" customHeight="1" outlineLevel="1" x14ac:dyDescent="0.2">
      <c r="A38" s="95" t="s">
        <v>182</v>
      </c>
      <c r="B38" s="62">
        <v>147.35</v>
      </c>
      <c r="C38" s="54">
        <v>0</v>
      </c>
      <c r="D38" s="54">
        <v>710.96</v>
      </c>
      <c r="E38" s="63"/>
      <c r="F38" s="64">
        <v>20.725497918307639</v>
      </c>
      <c r="G38" s="65">
        <v>1012.21</v>
      </c>
      <c r="H38" s="54">
        <v>876.05</v>
      </c>
      <c r="I38" s="54">
        <v>1712.83</v>
      </c>
      <c r="J38" s="54">
        <v>147.35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3748.44</v>
      </c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0</v>
      </c>
      <c r="Z38" s="54">
        <v>0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66">
        <v>0</v>
      </c>
      <c r="AG38" s="67">
        <v>0</v>
      </c>
      <c r="AH38" s="67">
        <v>413.33</v>
      </c>
      <c r="AI38" s="67">
        <v>0</v>
      </c>
      <c r="AJ38" s="67">
        <v>710.96</v>
      </c>
      <c r="AK38" s="67">
        <v>7.3</v>
      </c>
      <c r="AL38" s="67">
        <v>2381.1799999999998</v>
      </c>
      <c r="AM38" s="67">
        <v>1240.24</v>
      </c>
      <c r="AN38" s="67">
        <v>0</v>
      </c>
      <c r="AO38" s="67">
        <v>28.47</v>
      </c>
      <c r="AP38" s="67">
        <v>4210.3599999999997</v>
      </c>
      <c r="AQ38" s="67">
        <v>267.08999999999997</v>
      </c>
      <c r="AR38" s="67">
        <v>2902.35</v>
      </c>
      <c r="AS38" s="68">
        <v>1124.29</v>
      </c>
      <c r="AT38" s="63"/>
      <c r="AU38" s="63">
        <v>333.40508231861884</v>
      </c>
    </row>
    <row r="39" spans="1:47" ht="12.75" customHeight="1" outlineLevel="1" x14ac:dyDescent="0.2">
      <c r="A39" s="95" t="s">
        <v>183</v>
      </c>
      <c r="B39" s="62">
        <v>865.82</v>
      </c>
      <c r="C39" s="54">
        <v>0</v>
      </c>
      <c r="D39" s="54">
        <v>0</v>
      </c>
      <c r="E39" s="63"/>
      <c r="F39" s="64"/>
      <c r="G39" s="97">
        <v>-3365.25</v>
      </c>
      <c r="H39" s="54">
        <v>551.55999999999995</v>
      </c>
      <c r="I39" s="56">
        <v>-810.47</v>
      </c>
      <c r="J39" s="54">
        <v>865.82</v>
      </c>
      <c r="K39" s="56">
        <v>-3060.88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76">
        <v>-2758.34</v>
      </c>
      <c r="T39" s="54">
        <v>0</v>
      </c>
      <c r="U39" s="54">
        <v>0</v>
      </c>
      <c r="V39" s="54">
        <v>0</v>
      </c>
      <c r="W39" s="54">
        <v>0</v>
      </c>
      <c r="X39" s="54">
        <v>0</v>
      </c>
      <c r="Y39" s="54">
        <v>0</v>
      </c>
      <c r="Z39" s="54">
        <v>0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66">
        <v>0</v>
      </c>
      <c r="AG39" s="67">
        <v>0</v>
      </c>
      <c r="AH39" s="67">
        <v>0</v>
      </c>
      <c r="AI39" s="67">
        <v>0</v>
      </c>
      <c r="AJ39" s="67">
        <v>0</v>
      </c>
      <c r="AK39" s="67">
        <v>2392.65</v>
      </c>
      <c r="AL39" s="67">
        <v>0</v>
      </c>
      <c r="AM39" s="67">
        <v>0</v>
      </c>
      <c r="AN39" s="67">
        <v>0</v>
      </c>
      <c r="AO39" s="67">
        <v>5241.59</v>
      </c>
      <c r="AP39" s="67">
        <v>6946.5</v>
      </c>
      <c r="AQ39" s="67">
        <v>978.24</v>
      </c>
      <c r="AR39" s="98">
        <v>-5130.72</v>
      </c>
      <c r="AS39" s="68">
        <v>0</v>
      </c>
      <c r="AT39" s="63"/>
      <c r="AU39" s="63"/>
    </row>
    <row r="40" spans="1:47" ht="12.75" customHeight="1" outlineLevel="1" x14ac:dyDescent="0.2">
      <c r="A40" s="95" t="s">
        <v>184</v>
      </c>
      <c r="B40" s="96">
        <v>-211.65</v>
      </c>
      <c r="C40" s="54">
        <v>0</v>
      </c>
      <c r="D40" s="54">
        <v>0</v>
      </c>
      <c r="E40" s="63"/>
      <c r="F40" s="64"/>
      <c r="G40" s="65">
        <v>1651.63</v>
      </c>
      <c r="H40" s="56">
        <v>-30.66</v>
      </c>
      <c r="I40" s="54">
        <v>2113.89</v>
      </c>
      <c r="J40" s="56">
        <v>-211.65</v>
      </c>
      <c r="K40" s="54">
        <v>0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66">
        <v>3523.21</v>
      </c>
      <c r="T40" s="54">
        <v>0</v>
      </c>
      <c r="U40" s="54">
        <v>0</v>
      </c>
      <c r="V40" s="54">
        <v>0</v>
      </c>
      <c r="W40" s="54">
        <v>0</v>
      </c>
      <c r="X40" s="54">
        <v>0</v>
      </c>
      <c r="Y40" s="54">
        <v>0</v>
      </c>
      <c r="Z40" s="54">
        <v>0</v>
      </c>
      <c r="AA40" s="54">
        <v>0</v>
      </c>
      <c r="AB40" s="54">
        <v>0</v>
      </c>
      <c r="AC40" s="54">
        <v>0</v>
      </c>
      <c r="AD40" s="54">
        <v>0</v>
      </c>
      <c r="AE40" s="54">
        <v>0</v>
      </c>
      <c r="AF40" s="66">
        <v>0</v>
      </c>
      <c r="AG40" s="67">
        <v>0</v>
      </c>
      <c r="AH40" s="67">
        <v>671.82</v>
      </c>
      <c r="AI40" s="67">
        <v>515.29999999999995</v>
      </c>
      <c r="AJ40" s="67">
        <v>0</v>
      </c>
      <c r="AK40" s="67">
        <v>528.77</v>
      </c>
      <c r="AL40" s="67">
        <v>0</v>
      </c>
      <c r="AM40" s="67">
        <v>1423.87</v>
      </c>
      <c r="AN40" s="67">
        <v>2193.7199999999998</v>
      </c>
      <c r="AO40" s="67">
        <v>1700.44</v>
      </c>
      <c r="AP40" s="67">
        <v>2367.0500000000002</v>
      </c>
      <c r="AQ40" s="67">
        <v>4304.16</v>
      </c>
      <c r="AR40" s="67">
        <v>514.39</v>
      </c>
      <c r="AS40" s="68">
        <v>1187.1199999999999</v>
      </c>
      <c r="AT40" s="63"/>
      <c r="AU40" s="63">
        <v>296.78634004986861</v>
      </c>
    </row>
    <row r="41" spans="1:47" ht="12.75" customHeight="1" outlineLevel="1" x14ac:dyDescent="0.2">
      <c r="A41" s="95" t="s">
        <v>185</v>
      </c>
      <c r="B41" s="62">
        <v>0</v>
      </c>
      <c r="C41" s="54">
        <v>0</v>
      </c>
      <c r="D41" s="54">
        <v>0</v>
      </c>
      <c r="E41" s="63"/>
      <c r="F41" s="64"/>
      <c r="G41" s="65">
        <v>0</v>
      </c>
      <c r="H41" s="54">
        <v>0</v>
      </c>
      <c r="I41" s="54">
        <v>0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66">
        <v>0</v>
      </c>
      <c r="T41" s="54">
        <v>0</v>
      </c>
      <c r="U41" s="54">
        <v>0</v>
      </c>
      <c r="V41" s="54">
        <v>0</v>
      </c>
      <c r="W41" s="54">
        <v>0</v>
      </c>
      <c r="X41" s="54">
        <v>0</v>
      </c>
      <c r="Y41" s="54">
        <v>0</v>
      </c>
      <c r="Z41" s="54">
        <v>0</v>
      </c>
      <c r="AA41" s="54">
        <v>0</v>
      </c>
      <c r="AB41" s="54">
        <v>0</v>
      </c>
      <c r="AC41" s="54">
        <v>0</v>
      </c>
      <c r="AD41" s="54">
        <v>0</v>
      </c>
      <c r="AE41" s="54">
        <v>0</v>
      </c>
      <c r="AF41" s="66">
        <v>0</v>
      </c>
      <c r="AG41" s="67">
        <v>0</v>
      </c>
      <c r="AH41" s="67">
        <v>0</v>
      </c>
      <c r="AI41" s="67">
        <v>0</v>
      </c>
      <c r="AJ41" s="67">
        <v>0</v>
      </c>
      <c r="AK41" s="67">
        <v>0</v>
      </c>
      <c r="AL41" s="67">
        <v>0</v>
      </c>
      <c r="AM41" s="67">
        <v>0</v>
      </c>
      <c r="AN41" s="67">
        <v>0</v>
      </c>
      <c r="AO41" s="67">
        <v>0</v>
      </c>
      <c r="AP41" s="67">
        <v>0</v>
      </c>
      <c r="AQ41" s="67">
        <v>0</v>
      </c>
      <c r="AR41" s="67">
        <v>0</v>
      </c>
      <c r="AS41" s="68">
        <v>0</v>
      </c>
      <c r="AT41" s="63"/>
      <c r="AU41" s="63"/>
    </row>
    <row r="42" spans="1:47" ht="12.75" customHeight="1" outlineLevel="1" x14ac:dyDescent="0.2">
      <c r="A42" s="95" t="s">
        <v>186</v>
      </c>
      <c r="B42" s="62">
        <v>0</v>
      </c>
      <c r="C42" s="54">
        <v>0</v>
      </c>
      <c r="D42" s="54">
        <v>0</v>
      </c>
      <c r="E42" s="63"/>
      <c r="F42" s="64"/>
      <c r="G42" s="65">
        <v>26.7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26.7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24.82</v>
      </c>
      <c r="AH42" s="67">
        <v>76.42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51.63</v>
      </c>
      <c r="AR42" s="67">
        <v>0</v>
      </c>
      <c r="AS42" s="68">
        <v>101.24</v>
      </c>
      <c r="AT42" s="63"/>
      <c r="AU42" s="63">
        <v>26.372975108652707</v>
      </c>
    </row>
    <row r="43" spans="1:47" ht="12.75" customHeight="1" outlineLevel="1" x14ac:dyDescent="0.2">
      <c r="A43" s="95" t="s">
        <v>187</v>
      </c>
      <c r="B43" s="62">
        <v>0</v>
      </c>
      <c r="C43" s="54">
        <v>0</v>
      </c>
      <c r="D43" s="54">
        <v>0</v>
      </c>
      <c r="E43" s="63"/>
      <c r="F43" s="64"/>
      <c r="G43" s="65">
        <v>40.04</v>
      </c>
      <c r="H43" s="54">
        <v>0</v>
      </c>
      <c r="I43" s="54">
        <v>43.73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66">
        <v>83.77</v>
      </c>
      <c r="T43" s="54">
        <v>0</v>
      </c>
      <c r="U43" s="54">
        <v>0</v>
      </c>
      <c r="V43" s="54">
        <v>0</v>
      </c>
      <c r="W43" s="54">
        <v>0</v>
      </c>
      <c r="X43" s="54">
        <v>0</v>
      </c>
      <c r="Y43" s="54">
        <v>0</v>
      </c>
      <c r="Z43" s="54">
        <v>0</v>
      </c>
      <c r="AA43" s="54">
        <v>0</v>
      </c>
      <c r="AB43" s="54">
        <v>0</v>
      </c>
      <c r="AC43" s="54">
        <v>0</v>
      </c>
      <c r="AD43" s="54">
        <v>0</v>
      </c>
      <c r="AE43" s="54">
        <v>0</v>
      </c>
      <c r="AF43" s="66">
        <v>0</v>
      </c>
      <c r="AG43" s="67">
        <v>24.82</v>
      </c>
      <c r="AH43" s="67">
        <v>56.33</v>
      </c>
      <c r="AI43" s="67">
        <v>0</v>
      </c>
      <c r="AJ43" s="67">
        <v>0</v>
      </c>
      <c r="AK43" s="67">
        <v>0</v>
      </c>
      <c r="AL43" s="67">
        <v>0</v>
      </c>
      <c r="AM43" s="67">
        <v>0</v>
      </c>
      <c r="AN43" s="67">
        <v>0</v>
      </c>
      <c r="AO43" s="67">
        <v>0</v>
      </c>
      <c r="AP43" s="67">
        <v>0</v>
      </c>
      <c r="AQ43" s="67">
        <v>0</v>
      </c>
      <c r="AR43" s="67">
        <v>0</v>
      </c>
      <c r="AS43" s="68">
        <v>81.150000000000006</v>
      </c>
      <c r="AT43" s="63"/>
      <c r="AU43" s="63">
        <v>103.22858903265558</v>
      </c>
    </row>
    <row r="44" spans="1:47" ht="12.75" customHeight="1" outlineLevel="1" x14ac:dyDescent="0.2">
      <c r="A44" s="95" t="s">
        <v>188</v>
      </c>
      <c r="B44" s="62">
        <v>0</v>
      </c>
      <c r="C44" s="54">
        <v>0</v>
      </c>
      <c r="D44" s="54">
        <v>0</v>
      </c>
      <c r="E44" s="63"/>
      <c r="F44" s="64"/>
      <c r="G44" s="65">
        <v>0</v>
      </c>
      <c r="H44" s="54">
        <v>0</v>
      </c>
      <c r="I44" s="54">
        <v>0</v>
      </c>
      <c r="J44" s="54">
        <v>0</v>
      </c>
      <c r="K44" s="54">
        <v>0</v>
      </c>
      <c r="L44" s="54">
        <v>0</v>
      </c>
      <c r="M44" s="54">
        <v>0</v>
      </c>
      <c r="N44" s="54">
        <v>0</v>
      </c>
      <c r="O44" s="54">
        <v>0</v>
      </c>
      <c r="P44" s="54">
        <v>0</v>
      </c>
      <c r="Q44" s="54">
        <v>0</v>
      </c>
      <c r="R44" s="54">
        <v>0</v>
      </c>
      <c r="S44" s="66">
        <v>0</v>
      </c>
      <c r="T44" s="54">
        <v>0</v>
      </c>
      <c r="U44" s="54">
        <v>0</v>
      </c>
      <c r="V44" s="54">
        <v>0</v>
      </c>
      <c r="W44" s="54">
        <v>0</v>
      </c>
      <c r="X44" s="54">
        <v>0</v>
      </c>
      <c r="Y44" s="54">
        <v>0</v>
      </c>
      <c r="Z44" s="54">
        <v>0</v>
      </c>
      <c r="AA44" s="54">
        <v>0</v>
      </c>
      <c r="AB44" s="54">
        <v>0</v>
      </c>
      <c r="AC44" s="54">
        <v>0</v>
      </c>
      <c r="AD44" s="54">
        <v>0</v>
      </c>
      <c r="AE44" s="54">
        <v>0</v>
      </c>
      <c r="AF44" s="66">
        <v>0</v>
      </c>
      <c r="AG44" s="67">
        <v>0</v>
      </c>
      <c r="AH44" s="67">
        <v>0</v>
      </c>
      <c r="AI44" s="67">
        <v>0</v>
      </c>
      <c r="AJ44" s="67">
        <v>0</v>
      </c>
      <c r="AK44" s="67">
        <v>0</v>
      </c>
      <c r="AL44" s="67">
        <v>0</v>
      </c>
      <c r="AM44" s="67">
        <v>0</v>
      </c>
      <c r="AN44" s="67">
        <v>0</v>
      </c>
      <c r="AO44" s="67">
        <v>0</v>
      </c>
      <c r="AP44" s="67">
        <v>0</v>
      </c>
      <c r="AQ44" s="67">
        <v>0</v>
      </c>
      <c r="AR44" s="67">
        <v>0</v>
      </c>
      <c r="AS44" s="68">
        <v>0</v>
      </c>
      <c r="AT44" s="63"/>
      <c r="AU44" s="63"/>
    </row>
    <row r="45" spans="1:47" ht="12.75" customHeight="1" outlineLevel="1" x14ac:dyDescent="0.2">
      <c r="A45" s="95" t="s">
        <v>189</v>
      </c>
      <c r="B45" s="62"/>
      <c r="C45" s="54">
        <v>0</v>
      </c>
      <c r="D45" s="54"/>
      <c r="E45" s="63"/>
      <c r="F45" s="64"/>
      <c r="G45" s="65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66"/>
      <c r="T45" s="54">
        <v>0</v>
      </c>
      <c r="U45" s="54">
        <v>0</v>
      </c>
      <c r="V45" s="54">
        <v>0</v>
      </c>
      <c r="W45" s="54">
        <v>0</v>
      </c>
      <c r="X45" s="54">
        <v>0</v>
      </c>
      <c r="Y45" s="54">
        <v>0</v>
      </c>
      <c r="Z45" s="54">
        <v>0</v>
      </c>
      <c r="AA45" s="54">
        <v>0</v>
      </c>
      <c r="AB45" s="54">
        <v>0</v>
      </c>
      <c r="AC45" s="54">
        <v>0</v>
      </c>
      <c r="AD45" s="54">
        <v>0</v>
      </c>
      <c r="AE45" s="54">
        <v>0</v>
      </c>
      <c r="AF45" s="66">
        <v>0</v>
      </c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8"/>
      <c r="AT45" s="63"/>
      <c r="AU45" s="63"/>
    </row>
    <row r="46" spans="1:47" ht="12.75" customHeight="1" outlineLevel="1" x14ac:dyDescent="0.2">
      <c r="A46" s="95" t="s">
        <v>190</v>
      </c>
      <c r="B46" s="62">
        <v>385.99</v>
      </c>
      <c r="C46" s="54">
        <v>0</v>
      </c>
      <c r="D46" s="54">
        <v>978.91</v>
      </c>
      <c r="E46" s="63"/>
      <c r="F46" s="64">
        <v>39.430591167727371</v>
      </c>
      <c r="G46" s="65">
        <v>171.81</v>
      </c>
      <c r="H46" s="54">
        <v>375.32</v>
      </c>
      <c r="I46" s="54">
        <v>51.46</v>
      </c>
      <c r="J46" s="54">
        <v>385.99</v>
      </c>
      <c r="K46" s="54">
        <v>0</v>
      </c>
      <c r="L46" s="54">
        <v>0</v>
      </c>
      <c r="M46" s="54">
        <v>0</v>
      </c>
      <c r="N46" s="54">
        <v>0</v>
      </c>
      <c r="O46" s="54">
        <v>0</v>
      </c>
      <c r="P46" s="54">
        <v>0</v>
      </c>
      <c r="Q46" s="54">
        <v>0</v>
      </c>
      <c r="R46" s="54">
        <v>0</v>
      </c>
      <c r="S46" s="66">
        <v>984.58</v>
      </c>
      <c r="T46" s="54">
        <v>0</v>
      </c>
      <c r="U46" s="54">
        <v>0</v>
      </c>
      <c r="V46" s="54">
        <v>0</v>
      </c>
      <c r="W46" s="54">
        <v>0</v>
      </c>
      <c r="X46" s="54">
        <v>0</v>
      </c>
      <c r="Y46" s="54">
        <v>0</v>
      </c>
      <c r="Z46" s="54">
        <v>0</v>
      </c>
      <c r="AA46" s="54">
        <v>0</v>
      </c>
      <c r="AB46" s="54">
        <v>0</v>
      </c>
      <c r="AC46" s="54">
        <v>0</v>
      </c>
      <c r="AD46" s="54">
        <v>0</v>
      </c>
      <c r="AE46" s="54">
        <v>0</v>
      </c>
      <c r="AF46" s="66">
        <v>0</v>
      </c>
      <c r="AG46" s="67">
        <v>0</v>
      </c>
      <c r="AH46" s="67">
        <v>517.19000000000005</v>
      </c>
      <c r="AI46" s="67">
        <v>108.78</v>
      </c>
      <c r="AJ46" s="67">
        <v>978.91</v>
      </c>
      <c r="AK46" s="67">
        <v>774.85</v>
      </c>
      <c r="AL46" s="67">
        <v>1132.8</v>
      </c>
      <c r="AM46" s="67">
        <v>512.94000000000005</v>
      </c>
      <c r="AN46" s="67">
        <v>181.36</v>
      </c>
      <c r="AO46" s="67">
        <v>1167.07</v>
      </c>
      <c r="AP46" s="67">
        <v>714.99</v>
      </c>
      <c r="AQ46" s="67">
        <v>653.49</v>
      </c>
      <c r="AR46" s="67">
        <v>470.7</v>
      </c>
      <c r="AS46" s="68">
        <v>1604.88</v>
      </c>
      <c r="AT46" s="63"/>
      <c r="AU46" s="63">
        <v>61.34913513782962</v>
      </c>
    </row>
    <row r="47" spans="1:47" ht="12.75" customHeight="1" outlineLevel="1" x14ac:dyDescent="0.2">
      <c r="A47" s="95" t="s">
        <v>191</v>
      </c>
      <c r="B47" s="62">
        <v>0</v>
      </c>
      <c r="C47" s="54">
        <v>0</v>
      </c>
      <c r="D47" s="54">
        <v>0</v>
      </c>
      <c r="E47" s="63"/>
      <c r="F47" s="64"/>
      <c r="G47" s="65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54">
        <v>0</v>
      </c>
      <c r="N47" s="54">
        <v>0</v>
      </c>
      <c r="O47" s="54">
        <v>0</v>
      </c>
      <c r="P47" s="54">
        <v>0</v>
      </c>
      <c r="Q47" s="54">
        <v>0</v>
      </c>
      <c r="R47" s="54">
        <v>0</v>
      </c>
      <c r="S47" s="66">
        <v>0</v>
      </c>
      <c r="T47" s="54">
        <v>0</v>
      </c>
      <c r="U47" s="54">
        <v>0</v>
      </c>
      <c r="V47" s="54">
        <v>0</v>
      </c>
      <c r="W47" s="54">
        <v>0</v>
      </c>
      <c r="X47" s="54">
        <v>0</v>
      </c>
      <c r="Y47" s="54">
        <v>0</v>
      </c>
      <c r="Z47" s="54">
        <v>0</v>
      </c>
      <c r="AA47" s="54">
        <v>0</v>
      </c>
      <c r="AB47" s="54">
        <v>0</v>
      </c>
      <c r="AC47" s="54">
        <v>0</v>
      </c>
      <c r="AD47" s="54">
        <v>0</v>
      </c>
      <c r="AE47" s="54">
        <v>0</v>
      </c>
      <c r="AF47" s="66">
        <v>0</v>
      </c>
      <c r="AG47" s="67">
        <v>0</v>
      </c>
      <c r="AH47" s="67">
        <v>0</v>
      </c>
      <c r="AI47" s="67">
        <v>0</v>
      </c>
      <c r="AJ47" s="67">
        <v>0</v>
      </c>
      <c r="AK47" s="67">
        <v>0</v>
      </c>
      <c r="AL47" s="67">
        <v>0</v>
      </c>
      <c r="AM47" s="67">
        <v>0</v>
      </c>
      <c r="AN47" s="67">
        <v>0</v>
      </c>
      <c r="AO47" s="67">
        <v>331.95</v>
      </c>
      <c r="AP47" s="67">
        <v>0</v>
      </c>
      <c r="AQ47" s="67">
        <v>0</v>
      </c>
      <c r="AR47" s="67">
        <v>0</v>
      </c>
      <c r="AS47" s="68">
        <v>0</v>
      </c>
      <c r="AT47" s="63"/>
      <c r="AU47" s="63"/>
    </row>
    <row r="48" spans="1:47" ht="12.75" customHeight="1" x14ac:dyDescent="0.2">
      <c r="A48" s="69" t="s">
        <v>192</v>
      </c>
      <c r="B48" s="70">
        <v>1228.1099999999999</v>
      </c>
      <c r="C48" s="71">
        <v>0</v>
      </c>
      <c r="D48" s="71">
        <v>1945.74</v>
      </c>
      <c r="E48" s="72"/>
      <c r="F48" s="73">
        <v>63.117888309846123</v>
      </c>
      <c r="G48" s="70">
        <v>282.64</v>
      </c>
      <c r="H48" s="71">
        <v>2730.15</v>
      </c>
      <c r="I48" s="71">
        <v>5181.1099999999997</v>
      </c>
      <c r="J48" s="71">
        <v>1228.1099999999999</v>
      </c>
      <c r="K48" s="74">
        <v>-3060.88</v>
      </c>
      <c r="L48" s="71">
        <v>0</v>
      </c>
      <c r="M48" s="71">
        <v>0</v>
      </c>
      <c r="N48" s="71">
        <v>0</v>
      </c>
      <c r="O48" s="71">
        <v>0</v>
      </c>
      <c r="P48" s="71">
        <v>0</v>
      </c>
      <c r="Q48" s="71">
        <v>0</v>
      </c>
      <c r="R48" s="71">
        <v>0</v>
      </c>
      <c r="S48" s="71">
        <v>9422.01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71">
        <v>0</v>
      </c>
      <c r="AE48" s="71">
        <v>0</v>
      </c>
      <c r="AF48" s="71">
        <v>0</v>
      </c>
      <c r="AG48" s="75">
        <v>247.91</v>
      </c>
      <c r="AH48" s="75">
        <v>1618.82</v>
      </c>
      <c r="AI48" s="75">
        <v>5322.34</v>
      </c>
      <c r="AJ48" s="75">
        <v>1945.74</v>
      </c>
      <c r="AK48" s="75">
        <v>4531.26</v>
      </c>
      <c r="AL48" s="75">
        <v>6144.94</v>
      </c>
      <c r="AM48" s="75">
        <v>5216.6000000000004</v>
      </c>
      <c r="AN48" s="75">
        <v>8979.52</v>
      </c>
      <c r="AO48" s="75">
        <v>3317.91</v>
      </c>
      <c r="AP48" s="75">
        <v>17719.740000000002</v>
      </c>
      <c r="AQ48" s="75">
        <v>6086.12</v>
      </c>
      <c r="AR48" s="75">
        <v>9030.07</v>
      </c>
      <c r="AS48" s="75">
        <v>9134.81</v>
      </c>
      <c r="AT48" s="72"/>
      <c r="AU48" s="72">
        <v>103.14401722641193</v>
      </c>
    </row>
    <row r="49" spans="1:47" ht="12.75" customHeight="1" outlineLevel="1" x14ac:dyDescent="0.2">
      <c r="A49" s="95" t="s">
        <v>194</v>
      </c>
      <c r="B49" s="62">
        <v>0</v>
      </c>
      <c r="C49" s="54">
        <v>0</v>
      </c>
      <c r="D49" s="54">
        <v>0</v>
      </c>
      <c r="E49" s="63"/>
      <c r="F49" s="64"/>
      <c r="G49" s="65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54">
        <v>0</v>
      </c>
      <c r="N49" s="54">
        <v>0</v>
      </c>
      <c r="O49" s="54">
        <v>0</v>
      </c>
      <c r="P49" s="54">
        <v>0</v>
      </c>
      <c r="Q49" s="54">
        <v>0</v>
      </c>
      <c r="R49" s="54">
        <v>0</v>
      </c>
      <c r="S49" s="66">
        <v>0</v>
      </c>
      <c r="T49" s="54">
        <v>0</v>
      </c>
      <c r="U49" s="54">
        <v>0</v>
      </c>
      <c r="V49" s="54">
        <v>0</v>
      </c>
      <c r="W49" s="54">
        <v>0</v>
      </c>
      <c r="X49" s="54">
        <v>0</v>
      </c>
      <c r="Y49" s="54">
        <v>0</v>
      </c>
      <c r="Z49" s="54">
        <v>0</v>
      </c>
      <c r="AA49" s="54">
        <v>0</v>
      </c>
      <c r="AB49" s="54">
        <v>0</v>
      </c>
      <c r="AC49" s="54">
        <v>0</v>
      </c>
      <c r="AD49" s="54">
        <v>0</v>
      </c>
      <c r="AE49" s="54">
        <v>0</v>
      </c>
      <c r="AF49" s="66">
        <v>0</v>
      </c>
      <c r="AG49" s="67">
        <v>0</v>
      </c>
      <c r="AH49" s="67">
        <v>0</v>
      </c>
      <c r="AI49" s="67">
        <v>0</v>
      </c>
      <c r="AJ49" s="67">
        <v>0</v>
      </c>
      <c r="AK49" s="67">
        <v>0</v>
      </c>
      <c r="AL49" s="67">
        <v>0</v>
      </c>
      <c r="AM49" s="67">
        <v>0</v>
      </c>
      <c r="AN49" s="67">
        <v>0</v>
      </c>
      <c r="AO49" s="67">
        <v>0</v>
      </c>
      <c r="AP49" s="67">
        <v>0</v>
      </c>
      <c r="AQ49" s="67">
        <v>0</v>
      </c>
      <c r="AR49" s="67">
        <v>0</v>
      </c>
      <c r="AS49" s="68">
        <v>0</v>
      </c>
      <c r="AT49" s="63"/>
      <c r="AU49" s="63"/>
    </row>
    <row r="50" spans="1:47" ht="12.75" customHeight="1" outlineLevel="1" x14ac:dyDescent="0.2">
      <c r="A50" s="95" t="s">
        <v>193</v>
      </c>
      <c r="B50" s="62"/>
      <c r="C50" s="54"/>
      <c r="D50" s="54"/>
      <c r="E50" s="63"/>
      <c r="F50" s="64"/>
      <c r="G50" s="65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66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66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8"/>
      <c r="AT50" s="63"/>
      <c r="AU50" s="63"/>
    </row>
    <row r="51" spans="1:47" ht="12.75" customHeight="1" outlineLevel="1" x14ac:dyDescent="0.2">
      <c r="A51" s="95" t="s">
        <v>82</v>
      </c>
      <c r="B51" s="62">
        <v>0</v>
      </c>
      <c r="C51" s="54">
        <v>0</v>
      </c>
      <c r="D51" s="54">
        <v>0</v>
      </c>
      <c r="E51" s="63"/>
      <c r="F51" s="64"/>
      <c r="G51" s="65">
        <v>0</v>
      </c>
      <c r="H51" s="54">
        <v>0</v>
      </c>
      <c r="I51" s="54">
        <v>0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66">
        <v>0</v>
      </c>
      <c r="T51" s="54">
        <v>0</v>
      </c>
      <c r="U51" s="54">
        <v>0</v>
      </c>
      <c r="V51" s="54">
        <v>0</v>
      </c>
      <c r="W51" s="54">
        <v>0</v>
      </c>
      <c r="X51" s="54">
        <v>0</v>
      </c>
      <c r="Y51" s="54">
        <v>0</v>
      </c>
      <c r="Z51" s="54">
        <v>0</v>
      </c>
      <c r="AA51" s="54">
        <v>0</v>
      </c>
      <c r="AB51" s="54">
        <v>0</v>
      </c>
      <c r="AC51" s="54">
        <v>0</v>
      </c>
      <c r="AD51" s="54">
        <v>0</v>
      </c>
      <c r="AE51" s="54">
        <v>0</v>
      </c>
      <c r="AF51" s="66">
        <v>0</v>
      </c>
      <c r="AG51" s="67">
        <v>0</v>
      </c>
      <c r="AH51" s="67">
        <v>0</v>
      </c>
      <c r="AI51" s="67">
        <v>0</v>
      </c>
      <c r="AJ51" s="67">
        <v>0</v>
      </c>
      <c r="AK51" s="67">
        <v>0</v>
      </c>
      <c r="AL51" s="67">
        <v>0</v>
      </c>
      <c r="AM51" s="67">
        <v>0</v>
      </c>
      <c r="AN51" s="67">
        <v>0</v>
      </c>
      <c r="AO51" s="67">
        <v>0</v>
      </c>
      <c r="AP51" s="67">
        <v>0</v>
      </c>
      <c r="AQ51" s="67">
        <v>0</v>
      </c>
      <c r="AR51" s="67">
        <v>0</v>
      </c>
      <c r="AS51" s="68">
        <v>0</v>
      </c>
      <c r="AT51" s="63"/>
      <c r="AU51" s="63"/>
    </row>
    <row r="52" spans="1:47" ht="12.75" customHeight="1" outlineLevel="1" x14ac:dyDescent="0.2">
      <c r="A52" s="95" t="s">
        <v>700</v>
      </c>
      <c r="B52" s="62">
        <v>0</v>
      </c>
      <c r="C52" s="54"/>
      <c r="D52" s="54">
        <v>0</v>
      </c>
      <c r="E52" s="63"/>
      <c r="F52" s="64"/>
      <c r="G52" s="65">
        <v>0</v>
      </c>
      <c r="H52" s="54">
        <v>0</v>
      </c>
      <c r="I52" s="54">
        <v>139.63999999999999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66">
        <v>139.63999999999999</v>
      </c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66"/>
      <c r="AG52" s="67">
        <v>0</v>
      </c>
      <c r="AH52" s="67">
        <v>0</v>
      </c>
      <c r="AI52" s="67">
        <v>0</v>
      </c>
      <c r="AJ52" s="67">
        <v>0</v>
      </c>
      <c r="AK52" s="67">
        <v>0</v>
      </c>
      <c r="AL52" s="67">
        <v>0</v>
      </c>
      <c r="AM52" s="67">
        <v>0</v>
      </c>
      <c r="AN52" s="67">
        <v>0</v>
      </c>
      <c r="AO52" s="67">
        <v>0</v>
      </c>
      <c r="AP52" s="67">
        <v>0</v>
      </c>
      <c r="AQ52" s="67">
        <v>0</v>
      </c>
      <c r="AR52" s="67">
        <v>0</v>
      </c>
      <c r="AS52" s="68">
        <v>0</v>
      </c>
      <c r="AT52" s="63"/>
      <c r="AU52" s="63"/>
    </row>
    <row r="53" spans="1:47" ht="12.75" customHeight="1" outlineLevel="1" x14ac:dyDescent="0.2">
      <c r="A53" s="95" t="s">
        <v>83</v>
      </c>
      <c r="B53" s="62">
        <v>0</v>
      </c>
      <c r="C53" s="54">
        <v>0</v>
      </c>
      <c r="D53" s="54">
        <v>0</v>
      </c>
      <c r="E53" s="63"/>
      <c r="F53" s="64"/>
      <c r="G53" s="65">
        <v>0</v>
      </c>
      <c r="H53" s="54">
        <v>0</v>
      </c>
      <c r="I53" s="54">
        <v>0</v>
      </c>
      <c r="J53" s="54">
        <v>0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66">
        <v>0</v>
      </c>
      <c r="T53" s="54">
        <v>0</v>
      </c>
      <c r="U53" s="54">
        <v>0</v>
      </c>
      <c r="V53" s="54">
        <v>0</v>
      </c>
      <c r="W53" s="54">
        <v>0</v>
      </c>
      <c r="X53" s="54">
        <v>0</v>
      </c>
      <c r="Y53" s="54">
        <v>0</v>
      </c>
      <c r="Z53" s="54">
        <v>0</v>
      </c>
      <c r="AA53" s="54">
        <v>0</v>
      </c>
      <c r="AB53" s="54">
        <v>0</v>
      </c>
      <c r="AC53" s="54">
        <v>0</v>
      </c>
      <c r="AD53" s="54">
        <v>0</v>
      </c>
      <c r="AE53" s="54">
        <v>0</v>
      </c>
      <c r="AF53" s="66">
        <v>0</v>
      </c>
      <c r="AG53" s="67">
        <v>0</v>
      </c>
      <c r="AH53" s="67">
        <v>46.04</v>
      </c>
      <c r="AI53" s="67">
        <v>0</v>
      </c>
      <c r="AJ53" s="67">
        <v>0</v>
      </c>
      <c r="AK53" s="67">
        <v>0</v>
      </c>
      <c r="AL53" s="67">
        <v>0</v>
      </c>
      <c r="AM53" s="67">
        <v>0</v>
      </c>
      <c r="AN53" s="67">
        <v>0</v>
      </c>
      <c r="AO53" s="67">
        <v>0</v>
      </c>
      <c r="AP53" s="67">
        <v>0</v>
      </c>
      <c r="AQ53" s="67">
        <v>0</v>
      </c>
      <c r="AR53" s="67">
        <v>0</v>
      </c>
      <c r="AS53" s="68">
        <v>46.04</v>
      </c>
      <c r="AT53" s="63"/>
      <c r="AU53" s="63">
        <v>0</v>
      </c>
    </row>
    <row r="54" spans="1:47" ht="12.75" customHeight="1" outlineLevel="1" x14ac:dyDescent="0.2">
      <c r="A54" s="95" t="s">
        <v>84</v>
      </c>
      <c r="B54" s="62">
        <v>0</v>
      </c>
      <c r="C54" s="54">
        <v>0</v>
      </c>
      <c r="D54" s="54">
        <v>0</v>
      </c>
      <c r="E54" s="63"/>
      <c r="F54" s="64"/>
      <c r="G54" s="65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66">
        <v>0</v>
      </c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>
        <v>0</v>
      </c>
      <c r="AH54" s="67">
        <v>0</v>
      </c>
      <c r="AI54" s="67">
        <v>0</v>
      </c>
      <c r="AJ54" s="67">
        <v>0</v>
      </c>
      <c r="AK54" s="67">
        <v>0</v>
      </c>
      <c r="AL54" s="67">
        <v>0</v>
      </c>
      <c r="AM54" s="67">
        <v>0</v>
      </c>
      <c r="AN54" s="67">
        <v>0</v>
      </c>
      <c r="AO54" s="67">
        <v>0</v>
      </c>
      <c r="AP54" s="67">
        <v>0</v>
      </c>
      <c r="AQ54" s="67">
        <v>0</v>
      </c>
      <c r="AR54" s="67">
        <v>0</v>
      </c>
      <c r="AS54" s="68">
        <v>0</v>
      </c>
      <c r="AT54" s="63"/>
      <c r="AU54" s="63"/>
    </row>
    <row r="55" spans="1:47" ht="12.75" customHeight="1" outlineLevel="1" x14ac:dyDescent="0.2">
      <c r="A55" s="95" t="s">
        <v>560</v>
      </c>
      <c r="B55" s="96">
        <v>-167.58</v>
      </c>
      <c r="C55" s="54">
        <v>0</v>
      </c>
      <c r="D55" s="54">
        <v>0</v>
      </c>
      <c r="E55" s="63"/>
      <c r="F55" s="64"/>
      <c r="G55" s="65">
        <v>13473.5</v>
      </c>
      <c r="H55" s="54">
        <v>4123.91</v>
      </c>
      <c r="I55" s="54">
        <v>4071.55</v>
      </c>
      <c r="J55" s="56">
        <v>-167.58</v>
      </c>
      <c r="K55" s="56">
        <v>-18677.009999999998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66">
        <v>21501.38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66">
        <v>0</v>
      </c>
      <c r="AG55" s="67">
        <v>11082.02</v>
      </c>
      <c r="AH55" s="67">
        <v>3871.23</v>
      </c>
      <c r="AI55" s="67">
        <v>436.36</v>
      </c>
      <c r="AJ55" s="67">
        <v>0</v>
      </c>
      <c r="AK55" s="67">
        <v>0</v>
      </c>
      <c r="AL55" s="67">
        <v>0</v>
      </c>
      <c r="AM55" s="67">
        <v>163.63999999999999</v>
      </c>
      <c r="AN55" s="67">
        <v>1538.69</v>
      </c>
      <c r="AO55" s="67">
        <v>224.55</v>
      </c>
      <c r="AP55" s="67">
        <v>811.91</v>
      </c>
      <c r="AQ55" s="67">
        <v>0</v>
      </c>
      <c r="AR55" s="67">
        <v>50173.36</v>
      </c>
      <c r="AS55" s="68">
        <v>15389.61</v>
      </c>
      <c r="AT55" s="63"/>
      <c r="AU55" s="63">
        <v>139.71361197587203</v>
      </c>
    </row>
    <row r="56" spans="1:47" ht="12.75" customHeight="1" outlineLevel="1" x14ac:dyDescent="0.2">
      <c r="A56" s="95" t="s">
        <v>86</v>
      </c>
      <c r="B56" s="62">
        <v>0</v>
      </c>
      <c r="C56" s="54">
        <v>0</v>
      </c>
      <c r="D56" s="54">
        <v>420</v>
      </c>
      <c r="E56" s="63"/>
      <c r="F56" s="64">
        <v>0</v>
      </c>
      <c r="G56" s="65">
        <v>21.67</v>
      </c>
      <c r="H56" s="54">
        <v>108.18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66">
        <v>129.85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66">
        <v>0</v>
      </c>
      <c r="AG56" s="67">
        <v>0</v>
      </c>
      <c r="AH56" s="67">
        <v>0</v>
      </c>
      <c r="AI56" s="67">
        <v>1675</v>
      </c>
      <c r="AJ56" s="67">
        <v>420</v>
      </c>
      <c r="AK56" s="67">
        <v>0</v>
      </c>
      <c r="AL56" s="67">
        <v>0</v>
      </c>
      <c r="AM56" s="67">
        <v>0</v>
      </c>
      <c r="AN56" s="67">
        <v>0</v>
      </c>
      <c r="AO56" s="67">
        <v>66.53</v>
      </c>
      <c r="AP56" s="67">
        <v>0</v>
      </c>
      <c r="AQ56" s="67">
        <v>49.21</v>
      </c>
      <c r="AR56" s="67">
        <v>0</v>
      </c>
      <c r="AS56" s="68">
        <v>2095</v>
      </c>
      <c r="AT56" s="63"/>
      <c r="AU56" s="63">
        <v>6.1980906921241052</v>
      </c>
    </row>
    <row r="57" spans="1:47" s="365" customFormat="1" ht="12.75" customHeight="1" outlineLevel="1" x14ac:dyDescent="0.2">
      <c r="A57" s="95" t="s">
        <v>110</v>
      </c>
      <c r="B57" s="62"/>
      <c r="C57" s="54"/>
      <c r="D57" s="54"/>
      <c r="E57" s="63"/>
      <c r="F57" s="64"/>
      <c r="G57" s="65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66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66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8"/>
      <c r="AT57" s="63"/>
      <c r="AU57" s="63"/>
    </row>
    <row r="58" spans="1:47" ht="12.75" customHeight="1" outlineLevel="1" x14ac:dyDescent="0.2">
      <c r="A58" s="95" t="s">
        <v>196</v>
      </c>
      <c r="B58" s="62">
        <v>0</v>
      </c>
      <c r="C58" s="54">
        <v>0</v>
      </c>
      <c r="D58" s="54">
        <v>0</v>
      </c>
      <c r="E58" s="63"/>
      <c r="F58" s="64"/>
      <c r="G58" s="65">
        <v>350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350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22.73</v>
      </c>
      <c r="AH58" s="67">
        <v>0</v>
      </c>
      <c r="AI58" s="67">
        <v>254.55</v>
      </c>
      <c r="AJ58" s="67">
        <v>0</v>
      </c>
      <c r="AK58" s="67">
        <v>0</v>
      </c>
      <c r="AL58" s="67">
        <v>2009</v>
      </c>
      <c r="AM58" s="67">
        <v>2009</v>
      </c>
      <c r="AN58" s="67">
        <v>2009</v>
      </c>
      <c r="AO58" s="67">
        <v>0</v>
      </c>
      <c r="AP58" s="67">
        <v>0</v>
      </c>
      <c r="AQ58" s="67">
        <v>95.41</v>
      </c>
      <c r="AR58" s="67">
        <v>249</v>
      </c>
      <c r="AS58" s="68">
        <v>277.27999999999997</v>
      </c>
      <c r="AT58" s="63"/>
      <c r="AU58" s="63">
        <v>126.2261973456434</v>
      </c>
    </row>
    <row r="59" spans="1:47" ht="12.75" customHeight="1" outlineLevel="1" x14ac:dyDescent="0.2">
      <c r="A59" s="95" t="s">
        <v>197</v>
      </c>
      <c r="B59" s="62">
        <v>0</v>
      </c>
      <c r="C59" s="54">
        <v>0</v>
      </c>
      <c r="D59" s="54">
        <v>0</v>
      </c>
      <c r="E59" s="63"/>
      <c r="F59" s="64"/>
      <c r="G59" s="65">
        <v>0</v>
      </c>
      <c r="H59" s="54">
        <v>16168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66">
        <v>16168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66">
        <v>0</v>
      </c>
      <c r="AG59" s="67">
        <v>0</v>
      </c>
      <c r="AH59" s="67">
        <v>0</v>
      </c>
      <c r="AI59" s="67">
        <v>0</v>
      </c>
      <c r="AJ59" s="67">
        <v>0</v>
      </c>
      <c r="AK59" s="67">
        <v>0</v>
      </c>
      <c r="AL59" s="67">
        <v>0</v>
      </c>
      <c r="AM59" s="67">
        <v>17550</v>
      </c>
      <c r="AN59" s="67">
        <v>0</v>
      </c>
      <c r="AO59" s="67">
        <v>0</v>
      </c>
      <c r="AP59" s="67">
        <v>0</v>
      </c>
      <c r="AQ59" s="67">
        <v>0</v>
      </c>
      <c r="AR59" s="67">
        <v>0</v>
      </c>
      <c r="AS59" s="68">
        <v>0</v>
      </c>
      <c r="AT59" s="63"/>
      <c r="AU59" s="63"/>
    </row>
    <row r="60" spans="1:47" ht="12.75" customHeight="1" outlineLevel="1" x14ac:dyDescent="0.2">
      <c r="A60" s="95" t="s">
        <v>198</v>
      </c>
      <c r="B60" s="62">
        <v>0</v>
      </c>
      <c r="C60" s="54">
        <v>0</v>
      </c>
      <c r="D60" s="54">
        <v>0</v>
      </c>
      <c r="E60" s="63"/>
      <c r="F60" s="64"/>
      <c r="G60" s="65">
        <v>600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66">
        <v>600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>
        <v>0</v>
      </c>
      <c r="AE60" s="54">
        <v>0</v>
      </c>
      <c r="AF60" s="66">
        <v>0</v>
      </c>
      <c r="AG60" s="67">
        <v>833.33</v>
      </c>
      <c r="AH60" s="67">
        <v>454.55</v>
      </c>
      <c r="AI60" s="67">
        <v>11.98</v>
      </c>
      <c r="AJ60" s="67">
        <v>0</v>
      </c>
      <c r="AK60" s="67">
        <v>2065.6</v>
      </c>
      <c r="AL60" s="67">
        <v>129.04</v>
      </c>
      <c r="AM60" s="67">
        <v>258.3</v>
      </c>
      <c r="AN60" s="67">
        <v>0</v>
      </c>
      <c r="AO60" s="67">
        <v>313.10000000000002</v>
      </c>
      <c r="AP60" s="67">
        <v>0</v>
      </c>
      <c r="AQ60" s="67">
        <v>0</v>
      </c>
      <c r="AR60" s="67">
        <v>80.459999999999994</v>
      </c>
      <c r="AS60" s="68">
        <v>1299.8599999999999</v>
      </c>
      <c r="AT60" s="63"/>
      <c r="AU60" s="63">
        <v>46.158817103380365</v>
      </c>
    </row>
    <row r="61" spans="1:47" ht="12.75" customHeight="1" outlineLevel="1" x14ac:dyDescent="0.2">
      <c r="A61" s="95" t="s">
        <v>199</v>
      </c>
      <c r="B61" s="62">
        <v>0</v>
      </c>
      <c r="C61" s="54"/>
      <c r="D61" s="54">
        <v>0</v>
      </c>
      <c r="E61" s="63"/>
      <c r="F61" s="64"/>
      <c r="G61" s="65">
        <v>0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66">
        <v>0</v>
      </c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66"/>
      <c r="AG61" s="67">
        <v>0</v>
      </c>
      <c r="AH61" s="67">
        <v>0</v>
      </c>
      <c r="AI61" s="98">
        <v>-3150.78</v>
      </c>
      <c r="AJ61" s="67">
        <v>0</v>
      </c>
      <c r="AK61" s="67">
        <v>0</v>
      </c>
      <c r="AL61" s="98">
        <v>-332.8</v>
      </c>
      <c r="AM61" s="98">
        <v>-3603.34</v>
      </c>
      <c r="AN61" s="98">
        <v>-1612.53</v>
      </c>
      <c r="AO61" s="67">
        <v>0</v>
      </c>
      <c r="AP61" s="67">
        <v>0</v>
      </c>
      <c r="AQ61" s="98">
        <v>-1176.8</v>
      </c>
      <c r="AR61" s="67">
        <v>0</v>
      </c>
      <c r="AS61" s="99">
        <v>-3150.78</v>
      </c>
      <c r="AT61" s="63"/>
      <c r="AU61" s="63">
        <v>0</v>
      </c>
    </row>
    <row r="62" spans="1:47" ht="12.75" customHeight="1" outlineLevel="1" x14ac:dyDescent="0.2">
      <c r="A62" s="95" t="s">
        <v>200</v>
      </c>
      <c r="B62" s="62"/>
      <c r="C62" s="54"/>
      <c r="D62" s="54"/>
      <c r="E62" s="63"/>
      <c r="F62" s="64"/>
      <c r="G62" s="65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66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66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8"/>
      <c r="AT62" s="63"/>
      <c r="AU62" s="63"/>
    </row>
    <row r="63" spans="1:47" s="365" customFormat="1" ht="12.75" customHeight="1" outlineLevel="1" x14ac:dyDescent="0.2">
      <c r="A63" s="95" t="s">
        <v>211</v>
      </c>
      <c r="B63" s="62">
        <v>9673.39</v>
      </c>
      <c r="C63" s="54">
        <v>0</v>
      </c>
      <c r="D63" s="54">
        <v>717.76</v>
      </c>
      <c r="E63" s="63"/>
      <c r="F63" s="64">
        <v>1347.7192933571109</v>
      </c>
      <c r="G63" s="65">
        <v>1781.05</v>
      </c>
      <c r="H63" s="54">
        <v>3106.42</v>
      </c>
      <c r="I63" s="54">
        <v>9280.2800000000007</v>
      </c>
      <c r="J63" s="54">
        <v>9673.39</v>
      </c>
      <c r="K63" s="56">
        <v>-0.17</v>
      </c>
      <c r="L63" s="54">
        <v>0</v>
      </c>
      <c r="M63" s="54">
        <v>0</v>
      </c>
      <c r="N63" s="54">
        <v>0</v>
      </c>
      <c r="O63" s="54">
        <v>0</v>
      </c>
      <c r="P63" s="54">
        <v>0</v>
      </c>
      <c r="Q63" s="54">
        <v>0</v>
      </c>
      <c r="R63" s="54">
        <v>0</v>
      </c>
      <c r="S63" s="66">
        <v>23841.14</v>
      </c>
      <c r="T63" s="54">
        <v>0</v>
      </c>
      <c r="U63" s="54">
        <v>0</v>
      </c>
      <c r="V63" s="54">
        <v>0</v>
      </c>
      <c r="W63" s="54">
        <v>0</v>
      </c>
      <c r="X63" s="54">
        <v>0</v>
      </c>
      <c r="Y63" s="54">
        <v>0</v>
      </c>
      <c r="Z63" s="54">
        <v>0</v>
      </c>
      <c r="AA63" s="54">
        <v>0</v>
      </c>
      <c r="AB63" s="54">
        <v>0</v>
      </c>
      <c r="AC63" s="54">
        <v>0</v>
      </c>
      <c r="AD63" s="54">
        <v>0</v>
      </c>
      <c r="AE63" s="54">
        <v>0</v>
      </c>
      <c r="AF63" s="66">
        <v>0</v>
      </c>
      <c r="AG63" s="67">
        <v>17929.43</v>
      </c>
      <c r="AH63" s="98">
        <v>-3025.17</v>
      </c>
      <c r="AI63" s="98">
        <v>-140.58000000000001</v>
      </c>
      <c r="AJ63" s="67">
        <v>717.76</v>
      </c>
      <c r="AK63" s="98">
        <v>-1378.23</v>
      </c>
      <c r="AL63" s="67">
        <v>5813.18</v>
      </c>
      <c r="AM63" s="98">
        <v>-501.6</v>
      </c>
      <c r="AN63" s="98">
        <v>-10188.58</v>
      </c>
      <c r="AO63" s="67">
        <v>5658.12</v>
      </c>
      <c r="AP63" s="98">
        <v>-5798.76</v>
      </c>
      <c r="AQ63" s="67">
        <v>3292.33</v>
      </c>
      <c r="AR63" s="98">
        <v>-2381.38</v>
      </c>
      <c r="AS63" s="68">
        <v>15481.44</v>
      </c>
      <c r="AT63" s="63"/>
      <c r="AU63" s="63">
        <v>153.99820688514762</v>
      </c>
    </row>
    <row r="64" spans="1:47" s="365" customFormat="1" ht="12.75" customHeight="1" outlineLevel="1" x14ac:dyDescent="0.2">
      <c r="A64" s="95" t="s">
        <v>212</v>
      </c>
      <c r="B64" s="62">
        <v>0</v>
      </c>
      <c r="C64" s="54">
        <v>0</v>
      </c>
      <c r="D64" s="54">
        <v>1100</v>
      </c>
      <c r="E64" s="63"/>
      <c r="F64" s="64">
        <v>0</v>
      </c>
      <c r="G64" s="65">
        <v>1138.46</v>
      </c>
      <c r="H64" s="54">
        <v>569.23</v>
      </c>
      <c r="I64" s="54">
        <v>569.23</v>
      </c>
      <c r="J64" s="54">
        <v>0</v>
      </c>
      <c r="K64" s="54">
        <v>0</v>
      </c>
      <c r="L64" s="54">
        <v>0</v>
      </c>
      <c r="M64" s="54">
        <v>0</v>
      </c>
      <c r="N64" s="54">
        <v>0</v>
      </c>
      <c r="O64" s="54">
        <v>0</v>
      </c>
      <c r="P64" s="54">
        <v>0</v>
      </c>
      <c r="Q64" s="54">
        <v>0</v>
      </c>
      <c r="R64" s="54">
        <v>0</v>
      </c>
      <c r="S64" s="66">
        <v>2276.92</v>
      </c>
      <c r="T64" s="54">
        <v>0</v>
      </c>
      <c r="U64" s="54">
        <v>0</v>
      </c>
      <c r="V64" s="54">
        <v>0</v>
      </c>
      <c r="W64" s="54">
        <v>0</v>
      </c>
      <c r="X64" s="54">
        <v>0</v>
      </c>
      <c r="Y64" s="54">
        <v>0</v>
      </c>
      <c r="Z64" s="54">
        <v>0</v>
      </c>
      <c r="AA64" s="54">
        <v>0</v>
      </c>
      <c r="AB64" s="54">
        <v>0</v>
      </c>
      <c r="AC64" s="54">
        <v>0</v>
      </c>
      <c r="AD64" s="54">
        <v>0</v>
      </c>
      <c r="AE64" s="54">
        <v>0</v>
      </c>
      <c r="AF64" s="66">
        <v>0</v>
      </c>
      <c r="AG64" s="67">
        <v>1231.68</v>
      </c>
      <c r="AH64" s="67">
        <v>550</v>
      </c>
      <c r="AI64" s="67">
        <v>550</v>
      </c>
      <c r="AJ64" s="67">
        <v>1100</v>
      </c>
      <c r="AK64" s="67">
        <v>0</v>
      </c>
      <c r="AL64" s="67">
        <v>550</v>
      </c>
      <c r="AM64" s="67">
        <v>139.84</v>
      </c>
      <c r="AN64" s="67">
        <v>510.08</v>
      </c>
      <c r="AO64" s="67">
        <v>1100</v>
      </c>
      <c r="AP64" s="67">
        <v>0</v>
      </c>
      <c r="AQ64" s="67">
        <v>1538.6</v>
      </c>
      <c r="AR64" s="67">
        <v>0</v>
      </c>
      <c r="AS64" s="68">
        <v>3431.68</v>
      </c>
      <c r="AT64" s="63"/>
      <c r="AU64" s="63">
        <v>66.350009324878783</v>
      </c>
    </row>
    <row r="65" spans="1:48" s="365" customFormat="1" ht="12.75" customHeight="1" x14ac:dyDescent="0.2">
      <c r="A65" s="69" t="s">
        <v>89</v>
      </c>
      <c r="B65" s="70">
        <v>9505.81</v>
      </c>
      <c r="C65" s="71">
        <v>0</v>
      </c>
      <c r="D65" s="71">
        <v>2237.7600000000002</v>
      </c>
      <c r="E65" s="72"/>
      <c r="F65" s="73">
        <v>424.79130916630919</v>
      </c>
      <c r="G65" s="70">
        <v>17364.68</v>
      </c>
      <c r="H65" s="71">
        <v>24075.74</v>
      </c>
      <c r="I65" s="71">
        <v>14060.7</v>
      </c>
      <c r="J65" s="71">
        <v>9505.81</v>
      </c>
      <c r="K65" s="74">
        <v>-18677.18</v>
      </c>
      <c r="L65" s="71">
        <v>0</v>
      </c>
      <c r="M65" s="71">
        <v>0</v>
      </c>
      <c r="N65" s="71">
        <v>0</v>
      </c>
      <c r="O65" s="71">
        <v>0</v>
      </c>
      <c r="P65" s="71">
        <v>0</v>
      </c>
      <c r="Q65" s="71">
        <v>0</v>
      </c>
      <c r="R65" s="71">
        <v>0</v>
      </c>
      <c r="S65" s="71">
        <v>65006.93</v>
      </c>
      <c r="T65" s="71">
        <v>0</v>
      </c>
      <c r="U65" s="71">
        <v>0</v>
      </c>
      <c r="V65" s="71">
        <v>0</v>
      </c>
      <c r="W65" s="71">
        <v>0</v>
      </c>
      <c r="X65" s="71">
        <v>0</v>
      </c>
      <c r="Y65" s="71">
        <v>0</v>
      </c>
      <c r="Z65" s="71">
        <v>0</v>
      </c>
      <c r="AA65" s="71">
        <v>0</v>
      </c>
      <c r="AB65" s="71">
        <v>0</v>
      </c>
      <c r="AC65" s="71">
        <v>0</v>
      </c>
      <c r="AD65" s="71">
        <v>0</v>
      </c>
      <c r="AE65" s="71">
        <v>0</v>
      </c>
      <c r="AF65" s="71">
        <v>0</v>
      </c>
      <c r="AG65" s="75">
        <v>31099.19</v>
      </c>
      <c r="AH65" s="75">
        <v>1896.65</v>
      </c>
      <c r="AI65" s="134">
        <v>-363.47</v>
      </c>
      <c r="AJ65" s="75">
        <v>2237.7600000000002</v>
      </c>
      <c r="AK65" s="75">
        <v>687.37</v>
      </c>
      <c r="AL65" s="75">
        <v>8168.42</v>
      </c>
      <c r="AM65" s="75">
        <v>16015.84</v>
      </c>
      <c r="AN65" s="134">
        <v>-7743.34</v>
      </c>
      <c r="AO65" s="75">
        <v>7362.3</v>
      </c>
      <c r="AP65" s="134">
        <v>-4986.8500000000004</v>
      </c>
      <c r="AQ65" s="75">
        <v>3798.75</v>
      </c>
      <c r="AR65" s="75">
        <v>48121.440000000002</v>
      </c>
      <c r="AS65" s="75">
        <v>34870.129999999997</v>
      </c>
      <c r="AT65" s="72"/>
      <c r="AU65" s="72">
        <v>186.42583208035072</v>
      </c>
    </row>
    <row r="66" spans="1:48" s="365" customFormat="1" ht="12.75" customHeight="1" x14ac:dyDescent="0.2">
      <c r="A66" s="77" t="s">
        <v>201</v>
      </c>
      <c r="B66" s="78">
        <v>94705.1</v>
      </c>
      <c r="C66" s="79">
        <v>0</v>
      </c>
      <c r="D66" s="79">
        <v>65153.88</v>
      </c>
      <c r="E66" s="80"/>
      <c r="F66" s="81">
        <v>145.35604019284807</v>
      </c>
      <c r="G66" s="78">
        <v>99277.35</v>
      </c>
      <c r="H66" s="79">
        <v>108735.64</v>
      </c>
      <c r="I66" s="79">
        <v>90594.26</v>
      </c>
      <c r="J66" s="79">
        <v>94705.1</v>
      </c>
      <c r="K66" s="82">
        <v>-25213.95</v>
      </c>
      <c r="L66" s="79">
        <v>0</v>
      </c>
      <c r="M66" s="79">
        <v>0</v>
      </c>
      <c r="N66" s="79">
        <v>0</v>
      </c>
      <c r="O66" s="79">
        <v>0</v>
      </c>
      <c r="P66" s="79">
        <v>0</v>
      </c>
      <c r="Q66" s="79">
        <v>0</v>
      </c>
      <c r="R66" s="79">
        <v>0</v>
      </c>
      <c r="S66" s="79">
        <v>393312.35</v>
      </c>
      <c r="T66" s="79">
        <v>0</v>
      </c>
      <c r="U66" s="79">
        <v>0</v>
      </c>
      <c r="V66" s="79">
        <v>0</v>
      </c>
      <c r="W66" s="79">
        <v>0</v>
      </c>
      <c r="X66" s="79">
        <v>0</v>
      </c>
      <c r="Y66" s="79">
        <v>0</v>
      </c>
      <c r="Z66" s="79">
        <v>0</v>
      </c>
      <c r="AA66" s="79">
        <v>0</v>
      </c>
      <c r="AB66" s="79">
        <v>0</v>
      </c>
      <c r="AC66" s="79">
        <v>0</v>
      </c>
      <c r="AD66" s="79">
        <v>0</v>
      </c>
      <c r="AE66" s="79">
        <v>0</v>
      </c>
      <c r="AF66" s="79">
        <v>0</v>
      </c>
      <c r="AG66" s="83">
        <v>103073.14</v>
      </c>
      <c r="AH66" s="83">
        <v>86434.2</v>
      </c>
      <c r="AI66" s="83">
        <v>78054.679999999993</v>
      </c>
      <c r="AJ66" s="83">
        <v>65153.88</v>
      </c>
      <c r="AK66" s="83">
        <v>82693.320000000007</v>
      </c>
      <c r="AL66" s="83">
        <v>107561.38</v>
      </c>
      <c r="AM66" s="83">
        <v>103571.22</v>
      </c>
      <c r="AN66" s="83">
        <v>99595.58</v>
      </c>
      <c r="AO66" s="83">
        <v>103433.09</v>
      </c>
      <c r="AP66" s="83">
        <v>103032.75</v>
      </c>
      <c r="AQ66" s="83">
        <v>107574.44</v>
      </c>
      <c r="AR66" s="83">
        <v>159736.24</v>
      </c>
      <c r="AS66" s="83">
        <v>332715.90000000002</v>
      </c>
      <c r="AT66" s="80"/>
      <c r="AU66" s="80">
        <v>118.21267032925087</v>
      </c>
    </row>
    <row r="67" spans="1:48" x14ac:dyDescent="0.2">
      <c r="B67" s="22"/>
      <c r="C67" s="22"/>
      <c r="D67" s="22"/>
      <c r="E67" s="23"/>
      <c r="F67" s="23"/>
      <c r="G67" s="22"/>
      <c r="H67" s="22"/>
      <c r="I67" s="22"/>
      <c r="J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3"/>
      <c r="AU67" s="23"/>
    </row>
    <row r="68" spans="1:48" ht="15" x14ac:dyDescent="0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785"/>
      <c r="AT68" s="16"/>
      <c r="AU68" s="16"/>
      <c r="AV68" s="16"/>
    </row>
    <row r="69" spans="1:48" ht="15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ht="15" x14ac:dyDescent="0.25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ht="15" x14ac:dyDescent="0.25">
      <c r="A71" s="16"/>
      <c r="B71" s="16"/>
      <c r="C71" s="16"/>
      <c r="D71" s="16"/>
    </row>
    <row r="72" spans="1:48" ht="15" x14ac:dyDescent="0.25">
      <c r="A72" s="16"/>
      <c r="B72" s="16"/>
      <c r="C72" s="16"/>
      <c r="D72" s="16"/>
    </row>
    <row r="73" spans="1:48" ht="15" x14ac:dyDescent="0.25">
      <c r="A73" s="16"/>
      <c r="B73" s="16"/>
      <c r="C73" s="16"/>
      <c r="D73" s="16"/>
    </row>
    <row r="74" spans="1:48" ht="15" x14ac:dyDescent="0.25">
      <c r="A74" s="16"/>
      <c r="B74" s="16"/>
      <c r="C74" s="16"/>
      <c r="D74" s="16"/>
    </row>
  </sheetData>
  <pageMargins left="0.75" right="0.75" top="1" bottom="1" header="0.5" footer="0.5"/>
  <pageSetup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C000"/>
  </sheetPr>
  <dimension ref="A1:AU70"/>
  <sheetViews>
    <sheetView workbookViewId="0">
      <pane xSplit="1" ySplit="1" topLeftCell="G2" activePane="bottomRight" state="frozen"/>
      <selection activeCell="A73" sqref="A73"/>
      <selection pane="topRight" activeCell="A73" sqref="A73"/>
      <selection pane="bottomLeft" activeCell="A73" sqref="A73"/>
      <selection pane="bottomRight" sqref="A1:AU61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customWidth="1" outlineLevel="1"/>
    <col min="8" max="8" width="8.5703125" customWidth="1" outlineLevel="1"/>
    <col min="9" max="18" width="9.42578125" customWidth="1" outlineLevel="1"/>
    <col min="19" max="19" width="15.42578125" customWidth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9.42578125" collapsed="1"/>
    <col min="46" max="47" width="10.5703125" customWidth="1"/>
  </cols>
  <sheetData>
    <row r="1" spans="1:47" ht="31.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hidden="1" outlineLevel="1" x14ac:dyDescent="0.2">
      <c r="A2" s="61" t="s">
        <v>160</v>
      </c>
      <c r="B2" s="62">
        <v>6159.65</v>
      </c>
      <c r="C2" s="54">
        <v>0</v>
      </c>
      <c r="D2" s="54">
        <v>6449.09</v>
      </c>
      <c r="E2" s="63"/>
      <c r="F2" s="64">
        <v>95.511924938247105</v>
      </c>
      <c r="G2" s="65">
        <v>8076.91</v>
      </c>
      <c r="H2" s="54">
        <v>7692.31</v>
      </c>
      <c r="I2" s="54">
        <v>14009.17</v>
      </c>
      <c r="J2" s="54">
        <v>6159.65</v>
      </c>
      <c r="K2" s="54">
        <v>0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35938.04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14245.36</v>
      </c>
      <c r="AH2" s="67">
        <v>13944.71</v>
      </c>
      <c r="AI2" s="67">
        <v>15632.03</v>
      </c>
      <c r="AJ2" s="67">
        <v>6449.09</v>
      </c>
      <c r="AK2" s="67">
        <v>14438.21</v>
      </c>
      <c r="AL2" s="67">
        <v>8695.06</v>
      </c>
      <c r="AM2" s="67">
        <v>5769.25</v>
      </c>
      <c r="AN2" s="67">
        <v>8923.08</v>
      </c>
      <c r="AO2" s="67">
        <v>8461.39</v>
      </c>
      <c r="AP2" s="67">
        <v>8076.95</v>
      </c>
      <c r="AQ2" s="67">
        <v>8846.17</v>
      </c>
      <c r="AR2" s="67">
        <v>5769.24</v>
      </c>
      <c r="AS2" s="68">
        <v>50271.19</v>
      </c>
      <c r="AT2" s="63"/>
      <c r="AU2" s="63">
        <v>71.488341533192269</v>
      </c>
    </row>
    <row r="3" spans="1:47" ht="12.75" hidden="1" customHeight="1" outlineLevel="1" x14ac:dyDescent="0.2">
      <c r="A3" s="61" t="s">
        <v>161</v>
      </c>
      <c r="B3" s="62">
        <v>729.13</v>
      </c>
      <c r="C3" s="54">
        <v>0</v>
      </c>
      <c r="D3" s="54">
        <v>727.99</v>
      </c>
      <c r="E3" s="63"/>
      <c r="F3" s="64">
        <v>100.15659555763129</v>
      </c>
      <c r="G3" s="65">
        <v>396.6</v>
      </c>
      <c r="H3" s="54">
        <v>46.75</v>
      </c>
      <c r="I3" s="54">
        <v>1273.3599999999999</v>
      </c>
      <c r="J3" s="54">
        <v>729.13</v>
      </c>
      <c r="K3" s="56">
        <v>-402.64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2445.84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724.16</v>
      </c>
      <c r="AH3" s="67">
        <v>770.25</v>
      </c>
      <c r="AI3" s="67">
        <v>934.76</v>
      </c>
      <c r="AJ3" s="67">
        <v>727.99</v>
      </c>
      <c r="AK3" s="67">
        <v>700.37</v>
      </c>
      <c r="AL3" s="67">
        <v>375.06</v>
      </c>
      <c r="AM3" s="67">
        <v>401.25</v>
      </c>
      <c r="AN3" s="67">
        <v>427.67</v>
      </c>
      <c r="AO3" s="67">
        <v>50.77</v>
      </c>
      <c r="AP3" s="67">
        <v>563.24</v>
      </c>
      <c r="AQ3" s="67">
        <v>593.07000000000005</v>
      </c>
      <c r="AR3" s="67">
        <v>586.80999999999995</v>
      </c>
      <c r="AS3" s="68">
        <v>3157.16</v>
      </c>
      <c r="AT3" s="63"/>
      <c r="AU3" s="63">
        <v>77.469624599323438</v>
      </c>
    </row>
    <row r="4" spans="1:47" ht="12.75" hidden="1" customHeight="1" outlineLevel="1" x14ac:dyDescent="0.2">
      <c r="A4" s="61" t="s">
        <v>162</v>
      </c>
      <c r="B4" s="62">
        <v>6730.72</v>
      </c>
      <c r="C4" s="54">
        <v>0</v>
      </c>
      <c r="D4" s="54">
        <v>10013.709999999999</v>
      </c>
      <c r="E4" s="63"/>
      <c r="F4" s="64">
        <v>67.215048168960351</v>
      </c>
      <c r="G4" s="65">
        <v>2316.16</v>
      </c>
      <c r="H4" s="54">
        <v>586.82000000000005</v>
      </c>
      <c r="I4" s="56">
        <v>-2277.88</v>
      </c>
      <c r="J4" s="54">
        <v>6730.72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7355.82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951.42</v>
      </c>
      <c r="AH4" s="67">
        <v>6679.57</v>
      </c>
      <c r="AI4" s="67">
        <v>1222.53</v>
      </c>
      <c r="AJ4" s="67">
        <v>10013.709999999999</v>
      </c>
      <c r="AK4" s="67">
        <v>619.89</v>
      </c>
      <c r="AL4" s="67">
        <v>1547.76</v>
      </c>
      <c r="AM4" s="67">
        <v>1846.73</v>
      </c>
      <c r="AN4" s="67">
        <v>429.93</v>
      </c>
      <c r="AO4" s="67">
        <v>1344.29</v>
      </c>
      <c r="AP4" s="67">
        <v>914.53</v>
      </c>
      <c r="AQ4" s="98">
        <v>-494.51</v>
      </c>
      <c r="AR4" s="67">
        <v>845.83</v>
      </c>
      <c r="AS4" s="68">
        <v>18867.23</v>
      </c>
      <c r="AT4" s="63"/>
      <c r="AU4" s="63">
        <v>38.987281121818093</v>
      </c>
    </row>
    <row r="5" spans="1:47" hidden="1" outlineLevel="1" x14ac:dyDescent="0.2">
      <c r="A5" s="61" t="s">
        <v>163</v>
      </c>
      <c r="B5" s="62">
        <v>1815</v>
      </c>
      <c r="C5" s="54">
        <v>0</v>
      </c>
      <c r="D5" s="54">
        <v>1736.21</v>
      </c>
      <c r="E5" s="63"/>
      <c r="F5" s="64">
        <v>104.53804551292758</v>
      </c>
      <c r="G5" s="65">
        <v>1736.21</v>
      </c>
      <c r="H5" s="54">
        <v>1736.21</v>
      </c>
      <c r="I5" s="54">
        <v>1972.58</v>
      </c>
      <c r="J5" s="54">
        <v>1815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7260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1719</v>
      </c>
      <c r="AH5" s="67">
        <v>1719</v>
      </c>
      <c r="AI5" s="67">
        <v>1719</v>
      </c>
      <c r="AJ5" s="67">
        <v>1736.21</v>
      </c>
      <c r="AK5" s="67">
        <v>1736.21</v>
      </c>
      <c r="AL5" s="67">
        <v>1736.21</v>
      </c>
      <c r="AM5" s="67">
        <v>1736.21</v>
      </c>
      <c r="AN5" s="67">
        <v>1736.21</v>
      </c>
      <c r="AO5" s="67">
        <v>1736.21</v>
      </c>
      <c r="AP5" s="67">
        <v>1736.21</v>
      </c>
      <c r="AQ5" s="98">
        <v>-17335.79</v>
      </c>
      <c r="AR5" s="67">
        <v>0</v>
      </c>
      <c r="AS5" s="68">
        <v>6893.21</v>
      </c>
      <c r="AT5" s="63"/>
      <c r="AU5" s="63">
        <v>105.32103330668876</v>
      </c>
    </row>
    <row r="6" spans="1:47" hidden="1" outlineLevel="1" x14ac:dyDescent="0.2">
      <c r="A6" s="61" t="s">
        <v>164</v>
      </c>
      <c r="B6" s="62">
        <v>0</v>
      </c>
      <c r="C6" s="54">
        <v>0</v>
      </c>
      <c r="D6" s="54">
        <v>101.22</v>
      </c>
      <c r="E6" s="63"/>
      <c r="F6" s="64">
        <v>0</v>
      </c>
      <c r="G6" s="65">
        <v>0</v>
      </c>
      <c r="H6" s="54">
        <v>0</v>
      </c>
      <c r="I6" s="54">
        <v>0</v>
      </c>
      <c r="J6" s="54">
        <v>0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0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0</v>
      </c>
      <c r="AH6" s="67">
        <v>0</v>
      </c>
      <c r="AI6" s="67">
        <v>11.88</v>
      </c>
      <c r="AJ6" s="67">
        <v>101.22</v>
      </c>
      <c r="AK6" s="67">
        <v>101.22</v>
      </c>
      <c r="AL6" s="67">
        <v>101.22</v>
      </c>
      <c r="AM6" s="67">
        <v>101.22</v>
      </c>
      <c r="AN6" s="67">
        <v>101.22</v>
      </c>
      <c r="AO6" s="67">
        <v>101.22</v>
      </c>
      <c r="AP6" s="67">
        <v>89.34</v>
      </c>
      <c r="AQ6" s="67">
        <v>89.34</v>
      </c>
      <c r="AR6" s="67">
        <v>89.34</v>
      </c>
      <c r="AS6" s="68">
        <v>113.1</v>
      </c>
      <c r="AT6" s="63"/>
      <c r="AU6" s="63">
        <v>0</v>
      </c>
    </row>
    <row r="7" spans="1:47" hidden="1" outlineLevel="1" x14ac:dyDescent="0.2">
      <c r="A7" s="61" t="s">
        <v>165</v>
      </c>
      <c r="B7" s="62">
        <v>1524.02</v>
      </c>
      <c r="C7" s="54">
        <v>0</v>
      </c>
      <c r="D7" s="54">
        <v>1820.27</v>
      </c>
      <c r="E7" s="63"/>
      <c r="F7" s="64">
        <v>83.724941904223002</v>
      </c>
      <c r="G7" s="65">
        <v>848.08</v>
      </c>
      <c r="H7" s="54">
        <v>888.47</v>
      </c>
      <c r="I7" s="54">
        <v>1616.36</v>
      </c>
      <c r="J7" s="54">
        <v>1524.02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4876.93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1805.7</v>
      </c>
      <c r="AH7" s="67">
        <v>1894.55</v>
      </c>
      <c r="AI7" s="67">
        <v>1980.67</v>
      </c>
      <c r="AJ7" s="67">
        <v>1820.27</v>
      </c>
      <c r="AK7" s="67">
        <v>1759.49</v>
      </c>
      <c r="AL7" s="67">
        <v>933.81</v>
      </c>
      <c r="AM7" s="67">
        <v>807.71</v>
      </c>
      <c r="AN7" s="67">
        <v>846.16</v>
      </c>
      <c r="AO7" s="67">
        <v>846.16</v>
      </c>
      <c r="AP7" s="67">
        <v>861.55</v>
      </c>
      <c r="AQ7" s="67">
        <v>928.86</v>
      </c>
      <c r="AR7" s="67">
        <v>888.47</v>
      </c>
      <c r="AS7" s="68">
        <v>7501.19</v>
      </c>
      <c r="AT7" s="63"/>
      <c r="AU7" s="63">
        <v>65.015417553748136</v>
      </c>
    </row>
    <row r="8" spans="1:47" ht="12.75" customHeight="1" collapsed="1" x14ac:dyDescent="0.2">
      <c r="A8" s="69" t="s">
        <v>166</v>
      </c>
      <c r="B8" s="70">
        <v>16958.52</v>
      </c>
      <c r="C8" s="71">
        <v>0</v>
      </c>
      <c r="D8" s="71">
        <v>20848.490000000002</v>
      </c>
      <c r="E8" s="72"/>
      <c r="F8" s="73">
        <v>81.341718273121941</v>
      </c>
      <c r="G8" s="70">
        <v>13373.96</v>
      </c>
      <c r="H8" s="71">
        <v>10950.56</v>
      </c>
      <c r="I8" s="71">
        <v>16593.59</v>
      </c>
      <c r="J8" s="71">
        <v>16958.52</v>
      </c>
      <c r="K8" s="74">
        <v>-402.64</v>
      </c>
      <c r="L8" s="71">
        <v>0</v>
      </c>
      <c r="M8" s="71">
        <v>0</v>
      </c>
      <c r="N8" s="71">
        <v>0</v>
      </c>
      <c r="O8" s="71">
        <v>0</v>
      </c>
      <c r="P8" s="71">
        <v>0</v>
      </c>
      <c r="Q8" s="71">
        <v>0</v>
      </c>
      <c r="R8" s="71">
        <v>0</v>
      </c>
      <c r="S8" s="71">
        <v>57876.63</v>
      </c>
      <c r="T8" s="71">
        <v>0</v>
      </c>
      <c r="U8" s="71">
        <v>0</v>
      </c>
      <c r="V8" s="71">
        <v>0</v>
      </c>
      <c r="W8" s="71">
        <v>0</v>
      </c>
      <c r="X8" s="71">
        <v>0</v>
      </c>
      <c r="Y8" s="71">
        <v>0</v>
      </c>
      <c r="Z8" s="71">
        <v>0</v>
      </c>
      <c r="AA8" s="71">
        <v>0</v>
      </c>
      <c r="AB8" s="71">
        <v>0</v>
      </c>
      <c r="AC8" s="71">
        <v>0</v>
      </c>
      <c r="AD8" s="71">
        <v>0</v>
      </c>
      <c r="AE8" s="71">
        <v>0</v>
      </c>
      <c r="AF8" s="71">
        <v>0</v>
      </c>
      <c r="AG8" s="75">
        <v>19445.64</v>
      </c>
      <c r="AH8" s="75">
        <v>25008.080000000002</v>
      </c>
      <c r="AI8" s="75">
        <v>21500.87</v>
      </c>
      <c r="AJ8" s="75">
        <v>20848.490000000002</v>
      </c>
      <c r="AK8" s="75">
        <v>19355.39</v>
      </c>
      <c r="AL8" s="75">
        <v>13389.12</v>
      </c>
      <c r="AM8" s="75">
        <v>10662.37</v>
      </c>
      <c r="AN8" s="75">
        <v>12464.27</v>
      </c>
      <c r="AO8" s="75">
        <v>12540.04</v>
      </c>
      <c r="AP8" s="75">
        <v>12241.82</v>
      </c>
      <c r="AQ8" s="134">
        <v>-7372.86</v>
      </c>
      <c r="AR8" s="75">
        <v>8179.69</v>
      </c>
      <c r="AS8" s="75">
        <v>86803.08</v>
      </c>
      <c r="AT8" s="72"/>
      <c r="AU8" s="72">
        <v>66.675779246542859</v>
      </c>
    </row>
    <row r="9" spans="1:47" ht="12.75" customHeight="1" x14ac:dyDescent="0.2">
      <c r="A9" s="61" t="s">
        <v>167</v>
      </c>
      <c r="B9" s="62"/>
      <c r="C9" s="54"/>
      <c r="D9" s="54"/>
      <c r="E9" s="63"/>
      <c r="F9" s="64"/>
      <c r="G9" s="65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66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66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8"/>
      <c r="AT9" s="63"/>
      <c r="AU9" s="63"/>
    </row>
    <row r="10" spans="1:47" ht="12.75" customHeight="1" x14ac:dyDescent="0.2">
      <c r="A10" s="61" t="s">
        <v>168</v>
      </c>
      <c r="B10" s="62"/>
      <c r="C10" s="54"/>
      <c r="D10" s="54"/>
      <c r="E10" s="63"/>
      <c r="F10" s="64"/>
      <c r="G10" s="65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66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8"/>
      <c r="AT10" s="63"/>
      <c r="AU10" s="63"/>
    </row>
    <row r="11" spans="1:47" ht="12.75" customHeight="1" x14ac:dyDescent="0.2">
      <c r="A11" s="61" t="s">
        <v>169</v>
      </c>
      <c r="B11" s="62"/>
      <c r="C11" s="54"/>
      <c r="D11" s="54"/>
      <c r="E11" s="63"/>
      <c r="F11" s="64"/>
      <c r="G11" s="65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66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66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8"/>
      <c r="AT11" s="63"/>
      <c r="AU11" s="63"/>
    </row>
    <row r="12" spans="1:47" ht="12.75" customHeight="1" x14ac:dyDescent="0.2">
      <c r="A12" s="61" t="s">
        <v>50</v>
      </c>
      <c r="B12" s="62"/>
      <c r="C12" s="54"/>
      <c r="D12" s="54"/>
      <c r="E12" s="63"/>
      <c r="F12" s="64"/>
      <c r="G12" s="65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66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6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8"/>
      <c r="AT12" s="63"/>
      <c r="AU12" s="63"/>
    </row>
    <row r="13" spans="1:47" s="365" customFormat="1" ht="12.75" customHeight="1" x14ac:dyDescent="0.2">
      <c r="A13" s="61" t="s">
        <v>170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47" ht="12.75" customHeight="1" x14ac:dyDescent="0.2">
      <c r="A14" s="61" t="s">
        <v>171</v>
      </c>
      <c r="B14" s="62">
        <v>0</v>
      </c>
      <c r="C14" s="54"/>
      <c r="D14" s="54">
        <v>0</v>
      </c>
      <c r="E14" s="63"/>
      <c r="F14" s="64"/>
      <c r="G14" s="65">
        <v>0</v>
      </c>
      <c r="H14" s="54">
        <v>0</v>
      </c>
      <c r="I14" s="54">
        <v>0</v>
      </c>
      <c r="J14" s="54">
        <v>0</v>
      </c>
      <c r="K14" s="54">
        <v>0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0</v>
      </c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66"/>
      <c r="AG14" s="67">
        <v>0</v>
      </c>
      <c r="AH14" s="67">
        <v>0</v>
      </c>
      <c r="AI14" s="67">
        <v>0</v>
      </c>
      <c r="AJ14" s="67">
        <v>0</v>
      </c>
      <c r="AK14" s="67">
        <v>0</v>
      </c>
      <c r="AL14" s="67">
        <v>0</v>
      </c>
      <c r="AM14" s="67">
        <v>0</v>
      </c>
      <c r="AN14" s="67">
        <v>0</v>
      </c>
      <c r="AO14" s="67">
        <v>0</v>
      </c>
      <c r="AP14" s="67">
        <v>0</v>
      </c>
      <c r="AQ14" s="67">
        <v>0</v>
      </c>
      <c r="AR14" s="67">
        <v>0</v>
      </c>
      <c r="AS14" s="68">
        <v>0</v>
      </c>
      <c r="AT14" s="63"/>
      <c r="AU14" s="63"/>
    </row>
    <row r="15" spans="1:47" ht="12.75" customHeight="1" x14ac:dyDescent="0.2">
      <c r="A15" s="61" t="s">
        <v>172</v>
      </c>
      <c r="B15" s="62"/>
      <c r="C15" s="54"/>
      <c r="D15" s="54"/>
      <c r="E15" s="63"/>
      <c r="F15" s="64"/>
      <c r="G15" s="65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66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66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8"/>
      <c r="AT15" s="63"/>
      <c r="AU15" s="63"/>
    </row>
    <row r="16" spans="1:47" ht="12.75" customHeight="1" x14ac:dyDescent="0.2">
      <c r="A16" s="61" t="s">
        <v>173</v>
      </c>
      <c r="B16" s="62"/>
      <c r="C16" s="54"/>
      <c r="D16" s="54"/>
      <c r="E16" s="63"/>
      <c r="F16" s="64"/>
      <c r="G16" s="65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66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66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8"/>
      <c r="AT16" s="63"/>
      <c r="AU16" s="63"/>
    </row>
    <row r="17" spans="1:47" ht="12.75" customHeight="1" x14ac:dyDescent="0.2">
      <c r="A17" s="61" t="s">
        <v>257</v>
      </c>
      <c r="B17" s="62">
        <v>844.2</v>
      </c>
      <c r="C17" s="54"/>
      <c r="D17" s="54">
        <v>791.71</v>
      </c>
      <c r="E17" s="63"/>
      <c r="F17" s="64">
        <v>106.62995288678935</v>
      </c>
      <c r="G17" s="65">
        <v>856.51</v>
      </c>
      <c r="H17" s="54">
        <v>856.51</v>
      </c>
      <c r="I17" s="54">
        <v>856</v>
      </c>
      <c r="J17" s="54">
        <v>844.2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3413.22</v>
      </c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66"/>
      <c r="AG17" s="67">
        <v>0</v>
      </c>
      <c r="AH17" s="67">
        <v>0</v>
      </c>
      <c r="AI17" s="67">
        <v>1057.1300000000001</v>
      </c>
      <c r="AJ17" s="67">
        <v>791.71</v>
      </c>
      <c r="AK17" s="67">
        <v>823.88</v>
      </c>
      <c r="AL17" s="67">
        <v>822.82</v>
      </c>
      <c r="AM17" s="67">
        <v>822.81</v>
      </c>
      <c r="AN17" s="67">
        <v>821.08</v>
      </c>
      <c r="AO17" s="67">
        <v>822.19</v>
      </c>
      <c r="AP17" s="67">
        <v>842.81</v>
      </c>
      <c r="AQ17" s="67">
        <v>832.48</v>
      </c>
      <c r="AR17" s="67">
        <v>878.93</v>
      </c>
      <c r="AS17" s="68">
        <v>1848.84</v>
      </c>
      <c r="AT17" s="63"/>
      <c r="AU17" s="63">
        <v>184.61413643149217</v>
      </c>
    </row>
    <row r="18" spans="1:47" ht="12.75" hidden="1" customHeight="1" outlineLevel="1" x14ac:dyDescent="0.2">
      <c r="A18" s="61" t="s">
        <v>109</v>
      </c>
      <c r="B18" s="62"/>
      <c r="C18" s="54"/>
      <c r="D18" s="54"/>
      <c r="E18" s="63"/>
      <c r="F18" s="64"/>
      <c r="G18" s="65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66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66"/>
      <c r="AG18" s="67"/>
      <c r="AH18" s="67"/>
      <c r="AI18" s="67"/>
      <c r="AJ18" s="67"/>
      <c r="AK18" s="67"/>
      <c r="AL18" s="67"/>
      <c r="AM18" s="67"/>
      <c r="AN18" s="67"/>
      <c r="AO18" s="67"/>
      <c r="AP18" s="67"/>
      <c r="AQ18" s="67"/>
      <c r="AR18" s="67"/>
      <c r="AS18" s="68"/>
      <c r="AT18" s="63"/>
      <c r="AU18" s="63"/>
    </row>
    <row r="19" spans="1:47" ht="12.75" hidden="1" customHeight="1" outlineLevel="1" x14ac:dyDescent="0.2">
      <c r="A19" s="61" t="s">
        <v>97</v>
      </c>
      <c r="B19" s="62"/>
      <c r="C19" s="54"/>
      <c r="D19" s="54"/>
      <c r="E19" s="63"/>
      <c r="F19" s="64"/>
      <c r="G19" s="65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66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66"/>
      <c r="AG19" s="67"/>
      <c r="AH19" s="67"/>
      <c r="AI19" s="67"/>
      <c r="AJ19" s="67"/>
      <c r="AK19" s="67"/>
      <c r="AL19" s="67"/>
      <c r="AM19" s="67"/>
      <c r="AN19" s="67"/>
      <c r="AO19" s="67"/>
      <c r="AP19" s="67"/>
      <c r="AQ19" s="67"/>
      <c r="AR19" s="67"/>
      <c r="AS19" s="68"/>
      <c r="AT19" s="63"/>
      <c r="AU19" s="63"/>
    </row>
    <row r="20" spans="1:47" ht="12.75" hidden="1" customHeight="1" outlineLevel="1" x14ac:dyDescent="0.2">
      <c r="A20" s="61" t="s">
        <v>69</v>
      </c>
      <c r="B20" s="62"/>
      <c r="C20" s="54"/>
      <c r="D20" s="54"/>
      <c r="E20" s="63"/>
      <c r="F20" s="64"/>
      <c r="G20" s="65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66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66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8"/>
      <c r="AT20" s="63"/>
      <c r="AU20" s="63"/>
    </row>
    <row r="21" spans="1:47" ht="12.75" customHeight="1" collapsed="1" x14ac:dyDescent="0.2">
      <c r="A21" s="69" t="s">
        <v>70</v>
      </c>
      <c r="B21" s="70"/>
      <c r="C21" s="71"/>
      <c r="D21" s="71"/>
      <c r="E21" s="72"/>
      <c r="F21" s="73"/>
      <c r="G21" s="70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2"/>
      <c r="AU21" s="72"/>
    </row>
    <row r="22" spans="1:47" ht="12.75" hidden="1" customHeight="1" outlineLevel="1" x14ac:dyDescent="0.2">
      <c r="A22" s="61" t="s">
        <v>174</v>
      </c>
      <c r="B22" s="62"/>
      <c r="C22" s="54"/>
      <c r="D22" s="54"/>
      <c r="E22" s="63"/>
      <c r="F22" s="64"/>
      <c r="G22" s="65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66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66"/>
      <c r="AG22" s="67"/>
      <c r="AH22" s="67"/>
      <c r="AI22" s="67"/>
      <c r="AJ22" s="67"/>
      <c r="AK22" s="67"/>
      <c r="AL22" s="67"/>
      <c r="AM22" s="67"/>
      <c r="AN22" s="67"/>
      <c r="AO22" s="67"/>
      <c r="AP22" s="67"/>
      <c r="AQ22" s="67"/>
      <c r="AR22" s="67"/>
      <c r="AS22" s="68"/>
      <c r="AT22" s="63"/>
      <c r="AU22" s="63"/>
    </row>
    <row r="23" spans="1:47" ht="12.75" hidden="1" customHeight="1" outlineLevel="1" x14ac:dyDescent="0.2">
      <c r="A23" s="61" t="s">
        <v>99</v>
      </c>
      <c r="B23" s="62">
        <v>0</v>
      </c>
      <c r="C23" s="54">
        <v>0</v>
      </c>
      <c r="D23" s="54">
        <v>216.94</v>
      </c>
      <c r="E23" s="63"/>
      <c r="F23" s="64">
        <v>0</v>
      </c>
      <c r="G23" s="65">
        <v>0</v>
      </c>
      <c r="H23" s="54">
        <v>0</v>
      </c>
      <c r="I23" s="54">
        <v>0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0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0</v>
      </c>
      <c r="AH23" s="67">
        <v>0</v>
      </c>
      <c r="AI23" s="67">
        <v>275.68</v>
      </c>
      <c r="AJ23" s="67">
        <v>216.94</v>
      </c>
      <c r="AK23" s="67">
        <v>345.22</v>
      </c>
      <c r="AL23" s="67">
        <v>921.89</v>
      </c>
      <c r="AM23" s="98">
        <v>-46.74</v>
      </c>
      <c r="AN23" s="98">
        <v>-354.37</v>
      </c>
      <c r="AO23" s="67">
        <v>0</v>
      </c>
      <c r="AP23" s="67">
        <v>0</v>
      </c>
      <c r="AQ23" s="67">
        <v>0</v>
      </c>
      <c r="AR23" s="67">
        <v>0</v>
      </c>
      <c r="AS23" s="68">
        <v>492.62</v>
      </c>
      <c r="AT23" s="63"/>
      <c r="AU23" s="63">
        <v>0</v>
      </c>
    </row>
    <row r="24" spans="1:47" ht="12.75" hidden="1" customHeight="1" outlineLevel="1" x14ac:dyDescent="0.2">
      <c r="A24" s="61" t="s">
        <v>175</v>
      </c>
      <c r="B24" s="62"/>
      <c r="C24" s="54"/>
      <c r="D24" s="54"/>
      <c r="E24" s="63"/>
      <c r="F24" s="64"/>
      <c r="G24" s="65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66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66"/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8"/>
      <c r="AT24" s="63"/>
      <c r="AU24" s="63"/>
    </row>
    <row r="25" spans="1:47" ht="12.75" hidden="1" customHeight="1" outlineLevel="1" x14ac:dyDescent="0.2">
      <c r="A25" s="61" t="s">
        <v>101</v>
      </c>
      <c r="B25" s="62">
        <v>0</v>
      </c>
      <c r="C25" s="54">
        <v>0</v>
      </c>
      <c r="D25" s="54">
        <v>0</v>
      </c>
      <c r="E25" s="63"/>
      <c r="F25" s="64"/>
      <c r="G25" s="65">
        <v>250.92</v>
      </c>
      <c r="H25" s="54">
        <v>0</v>
      </c>
      <c r="I25" s="54">
        <v>0</v>
      </c>
      <c r="J25" s="54">
        <v>0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250.92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0</v>
      </c>
      <c r="AH25" s="67">
        <v>0</v>
      </c>
      <c r="AI25" s="67">
        <v>0</v>
      </c>
      <c r="AJ25" s="67">
        <v>0</v>
      </c>
      <c r="AK25" s="67">
        <v>0</v>
      </c>
      <c r="AL25" s="67">
        <v>0</v>
      </c>
      <c r="AM25" s="67">
        <v>0</v>
      </c>
      <c r="AN25" s="67">
        <v>847.27</v>
      </c>
      <c r="AO25" s="67">
        <v>0</v>
      </c>
      <c r="AP25" s="67">
        <v>0</v>
      </c>
      <c r="AQ25" s="67">
        <v>0</v>
      </c>
      <c r="AR25" s="67">
        <v>0</v>
      </c>
      <c r="AS25" s="68">
        <v>0</v>
      </c>
      <c r="AT25" s="63"/>
      <c r="AU25" s="63"/>
    </row>
    <row r="26" spans="1:47" ht="12.75" hidden="1" customHeight="1" outlineLevel="1" x14ac:dyDescent="0.2">
      <c r="A26" s="61" t="s">
        <v>176</v>
      </c>
      <c r="B26" s="62">
        <v>51.12</v>
      </c>
      <c r="C26" s="54">
        <v>0</v>
      </c>
      <c r="D26" s="54">
        <v>0</v>
      </c>
      <c r="E26" s="63"/>
      <c r="F26" s="64"/>
      <c r="G26" s="65">
        <v>59.1</v>
      </c>
      <c r="H26" s="54">
        <v>50.04</v>
      </c>
      <c r="I26" s="54">
        <v>48.26</v>
      </c>
      <c r="J26" s="54">
        <v>51.12</v>
      </c>
      <c r="K26" s="54">
        <v>0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208.52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67.47</v>
      </c>
      <c r="AH26" s="67">
        <v>67.47</v>
      </c>
      <c r="AI26" s="67">
        <v>162.44999999999999</v>
      </c>
      <c r="AJ26" s="67">
        <v>0</v>
      </c>
      <c r="AK26" s="67">
        <v>37.53</v>
      </c>
      <c r="AL26" s="67">
        <v>37.53</v>
      </c>
      <c r="AM26" s="67">
        <v>134.88</v>
      </c>
      <c r="AN26" s="67">
        <v>98.27</v>
      </c>
      <c r="AO26" s="67">
        <v>0</v>
      </c>
      <c r="AP26" s="67">
        <v>0</v>
      </c>
      <c r="AQ26" s="67">
        <v>122.12</v>
      </c>
      <c r="AR26" s="67">
        <v>64.06</v>
      </c>
      <c r="AS26" s="68">
        <v>297.39</v>
      </c>
      <c r="AT26" s="63"/>
      <c r="AU26" s="63">
        <v>70.116681798311987</v>
      </c>
    </row>
    <row r="27" spans="1:47" ht="12.75" hidden="1" customHeight="1" outlineLevel="1" x14ac:dyDescent="0.2">
      <c r="A27" s="61" t="s">
        <v>102</v>
      </c>
      <c r="B27" s="62"/>
      <c r="C27" s="54"/>
      <c r="D27" s="54"/>
      <c r="E27" s="63"/>
      <c r="F27" s="64"/>
      <c r="G27" s="65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66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66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8"/>
      <c r="AT27" s="63"/>
      <c r="AU27" s="63"/>
    </row>
    <row r="28" spans="1:47" ht="12.75" hidden="1" customHeight="1" outlineLevel="1" x14ac:dyDescent="0.2">
      <c r="A28" s="61" t="s">
        <v>75</v>
      </c>
      <c r="B28" s="62"/>
      <c r="C28" s="54">
        <v>0</v>
      </c>
      <c r="D28" s="54"/>
      <c r="E28" s="63"/>
      <c r="F28" s="64"/>
      <c r="G28" s="65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66"/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/>
      <c r="AH28" s="67"/>
      <c r="AI28" s="67"/>
      <c r="AJ28" s="67"/>
      <c r="AK28" s="67"/>
      <c r="AL28" s="67"/>
      <c r="AM28" s="67"/>
      <c r="AN28" s="67"/>
      <c r="AO28" s="67"/>
      <c r="AP28" s="67"/>
      <c r="AQ28" s="67"/>
      <c r="AR28" s="67"/>
      <c r="AS28" s="68"/>
      <c r="AT28" s="63"/>
      <c r="AU28" s="63"/>
    </row>
    <row r="29" spans="1:47" ht="12.75" hidden="1" customHeight="1" outlineLevel="1" x14ac:dyDescent="0.2">
      <c r="A29" s="61" t="s">
        <v>76</v>
      </c>
      <c r="B29" s="62">
        <v>0</v>
      </c>
      <c r="C29" s="54">
        <v>0</v>
      </c>
      <c r="D29" s="54">
        <v>61.85</v>
      </c>
      <c r="E29" s="63"/>
      <c r="F29" s="64">
        <v>0</v>
      </c>
      <c r="G29" s="65">
        <v>123.7</v>
      </c>
      <c r="H29" s="54">
        <v>66.37</v>
      </c>
      <c r="I29" s="54">
        <v>132.72</v>
      </c>
      <c r="J29" s="54">
        <v>0</v>
      </c>
      <c r="K29" s="56">
        <v>-66.37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322.79000000000002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0</v>
      </c>
      <c r="AH29" s="67">
        <v>0</v>
      </c>
      <c r="AI29" s="67">
        <v>96.35</v>
      </c>
      <c r="AJ29" s="67">
        <v>61.85</v>
      </c>
      <c r="AK29" s="67">
        <v>61.85</v>
      </c>
      <c r="AL29" s="67">
        <v>61.85</v>
      </c>
      <c r="AM29" s="67">
        <v>61.85</v>
      </c>
      <c r="AN29" s="67">
        <v>61.85</v>
      </c>
      <c r="AO29" s="67">
        <v>61.85</v>
      </c>
      <c r="AP29" s="67">
        <v>61.85</v>
      </c>
      <c r="AQ29" s="67">
        <v>61.85</v>
      </c>
      <c r="AR29" s="67">
        <v>0</v>
      </c>
      <c r="AS29" s="68">
        <v>158.19999999999999</v>
      </c>
      <c r="AT29" s="63"/>
      <c r="AU29" s="63">
        <v>204.03919089759799</v>
      </c>
    </row>
    <row r="30" spans="1:47" ht="12.75" hidden="1" customHeight="1" outlineLevel="1" x14ac:dyDescent="0.2">
      <c r="A30" s="61" t="s">
        <v>77</v>
      </c>
      <c r="B30" s="62">
        <v>80</v>
      </c>
      <c r="C30" s="54">
        <v>0</v>
      </c>
      <c r="D30" s="54">
        <v>80</v>
      </c>
      <c r="E30" s="63"/>
      <c r="F30" s="64">
        <v>100</v>
      </c>
      <c r="G30" s="65">
        <v>80</v>
      </c>
      <c r="H30" s="54">
        <v>80</v>
      </c>
      <c r="I30" s="54">
        <v>80</v>
      </c>
      <c r="J30" s="54">
        <v>80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320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65</v>
      </c>
      <c r="AH30" s="67">
        <v>65</v>
      </c>
      <c r="AI30" s="67">
        <v>80</v>
      </c>
      <c r="AJ30" s="67">
        <v>80</v>
      </c>
      <c r="AK30" s="67">
        <v>80</v>
      </c>
      <c r="AL30" s="67">
        <v>80</v>
      </c>
      <c r="AM30" s="67">
        <v>80</v>
      </c>
      <c r="AN30" s="67">
        <v>80</v>
      </c>
      <c r="AO30" s="67">
        <v>80</v>
      </c>
      <c r="AP30" s="67">
        <v>80</v>
      </c>
      <c r="AQ30" s="67">
        <v>80</v>
      </c>
      <c r="AR30" s="67">
        <v>80</v>
      </c>
      <c r="AS30" s="68">
        <v>290</v>
      </c>
      <c r="AT30" s="63"/>
      <c r="AU30" s="63">
        <v>110.34482758620689</v>
      </c>
    </row>
    <row r="31" spans="1:47" ht="12.75" customHeight="1" collapsed="1" x14ac:dyDescent="0.2">
      <c r="A31" s="69" t="s">
        <v>177</v>
      </c>
      <c r="B31" s="70">
        <v>131.12</v>
      </c>
      <c r="C31" s="71">
        <v>0</v>
      </c>
      <c r="D31" s="71">
        <v>358.79</v>
      </c>
      <c r="E31" s="72"/>
      <c r="F31" s="73">
        <v>36.545054209983554</v>
      </c>
      <c r="G31" s="70">
        <v>513.72</v>
      </c>
      <c r="H31" s="71">
        <v>196.41</v>
      </c>
      <c r="I31" s="71">
        <v>260.98</v>
      </c>
      <c r="J31" s="71">
        <v>131.12</v>
      </c>
      <c r="K31" s="74">
        <v>-66.37</v>
      </c>
      <c r="L31" s="71">
        <v>0</v>
      </c>
      <c r="M31" s="71">
        <v>0</v>
      </c>
      <c r="N31" s="71">
        <v>0</v>
      </c>
      <c r="O31" s="71">
        <v>0</v>
      </c>
      <c r="P31" s="71">
        <v>0</v>
      </c>
      <c r="Q31" s="71">
        <v>0</v>
      </c>
      <c r="R31" s="71">
        <v>0</v>
      </c>
      <c r="S31" s="71">
        <v>1102.23</v>
      </c>
      <c r="T31" s="71">
        <v>0</v>
      </c>
      <c r="U31" s="71">
        <v>0</v>
      </c>
      <c r="V31" s="71">
        <v>0</v>
      </c>
      <c r="W31" s="71">
        <v>0</v>
      </c>
      <c r="X31" s="71">
        <v>0</v>
      </c>
      <c r="Y31" s="71">
        <v>0</v>
      </c>
      <c r="Z31" s="71">
        <v>0</v>
      </c>
      <c r="AA31" s="71">
        <v>0</v>
      </c>
      <c r="AB31" s="71">
        <v>0</v>
      </c>
      <c r="AC31" s="71">
        <v>0</v>
      </c>
      <c r="AD31" s="71">
        <v>0</v>
      </c>
      <c r="AE31" s="71">
        <v>0</v>
      </c>
      <c r="AF31" s="71">
        <v>0</v>
      </c>
      <c r="AG31" s="75">
        <v>132.47</v>
      </c>
      <c r="AH31" s="75">
        <v>132.47</v>
      </c>
      <c r="AI31" s="75">
        <v>614.48</v>
      </c>
      <c r="AJ31" s="75">
        <v>358.79</v>
      </c>
      <c r="AK31" s="75">
        <v>524.6</v>
      </c>
      <c r="AL31" s="75">
        <v>1101.27</v>
      </c>
      <c r="AM31" s="75">
        <v>229.99</v>
      </c>
      <c r="AN31" s="75">
        <v>733.02</v>
      </c>
      <c r="AO31" s="75">
        <v>141.85</v>
      </c>
      <c r="AP31" s="75">
        <v>141.85</v>
      </c>
      <c r="AQ31" s="75">
        <v>263.97000000000003</v>
      </c>
      <c r="AR31" s="75">
        <v>144.06</v>
      </c>
      <c r="AS31" s="75">
        <v>1238.21</v>
      </c>
      <c r="AT31" s="72"/>
      <c r="AU31" s="72">
        <v>89.018017945259686</v>
      </c>
    </row>
    <row r="32" spans="1:47" ht="12.75" hidden="1" customHeight="1" outlineLevel="1" x14ac:dyDescent="0.2">
      <c r="A32" s="61" t="s">
        <v>178</v>
      </c>
      <c r="B32" s="62"/>
      <c r="C32" s="54"/>
      <c r="D32" s="54"/>
      <c r="E32" s="63"/>
      <c r="F32" s="64"/>
      <c r="G32" s="65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66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66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8"/>
      <c r="AT32" s="63"/>
      <c r="AU32" s="63"/>
    </row>
    <row r="33" spans="1:47" ht="12.75" hidden="1" customHeight="1" outlineLevel="1" x14ac:dyDescent="0.2">
      <c r="A33" s="61" t="s">
        <v>179</v>
      </c>
      <c r="B33" s="62">
        <v>13.33</v>
      </c>
      <c r="C33" s="54"/>
      <c r="D33" s="54">
        <v>8</v>
      </c>
      <c r="E33" s="63"/>
      <c r="F33" s="64">
        <v>166.625</v>
      </c>
      <c r="G33" s="65">
        <v>13.33</v>
      </c>
      <c r="H33" s="54">
        <v>13.33</v>
      </c>
      <c r="I33" s="54">
        <v>13.33</v>
      </c>
      <c r="J33" s="54">
        <v>13.33</v>
      </c>
      <c r="K33" s="54">
        <v>0</v>
      </c>
      <c r="L33" s="54">
        <v>0</v>
      </c>
      <c r="M33" s="54">
        <v>0</v>
      </c>
      <c r="N33" s="54">
        <v>0</v>
      </c>
      <c r="O33" s="54">
        <v>0</v>
      </c>
      <c r="P33" s="54">
        <v>0</v>
      </c>
      <c r="Q33" s="54">
        <v>0</v>
      </c>
      <c r="R33" s="54">
        <v>0</v>
      </c>
      <c r="S33" s="66">
        <v>53.32</v>
      </c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66"/>
      <c r="AG33" s="67">
        <v>8</v>
      </c>
      <c r="AH33" s="67">
        <v>8</v>
      </c>
      <c r="AI33" s="67">
        <v>8</v>
      </c>
      <c r="AJ33" s="67">
        <v>8</v>
      </c>
      <c r="AK33" s="67">
        <v>8</v>
      </c>
      <c r="AL33" s="67">
        <v>8</v>
      </c>
      <c r="AM33" s="67">
        <v>8</v>
      </c>
      <c r="AN33" s="67">
        <v>8</v>
      </c>
      <c r="AO33" s="67">
        <v>13.33</v>
      </c>
      <c r="AP33" s="67">
        <v>13.33</v>
      </c>
      <c r="AQ33" s="67">
        <v>13.33</v>
      </c>
      <c r="AR33" s="67">
        <v>13.33</v>
      </c>
      <c r="AS33" s="68">
        <v>32</v>
      </c>
      <c r="AT33" s="63"/>
      <c r="AU33" s="63">
        <v>166.625</v>
      </c>
    </row>
    <row r="34" spans="1:47" ht="12.75" hidden="1" customHeight="1" outlineLevel="1" x14ac:dyDescent="0.2">
      <c r="A34" s="61" t="s">
        <v>180</v>
      </c>
      <c r="B34" s="62">
        <v>0</v>
      </c>
      <c r="C34" s="54">
        <v>0</v>
      </c>
      <c r="D34" s="54">
        <v>0</v>
      </c>
      <c r="E34" s="63"/>
      <c r="F34" s="64"/>
      <c r="G34" s="65">
        <v>774.84</v>
      </c>
      <c r="H34" s="54">
        <v>789.8</v>
      </c>
      <c r="I34" s="54">
        <v>0</v>
      </c>
      <c r="J34" s="54">
        <v>0</v>
      </c>
      <c r="K34" s="54">
        <v>0</v>
      </c>
      <c r="L34" s="54">
        <v>0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66">
        <v>1564.64</v>
      </c>
      <c r="T34" s="54">
        <v>0</v>
      </c>
      <c r="U34" s="54">
        <v>0</v>
      </c>
      <c r="V34" s="54">
        <v>0</v>
      </c>
      <c r="W34" s="54">
        <v>0</v>
      </c>
      <c r="X34" s="54">
        <v>0</v>
      </c>
      <c r="Y34" s="54">
        <v>0</v>
      </c>
      <c r="Z34" s="54">
        <v>0</v>
      </c>
      <c r="AA34" s="54">
        <v>0</v>
      </c>
      <c r="AB34" s="54">
        <v>0</v>
      </c>
      <c r="AC34" s="54">
        <v>0</v>
      </c>
      <c r="AD34" s="54">
        <v>0</v>
      </c>
      <c r="AE34" s="54">
        <v>0</v>
      </c>
      <c r="AF34" s="66">
        <v>0</v>
      </c>
      <c r="AG34" s="67">
        <v>0</v>
      </c>
      <c r="AH34" s="67">
        <v>0</v>
      </c>
      <c r="AI34" s="67">
        <v>0</v>
      </c>
      <c r="AJ34" s="67">
        <v>0</v>
      </c>
      <c r="AK34" s="67">
        <v>0</v>
      </c>
      <c r="AL34" s="67">
        <v>0</v>
      </c>
      <c r="AM34" s="67">
        <v>72.73</v>
      </c>
      <c r="AN34" s="67">
        <v>0</v>
      </c>
      <c r="AO34" s="67">
        <v>0</v>
      </c>
      <c r="AP34" s="67">
        <v>0</v>
      </c>
      <c r="AQ34" s="67">
        <v>0</v>
      </c>
      <c r="AR34" s="67">
        <v>635.89</v>
      </c>
      <c r="AS34" s="68">
        <v>0</v>
      </c>
      <c r="AT34" s="63"/>
      <c r="AU34" s="63"/>
    </row>
    <row r="35" spans="1:47" ht="12.75" hidden="1" customHeight="1" outlineLevel="1" x14ac:dyDescent="0.2">
      <c r="A35" s="61" t="s">
        <v>181</v>
      </c>
      <c r="B35" s="62">
        <v>0</v>
      </c>
      <c r="C35" s="54">
        <v>0</v>
      </c>
      <c r="D35" s="54">
        <v>0</v>
      </c>
      <c r="E35" s="63"/>
      <c r="F35" s="64"/>
      <c r="G35" s="65">
        <v>0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0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0</v>
      </c>
      <c r="AH35" s="67">
        <v>0</v>
      </c>
      <c r="AI35" s="67">
        <v>0</v>
      </c>
      <c r="AJ35" s="67">
        <v>0</v>
      </c>
      <c r="AK35" s="67">
        <v>0</v>
      </c>
      <c r="AL35" s="67">
        <v>0</v>
      </c>
      <c r="AM35" s="67">
        <v>0</v>
      </c>
      <c r="AN35" s="67">
        <v>0</v>
      </c>
      <c r="AO35" s="67">
        <v>0</v>
      </c>
      <c r="AP35" s="67">
        <v>0</v>
      </c>
      <c r="AQ35" s="67">
        <v>0</v>
      </c>
      <c r="AR35" s="67">
        <v>0</v>
      </c>
      <c r="AS35" s="68">
        <v>0</v>
      </c>
      <c r="AT35" s="63"/>
      <c r="AU35" s="63"/>
    </row>
    <row r="36" spans="1:47" ht="12.75" hidden="1" customHeight="1" outlineLevel="1" x14ac:dyDescent="0.2">
      <c r="A36" s="61" t="s">
        <v>182</v>
      </c>
      <c r="B36" s="62">
        <v>0</v>
      </c>
      <c r="C36" s="54">
        <v>0</v>
      </c>
      <c r="D36" s="54">
        <v>0</v>
      </c>
      <c r="E36" s="63"/>
      <c r="F36" s="64"/>
      <c r="G36" s="65">
        <v>84.75</v>
      </c>
      <c r="H36" s="54">
        <v>0</v>
      </c>
      <c r="I36" s="54">
        <v>342.4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427.15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>
        <v>0</v>
      </c>
      <c r="AH36" s="67">
        <v>0</v>
      </c>
      <c r="AI36" s="67">
        <v>0</v>
      </c>
      <c r="AJ36" s="67">
        <v>0</v>
      </c>
      <c r="AK36" s="67">
        <v>0</v>
      </c>
      <c r="AL36" s="67">
        <v>0</v>
      </c>
      <c r="AM36" s="67">
        <v>135.19999999999999</v>
      </c>
      <c r="AN36" s="67">
        <v>0</v>
      </c>
      <c r="AO36" s="98">
        <v>-774.84</v>
      </c>
      <c r="AP36" s="67">
        <v>0</v>
      </c>
      <c r="AQ36" s="67">
        <v>0</v>
      </c>
      <c r="AR36" s="67">
        <v>490.91</v>
      </c>
      <c r="AS36" s="68">
        <v>0</v>
      </c>
      <c r="AT36" s="63"/>
      <c r="AU36" s="63"/>
    </row>
    <row r="37" spans="1:47" ht="12.75" hidden="1" customHeight="1" outlineLevel="1" x14ac:dyDescent="0.2">
      <c r="A37" s="61" t="s">
        <v>183</v>
      </c>
      <c r="B37" s="62">
        <v>0</v>
      </c>
      <c r="C37" s="54">
        <v>0</v>
      </c>
      <c r="D37" s="54">
        <v>0</v>
      </c>
      <c r="E37" s="63"/>
      <c r="F37" s="64"/>
      <c r="G37" s="65">
        <v>1256.1600000000001</v>
      </c>
      <c r="H37" s="56">
        <v>-447.4</v>
      </c>
      <c r="I37" s="56">
        <v>-342.4</v>
      </c>
      <c r="J37" s="54">
        <v>0</v>
      </c>
      <c r="K37" s="56">
        <v>-466.36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466.36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0</v>
      </c>
      <c r="AM37" s="67">
        <v>0</v>
      </c>
      <c r="AN37" s="67">
        <v>0</v>
      </c>
      <c r="AO37" s="67">
        <v>774.85</v>
      </c>
      <c r="AP37" s="98">
        <v>-275.24</v>
      </c>
      <c r="AQ37" s="98">
        <v>-270.51</v>
      </c>
      <c r="AR37" s="67">
        <v>0</v>
      </c>
      <c r="AS37" s="68">
        <v>0</v>
      </c>
      <c r="AT37" s="63"/>
      <c r="AU37" s="63"/>
    </row>
    <row r="38" spans="1:47" ht="12.75" hidden="1" customHeight="1" outlineLevel="1" x14ac:dyDescent="0.2">
      <c r="A38" s="61" t="s">
        <v>184</v>
      </c>
      <c r="B38" s="62">
        <v>0</v>
      </c>
      <c r="C38" s="54">
        <v>0</v>
      </c>
      <c r="D38" s="54">
        <v>0</v>
      </c>
      <c r="E38" s="63"/>
      <c r="F38" s="64"/>
      <c r="G38" s="65">
        <v>0</v>
      </c>
      <c r="H38" s="54">
        <v>0</v>
      </c>
      <c r="I38" s="54">
        <v>0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0</v>
      </c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0</v>
      </c>
      <c r="Z38" s="54">
        <v>0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66">
        <v>0</v>
      </c>
      <c r="AG38" s="67">
        <v>0</v>
      </c>
      <c r="AH38" s="67">
        <v>0</v>
      </c>
      <c r="AI38" s="67">
        <v>0</v>
      </c>
      <c r="AJ38" s="67">
        <v>0</v>
      </c>
      <c r="AK38" s="67">
        <v>0</v>
      </c>
      <c r="AL38" s="67">
        <v>0</v>
      </c>
      <c r="AM38" s="67">
        <v>0</v>
      </c>
      <c r="AN38" s="67">
        <v>0</v>
      </c>
      <c r="AO38" s="67">
        <v>0</v>
      </c>
      <c r="AP38" s="67">
        <v>0</v>
      </c>
      <c r="AQ38" s="67">
        <v>0</v>
      </c>
      <c r="AR38" s="67">
        <v>0</v>
      </c>
      <c r="AS38" s="68">
        <v>0</v>
      </c>
      <c r="AT38" s="63"/>
      <c r="AU38" s="63"/>
    </row>
    <row r="39" spans="1:47" ht="12.75" hidden="1" customHeight="1" outlineLevel="1" x14ac:dyDescent="0.2">
      <c r="A39" s="61" t="s">
        <v>185</v>
      </c>
      <c r="B39" s="62"/>
      <c r="C39" s="54"/>
      <c r="D39" s="54"/>
      <c r="E39" s="63"/>
      <c r="F39" s="64"/>
      <c r="G39" s="65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66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66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8"/>
      <c r="AT39" s="63"/>
      <c r="AU39" s="63"/>
    </row>
    <row r="40" spans="1:47" ht="12.75" hidden="1" customHeight="1" outlineLevel="1" x14ac:dyDescent="0.2">
      <c r="A40" s="61" t="s">
        <v>186</v>
      </c>
      <c r="B40" s="62">
        <v>0</v>
      </c>
      <c r="C40" s="54"/>
      <c r="D40" s="54">
        <v>0</v>
      </c>
      <c r="E40" s="63"/>
      <c r="F40" s="64"/>
      <c r="G40" s="65">
        <v>0</v>
      </c>
      <c r="H40" s="54">
        <v>0</v>
      </c>
      <c r="I40" s="54">
        <v>0</v>
      </c>
      <c r="J40" s="54">
        <v>0</v>
      </c>
      <c r="K40" s="54">
        <v>0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66">
        <v>0</v>
      </c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66"/>
      <c r="AG40" s="67">
        <v>0</v>
      </c>
      <c r="AH40" s="67">
        <v>0</v>
      </c>
      <c r="AI40" s="67">
        <v>0</v>
      </c>
      <c r="AJ40" s="67">
        <v>0</v>
      </c>
      <c r="AK40" s="67">
        <v>0</v>
      </c>
      <c r="AL40" s="67">
        <v>0</v>
      </c>
      <c r="AM40" s="67">
        <v>0</v>
      </c>
      <c r="AN40" s="67">
        <v>0</v>
      </c>
      <c r="AO40" s="67">
        <v>0</v>
      </c>
      <c r="AP40" s="67">
        <v>0</v>
      </c>
      <c r="AQ40" s="67">
        <v>0</v>
      </c>
      <c r="AR40" s="67">
        <v>0</v>
      </c>
      <c r="AS40" s="68">
        <v>0</v>
      </c>
      <c r="AT40" s="63"/>
      <c r="AU40" s="63"/>
    </row>
    <row r="41" spans="1:47" ht="12.75" hidden="1" customHeight="1" outlineLevel="1" x14ac:dyDescent="0.2">
      <c r="A41" s="61" t="s">
        <v>191</v>
      </c>
      <c r="B41" s="62">
        <v>0</v>
      </c>
      <c r="C41" s="54">
        <v>0</v>
      </c>
      <c r="D41" s="54">
        <v>0</v>
      </c>
      <c r="E41" s="63"/>
      <c r="F41" s="64"/>
      <c r="G41" s="65">
        <v>0</v>
      </c>
      <c r="H41" s="54">
        <v>0</v>
      </c>
      <c r="I41" s="54">
        <v>0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66">
        <v>0</v>
      </c>
      <c r="T41" s="54">
        <v>0</v>
      </c>
      <c r="U41" s="54">
        <v>0</v>
      </c>
      <c r="V41" s="54">
        <v>0</v>
      </c>
      <c r="W41" s="54">
        <v>0</v>
      </c>
      <c r="X41" s="54">
        <v>0</v>
      </c>
      <c r="Y41" s="54">
        <v>0</v>
      </c>
      <c r="Z41" s="54">
        <v>0</v>
      </c>
      <c r="AA41" s="54">
        <v>0</v>
      </c>
      <c r="AB41" s="54">
        <v>0</v>
      </c>
      <c r="AC41" s="54">
        <v>0</v>
      </c>
      <c r="AD41" s="54">
        <v>0</v>
      </c>
      <c r="AE41" s="54">
        <v>0</v>
      </c>
      <c r="AF41" s="66">
        <v>0</v>
      </c>
      <c r="AG41" s="67">
        <v>0</v>
      </c>
      <c r="AH41" s="67">
        <v>0</v>
      </c>
      <c r="AI41" s="67">
        <v>0</v>
      </c>
      <c r="AJ41" s="67">
        <v>0</v>
      </c>
      <c r="AK41" s="67">
        <v>0</v>
      </c>
      <c r="AL41" s="67">
        <v>0</v>
      </c>
      <c r="AM41" s="67">
        <v>0</v>
      </c>
      <c r="AN41" s="67">
        <v>0</v>
      </c>
      <c r="AO41" s="67">
        <v>0</v>
      </c>
      <c r="AP41" s="67">
        <v>0</v>
      </c>
      <c r="AQ41" s="67">
        <v>0</v>
      </c>
      <c r="AR41" s="67">
        <v>0</v>
      </c>
      <c r="AS41" s="68">
        <v>0</v>
      </c>
      <c r="AT41" s="63"/>
      <c r="AU41" s="63"/>
    </row>
    <row r="42" spans="1:47" ht="12.75" hidden="1" customHeight="1" outlineLevel="1" x14ac:dyDescent="0.2">
      <c r="A42" s="61" t="s">
        <v>187</v>
      </c>
      <c r="B42" s="62">
        <v>0</v>
      </c>
      <c r="C42" s="54">
        <v>0</v>
      </c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0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0</v>
      </c>
      <c r="AS42" s="68">
        <v>0</v>
      </c>
      <c r="AT42" s="63"/>
      <c r="AU42" s="63"/>
    </row>
    <row r="43" spans="1:47" ht="12.75" hidden="1" customHeight="1" outlineLevel="1" x14ac:dyDescent="0.2">
      <c r="A43" s="61" t="s">
        <v>188</v>
      </c>
      <c r="B43" s="62"/>
      <c r="C43" s="54"/>
      <c r="D43" s="54"/>
      <c r="E43" s="63"/>
      <c r="F43" s="64"/>
      <c r="G43" s="65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66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66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8"/>
      <c r="AT43" s="63"/>
      <c r="AU43" s="63"/>
    </row>
    <row r="44" spans="1:47" ht="12.75" hidden="1" customHeight="1" outlineLevel="1" x14ac:dyDescent="0.2">
      <c r="A44" s="61" t="s">
        <v>189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61" t="s">
        <v>190</v>
      </c>
      <c r="B45" s="62">
        <v>0</v>
      </c>
      <c r="C45" s="54">
        <v>0</v>
      </c>
      <c r="D45" s="54">
        <v>0</v>
      </c>
      <c r="E45" s="63"/>
      <c r="F45" s="64"/>
      <c r="G45" s="65">
        <v>56.48</v>
      </c>
      <c r="H45" s="54">
        <v>0</v>
      </c>
      <c r="I45" s="54">
        <v>0</v>
      </c>
      <c r="J45" s="54">
        <v>0</v>
      </c>
      <c r="K45" s="54">
        <v>0</v>
      </c>
      <c r="L45" s="54">
        <v>0</v>
      </c>
      <c r="M45" s="54">
        <v>0</v>
      </c>
      <c r="N45" s="54">
        <v>0</v>
      </c>
      <c r="O45" s="54">
        <v>0</v>
      </c>
      <c r="P45" s="54">
        <v>0</v>
      </c>
      <c r="Q45" s="54">
        <v>0</v>
      </c>
      <c r="R45" s="54">
        <v>0</v>
      </c>
      <c r="S45" s="66">
        <v>56.48</v>
      </c>
      <c r="T45" s="54">
        <v>0</v>
      </c>
      <c r="U45" s="54">
        <v>0</v>
      </c>
      <c r="V45" s="54">
        <v>0</v>
      </c>
      <c r="W45" s="54">
        <v>0</v>
      </c>
      <c r="X45" s="54">
        <v>0</v>
      </c>
      <c r="Y45" s="54">
        <v>0</v>
      </c>
      <c r="Z45" s="54">
        <v>0</v>
      </c>
      <c r="AA45" s="54">
        <v>0</v>
      </c>
      <c r="AB45" s="54">
        <v>0</v>
      </c>
      <c r="AC45" s="54">
        <v>0</v>
      </c>
      <c r="AD45" s="54">
        <v>0</v>
      </c>
      <c r="AE45" s="54">
        <v>0</v>
      </c>
      <c r="AF45" s="66">
        <v>0</v>
      </c>
      <c r="AG45" s="67">
        <v>0</v>
      </c>
      <c r="AH45" s="67">
        <v>0</v>
      </c>
      <c r="AI45" s="67">
        <v>0</v>
      </c>
      <c r="AJ45" s="67">
        <v>0</v>
      </c>
      <c r="AK45" s="67">
        <v>0</v>
      </c>
      <c r="AL45" s="67">
        <v>0</v>
      </c>
      <c r="AM45" s="67">
        <v>453.05</v>
      </c>
      <c r="AN45" s="67">
        <v>185.26</v>
      </c>
      <c r="AO45" s="67">
        <v>0</v>
      </c>
      <c r="AP45" s="67">
        <v>0</v>
      </c>
      <c r="AQ45" s="67">
        <v>0</v>
      </c>
      <c r="AR45" s="67">
        <v>0</v>
      </c>
      <c r="AS45" s="68">
        <v>0</v>
      </c>
      <c r="AT45" s="63"/>
      <c r="AU45" s="63"/>
    </row>
    <row r="46" spans="1:47" ht="12.75" customHeight="1" collapsed="1" x14ac:dyDescent="0.2">
      <c r="A46" s="69" t="s">
        <v>192</v>
      </c>
      <c r="B46" s="70">
        <v>13.33</v>
      </c>
      <c r="C46" s="71">
        <v>0</v>
      </c>
      <c r="D46" s="71">
        <v>8</v>
      </c>
      <c r="E46" s="72"/>
      <c r="F46" s="73">
        <v>166.625</v>
      </c>
      <c r="G46" s="70">
        <v>2185.56</v>
      </c>
      <c r="H46" s="71">
        <v>355.73</v>
      </c>
      <c r="I46" s="71">
        <v>13.33</v>
      </c>
      <c r="J46" s="71">
        <v>13.33</v>
      </c>
      <c r="K46" s="74">
        <v>-466.36</v>
      </c>
      <c r="L46" s="71">
        <v>0</v>
      </c>
      <c r="M46" s="71">
        <v>0</v>
      </c>
      <c r="N46" s="71">
        <v>0</v>
      </c>
      <c r="O46" s="71">
        <v>0</v>
      </c>
      <c r="P46" s="71">
        <v>0</v>
      </c>
      <c r="Q46" s="71">
        <v>0</v>
      </c>
      <c r="R46" s="71">
        <v>0</v>
      </c>
      <c r="S46" s="71">
        <v>2567.9499999999998</v>
      </c>
      <c r="T46" s="71">
        <v>0</v>
      </c>
      <c r="U46" s="71">
        <v>0</v>
      </c>
      <c r="V46" s="71">
        <v>0</v>
      </c>
      <c r="W46" s="71">
        <v>0</v>
      </c>
      <c r="X46" s="71">
        <v>0</v>
      </c>
      <c r="Y46" s="71">
        <v>0</v>
      </c>
      <c r="Z46" s="71">
        <v>0</v>
      </c>
      <c r="AA46" s="71">
        <v>0</v>
      </c>
      <c r="AB46" s="71">
        <v>0</v>
      </c>
      <c r="AC46" s="71">
        <v>0</v>
      </c>
      <c r="AD46" s="71">
        <v>0</v>
      </c>
      <c r="AE46" s="71">
        <v>0</v>
      </c>
      <c r="AF46" s="71">
        <v>0</v>
      </c>
      <c r="AG46" s="75">
        <v>8</v>
      </c>
      <c r="AH46" s="75">
        <v>8</v>
      </c>
      <c r="AI46" s="75">
        <v>8</v>
      </c>
      <c r="AJ46" s="75">
        <v>8</v>
      </c>
      <c r="AK46" s="75">
        <v>8</v>
      </c>
      <c r="AL46" s="75">
        <v>8</v>
      </c>
      <c r="AM46" s="75">
        <v>668.98</v>
      </c>
      <c r="AN46" s="75">
        <v>193.26</v>
      </c>
      <c r="AO46" s="75">
        <v>13.34</v>
      </c>
      <c r="AP46" s="134">
        <v>-261.91000000000003</v>
      </c>
      <c r="AQ46" s="134">
        <v>-257.18</v>
      </c>
      <c r="AR46" s="75">
        <v>1140.1300000000001</v>
      </c>
      <c r="AS46" s="75">
        <v>32</v>
      </c>
      <c r="AT46" s="72"/>
      <c r="AU46" s="72">
        <v>8024.84375</v>
      </c>
    </row>
    <row r="47" spans="1:47" ht="12.75" hidden="1" customHeight="1" outlineLevel="1" x14ac:dyDescent="0.2">
      <c r="A47" s="61" t="s">
        <v>193</v>
      </c>
      <c r="B47" s="62">
        <v>899.1</v>
      </c>
      <c r="C47" s="54">
        <v>0</v>
      </c>
      <c r="D47" s="54">
        <v>803.34</v>
      </c>
      <c r="E47" s="63"/>
      <c r="F47" s="64">
        <v>111.92023302711181</v>
      </c>
      <c r="G47" s="65">
        <v>899.1</v>
      </c>
      <c r="H47" s="54">
        <v>4207.2299999999996</v>
      </c>
      <c r="I47" s="54">
        <v>899.1</v>
      </c>
      <c r="J47" s="54">
        <v>899.1</v>
      </c>
      <c r="K47" s="54">
        <v>0</v>
      </c>
      <c r="L47" s="54">
        <v>0</v>
      </c>
      <c r="M47" s="54">
        <v>0</v>
      </c>
      <c r="N47" s="54">
        <v>0</v>
      </c>
      <c r="O47" s="54">
        <v>0</v>
      </c>
      <c r="P47" s="54">
        <v>0</v>
      </c>
      <c r="Q47" s="54">
        <v>0</v>
      </c>
      <c r="R47" s="54">
        <v>0</v>
      </c>
      <c r="S47" s="66">
        <v>6904.53</v>
      </c>
      <c r="T47" s="54">
        <v>0</v>
      </c>
      <c r="U47" s="54">
        <v>0</v>
      </c>
      <c r="V47" s="54">
        <v>0</v>
      </c>
      <c r="W47" s="54">
        <v>0</v>
      </c>
      <c r="X47" s="54">
        <v>0</v>
      </c>
      <c r="Y47" s="54">
        <v>0</v>
      </c>
      <c r="Z47" s="54">
        <v>0</v>
      </c>
      <c r="AA47" s="54">
        <v>0</v>
      </c>
      <c r="AB47" s="54">
        <v>0</v>
      </c>
      <c r="AC47" s="54">
        <v>0</v>
      </c>
      <c r="AD47" s="54">
        <v>0</v>
      </c>
      <c r="AE47" s="54">
        <v>0</v>
      </c>
      <c r="AF47" s="66">
        <v>0</v>
      </c>
      <c r="AG47" s="67">
        <v>803.34</v>
      </c>
      <c r="AH47" s="67">
        <v>803.34</v>
      </c>
      <c r="AI47" s="67">
        <v>2983.23</v>
      </c>
      <c r="AJ47" s="67">
        <v>803.34</v>
      </c>
      <c r="AK47" s="67">
        <v>803.34</v>
      </c>
      <c r="AL47" s="67">
        <v>803.34</v>
      </c>
      <c r="AM47" s="67">
        <v>803.34</v>
      </c>
      <c r="AN47" s="67">
        <v>803.34</v>
      </c>
      <c r="AO47" s="67">
        <v>1535.16</v>
      </c>
      <c r="AP47" s="67">
        <v>803.34</v>
      </c>
      <c r="AQ47" s="67">
        <v>95.76</v>
      </c>
      <c r="AR47" s="67">
        <v>899.1</v>
      </c>
      <c r="AS47" s="68">
        <v>5393.25</v>
      </c>
      <c r="AT47" s="63"/>
      <c r="AU47" s="63">
        <v>128.02169378389652</v>
      </c>
    </row>
    <row r="48" spans="1:47" ht="12.75" hidden="1" customHeight="1" outlineLevel="1" x14ac:dyDescent="0.2">
      <c r="A48" s="61" t="s">
        <v>194</v>
      </c>
      <c r="B48" s="62"/>
      <c r="C48" s="54"/>
      <c r="D48" s="54"/>
      <c r="E48" s="63"/>
      <c r="F48" s="64"/>
      <c r="G48" s="65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66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66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8"/>
      <c r="AT48" s="63"/>
      <c r="AU48" s="63"/>
    </row>
    <row r="49" spans="1:47" ht="12.75" hidden="1" customHeight="1" outlineLevel="1" x14ac:dyDescent="0.2">
      <c r="A49" s="61" t="s">
        <v>82</v>
      </c>
      <c r="B49" s="62">
        <v>0</v>
      </c>
      <c r="C49" s="54">
        <v>0</v>
      </c>
      <c r="D49" s="54">
        <v>0</v>
      </c>
      <c r="E49" s="63"/>
      <c r="F49" s="64"/>
      <c r="G49" s="65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54">
        <v>0</v>
      </c>
      <c r="N49" s="54">
        <v>0</v>
      </c>
      <c r="O49" s="54">
        <v>0</v>
      </c>
      <c r="P49" s="54">
        <v>0</v>
      </c>
      <c r="Q49" s="54">
        <v>0</v>
      </c>
      <c r="R49" s="54">
        <v>0</v>
      </c>
      <c r="S49" s="66">
        <v>0</v>
      </c>
      <c r="T49" s="54">
        <v>0</v>
      </c>
      <c r="U49" s="54">
        <v>0</v>
      </c>
      <c r="V49" s="54">
        <v>0</v>
      </c>
      <c r="W49" s="54">
        <v>0</v>
      </c>
      <c r="X49" s="54">
        <v>0</v>
      </c>
      <c r="Y49" s="54">
        <v>0</v>
      </c>
      <c r="Z49" s="54">
        <v>0</v>
      </c>
      <c r="AA49" s="54">
        <v>0</v>
      </c>
      <c r="AB49" s="54">
        <v>0</v>
      </c>
      <c r="AC49" s="54">
        <v>0</v>
      </c>
      <c r="AD49" s="54">
        <v>0</v>
      </c>
      <c r="AE49" s="54">
        <v>0</v>
      </c>
      <c r="AF49" s="66">
        <v>0</v>
      </c>
      <c r="AG49" s="67">
        <v>0</v>
      </c>
      <c r="AH49" s="67">
        <v>0</v>
      </c>
      <c r="AI49" s="67">
        <v>0</v>
      </c>
      <c r="AJ49" s="67">
        <v>0</v>
      </c>
      <c r="AK49" s="67">
        <v>0</v>
      </c>
      <c r="AL49" s="67">
        <v>0</v>
      </c>
      <c r="AM49" s="67">
        <v>0</v>
      </c>
      <c r="AN49" s="67">
        <v>0</v>
      </c>
      <c r="AO49" s="67">
        <v>0</v>
      </c>
      <c r="AP49" s="67">
        <v>0</v>
      </c>
      <c r="AQ49" s="67">
        <v>0</v>
      </c>
      <c r="AR49" s="67">
        <v>0</v>
      </c>
      <c r="AS49" s="68">
        <v>0</v>
      </c>
      <c r="AT49" s="63"/>
      <c r="AU49" s="63"/>
    </row>
    <row r="50" spans="1:47" ht="12.75" hidden="1" customHeight="1" outlineLevel="1" x14ac:dyDescent="0.2">
      <c r="A50" s="61" t="s">
        <v>83</v>
      </c>
      <c r="B50" s="62">
        <v>0</v>
      </c>
      <c r="C50" s="54">
        <v>0</v>
      </c>
      <c r="D50" s="54">
        <v>0</v>
      </c>
      <c r="E50" s="63"/>
      <c r="F50" s="64"/>
      <c r="G50" s="65">
        <v>0</v>
      </c>
      <c r="H50" s="54">
        <v>0</v>
      </c>
      <c r="I50" s="54">
        <v>0</v>
      </c>
      <c r="J50" s="54">
        <v>0</v>
      </c>
      <c r="K50" s="54">
        <v>0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66">
        <v>0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>
        <v>0</v>
      </c>
      <c r="AH50" s="67">
        <v>0</v>
      </c>
      <c r="AI50" s="67">
        <v>0</v>
      </c>
      <c r="AJ50" s="67">
        <v>0</v>
      </c>
      <c r="AK50" s="67">
        <v>0</v>
      </c>
      <c r="AL50" s="67">
        <v>0</v>
      </c>
      <c r="AM50" s="67">
        <v>0</v>
      </c>
      <c r="AN50" s="67">
        <v>0</v>
      </c>
      <c r="AO50" s="67">
        <v>0</v>
      </c>
      <c r="AP50" s="67">
        <v>0</v>
      </c>
      <c r="AQ50" s="67">
        <v>0</v>
      </c>
      <c r="AR50" s="67">
        <v>0</v>
      </c>
      <c r="AS50" s="68">
        <v>0</v>
      </c>
      <c r="AT50" s="63"/>
      <c r="AU50" s="63"/>
    </row>
    <row r="51" spans="1:47" ht="12.75" hidden="1" customHeight="1" outlineLevel="1" x14ac:dyDescent="0.2">
      <c r="A51" s="61" t="s">
        <v>84</v>
      </c>
      <c r="B51" s="62"/>
      <c r="C51" s="54"/>
      <c r="D51" s="54"/>
      <c r="E51" s="63"/>
      <c r="F51" s="64"/>
      <c r="G51" s="65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66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66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8"/>
      <c r="AT51" s="63"/>
      <c r="AU51" s="63"/>
    </row>
    <row r="52" spans="1:47" ht="12.75" hidden="1" customHeight="1" outlineLevel="1" x14ac:dyDescent="0.2">
      <c r="A52" s="61" t="s">
        <v>195</v>
      </c>
      <c r="B52" s="62"/>
      <c r="C52" s="54"/>
      <c r="D52" s="54"/>
      <c r="E52" s="63"/>
      <c r="F52" s="64"/>
      <c r="G52" s="65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66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66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8"/>
      <c r="AT52" s="63"/>
      <c r="AU52" s="63"/>
    </row>
    <row r="53" spans="1:47" ht="12.75" hidden="1" customHeight="1" outlineLevel="1" x14ac:dyDescent="0.2">
      <c r="A53" s="61" t="s">
        <v>86</v>
      </c>
      <c r="B53" s="62"/>
      <c r="C53" s="54"/>
      <c r="D53" s="54"/>
      <c r="E53" s="63"/>
      <c r="F53" s="64"/>
      <c r="G53" s="65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66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66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8"/>
      <c r="AT53" s="63"/>
      <c r="AU53" s="63"/>
    </row>
    <row r="54" spans="1:47" ht="12.75" hidden="1" customHeight="1" outlineLevel="1" x14ac:dyDescent="0.2">
      <c r="A54" s="61" t="s">
        <v>110</v>
      </c>
      <c r="B54" s="62"/>
      <c r="C54" s="54"/>
      <c r="D54" s="54"/>
      <c r="E54" s="63"/>
      <c r="F54" s="64"/>
      <c r="G54" s="65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66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66"/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8"/>
      <c r="AT54" s="63"/>
      <c r="AU54" s="63"/>
    </row>
    <row r="55" spans="1:47" ht="12.75" hidden="1" customHeight="1" outlineLevel="1" x14ac:dyDescent="0.2">
      <c r="A55" s="61" t="s">
        <v>196</v>
      </c>
      <c r="B55" s="62">
        <v>0</v>
      </c>
      <c r="C55" s="54">
        <v>0</v>
      </c>
      <c r="D55" s="54">
        <v>0</v>
      </c>
      <c r="E55" s="63"/>
      <c r="F55" s="64"/>
      <c r="G55" s="65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66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66">
        <v>0</v>
      </c>
      <c r="AG55" s="67">
        <v>0</v>
      </c>
      <c r="AH55" s="67">
        <v>0</v>
      </c>
      <c r="AI55" s="67">
        <v>0</v>
      </c>
      <c r="AJ55" s="67">
        <v>0</v>
      </c>
      <c r="AK55" s="67">
        <v>0</v>
      </c>
      <c r="AL55" s="67">
        <v>0</v>
      </c>
      <c r="AM55" s="67">
        <v>0</v>
      </c>
      <c r="AN55" s="67">
        <v>0</v>
      </c>
      <c r="AO55" s="67">
        <v>0</v>
      </c>
      <c r="AP55" s="67">
        <v>0</v>
      </c>
      <c r="AQ55" s="67">
        <v>0</v>
      </c>
      <c r="AR55" s="67">
        <v>0</v>
      </c>
      <c r="AS55" s="68">
        <v>0</v>
      </c>
      <c r="AT55" s="63"/>
      <c r="AU55" s="63"/>
    </row>
    <row r="56" spans="1:47" ht="12.75" hidden="1" customHeight="1" outlineLevel="1" x14ac:dyDescent="0.2">
      <c r="A56" s="61" t="s">
        <v>197</v>
      </c>
      <c r="B56" s="62"/>
      <c r="C56" s="54"/>
      <c r="D56" s="54"/>
      <c r="E56" s="63"/>
      <c r="F56" s="64"/>
      <c r="G56" s="65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66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66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8"/>
      <c r="AT56" s="63"/>
      <c r="AU56" s="63"/>
    </row>
    <row r="57" spans="1:47" ht="12.75" hidden="1" customHeight="1" outlineLevel="1" x14ac:dyDescent="0.2">
      <c r="A57" s="61" t="s">
        <v>198</v>
      </c>
      <c r="B57" s="62">
        <v>0</v>
      </c>
      <c r="C57" s="54">
        <v>0</v>
      </c>
      <c r="D57" s="54">
        <v>0</v>
      </c>
      <c r="E57" s="63"/>
      <c r="F57" s="64"/>
      <c r="G57" s="65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66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66">
        <v>0</v>
      </c>
      <c r="AG57" s="67">
        <v>0</v>
      </c>
      <c r="AH57" s="67">
        <v>0</v>
      </c>
      <c r="AI57" s="67">
        <v>0</v>
      </c>
      <c r="AJ57" s="67">
        <v>0</v>
      </c>
      <c r="AK57" s="67">
        <v>306.98</v>
      </c>
      <c r="AL57" s="67">
        <v>0</v>
      </c>
      <c r="AM57" s="67">
        <v>0</v>
      </c>
      <c r="AN57" s="67">
        <v>0</v>
      </c>
      <c r="AO57" s="67">
        <v>0</v>
      </c>
      <c r="AP57" s="67">
        <v>0</v>
      </c>
      <c r="AQ57" s="67">
        <v>0</v>
      </c>
      <c r="AR57" s="67">
        <v>0</v>
      </c>
      <c r="AS57" s="68">
        <v>0</v>
      </c>
      <c r="AT57" s="63"/>
      <c r="AU57" s="63"/>
    </row>
    <row r="58" spans="1:47" ht="12.75" hidden="1" customHeight="1" outlineLevel="1" x14ac:dyDescent="0.2">
      <c r="A58" s="61" t="s">
        <v>199</v>
      </c>
      <c r="B58" s="62"/>
      <c r="C58" s="54"/>
      <c r="D58" s="54"/>
      <c r="E58" s="63"/>
      <c r="F58" s="64"/>
      <c r="G58" s="65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66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66"/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8"/>
      <c r="AT58" s="63"/>
      <c r="AU58" s="63"/>
    </row>
    <row r="59" spans="1:47" ht="12.75" hidden="1" customHeight="1" outlineLevel="1" x14ac:dyDescent="0.2">
      <c r="A59" s="61" t="s">
        <v>200</v>
      </c>
      <c r="B59" s="62"/>
      <c r="C59" s="54"/>
      <c r="D59" s="54"/>
      <c r="E59" s="63"/>
      <c r="F59" s="64"/>
      <c r="G59" s="65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66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66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8"/>
      <c r="AT59" s="63"/>
      <c r="AU59" s="63"/>
    </row>
    <row r="60" spans="1:47" ht="12.75" customHeight="1" collapsed="1" x14ac:dyDescent="0.2">
      <c r="A60" s="69" t="s">
        <v>89</v>
      </c>
      <c r="B60" s="70">
        <v>899.1</v>
      </c>
      <c r="C60" s="71">
        <v>0</v>
      </c>
      <c r="D60" s="71">
        <v>803.34</v>
      </c>
      <c r="E60" s="72"/>
      <c r="F60" s="73">
        <v>111.92023302711181</v>
      </c>
      <c r="G60" s="70">
        <v>899.1</v>
      </c>
      <c r="H60" s="71">
        <v>4207.2299999999996</v>
      </c>
      <c r="I60" s="71">
        <v>899.1</v>
      </c>
      <c r="J60" s="71">
        <v>899.1</v>
      </c>
      <c r="K60" s="71">
        <v>0</v>
      </c>
      <c r="L60" s="71">
        <v>0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v>0</v>
      </c>
      <c r="S60" s="71">
        <v>6904.53</v>
      </c>
      <c r="T60" s="71">
        <v>0</v>
      </c>
      <c r="U60" s="71">
        <v>0</v>
      </c>
      <c r="V60" s="71">
        <v>0</v>
      </c>
      <c r="W60" s="71">
        <v>0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71">
        <v>0</v>
      </c>
      <c r="AE60" s="71">
        <v>0</v>
      </c>
      <c r="AF60" s="71">
        <v>0</v>
      </c>
      <c r="AG60" s="75">
        <v>803.34</v>
      </c>
      <c r="AH60" s="75">
        <v>803.34</v>
      </c>
      <c r="AI60" s="75">
        <v>2983.23</v>
      </c>
      <c r="AJ60" s="75">
        <v>803.34</v>
      </c>
      <c r="AK60" s="75">
        <v>1110.32</v>
      </c>
      <c r="AL60" s="75">
        <v>803.34</v>
      </c>
      <c r="AM60" s="75">
        <v>803.34</v>
      </c>
      <c r="AN60" s="75">
        <v>803.34</v>
      </c>
      <c r="AO60" s="75">
        <v>1535.16</v>
      </c>
      <c r="AP60" s="75">
        <v>803.34</v>
      </c>
      <c r="AQ60" s="75">
        <v>95.76</v>
      </c>
      <c r="AR60" s="75">
        <v>899.1</v>
      </c>
      <c r="AS60" s="75">
        <v>5393.25</v>
      </c>
      <c r="AT60" s="72"/>
      <c r="AU60" s="72">
        <v>128.02169378389652</v>
      </c>
    </row>
    <row r="61" spans="1:47" ht="12.75" customHeight="1" x14ac:dyDescent="0.2">
      <c r="A61" s="77" t="s">
        <v>201</v>
      </c>
      <c r="B61" s="78">
        <v>18846.27</v>
      </c>
      <c r="C61" s="79">
        <v>0</v>
      </c>
      <c r="D61" s="79">
        <v>22810.33</v>
      </c>
      <c r="E61" s="80"/>
      <c r="F61" s="81">
        <v>82.621645543926803</v>
      </c>
      <c r="G61" s="78">
        <v>17828.849999999999</v>
      </c>
      <c r="H61" s="79">
        <v>16566.439999999999</v>
      </c>
      <c r="I61" s="79">
        <v>18623</v>
      </c>
      <c r="J61" s="79">
        <v>18846.27</v>
      </c>
      <c r="K61" s="82">
        <v>-935.37</v>
      </c>
      <c r="L61" s="79">
        <v>0</v>
      </c>
      <c r="M61" s="79">
        <v>0</v>
      </c>
      <c r="N61" s="79">
        <v>0</v>
      </c>
      <c r="O61" s="79">
        <v>0</v>
      </c>
      <c r="P61" s="79">
        <v>0</v>
      </c>
      <c r="Q61" s="79">
        <v>0</v>
      </c>
      <c r="R61" s="79">
        <v>0</v>
      </c>
      <c r="S61" s="79">
        <v>71864.56</v>
      </c>
      <c r="T61" s="79">
        <v>0</v>
      </c>
      <c r="U61" s="79">
        <v>0</v>
      </c>
      <c r="V61" s="79">
        <v>0</v>
      </c>
      <c r="W61" s="79">
        <v>0</v>
      </c>
      <c r="X61" s="79">
        <v>0</v>
      </c>
      <c r="Y61" s="79">
        <v>0</v>
      </c>
      <c r="Z61" s="79">
        <v>0</v>
      </c>
      <c r="AA61" s="79">
        <v>0</v>
      </c>
      <c r="AB61" s="79">
        <v>0</v>
      </c>
      <c r="AC61" s="79">
        <v>0</v>
      </c>
      <c r="AD61" s="79">
        <v>0</v>
      </c>
      <c r="AE61" s="79">
        <v>0</v>
      </c>
      <c r="AF61" s="79">
        <v>0</v>
      </c>
      <c r="AG61" s="83">
        <v>20389.45</v>
      </c>
      <c r="AH61" s="83">
        <v>25951.89</v>
      </c>
      <c r="AI61" s="83">
        <v>26163.71</v>
      </c>
      <c r="AJ61" s="83">
        <v>22810.33</v>
      </c>
      <c r="AK61" s="83">
        <v>21822.19</v>
      </c>
      <c r="AL61" s="83">
        <v>16124.55</v>
      </c>
      <c r="AM61" s="83">
        <v>13187.49</v>
      </c>
      <c r="AN61" s="83">
        <v>15014.97</v>
      </c>
      <c r="AO61" s="83">
        <v>15052.58</v>
      </c>
      <c r="AP61" s="83">
        <v>13767.91</v>
      </c>
      <c r="AQ61" s="137">
        <v>-6437.83</v>
      </c>
      <c r="AR61" s="83">
        <v>11241.91</v>
      </c>
      <c r="AS61" s="83">
        <v>95315.38</v>
      </c>
      <c r="AT61" s="80"/>
      <c r="AU61" s="80">
        <v>75.39660440948775</v>
      </c>
    </row>
    <row r="62" spans="1:47" x14ac:dyDescent="0.2">
      <c r="B62" s="22"/>
      <c r="D62" s="22"/>
      <c r="F62" s="23"/>
      <c r="G62" s="22"/>
      <c r="H62" s="22"/>
      <c r="I62" s="22"/>
      <c r="J62" s="22"/>
      <c r="K62" s="22"/>
      <c r="L62" s="22"/>
      <c r="S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U62" s="23"/>
    </row>
    <row r="63" spans="1:47" x14ac:dyDescent="0.2">
      <c r="AS63" s="26">
        <f>+AS61-S61</f>
        <v>23450.820000000007</v>
      </c>
    </row>
    <row r="64" spans="1:47" ht="15" x14ac:dyDescent="0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785" t="s">
        <v>293</v>
      </c>
      <c r="AT64" s="16"/>
    </row>
    <row r="65" spans="1:46" ht="15" x14ac:dyDescent="0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</row>
    <row r="66" spans="1:46" ht="15" x14ac:dyDescent="0.2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</row>
    <row r="67" spans="1:46" ht="15" x14ac:dyDescent="0.25">
      <c r="A67" s="16"/>
      <c r="B67" s="16"/>
      <c r="C67" s="16"/>
      <c r="D67" s="16"/>
    </row>
    <row r="68" spans="1:46" ht="15" x14ac:dyDescent="0.25">
      <c r="A68" s="16"/>
      <c r="B68" s="16"/>
      <c r="C68" s="16"/>
      <c r="D68" s="16"/>
    </row>
    <row r="69" spans="1:46" ht="15" x14ac:dyDescent="0.25">
      <c r="A69" s="16"/>
      <c r="B69" s="16"/>
      <c r="C69" s="16"/>
      <c r="D69" s="16"/>
    </row>
    <row r="70" spans="1:46" ht="15" x14ac:dyDescent="0.25">
      <c r="A70" s="16"/>
      <c r="B70" s="16"/>
      <c r="C70" s="16"/>
      <c r="D70" s="16"/>
    </row>
  </sheetData>
  <pageMargins left="0.75" right="0.75" top="1" bottom="1" header="0.5" footer="0.5"/>
  <pageSetup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CCCC00"/>
  </sheetPr>
  <dimension ref="A1:AU71"/>
  <sheetViews>
    <sheetView workbookViewId="0">
      <pane xSplit="1" ySplit="8" topLeftCell="B9" activePane="bottomRight" state="frozen"/>
      <selection activeCell="A73" sqref="A73"/>
      <selection pane="topRight" activeCell="A73" sqref="A73"/>
      <selection pane="bottomLeft" activeCell="A73" sqref="A73"/>
      <selection pane="bottomRight" sqref="A1:AU62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9.42578125" collapsed="1"/>
    <col min="46" max="47" width="10.5703125" customWidth="1"/>
  </cols>
  <sheetData>
    <row r="1" spans="1:47" ht="32.2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ht="12.75" hidden="1" customHeight="1" outlineLevel="1" x14ac:dyDescent="0.2">
      <c r="A2" s="95" t="s">
        <v>7</v>
      </c>
      <c r="B2" s="62"/>
      <c r="C2" s="54"/>
      <c r="D2" s="54"/>
      <c r="E2" s="63"/>
      <c r="F2" s="64"/>
      <c r="G2" s="65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66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66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8"/>
      <c r="AT2" s="63"/>
      <c r="AU2" s="63"/>
    </row>
    <row r="3" spans="1:47" ht="12.75" hidden="1" customHeight="1" outlineLevel="1" x14ac:dyDescent="0.2">
      <c r="A3" s="95" t="s">
        <v>160</v>
      </c>
      <c r="B3" s="62">
        <v>6894.47</v>
      </c>
      <c r="C3" s="54">
        <v>0</v>
      </c>
      <c r="D3" s="54">
        <v>6198.7</v>
      </c>
      <c r="E3" s="63"/>
      <c r="F3" s="64">
        <v>111.22445028796361</v>
      </c>
      <c r="G3" s="65">
        <v>6609.83</v>
      </c>
      <c r="H3" s="54">
        <v>5186.66</v>
      </c>
      <c r="I3" s="54">
        <v>6578.21</v>
      </c>
      <c r="J3" s="54">
        <v>6894.47</v>
      </c>
      <c r="K3" s="54">
        <v>0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25269.17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6641.46</v>
      </c>
      <c r="AH3" s="67">
        <v>6641.46</v>
      </c>
      <c r="AI3" s="67">
        <v>5819.18</v>
      </c>
      <c r="AJ3" s="67">
        <v>6198.7</v>
      </c>
      <c r="AK3" s="67">
        <v>5692.68</v>
      </c>
      <c r="AL3" s="67">
        <v>6641.46</v>
      </c>
      <c r="AM3" s="67">
        <v>6641.46</v>
      </c>
      <c r="AN3" s="67">
        <v>6957.72</v>
      </c>
      <c r="AO3" s="67">
        <v>5566.18</v>
      </c>
      <c r="AP3" s="67">
        <v>7084.22</v>
      </c>
      <c r="AQ3" s="67">
        <v>7273.98</v>
      </c>
      <c r="AR3" s="67">
        <v>5724.31</v>
      </c>
      <c r="AS3" s="68">
        <v>25300.799999999999</v>
      </c>
      <c r="AT3" s="63"/>
      <c r="AU3" s="63">
        <v>99.87498419022323</v>
      </c>
    </row>
    <row r="4" spans="1:47" s="365" customFormat="1" ht="12.75" hidden="1" customHeight="1" outlineLevel="1" x14ac:dyDescent="0.2">
      <c r="A4" s="95" t="s">
        <v>161</v>
      </c>
      <c r="B4" s="62">
        <v>370.63</v>
      </c>
      <c r="C4" s="54">
        <v>0</v>
      </c>
      <c r="D4" s="54">
        <v>315.76</v>
      </c>
      <c r="E4" s="63"/>
      <c r="F4" s="64">
        <v>117.37712186470738</v>
      </c>
      <c r="G4" s="65">
        <v>348.88</v>
      </c>
      <c r="H4" s="54">
        <v>38.44</v>
      </c>
      <c r="I4" s="54">
        <v>766.87</v>
      </c>
      <c r="J4" s="54">
        <v>370.63</v>
      </c>
      <c r="K4" s="56">
        <v>-192.2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1524.82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315.57</v>
      </c>
      <c r="AH4" s="67">
        <v>337.43</v>
      </c>
      <c r="AI4" s="67">
        <v>409.83</v>
      </c>
      <c r="AJ4" s="67">
        <v>315.76</v>
      </c>
      <c r="AK4" s="67">
        <v>300.06</v>
      </c>
      <c r="AL4" s="67">
        <v>315.74</v>
      </c>
      <c r="AM4" s="67">
        <v>319.64999999999998</v>
      </c>
      <c r="AN4" s="67">
        <v>339.45</v>
      </c>
      <c r="AO4" s="67">
        <v>41.74</v>
      </c>
      <c r="AP4" s="67">
        <v>461.31</v>
      </c>
      <c r="AQ4" s="67">
        <v>484.06</v>
      </c>
      <c r="AR4" s="67">
        <v>481.18</v>
      </c>
      <c r="AS4" s="68">
        <v>1378.59</v>
      </c>
      <c r="AT4" s="63"/>
      <c r="AU4" s="63">
        <v>110.60721461783416</v>
      </c>
    </row>
    <row r="5" spans="1:47" ht="12.75" hidden="1" customHeight="1" outlineLevel="1" x14ac:dyDescent="0.2">
      <c r="A5" s="95" t="s">
        <v>162</v>
      </c>
      <c r="B5" s="62">
        <v>978.79</v>
      </c>
      <c r="C5" s="54">
        <v>0</v>
      </c>
      <c r="D5" s="54">
        <v>1017.65</v>
      </c>
      <c r="E5" s="63"/>
      <c r="F5" s="64">
        <v>96.18139831965803</v>
      </c>
      <c r="G5" s="65">
        <v>806.55</v>
      </c>
      <c r="H5" s="54">
        <v>597.76</v>
      </c>
      <c r="I5" s="54">
        <v>689.38</v>
      </c>
      <c r="J5" s="54">
        <v>978.79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3072.48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501.47</v>
      </c>
      <c r="AH5" s="67">
        <v>2115.6</v>
      </c>
      <c r="AI5" s="67">
        <v>1605.44</v>
      </c>
      <c r="AJ5" s="67">
        <v>1017.65</v>
      </c>
      <c r="AK5" s="67">
        <v>803.29</v>
      </c>
      <c r="AL5" s="67">
        <v>960.54</v>
      </c>
      <c r="AM5" s="67">
        <v>992.8</v>
      </c>
      <c r="AN5" s="67">
        <v>665.06</v>
      </c>
      <c r="AO5" s="67">
        <v>1118.26</v>
      </c>
      <c r="AP5" s="67">
        <v>254.88</v>
      </c>
      <c r="AQ5" s="67">
        <v>420.92</v>
      </c>
      <c r="AR5" s="67">
        <v>946.59</v>
      </c>
      <c r="AS5" s="68">
        <v>5240.16</v>
      </c>
      <c r="AT5" s="63"/>
      <c r="AU5" s="63">
        <v>58.633324173307685</v>
      </c>
    </row>
    <row r="6" spans="1:47" ht="12.75" hidden="1" customHeight="1" outlineLevel="1" x14ac:dyDescent="0.2">
      <c r="A6" s="95" t="s">
        <v>163</v>
      </c>
      <c r="B6" s="62"/>
      <c r="C6" s="54">
        <v>0</v>
      </c>
      <c r="D6" s="54"/>
      <c r="E6" s="63"/>
      <c r="F6" s="64"/>
      <c r="G6" s="65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66"/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8"/>
      <c r="AT6" s="63"/>
      <c r="AU6" s="63"/>
    </row>
    <row r="7" spans="1:47" s="365" customFormat="1" ht="12.75" hidden="1" customHeight="1" outlineLevel="1" x14ac:dyDescent="0.2">
      <c r="A7" s="95" t="s">
        <v>164</v>
      </c>
      <c r="B7" s="62"/>
      <c r="C7" s="54">
        <v>0</v>
      </c>
      <c r="D7" s="54"/>
      <c r="E7" s="63"/>
      <c r="F7" s="64"/>
      <c r="G7" s="65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66"/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/>
      <c r="AH7" s="67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8"/>
      <c r="AT7" s="63"/>
      <c r="AU7" s="63"/>
    </row>
    <row r="8" spans="1:47" hidden="1" outlineLevel="1" x14ac:dyDescent="0.2">
      <c r="A8" s="95" t="s">
        <v>165</v>
      </c>
      <c r="B8" s="62">
        <v>730.55</v>
      </c>
      <c r="C8" s="54">
        <v>0</v>
      </c>
      <c r="D8" s="54">
        <v>664.14</v>
      </c>
      <c r="E8" s="63"/>
      <c r="F8" s="64">
        <v>109.99939771734876</v>
      </c>
      <c r="G8" s="65">
        <v>697.35</v>
      </c>
      <c r="H8" s="54">
        <v>730.55</v>
      </c>
      <c r="I8" s="54">
        <v>730.56</v>
      </c>
      <c r="J8" s="54">
        <v>730.55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66">
        <v>2889.01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66">
        <v>0</v>
      </c>
      <c r="AG8" s="67">
        <v>664.15</v>
      </c>
      <c r="AH8" s="67">
        <v>695.77</v>
      </c>
      <c r="AI8" s="67">
        <v>727.4</v>
      </c>
      <c r="AJ8" s="67">
        <v>664.14</v>
      </c>
      <c r="AK8" s="67">
        <v>632.52</v>
      </c>
      <c r="AL8" s="67">
        <v>727.4</v>
      </c>
      <c r="AM8" s="67">
        <v>664.15</v>
      </c>
      <c r="AN8" s="67">
        <v>695.77</v>
      </c>
      <c r="AO8" s="67">
        <v>695.77</v>
      </c>
      <c r="AP8" s="67">
        <v>708.42</v>
      </c>
      <c r="AQ8" s="67">
        <v>763.76</v>
      </c>
      <c r="AR8" s="67">
        <v>730.55</v>
      </c>
      <c r="AS8" s="68">
        <v>2751.46</v>
      </c>
      <c r="AT8" s="63"/>
      <c r="AU8" s="63">
        <v>104.99916408016108</v>
      </c>
    </row>
    <row r="9" spans="1:47" ht="12.75" customHeight="1" collapsed="1" x14ac:dyDescent="0.2">
      <c r="A9" s="69" t="s">
        <v>166</v>
      </c>
      <c r="B9" s="70">
        <v>8974.44</v>
      </c>
      <c r="C9" s="71">
        <v>0</v>
      </c>
      <c r="D9" s="71">
        <v>8196.25</v>
      </c>
      <c r="E9" s="72"/>
      <c r="F9" s="73">
        <v>109.49446393167607</v>
      </c>
      <c r="G9" s="70">
        <v>8462.61</v>
      </c>
      <c r="H9" s="71">
        <v>6553.41</v>
      </c>
      <c r="I9" s="71">
        <v>8765.02</v>
      </c>
      <c r="J9" s="71">
        <v>8974.44</v>
      </c>
      <c r="K9" s="74">
        <v>-192.2</v>
      </c>
      <c r="L9" s="71">
        <v>0</v>
      </c>
      <c r="M9" s="71">
        <v>0</v>
      </c>
      <c r="N9" s="71">
        <v>0</v>
      </c>
      <c r="O9" s="71">
        <v>0</v>
      </c>
      <c r="P9" s="71">
        <v>0</v>
      </c>
      <c r="Q9" s="71">
        <v>0</v>
      </c>
      <c r="R9" s="71">
        <v>0</v>
      </c>
      <c r="S9" s="71">
        <v>32755.48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0</v>
      </c>
      <c r="AA9" s="71">
        <v>0</v>
      </c>
      <c r="AB9" s="71">
        <v>0</v>
      </c>
      <c r="AC9" s="71">
        <v>0</v>
      </c>
      <c r="AD9" s="71">
        <v>0</v>
      </c>
      <c r="AE9" s="71">
        <v>0</v>
      </c>
      <c r="AF9" s="71">
        <v>0</v>
      </c>
      <c r="AG9" s="75">
        <v>8122.65</v>
      </c>
      <c r="AH9" s="75">
        <v>9790.26</v>
      </c>
      <c r="AI9" s="75">
        <v>8561.85</v>
      </c>
      <c r="AJ9" s="75">
        <v>8196.25</v>
      </c>
      <c r="AK9" s="75">
        <v>7428.55</v>
      </c>
      <c r="AL9" s="75">
        <v>8645.14</v>
      </c>
      <c r="AM9" s="75">
        <v>8618.06</v>
      </c>
      <c r="AN9" s="75">
        <v>8658</v>
      </c>
      <c r="AO9" s="75">
        <v>7421.95</v>
      </c>
      <c r="AP9" s="75">
        <v>8508.83</v>
      </c>
      <c r="AQ9" s="75">
        <v>8942.7199999999993</v>
      </c>
      <c r="AR9" s="75">
        <v>7882.63</v>
      </c>
      <c r="AS9" s="75">
        <v>34671.01</v>
      </c>
      <c r="AT9" s="72"/>
      <c r="AU9" s="72">
        <v>94.475124895409735</v>
      </c>
    </row>
    <row r="10" spans="1:47" ht="12.75" customHeight="1" x14ac:dyDescent="0.2">
      <c r="A10" s="95" t="s">
        <v>167</v>
      </c>
      <c r="B10" s="62"/>
      <c r="C10" s="54"/>
      <c r="D10" s="54"/>
      <c r="E10" s="63"/>
      <c r="F10" s="64"/>
      <c r="G10" s="65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66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8"/>
      <c r="AT10" s="63"/>
      <c r="AU10" s="63"/>
    </row>
    <row r="11" spans="1:47" ht="12.75" customHeight="1" x14ac:dyDescent="0.2">
      <c r="A11" s="95" t="s">
        <v>168</v>
      </c>
      <c r="B11" s="62"/>
      <c r="C11" s="54"/>
      <c r="D11" s="54"/>
      <c r="E11" s="63"/>
      <c r="F11" s="64"/>
      <c r="G11" s="65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66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66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8"/>
      <c r="AT11" s="63"/>
      <c r="AU11" s="63"/>
    </row>
    <row r="12" spans="1:47" ht="12.75" customHeight="1" x14ac:dyDescent="0.2">
      <c r="A12" s="95" t="s">
        <v>169</v>
      </c>
      <c r="B12" s="62"/>
      <c r="C12" s="54"/>
      <c r="D12" s="54"/>
      <c r="E12" s="63"/>
      <c r="F12" s="64"/>
      <c r="G12" s="65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66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6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8"/>
      <c r="AT12" s="63"/>
      <c r="AU12" s="63"/>
    </row>
    <row r="13" spans="1:47" ht="12.75" customHeight="1" x14ac:dyDescent="0.2">
      <c r="A13" s="95" t="s">
        <v>50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47" ht="12.75" customHeight="1" x14ac:dyDescent="0.2">
      <c r="A14" s="95" t="s">
        <v>170</v>
      </c>
      <c r="B14" s="62"/>
      <c r="C14" s="54"/>
      <c r="D14" s="54"/>
      <c r="E14" s="63"/>
      <c r="F14" s="64"/>
      <c r="G14" s="65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66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66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8"/>
      <c r="AT14" s="63"/>
      <c r="AU14" s="63"/>
    </row>
    <row r="15" spans="1:47" ht="12.75" customHeight="1" x14ac:dyDescent="0.2">
      <c r="A15" s="95" t="s">
        <v>171</v>
      </c>
      <c r="B15" s="62"/>
      <c r="C15" s="54"/>
      <c r="D15" s="54"/>
      <c r="E15" s="63"/>
      <c r="F15" s="64"/>
      <c r="G15" s="65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66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66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8"/>
      <c r="AT15" s="63"/>
      <c r="AU15" s="63"/>
    </row>
    <row r="16" spans="1:47" ht="12.75" customHeight="1" x14ac:dyDescent="0.2">
      <c r="A16" s="95" t="s">
        <v>172</v>
      </c>
      <c r="B16" s="62"/>
      <c r="C16" s="54"/>
      <c r="D16" s="54"/>
      <c r="E16" s="63"/>
      <c r="F16" s="64"/>
      <c r="G16" s="65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66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66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8"/>
      <c r="AT16" s="63"/>
      <c r="AU16" s="63"/>
    </row>
    <row r="17" spans="1:47" ht="12.75" customHeight="1" x14ac:dyDescent="0.2">
      <c r="A17" s="95" t="s">
        <v>173</v>
      </c>
      <c r="B17" s="62"/>
      <c r="C17" s="54"/>
      <c r="D17" s="54"/>
      <c r="E17" s="63"/>
      <c r="F17" s="64"/>
      <c r="G17" s="65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66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66"/>
      <c r="AG17" s="67"/>
      <c r="AH17" s="67"/>
      <c r="AI17" s="67"/>
      <c r="AJ17" s="67"/>
      <c r="AK17" s="67"/>
      <c r="AL17" s="67"/>
      <c r="AM17" s="67"/>
      <c r="AN17" s="67"/>
      <c r="AO17" s="67"/>
      <c r="AP17" s="67"/>
      <c r="AQ17" s="67"/>
      <c r="AR17" s="67"/>
      <c r="AS17" s="68"/>
      <c r="AT17" s="63"/>
      <c r="AU17" s="63"/>
    </row>
    <row r="18" spans="1:47" ht="12.75" hidden="1" customHeight="1" outlineLevel="1" x14ac:dyDescent="0.2">
      <c r="A18" s="95" t="s">
        <v>109</v>
      </c>
      <c r="B18" s="62"/>
      <c r="C18" s="54"/>
      <c r="D18" s="54"/>
      <c r="E18" s="63"/>
      <c r="F18" s="64"/>
      <c r="G18" s="65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66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66"/>
      <c r="AG18" s="67"/>
      <c r="AH18" s="67"/>
      <c r="AI18" s="67"/>
      <c r="AJ18" s="67"/>
      <c r="AK18" s="67"/>
      <c r="AL18" s="67"/>
      <c r="AM18" s="67"/>
      <c r="AN18" s="67"/>
      <c r="AO18" s="67"/>
      <c r="AP18" s="67"/>
      <c r="AQ18" s="67"/>
      <c r="AR18" s="67"/>
      <c r="AS18" s="68"/>
      <c r="AT18" s="63"/>
      <c r="AU18" s="63"/>
    </row>
    <row r="19" spans="1:47" ht="12.75" hidden="1" customHeight="1" outlineLevel="1" x14ac:dyDescent="0.2">
      <c r="A19" s="95" t="s">
        <v>97</v>
      </c>
      <c r="B19" s="62"/>
      <c r="C19" s="54"/>
      <c r="D19" s="54"/>
      <c r="E19" s="63"/>
      <c r="F19" s="64"/>
      <c r="G19" s="65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66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66"/>
      <c r="AG19" s="67"/>
      <c r="AH19" s="67"/>
      <c r="AI19" s="67"/>
      <c r="AJ19" s="67"/>
      <c r="AK19" s="67"/>
      <c r="AL19" s="67"/>
      <c r="AM19" s="67"/>
      <c r="AN19" s="67"/>
      <c r="AO19" s="67"/>
      <c r="AP19" s="67"/>
      <c r="AQ19" s="67"/>
      <c r="AR19" s="67"/>
      <c r="AS19" s="68"/>
      <c r="AT19" s="63"/>
      <c r="AU19" s="63"/>
    </row>
    <row r="20" spans="1:47" ht="12.75" hidden="1" customHeight="1" outlineLevel="1" x14ac:dyDescent="0.2">
      <c r="A20" s="95" t="s">
        <v>69</v>
      </c>
      <c r="B20" s="62"/>
      <c r="C20" s="54"/>
      <c r="D20" s="54"/>
      <c r="E20" s="63"/>
      <c r="F20" s="64"/>
      <c r="G20" s="65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66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66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8"/>
      <c r="AT20" s="63"/>
      <c r="AU20" s="63"/>
    </row>
    <row r="21" spans="1:47" ht="12.75" customHeight="1" collapsed="1" x14ac:dyDescent="0.2">
      <c r="A21" s="69" t="s">
        <v>70</v>
      </c>
      <c r="B21" s="70"/>
      <c r="C21" s="71"/>
      <c r="D21" s="71"/>
      <c r="E21" s="72"/>
      <c r="F21" s="73"/>
      <c r="G21" s="70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2"/>
      <c r="AU21" s="72"/>
    </row>
    <row r="22" spans="1:47" ht="12.75" hidden="1" customHeight="1" outlineLevel="1" x14ac:dyDescent="0.2">
      <c r="A22" s="95" t="s">
        <v>174</v>
      </c>
      <c r="B22" s="62"/>
      <c r="C22" s="54"/>
      <c r="D22" s="54"/>
      <c r="E22" s="63"/>
      <c r="F22" s="64"/>
      <c r="G22" s="65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66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66"/>
      <c r="AG22" s="67"/>
      <c r="AH22" s="67"/>
      <c r="AI22" s="67"/>
      <c r="AJ22" s="67"/>
      <c r="AK22" s="67"/>
      <c r="AL22" s="67"/>
      <c r="AM22" s="67"/>
      <c r="AN22" s="67"/>
      <c r="AO22" s="67"/>
      <c r="AP22" s="67"/>
      <c r="AQ22" s="67"/>
      <c r="AR22" s="67"/>
      <c r="AS22" s="68"/>
      <c r="AT22" s="63"/>
      <c r="AU22" s="63"/>
    </row>
    <row r="23" spans="1:47" ht="12.75" hidden="1" customHeight="1" outlineLevel="1" x14ac:dyDescent="0.2">
      <c r="A23" s="95" t="s">
        <v>99</v>
      </c>
      <c r="B23" s="62"/>
      <c r="C23" s="54"/>
      <c r="D23" s="54"/>
      <c r="E23" s="63"/>
      <c r="F23" s="64"/>
      <c r="G23" s="65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66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66"/>
      <c r="AG23" s="67"/>
      <c r="AH23" s="67"/>
      <c r="AI23" s="67"/>
      <c r="AJ23" s="67"/>
      <c r="AK23" s="67"/>
      <c r="AL23" s="67"/>
      <c r="AM23" s="67"/>
      <c r="AN23" s="67"/>
      <c r="AO23" s="67"/>
      <c r="AP23" s="67"/>
      <c r="AQ23" s="67"/>
      <c r="AR23" s="67"/>
      <c r="AS23" s="68"/>
      <c r="AT23" s="63"/>
      <c r="AU23" s="63"/>
    </row>
    <row r="24" spans="1:47" s="365" customFormat="1" ht="12.75" hidden="1" customHeight="1" outlineLevel="1" x14ac:dyDescent="0.2">
      <c r="A24" s="95" t="s">
        <v>175</v>
      </c>
      <c r="B24" s="62"/>
      <c r="C24" s="54"/>
      <c r="D24" s="54"/>
      <c r="E24" s="63"/>
      <c r="F24" s="64"/>
      <c r="G24" s="65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66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66"/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8"/>
      <c r="AT24" s="63"/>
      <c r="AU24" s="63"/>
    </row>
    <row r="25" spans="1:47" ht="12.75" hidden="1" customHeight="1" outlineLevel="1" x14ac:dyDescent="0.2">
      <c r="A25" s="95" t="s">
        <v>100</v>
      </c>
      <c r="B25" s="62"/>
      <c r="C25" s="54"/>
      <c r="D25" s="54"/>
      <c r="E25" s="63"/>
      <c r="F25" s="64"/>
      <c r="G25" s="65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66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66"/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8"/>
      <c r="AT25" s="63"/>
      <c r="AU25" s="63"/>
    </row>
    <row r="26" spans="1:47" ht="12.75" hidden="1" customHeight="1" outlineLevel="1" x14ac:dyDescent="0.2">
      <c r="A26" s="95" t="s">
        <v>101</v>
      </c>
      <c r="B26" s="62"/>
      <c r="C26" s="54"/>
      <c r="D26" s="54"/>
      <c r="E26" s="63"/>
      <c r="F26" s="64"/>
      <c r="G26" s="65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66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66"/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8"/>
      <c r="AT26" s="63"/>
      <c r="AU26" s="63"/>
    </row>
    <row r="27" spans="1:47" ht="12.75" hidden="1" customHeight="1" outlineLevel="1" x14ac:dyDescent="0.2">
      <c r="A27" s="95" t="s">
        <v>176</v>
      </c>
      <c r="B27" s="62"/>
      <c r="C27" s="54"/>
      <c r="D27" s="54"/>
      <c r="E27" s="63"/>
      <c r="F27" s="64"/>
      <c r="G27" s="65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66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66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8"/>
      <c r="AT27" s="63"/>
      <c r="AU27" s="63"/>
    </row>
    <row r="28" spans="1:47" ht="12.75" hidden="1" customHeight="1" outlineLevel="1" x14ac:dyDescent="0.2">
      <c r="A28" s="95" t="s">
        <v>102</v>
      </c>
      <c r="B28" s="62">
        <v>0</v>
      </c>
      <c r="C28" s="54"/>
      <c r="D28" s="54">
        <v>0</v>
      </c>
      <c r="E28" s="63"/>
      <c r="F28" s="64"/>
      <c r="G28" s="65">
        <v>0</v>
      </c>
      <c r="H28" s="54">
        <v>0</v>
      </c>
      <c r="I28" s="54">
        <v>0</v>
      </c>
      <c r="J28" s="54">
        <v>0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0</v>
      </c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66"/>
      <c r="AG28" s="67">
        <v>0</v>
      </c>
      <c r="AH28" s="67">
        <v>0</v>
      </c>
      <c r="AI28" s="67">
        <v>0</v>
      </c>
      <c r="AJ28" s="67">
        <v>0</v>
      </c>
      <c r="AK28" s="67">
        <v>0</v>
      </c>
      <c r="AL28" s="67">
        <v>0</v>
      </c>
      <c r="AM28" s="67">
        <v>0</v>
      </c>
      <c r="AN28" s="67">
        <v>0</v>
      </c>
      <c r="AO28" s="67">
        <v>0</v>
      </c>
      <c r="AP28" s="67">
        <v>0</v>
      </c>
      <c r="AQ28" s="67">
        <v>0</v>
      </c>
      <c r="AR28" s="67">
        <v>0</v>
      </c>
      <c r="AS28" s="68">
        <v>0</v>
      </c>
      <c r="AT28" s="63"/>
      <c r="AU28" s="63"/>
    </row>
    <row r="29" spans="1:47" ht="12.75" hidden="1" customHeight="1" outlineLevel="1" x14ac:dyDescent="0.2">
      <c r="A29" s="95" t="s">
        <v>75</v>
      </c>
      <c r="B29" s="62"/>
      <c r="C29" s="54"/>
      <c r="D29" s="54"/>
      <c r="E29" s="63"/>
      <c r="F29" s="64"/>
      <c r="G29" s="65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66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66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8"/>
      <c r="AT29" s="63"/>
      <c r="AU29" s="63"/>
    </row>
    <row r="30" spans="1:47" ht="12.75" hidden="1" customHeight="1" outlineLevel="1" x14ac:dyDescent="0.2">
      <c r="A30" s="95" t="s">
        <v>76</v>
      </c>
      <c r="B30" s="62"/>
      <c r="C30" s="54"/>
      <c r="D30" s="54"/>
      <c r="E30" s="63"/>
      <c r="F30" s="64"/>
      <c r="G30" s="65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66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66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8"/>
      <c r="AT30" s="63"/>
      <c r="AU30" s="63"/>
    </row>
    <row r="31" spans="1:47" ht="12.75" hidden="1" customHeight="1" outlineLevel="1" x14ac:dyDescent="0.2">
      <c r="A31" s="95" t="s">
        <v>77</v>
      </c>
      <c r="B31" s="62"/>
      <c r="C31" s="54"/>
      <c r="D31" s="54"/>
      <c r="E31" s="63"/>
      <c r="F31" s="64"/>
      <c r="G31" s="65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66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66"/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8"/>
      <c r="AT31" s="63"/>
      <c r="AU31" s="63"/>
    </row>
    <row r="32" spans="1:47" ht="12.75" customHeight="1" collapsed="1" x14ac:dyDescent="0.2">
      <c r="A32" s="69" t="s">
        <v>177</v>
      </c>
      <c r="B32" s="70">
        <v>0</v>
      </c>
      <c r="C32" s="71"/>
      <c r="D32" s="71">
        <v>0</v>
      </c>
      <c r="E32" s="72"/>
      <c r="F32" s="73"/>
      <c r="G32" s="70">
        <v>0</v>
      </c>
      <c r="H32" s="71">
        <v>0</v>
      </c>
      <c r="I32" s="71">
        <v>0</v>
      </c>
      <c r="J32" s="71">
        <v>0</v>
      </c>
      <c r="K32" s="71">
        <v>0</v>
      </c>
      <c r="L32" s="71">
        <v>0</v>
      </c>
      <c r="M32" s="71">
        <v>0</v>
      </c>
      <c r="N32" s="71">
        <v>0</v>
      </c>
      <c r="O32" s="71">
        <v>0</v>
      </c>
      <c r="P32" s="71">
        <v>0</v>
      </c>
      <c r="Q32" s="71">
        <v>0</v>
      </c>
      <c r="R32" s="71">
        <v>0</v>
      </c>
      <c r="S32" s="71">
        <v>0</v>
      </c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5">
        <v>0</v>
      </c>
      <c r="AH32" s="75">
        <v>0</v>
      </c>
      <c r="AI32" s="75">
        <v>0</v>
      </c>
      <c r="AJ32" s="75">
        <v>0</v>
      </c>
      <c r="AK32" s="75">
        <v>0</v>
      </c>
      <c r="AL32" s="75">
        <v>0</v>
      </c>
      <c r="AM32" s="75">
        <v>0</v>
      </c>
      <c r="AN32" s="75">
        <v>0</v>
      </c>
      <c r="AO32" s="75">
        <v>0</v>
      </c>
      <c r="AP32" s="75">
        <v>0</v>
      </c>
      <c r="AQ32" s="75">
        <v>0</v>
      </c>
      <c r="AR32" s="75">
        <v>0</v>
      </c>
      <c r="AS32" s="75">
        <v>0</v>
      </c>
      <c r="AT32" s="72"/>
      <c r="AU32" s="72"/>
    </row>
    <row r="33" spans="1:47" ht="12.75" hidden="1" customHeight="1" outlineLevel="1" x14ac:dyDescent="0.2">
      <c r="A33" s="95" t="s">
        <v>178</v>
      </c>
      <c r="B33" s="62"/>
      <c r="C33" s="54"/>
      <c r="D33" s="54"/>
      <c r="E33" s="63"/>
      <c r="F33" s="64"/>
      <c r="G33" s="65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66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66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8"/>
      <c r="AT33" s="63"/>
      <c r="AU33" s="63"/>
    </row>
    <row r="34" spans="1:47" ht="12.75" hidden="1" customHeight="1" outlineLevel="1" x14ac:dyDescent="0.2">
      <c r="A34" s="95" t="s">
        <v>179</v>
      </c>
      <c r="B34" s="62"/>
      <c r="C34" s="54"/>
      <c r="D34" s="54"/>
      <c r="E34" s="63"/>
      <c r="F34" s="64"/>
      <c r="G34" s="65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66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66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8"/>
      <c r="AT34" s="63"/>
      <c r="AU34" s="63"/>
    </row>
    <row r="35" spans="1:47" ht="12.75" hidden="1" customHeight="1" outlineLevel="1" x14ac:dyDescent="0.2">
      <c r="A35" s="95" t="s">
        <v>180</v>
      </c>
      <c r="B35" s="62"/>
      <c r="C35" s="54"/>
      <c r="D35" s="54"/>
      <c r="E35" s="63"/>
      <c r="F35" s="64"/>
      <c r="G35" s="65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66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66"/>
      <c r="AG35" s="67"/>
      <c r="AH35" s="67"/>
      <c r="AI35" s="67"/>
      <c r="AJ35" s="67"/>
      <c r="AK35" s="67"/>
      <c r="AL35" s="67"/>
      <c r="AM35" s="67"/>
      <c r="AN35" s="67"/>
      <c r="AO35" s="67"/>
      <c r="AP35" s="67"/>
      <c r="AQ35" s="67"/>
      <c r="AR35" s="67"/>
      <c r="AS35" s="68"/>
      <c r="AT35" s="63"/>
      <c r="AU35" s="63"/>
    </row>
    <row r="36" spans="1:47" ht="12.75" hidden="1" customHeight="1" outlineLevel="1" x14ac:dyDescent="0.2">
      <c r="A36" s="95" t="s">
        <v>181</v>
      </c>
      <c r="B36" s="62"/>
      <c r="C36" s="54"/>
      <c r="D36" s="54"/>
      <c r="E36" s="63"/>
      <c r="F36" s="64"/>
      <c r="G36" s="65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66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66"/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8"/>
      <c r="AT36" s="63"/>
      <c r="AU36" s="63"/>
    </row>
    <row r="37" spans="1:47" ht="12.75" hidden="1" customHeight="1" outlineLevel="1" x14ac:dyDescent="0.2">
      <c r="A37" s="95" t="s">
        <v>182</v>
      </c>
      <c r="B37" s="62"/>
      <c r="C37" s="54"/>
      <c r="D37" s="54"/>
      <c r="E37" s="63"/>
      <c r="F37" s="64"/>
      <c r="G37" s="65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66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66"/>
      <c r="AG37" s="67"/>
      <c r="AH37" s="67"/>
      <c r="AI37" s="67"/>
      <c r="AJ37" s="67"/>
      <c r="AK37" s="67"/>
      <c r="AL37" s="67"/>
      <c r="AM37" s="67"/>
      <c r="AN37" s="67"/>
      <c r="AO37" s="67"/>
      <c r="AP37" s="67"/>
      <c r="AQ37" s="67"/>
      <c r="AR37" s="67"/>
      <c r="AS37" s="68"/>
      <c r="AT37" s="63"/>
      <c r="AU37" s="63"/>
    </row>
    <row r="38" spans="1:47" ht="12.75" hidden="1" customHeight="1" outlineLevel="1" x14ac:dyDescent="0.2">
      <c r="A38" s="95" t="s">
        <v>183</v>
      </c>
      <c r="B38" s="62"/>
      <c r="C38" s="54"/>
      <c r="D38" s="54"/>
      <c r="E38" s="63"/>
      <c r="F38" s="64"/>
      <c r="G38" s="65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66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66"/>
      <c r="AG38" s="67"/>
      <c r="AH38" s="67"/>
      <c r="AI38" s="67"/>
      <c r="AJ38" s="67"/>
      <c r="AK38" s="67"/>
      <c r="AL38" s="67"/>
      <c r="AM38" s="67"/>
      <c r="AN38" s="67"/>
      <c r="AO38" s="67"/>
      <c r="AP38" s="67"/>
      <c r="AQ38" s="67"/>
      <c r="AR38" s="67"/>
      <c r="AS38" s="68"/>
      <c r="AT38" s="63"/>
      <c r="AU38" s="63"/>
    </row>
    <row r="39" spans="1:47" ht="12.75" hidden="1" customHeight="1" outlineLevel="1" x14ac:dyDescent="0.2">
      <c r="A39" s="95" t="s">
        <v>184</v>
      </c>
      <c r="B39" s="62"/>
      <c r="C39" s="54"/>
      <c r="D39" s="54"/>
      <c r="E39" s="63"/>
      <c r="F39" s="64"/>
      <c r="G39" s="65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66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66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8"/>
      <c r="AT39" s="63"/>
      <c r="AU39" s="63"/>
    </row>
    <row r="40" spans="1:47" ht="12.75" hidden="1" customHeight="1" outlineLevel="1" x14ac:dyDescent="0.2">
      <c r="A40" s="95" t="s">
        <v>185</v>
      </c>
      <c r="B40" s="62"/>
      <c r="C40" s="54"/>
      <c r="D40" s="54"/>
      <c r="E40" s="63"/>
      <c r="F40" s="64"/>
      <c r="G40" s="65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66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66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8"/>
      <c r="AT40" s="63"/>
      <c r="AU40" s="63"/>
    </row>
    <row r="41" spans="1:47" ht="12.75" hidden="1" customHeight="1" outlineLevel="1" x14ac:dyDescent="0.2">
      <c r="A41" s="95" t="s">
        <v>186</v>
      </c>
      <c r="B41" s="62"/>
      <c r="C41" s="54"/>
      <c r="D41" s="54"/>
      <c r="E41" s="63"/>
      <c r="F41" s="64"/>
      <c r="G41" s="65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66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66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8"/>
      <c r="AT41" s="63"/>
      <c r="AU41" s="63"/>
    </row>
    <row r="42" spans="1:47" ht="12.75" hidden="1" customHeight="1" outlineLevel="1" x14ac:dyDescent="0.2">
      <c r="A42" s="95" t="s">
        <v>187</v>
      </c>
      <c r="B42" s="62"/>
      <c r="C42" s="54"/>
      <c r="D42" s="54"/>
      <c r="E42" s="63"/>
      <c r="F42" s="64"/>
      <c r="G42" s="65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66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66"/>
      <c r="AG42" s="67"/>
      <c r="AH42" s="67"/>
      <c r="AI42" s="67"/>
      <c r="AJ42" s="67"/>
      <c r="AK42" s="67"/>
      <c r="AL42" s="67"/>
      <c r="AM42" s="67"/>
      <c r="AN42" s="67"/>
      <c r="AO42" s="67"/>
      <c r="AP42" s="67"/>
      <c r="AQ42" s="67"/>
      <c r="AR42" s="67"/>
      <c r="AS42" s="68"/>
      <c r="AT42" s="63"/>
      <c r="AU42" s="63"/>
    </row>
    <row r="43" spans="1:47" ht="12.75" hidden="1" customHeight="1" outlineLevel="1" x14ac:dyDescent="0.2">
      <c r="A43" s="95" t="s">
        <v>188</v>
      </c>
      <c r="B43" s="62"/>
      <c r="C43" s="54"/>
      <c r="D43" s="54"/>
      <c r="E43" s="63"/>
      <c r="F43" s="64"/>
      <c r="G43" s="65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66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66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8"/>
      <c r="AT43" s="63"/>
      <c r="AU43" s="63"/>
    </row>
    <row r="44" spans="1:47" ht="12.75" hidden="1" customHeight="1" outlineLevel="1" x14ac:dyDescent="0.2">
      <c r="A44" s="95" t="s">
        <v>189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95" t="s">
        <v>190</v>
      </c>
      <c r="B45" s="62"/>
      <c r="C45" s="54"/>
      <c r="D45" s="54"/>
      <c r="E45" s="63"/>
      <c r="F45" s="64"/>
      <c r="G45" s="65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66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66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8"/>
      <c r="AT45" s="63"/>
      <c r="AU45" s="63"/>
    </row>
    <row r="46" spans="1:47" ht="12.75" hidden="1" customHeight="1" outlineLevel="1" x14ac:dyDescent="0.2">
      <c r="A46" s="95" t="s">
        <v>191</v>
      </c>
      <c r="B46" s="62"/>
      <c r="C46" s="54"/>
      <c r="D46" s="54"/>
      <c r="E46" s="63"/>
      <c r="F46" s="64"/>
      <c r="G46" s="65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66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66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8"/>
      <c r="AT46" s="63"/>
      <c r="AU46" s="63"/>
    </row>
    <row r="47" spans="1:47" ht="12.75" customHeight="1" collapsed="1" x14ac:dyDescent="0.2">
      <c r="A47" s="69" t="s">
        <v>192</v>
      </c>
      <c r="B47" s="70"/>
      <c r="C47" s="71"/>
      <c r="D47" s="71"/>
      <c r="E47" s="72"/>
      <c r="F47" s="73"/>
      <c r="G47" s="70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5"/>
      <c r="AH47" s="75"/>
      <c r="AI47" s="75"/>
      <c r="AJ47" s="75"/>
      <c r="AK47" s="75"/>
      <c r="AL47" s="75"/>
      <c r="AM47" s="75"/>
      <c r="AN47" s="75"/>
      <c r="AO47" s="75"/>
      <c r="AP47" s="75"/>
      <c r="AQ47" s="75"/>
      <c r="AR47" s="75"/>
      <c r="AS47" s="75"/>
      <c r="AT47" s="72"/>
      <c r="AU47" s="72"/>
    </row>
    <row r="48" spans="1:47" ht="12.75" hidden="1" customHeight="1" outlineLevel="1" x14ac:dyDescent="0.2">
      <c r="A48" s="95" t="s">
        <v>193</v>
      </c>
      <c r="B48" s="62"/>
      <c r="C48" s="54"/>
      <c r="D48" s="54"/>
      <c r="E48" s="63"/>
      <c r="F48" s="64"/>
      <c r="G48" s="65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66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66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8"/>
      <c r="AT48" s="63"/>
      <c r="AU48" s="63"/>
    </row>
    <row r="49" spans="1:47" ht="12.75" hidden="1" customHeight="1" outlineLevel="1" x14ac:dyDescent="0.2">
      <c r="A49" s="95" t="s">
        <v>194</v>
      </c>
      <c r="B49" s="62"/>
      <c r="C49" s="54"/>
      <c r="D49" s="54"/>
      <c r="E49" s="63"/>
      <c r="F49" s="64"/>
      <c r="G49" s="65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66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66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8"/>
      <c r="AT49" s="63"/>
      <c r="AU49" s="63"/>
    </row>
    <row r="50" spans="1:47" ht="12.75" hidden="1" customHeight="1" outlineLevel="1" x14ac:dyDescent="0.2">
      <c r="A50" s="95" t="s">
        <v>82</v>
      </c>
      <c r="B50" s="62"/>
      <c r="C50" s="54"/>
      <c r="D50" s="54"/>
      <c r="E50" s="63"/>
      <c r="F50" s="64"/>
      <c r="G50" s="65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66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66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8"/>
      <c r="AT50" s="63"/>
      <c r="AU50" s="63"/>
    </row>
    <row r="51" spans="1:47" ht="12.75" hidden="1" customHeight="1" outlineLevel="1" x14ac:dyDescent="0.2">
      <c r="A51" s="95" t="s">
        <v>83</v>
      </c>
      <c r="B51" s="62"/>
      <c r="C51" s="54"/>
      <c r="D51" s="54"/>
      <c r="E51" s="63"/>
      <c r="F51" s="64"/>
      <c r="G51" s="65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66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66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8"/>
      <c r="AT51" s="63"/>
      <c r="AU51" s="63"/>
    </row>
    <row r="52" spans="1:47" ht="12.75" hidden="1" customHeight="1" outlineLevel="1" x14ac:dyDescent="0.2">
      <c r="A52" s="95" t="s">
        <v>84</v>
      </c>
      <c r="B52" s="62"/>
      <c r="C52" s="54"/>
      <c r="D52" s="54"/>
      <c r="E52" s="63"/>
      <c r="F52" s="64"/>
      <c r="G52" s="65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66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66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8"/>
      <c r="AT52" s="63"/>
      <c r="AU52" s="63"/>
    </row>
    <row r="53" spans="1:47" ht="12.75" hidden="1" customHeight="1" outlineLevel="1" x14ac:dyDescent="0.2">
      <c r="A53" s="95" t="s">
        <v>195</v>
      </c>
      <c r="B53" s="62"/>
      <c r="C53" s="54"/>
      <c r="D53" s="54"/>
      <c r="E53" s="63"/>
      <c r="F53" s="64"/>
      <c r="G53" s="65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66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66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8"/>
      <c r="AT53" s="63"/>
      <c r="AU53" s="63"/>
    </row>
    <row r="54" spans="1:47" ht="12.75" hidden="1" customHeight="1" outlineLevel="1" x14ac:dyDescent="0.2">
      <c r="A54" s="95" t="s">
        <v>86</v>
      </c>
      <c r="B54" s="62"/>
      <c r="C54" s="54"/>
      <c r="D54" s="54"/>
      <c r="E54" s="63"/>
      <c r="F54" s="64"/>
      <c r="G54" s="65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66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66"/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8"/>
      <c r="AT54" s="63"/>
      <c r="AU54" s="63"/>
    </row>
    <row r="55" spans="1:47" ht="12.75" hidden="1" customHeight="1" outlineLevel="1" x14ac:dyDescent="0.2">
      <c r="A55" s="95" t="s">
        <v>110</v>
      </c>
      <c r="B55" s="62"/>
      <c r="C55" s="54"/>
      <c r="D55" s="54"/>
      <c r="E55" s="63"/>
      <c r="F55" s="64"/>
      <c r="G55" s="65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66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66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8"/>
      <c r="AT55" s="63"/>
      <c r="AU55" s="63"/>
    </row>
    <row r="56" spans="1:47" ht="12.75" hidden="1" customHeight="1" outlineLevel="1" x14ac:dyDescent="0.2">
      <c r="A56" s="95" t="s">
        <v>196</v>
      </c>
      <c r="B56" s="62"/>
      <c r="C56" s="54"/>
      <c r="D56" s="54"/>
      <c r="E56" s="63"/>
      <c r="F56" s="64"/>
      <c r="G56" s="65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66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66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8"/>
      <c r="AT56" s="63"/>
      <c r="AU56" s="63"/>
    </row>
    <row r="57" spans="1:47" ht="12.75" hidden="1" customHeight="1" outlineLevel="1" x14ac:dyDescent="0.2">
      <c r="A57" s="95" t="s">
        <v>197</v>
      </c>
      <c r="B57" s="62"/>
      <c r="C57" s="54"/>
      <c r="D57" s="54"/>
      <c r="E57" s="63"/>
      <c r="F57" s="64"/>
      <c r="G57" s="65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66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66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8"/>
      <c r="AT57" s="63"/>
      <c r="AU57" s="63"/>
    </row>
    <row r="58" spans="1:47" ht="12.75" hidden="1" customHeight="1" outlineLevel="1" x14ac:dyDescent="0.2">
      <c r="A58" s="95" t="s">
        <v>198</v>
      </c>
      <c r="B58" s="62"/>
      <c r="C58" s="54"/>
      <c r="D58" s="54"/>
      <c r="E58" s="63"/>
      <c r="F58" s="64"/>
      <c r="G58" s="65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66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66"/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8"/>
      <c r="AT58" s="63"/>
      <c r="AU58" s="63"/>
    </row>
    <row r="59" spans="1:47" ht="12.75" hidden="1" customHeight="1" outlineLevel="1" x14ac:dyDescent="0.2">
      <c r="A59" s="95" t="s">
        <v>199</v>
      </c>
      <c r="B59" s="62"/>
      <c r="C59" s="54"/>
      <c r="D59" s="54"/>
      <c r="E59" s="63"/>
      <c r="F59" s="64"/>
      <c r="G59" s="65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66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66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8"/>
      <c r="AT59" s="63"/>
      <c r="AU59" s="63"/>
    </row>
    <row r="60" spans="1:47" ht="12.75" hidden="1" customHeight="1" outlineLevel="1" x14ac:dyDescent="0.2">
      <c r="A60" s="95" t="s">
        <v>200</v>
      </c>
      <c r="B60" s="62"/>
      <c r="C60" s="54"/>
      <c r="D60" s="54"/>
      <c r="E60" s="63"/>
      <c r="F60" s="64"/>
      <c r="G60" s="65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66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66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8"/>
      <c r="AT60" s="63"/>
      <c r="AU60" s="63"/>
    </row>
    <row r="61" spans="1:47" ht="12.75" customHeight="1" collapsed="1" x14ac:dyDescent="0.2">
      <c r="A61" s="69" t="s">
        <v>89</v>
      </c>
      <c r="B61" s="70"/>
      <c r="C61" s="71"/>
      <c r="D61" s="71"/>
      <c r="E61" s="72"/>
      <c r="F61" s="73"/>
      <c r="G61" s="70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2"/>
      <c r="AU61" s="72"/>
    </row>
    <row r="62" spans="1:47" ht="12.75" customHeight="1" x14ac:dyDescent="0.2">
      <c r="A62" s="77" t="s">
        <v>201</v>
      </c>
      <c r="B62" s="78">
        <v>8974.44</v>
      </c>
      <c r="C62" s="79">
        <v>0</v>
      </c>
      <c r="D62" s="79">
        <v>8196.25</v>
      </c>
      <c r="E62" s="80"/>
      <c r="F62" s="81">
        <v>109.49446393167607</v>
      </c>
      <c r="G62" s="78">
        <v>8462.61</v>
      </c>
      <c r="H62" s="79">
        <v>6553.41</v>
      </c>
      <c r="I62" s="79">
        <v>8765.02</v>
      </c>
      <c r="J62" s="79">
        <v>8974.44</v>
      </c>
      <c r="K62" s="82">
        <v>-192.2</v>
      </c>
      <c r="L62" s="79">
        <v>0</v>
      </c>
      <c r="M62" s="79">
        <v>0</v>
      </c>
      <c r="N62" s="79">
        <v>0</v>
      </c>
      <c r="O62" s="79">
        <v>0</v>
      </c>
      <c r="P62" s="79">
        <v>0</v>
      </c>
      <c r="Q62" s="79">
        <v>0</v>
      </c>
      <c r="R62" s="79">
        <v>0</v>
      </c>
      <c r="S62" s="79">
        <v>32755.48</v>
      </c>
      <c r="T62" s="79">
        <v>0</v>
      </c>
      <c r="U62" s="79">
        <v>0</v>
      </c>
      <c r="V62" s="79">
        <v>0</v>
      </c>
      <c r="W62" s="79">
        <v>0</v>
      </c>
      <c r="X62" s="79">
        <v>0</v>
      </c>
      <c r="Y62" s="79">
        <v>0</v>
      </c>
      <c r="Z62" s="79">
        <v>0</v>
      </c>
      <c r="AA62" s="79">
        <v>0</v>
      </c>
      <c r="AB62" s="79">
        <v>0</v>
      </c>
      <c r="AC62" s="79">
        <v>0</v>
      </c>
      <c r="AD62" s="79">
        <v>0</v>
      </c>
      <c r="AE62" s="79">
        <v>0</v>
      </c>
      <c r="AF62" s="79">
        <v>0</v>
      </c>
      <c r="AG62" s="83">
        <v>8122.65</v>
      </c>
      <c r="AH62" s="83">
        <v>9790.26</v>
      </c>
      <c r="AI62" s="83">
        <v>8561.85</v>
      </c>
      <c r="AJ62" s="83">
        <v>8196.25</v>
      </c>
      <c r="AK62" s="83">
        <v>7428.55</v>
      </c>
      <c r="AL62" s="83">
        <v>8645.14</v>
      </c>
      <c r="AM62" s="83">
        <v>8618.06</v>
      </c>
      <c r="AN62" s="83">
        <v>8658</v>
      </c>
      <c r="AO62" s="83">
        <v>7421.95</v>
      </c>
      <c r="AP62" s="83">
        <v>8508.83</v>
      </c>
      <c r="AQ62" s="83">
        <v>8942.7199999999993</v>
      </c>
      <c r="AR62" s="83">
        <v>7882.63</v>
      </c>
      <c r="AS62" s="83">
        <v>34671.01</v>
      </c>
      <c r="AT62" s="80"/>
      <c r="AU62" s="80">
        <v>94.475124895409735</v>
      </c>
    </row>
    <row r="63" spans="1:47" x14ac:dyDescent="0.2">
      <c r="B63" s="22"/>
      <c r="C63" s="22"/>
      <c r="D63" s="22"/>
      <c r="E63" s="23"/>
      <c r="F63" s="23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3"/>
      <c r="AU63" s="23"/>
    </row>
    <row r="65" spans="1:4" ht="15" x14ac:dyDescent="0.25">
      <c r="A65" s="16"/>
      <c r="B65" s="16"/>
      <c r="C65" s="16"/>
      <c r="D65" s="16"/>
    </row>
    <row r="66" spans="1:4" ht="15" x14ac:dyDescent="0.25">
      <c r="A66" s="16"/>
      <c r="B66" s="16"/>
      <c r="C66" s="16"/>
      <c r="D66" s="16"/>
    </row>
    <row r="67" spans="1:4" ht="15" x14ac:dyDescent="0.25">
      <c r="A67" s="16"/>
      <c r="B67" s="16"/>
      <c r="C67" s="16"/>
      <c r="D67" s="16"/>
    </row>
    <row r="68" spans="1:4" ht="15" x14ac:dyDescent="0.25">
      <c r="A68" s="16"/>
      <c r="B68" s="16"/>
      <c r="C68" s="16"/>
      <c r="D68" s="16"/>
    </row>
    <row r="69" spans="1:4" ht="15" x14ac:dyDescent="0.25">
      <c r="A69" s="16"/>
      <c r="B69" s="16"/>
      <c r="C69" s="16"/>
      <c r="D69" s="16"/>
    </row>
    <row r="70" spans="1:4" ht="15" x14ac:dyDescent="0.25">
      <c r="A70" s="16"/>
      <c r="B70" s="16"/>
      <c r="C70" s="16"/>
      <c r="D70" s="16"/>
    </row>
    <row r="71" spans="1:4" ht="15" x14ac:dyDescent="0.25">
      <c r="A71" s="16"/>
      <c r="B71" s="16"/>
      <c r="C71" s="16"/>
      <c r="D71" s="16"/>
    </row>
  </sheetData>
  <pageMargins left="0.75" right="0.75" top="1" bottom="1" header="0.5" footer="0.5"/>
  <pageSetup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6600FF"/>
  </sheetPr>
  <dimension ref="A1:AU73"/>
  <sheetViews>
    <sheetView workbookViewId="0">
      <pane ySplit="1" topLeftCell="A2" activePane="bottomLeft" state="frozen"/>
      <selection activeCell="A73" sqref="A73"/>
      <selection pane="bottomLeft" sqref="A1:AU73"/>
    </sheetView>
  </sheetViews>
  <sheetFormatPr defaultColWidth="8.7109375" defaultRowHeight="12.75" outlineLevelRow="1" outlineLevelCol="1" x14ac:dyDescent="0.2"/>
  <cols>
    <col min="1" max="1" width="66.140625" style="365" customWidth="1"/>
    <col min="2" max="4" width="8.7109375" style="365"/>
    <col min="5" max="5" width="9.85546875" style="365" customWidth="1"/>
    <col min="6" max="6" width="10.5703125" style="365" customWidth="1"/>
    <col min="7" max="18" width="8.7109375" style="365" customWidth="1" outlineLevel="1"/>
    <col min="19" max="19" width="15.28515625" style="365" customWidth="1"/>
    <col min="20" max="31" width="0" style="365" hidden="1" customWidth="1" outlineLevel="1"/>
    <col min="32" max="32" width="15.28515625" style="365" customWidth="1" collapsed="1"/>
    <col min="33" max="44" width="0" style="365" hidden="1" customWidth="1" outlineLevel="1"/>
    <col min="45" max="45" width="8.7109375" style="365" collapsed="1"/>
    <col min="46" max="47" width="10.7109375" style="365" customWidth="1"/>
    <col min="48" max="16384" width="8.7109375" style="365"/>
  </cols>
  <sheetData>
    <row r="1" spans="1:47" ht="36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outlineLevel="1" x14ac:dyDescent="0.2">
      <c r="A2" s="95" t="s">
        <v>7</v>
      </c>
      <c r="B2" s="62"/>
      <c r="C2" s="54"/>
      <c r="D2" s="54"/>
      <c r="E2" s="63"/>
      <c r="F2" s="64"/>
      <c r="G2" s="65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66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66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8"/>
      <c r="AT2" s="63"/>
      <c r="AU2" s="63"/>
    </row>
    <row r="3" spans="1:47" ht="12.75" customHeight="1" outlineLevel="1" x14ac:dyDescent="0.2">
      <c r="A3" s="95" t="s">
        <v>160</v>
      </c>
      <c r="B3" s="62">
        <v>72154.27</v>
      </c>
      <c r="C3" s="54">
        <v>0</v>
      </c>
      <c r="D3" s="54">
        <v>70364.3</v>
      </c>
      <c r="E3" s="63"/>
      <c r="F3" s="64">
        <v>102.54386102043223</v>
      </c>
      <c r="G3" s="65">
        <v>82125.94</v>
      </c>
      <c r="H3" s="54">
        <v>81821.16</v>
      </c>
      <c r="I3" s="54">
        <v>66030.86</v>
      </c>
      <c r="J3" s="54">
        <v>72154.27</v>
      </c>
      <c r="K3" s="54">
        <v>0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302132.23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73606.37</v>
      </c>
      <c r="AH3" s="67">
        <v>68181.63</v>
      </c>
      <c r="AI3" s="67">
        <v>81846.600000000006</v>
      </c>
      <c r="AJ3" s="67">
        <v>70364.3</v>
      </c>
      <c r="AK3" s="67">
        <v>70384.320000000007</v>
      </c>
      <c r="AL3" s="67">
        <v>91253.69</v>
      </c>
      <c r="AM3" s="67">
        <v>98857.48</v>
      </c>
      <c r="AN3" s="67">
        <v>91125.47</v>
      </c>
      <c r="AO3" s="67">
        <v>69257.600000000006</v>
      </c>
      <c r="AP3" s="67">
        <v>80240.95</v>
      </c>
      <c r="AQ3" s="67">
        <v>83497.820000000007</v>
      </c>
      <c r="AR3" s="67">
        <v>88882.07</v>
      </c>
      <c r="AS3" s="68">
        <v>293998.90000000002</v>
      </c>
      <c r="AT3" s="63"/>
      <c r="AU3" s="63">
        <v>102.7664491261702</v>
      </c>
    </row>
    <row r="4" spans="1:47" ht="12.75" customHeight="1" outlineLevel="1" x14ac:dyDescent="0.2">
      <c r="A4" s="95" t="s">
        <v>161</v>
      </c>
      <c r="B4" s="62">
        <v>5260.14</v>
      </c>
      <c r="C4" s="54">
        <v>0</v>
      </c>
      <c r="D4" s="54">
        <v>4865.33</v>
      </c>
      <c r="E4" s="63"/>
      <c r="F4" s="64">
        <v>108.11476302737944</v>
      </c>
      <c r="G4" s="65">
        <v>5434.98</v>
      </c>
      <c r="H4" s="54">
        <v>1177.95</v>
      </c>
      <c r="I4" s="54">
        <v>9904.9699999999993</v>
      </c>
      <c r="J4" s="54">
        <v>5260.14</v>
      </c>
      <c r="K4" s="56">
        <v>-2438.39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21778.04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5199.82</v>
      </c>
      <c r="AH4" s="67">
        <v>5129.09</v>
      </c>
      <c r="AI4" s="67">
        <v>6380.33</v>
      </c>
      <c r="AJ4" s="67">
        <v>4865.33</v>
      </c>
      <c r="AK4" s="67">
        <v>5100.22</v>
      </c>
      <c r="AL4" s="67">
        <v>5681.14</v>
      </c>
      <c r="AM4" s="67">
        <v>5059.04</v>
      </c>
      <c r="AN4" s="67">
        <v>5576.02</v>
      </c>
      <c r="AO4" s="67">
        <v>1216.23</v>
      </c>
      <c r="AP4" s="67">
        <v>6550.72</v>
      </c>
      <c r="AQ4" s="67">
        <v>7010.44</v>
      </c>
      <c r="AR4" s="98">
        <v>-479.36</v>
      </c>
      <c r="AS4" s="68">
        <v>21574.57</v>
      </c>
      <c r="AT4" s="63"/>
      <c r="AU4" s="63">
        <v>100.9431010675995</v>
      </c>
    </row>
    <row r="5" spans="1:47" ht="12.75" customHeight="1" outlineLevel="1" x14ac:dyDescent="0.2">
      <c r="A5" s="95" t="s">
        <v>162</v>
      </c>
      <c r="B5" s="62">
        <v>20714.52</v>
      </c>
      <c r="C5" s="54">
        <v>0</v>
      </c>
      <c r="D5" s="54">
        <v>5665.97</v>
      </c>
      <c r="E5" s="63"/>
      <c r="F5" s="64">
        <v>365.59529965742848</v>
      </c>
      <c r="G5" s="65">
        <v>8164.34</v>
      </c>
      <c r="H5" s="54">
        <v>8405.2099999999991</v>
      </c>
      <c r="I5" s="56">
        <v>-9498.06</v>
      </c>
      <c r="J5" s="54">
        <v>20714.52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27786.01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6459.13</v>
      </c>
      <c r="AH5" s="67">
        <v>13103.84</v>
      </c>
      <c r="AI5" s="67">
        <v>5440.07</v>
      </c>
      <c r="AJ5" s="67">
        <v>5665.97</v>
      </c>
      <c r="AK5" s="67">
        <v>7626.33</v>
      </c>
      <c r="AL5" s="67">
        <v>8812.51</v>
      </c>
      <c r="AM5" s="67">
        <v>8110.25</v>
      </c>
      <c r="AN5" s="67">
        <v>7464.1</v>
      </c>
      <c r="AO5" s="67">
        <v>7633.87</v>
      </c>
      <c r="AP5" s="67">
        <v>8756.24</v>
      </c>
      <c r="AQ5" s="67">
        <v>9279.06</v>
      </c>
      <c r="AR5" s="67">
        <v>6489.87</v>
      </c>
      <c r="AS5" s="68">
        <v>30669.01</v>
      </c>
      <c r="AT5" s="63"/>
      <c r="AU5" s="63">
        <v>90.599631354256303</v>
      </c>
    </row>
    <row r="6" spans="1:47" ht="12.75" customHeight="1" outlineLevel="1" x14ac:dyDescent="0.2">
      <c r="A6" s="95" t="s">
        <v>163</v>
      </c>
      <c r="B6" s="62">
        <v>7077</v>
      </c>
      <c r="C6" s="54">
        <v>0</v>
      </c>
      <c r="D6" s="54">
        <v>6594.79</v>
      </c>
      <c r="E6" s="63"/>
      <c r="F6" s="64">
        <v>107.31198415719075</v>
      </c>
      <c r="G6" s="65">
        <v>6594.79</v>
      </c>
      <c r="H6" s="54">
        <v>6594.79</v>
      </c>
      <c r="I6" s="54">
        <v>8041.42</v>
      </c>
      <c r="J6" s="54">
        <v>7077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28308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6412</v>
      </c>
      <c r="AH6" s="67">
        <v>6412</v>
      </c>
      <c r="AI6" s="67">
        <v>6412</v>
      </c>
      <c r="AJ6" s="67">
        <v>6594.79</v>
      </c>
      <c r="AK6" s="67">
        <v>6594.79</v>
      </c>
      <c r="AL6" s="67">
        <v>6594.79</v>
      </c>
      <c r="AM6" s="67">
        <v>6594.79</v>
      </c>
      <c r="AN6" s="67">
        <v>6594.79</v>
      </c>
      <c r="AO6" s="67">
        <v>6594.79</v>
      </c>
      <c r="AP6" s="67">
        <v>6594.79</v>
      </c>
      <c r="AQ6" s="98">
        <v>-65847.960000000006</v>
      </c>
      <c r="AR6" s="67">
        <v>0</v>
      </c>
      <c r="AS6" s="68">
        <v>25830.79</v>
      </c>
      <c r="AT6" s="63"/>
      <c r="AU6" s="63">
        <v>109.59014416516104</v>
      </c>
    </row>
    <row r="7" spans="1:47" ht="12.75" customHeight="1" outlineLevel="1" x14ac:dyDescent="0.2">
      <c r="A7" s="95" t="s">
        <v>164</v>
      </c>
      <c r="B7" s="62">
        <v>366.15</v>
      </c>
      <c r="C7" s="54">
        <v>0</v>
      </c>
      <c r="D7" s="54">
        <v>397.2</v>
      </c>
      <c r="E7" s="63"/>
      <c r="F7" s="64">
        <v>92.182779456193359</v>
      </c>
      <c r="G7" s="65">
        <v>539.55999999999995</v>
      </c>
      <c r="H7" s="54">
        <v>366.16</v>
      </c>
      <c r="I7" s="54">
        <v>366.16</v>
      </c>
      <c r="J7" s="54">
        <v>366.15</v>
      </c>
      <c r="K7" s="56">
        <v>-296.76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1638.03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25.55</v>
      </c>
      <c r="AH7" s="67">
        <v>25.55</v>
      </c>
      <c r="AI7" s="67">
        <v>46.62</v>
      </c>
      <c r="AJ7" s="67">
        <v>397.2</v>
      </c>
      <c r="AK7" s="67">
        <v>397.2</v>
      </c>
      <c r="AL7" s="67">
        <v>397.2</v>
      </c>
      <c r="AM7" s="67">
        <v>397.2</v>
      </c>
      <c r="AN7" s="67">
        <v>397.2</v>
      </c>
      <c r="AO7" s="67">
        <v>397.2</v>
      </c>
      <c r="AP7" s="67">
        <v>566.41</v>
      </c>
      <c r="AQ7" s="67">
        <v>566.41</v>
      </c>
      <c r="AR7" s="67">
        <v>566.41</v>
      </c>
      <c r="AS7" s="68">
        <v>494.92</v>
      </c>
      <c r="AT7" s="63"/>
      <c r="AU7" s="63">
        <v>330.96864139658936</v>
      </c>
    </row>
    <row r="8" spans="1:47" x14ac:dyDescent="0.2">
      <c r="A8" s="95" t="s">
        <v>165</v>
      </c>
      <c r="B8" s="62">
        <v>11834.83</v>
      </c>
      <c r="C8" s="54">
        <v>0</v>
      </c>
      <c r="D8" s="54">
        <v>10159.98</v>
      </c>
      <c r="E8" s="63"/>
      <c r="F8" s="64">
        <v>116.48477654483573</v>
      </c>
      <c r="G8" s="65">
        <v>11886.65</v>
      </c>
      <c r="H8" s="54">
        <v>11484.3</v>
      </c>
      <c r="I8" s="54">
        <v>11282.96</v>
      </c>
      <c r="J8" s="54">
        <v>11834.83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66">
        <v>46488.74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66">
        <v>0</v>
      </c>
      <c r="AG8" s="67">
        <v>11085.72</v>
      </c>
      <c r="AH8" s="67">
        <v>11152.67</v>
      </c>
      <c r="AI8" s="67">
        <v>11687.45</v>
      </c>
      <c r="AJ8" s="67">
        <v>10159.98</v>
      </c>
      <c r="AK8" s="67">
        <v>10058.67</v>
      </c>
      <c r="AL8" s="67">
        <v>11712.91</v>
      </c>
      <c r="AM8" s="67">
        <v>9328.69</v>
      </c>
      <c r="AN8" s="67">
        <v>10296.120000000001</v>
      </c>
      <c r="AO8" s="67">
        <v>10283.67</v>
      </c>
      <c r="AP8" s="67">
        <v>10859.43</v>
      </c>
      <c r="AQ8" s="67">
        <v>12121.83</v>
      </c>
      <c r="AR8" s="67">
        <v>11656.02</v>
      </c>
      <c r="AS8" s="68">
        <v>44085.82</v>
      </c>
      <c r="AT8" s="63"/>
      <c r="AU8" s="63">
        <v>105.45055076666375</v>
      </c>
    </row>
    <row r="9" spans="1:47" x14ac:dyDescent="0.2">
      <c r="A9" s="69" t="s">
        <v>166</v>
      </c>
      <c r="B9" s="70">
        <v>117406.91</v>
      </c>
      <c r="C9" s="71">
        <v>0</v>
      </c>
      <c r="D9" s="71">
        <v>98047.57</v>
      </c>
      <c r="E9" s="72"/>
      <c r="F9" s="73">
        <v>119.74484426284099</v>
      </c>
      <c r="G9" s="70">
        <v>114746.26</v>
      </c>
      <c r="H9" s="71">
        <v>109849.57</v>
      </c>
      <c r="I9" s="71">
        <v>86128.31</v>
      </c>
      <c r="J9" s="71">
        <v>117406.91</v>
      </c>
      <c r="K9" s="74">
        <v>-2735.15</v>
      </c>
      <c r="L9" s="71">
        <v>0</v>
      </c>
      <c r="M9" s="71">
        <v>0</v>
      </c>
      <c r="N9" s="71">
        <v>0</v>
      </c>
      <c r="O9" s="71">
        <v>0</v>
      </c>
      <c r="P9" s="71">
        <v>0</v>
      </c>
      <c r="Q9" s="71">
        <v>0</v>
      </c>
      <c r="R9" s="71">
        <v>0</v>
      </c>
      <c r="S9" s="71">
        <v>428131.05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0</v>
      </c>
      <c r="AA9" s="71">
        <v>0</v>
      </c>
      <c r="AB9" s="71">
        <v>0</v>
      </c>
      <c r="AC9" s="71">
        <v>0</v>
      </c>
      <c r="AD9" s="71">
        <v>0</v>
      </c>
      <c r="AE9" s="71">
        <v>0</v>
      </c>
      <c r="AF9" s="71">
        <v>0</v>
      </c>
      <c r="AG9" s="75">
        <v>102788.59</v>
      </c>
      <c r="AH9" s="75">
        <v>104004.78</v>
      </c>
      <c r="AI9" s="75">
        <v>111813.07</v>
      </c>
      <c r="AJ9" s="75">
        <v>98047.57</v>
      </c>
      <c r="AK9" s="75">
        <v>100161.53</v>
      </c>
      <c r="AL9" s="75">
        <v>124452.24</v>
      </c>
      <c r="AM9" s="75">
        <v>128347.45</v>
      </c>
      <c r="AN9" s="75">
        <v>121453.7</v>
      </c>
      <c r="AO9" s="75">
        <v>95383.360000000001</v>
      </c>
      <c r="AP9" s="75">
        <v>113568.54</v>
      </c>
      <c r="AQ9" s="75">
        <v>46627.6</v>
      </c>
      <c r="AR9" s="75">
        <v>107115.01</v>
      </c>
      <c r="AS9" s="75">
        <v>416654.01</v>
      </c>
      <c r="AT9" s="72"/>
      <c r="AU9" s="72">
        <v>102.75457327291774</v>
      </c>
    </row>
    <row r="10" spans="1:47" ht="12.75" customHeight="1" x14ac:dyDescent="0.2">
      <c r="A10" s="95" t="s">
        <v>167</v>
      </c>
      <c r="B10" s="62"/>
      <c r="C10" s="54"/>
      <c r="D10" s="54"/>
      <c r="E10" s="63"/>
      <c r="F10" s="64"/>
      <c r="G10" s="65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66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8"/>
      <c r="AT10" s="63"/>
      <c r="AU10" s="63"/>
    </row>
    <row r="11" spans="1:47" ht="12.75" customHeight="1" x14ac:dyDescent="0.2">
      <c r="A11" s="95" t="s">
        <v>168</v>
      </c>
      <c r="B11" s="62"/>
      <c r="C11" s="54"/>
      <c r="D11" s="54"/>
      <c r="E11" s="63"/>
      <c r="F11" s="64"/>
      <c r="G11" s="65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66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66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8"/>
      <c r="AT11" s="63"/>
      <c r="AU11" s="63"/>
    </row>
    <row r="12" spans="1:47" ht="12.75" customHeight="1" x14ac:dyDescent="0.2">
      <c r="A12" s="95" t="s">
        <v>169</v>
      </c>
      <c r="B12" s="62"/>
      <c r="C12" s="54"/>
      <c r="D12" s="54"/>
      <c r="E12" s="63"/>
      <c r="F12" s="64"/>
      <c r="G12" s="65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66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6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8"/>
      <c r="AT12" s="63"/>
      <c r="AU12" s="63"/>
    </row>
    <row r="13" spans="1:47" ht="12.75" customHeight="1" x14ac:dyDescent="0.2">
      <c r="A13" s="95" t="s">
        <v>50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47" ht="12.75" customHeight="1" x14ac:dyDescent="0.2">
      <c r="A14" s="95" t="s">
        <v>170</v>
      </c>
      <c r="B14" s="62"/>
      <c r="C14" s="54"/>
      <c r="D14" s="54"/>
      <c r="E14" s="63"/>
      <c r="F14" s="64"/>
      <c r="G14" s="65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66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66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8"/>
      <c r="AT14" s="63"/>
      <c r="AU14" s="63"/>
    </row>
    <row r="15" spans="1:47" ht="12.75" customHeight="1" x14ac:dyDescent="0.2">
      <c r="A15" s="95" t="s">
        <v>171</v>
      </c>
      <c r="B15" s="62"/>
      <c r="C15" s="54"/>
      <c r="D15" s="54"/>
      <c r="E15" s="63"/>
      <c r="F15" s="64"/>
      <c r="G15" s="65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66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66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8"/>
      <c r="AT15" s="63"/>
      <c r="AU15" s="63"/>
    </row>
    <row r="16" spans="1:47" ht="12.75" customHeight="1" x14ac:dyDescent="0.2">
      <c r="A16" s="95" t="s">
        <v>172</v>
      </c>
      <c r="B16" s="62"/>
      <c r="C16" s="54"/>
      <c r="D16" s="54"/>
      <c r="E16" s="63"/>
      <c r="F16" s="64"/>
      <c r="G16" s="65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66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66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8"/>
      <c r="AT16" s="63"/>
      <c r="AU16" s="63"/>
    </row>
    <row r="17" spans="1:47" ht="12.75" customHeight="1" x14ac:dyDescent="0.2">
      <c r="A17" s="95" t="s">
        <v>173</v>
      </c>
      <c r="B17" s="62">
        <v>0</v>
      </c>
      <c r="C17" s="54">
        <v>0</v>
      </c>
      <c r="D17" s="54">
        <v>566</v>
      </c>
      <c r="E17" s="63"/>
      <c r="F17" s="64">
        <v>0</v>
      </c>
      <c r="G17" s="65">
        <v>0</v>
      </c>
      <c r="H17" s="54">
        <v>0</v>
      </c>
      <c r="I17" s="54">
        <v>0</v>
      </c>
      <c r="J17" s="54">
        <v>0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0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566.01</v>
      </c>
      <c r="AH17" s="67">
        <v>566.02</v>
      </c>
      <c r="AI17" s="67">
        <v>566</v>
      </c>
      <c r="AJ17" s="67">
        <v>566</v>
      </c>
      <c r="AK17" s="67">
        <v>566.01</v>
      </c>
      <c r="AL17" s="67">
        <v>566.02</v>
      </c>
      <c r="AM17" s="67">
        <v>516.91999999999996</v>
      </c>
      <c r="AN17" s="67">
        <v>57.56</v>
      </c>
      <c r="AO17" s="67">
        <v>57.55</v>
      </c>
      <c r="AP17" s="67">
        <v>57.56</v>
      </c>
      <c r="AQ17" s="67">
        <v>57.55</v>
      </c>
      <c r="AR17" s="67">
        <v>57.56</v>
      </c>
      <c r="AS17" s="68">
        <v>2264.0300000000002</v>
      </c>
      <c r="AT17" s="63"/>
      <c r="AU17" s="63">
        <v>0</v>
      </c>
    </row>
    <row r="18" spans="1:47" ht="12.75" hidden="1" customHeight="1" outlineLevel="1" x14ac:dyDescent="0.2">
      <c r="A18" s="95" t="s">
        <v>257</v>
      </c>
      <c r="B18" s="62">
        <v>3735.59</v>
      </c>
      <c r="C18" s="54">
        <v>0</v>
      </c>
      <c r="D18" s="54">
        <v>3503.3</v>
      </c>
      <c r="E18" s="63"/>
      <c r="F18" s="64">
        <v>106.63060542916679</v>
      </c>
      <c r="G18" s="65">
        <v>3790.04</v>
      </c>
      <c r="H18" s="54">
        <v>3790.04</v>
      </c>
      <c r="I18" s="54">
        <v>3787.81</v>
      </c>
      <c r="J18" s="54">
        <v>3735.59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15103.48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2493.81</v>
      </c>
      <c r="AH18" s="67">
        <v>2493.81</v>
      </c>
      <c r="AI18" s="67">
        <v>4677.79</v>
      </c>
      <c r="AJ18" s="67">
        <v>3503.3</v>
      </c>
      <c r="AK18" s="67">
        <v>3645.66</v>
      </c>
      <c r="AL18" s="67">
        <v>3640.96</v>
      </c>
      <c r="AM18" s="67">
        <v>3640.95</v>
      </c>
      <c r="AN18" s="67">
        <v>3633.28</v>
      </c>
      <c r="AO18" s="67">
        <v>3638.8</v>
      </c>
      <c r="AP18" s="67">
        <v>3729.42</v>
      </c>
      <c r="AQ18" s="67">
        <v>3683.71</v>
      </c>
      <c r="AR18" s="67">
        <v>3889.29</v>
      </c>
      <c r="AS18" s="68">
        <v>13168.71</v>
      </c>
      <c r="AT18" s="63"/>
      <c r="AU18" s="63">
        <v>114.69217561932794</v>
      </c>
    </row>
    <row r="19" spans="1:47" ht="12.75" hidden="1" customHeight="1" outlineLevel="1" x14ac:dyDescent="0.2">
      <c r="A19" s="95" t="s">
        <v>109</v>
      </c>
      <c r="B19" s="62">
        <v>0</v>
      </c>
      <c r="C19" s="54">
        <v>0</v>
      </c>
      <c r="D19" s="54">
        <v>0</v>
      </c>
      <c r="E19" s="63"/>
      <c r="F19" s="64"/>
      <c r="G19" s="65">
        <v>0</v>
      </c>
      <c r="H19" s="54">
        <v>0</v>
      </c>
      <c r="I19" s="54">
        <v>0</v>
      </c>
      <c r="J19" s="54">
        <v>0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0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0</v>
      </c>
      <c r="AH19" s="67">
        <v>0</v>
      </c>
      <c r="AI19" s="67">
        <v>0</v>
      </c>
      <c r="AJ19" s="67">
        <v>0</v>
      </c>
      <c r="AK19" s="67">
        <v>0</v>
      </c>
      <c r="AL19" s="67">
        <v>0</v>
      </c>
      <c r="AM19" s="67">
        <v>0</v>
      </c>
      <c r="AN19" s="67">
        <v>0</v>
      </c>
      <c r="AO19" s="67">
        <v>0</v>
      </c>
      <c r="AP19" s="67">
        <v>0</v>
      </c>
      <c r="AQ19" s="67">
        <v>0</v>
      </c>
      <c r="AR19" s="67">
        <v>0</v>
      </c>
      <c r="AS19" s="68">
        <v>0</v>
      </c>
      <c r="AT19" s="63"/>
      <c r="AU19" s="63"/>
    </row>
    <row r="20" spans="1:47" ht="12.75" hidden="1" customHeight="1" outlineLevel="1" x14ac:dyDescent="0.2">
      <c r="A20" s="95" t="s">
        <v>97</v>
      </c>
      <c r="B20" s="62">
        <v>273</v>
      </c>
      <c r="C20" s="54">
        <v>0</v>
      </c>
      <c r="D20" s="54">
        <v>273</v>
      </c>
      <c r="E20" s="63"/>
      <c r="F20" s="64">
        <v>100</v>
      </c>
      <c r="G20" s="65">
        <v>273</v>
      </c>
      <c r="H20" s="54">
        <v>273</v>
      </c>
      <c r="I20" s="54">
        <v>273</v>
      </c>
      <c r="J20" s="54">
        <v>273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66">
        <v>1092</v>
      </c>
      <c r="T20" s="54">
        <v>0</v>
      </c>
      <c r="U20" s="54">
        <v>0</v>
      </c>
      <c r="V20" s="54">
        <v>0</v>
      </c>
      <c r="W20" s="54">
        <v>0</v>
      </c>
      <c r="X20" s="54">
        <v>0</v>
      </c>
      <c r="Y20" s="54">
        <v>0</v>
      </c>
      <c r="Z20" s="54">
        <v>0</v>
      </c>
      <c r="AA20" s="54">
        <v>0</v>
      </c>
      <c r="AB20" s="54">
        <v>0</v>
      </c>
      <c r="AC20" s="54">
        <v>0</v>
      </c>
      <c r="AD20" s="54">
        <v>0</v>
      </c>
      <c r="AE20" s="54">
        <v>0</v>
      </c>
      <c r="AF20" s="66">
        <v>0</v>
      </c>
      <c r="AG20" s="67">
        <v>452</v>
      </c>
      <c r="AH20" s="67">
        <v>452</v>
      </c>
      <c r="AI20" s="67">
        <v>390.27</v>
      </c>
      <c r="AJ20" s="67">
        <v>273</v>
      </c>
      <c r="AK20" s="67">
        <v>94.95</v>
      </c>
      <c r="AL20" s="67">
        <v>273</v>
      </c>
      <c r="AM20" s="67">
        <v>273</v>
      </c>
      <c r="AN20" s="67">
        <v>273</v>
      </c>
      <c r="AO20" s="67">
        <v>273</v>
      </c>
      <c r="AP20" s="67">
        <v>273</v>
      </c>
      <c r="AQ20" s="67">
        <v>273</v>
      </c>
      <c r="AR20" s="67">
        <v>273</v>
      </c>
      <c r="AS20" s="68">
        <v>1567.27</v>
      </c>
      <c r="AT20" s="63"/>
      <c r="AU20" s="63">
        <v>69.675295258634435</v>
      </c>
    </row>
    <row r="21" spans="1:47" ht="12.75" customHeight="1" collapsed="1" x14ac:dyDescent="0.2">
      <c r="A21" s="95" t="s">
        <v>69</v>
      </c>
      <c r="B21" s="62"/>
      <c r="C21" s="54"/>
      <c r="D21" s="54"/>
      <c r="E21" s="63"/>
      <c r="F21" s="64"/>
      <c r="G21" s="65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66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66"/>
      <c r="AG21" s="67"/>
      <c r="AH21" s="67"/>
      <c r="AI21" s="67"/>
      <c r="AJ21" s="67"/>
      <c r="AK21" s="67"/>
      <c r="AL21" s="67"/>
      <c r="AM21" s="67"/>
      <c r="AN21" s="67"/>
      <c r="AO21" s="67"/>
      <c r="AP21" s="67"/>
      <c r="AQ21" s="67"/>
      <c r="AR21" s="67"/>
      <c r="AS21" s="68"/>
      <c r="AT21" s="63"/>
      <c r="AU21" s="63"/>
    </row>
    <row r="22" spans="1:47" ht="12.75" hidden="1" customHeight="1" outlineLevel="1" x14ac:dyDescent="0.2">
      <c r="A22" s="69" t="s">
        <v>70</v>
      </c>
      <c r="B22" s="70">
        <v>273</v>
      </c>
      <c r="C22" s="71">
        <v>0</v>
      </c>
      <c r="D22" s="71">
        <v>273</v>
      </c>
      <c r="E22" s="72"/>
      <c r="F22" s="73">
        <v>100</v>
      </c>
      <c r="G22" s="70">
        <v>273</v>
      </c>
      <c r="H22" s="71">
        <v>273</v>
      </c>
      <c r="I22" s="71">
        <v>273</v>
      </c>
      <c r="J22" s="71">
        <v>273</v>
      </c>
      <c r="K22" s="71">
        <v>0</v>
      </c>
      <c r="L22" s="71">
        <v>0</v>
      </c>
      <c r="M22" s="71">
        <v>0</v>
      </c>
      <c r="N22" s="71">
        <v>0</v>
      </c>
      <c r="O22" s="71">
        <v>0</v>
      </c>
      <c r="P22" s="71">
        <v>0</v>
      </c>
      <c r="Q22" s="71">
        <v>0</v>
      </c>
      <c r="R22" s="71">
        <v>0</v>
      </c>
      <c r="S22" s="71">
        <v>1092</v>
      </c>
      <c r="T22" s="71">
        <v>0</v>
      </c>
      <c r="U22" s="71">
        <v>0</v>
      </c>
      <c r="V22" s="71">
        <v>0</v>
      </c>
      <c r="W22" s="71">
        <v>0</v>
      </c>
      <c r="X22" s="71">
        <v>0</v>
      </c>
      <c r="Y22" s="71">
        <v>0</v>
      </c>
      <c r="Z22" s="71">
        <v>0</v>
      </c>
      <c r="AA22" s="71">
        <v>0</v>
      </c>
      <c r="AB22" s="71">
        <v>0</v>
      </c>
      <c r="AC22" s="71">
        <v>0</v>
      </c>
      <c r="AD22" s="71">
        <v>0</v>
      </c>
      <c r="AE22" s="71">
        <v>0</v>
      </c>
      <c r="AF22" s="71">
        <v>0</v>
      </c>
      <c r="AG22" s="75">
        <v>452</v>
      </c>
      <c r="AH22" s="75">
        <v>452</v>
      </c>
      <c r="AI22" s="75">
        <v>390.27</v>
      </c>
      <c r="AJ22" s="75">
        <v>273</v>
      </c>
      <c r="AK22" s="75">
        <v>94.95</v>
      </c>
      <c r="AL22" s="75">
        <v>273</v>
      </c>
      <c r="AM22" s="75">
        <v>273</v>
      </c>
      <c r="AN22" s="75">
        <v>273</v>
      </c>
      <c r="AO22" s="75">
        <v>273</v>
      </c>
      <c r="AP22" s="75">
        <v>273</v>
      </c>
      <c r="AQ22" s="75">
        <v>273</v>
      </c>
      <c r="AR22" s="75">
        <v>273</v>
      </c>
      <c r="AS22" s="75">
        <v>1567.27</v>
      </c>
      <c r="AT22" s="72"/>
      <c r="AU22" s="72">
        <v>69.675295258634435</v>
      </c>
    </row>
    <row r="23" spans="1:47" ht="12.75" hidden="1" customHeight="1" outlineLevel="1" x14ac:dyDescent="0.2">
      <c r="A23" s="95" t="s">
        <v>174</v>
      </c>
      <c r="B23" s="62">
        <v>0</v>
      </c>
      <c r="C23" s="54">
        <v>0</v>
      </c>
      <c r="D23" s="54">
        <v>0</v>
      </c>
      <c r="E23" s="63"/>
      <c r="F23" s="64"/>
      <c r="G23" s="65">
        <v>0</v>
      </c>
      <c r="H23" s="54">
        <v>85.69</v>
      </c>
      <c r="I23" s="54">
        <v>0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85.69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0</v>
      </c>
      <c r="AH23" s="67">
        <v>42.4</v>
      </c>
      <c r="AI23" s="98">
        <v>-192</v>
      </c>
      <c r="AJ23" s="67">
        <v>0</v>
      </c>
      <c r="AK23" s="67">
        <v>82.95</v>
      </c>
      <c r="AL23" s="67">
        <v>0</v>
      </c>
      <c r="AM23" s="67">
        <v>0</v>
      </c>
      <c r="AN23" s="67">
        <v>84.04</v>
      </c>
      <c r="AO23" s="67">
        <v>0</v>
      </c>
      <c r="AP23" s="67">
        <v>0</v>
      </c>
      <c r="AQ23" s="67">
        <v>85.69</v>
      </c>
      <c r="AR23" s="67">
        <v>0</v>
      </c>
      <c r="AS23" s="99">
        <v>-149.6</v>
      </c>
      <c r="AT23" s="63"/>
      <c r="AU23" s="63">
        <v>-57.279411764705884</v>
      </c>
    </row>
    <row r="24" spans="1:47" ht="12.75" hidden="1" customHeight="1" outlineLevel="1" x14ac:dyDescent="0.2">
      <c r="A24" s="95" t="s">
        <v>99</v>
      </c>
      <c r="B24" s="62">
        <v>0</v>
      </c>
      <c r="C24" s="54">
        <v>0</v>
      </c>
      <c r="D24" s="54">
        <v>867.78</v>
      </c>
      <c r="E24" s="63"/>
      <c r="F24" s="64">
        <v>0</v>
      </c>
      <c r="G24" s="65">
        <v>0</v>
      </c>
      <c r="H24" s="54">
        <v>0</v>
      </c>
      <c r="I24" s="54">
        <v>0</v>
      </c>
      <c r="J24" s="54">
        <v>0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0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347.66</v>
      </c>
      <c r="AH24" s="67">
        <v>356.61</v>
      </c>
      <c r="AI24" s="67">
        <v>665.95</v>
      </c>
      <c r="AJ24" s="67">
        <v>867.78</v>
      </c>
      <c r="AK24" s="67">
        <v>1380.86</v>
      </c>
      <c r="AL24" s="67">
        <v>3687.72</v>
      </c>
      <c r="AM24" s="98">
        <v>-187.01</v>
      </c>
      <c r="AN24" s="98">
        <v>-1417.4</v>
      </c>
      <c r="AO24" s="67">
        <v>0</v>
      </c>
      <c r="AP24" s="67">
        <v>0</v>
      </c>
      <c r="AQ24" s="67">
        <v>0</v>
      </c>
      <c r="AR24" s="67">
        <v>0</v>
      </c>
      <c r="AS24" s="68">
        <v>2238</v>
      </c>
      <c r="AT24" s="63"/>
      <c r="AU24" s="63">
        <v>0</v>
      </c>
    </row>
    <row r="25" spans="1:47" ht="12.75" hidden="1" customHeight="1" outlineLevel="1" x14ac:dyDescent="0.2">
      <c r="A25" s="95" t="s">
        <v>175</v>
      </c>
      <c r="B25" s="62">
        <v>111.32</v>
      </c>
      <c r="C25" s="54">
        <v>0</v>
      </c>
      <c r="D25" s="54">
        <v>0</v>
      </c>
      <c r="E25" s="63"/>
      <c r="F25" s="64"/>
      <c r="G25" s="65">
        <v>0</v>
      </c>
      <c r="H25" s="54">
        <v>129.38</v>
      </c>
      <c r="I25" s="54">
        <v>0</v>
      </c>
      <c r="J25" s="54">
        <v>111.32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240.7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0</v>
      </c>
      <c r="AH25" s="67">
        <v>59.73</v>
      </c>
      <c r="AI25" s="98">
        <v>-51.64</v>
      </c>
      <c r="AJ25" s="67">
        <v>0</v>
      </c>
      <c r="AK25" s="67">
        <v>107.47</v>
      </c>
      <c r="AL25" s="67">
        <v>0</v>
      </c>
      <c r="AM25" s="67">
        <v>128.96</v>
      </c>
      <c r="AN25" s="98">
        <v>-21.67</v>
      </c>
      <c r="AO25" s="67">
        <v>121.29</v>
      </c>
      <c r="AP25" s="67">
        <v>0</v>
      </c>
      <c r="AQ25" s="67">
        <v>130.66</v>
      </c>
      <c r="AR25" s="67">
        <v>0</v>
      </c>
      <c r="AS25" s="68">
        <v>8.09</v>
      </c>
      <c r="AT25" s="63"/>
      <c r="AU25" s="63">
        <v>2975.2781211372067</v>
      </c>
    </row>
    <row r="26" spans="1:47" ht="12.75" hidden="1" customHeight="1" outlineLevel="1" x14ac:dyDescent="0.2">
      <c r="A26" s="95" t="s">
        <v>100</v>
      </c>
      <c r="B26" s="62">
        <v>653.13</v>
      </c>
      <c r="C26" s="54">
        <v>0</v>
      </c>
      <c r="D26" s="54">
        <v>625.79</v>
      </c>
      <c r="E26" s="63"/>
      <c r="F26" s="64">
        <v>104.36887773853849</v>
      </c>
      <c r="G26" s="65">
        <v>442.79</v>
      </c>
      <c r="H26" s="54">
        <v>1031.03</v>
      </c>
      <c r="I26" s="54">
        <v>953.28</v>
      </c>
      <c r="J26" s="54">
        <v>653.13</v>
      </c>
      <c r="K26" s="56">
        <v>-653.13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3080.23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1119.17</v>
      </c>
      <c r="AH26" s="67">
        <v>991.99</v>
      </c>
      <c r="AI26" s="67">
        <v>2262.29</v>
      </c>
      <c r="AJ26" s="67">
        <v>625.79</v>
      </c>
      <c r="AK26" s="67">
        <v>626</v>
      </c>
      <c r="AL26" s="67">
        <v>312.02999999999997</v>
      </c>
      <c r="AM26" s="67">
        <v>549.98</v>
      </c>
      <c r="AN26" s="67">
        <v>758.52</v>
      </c>
      <c r="AO26" s="67">
        <v>55.48</v>
      </c>
      <c r="AP26" s="98">
        <v>-1176.06</v>
      </c>
      <c r="AQ26" s="67">
        <v>1711.36</v>
      </c>
      <c r="AR26" s="98">
        <v>-749.57</v>
      </c>
      <c r="AS26" s="68">
        <v>4999.24</v>
      </c>
      <c r="AT26" s="63"/>
      <c r="AU26" s="63">
        <v>61.613965322729058</v>
      </c>
    </row>
    <row r="27" spans="1:47" ht="12.75" hidden="1" customHeight="1" outlineLevel="1" x14ac:dyDescent="0.2">
      <c r="A27" s="95" t="s">
        <v>101</v>
      </c>
      <c r="B27" s="62">
        <v>133.37</v>
      </c>
      <c r="C27" s="54">
        <v>0</v>
      </c>
      <c r="D27" s="54">
        <v>177.29</v>
      </c>
      <c r="E27" s="63"/>
      <c r="F27" s="64">
        <v>75.227029161261214</v>
      </c>
      <c r="G27" s="65">
        <v>922.91</v>
      </c>
      <c r="H27" s="54">
        <v>132.86000000000001</v>
      </c>
      <c r="I27" s="54">
        <v>403.76</v>
      </c>
      <c r="J27" s="54">
        <v>133.37</v>
      </c>
      <c r="K27" s="56">
        <v>-55.58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1592.9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97.89</v>
      </c>
      <c r="AH27" s="67">
        <v>693.06</v>
      </c>
      <c r="AI27" s="67">
        <v>468.91</v>
      </c>
      <c r="AJ27" s="67">
        <v>177.29</v>
      </c>
      <c r="AK27" s="67">
        <v>158.26</v>
      </c>
      <c r="AL27" s="67">
        <v>656.81</v>
      </c>
      <c r="AM27" s="67">
        <v>170.46</v>
      </c>
      <c r="AN27" s="67">
        <v>72.73</v>
      </c>
      <c r="AO27" s="67">
        <v>525.86</v>
      </c>
      <c r="AP27" s="67">
        <v>63.82</v>
      </c>
      <c r="AQ27" s="67">
        <v>72.73</v>
      </c>
      <c r="AR27" s="67">
        <v>294.77</v>
      </c>
      <c r="AS27" s="68">
        <v>1437.15</v>
      </c>
      <c r="AT27" s="63"/>
      <c r="AU27" s="63">
        <v>110.83742128518247</v>
      </c>
    </row>
    <row r="28" spans="1:47" ht="12.75" hidden="1" customHeight="1" outlineLevel="1" x14ac:dyDescent="0.2">
      <c r="A28" s="95" t="s">
        <v>87</v>
      </c>
      <c r="B28" s="62">
        <v>0</v>
      </c>
      <c r="C28" s="54">
        <v>0</v>
      </c>
      <c r="D28" s="54">
        <v>0</v>
      </c>
      <c r="E28" s="63"/>
      <c r="F28" s="64"/>
      <c r="G28" s="65">
        <v>0</v>
      </c>
      <c r="H28" s="54">
        <v>16168</v>
      </c>
      <c r="I28" s="54">
        <v>0</v>
      </c>
      <c r="J28" s="54">
        <v>0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16168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0</v>
      </c>
      <c r="AH28" s="67">
        <v>0</v>
      </c>
      <c r="AI28" s="67">
        <v>0</v>
      </c>
      <c r="AJ28" s="67">
        <v>0</v>
      </c>
      <c r="AK28" s="67">
        <v>0</v>
      </c>
      <c r="AL28" s="67">
        <v>0</v>
      </c>
      <c r="AM28" s="67">
        <v>17550</v>
      </c>
      <c r="AN28" s="67">
        <v>0</v>
      </c>
      <c r="AO28" s="67">
        <v>0</v>
      </c>
      <c r="AP28" s="67">
        <v>0</v>
      </c>
      <c r="AQ28" s="67">
        <v>0</v>
      </c>
      <c r="AR28" s="67">
        <v>0</v>
      </c>
      <c r="AS28" s="68">
        <v>0</v>
      </c>
      <c r="AT28" s="63"/>
      <c r="AU28" s="63"/>
    </row>
    <row r="29" spans="1:47" ht="12.75" hidden="1" customHeight="1" outlineLevel="1" x14ac:dyDescent="0.2">
      <c r="A29" s="95" t="s">
        <v>176</v>
      </c>
      <c r="B29" s="62">
        <v>181.53</v>
      </c>
      <c r="C29" s="54">
        <v>0</v>
      </c>
      <c r="D29" s="54">
        <v>0</v>
      </c>
      <c r="E29" s="63"/>
      <c r="F29" s="64"/>
      <c r="G29" s="65">
        <v>209.86</v>
      </c>
      <c r="H29" s="54">
        <v>177.7</v>
      </c>
      <c r="I29" s="54">
        <v>171.39</v>
      </c>
      <c r="J29" s="54">
        <v>181.53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740.48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273.47000000000003</v>
      </c>
      <c r="AH29" s="67">
        <v>273.47000000000003</v>
      </c>
      <c r="AI29" s="67">
        <v>385.49</v>
      </c>
      <c r="AJ29" s="67">
        <v>0</v>
      </c>
      <c r="AK29" s="67">
        <v>133.27000000000001</v>
      </c>
      <c r="AL29" s="67">
        <v>133.27000000000001</v>
      </c>
      <c r="AM29" s="67">
        <v>478.95</v>
      </c>
      <c r="AN29" s="67">
        <v>348.97</v>
      </c>
      <c r="AO29" s="67">
        <v>0</v>
      </c>
      <c r="AP29" s="67">
        <v>0</v>
      </c>
      <c r="AQ29" s="67">
        <v>433.65</v>
      </c>
      <c r="AR29" s="67">
        <v>227.5</v>
      </c>
      <c r="AS29" s="68">
        <v>932.43</v>
      </c>
      <c r="AT29" s="63"/>
      <c r="AU29" s="63">
        <v>79.414004268416932</v>
      </c>
    </row>
    <row r="30" spans="1:47" ht="12.75" hidden="1" customHeight="1" outlineLevel="1" x14ac:dyDescent="0.2">
      <c r="A30" s="95" t="s">
        <v>102</v>
      </c>
      <c r="B30" s="62">
        <v>0</v>
      </c>
      <c r="C30" s="54">
        <v>0</v>
      </c>
      <c r="D30" s="54">
        <v>0</v>
      </c>
      <c r="E30" s="63"/>
      <c r="F30" s="64"/>
      <c r="G30" s="65">
        <v>0</v>
      </c>
      <c r="H30" s="54">
        <v>0</v>
      </c>
      <c r="I30" s="54">
        <v>0</v>
      </c>
      <c r="J30" s="54">
        <v>0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0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0</v>
      </c>
      <c r="AH30" s="67">
        <v>0</v>
      </c>
      <c r="AI30" s="67">
        <v>0</v>
      </c>
      <c r="AJ30" s="67">
        <v>0</v>
      </c>
      <c r="AK30" s="67">
        <v>0</v>
      </c>
      <c r="AL30" s="67">
        <v>0</v>
      </c>
      <c r="AM30" s="67">
        <v>0</v>
      </c>
      <c r="AN30" s="67">
        <v>0</v>
      </c>
      <c r="AO30" s="67">
        <v>0</v>
      </c>
      <c r="AP30" s="67">
        <v>0</v>
      </c>
      <c r="AQ30" s="67">
        <v>0</v>
      </c>
      <c r="AR30" s="67">
        <v>0</v>
      </c>
      <c r="AS30" s="68">
        <v>0</v>
      </c>
      <c r="AT30" s="63"/>
      <c r="AU30" s="63"/>
    </row>
    <row r="31" spans="1:47" ht="12.75" hidden="1" customHeight="1" outlineLevel="1" x14ac:dyDescent="0.2">
      <c r="A31" s="95" t="s">
        <v>75</v>
      </c>
      <c r="B31" s="62">
        <v>212.68</v>
      </c>
      <c r="C31" s="54">
        <v>0</v>
      </c>
      <c r="D31" s="54">
        <v>0</v>
      </c>
      <c r="E31" s="63"/>
      <c r="F31" s="64"/>
      <c r="G31" s="65">
        <v>0</v>
      </c>
      <c r="H31" s="54">
        <v>31.16</v>
      </c>
      <c r="I31" s="54">
        <v>31.16</v>
      </c>
      <c r="J31" s="54">
        <v>212.68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275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0</v>
      </c>
      <c r="AH31" s="67">
        <v>0</v>
      </c>
      <c r="AI31" s="67">
        <v>0</v>
      </c>
      <c r="AJ31" s="67">
        <v>0</v>
      </c>
      <c r="AK31" s="67">
        <v>0</v>
      </c>
      <c r="AL31" s="67">
        <v>247.18</v>
      </c>
      <c r="AM31" s="67">
        <v>5029.29</v>
      </c>
      <c r="AN31" s="67">
        <v>20.63</v>
      </c>
      <c r="AO31" s="67">
        <v>20.63</v>
      </c>
      <c r="AP31" s="67">
        <v>20.63</v>
      </c>
      <c r="AQ31" s="67">
        <v>20.63</v>
      </c>
      <c r="AR31" s="67">
        <v>20.63</v>
      </c>
      <c r="AS31" s="68">
        <v>0</v>
      </c>
      <c r="AT31" s="63"/>
      <c r="AU31" s="63"/>
    </row>
    <row r="32" spans="1:47" ht="12.75" hidden="1" customHeight="1" outlineLevel="1" x14ac:dyDescent="0.2">
      <c r="A32" s="95" t="s">
        <v>76</v>
      </c>
      <c r="B32" s="62">
        <v>0</v>
      </c>
      <c r="C32" s="54">
        <v>0</v>
      </c>
      <c r="D32" s="54">
        <v>247.41</v>
      </c>
      <c r="E32" s="63"/>
      <c r="F32" s="64">
        <v>0</v>
      </c>
      <c r="G32" s="65">
        <v>494.82</v>
      </c>
      <c r="H32" s="54">
        <v>265.45999999999998</v>
      </c>
      <c r="I32" s="54">
        <v>530.91999999999996</v>
      </c>
      <c r="J32" s="54">
        <v>0</v>
      </c>
      <c r="K32" s="56">
        <v>-265.45999999999998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66">
        <v>1291.2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66">
        <v>0</v>
      </c>
      <c r="AG32" s="67">
        <v>304.72000000000003</v>
      </c>
      <c r="AH32" s="67">
        <v>123.7</v>
      </c>
      <c r="AI32" s="67">
        <v>1345.4</v>
      </c>
      <c r="AJ32" s="67">
        <v>247.41</v>
      </c>
      <c r="AK32" s="67">
        <v>429.41</v>
      </c>
      <c r="AL32" s="67">
        <v>247.41</v>
      </c>
      <c r="AM32" s="67">
        <v>247.41</v>
      </c>
      <c r="AN32" s="67">
        <v>247.41</v>
      </c>
      <c r="AO32" s="67">
        <v>247.41</v>
      </c>
      <c r="AP32" s="67">
        <v>247.4</v>
      </c>
      <c r="AQ32" s="67">
        <v>247.42</v>
      </c>
      <c r="AR32" s="67">
        <v>109.98</v>
      </c>
      <c r="AS32" s="68">
        <v>2021.23</v>
      </c>
      <c r="AT32" s="63"/>
      <c r="AU32" s="63">
        <v>63.881893698391572</v>
      </c>
    </row>
    <row r="33" spans="1:47" ht="12.75" customHeight="1" collapsed="1" x14ac:dyDescent="0.2">
      <c r="A33" s="95" t="s">
        <v>77</v>
      </c>
      <c r="B33" s="62">
        <v>313</v>
      </c>
      <c r="C33" s="54">
        <v>0</v>
      </c>
      <c r="D33" s="54">
        <v>313</v>
      </c>
      <c r="E33" s="63"/>
      <c r="F33" s="64">
        <v>100</v>
      </c>
      <c r="G33" s="65">
        <v>313</v>
      </c>
      <c r="H33" s="54">
        <v>313</v>
      </c>
      <c r="I33" s="54">
        <v>313</v>
      </c>
      <c r="J33" s="54">
        <v>313</v>
      </c>
      <c r="K33" s="54">
        <v>0</v>
      </c>
      <c r="L33" s="54">
        <v>0</v>
      </c>
      <c r="M33" s="54">
        <v>0</v>
      </c>
      <c r="N33" s="54">
        <v>0</v>
      </c>
      <c r="O33" s="54">
        <v>0</v>
      </c>
      <c r="P33" s="54">
        <v>0</v>
      </c>
      <c r="Q33" s="54">
        <v>0</v>
      </c>
      <c r="R33" s="54">
        <v>0</v>
      </c>
      <c r="S33" s="66">
        <v>1252</v>
      </c>
      <c r="T33" s="54">
        <v>0</v>
      </c>
      <c r="U33" s="54">
        <v>0</v>
      </c>
      <c r="V33" s="54">
        <v>0</v>
      </c>
      <c r="W33" s="54">
        <v>0</v>
      </c>
      <c r="X33" s="54">
        <v>0</v>
      </c>
      <c r="Y33" s="54">
        <v>0</v>
      </c>
      <c r="Z33" s="54">
        <v>0</v>
      </c>
      <c r="AA33" s="54">
        <v>0</v>
      </c>
      <c r="AB33" s="54">
        <v>0</v>
      </c>
      <c r="AC33" s="54">
        <v>0</v>
      </c>
      <c r="AD33" s="54">
        <v>0</v>
      </c>
      <c r="AE33" s="54">
        <v>0</v>
      </c>
      <c r="AF33" s="66">
        <v>0</v>
      </c>
      <c r="AG33" s="67">
        <v>336.67</v>
      </c>
      <c r="AH33" s="67">
        <v>336.67</v>
      </c>
      <c r="AI33" s="67">
        <v>313</v>
      </c>
      <c r="AJ33" s="67">
        <v>313</v>
      </c>
      <c r="AK33" s="67">
        <v>313</v>
      </c>
      <c r="AL33" s="67">
        <v>313</v>
      </c>
      <c r="AM33" s="67">
        <v>313</v>
      </c>
      <c r="AN33" s="67">
        <v>313</v>
      </c>
      <c r="AO33" s="67">
        <v>313</v>
      </c>
      <c r="AP33" s="67">
        <v>313</v>
      </c>
      <c r="AQ33" s="67">
        <v>313</v>
      </c>
      <c r="AR33" s="67">
        <v>313</v>
      </c>
      <c r="AS33" s="68">
        <v>1299.3399999999999</v>
      </c>
      <c r="AT33" s="63"/>
      <c r="AU33" s="63">
        <v>96.356611818307755</v>
      </c>
    </row>
    <row r="34" spans="1:47" ht="12.75" hidden="1" customHeight="1" outlineLevel="1" x14ac:dyDescent="0.2">
      <c r="A34" s="69" t="s">
        <v>177</v>
      </c>
      <c r="B34" s="70">
        <v>1605.03</v>
      </c>
      <c r="C34" s="71">
        <v>0</v>
      </c>
      <c r="D34" s="71">
        <v>2231.27</v>
      </c>
      <c r="E34" s="72"/>
      <c r="F34" s="73">
        <v>71.93347286522922</v>
      </c>
      <c r="G34" s="70">
        <v>2383.38</v>
      </c>
      <c r="H34" s="71">
        <v>2166.2800000000002</v>
      </c>
      <c r="I34" s="71">
        <v>2403.5100000000002</v>
      </c>
      <c r="J34" s="71">
        <v>1605.03</v>
      </c>
      <c r="K34" s="74">
        <v>-974.17</v>
      </c>
      <c r="L34" s="71">
        <v>0</v>
      </c>
      <c r="M34" s="71">
        <v>0</v>
      </c>
      <c r="N34" s="71">
        <v>0</v>
      </c>
      <c r="O34" s="71">
        <v>0</v>
      </c>
      <c r="P34" s="71">
        <v>0</v>
      </c>
      <c r="Q34" s="71">
        <v>0</v>
      </c>
      <c r="R34" s="71">
        <v>0</v>
      </c>
      <c r="S34" s="71">
        <v>8558.2000000000007</v>
      </c>
      <c r="T34" s="71">
        <v>0</v>
      </c>
      <c r="U34" s="71">
        <v>0</v>
      </c>
      <c r="V34" s="71">
        <v>0</v>
      </c>
      <c r="W34" s="71">
        <v>0</v>
      </c>
      <c r="X34" s="71">
        <v>0</v>
      </c>
      <c r="Y34" s="71">
        <v>0</v>
      </c>
      <c r="Z34" s="71">
        <v>0</v>
      </c>
      <c r="AA34" s="71">
        <v>0</v>
      </c>
      <c r="AB34" s="71">
        <v>0</v>
      </c>
      <c r="AC34" s="71">
        <v>0</v>
      </c>
      <c r="AD34" s="71">
        <v>0</v>
      </c>
      <c r="AE34" s="71">
        <v>0</v>
      </c>
      <c r="AF34" s="71">
        <v>0</v>
      </c>
      <c r="AG34" s="75">
        <v>2479.58</v>
      </c>
      <c r="AH34" s="75">
        <v>2877.63</v>
      </c>
      <c r="AI34" s="75">
        <v>5197.3999999999996</v>
      </c>
      <c r="AJ34" s="75">
        <v>2231.27</v>
      </c>
      <c r="AK34" s="75">
        <v>3231.22</v>
      </c>
      <c r="AL34" s="75">
        <v>5597.42</v>
      </c>
      <c r="AM34" s="75">
        <v>6731.04</v>
      </c>
      <c r="AN34" s="75">
        <v>406.23</v>
      </c>
      <c r="AO34" s="75">
        <v>1283.67</v>
      </c>
      <c r="AP34" s="134">
        <v>-531.21</v>
      </c>
      <c r="AQ34" s="75">
        <v>3015.14</v>
      </c>
      <c r="AR34" s="75">
        <v>216.31</v>
      </c>
      <c r="AS34" s="75">
        <v>12785.88</v>
      </c>
      <c r="AT34" s="72"/>
      <c r="AU34" s="72">
        <v>66.934774923587582</v>
      </c>
    </row>
    <row r="35" spans="1:47" ht="12.75" hidden="1" customHeight="1" outlineLevel="1" x14ac:dyDescent="0.2">
      <c r="A35" s="95" t="s">
        <v>178</v>
      </c>
      <c r="B35" s="62">
        <v>221.45</v>
      </c>
      <c r="C35" s="54">
        <v>0</v>
      </c>
      <c r="D35" s="54">
        <v>0</v>
      </c>
      <c r="E35" s="63"/>
      <c r="F35" s="64"/>
      <c r="G35" s="65">
        <v>268.33999999999997</v>
      </c>
      <c r="H35" s="54">
        <v>102.61</v>
      </c>
      <c r="I35" s="54">
        <v>0</v>
      </c>
      <c r="J35" s="54">
        <v>221.45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592.4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0</v>
      </c>
      <c r="AH35" s="67">
        <v>0</v>
      </c>
      <c r="AI35" s="67">
        <v>0</v>
      </c>
      <c r="AJ35" s="67">
        <v>0</v>
      </c>
      <c r="AK35" s="67">
        <v>0</v>
      </c>
      <c r="AL35" s="67">
        <v>0</v>
      </c>
      <c r="AM35" s="67">
        <v>0</v>
      </c>
      <c r="AN35" s="67">
        <v>0</v>
      </c>
      <c r="AO35" s="67">
        <v>72.73</v>
      </c>
      <c r="AP35" s="67">
        <v>0</v>
      </c>
      <c r="AQ35" s="67">
        <v>0</v>
      </c>
      <c r="AR35" s="67">
        <v>0</v>
      </c>
      <c r="AS35" s="68">
        <v>0</v>
      </c>
      <c r="AT35" s="63"/>
      <c r="AU35" s="63"/>
    </row>
    <row r="36" spans="1:47" ht="12.75" hidden="1" customHeight="1" outlineLevel="1" x14ac:dyDescent="0.2">
      <c r="A36" s="95" t="s">
        <v>179</v>
      </c>
      <c r="B36" s="62">
        <v>76.67</v>
      </c>
      <c r="C36" s="54">
        <v>0</v>
      </c>
      <c r="D36" s="54">
        <v>152.96</v>
      </c>
      <c r="E36" s="63"/>
      <c r="F36" s="64">
        <v>50.124215481171547</v>
      </c>
      <c r="G36" s="65">
        <v>237.89</v>
      </c>
      <c r="H36" s="54">
        <v>76.67</v>
      </c>
      <c r="I36" s="54">
        <v>365.35</v>
      </c>
      <c r="J36" s="54">
        <v>76.67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756.58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>
        <v>85.65</v>
      </c>
      <c r="AH36" s="67">
        <v>229.64</v>
      </c>
      <c r="AI36" s="67">
        <v>330.93</v>
      </c>
      <c r="AJ36" s="67">
        <v>152.96</v>
      </c>
      <c r="AK36" s="67">
        <v>302.20999999999998</v>
      </c>
      <c r="AL36" s="67">
        <v>311.77</v>
      </c>
      <c r="AM36" s="67">
        <v>295.58999999999997</v>
      </c>
      <c r="AN36" s="67">
        <v>1164.26</v>
      </c>
      <c r="AO36" s="67">
        <v>582.66999999999996</v>
      </c>
      <c r="AP36" s="67">
        <v>76.67</v>
      </c>
      <c r="AQ36" s="67">
        <v>407.7</v>
      </c>
      <c r="AR36" s="67">
        <v>394.34</v>
      </c>
      <c r="AS36" s="68">
        <v>799.18</v>
      </c>
      <c r="AT36" s="63"/>
      <c r="AU36" s="63">
        <v>94.669536274681548</v>
      </c>
    </row>
    <row r="37" spans="1:47" ht="12.75" hidden="1" customHeight="1" outlineLevel="1" x14ac:dyDescent="0.2">
      <c r="A37" s="95" t="s">
        <v>180</v>
      </c>
      <c r="B37" s="62">
        <v>0</v>
      </c>
      <c r="C37" s="54">
        <v>0</v>
      </c>
      <c r="D37" s="54">
        <v>553.64</v>
      </c>
      <c r="E37" s="63"/>
      <c r="F37" s="64">
        <v>0</v>
      </c>
      <c r="G37" s="65">
        <v>1740.83</v>
      </c>
      <c r="H37" s="54">
        <v>667.7</v>
      </c>
      <c r="I37" s="54">
        <v>3180.69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5589.22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418.51</v>
      </c>
      <c r="AH37" s="67">
        <v>217.27</v>
      </c>
      <c r="AI37" s="67">
        <v>0</v>
      </c>
      <c r="AJ37" s="67">
        <v>553.64</v>
      </c>
      <c r="AK37" s="67">
        <v>452.82</v>
      </c>
      <c r="AL37" s="67">
        <v>710.08</v>
      </c>
      <c r="AM37" s="67">
        <v>736.03</v>
      </c>
      <c r="AN37" s="67">
        <v>276.72000000000003</v>
      </c>
      <c r="AO37" s="67">
        <v>3101.16</v>
      </c>
      <c r="AP37" s="67">
        <v>1416.56</v>
      </c>
      <c r="AQ37" s="67">
        <v>0</v>
      </c>
      <c r="AR37" s="67">
        <v>7686.6</v>
      </c>
      <c r="AS37" s="68">
        <v>1189.42</v>
      </c>
      <c r="AT37" s="63"/>
      <c r="AU37" s="63">
        <v>469.91138538111011</v>
      </c>
    </row>
    <row r="38" spans="1:47" ht="12.75" hidden="1" customHeight="1" outlineLevel="1" x14ac:dyDescent="0.2">
      <c r="A38" s="95" t="s">
        <v>181</v>
      </c>
      <c r="B38" s="62">
        <v>0</v>
      </c>
      <c r="C38" s="54">
        <v>0</v>
      </c>
      <c r="D38" s="54">
        <v>0</v>
      </c>
      <c r="E38" s="63"/>
      <c r="F38" s="64"/>
      <c r="G38" s="65">
        <v>4167.1000000000004</v>
      </c>
      <c r="H38" s="54">
        <v>0</v>
      </c>
      <c r="I38" s="54">
        <v>0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4167.1000000000004</v>
      </c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0</v>
      </c>
      <c r="Z38" s="54">
        <v>0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66">
        <v>0</v>
      </c>
      <c r="AG38" s="67">
        <v>0</v>
      </c>
      <c r="AH38" s="67">
        <v>0</v>
      </c>
      <c r="AI38" s="67">
        <v>0</v>
      </c>
      <c r="AJ38" s="67">
        <v>0</v>
      </c>
      <c r="AK38" s="67">
        <v>0</v>
      </c>
      <c r="AL38" s="67">
        <v>0</v>
      </c>
      <c r="AM38" s="67">
        <v>3159.82</v>
      </c>
      <c r="AN38" s="98">
        <v>-6988.81</v>
      </c>
      <c r="AO38" s="67">
        <v>7838.52</v>
      </c>
      <c r="AP38" s="67">
        <v>193.3</v>
      </c>
      <c r="AQ38" s="67">
        <v>3936.47</v>
      </c>
      <c r="AR38" s="67">
        <v>3815.51</v>
      </c>
      <c r="AS38" s="68">
        <v>0</v>
      </c>
      <c r="AT38" s="63"/>
      <c r="AU38" s="63"/>
    </row>
    <row r="39" spans="1:47" ht="12.75" hidden="1" customHeight="1" outlineLevel="1" x14ac:dyDescent="0.2">
      <c r="A39" s="95" t="s">
        <v>182</v>
      </c>
      <c r="B39" s="62">
        <v>447.38</v>
      </c>
      <c r="C39" s="54">
        <v>0</v>
      </c>
      <c r="D39" s="54">
        <v>228.44</v>
      </c>
      <c r="E39" s="63"/>
      <c r="F39" s="64">
        <v>195.84135878129925</v>
      </c>
      <c r="G39" s="65">
        <v>1004.79</v>
      </c>
      <c r="H39" s="54">
        <v>2421.75</v>
      </c>
      <c r="I39" s="54">
        <v>1255.93</v>
      </c>
      <c r="J39" s="54">
        <v>447.38</v>
      </c>
      <c r="K39" s="54">
        <v>0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66">
        <v>5129.8500000000004</v>
      </c>
      <c r="T39" s="54">
        <v>0</v>
      </c>
      <c r="U39" s="54">
        <v>0</v>
      </c>
      <c r="V39" s="54">
        <v>0</v>
      </c>
      <c r="W39" s="54">
        <v>0</v>
      </c>
      <c r="X39" s="54">
        <v>0</v>
      </c>
      <c r="Y39" s="54">
        <v>0</v>
      </c>
      <c r="Z39" s="54">
        <v>0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66">
        <v>0</v>
      </c>
      <c r="AG39" s="67">
        <v>471.96</v>
      </c>
      <c r="AH39" s="67">
        <v>75.819999999999993</v>
      </c>
      <c r="AI39" s="67">
        <v>96.09</v>
      </c>
      <c r="AJ39" s="67">
        <v>228.44</v>
      </c>
      <c r="AK39" s="67">
        <v>0</v>
      </c>
      <c r="AL39" s="67">
        <v>133.19</v>
      </c>
      <c r="AM39" s="67">
        <v>1745.75</v>
      </c>
      <c r="AN39" s="67">
        <v>0</v>
      </c>
      <c r="AO39" s="98">
        <v>-1473.29</v>
      </c>
      <c r="AP39" s="67">
        <v>798.2</v>
      </c>
      <c r="AQ39" s="67">
        <v>0</v>
      </c>
      <c r="AR39" s="67">
        <v>1418.78</v>
      </c>
      <c r="AS39" s="68">
        <v>872.31</v>
      </c>
      <c r="AT39" s="63"/>
      <c r="AU39" s="63">
        <v>588.07648657014136</v>
      </c>
    </row>
    <row r="40" spans="1:47" ht="12.75" hidden="1" customHeight="1" outlineLevel="1" x14ac:dyDescent="0.2">
      <c r="A40" s="95" t="s">
        <v>183</v>
      </c>
      <c r="B40" s="62">
        <v>3032.28</v>
      </c>
      <c r="C40" s="54">
        <v>0</v>
      </c>
      <c r="D40" s="54">
        <v>0</v>
      </c>
      <c r="E40" s="63"/>
      <c r="F40" s="64"/>
      <c r="G40" s="65">
        <v>736.79</v>
      </c>
      <c r="H40" s="54">
        <v>3808.31</v>
      </c>
      <c r="I40" s="56">
        <v>-3512.96</v>
      </c>
      <c r="J40" s="54">
        <v>3032.28</v>
      </c>
      <c r="K40" s="56">
        <v>-25703.69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66">
        <v>4064.42</v>
      </c>
      <c r="T40" s="54">
        <v>0</v>
      </c>
      <c r="U40" s="54">
        <v>0</v>
      </c>
      <c r="V40" s="54">
        <v>0</v>
      </c>
      <c r="W40" s="54">
        <v>0</v>
      </c>
      <c r="X40" s="54">
        <v>0</v>
      </c>
      <c r="Y40" s="54">
        <v>0</v>
      </c>
      <c r="Z40" s="54">
        <v>0</v>
      </c>
      <c r="AA40" s="54">
        <v>0</v>
      </c>
      <c r="AB40" s="54">
        <v>0</v>
      </c>
      <c r="AC40" s="54">
        <v>0</v>
      </c>
      <c r="AD40" s="54">
        <v>0</v>
      </c>
      <c r="AE40" s="54">
        <v>0</v>
      </c>
      <c r="AF40" s="66">
        <v>0</v>
      </c>
      <c r="AG40" s="67">
        <v>0</v>
      </c>
      <c r="AH40" s="67">
        <v>0</v>
      </c>
      <c r="AI40" s="67">
        <v>0</v>
      </c>
      <c r="AJ40" s="67">
        <v>0</v>
      </c>
      <c r="AK40" s="67">
        <v>0</v>
      </c>
      <c r="AL40" s="67">
        <v>0</v>
      </c>
      <c r="AM40" s="67">
        <v>0</v>
      </c>
      <c r="AN40" s="67">
        <v>11458.19</v>
      </c>
      <c r="AO40" s="67">
        <v>6847.92</v>
      </c>
      <c r="AP40" s="98">
        <v>-2273.33</v>
      </c>
      <c r="AQ40" s="98">
        <v>-1331.49</v>
      </c>
      <c r="AR40" s="67">
        <v>9601.94</v>
      </c>
      <c r="AS40" s="68">
        <v>0</v>
      </c>
      <c r="AT40" s="63"/>
      <c r="AU40" s="63"/>
    </row>
    <row r="41" spans="1:47" ht="12.75" hidden="1" customHeight="1" outlineLevel="1" x14ac:dyDescent="0.2">
      <c r="A41" s="95" t="s">
        <v>184</v>
      </c>
      <c r="B41" s="62">
        <v>407.88</v>
      </c>
      <c r="C41" s="54">
        <v>0</v>
      </c>
      <c r="D41" s="54">
        <v>0</v>
      </c>
      <c r="E41" s="63"/>
      <c r="F41" s="64"/>
      <c r="G41" s="65">
        <v>324.07</v>
      </c>
      <c r="H41" s="54">
        <v>286.82</v>
      </c>
      <c r="I41" s="56">
        <v>-610.89</v>
      </c>
      <c r="J41" s="54">
        <v>407.88</v>
      </c>
      <c r="K41" s="56">
        <v>-407.88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66">
        <v>407.88</v>
      </c>
      <c r="T41" s="54">
        <v>0</v>
      </c>
      <c r="U41" s="54">
        <v>0</v>
      </c>
      <c r="V41" s="54">
        <v>0</v>
      </c>
      <c r="W41" s="54">
        <v>0</v>
      </c>
      <c r="X41" s="54">
        <v>0</v>
      </c>
      <c r="Y41" s="54">
        <v>0</v>
      </c>
      <c r="Z41" s="54">
        <v>0</v>
      </c>
      <c r="AA41" s="54">
        <v>0</v>
      </c>
      <c r="AB41" s="54">
        <v>0</v>
      </c>
      <c r="AC41" s="54">
        <v>0</v>
      </c>
      <c r="AD41" s="54">
        <v>0</v>
      </c>
      <c r="AE41" s="54">
        <v>0</v>
      </c>
      <c r="AF41" s="66">
        <v>0</v>
      </c>
      <c r="AG41" s="67">
        <v>0</v>
      </c>
      <c r="AH41" s="67">
        <v>0</v>
      </c>
      <c r="AI41" s="67">
        <v>0</v>
      </c>
      <c r="AJ41" s="67">
        <v>0</v>
      </c>
      <c r="AK41" s="67">
        <v>0</v>
      </c>
      <c r="AL41" s="67">
        <v>2224.1799999999998</v>
      </c>
      <c r="AM41" s="98">
        <v>-2224.1799999999998</v>
      </c>
      <c r="AN41" s="67">
        <v>0</v>
      </c>
      <c r="AO41" s="67">
        <v>0</v>
      </c>
      <c r="AP41" s="67">
        <v>0</v>
      </c>
      <c r="AQ41" s="67">
        <v>280.66000000000003</v>
      </c>
      <c r="AR41" s="98">
        <v>-280.66000000000003</v>
      </c>
      <c r="AS41" s="68">
        <v>0</v>
      </c>
      <c r="AT41" s="63"/>
      <c r="AU41" s="63"/>
    </row>
    <row r="42" spans="1:47" ht="12.75" hidden="1" customHeight="1" outlineLevel="1" x14ac:dyDescent="0.2">
      <c r="A42" s="95" t="s">
        <v>185</v>
      </c>
      <c r="B42" s="62">
        <v>0</v>
      </c>
      <c r="C42" s="54">
        <v>0</v>
      </c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0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0</v>
      </c>
      <c r="AS42" s="68">
        <v>0</v>
      </c>
      <c r="AT42" s="63"/>
      <c r="AU42" s="63"/>
    </row>
    <row r="43" spans="1:47" ht="12.75" hidden="1" customHeight="1" outlineLevel="1" x14ac:dyDescent="0.2">
      <c r="A43" s="95" t="s">
        <v>186</v>
      </c>
      <c r="B43" s="62">
        <v>0</v>
      </c>
      <c r="C43" s="54">
        <v>0</v>
      </c>
      <c r="D43" s="54">
        <v>0</v>
      </c>
      <c r="E43" s="63"/>
      <c r="F43" s="64"/>
      <c r="G43" s="65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66">
        <v>0</v>
      </c>
      <c r="T43" s="54">
        <v>0</v>
      </c>
      <c r="U43" s="54">
        <v>0</v>
      </c>
      <c r="V43" s="54">
        <v>0</v>
      </c>
      <c r="W43" s="54">
        <v>0</v>
      </c>
      <c r="X43" s="54">
        <v>0</v>
      </c>
      <c r="Y43" s="54">
        <v>0</v>
      </c>
      <c r="Z43" s="54">
        <v>0</v>
      </c>
      <c r="AA43" s="54">
        <v>0</v>
      </c>
      <c r="AB43" s="54">
        <v>0</v>
      </c>
      <c r="AC43" s="54">
        <v>0</v>
      </c>
      <c r="AD43" s="54">
        <v>0</v>
      </c>
      <c r="AE43" s="54">
        <v>0</v>
      </c>
      <c r="AF43" s="66">
        <v>0</v>
      </c>
      <c r="AG43" s="67">
        <v>0</v>
      </c>
      <c r="AH43" s="67">
        <v>0</v>
      </c>
      <c r="AI43" s="67">
        <v>0</v>
      </c>
      <c r="AJ43" s="67">
        <v>0</v>
      </c>
      <c r="AK43" s="67">
        <v>0</v>
      </c>
      <c r="AL43" s="67">
        <v>0</v>
      </c>
      <c r="AM43" s="67">
        <v>0</v>
      </c>
      <c r="AN43" s="67">
        <v>0</v>
      </c>
      <c r="AO43" s="67">
        <v>0</v>
      </c>
      <c r="AP43" s="67">
        <v>0</v>
      </c>
      <c r="AQ43" s="67">
        <v>0</v>
      </c>
      <c r="AR43" s="67">
        <v>0</v>
      </c>
      <c r="AS43" s="68">
        <v>0</v>
      </c>
      <c r="AT43" s="63"/>
      <c r="AU43" s="63"/>
    </row>
    <row r="44" spans="1:47" ht="12.75" hidden="1" customHeight="1" outlineLevel="1" x14ac:dyDescent="0.2">
      <c r="A44" s="95" t="s">
        <v>187</v>
      </c>
      <c r="B44" s="62">
        <v>0</v>
      </c>
      <c r="C44" s="54">
        <v>0</v>
      </c>
      <c r="D44" s="54">
        <v>0</v>
      </c>
      <c r="E44" s="63"/>
      <c r="F44" s="64"/>
      <c r="G44" s="65">
        <v>0</v>
      </c>
      <c r="H44" s="54">
        <v>0</v>
      </c>
      <c r="I44" s="54">
        <v>0</v>
      </c>
      <c r="J44" s="54">
        <v>0</v>
      </c>
      <c r="K44" s="54">
        <v>0</v>
      </c>
      <c r="L44" s="54">
        <v>0</v>
      </c>
      <c r="M44" s="54">
        <v>0</v>
      </c>
      <c r="N44" s="54">
        <v>0</v>
      </c>
      <c r="O44" s="54">
        <v>0</v>
      </c>
      <c r="P44" s="54">
        <v>0</v>
      </c>
      <c r="Q44" s="54">
        <v>0</v>
      </c>
      <c r="R44" s="54">
        <v>0</v>
      </c>
      <c r="S44" s="66">
        <v>0</v>
      </c>
      <c r="T44" s="54">
        <v>0</v>
      </c>
      <c r="U44" s="54">
        <v>0</v>
      </c>
      <c r="V44" s="54">
        <v>0</v>
      </c>
      <c r="W44" s="54">
        <v>0</v>
      </c>
      <c r="X44" s="54">
        <v>0</v>
      </c>
      <c r="Y44" s="54">
        <v>0</v>
      </c>
      <c r="Z44" s="54">
        <v>0</v>
      </c>
      <c r="AA44" s="54">
        <v>0</v>
      </c>
      <c r="AB44" s="54">
        <v>0</v>
      </c>
      <c r="AC44" s="54">
        <v>0</v>
      </c>
      <c r="AD44" s="54">
        <v>0</v>
      </c>
      <c r="AE44" s="54">
        <v>0</v>
      </c>
      <c r="AF44" s="66">
        <v>0</v>
      </c>
      <c r="AG44" s="67">
        <v>0</v>
      </c>
      <c r="AH44" s="67">
        <v>0</v>
      </c>
      <c r="AI44" s="67">
        <v>0</v>
      </c>
      <c r="AJ44" s="67">
        <v>0</v>
      </c>
      <c r="AK44" s="67">
        <v>0</v>
      </c>
      <c r="AL44" s="67">
        <v>0</v>
      </c>
      <c r="AM44" s="67">
        <v>0</v>
      </c>
      <c r="AN44" s="67">
        <v>0</v>
      </c>
      <c r="AO44" s="67">
        <v>0</v>
      </c>
      <c r="AP44" s="67">
        <v>0</v>
      </c>
      <c r="AQ44" s="67">
        <v>0</v>
      </c>
      <c r="AR44" s="67">
        <v>0</v>
      </c>
      <c r="AS44" s="68">
        <v>0</v>
      </c>
      <c r="AT44" s="63"/>
      <c r="AU44" s="63"/>
    </row>
    <row r="45" spans="1:47" ht="12.75" hidden="1" customHeight="1" outlineLevel="1" x14ac:dyDescent="0.2">
      <c r="A45" s="95" t="s">
        <v>188</v>
      </c>
      <c r="B45" s="62">
        <v>0</v>
      </c>
      <c r="C45" s="54"/>
      <c r="D45" s="54">
        <v>0</v>
      </c>
      <c r="E45" s="63"/>
      <c r="F45" s="64"/>
      <c r="G45" s="65">
        <v>0</v>
      </c>
      <c r="H45" s="54">
        <v>0</v>
      </c>
      <c r="I45" s="54">
        <v>0</v>
      </c>
      <c r="J45" s="54">
        <v>0</v>
      </c>
      <c r="K45" s="54">
        <v>0</v>
      </c>
      <c r="L45" s="54">
        <v>0</v>
      </c>
      <c r="M45" s="54">
        <v>0</v>
      </c>
      <c r="N45" s="54">
        <v>0</v>
      </c>
      <c r="O45" s="54">
        <v>0</v>
      </c>
      <c r="P45" s="54">
        <v>0</v>
      </c>
      <c r="Q45" s="54">
        <v>0</v>
      </c>
      <c r="R45" s="54">
        <v>0</v>
      </c>
      <c r="S45" s="66">
        <v>0</v>
      </c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66"/>
      <c r="AG45" s="67">
        <v>0</v>
      </c>
      <c r="AH45" s="67">
        <v>0</v>
      </c>
      <c r="AI45" s="67">
        <v>0</v>
      </c>
      <c r="AJ45" s="67">
        <v>0</v>
      </c>
      <c r="AK45" s="67">
        <v>0</v>
      </c>
      <c r="AL45" s="67">
        <v>0</v>
      </c>
      <c r="AM45" s="67">
        <v>0</v>
      </c>
      <c r="AN45" s="67">
        <v>0</v>
      </c>
      <c r="AO45" s="67">
        <v>0</v>
      </c>
      <c r="AP45" s="67">
        <v>0</v>
      </c>
      <c r="AQ45" s="67">
        <v>0</v>
      </c>
      <c r="AR45" s="67">
        <v>0</v>
      </c>
      <c r="AS45" s="68">
        <v>0</v>
      </c>
      <c r="AT45" s="63"/>
      <c r="AU45" s="63"/>
    </row>
    <row r="46" spans="1:47" ht="12.75" hidden="1" customHeight="1" outlineLevel="1" x14ac:dyDescent="0.2">
      <c r="A46" s="95" t="s">
        <v>189</v>
      </c>
      <c r="B46" s="62"/>
      <c r="C46" s="54"/>
      <c r="D46" s="54"/>
      <c r="E46" s="63"/>
      <c r="F46" s="64"/>
      <c r="G46" s="65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66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66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8"/>
      <c r="AT46" s="63"/>
      <c r="AU46" s="63"/>
    </row>
    <row r="47" spans="1:47" ht="12.75" hidden="1" customHeight="1" outlineLevel="1" x14ac:dyDescent="0.2">
      <c r="A47" s="95" t="s">
        <v>190</v>
      </c>
      <c r="B47" s="62">
        <v>0</v>
      </c>
      <c r="C47" s="54">
        <v>0</v>
      </c>
      <c r="D47" s="54">
        <v>0</v>
      </c>
      <c r="E47" s="63"/>
      <c r="F47" s="64"/>
      <c r="G47" s="65">
        <v>0</v>
      </c>
      <c r="H47" s="54">
        <v>46.53</v>
      </c>
      <c r="I47" s="54">
        <v>0</v>
      </c>
      <c r="J47" s="54">
        <v>0</v>
      </c>
      <c r="K47" s="54">
        <v>0</v>
      </c>
      <c r="L47" s="54">
        <v>0</v>
      </c>
      <c r="M47" s="54">
        <v>0</v>
      </c>
      <c r="N47" s="54">
        <v>0</v>
      </c>
      <c r="O47" s="54">
        <v>0</v>
      </c>
      <c r="P47" s="54">
        <v>0</v>
      </c>
      <c r="Q47" s="54">
        <v>0</v>
      </c>
      <c r="R47" s="54">
        <v>0</v>
      </c>
      <c r="S47" s="66">
        <v>46.53</v>
      </c>
      <c r="T47" s="54">
        <v>0</v>
      </c>
      <c r="U47" s="54">
        <v>0</v>
      </c>
      <c r="V47" s="54">
        <v>0</v>
      </c>
      <c r="W47" s="54">
        <v>0</v>
      </c>
      <c r="X47" s="54">
        <v>0</v>
      </c>
      <c r="Y47" s="54">
        <v>0</v>
      </c>
      <c r="Z47" s="54">
        <v>0</v>
      </c>
      <c r="AA47" s="54">
        <v>0</v>
      </c>
      <c r="AB47" s="54">
        <v>0</v>
      </c>
      <c r="AC47" s="54">
        <v>0</v>
      </c>
      <c r="AD47" s="54">
        <v>0</v>
      </c>
      <c r="AE47" s="54">
        <v>0</v>
      </c>
      <c r="AF47" s="66">
        <v>0</v>
      </c>
      <c r="AG47" s="67">
        <v>0</v>
      </c>
      <c r="AH47" s="67">
        <v>0</v>
      </c>
      <c r="AI47" s="67">
        <v>0</v>
      </c>
      <c r="AJ47" s="67">
        <v>0</v>
      </c>
      <c r="AK47" s="67">
        <v>0</v>
      </c>
      <c r="AL47" s="67">
        <v>0</v>
      </c>
      <c r="AM47" s="67">
        <v>476.56</v>
      </c>
      <c r="AN47" s="67">
        <v>99.09</v>
      </c>
      <c r="AO47" s="67">
        <v>0</v>
      </c>
      <c r="AP47" s="67">
        <v>0</v>
      </c>
      <c r="AQ47" s="67">
        <v>0</v>
      </c>
      <c r="AR47" s="67">
        <v>5622.22</v>
      </c>
      <c r="AS47" s="68">
        <v>0</v>
      </c>
      <c r="AT47" s="63"/>
      <c r="AU47" s="63"/>
    </row>
    <row r="48" spans="1:47" ht="12.75" customHeight="1" collapsed="1" x14ac:dyDescent="0.2">
      <c r="A48" s="95" t="s">
        <v>191</v>
      </c>
      <c r="B48" s="62">
        <v>0</v>
      </c>
      <c r="C48" s="54">
        <v>0</v>
      </c>
      <c r="D48" s="54">
        <v>0</v>
      </c>
      <c r="E48" s="63"/>
      <c r="F48" s="64"/>
      <c r="G48" s="65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54">
        <v>0</v>
      </c>
      <c r="N48" s="54">
        <v>0</v>
      </c>
      <c r="O48" s="54">
        <v>0</v>
      </c>
      <c r="P48" s="54">
        <v>0</v>
      </c>
      <c r="Q48" s="54">
        <v>0</v>
      </c>
      <c r="R48" s="54">
        <v>0</v>
      </c>
      <c r="S48" s="66">
        <v>0</v>
      </c>
      <c r="T48" s="54">
        <v>0</v>
      </c>
      <c r="U48" s="54">
        <v>0</v>
      </c>
      <c r="V48" s="54">
        <v>0</v>
      </c>
      <c r="W48" s="54">
        <v>0</v>
      </c>
      <c r="X48" s="54">
        <v>0</v>
      </c>
      <c r="Y48" s="54">
        <v>0</v>
      </c>
      <c r="Z48" s="54">
        <v>0</v>
      </c>
      <c r="AA48" s="54">
        <v>0</v>
      </c>
      <c r="AB48" s="54">
        <v>0</v>
      </c>
      <c r="AC48" s="54">
        <v>0</v>
      </c>
      <c r="AD48" s="54">
        <v>0</v>
      </c>
      <c r="AE48" s="54">
        <v>0</v>
      </c>
      <c r="AF48" s="66">
        <v>0</v>
      </c>
      <c r="AG48" s="67">
        <v>0</v>
      </c>
      <c r="AH48" s="67">
        <v>0</v>
      </c>
      <c r="AI48" s="67">
        <v>0</v>
      </c>
      <c r="AJ48" s="67">
        <v>0</v>
      </c>
      <c r="AK48" s="67">
        <v>0</v>
      </c>
      <c r="AL48" s="67">
        <v>0</v>
      </c>
      <c r="AM48" s="67">
        <v>80.400000000000006</v>
      </c>
      <c r="AN48" s="67">
        <v>118</v>
      </c>
      <c r="AO48" s="67">
        <v>314.94</v>
      </c>
      <c r="AP48" s="67">
        <v>0</v>
      </c>
      <c r="AQ48" s="67">
        <v>282.87</v>
      </c>
      <c r="AR48" s="67">
        <v>0</v>
      </c>
      <c r="AS48" s="68">
        <v>0</v>
      </c>
      <c r="AT48" s="63"/>
      <c r="AU48" s="63"/>
    </row>
    <row r="49" spans="1:47" ht="12.75" hidden="1" customHeight="1" outlineLevel="1" x14ac:dyDescent="0.2">
      <c r="A49" s="69" t="s">
        <v>192</v>
      </c>
      <c r="B49" s="70">
        <v>4185.66</v>
      </c>
      <c r="C49" s="71">
        <v>0</v>
      </c>
      <c r="D49" s="71">
        <v>935.04</v>
      </c>
      <c r="E49" s="72"/>
      <c r="F49" s="73">
        <v>447.64502053388088</v>
      </c>
      <c r="G49" s="70">
        <v>8479.81</v>
      </c>
      <c r="H49" s="71">
        <v>7410.39</v>
      </c>
      <c r="I49" s="71">
        <v>678.12</v>
      </c>
      <c r="J49" s="71">
        <v>4185.66</v>
      </c>
      <c r="K49" s="74">
        <v>-26111.57</v>
      </c>
      <c r="L49" s="71">
        <v>0</v>
      </c>
      <c r="M49" s="71">
        <v>0</v>
      </c>
      <c r="N49" s="71">
        <v>0</v>
      </c>
      <c r="O49" s="71">
        <v>0</v>
      </c>
      <c r="P49" s="71">
        <v>0</v>
      </c>
      <c r="Q49" s="71">
        <v>0</v>
      </c>
      <c r="R49" s="71">
        <v>0</v>
      </c>
      <c r="S49" s="71">
        <v>20753.98</v>
      </c>
      <c r="T49" s="71">
        <v>0</v>
      </c>
      <c r="U49" s="71">
        <v>0</v>
      </c>
      <c r="V49" s="71">
        <v>0</v>
      </c>
      <c r="W49" s="71">
        <v>0</v>
      </c>
      <c r="X49" s="71">
        <v>0</v>
      </c>
      <c r="Y49" s="71">
        <v>0</v>
      </c>
      <c r="Z49" s="71">
        <v>0</v>
      </c>
      <c r="AA49" s="71">
        <v>0</v>
      </c>
      <c r="AB49" s="71">
        <v>0</v>
      </c>
      <c r="AC49" s="71">
        <v>0</v>
      </c>
      <c r="AD49" s="71">
        <v>0</v>
      </c>
      <c r="AE49" s="71">
        <v>0</v>
      </c>
      <c r="AF49" s="71">
        <v>0</v>
      </c>
      <c r="AG49" s="75">
        <v>976.12</v>
      </c>
      <c r="AH49" s="75">
        <v>522.73</v>
      </c>
      <c r="AI49" s="75">
        <v>427.02</v>
      </c>
      <c r="AJ49" s="75">
        <v>935.04</v>
      </c>
      <c r="AK49" s="75">
        <v>755.03</v>
      </c>
      <c r="AL49" s="75">
        <v>3379.22</v>
      </c>
      <c r="AM49" s="75">
        <v>4269.97</v>
      </c>
      <c r="AN49" s="75">
        <v>6127.45</v>
      </c>
      <c r="AO49" s="75">
        <v>17284.650000000001</v>
      </c>
      <c r="AP49" s="75">
        <v>211.4</v>
      </c>
      <c r="AQ49" s="75">
        <v>3576.21</v>
      </c>
      <c r="AR49" s="75">
        <v>28258.73</v>
      </c>
      <c r="AS49" s="75">
        <v>2860.91</v>
      </c>
      <c r="AT49" s="72"/>
      <c r="AU49" s="72">
        <v>725.43281683100827</v>
      </c>
    </row>
    <row r="50" spans="1:47" ht="12.75" hidden="1" customHeight="1" outlineLevel="1" x14ac:dyDescent="0.2">
      <c r="A50" s="95" t="s">
        <v>194</v>
      </c>
      <c r="B50" s="62">
        <v>0</v>
      </c>
      <c r="C50" s="54">
        <v>0</v>
      </c>
      <c r="D50" s="54">
        <v>585</v>
      </c>
      <c r="E50" s="63"/>
      <c r="F50" s="64">
        <v>0</v>
      </c>
      <c r="G50" s="65">
        <v>0</v>
      </c>
      <c r="H50" s="54">
        <v>4100</v>
      </c>
      <c r="I50" s="54">
        <v>0</v>
      </c>
      <c r="J50" s="54">
        <v>0</v>
      </c>
      <c r="K50" s="54">
        <v>0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66">
        <v>4100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>
        <v>0</v>
      </c>
      <c r="AH50" s="67">
        <v>0</v>
      </c>
      <c r="AI50" s="67">
        <v>0</v>
      </c>
      <c r="AJ50" s="67">
        <v>585</v>
      </c>
      <c r="AK50" s="67">
        <v>195</v>
      </c>
      <c r="AL50" s="67">
        <v>0</v>
      </c>
      <c r="AM50" s="67">
        <v>0</v>
      </c>
      <c r="AN50" s="67">
        <v>2502.91</v>
      </c>
      <c r="AO50" s="67">
        <v>0</v>
      </c>
      <c r="AP50" s="67">
        <v>0</v>
      </c>
      <c r="AQ50" s="67">
        <v>0.09</v>
      </c>
      <c r="AR50" s="67">
        <v>560</v>
      </c>
      <c r="AS50" s="68">
        <v>585</v>
      </c>
      <c r="AT50" s="63"/>
      <c r="AU50" s="63">
        <v>700.85470085470081</v>
      </c>
    </row>
    <row r="51" spans="1:47" ht="12.75" hidden="1" customHeight="1" outlineLevel="1" x14ac:dyDescent="0.2">
      <c r="A51" s="95" t="s">
        <v>193</v>
      </c>
      <c r="B51" s="62"/>
      <c r="C51" s="54"/>
      <c r="D51" s="54"/>
      <c r="E51" s="63"/>
      <c r="F51" s="64"/>
      <c r="G51" s="65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66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66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8"/>
      <c r="AT51" s="63"/>
      <c r="AU51" s="63"/>
    </row>
    <row r="52" spans="1:47" ht="12.75" hidden="1" customHeight="1" outlineLevel="1" x14ac:dyDescent="0.2">
      <c r="A52" s="95" t="s">
        <v>195</v>
      </c>
      <c r="B52" s="62">
        <v>0</v>
      </c>
      <c r="C52" s="54">
        <v>0</v>
      </c>
      <c r="D52" s="54">
        <v>0</v>
      </c>
      <c r="E52" s="63"/>
      <c r="F52" s="64"/>
      <c r="G52" s="65">
        <v>0</v>
      </c>
      <c r="H52" s="54">
        <v>0</v>
      </c>
      <c r="I52" s="54">
        <v>0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66">
        <v>0</v>
      </c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66">
        <v>0</v>
      </c>
      <c r="AG52" s="67">
        <v>0</v>
      </c>
      <c r="AH52" s="67">
        <v>4989.8999999999996</v>
      </c>
      <c r="AI52" s="67">
        <v>0</v>
      </c>
      <c r="AJ52" s="67">
        <v>0</v>
      </c>
      <c r="AK52" s="67">
        <v>0</v>
      </c>
      <c r="AL52" s="67">
        <v>0</v>
      </c>
      <c r="AM52" s="67">
        <v>0</v>
      </c>
      <c r="AN52" s="67">
        <v>0</v>
      </c>
      <c r="AO52" s="67">
        <v>0</v>
      </c>
      <c r="AP52" s="67">
        <v>0</v>
      </c>
      <c r="AQ52" s="67">
        <v>0</v>
      </c>
      <c r="AR52" s="67">
        <v>0</v>
      </c>
      <c r="AS52" s="68">
        <v>4989.8999999999996</v>
      </c>
      <c r="AT52" s="63"/>
      <c r="AU52" s="63">
        <v>0</v>
      </c>
    </row>
    <row r="53" spans="1:47" ht="12.75" hidden="1" customHeight="1" outlineLevel="1" x14ac:dyDescent="0.2">
      <c r="A53" s="95" t="s">
        <v>82</v>
      </c>
      <c r="B53" s="62">
        <v>0</v>
      </c>
      <c r="C53" s="54">
        <v>0</v>
      </c>
      <c r="D53" s="54">
        <v>0</v>
      </c>
      <c r="E53" s="63"/>
      <c r="F53" s="64"/>
      <c r="G53" s="65">
        <v>0</v>
      </c>
      <c r="H53" s="54">
        <v>0</v>
      </c>
      <c r="I53" s="54">
        <v>0</v>
      </c>
      <c r="J53" s="54">
        <v>0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66">
        <v>0</v>
      </c>
      <c r="T53" s="54">
        <v>0</v>
      </c>
      <c r="U53" s="54">
        <v>0</v>
      </c>
      <c r="V53" s="54">
        <v>0</v>
      </c>
      <c r="W53" s="54">
        <v>0</v>
      </c>
      <c r="X53" s="54">
        <v>0</v>
      </c>
      <c r="Y53" s="54">
        <v>0</v>
      </c>
      <c r="Z53" s="54">
        <v>0</v>
      </c>
      <c r="AA53" s="54">
        <v>0</v>
      </c>
      <c r="AB53" s="54">
        <v>0</v>
      </c>
      <c r="AC53" s="54">
        <v>0</v>
      </c>
      <c r="AD53" s="54">
        <v>0</v>
      </c>
      <c r="AE53" s="54">
        <v>0</v>
      </c>
      <c r="AF53" s="66">
        <v>0</v>
      </c>
      <c r="AG53" s="67">
        <v>0</v>
      </c>
      <c r="AH53" s="67">
        <v>0</v>
      </c>
      <c r="AI53" s="67">
        <v>0</v>
      </c>
      <c r="AJ53" s="67">
        <v>0</v>
      </c>
      <c r="AK53" s="67">
        <v>0</v>
      </c>
      <c r="AL53" s="67">
        <v>0</v>
      </c>
      <c r="AM53" s="67">
        <v>0</v>
      </c>
      <c r="AN53" s="67">
        <v>0</v>
      </c>
      <c r="AO53" s="67">
        <v>0</v>
      </c>
      <c r="AP53" s="67">
        <v>0</v>
      </c>
      <c r="AQ53" s="67">
        <v>0</v>
      </c>
      <c r="AR53" s="67">
        <v>0</v>
      </c>
      <c r="AS53" s="68">
        <v>0</v>
      </c>
      <c r="AT53" s="63"/>
      <c r="AU53" s="63"/>
    </row>
    <row r="54" spans="1:47" ht="12.75" hidden="1" customHeight="1" outlineLevel="1" x14ac:dyDescent="0.2">
      <c r="A54" s="95" t="s">
        <v>83</v>
      </c>
      <c r="B54" s="62">
        <v>0</v>
      </c>
      <c r="C54" s="54">
        <v>0</v>
      </c>
      <c r="D54" s="54">
        <v>0</v>
      </c>
      <c r="E54" s="63"/>
      <c r="F54" s="64"/>
      <c r="G54" s="65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66">
        <v>0</v>
      </c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>
        <v>0</v>
      </c>
      <c r="AH54" s="67">
        <v>0</v>
      </c>
      <c r="AI54" s="67">
        <v>0</v>
      </c>
      <c r="AJ54" s="67">
        <v>0</v>
      </c>
      <c r="AK54" s="67">
        <v>0</v>
      </c>
      <c r="AL54" s="67">
        <v>0</v>
      </c>
      <c r="AM54" s="67">
        <v>688</v>
      </c>
      <c r="AN54" s="67">
        <v>0</v>
      </c>
      <c r="AO54" s="67">
        <v>0</v>
      </c>
      <c r="AP54" s="67">
        <v>0</v>
      </c>
      <c r="AQ54" s="67">
        <v>33.64</v>
      </c>
      <c r="AR54" s="67">
        <v>562</v>
      </c>
      <c r="AS54" s="68">
        <v>0</v>
      </c>
      <c r="AT54" s="63"/>
      <c r="AU54" s="63"/>
    </row>
    <row r="55" spans="1:47" ht="12.75" hidden="1" customHeight="1" outlineLevel="1" x14ac:dyDescent="0.2">
      <c r="A55" s="95" t="s">
        <v>84</v>
      </c>
      <c r="B55" s="62">
        <v>4475</v>
      </c>
      <c r="C55" s="54">
        <v>0</v>
      </c>
      <c r="D55" s="54">
        <v>3900</v>
      </c>
      <c r="E55" s="63"/>
      <c r="F55" s="64">
        <v>114.74358974358974</v>
      </c>
      <c r="G55" s="65">
        <v>4410</v>
      </c>
      <c r="H55" s="54">
        <v>4070</v>
      </c>
      <c r="I55" s="54">
        <v>3900</v>
      </c>
      <c r="J55" s="54">
        <v>4475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66">
        <v>16855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66">
        <v>0</v>
      </c>
      <c r="AG55" s="67">
        <v>3900</v>
      </c>
      <c r="AH55" s="67">
        <v>3900</v>
      </c>
      <c r="AI55" s="67">
        <v>3900</v>
      </c>
      <c r="AJ55" s="67">
        <v>3900</v>
      </c>
      <c r="AK55" s="67">
        <v>3900</v>
      </c>
      <c r="AL55" s="67">
        <v>3602</v>
      </c>
      <c r="AM55" s="67">
        <v>3900</v>
      </c>
      <c r="AN55" s="67">
        <v>3900</v>
      </c>
      <c r="AO55" s="67">
        <v>3900</v>
      </c>
      <c r="AP55" s="67">
        <v>3900</v>
      </c>
      <c r="AQ55" s="67">
        <v>5021</v>
      </c>
      <c r="AR55" s="67">
        <v>6719</v>
      </c>
      <c r="AS55" s="68">
        <v>15600</v>
      </c>
      <c r="AT55" s="63"/>
      <c r="AU55" s="63">
        <v>108.0448717948718</v>
      </c>
    </row>
    <row r="56" spans="1:47" ht="12.75" hidden="1" customHeight="1" outlineLevel="1" x14ac:dyDescent="0.2">
      <c r="A56" s="95" t="s">
        <v>198</v>
      </c>
      <c r="B56" s="62">
        <v>1154.72</v>
      </c>
      <c r="C56" s="54">
        <v>0</v>
      </c>
      <c r="D56" s="54">
        <v>678.5</v>
      </c>
      <c r="E56" s="63"/>
      <c r="F56" s="64">
        <v>170.18717759764186</v>
      </c>
      <c r="G56" s="65">
        <v>172.54</v>
      </c>
      <c r="H56" s="54">
        <v>1334.44</v>
      </c>
      <c r="I56" s="54">
        <v>2034.99</v>
      </c>
      <c r="J56" s="54">
        <v>1154.72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66">
        <v>4696.6899999999996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66">
        <v>0</v>
      </c>
      <c r="AG56" s="67">
        <v>1458.09</v>
      </c>
      <c r="AH56" s="67">
        <v>2113.59</v>
      </c>
      <c r="AI56" s="67">
        <v>2170.9</v>
      </c>
      <c r="AJ56" s="67">
        <v>678.5</v>
      </c>
      <c r="AK56" s="67">
        <v>2728.06</v>
      </c>
      <c r="AL56" s="67">
        <v>462.5</v>
      </c>
      <c r="AM56" s="67">
        <v>0</v>
      </c>
      <c r="AN56" s="67">
        <v>3021.21</v>
      </c>
      <c r="AO56" s="67">
        <v>3169.61</v>
      </c>
      <c r="AP56" s="67">
        <v>19.09</v>
      </c>
      <c r="AQ56" s="67">
        <v>45.18</v>
      </c>
      <c r="AR56" s="67">
        <v>2711.78</v>
      </c>
      <c r="AS56" s="68">
        <v>6421.08</v>
      </c>
      <c r="AT56" s="63"/>
      <c r="AU56" s="63">
        <v>73.144860366168928</v>
      </c>
    </row>
    <row r="57" spans="1:47" ht="12.75" hidden="1" customHeight="1" outlineLevel="1" x14ac:dyDescent="0.2">
      <c r="A57" s="95" t="s">
        <v>86</v>
      </c>
      <c r="B57" s="62">
        <v>0</v>
      </c>
      <c r="C57" s="54">
        <v>0</v>
      </c>
      <c r="D57" s="54">
        <v>0</v>
      </c>
      <c r="E57" s="63"/>
      <c r="F57" s="64"/>
      <c r="G57" s="65">
        <v>0</v>
      </c>
      <c r="H57" s="54">
        <v>31.62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66">
        <v>31.62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66">
        <v>0</v>
      </c>
      <c r="AG57" s="67">
        <v>0</v>
      </c>
      <c r="AH57" s="67">
        <v>5007.63</v>
      </c>
      <c r="AI57" s="67">
        <v>39.590000000000003</v>
      </c>
      <c r="AJ57" s="67">
        <v>0</v>
      </c>
      <c r="AK57" s="67">
        <v>1932.23</v>
      </c>
      <c r="AL57" s="67">
        <v>0</v>
      </c>
      <c r="AM57" s="67">
        <v>0</v>
      </c>
      <c r="AN57" s="67">
        <v>287.67</v>
      </c>
      <c r="AO57" s="67">
        <v>0</v>
      </c>
      <c r="AP57" s="67">
        <v>0</v>
      </c>
      <c r="AQ57" s="67">
        <v>0</v>
      </c>
      <c r="AR57" s="67">
        <v>0</v>
      </c>
      <c r="AS57" s="68">
        <v>5047.22</v>
      </c>
      <c r="AT57" s="63"/>
      <c r="AU57" s="63">
        <v>0.6264834899211843</v>
      </c>
    </row>
    <row r="58" spans="1:47" ht="12.75" hidden="1" customHeight="1" outlineLevel="1" x14ac:dyDescent="0.2">
      <c r="A58" s="95" t="s">
        <v>111</v>
      </c>
      <c r="B58" s="62">
        <v>7450</v>
      </c>
      <c r="C58" s="54">
        <v>0</v>
      </c>
      <c r="D58" s="54">
        <v>6450</v>
      </c>
      <c r="E58" s="63"/>
      <c r="F58" s="64">
        <v>115.50387596899225</v>
      </c>
      <c r="G58" s="65">
        <v>7450</v>
      </c>
      <c r="H58" s="54">
        <v>7450</v>
      </c>
      <c r="I58" s="54">
        <v>7450</v>
      </c>
      <c r="J58" s="54">
        <v>7450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29800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5450</v>
      </c>
      <c r="AH58" s="67">
        <v>8</v>
      </c>
      <c r="AI58" s="67">
        <v>5450</v>
      </c>
      <c r="AJ58" s="67">
        <v>6450</v>
      </c>
      <c r="AK58" s="67">
        <v>6450</v>
      </c>
      <c r="AL58" s="67">
        <v>6450</v>
      </c>
      <c r="AM58" s="67">
        <v>6450</v>
      </c>
      <c r="AN58" s="67">
        <v>7482</v>
      </c>
      <c r="AO58" s="67">
        <v>7450</v>
      </c>
      <c r="AP58" s="67">
        <v>7450</v>
      </c>
      <c r="AQ58" s="67">
        <v>7450</v>
      </c>
      <c r="AR58" s="67">
        <v>7450</v>
      </c>
      <c r="AS58" s="68">
        <v>17358</v>
      </c>
      <c r="AT58" s="63"/>
      <c r="AU58" s="63">
        <v>171.67876483465838</v>
      </c>
    </row>
    <row r="59" spans="1:47" ht="12.75" hidden="1" customHeight="1" outlineLevel="1" x14ac:dyDescent="0.2">
      <c r="A59" s="95" t="s">
        <v>110</v>
      </c>
      <c r="B59" s="62">
        <v>4353.93</v>
      </c>
      <c r="C59" s="54">
        <v>0</v>
      </c>
      <c r="D59" s="54">
        <v>0</v>
      </c>
      <c r="E59" s="63"/>
      <c r="F59" s="64"/>
      <c r="G59" s="65">
        <v>0</v>
      </c>
      <c r="H59" s="54">
        <v>0</v>
      </c>
      <c r="I59" s="54">
        <v>0</v>
      </c>
      <c r="J59" s="54">
        <v>4353.93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66">
        <v>4353.93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66">
        <v>0</v>
      </c>
      <c r="AG59" s="67">
        <v>0</v>
      </c>
      <c r="AH59" s="67">
        <v>0</v>
      </c>
      <c r="AI59" s="67">
        <v>0</v>
      </c>
      <c r="AJ59" s="67">
        <v>0</v>
      </c>
      <c r="AK59" s="67">
        <v>0</v>
      </c>
      <c r="AL59" s="67">
        <v>0</v>
      </c>
      <c r="AM59" s="67">
        <v>0</v>
      </c>
      <c r="AN59" s="67">
        <v>0</v>
      </c>
      <c r="AO59" s="67">
        <v>0</v>
      </c>
      <c r="AP59" s="67">
        <v>0</v>
      </c>
      <c r="AQ59" s="67">
        <v>0</v>
      </c>
      <c r="AR59" s="67">
        <v>2827.49</v>
      </c>
      <c r="AS59" s="68">
        <v>0</v>
      </c>
      <c r="AT59" s="63"/>
      <c r="AU59" s="63"/>
    </row>
    <row r="60" spans="1:47" ht="12.75" hidden="1" customHeight="1" outlineLevel="1" x14ac:dyDescent="0.2">
      <c r="A60" s="95" t="s">
        <v>87</v>
      </c>
      <c r="B60" s="62">
        <v>7560</v>
      </c>
      <c r="C60" s="54">
        <v>0</v>
      </c>
      <c r="D60" s="54">
        <v>0</v>
      </c>
      <c r="E60" s="63"/>
      <c r="F60" s="64"/>
      <c r="G60" s="65">
        <v>8560</v>
      </c>
      <c r="H60" s="54">
        <v>0</v>
      </c>
      <c r="I60" s="54">
        <v>9160</v>
      </c>
      <c r="J60" s="54">
        <v>7560</v>
      </c>
      <c r="K60" s="56">
        <v>-9120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66">
        <v>25280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>
        <v>0</v>
      </c>
      <c r="AE60" s="54">
        <v>0</v>
      </c>
      <c r="AF60" s="66">
        <v>0</v>
      </c>
      <c r="AG60" s="67">
        <v>0</v>
      </c>
      <c r="AH60" s="67">
        <v>11.81</v>
      </c>
      <c r="AI60" s="67">
        <v>2100</v>
      </c>
      <c r="AJ60" s="67">
        <v>0</v>
      </c>
      <c r="AK60" s="67">
        <v>15205.27</v>
      </c>
      <c r="AL60" s="67">
        <v>0</v>
      </c>
      <c r="AM60" s="67">
        <v>0</v>
      </c>
      <c r="AN60" s="67">
        <v>0</v>
      </c>
      <c r="AO60" s="67">
        <v>0</v>
      </c>
      <c r="AP60" s="67">
        <v>4560</v>
      </c>
      <c r="AQ60" s="67">
        <v>4002.73</v>
      </c>
      <c r="AR60" s="67">
        <v>470.41</v>
      </c>
      <c r="AS60" s="68">
        <v>2111.81</v>
      </c>
      <c r="AT60" s="63"/>
      <c r="AU60" s="63">
        <v>1197.0773885908297</v>
      </c>
    </row>
    <row r="61" spans="1:47" ht="12.75" hidden="1" customHeight="1" outlineLevel="1" x14ac:dyDescent="0.2">
      <c r="A61" s="95" t="s">
        <v>88</v>
      </c>
      <c r="B61" s="62">
        <v>0</v>
      </c>
      <c r="C61" s="54">
        <v>0</v>
      </c>
      <c r="D61" s="54">
        <v>4575</v>
      </c>
      <c r="E61" s="63"/>
      <c r="F61" s="64">
        <v>0</v>
      </c>
      <c r="G61" s="65">
        <v>2500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66">
        <v>2500</v>
      </c>
      <c r="T61" s="54">
        <v>0</v>
      </c>
      <c r="U61" s="54">
        <v>0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0</v>
      </c>
      <c r="AB61" s="54">
        <v>0</v>
      </c>
      <c r="AC61" s="54">
        <v>0</v>
      </c>
      <c r="AD61" s="54">
        <v>0</v>
      </c>
      <c r="AE61" s="54">
        <v>0</v>
      </c>
      <c r="AF61" s="66">
        <v>0</v>
      </c>
      <c r="AG61" s="67">
        <v>0</v>
      </c>
      <c r="AH61" s="67">
        <v>3575</v>
      </c>
      <c r="AI61" s="67">
        <v>3575</v>
      </c>
      <c r="AJ61" s="67">
        <v>4575</v>
      </c>
      <c r="AK61" s="67">
        <v>16075</v>
      </c>
      <c r="AL61" s="67">
        <v>18550</v>
      </c>
      <c r="AM61" s="98">
        <v>-19253.2</v>
      </c>
      <c r="AN61" s="67">
        <v>11560</v>
      </c>
      <c r="AO61" s="67">
        <v>11264</v>
      </c>
      <c r="AP61" s="67">
        <v>0</v>
      </c>
      <c r="AQ61" s="67">
        <v>0</v>
      </c>
      <c r="AR61" s="67">
        <v>16974.16</v>
      </c>
      <c r="AS61" s="68">
        <v>11725</v>
      </c>
      <c r="AT61" s="63"/>
      <c r="AU61" s="63">
        <v>21.321961620469082</v>
      </c>
    </row>
    <row r="62" spans="1:47" ht="12.75" hidden="1" customHeight="1" outlineLevel="1" x14ac:dyDescent="0.2">
      <c r="A62" s="95" t="s">
        <v>205</v>
      </c>
      <c r="B62" s="62"/>
      <c r="C62" s="54"/>
      <c r="D62" s="54"/>
      <c r="E62" s="63"/>
      <c r="F62" s="64"/>
      <c r="G62" s="65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66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66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8"/>
      <c r="AT62" s="63"/>
      <c r="AU62" s="63"/>
    </row>
    <row r="63" spans="1:47" ht="12.75" hidden="1" customHeight="1" outlineLevel="1" x14ac:dyDescent="0.2">
      <c r="A63" s="95" t="s">
        <v>206</v>
      </c>
      <c r="B63" s="62">
        <v>6489</v>
      </c>
      <c r="C63" s="54">
        <v>0</v>
      </c>
      <c r="D63" s="54">
        <v>5802.5</v>
      </c>
      <c r="E63" s="63"/>
      <c r="F63" s="64">
        <v>111.83110728134425</v>
      </c>
      <c r="G63" s="65">
        <v>7088.85</v>
      </c>
      <c r="H63" s="54">
        <v>6833.7</v>
      </c>
      <c r="I63" s="54">
        <v>5844.15</v>
      </c>
      <c r="J63" s="54">
        <v>6489</v>
      </c>
      <c r="K63" s="56">
        <v>-6489</v>
      </c>
      <c r="L63" s="54">
        <v>0</v>
      </c>
      <c r="M63" s="54">
        <v>0</v>
      </c>
      <c r="N63" s="54">
        <v>0</v>
      </c>
      <c r="O63" s="54">
        <v>0</v>
      </c>
      <c r="P63" s="54">
        <v>0</v>
      </c>
      <c r="Q63" s="54">
        <v>0</v>
      </c>
      <c r="R63" s="54">
        <v>0</v>
      </c>
      <c r="S63" s="66">
        <v>26255.7</v>
      </c>
      <c r="T63" s="54">
        <v>0</v>
      </c>
      <c r="U63" s="54">
        <v>0</v>
      </c>
      <c r="V63" s="54">
        <v>0</v>
      </c>
      <c r="W63" s="54">
        <v>0</v>
      </c>
      <c r="X63" s="54">
        <v>0</v>
      </c>
      <c r="Y63" s="54">
        <v>0</v>
      </c>
      <c r="Z63" s="54">
        <v>0</v>
      </c>
      <c r="AA63" s="54">
        <v>0</v>
      </c>
      <c r="AB63" s="54">
        <v>0</v>
      </c>
      <c r="AC63" s="54">
        <v>0</v>
      </c>
      <c r="AD63" s="54">
        <v>0</v>
      </c>
      <c r="AE63" s="54">
        <v>0</v>
      </c>
      <c r="AF63" s="66">
        <v>0</v>
      </c>
      <c r="AG63" s="67">
        <v>5632.5</v>
      </c>
      <c r="AH63" s="67">
        <v>5694.59</v>
      </c>
      <c r="AI63" s="67">
        <v>5680.42</v>
      </c>
      <c r="AJ63" s="67">
        <v>5802.5</v>
      </c>
      <c r="AK63" s="67">
        <v>5816.25</v>
      </c>
      <c r="AL63" s="67">
        <v>5528.99</v>
      </c>
      <c r="AM63" s="67">
        <v>5624.17</v>
      </c>
      <c r="AN63" s="98">
        <v>-3608.21</v>
      </c>
      <c r="AO63" s="67">
        <v>5159.54</v>
      </c>
      <c r="AP63" s="67">
        <v>5456.44</v>
      </c>
      <c r="AQ63" s="67">
        <v>5362.68</v>
      </c>
      <c r="AR63" s="67">
        <v>4836.3599999999997</v>
      </c>
      <c r="AS63" s="68">
        <v>22810.01</v>
      </c>
      <c r="AT63" s="63"/>
      <c r="AU63" s="63">
        <v>115.10604335552681</v>
      </c>
    </row>
    <row r="64" spans="1:47" ht="12.75" hidden="1" customHeight="1" outlineLevel="1" x14ac:dyDescent="0.2">
      <c r="A64" s="95" t="s">
        <v>89</v>
      </c>
      <c r="B64" s="62">
        <v>0</v>
      </c>
      <c r="C64" s="54">
        <v>0</v>
      </c>
      <c r="D64" s="54">
        <v>0</v>
      </c>
      <c r="E64" s="63"/>
      <c r="F64" s="64"/>
      <c r="G64" s="65">
        <v>0</v>
      </c>
      <c r="H64" s="54">
        <v>0</v>
      </c>
      <c r="I64" s="54">
        <v>0</v>
      </c>
      <c r="J64" s="54">
        <v>0</v>
      </c>
      <c r="K64" s="54">
        <v>0</v>
      </c>
      <c r="L64" s="54">
        <v>0</v>
      </c>
      <c r="M64" s="54">
        <v>0</v>
      </c>
      <c r="N64" s="54">
        <v>0</v>
      </c>
      <c r="O64" s="54">
        <v>0</v>
      </c>
      <c r="P64" s="54">
        <v>0</v>
      </c>
      <c r="Q64" s="54">
        <v>0</v>
      </c>
      <c r="R64" s="54">
        <v>0</v>
      </c>
      <c r="S64" s="66">
        <v>0</v>
      </c>
      <c r="T64" s="54">
        <v>0</v>
      </c>
      <c r="U64" s="54">
        <v>0</v>
      </c>
      <c r="V64" s="54">
        <v>0</v>
      </c>
      <c r="W64" s="54">
        <v>0</v>
      </c>
      <c r="X64" s="54">
        <v>0</v>
      </c>
      <c r="Y64" s="54">
        <v>0</v>
      </c>
      <c r="Z64" s="54">
        <v>0</v>
      </c>
      <c r="AA64" s="54">
        <v>0</v>
      </c>
      <c r="AB64" s="54">
        <v>0</v>
      </c>
      <c r="AC64" s="54">
        <v>0</v>
      </c>
      <c r="AD64" s="54">
        <v>0</v>
      </c>
      <c r="AE64" s="54">
        <v>0</v>
      </c>
      <c r="AF64" s="66">
        <v>0</v>
      </c>
      <c r="AG64" s="67">
        <v>0</v>
      </c>
      <c r="AH64" s="67">
        <v>0</v>
      </c>
      <c r="AI64" s="67">
        <v>0</v>
      </c>
      <c r="AJ64" s="67">
        <v>0</v>
      </c>
      <c r="AK64" s="67">
        <v>0</v>
      </c>
      <c r="AL64" s="67">
        <v>0</v>
      </c>
      <c r="AM64" s="67">
        <v>0</v>
      </c>
      <c r="AN64" s="67">
        <v>0</v>
      </c>
      <c r="AO64" s="67">
        <v>0</v>
      </c>
      <c r="AP64" s="67">
        <v>0</v>
      </c>
      <c r="AQ64" s="67">
        <v>0</v>
      </c>
      <c r="AR64" s="67">
        <v>0</v>
      </c>
      <c r="AS64" s="68">
        <v>0</v>
      </c>
      <c r="AT64" s="63"/>
      <c r="AU64" s="63"/>
    </row>
    <row r="65" spans="1:47" ht="12.75" hidden="1" customHeight="1" outlineLevel="1" x14ac:dyDescent="0.2">
      <c r="A65" s="95" t="s">
        <v>207</v>
      </c>
      <c r="B65" s="62">
        <v>3677.41</v>
      </c>
      <c r="C65" s="54">
        <v>0</v>
      </c>
      <c r="D65" s="54">
        <v>3544.46</v>
      </c>
      <c r="E65" s="63"/>
      <c r="F65" s="64">
        <v>103.75092397713615</v>
      </c>
      <c r="G65" s="65">
        <v>1649.77</v>
      </c>
      <c r="H65" s="54">
        <v>1292.92</v>
      </c>
      <c r="I65" s="54">
        <v>2076.3200000000002</v>
      </c>
      <c r="J65" s="54">
        <v>3677.41</v>
      </c>
      <c r="K65" s="54">
        <v>0</v>
      </c>
      <c r="L65" s="54">
        <v>0</v>
      </c>
      <c r="M65" s="54">
        <v>0</v>
      </c>
      <c r="N65" s="54">
        <v>0</v>
      </c>
      <c r="O65" s="54">
        <v>0</v>
      </c>
      <c r="P65" s="54">
        <v>0</v>
      </c>
      <c r="Q65" s="54">
        <v>0</v>
      </c>
      <c r="R65" s="54">
        <v>0</v>
      </c>
      <c r="S65" s="66">
        <v>8696.42</v>
      </c>
      <c r="T65" s="54">
        <v>0</v>
      </c>
      <c r="U65" s="54">
        <v>0</v>
      </c>
      <c r="V65" s="54">
        <v>0</v>
      </c>
      <c r="W65" s="54">
        <v>0</v>
      </c>
      <c r="X65" s="54">
        <v>0</v>
      </c>
      <c r="Y65" s="54">
        <v>0</v>
      </c>
      <c r="Z65" s="54">
        <v>0</v>
      </c>
      <c r="AA65" s="54">
        <v>0</v>
      </c>
      <c r="AB65" s="54">
        <v>0</v>
      </c>
      <c r="AC65" s="54">
        <v>0</v>
      </c>
      <c r="AD65" s="54">
        <v>0</v>
      </c>
      <c r="AE65" s="54">
        <v>0</v>
      </c>
      <c r="AF65" s="66">
        <v>0</v>
      </c>
      <c r="AG65" s="67">
        <v>1574.82</v>
      </c>
      <c r="AH65" s="67">
        <v>1745.12</v>
      </c>
      <c r="AI65" s="67">
        <v>1407.89</v>
      </c>
      <c r="AJ65" s="67">
        <v>3544.46</v>
      </c>
      <c r="AK65" s="67">
        <v>1400.74</v>
      </c>
      <c r="AL65" s="67">
        <v>2235.1799999999998</v>
      </c>
      <c r="AM65" s="67">
        <v>1471.07</v>
      </c>
      <c r="AN65" s="67">
        <v>1413.81</v>
      </c>
      <c r="AO65" s="67">
        <v>1680.09</v>
      </c>
      <c r="AP65" s="67">
        <v>4203.01</v>
      </c>
      <c r="AQ65" s="67">
        <v>1234.51</v>
      </c>
      <c r="AR65" s="67">
        <v>1558.76</v>
      </c>
      <c r="AS65" s="68">
        <v>8272.2900000000009</v>
      </c>
      <c r="AT65" s="63"/>
      <c r="AU65" s="63">
        <v>105.12711715861025</v>
      </c>
    </row>
    <row r="66" spans="1:47" ht="12.75" hidden="1" customHeight="1" outlineLevel="1" x14ac:dyDescent="0.2">
      <c r="A66" s="95" t="s">
        <v>208</v>
      </c>
      <c r="B66" s="62">
        <v>41818</v>
      </c>
      <c r="C66" s="54">
        <v>0</v>
      </c>
      <c r="D66" s="54">
        <v>37136</v>
      </c>
      <c r="E66" s="63"/>
      <c r="F66" s="64">
        <v>112.60771219302025</v>
      </c>
      <c r="G66" s="65">
        <v>45683.7</v>
      </c>
      <c r="H66" s="54">
        <v>44039.4</v>
      </c>
      <c r="I66" s="54">
        <v>37662.300000000003</v>
      </c>
      <c r="J66" s="54">
        <v>41818</v>
      </c>
      <c r="K66" s="56">
        <v>-41818</v>
      </c>
      <c r="L66" s="54">
        <v>0</v>
      </c>
      <c r="M66" s="54">
        <v>0</v>
      </c>
      <c r="N66" s="54">
        <v>0</v>
      </c>
      <c r="O66" s="54">
        <v>0</v>
      </c>
      <c r="P66" s="54">
        <v>0</v>
      </c>
      <c r="Q66" s="54">
        <v>0</v>
      </c>
      <c r="R66" s="54">
        <v>0</v>
      </c>
      <c r="S66" s="66">
        <v>169203.4</v>
      </c>
      <c r="T66" s="54">
        <v>0</v>
      </c>
      <c r="U66" s="54">
        <v>0</v>
      </c>
      <c r="V66" s="54">
        <v>0</v>
      </c>
      <c r="W66" s="54">
        <v>0</v>
      </c>
      <c r="X66" s="54">
        <v>0</v>
      </c>
      <c r="Y66" s="54">
        <v>0</v>
      </c>
      <c r="Z66" s="54">
        <v>0</v>
      </c>
      <c r="AA66" s="54">
        <v>0</v>
      </c>
      <c r="AB66" s="54">
        <v>0</v>
      </c>
      <c r="AC66" s="54">
        <v>0</v>
      </c>
      <c r="AD66" s="54">
        <v>0</v>
      </c>
      <c r="AE66" s="54">
        <v>0</v>
      </c>
      <c r="AF66" s="66">
        <v>0</v>
      </c>
      <c r="AG66" s="67">
        <v>36048</v>
      </c>
      <c r="AH66" s="67">
        <v>36445.339999999997</v>
      </c>
      <c r="AI66" s="67">
        <v>36354.67</v>
      </c>
      <c r="AJ66" s="67">
        <v>37136</v>
      </c>
      <c r="AK66" s="67">
        <v>37224</v>
      </c>
      <c r="AL66" s="67">
        <v>35384.11</v>
      </c>
      <c r="AM66" s="67">
        <v>35994.67</v>
      </c>
      <c r="AN66" s="67">
        <v>31830.06</v>
      </c>
      <c r="AO66" s="67">
        <v>38018.71</v>
      </c>
      <c r="AP66" s="67">
        <v>40347.629999999997</v>
      </c>
      <c r="AQ66" s="67">
        <v>39654.32</v>
      </c>
      <c r="AR66" s="67">
        <v>35762.35</v>
      </c>
      <c r="AS66" s="68">
        <v>145984.01</v>
      </c>
      <c r="AT66" s="63"/>
      <c r="AU66" s="63">
        <v>115.90543375264181</v>
      </c>
    </row>
    <row r="67" spans="1:47" ht="12.75" hidden="1" customHeight="1" outlineLevel="1" x14ac:dyDescent="0.2">
      <c r="A67" s="95" t="s">
        <v>209</v>
      </c>
      <c r="B67" s="62">
        <v>0</v>
      </c>
      <c r="C67" s="54">
        <v>0</v>
      </c>
      <c r="D67" s="54">
        <v>0</v>
      </c>
      <c r="E67" s="63"/>
      <c r="F67" s="64"/>
      <c r="G67" s="65">
        <v>0</v>
      </c>
      <c r="H67" s="54">
        <v>0</v>
      </c>
      <c r="I67" s="54">
        <v>0</v>
      </c>
      <c r="J67" s="54">
        <v>0</v>
      </c>
      <c r="K67" s="54">
        <v>0</v>
      </c>
      <c r="L67" s="54">
        <v>0</v>
      </c>
      <c r="M67" s="54">
        <v>0</v>
      </c>
      <c r="N67" s="54">
        <v>0</v>
      </c>
      <c r="O67" s="54">
        <v>0</v>
      </c>
      <c r="P67" s="54">
        <v>0</v>
      </c>
      <c r="Q67" s="54">
        <v>0</v>
      </c>
      <c r="R67" s="54">
        <v>0</v>
      </c>
      <c r="S67" s="66">
        <v>0</v>
      </c>
      <c r="T67" s="54">
        <v>0</v>
      </c>
      <c r="U67" s="54">
        <v>0</v>
      </c>
      <c r="V67" s="54">
        <v>0</v>
      </c>
      <c r="W67" s="54">
        <v>0</v>
      </c>
      <c r="X67" s="54">
        <v>0</v>
      </c>
      <c r="Y67" s="54">
        <v>0</v>
      </c>
      <c r="Z67" s="54">
        <v>0</v>
      </c>
      <c r="AA67" s="54">
        <v>0</v>
      </c>
      <c r="AB67" s="54">
        <v>0</v>
      </c>
      <c r="AC67" s="54">
        <v>0</v>
      </c>
      <c r="AD67" s="54">
        <v>0</v>
      </c>
      <c r="AE67" s="54">
        <v>0</v>
      </c>
      <c r="AF67" s="66">
        <v>0</v>
      </c>
      <c r="AG67" s="67">
        <v>0</v>
      </c>
      <c r="AH67" s="67">
        <v>0</v>
      </c>
      <c r="AI67" s="67">
        <v>0</v>
      </c>
      <c r="AJ67" s="67">
        <v>0</v>
      </c>
      <c r="AK67" s="67">
        <v>0</v>
      </c>
      <c r="AL67" s="67">
        <v>0</v>
      </c>
      <c r="AM67" s="67">
        <v>0</v>
      </c>
      <c r="AN67" s="67">
        <v>0</v>
      </c>
      <c r="AO67" s="67">
        <v>0</v>
      </c>
      <c r="AP67" s="67">
        <v>0</v>
      </c>
      <c r="AQ67" s="67">
        <v>0</v>
      </c>
      <c r="AR67" s="98">
        <v>-68220.14</v>
      </c>
      <c r="AS67" s="68">
        <v>0</v>
      </c>
      <c r="AT67" s="63"/>
      <c r="AU67" s="63"/>
    </row>
    <row r="68" spans="1:47" ht="12.75" customHeight="1" collapsed="1" x14ac:dyDescent="0.2">
      <c r="A68" s="95" t="s">
        <v>210</v>
      </c>
      <c r="B68" s="96">
        <v>-105.06</v>
      </c>
      <c r="C68" s="54">
        <v>0</v>
      </c>
      <c r="D68" s="56">
        <v>-162</v>
      </c>
      <c r="E68" s="63"/>
      <c r="F68" s="64">
        <v>64.851851851851848</v>
      </c>
      <c r="G68" s="97">
        <v>-46.09</v>
      </c>
      <c r="H68" s="56">
        <v>-101.67</v>
      </c>
      <c r="I68" s="56">
        <v>-105.06</v>
      </c>
      <c r="J68" s="56">
        <v>-105.06</v>
      </c>
      <c r="K68" s="54">
        <v>0</v>
      </c>
      <c r="L68" s="54">
        <v>0</v>
      </c>
      <c r="M68" s="54">
        <v>0</v>
      </c>
      <c r="N68" s="54">
        <v>0</v>
      </c>
      <c r="O68" s="54">
        <v>0</v>
      </c>
      <c r="P68" s="54">
        <v>0</v>
      </c>
      <c r="Q68" s="54">
        <v>0</v>
      </c>
      <c r="R68" s="54">
        <v>0</v>
      </c>
      <c r="S68" s="76">
        <v>-357.88</v>
      </c>
      <c r="T68" s="54">
        <v>0</v>
      </c>
      <c r="U68" s="54">
        <v>0</v>
      </c>
      <c r="V68" s="54">
        <v>0</v>
      </c>
      <c r="W68" s="54">
        <v>0</v>
      </c>
      <c r="X68" s="54">
        <v>0</v>
      </c>
      <c r="Y68" s="54">
        <v>0</v>
      </c>
      <c r="Z68" s="54">
        <v>0</v>
      </c>
      <c r="AA68" s="54">
        <v>0</v>
      </c>
      <c r="AB68" s="54">
        <v>0</v>
      </c>
      <c r="AC68" s="54">
        <v>0</v>
      </c>
      <c r="AD68" s="54">
        <v>0</v>
      </c>
      <c r="AE68" s="54">
        <v>0</v>
      </c>
      <c r="AF68" s="66">
        <v>0</v>
      </c>
      <c r="AG68" s="98">
        <v>-55.24</v>
      </c>
      <c r="AH68" s="98">
        <v>-53.46</v>
      </c>
      <c r="AI68" s="98">
        <v>-55.25</v>
      </c>
      <c r="AJ68" s="98">
        <v>-162</v>
      </c>
      <c r="AK68" s="67">
        <v>214.73</v>
      </c>
      <c r="AL68" s="98">
        <v>-57.89</v>
      </c>
      <c r="AM68" s="98">
        <v>-20.57</v>
      </c>
      <c r="AN68" s="98">
        <v>-89.54</v>
      </c>
      <c r="AO68" s="67">
        <v>40.79</v>
      </c>
      <c r="AP68" s="98">
        <v>-24.76</v>
      </c>
      <c r="AQ68" s="98">
        <v>-24.77</v>
      </c>
      <c r="AR68" s="98">
        <v>-124.39</v>
      </c>
      <c r="AS68" s="99">
        <v>-325.95</v>
      </c>
      <c r="AT68" s="63"/>
      <c r="AU68" s="63">
        <v>109.7959809786777</v>
      </c>
    </row>
    <row r="69" spans="1:47" ht="12.75" customHeight="1" x14ac:dyDescent="0.2">
      <c r="A69" s="95" t="s">
        <v>118</v>
      </c>
      <c r="B69" s="96">
        <v>-2262.7600000000002</v>
      </c>
      <c r="C69" s="54">
        <v>0</v>
      </c>
      <c r="D69" s="54">
        <v>3177.87</v>
      </c>
      <c r="E69" s="63"/>
      <c r="F69" s="64">
        <v>-71.203667865582915</v>
      </c>
      <c r="G69" s="65">
        <v>1428.58</v>
      </c>
      <c r="H69" s="54">
        <v>145.91999999999999</v>
      </c>
      <c r="I69" s="56">
        <v>-1649.04</v>
      </c>
      <c r="J69" s="56">
        <v>-2262.7600000000002</v>
      </c>
      <c r="K69" s="54">
        <v>0</v>
      </c>
      <c r="L69" s="54">
        <v>0</v>
      </c>
      <c r="M69" s="54">
        <v>0</v>
      </c>
      <c r="N69" s="54">
        <v>0</v>
      </c>
      <c r="O69" s="54">
        <v>0</v>
      </c>
      <c r="P69" s="54">
        <v>0</v>
      </c>
      <c r="Q69" s="54">
        <v>0</v>
      </c>
      <c r="R69" s="54">
        <v>0</v>
      </c>
      <c r="S69" s="76">
        <v>-2337.3000000000002</v>
      </c>
      <c r="T69" s="54">
        <v>0</v>
      </c>
      <c r="U69" s="54">
        <v>0</v>
      </c>
      <c r="V69" s="54">
        <v>0</v>
      </c>
      <c r="W69" s="54">
        <v>0</v>
      </c>
      <c r="X69" s="54">
        <v>0</v>
      </c>
      <c r="Y69" s="54">
        <v>0</v>
      </c>
      <c r="Z69" s="54">
        <v>0</v>
      </c>
      <c r="AA69" s="54">
        <v>0</v>
      </c>
      <c r="AB69" s="54">
        <v>0</v>
      </c>
      <c r="AC69" s="54">
        <v>0</v>
      </c>
      <c r="AD69" s="54">
        <v>0</v>
      </c>
      <c r="AE69" s="54">
        <v>0</v>
      </c>
      <c r="AF69" s="66">
        <v>0</v>
      </c>
      <c r="AG69" s="67">
        <v>11.88</v>
      </c>
      <c r="AH69" s="98">
        <v>-83.49</v>
      </c>
      <c r="AI69" s="67">
        <v>1223.3599999999999</v>
      </c>
      <c r="AJ69" s="67">
        <v>3177.87</v>
      </c>
      <c r="AK69" s="67">
        <v>643.48</v>
      </c>
      <c r="AL69" s="98">
        <v>-2177.9899999999998</v>
      </c>
      <c r="AM69" s="67">
        <v>678.49</v>
      </c>
      <c r="AN69" s="67">
        <v>1219.48</v>
      </c>
      <c r="AO69" s="67">
        <v>4544.84</v>
      </c>
      <c r="AP69" s="67">
        <v>980.97</v>
      </c>
      <c r="AQ69" s="67">
        <v>1116.25</v>
      </c>
      <c r="AR69" s="67">
        <v>2769.46</v>
      </c>
      <c r="AS69" s="68">
        <v>4329.62</v>
      </c>
      <c r="AT69" s="63"/>
      <c r="AU69" s="63">
        <v>-53.983952402289347</v>
      </c>
    </row>
    <row r="70" spans="1:47" ht="12.75" customHeight="1" x14ac:dyDescent="0.2">
      <c r="A70" s="95" t="s">
        <v>412</v>
      </c>
      <c r="B70" s="62">
        <v>7678.63</v>
      </c>
      <c r="C70" s="54">
        <v>0</v>
      </c>
      <c r="D70" s="54">
        <v>3616.67</v>
      </c>
      <c r="E70" s="63"/>
      <c r="F70" s="64">
        <v>212.31215455100963</v>
      </c>
      <c r="G70" s="65">
        <v>8470.15</v>
      </c>
      <c r="H70" s="54">
        <v>8646.43</v>
      </c>
      <c r="I70" s="54">
        <v>9289.84</v>
      </c>
      <c r="J70" s="54">
        <v>7678.63</v>
      </c>
      <c r="K70" s="56">
        <v>-7678.63</v>
      </c>
      <c r="L70" s="54">
        <v>0</v>
      </c>
      <c r="M70" s="54">
        <v>0</v>
      </c>
      <c r="N70" s="54">
        <v>0</v>
      </c>
      <c r="O70" s="54">
        <v>0</v>
      </c>
      <c r="P70" s="54">
        <v>0</v>
      </c>
      <c r="Q70" s="54">
        <v>0</v>
      </c>
      <c r="R70" s="54">
        <v>0</v>
      </c>
      <c r="S70" s="66">
        <v>34085.050000000003</v>
      </c>
      <c r="T70" s="54">
        <v>0</v>
      </c>
      <c r="U70" s="54">
        <v>0</v>
      </c>
      <c r="V70" s="54">
        <v>0</v>
      </c>
      <c r="W70" s="54">
        <v>0</v>
      </c>
      <c r="X70" s="54">
        <v>0</v>
      </c>
      <c r="Y70" s="54">
        <v>0</v>
      </c>
      <c r="Z70" s="54">
        <v>0</v>
      </c>
      <c r="AA70" s="54">
        <v>0</v>
      </c>
      <c r="AB70" s="54">
        <v>0</v>
      </c>
      <c r="AC70" s="54">
        <v>0</v>
      </c>
      <c r="AD70" s="54">
        <v>0</v>
      </c>
      <c r="AE70" s="54">
        <v>0</v>
      </c>
      <c r="AF70" s="66">
        <v>0</v>
      </c>
      <c r="AG70" s="67">
        <v>3616.67</v>
      </c>
      <c r="AH70" s="67">
        <v>3500</v>
      </c>
      <c r="AI70" s="67">
        <v>3616.67</v>
      </c>
      <c r="AJ70" s="67">
        <v>3616.67</v>
      </c>
      <c r="AK70" s="67">
        <v>3266.67</v>
      </c>
      <c r="AL70" s="67">
        <v>3616.67</v>
      </c>
      <c r="AM70" s="67">
        <v>4000</v>
      </c>
      <c r="AN70" s="67">
        <v>4477.78</v>
      </c>
      <c r="AO70" s="67">
        <v>4333.33</v>
      </c>
      <c r="AP70" s="67">
        <v>4477.78</v>
      </c>
      <c r="AQ70" s="67">
        <v>5061.1099999999997</v>
      </c>
      <c r="AR70" s="67">
        <v>5166.67</v>
      </c>
      <c r="AS70" s="68">
        <v>14350.01</v>
      </c>
      <c r="AT70" s="63"/>
      <c r="AU70" s="63">
        <v>237.52631531267227</v>
      </c>
    </row>
    <row r="71" spans="1:47" ht="12.75" customHeight="1" x14ac:dyDescent="0.2">
      <c r="A71" s="95" t="s">
        <v>249</v>
      </c>
      <c r="B71" s="62">
        <v>2094</v>
      </c>
      <c r="C71" s="54">
        <v>0</v>
      </c>
      <c r="D71" s="54">
        <v>2459.5</v>
      </c>
      <c r="E71" s="63"/>
      <c r="F71" s="64">
        <v>85.13925594633055</v>
      </c>
      <c r="G71" s="65">
        <v>2248.5100000000002</v>
      </c>
      <c r="H71" s="54">
        <v>2193</v>
      </c>
      <c r="I71" s="54">
        <v>2164</v>
      </c>
      <c r="J71" s="54">
        <v>2094</v>
      </c>
      <c r="K71" s="54">
        <v>0</v>
      </c>
      <c r="L71" s="54">
        <v>0</v>
      </c>
      <c r="M71" s="54">
        <v>0</v>
      </c>
      <c r="N71" s="54">
        <v>0</v>
      </c>
      <c r="O71" s="54">
        <v>0</v>
      </c>
      <c r="P71" s="54">
        <v>0</v>
      </c>
      <c r="Q71" s="54">
        <v>0</v>
      </c>
      <c r="R71" s="54">
        <v>0</v>
      </c>
      <c r="S71" s="66">
        <v>8699.51</v>
      </c>
      <c r="T71" s="54">
        <v>0</v>
      </c>
      <c r="U71" s="54">
        <v>0</v>
      </c>
      <c r="V71" s="54">
        <v>0</v>
      </c>
      <c r="W71" s="54">
        <v>0</v>
      </c>
      <c r="X71" s="54">
        <v>0</v>
      </c>
      <c r="Y71" s="54">
        <v>0</v>
      </c>
      <c r="Z71" s="54">
        <v>0</v>
      </c>
      <c r="AA71" s="54">
        <v>0</v>
      </c>
      <c r="AB71" s="54">
        <v>0</v>
      </c>
      <c r="AC71" s="54">
        <v>0</v>
      </c>
      <c r="AD71" s="54">
        <v>0</v>
      </c>
      <c r="AE71" s="54">
        <v>0</v>
      </c>
      <c r="AF71" s="66">
        <v>0</v>
      </c>
      <c r="AG71" s="67">
        <v>2701</v>
      </c>
      <c r="AH71" s="67">
        <v>2649.89</v>
      </c>
      <c r="AI71" s="67">
        <v>2598.04</v>
      </c>
      <c r="AJ71" s="67">
        <v>2459.5</v>
      </c>
      <c r="AK71" s="67">
        <v>2507.13</v>
      </c>
      <c r="AL71" s="67">
        <v>2433</v>
      </c>
      <c r="AM71" s="67">
        <v>2381.7399999999998</v>
      </c>
      <c r="AN71" s="67">
        <v>2373.62</v>
      </c>
      <c r="AO71" s="67">
        <v>2295.4499999999998</v>
      </c>
      <c r="AP71" s="67">
        <v>2285.4499999999998</v>
      </c>
      <c r="AQ71" s="67">
        <v>2213.81</v>
      </c>
      <c r="AR71" s="67">
        <v>2439.9899999999998</v>
      </c>
      <c r="AS71" s="68">
        <v>10408.43</v>
      </c>
      <c r="AT71" s="63"/>
      <c r="AU71" s="63">
        <v>83.581385473121301</v>
      </c>
    </row>
    <row r="72" spans="1:47" ht="12.75" customHeight="1" x14ac:dyDescent="0.2">
      <c r="A72" s="69" t="s">
        <v>89</v>
      </c>
      <c r="B72" s="70">
        <v>84382.87</v>
      </c>
      <c r="C72" s="71">
        <v>0</v>
      </c>
      <c r="D72" s="71">
        <v>71763.5</v>
      </c>
      <c r="E72" s="72"/>
      <c r="F72" s="73">
        <v>117.58466351278854</v>
      </c>
      <c r="G72" s="70">
        <v>89616.01</v>
      </c>
      <c r="H72" s="71">
        <v>80035.759999999995</v>
      </c>
      <c r="I72" s="71">
        <v>77827.5</v>
      </c>
      <c r="J72" s="71">
        <v>84382.87</v>
      </c>
      <c r="K72" s="74">
        <v>-65105.63</v>
      </c>
      <c r="L72" s="71">
        <v>0</v>
      </c>
      <c r="M72" s="71">
        <v>0</v>
      </c>
      <c r="N72" s="71">
        <v>0</v>
      </c>
      <c r="O72" s="71">
        <v>0</v>
      </c>
      <c r="P72" s="71">
        <v>0</v>
      </c>
      <c r="Q72" s="71">
        <v>0</v>
      </c>
      <c r="R72" s="71">
        <v>0</v>
      </c>
      <c r="S72" s="71">
        <v>331862.14</v>
      </c>
      <c r="T72" s="71">
        <v>0</v>
      </c>
      <c r="U72" s="71">
        <v>0</v>
      </c>
      <c r="V72" s="71">
        <v>0</v>
      </c>
      <c r="W72" s="71">
        <v>0</v>
      </c>
      <c r="X72" s="71">
        <v>0</v>
      </c>
      <c r="Y72" s="71">
        <v>0</v>
      </c>
      <c r="Z72" s="71">
        <v>0</v>
      </c>
      <c r="AA72" s="71">
        <v>0</v>
      </c>
      <c r="AB72" s="71">
        <v>0</v>
      </c>
      <c r="AC72" s="71">
        <v>0</v>
      </c>
      <c r="AD72" s="71">
        <v>0</v>
      </c>
      <c r="AE72" s="71">
        <v>0</v>
      </c>
      <c r="AF72" s="71">
        <v>0</v>
      </c>
      <c r="AG72" s="75">
        <v>60337.72</v>
      </c>
      <c r="AH72" s="75">
        <v>69503.92</v>
      </c>
      <c r="AI72" s="75">
        <v>68061.289999999994</v>
      </c>
      <c r="AJ72" s="75">
        <v>71763.5</v>
      </c>
      <c r="AK72" s="75">
        <v>97558.56</v>
      </c>
      <c r="AL72" s="75">
        <v>76026.570000000007</v>
      </c>
      <c r="AM72" s="75">
        <v>41914.370000000003</v>
      </c>
      <c r="AN72" s="75">
        <v>66370.789999999994</v>
      </c>
      <c r="AO72" s="75">
        <v>81856.36</v>
      </c>
      <c r="AP72" s="75">
        <v>73655.61</v>
      </c>
      <c r="AQ72" s="75">
        <v>71170.55</v>
      </c>
      <c r="AR72" s="75">
        <v>22463.9</v>
      </c>
      <c r="AS72" s="75">
        <v>269666.43</v>
      </c>
      <c r="AT72" s="72"/>
      <c r="AU72" s="72">
        <v>123.06394236761321</v>
      </c>
    </row>
    <row r="73" spans="1:47" ht="12.75" customHeight="1" x14ac:dyDescent="0.2">
      <c r="A73" s="77" t="s">
        <v>201</v>
      </c>
      <c r="B73" s="78">
        <v>211589.06</v>
      </c>
      <c r="C73" s="79">
        <v>0</v>
      </c>
      <c r="D73" s="79">
        <v>177319.67999999999</v>
      </c>
      <c r="E73" s="80"/>
      <c r="F73" s="81">
        <v>119.32632632768117</v>
      </c>
      <c r="G73" s="78">
        <v>219288.5</v>
      </c>
      <c r="H73" s="79">
        <v>203525.04</v>
      </c>
      <c r="I73" s="79">
        <v>171098.25</v>
      </c>
      <c r="J73" s="79">
        <v>211589.06</v>
      </c>
      <c r="K73" s="82">
        <v>-94926.52</v>
      </c>
      <c r="L73" s="79">
        <v>0</v>
      </c>
      <c r="M73" s="79">
        <v>0</v>
      </c>
      <c r="N73" s="79">
        <v>0</v>
      </c>
      <c r="O73" s="79">
        <v>0</v>
      </c>
      <c r="P73" s="79">
        <v>0</v>
      </c>
      <c r="Q73" s="79">
        <v>0</v>
      </c>
      <c r="R73" s="79">
        <v>0</v>
      </c>
      <c r="S73" s="79">
        <v>805500.85</v>
      </c>
      <c r="T73" s="79">
        <v>0</v>
      </c>
      <c r="U73" s="79">
        <v>0</v>
      </c>
      <c r="V73" s="79">
        <v>0</v>
      </c>
      <c r="W73" s="79">
        <v>0</v>
      </c>
      <c r="X73" s="79">
        <v>0</v>
      </c>
      <c r="Y73" s="79">
        <v>0</v>
      </c>
      <c r="Z73" s="79">
        <v>0</v>
      </c>
      <c r="AA73" s="79">
        <v>0</v>
      </c>
      <c r="AB73" s="79">
        <v>0</v>
      </c>
      <c r="AC73" s="79">
        <v>0</v>
      </c>
      <c r="AD73" s="79">
        <v>0</v>
      </c>
      <c r="AE73" s="79">
        <v>0</v>
      </c>
      <c r="AF73" s="79">
        <v>0</v>
      </c>
      <c r="AG73" s="83">
        <v>170093.83</v>
      </c>
      <c r="AH73" s="83">
        <v>180420.89</v>
      </c>
      <c r="AI73" s="83">
        <v>191132.84</v>
      </c>
      <c r="AJ73" s="83">
        <v>177319.67999999999</v>
      </c>
      <c r="AK73" s="83">
        <v>206012.96</v>
      </c>
      <c r="AL73" s="83">
        <v>213935.43</v>
      </c>
      <c r="AM73" s="83">
        <v>185693.7</v>
      </c>
      <c r="AN73" s="83">
        <v>198322.01</v>
      </c>
      <c r="AO73" s="83">
        <v>199777.39</v>
      </c>
      <c r="AP73" s="83">
        <v>190964.32</v>
      </c>
      <c r="AQ73" s="83">
        <v>128403.76</v>
      </c>
      <c r="AR73" s="83">
        <v>162273.79999999999</v>
      </c>
      <c r="AS73" s="83">
        <v>718967.24</v>
      </c>
      <c r="AT73" s="80"/>
      <c r="AU73" s="80">
        <v>112.03582099234453</v>
      </c>
    </row>
  </sheetData>
  <pageMargins left="0.75" right="0.75" top="1" bottom="1" header="0.5" footer="0.5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6600FF"/>
  </sheetPr>
  <dimension ref="A1:BP69"/>
  <sheetViews>
    <sheetView workbookViewId="0">
      <pane xSplit="1" ySplit="7" topLeftCell="B8" activePane="bottomRight" state="frozen"/>
      <selection activeCell="A73" sqref="A73"/>
      <selection pane="topRight" activeCell="A73" sqref="A73"/>
      <selection pane="bottomLeft" activeCell="A73" sqref="A73"/>
      <selection pane="bottomRight" sqref="A1:AU69"/>
    </sheetView>
  </sheetViews>
  <sheetFormatPr defaultRowHeight="12.75" outlineLevelRow="1" outlineLevelCol="1" x14ac:dyDescent="0.2"/>
  <cols>
    <col min="1" max="1" width="66.42578125" customWidth="1"/>
    <col min="2" max="2" width="9.5703125" bestFit="1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9.42578125" collapsed="1"/>
    <col min="46" max="47" width="10.5703125" customWidth="1"/>
  </cols>
  <sheetData>
    <row r="1" spans="1:65" ht="31.5" customHeight="1" x14ac:dyDescent="0.2">
      <c r="A1" s="366" t="s">
        <v>134</v>
      </c>
      <c r="B1" s="366" t="s">
        <v>591</v>
      </c>
      <c r="C1" s="366" t="s">
        <v>677</v>
      </c>
      <c r="D1" s="366" t="s">
        <v>27</v>
      </c>
      <c r="E1" s="366" t="s">
        <v>135</v>
      </c>
      <c r="F1" s="366" t="s">
        <v>136</v>
      </c>
      <c r="G1" s="366" t="s">
        <v>588</v>
      </c>
      <c r="H1" s="366" t="s">
        <v>589</v>
      </c>
      <c r="I1" s="366" t="s">
        <v>590</v>
      </c>
      <c r="J1" s="366" t="s">
        <v>591</v>
      </c>
      <c r="K1" s="366" t="s">
        <v>592</v>
      </c>
      <c r="L1" s="366" t="s">
        <v>593</v>
      </c>
      <c r="M1" s="366" t="s">
        <v>594</v>
      </c>
      <c r="N1" s="366" t="s">
        <v>595</v>
      </c>
      <c r="O1" s="366" t="s">
        <v>596</v>
      </c>
      <c r="P1" s="366" t="s">
        <v>597</v>
      </c>
      <c r="Q1" s="366" t="s">
        <v>598</v>
      </c>
      <c r="R1" s="366" t="s">
        <v>587</v>
      </c>
      <c r="S1" s="366" t="s">
        <v>712</v>
      </c>
      <c r="T1" s="366" t="s">
        <v>675</v>
      </c>
      <c r="U1" s="366" t="s">
        <v>674</v>
      </c>
      <c r="V1" s="366" t="s">
        <v>676</v>
      </c>
      <c r="W1" s="366" t="s">
        <v>677</v>
      </c>
      <c r="X1" s="366" t="s">
        <v>678</v>
      </c>
      <c r="Y1" s="366" t="s">
        <v>679</v>
      </c>
      <c r="Z1" s="366" t="s">
        <v>680</v>
      </c>
      <c r="AA1" s="366" t="s">
        <v>681</v>
      </c>
      <c r="AB1" s="366" t="s">
        <v>682</v>
      </c>
      <c r="AC1" s="366" t="s">
        <v>683</v>
      </c>
      <c r="AD1" s="366" t="s">
        <v>684</v>
      </c>
      <c r="AE1" s="366" t="s">
        <v>685</v>
      </c>
      <c r="AF1" s="366" t="s">
        <v>713</v>
      </c>
      <c r="AG1" s="366" t="s">
        <v>686</v>
      </c>
      <c r="AH1" s="366" t="s">
        <v>687</v>
      </c>
      <c r="AI1" s="366" t="s">
        <v>688</v>
      </c>
      <c r="AJ1" s="366" t="s">
        <v>689</v>
      </c>
      <c r="AK1" s="366" t="s">
        <v>690</v>
      </c>
      <c r="AL1" s="366" t="s">
        <v>691</v>
      </c>
      <c r="AM1" s="366" t="s">
        <v>692</v>
      </c>
      <c r="AN1" s="366" t="s">
        <v>693</v>
      </c>
      <c r="AO1" s="366" t="s">
        <v>694</v>
      </c>
      <c r="AP1" s="366" t="s">
        <v>695</v>
      </c>
      <c r="AQ1" s="366" t="s">
        <v>696</v>
      </c>
      <c r="AR1" s="366" t="s">
        <v>697</v>
      </c>
      <c r="AS1" s="366" t="s">
        <v>137</v>
      </c>
      <c r="AT1" s="366" t="s">
        <v>138</v>
      </c>
      <c r="AU1" s="366" t="s">
        <v>139</v>
      </c>
    </row>
    <row r="2" spans="1:65" hidden="1" outlineLevel="1" x14ac:dyDescent="0.2">
      <c r="A2" s="95" t="s">
        <v>160</v>
      </c>
      <c r="B2" s="62">
        <v>18570.189999999999</v>
      </c>
      <c r="C2" s="54">
        <v>0</v>
      </c>
      <c r="D2" s="54">
        <v>87620.02</v>
      </c>
      <c r="E2" s="63"/>
      <c r="F2" s="64">
        <v>21.194003379592928</v>
      </c>
      <c r="G2" s="65">
        <v>17065.400000000001</v>
      </c>
      <c r="H2" s="54">
        <v>18735.5</v>
      </c>
      <c r="I2" s="54">
        <v>12800.39</v>
      </c>
      <c r="J2" s="54">
        <v>18570.189999999999</v>
      </c>
      <c r="K2" s="54">
        <v>17716.400000000001</v>
      </c>
      <c r="L2" s="54">
        <v>18414.04</v>
      </c>
      <c r="M2" s="54">
        <v>18928.86</v>
      </c>
      <c r="N2" s="54">
        <v>19488.05</v>
      </c>
      <c r="O2" s="54">
        <v>19488.03</v>
      </c>
      <c r="P2" s="54">
        <v>14029.32</v>
      </c>
      <c r="Q2" s="54">
        <v>20863.810000000001</v>
      </c>
      <c r="R2" s="54">
        <v>18426.47</v>
      </c>
      <c r="S2" s="66">
        <v>67171.48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17731.38</v>
      </c>
      <c r="AH2" s="67">
        <v>19171.490000000002</v>
      </c>
      <c r="AI2" s="67">
        <v>19801.54</v>
      </c>
      <c r="AJ2" s="67">
        <v>87620.02</v>
      </c>
      <c r="AK2" s="98">
        <v>-6071.15</v>
      </c>
      <c r="AL2" s="67">
        <v>0</v>
      </c>
      <c r="AM2" s="67">
        <v>0</v>
      </c>
      <c r="AN2" s="67">
        <v>20875.39</v>
      </c>
      <c r="AO2" s="67">
        <v>19135.78</v>
      </c>
      <c r="AP2" s="67">
        <v>17694.73</v>
      </c>
      <c r="AQ2" s="67">
        <v>19776.240000000002</v>
      </c>
      <c r="AR2" s="67">
        <v>21535.77</v>
      </c>
      <c r="AS2" s="68">
        <v>144324.43</v>
      </c>
      <c r="AT2" s="63"/>
      <c r="AU2" s="63">
        <v>46.542002625612312</v>
      </c>
      <c r="BA2" s="22"/>
      <c r="BC2" s="22"/>
      <c r="BE2" s="22"/>
      <c r="BG2" s="22"/>
      <c r="BI2" s="22"/>
      <c r="BK2" s="22"/>
      <c r="BM2" s="23"/>
    </row>
    <row r="3" spans="1:65" ht="12.75" hidden="1" customHeight="1" outlineLevel="1" x14ac:dyDescent="0.2">
      <c r="A3" s="95" t="s">
        <v>161</v>
      </c>
      <c r="B3" s="62">
        <v>2151.75</v>
      </c>
      <c r="C3" s="54">
        <v>0</v>
      </c>
      <c r="D3" s="54">
        <v>6132.96</v>
      </c>
      <c r="E3" s="63"/>
      <c r="F3" s="64">
        <v>35.085016044454882</v>
      </c>
      <c r="G3" s="65">
        <v>1814.8</v>
      </c>
      <c r="H3" s="54">
        <v>1896.17</v>
      </c>
      <c r="I3" s="54">
        <v>2539.41</v>
      </c>
      <c r="J3" s="54">
        <v>2151.75</v>
      </c>
      <c r="K3" s="54">
        <v>2099.9299999999998</v>
      </c>
      <c r="L3" s="54">
        <v>2164.39</v>
      </c>
      <c r="M3" s="54">
        <v>2157.4</v>
      </c>
      <c r="N3" s="54">
        <v>2217.79</v>
      </c>
      <c r="O3" s="54">
        <v>729.03</v>
      </c>
      <c r="P3" s="54">
        <v>2042.87</v>
      </c>
      <c r="Q3" s="54">
        <v>2111.21</v>
      </c>
      <c r="R3" s="56">
        <v>-4141.3900000000003</v>
      </c>
      <c r="S3" s="66">
        <v>8402.1299999999992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2145.6</v>
      </c>
      <c r="AH3" s="67">
        <v>2085.35</v>
      </c>
      <c r="AI3" s="67">
        <v>2353.8200000000002</v>
      </c>
      <c r="AJ3" s="67">
        <v>6132.96</v>
      </c>
      <c r="AK3" s="67">
        <v>1138.8699999999999</v>
      </c>
      <c r="AL3" s="67">
        <v>1138.8699999999999</v>
      </c>
      <c r="AM3" s="67">
        <v>1138.8699999999999</v>
      </c>
      <c r="AN3" s="98">
        <v>-3320.93</v>
      </c>
      <c r="AO3" s="67">
        <v>947.5</v>
      </c>
      <c r="AP3" s="67">
        <v>3069.21</v>
      </c>
      <c r="AQ3" s="67">
        <v>1901.66</v>
      </c>
      <c r="AR3" s="67">
        <v>2473.12</v>
      </c>
      <c r="AS3" s="68">
        <v>12717.73</v>
      </c>
      <c r="AT3" s="63"/>
      <c r="AU3" s="63">
        <v>66.066271260673091</v>
      </c>
      <c r="AW3" s="22"/>
      <c r="AY3" s="22"/>
      <c r="BA3" s="22"/>
      <c r="BE3" s="22"/>
      <c r="BG3" s="22"/>
      <c r="BI3" s="22"/>
      <c r="BK3" s="22"/>
      <c r="BM3" s="23"/>
    </row>
    <row r="4" spans="1:65" ht="12.75" hidden="1" customHeight="1" outlineLevel="1" x14ac:dyDescent="0.2">
      <c r="A4" s="95" t="s">
        <v>162</v>
      </c>
      <c r="B4" s="62">
        <v>171.96</v>
      </c>
      <c r="C4" s="54">
        <v>0</v>
      </c>
      <c r="D4" s="54">
        <v>3585.31</v>
      </c>
      <c r="E4" s="63"/>
      <c r="F4" s="64">
        <v>4.7962379822107435</v>
      </c>
      <c r="G4" s="65">
        <v>2552.16</v>
      </c>
      <c r="H4" s="54">
        <v>2550.7600000000002</v>
      </c>
      <c r="I4" s="54">
        <v>6663.73</v>
      </c>
      <c r="J4" s="54">
        <v>171.96</v>
      </c>
      <c r="K4" s="54">
        <v>1826.83</v>
      </c>
      <c r="L4" s="54">
        <v>2514.2199999999998</v>
      </c>
      <c r="M4" s="54">
        <v>1528.05</v>
      </c>
      <c r="N4" s="54">
        <v>1614.39</v>
      </c>
      <c r="O4" s="54">
        <v>1750.34</v>
      </c>
      <c r="P4" s="54">
        <v>2485.1999999999998</v>
      </c>
      <c r="Q4" s="54">
        <v>881.95</v>
      </c>
      <c r="R4" s="54">
        <v>1858.74</v>
      </c>
      <c r="S4" s="66">
        <v>11938.61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4331.9399999999996</v>
      </c>
      <c r="AH4" s="67">
        <v>1871.22</v>
      </c>
      <c r="AI4" s="67">
        <v>163.41</v>
      </c>
      <c r="AJ4" s="67">
        <v>3585.31</v>
      </c>
      <c r="AK4" s="67">
        <v>0</v>
      </c>
      <c r="AL4" s="67">
        <v>0</v>
      </c>
      <c r="AM4" s="67">
        <v>455.11</v>
      </c>
      <c r="AN4" s="67">
        <v>627.54</v>
      </c>
      <c r="AO4" s="67">
        <v>1254.52</v>
      </c>
      <c r="AP4" s="67">
        <v>2069.44</v>
      </c>
      <c r="AQ4" s="67">
        <v>1260.02</v>
      </c>
      <c r="AR4" s="67">
        <v>802.3</v>
      </c>
      <c r="AS4" s="68">
        <v>9951.8799999999992</v>
      </c>
      <c r="AT4" s="63"/>
      <c r="AU4" s="63">
        <v>119.96336370615401</v>
      </c>
      <c r="BC4" s="22"/>
      <c r="BE4" s="22"/>
      <c r="BG4" s="22"/>
      <c r="BK4" s="22"/>
      <c r="BM4" s="23"/>
    </row>
    <row r="5" spans="1:65" ht="12.75" hidden="1" customHeight="1" outlineLevel="1" x14ac:dyDescent="0.2">
      <c r="A5" s="95" t="s">
        <v>163</v>
      </c>
      <c r="B5" s="62">
        <v>3538.55</v>
      </c>
      <c r="C5" s="54">
        <v>0</v>
      </c>
      <c r="D5" s="54">
        <v>0</v>
      </c>
      <c r="E5" s="63"/>
      <c r="F5" s="64"/>
      <c r="G5" s="65">
        <v>3469</v>
      </c>
      <c r="H5" s="54">
        <v>3469</v>
      </c>
      <c r="I5" s="54">
        <v>3469</v>
      </c>
      <c r="J5" s="54">
        <v>3538.55</v>
      </c>
      <c r="K5" s="54">
        <v>3538.55</v>
      </c>
      <c r="L5" s="54">
        <v>3538.55</v>
      </c>
      <c r="M5" s="54">
        <v>3538.55</v>
      </c>
      <c r="N5" s="54">
        <v>3538.55</v>
      </c>
      <c r="O5" s="54">
        <v>3538.55</v>
      </c>
      <c r="P5" s="54">
        <v>3538.55</v>
      </c>
      <c r="Q5" s="56">
        <v>-35331.879999999997</v>
      </c>
      <c r="R5" s="54">
        <v>0</v>
      </c>
      <c r="S5" s="66">
        <v>13945.55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0</v>
      </c>
      <c r="AH5" s="67">
        <v>0</v>
      </c>
      <c r="AI5" s="67">
        <v>0</v>
      </c>
      <c r="AJ5" s="67">
        <v>0</v>
      </c>
      <c r="AK5" s="67">
        <v>0</v>
      </c>
      <c r="AL5" s="67">
        <v>0</v>
      </c>
      <c r="AM5" s="67">
        <v>0</v>
      </c>
      <c r="AN5" s="67">
        <v>0</v>
      </c>
      <c r="AO5" s="67">
        <v>0</v>
      </c>
      <c r="AP5" s="67">
        <v>0</v>
      </c>
      <c r="AQ5" s="67">
        <v>0</v>
      </c>
      <c r="AR5" s="67">
        <v>0</v>
      </c>
      <c r="AS5" s="68">
        <v>0</v>
      </c>
      <c r="AT5" s="63"/>
      <c r="AU5" s="63"/>
    </row>
    <row r="6" spans="1:65" ht="12.75" hidden="1" customHeight="1" outlineLevel="1" x14ac:dyDescent="0.2">
      <c r="A6" s="95" t="s">
        <v>164</v>
      </c>
      <c r="B6" s="62">
        <v>0</v>
      </c>
      <c r="C6" s="54">
        <v>0</v>
      </c>
      <c r="D6" s="54">
        <v>0</v>
      </c>
      <c r="E6" s="63"/>
      <c r="F6" s="64"/>
      <c r="G6" s="65">
        <v>0</v>
      </c>
      <c r="H6" s="54">
        <v>0</v>
      </c>
      <c r="I6" s="54">
        <v>0</v>
      </c>
      <c r="J6" s="54">
        <v>0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0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0</v>
      </c>
      <c r="AH6" s="67">
        <v>0</v>
      </c>
      <c r="AI6" s="67">
        <v>0</v>
      </c>
      <c r="AJ6" s="67">
        <v>0</v>
      </c>
      <c r="AK6" s="67">
        <v>0</v>
      </c>
      <c r="AL6" s="67">
        <v>0</v>
      </c>
      <c r="AM6" s="67">
        <v>0</v>
      </c>
      <c r="AN6" s="67">
        <v>112.98</v>
      </c>
      <c r="AO6" s="67">
        <v>0</v>
      </c>
      <c r="AP6" s="67">
        <v>0</v>
      </c>
      <c r="AQ6" s="67">
        <v>0</v>
      </c>
      <c r="AR6" s="67">
        <v>66.06</v>
      </c>
      <c r="AS6" s="68">
        <v>0</v>
      </c>
      <c r="AT6" s="63"/>
      <c r="AU6" s="63"/>
      <c r="BM6" s="23"/>
    </row>
    <row r="7" spans="1:65" hidden="1" outlineLevel="1" x14ac:dyDescent="0.2">
      <c r="A7" s="95" t="s">
        <v>165</v>
      </c>
      <c r="B7" s="62">
        <v>1711.64</v>
      </c>
      <c r="C7" s="54">
        <v>0</v>
      </c>
      <c r="D7" s="54">
        <v>256.52</v>
      </c>
      <c r="E7" s="63"/>
      <c r="F7" s="64">
        <v>667.25401528145949</v>
      </c>
      <c r="G7" s="65">
        <v>1641.23</v>
      </c>
      <c r="H7" s="54">
        <v>1761.28</v>
      </c>
      <c r="I7" s="54">
        <v>1841.33</v>
      </c>
      <c r="J7" s="54">
        <v>1711.64</v>
      </c>
      <c r="K7" s="54">
        <v>1633.18</v>
      </c>
      <c r="L7" s="54">
        <v>1878.16</v>
      </c>
      <c r="M7" s="54">
        <v>1714.84</v>
      </c>
      <c r="N7" s="54">
        <v>1796.5</v>
      </c>
      <c r="O7" s="54">
        <v>1796.49</v>
      </c>
      <c r="P7" s="54">
        <v>1829.17</v>
      </c>
      <c r="Q7" s="54">
        <v>1972.06</v>
      </c>
      <c r="R7" s="54">
        <v>1886.33</v>
      </c>
      <c r="S7" s="66">
        <v>6955.48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1881.15</v>
      </c>
      <c r="AH7" s="67">
        <v>1795.65</v>
      </c>
      <c r="AI7" s="67">
        <v>1966.66</v>
      </c>
      <c r="AJ7" s="67">
        <v>256.52</v>
      </c>
      <c r="AK7" s="67">
        <v>0</v>
      </c>
      <c r="AL7" s="67">
        <v>0</v>
      </c>
      <c r="AM7" s="67">
        <v>0</v>
      </c>
      <c r="AN7" s="67">
        <v>1825.32</v>
      </c>
      <c r="AO7" s="67">
        <v>1673.21</v>
      </c>
      <c r="AP7" s="67">
        <v>1785.29</v>
      </c>
      <c r="AQ7" s="67">
        <v>1761.28</v>
      </c>
      <c r="AR7" s="67">
        <v>2001.26</v>
      </c>
      <c r="AS7" s="68">
        <v>5899.98</v>
      </c>
      <c r="AT7" s="63"/>
      <c r="AU7" s="63">
        <v>117.88989115217339</v>
      </c>
      <c r="BA7" s="22"/>
      <c r="BC7" s="22"/>
      <c r="BE7" s="22"/>
      <c r="BG7" s="22"/>
      <c r="BI7" s="22"/>
      <c r="BK7" s="22"/>
      <c r="BM7" s="23"/>
    </row>
    <row r="8" spans="1:65" ht="12.75" customHeight="1" collapsed="1" x14ac:dyDescent="0.2">
      <c r="A8" s="69" t="s">
        <v>166</v>
      </c>
      <c r="B8" s="70">
        <v>26144.09</v>
      </c>
      <c r="C8" s="71">
        <v>0</v>
      </c>
      <c r="D8" s="71">
        <v>97594.81</v>
      </c>
      <c r="E8" s="72"/>
      <c r="F8" s="73">
        <v>26.788401965227454</v>
      </c>
      <c r="G8" s="70">
        <v>26542.59</v>
      </c>
      <c r="H8" s="71">
        <v>28412.71</v>
      </c>
      <c r="I8" s="71">
        <v>27313.86</v>
      </c>
      <c r="J8" s="71">
        <v>26144.09</v>
      </c>
      <c r="K8" s="71">
        <v>26814.89</v>
      </c>
      <c r="L8" s="71">
        <v>28509.360000000001</v>
      </c>
      <c r="M8" s="71">
        <v>27867.7</v>
      </c>
      <c r="N8" s="71">
        <v>28655.279999999999</v>
      </c>
      <c r="O8" s="71">
        <v>27302.44</v>
      </c>
      <c r="P8" s="71">
        <v>23925.11</v>
      </c>
      <c r="Q8" s="74">
        <v>-9502.85</v>
      </c>
      <c r="R8" s="71">
        <v>18030.150000000001</v>
      </c>
      <c r="S8" s="71">
        <v>108413.25</v>
      </c>
      <c r="T8" s="71">
        <v>0</v>
      </c>
      <c r="U8" s="71">
        <v>0</v>
      </c>
      <c r="V8" s="71">
        <v>0</v>
      </c>
      <c r="W8" s="71">
        <v>0</v>
      </c>
      <c r="X8" s="71">
        <v>0</v>
      </c>
      <c r="Y8" s="71">
        <v>0</v>
      </c>
      <c r="Z8" s="71">
        <v>0</v>
      </c>
      <c r="AA8" s="71">
        <v>0</v>
      </c>
      <c r="AB8" s="71">
        <v>0</v>
      </c>
      <c r="AC8" s="71">
        <v>0</v>
      </c>
      <c r="AD8" s="71">
        <v>0</v>
      </c>
      <c r="AE8" s="71">
        <v>0</v>
      </c>
      <c r="AF8" s="71">
        <v>0</v>
      </c>
      <c r="AG8" s="75">
        <v>26090.07</v>
      </c>
      <c r="AH8" s="75">
        <v>24923.71</v>
      </c>
      <c r="AI8" s="75">
        <v>24285.43</v>
      </c>
      <c r="AJ8" s="75">
        <v>97594.81</v>
      </c>
      <c r="AK8" s="134">
        <v>-4932.28</v>
      </c>
      <c r="AL8" s="75">
        <v>1138.8699999999999</v>
      </c>
      <c r="AM8" s="75">
        <v>1593.98</v>
      </c>
      <c r="AN8" s="75">
        <v>20120.3</v>
      </c>
      <c r="AO8" s="75">
        <v>23011.01</v>
      </c>
      <c r="AP8" s="75">
        <v>24618.67</v>
      </c>
      <c r="AQ8" s="75">
        <v>24699.200000000001</v>
      </c>
      <c r="AR8" s="75">
        <v>26878.51</v>
      </c>
      <c r="AS8" s="75">
        <v>172894.02</v>
      </c>
      <c r="AT8" s="72"/>
      <c r="AU8" s="72">
        <v>62.705031672003464</v>
      </c>
      <c r="AW8" s="22"/>
      <c r="AY8" s="22"/>
      <c r="BA8" s="22"/>
      <c r="BC8" s="22"/>
      <c r="BE8" s="22"/>
      <c r="BG8" s="22"/>
      <c r="BI8" s="22"/>
      <c r="BK8" s="22"/>
      <c r="BM8" s="23"/>
    </row>
    <row r="9" spans="1:65" ht="12.75" customHeight="1" x14ac:dyDescent="0.2">
      <c r="A9" s="95" t="s">
        <v>167</v>
      </c>
      <c r="B9" s="62"/>
      <c r="C9" s="54"/>
      <c r="D9" s="54"/>
      <c r="E9" s="63"/>
      <c r="F9" s="64"/>
      <c r="G9" s="65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66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66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8"/>
      <c r="AT9" s="63"/>
      <c r="AU9" s="63"/>
    </row>
    <row r="10" spans="1:65" ht="12.75" customHeight="1" x14ac:dyDescent="0.2">
      <c r="A10" s="95" t="s">
        <v>168</v>
      </c>
      <c r="B10" s="62"/>
      <c r="C10" s="54"/>
      <c r="D10" s="54"/>
      <c r="E10" s="63"/>
      <c r="F10" s="64"/>
      <c r="G10" s="65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66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8"/>
      <c r="AT10" s="63"/>
      <c r="AU10" s="63"/>
    </row>
    <row r="11" spans="1:65" ht="12.75" customHeight="1" x14ac:dyDescent="0.2">
      <c r="A11" s="95" t="s">
        <v>169</v>
      </c>
      <c r="B11" s="62"/>
      <c r="C11" s="54"/>
      <c r="D11" s="54"/>
      <c r="E11" s="63"/>
      <c r="F11" s="64"/>
      <c r="G11" s="65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66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66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8"/>
      <c r="AT11" s="63"/>
      <c r="AU11" s="63"/>
    </row>
    <row r="12" spans="1:65" ht="12.75" customHeight="1" x14ac:dyDescent="0.2">
      <c r="A12" s="95" t="s">
        <v>50</v>
      </c>
      <c r="B12" s="62"/>
      <c r="C12" s="54"/>
      <c r="D12" s="54"/>
      <c r="E12" s="63"/>
      <c r="F12" s="64"/>
      <c r="G12" s="65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66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6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8"/>
      <c r="AT12" s="63"/>
      <c r="AU12" s="63"/>
    </row>
    <row r="13" spans="1:65" ht="12.75" customHeight="1" x14ac:dyDescent="0.2">
      <c r="A13" s="95" t="s">
        <v>170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65" ht="12.75" customHeight="1" x14ac:dyDescent="0.2">
      <c r="A14" s="95" t="s">
        <v>171</v>
      </c>
      <c r="B14" s="62"/>
      <c r="C14" s="54"/>
      <c r="D14" s="54"/>
      <c r="E14" s="63"/>
      <c r="F14" s="64"/>
      <c r="G14" s="65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66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66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8"/>
      <c r="AT14" s="63"/>
      <c r="AU14" s="63"/>
    </row>
    <row r="15" spans="1:65" ht="12.75" customHeight="1" x14ac:dyDescent="0.2">
      <c r="A15" s="95" t="s">
        <v>172</v>
      </c>
      <c r="B15" s="62"/>
      <c r="C15" s="54"/>
      <c r="D15" s="54"/>
      <c r="E15" s="63"/>
      <c r="F15" s="64"/>
      <c r="G15" s="65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66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66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8"/>
      <c r="AT15" s="63"/>
      <c r="AU15" s="63"/>
    </row>
    <row r="16" spans="1:65" ht="12.75" customHeight="1" x14ac:dyDescent="0.2">
      <c r="A16" s="95" t="s">
        <v>173</v>
      </c>
      <c r="B16" s="62">
        <v>57.55</v>
      </c>
      <c r="C16" s="54">
        <v>0</v>
      </c>
      <c r="D16" s="54">
        <v>57.56</v>
      </c>
      <c r="E16" s="63"/>
      <c r="F16" s="64">
        <v>99.982626824183455</v>
      </c>
      <c r="G16" s="65">
        <v>57.56</v>
      </c>
      <c r="H16" s="54">
        <v>57.55</v>
      </c>
      <c r="I16" s="54">
        <v>57.56</v>
      </c>
      <c r="J16" s="54">
        <v>57.55</v>
      </c>
      <c r="K16" s="54">
        <v>57.56</v>
      </c>
      <c r="L16" s="54">
        <v>57.55</v>
      </c>
      <c r="M16" s="54">
        <v>57.56</v>
      </c>
      <c r="N16" s="54">
        <v>57.56</v>
      </c>
      <c r="O16" s="54">
        <v>57.55</v>
      </c>
      <c r="P16" s="54">
        <v>57.56</v>
      </c>
      <c r="Q16" s="54">
        <v>57.55</v>
      </c>
      <c r="R16" s="54">
        <v>57.56</v>
      </c>
      <c r="S16" s="66">
        <v>230.22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>
        <v>287.83999999999997</v>
      </c>
      <c r="AH16" s="67">
        <v>287.81</v>
      </c>
      <c r="AI16" s="67">
        <v>57.55</v>
      </c>
      <c r="AJ16" s="67">
        <v>57.56</v>
      </c>
      <c r="AK16" s="67">
        <v>57.55</v>
      </c>
      <c r="AL16" s="67">
        <v>57.56</v>
      </c>
      <c r="AM16" s="67">
        <v>57.55</v>
      </c>
      <c r="AN16" s="67">
        <v>57.56</v>
      </c>
      <c r="AO16" s="67">
        <v>57.55</v>
      </c>
      <c r="AP16" s="67">
        <v>57.56</v>
      </c>
      <c r="AQ16" s="67">
        <v>57.55</v>
      </c>
      <c r="AR16" s="67">
        <v>57.56</v>
      </c>
      <c r="AS16" s="68">
        <v>690.76</v>
      </c>
      <c r="AT16" s="63"/>
      <c r="AU16" s="63">
        <v>33.328507730615556</v>
      </c>
      <c r="BK16" s="22"/>
      <c r="BM16" s="23"/>
    </row>
    <row r="17" spans="1:65" s="365" customFormat="1" ht="12.75" customHeight="1" x14ac:dyDescent="0.2">
      <c r="A17" s="95" t="s">
        <v>257</v>
      </c>
      <c r="B17" s="62">
        <v>395.85</v>
      </c>
      <c r="C17" s="54"/>
      <c r="D17" s="54">
        <v>0</v>
      </c>
      <c r="E17" s="63"/>
      <c r="F17" s="64"/>
      <c r="G17" s="65">
        <v>0</v>
      </c>
      <c r="H17" s="54">
        <v>0</v>
      </c>
      <c r="I17" s="54">
        <v>528.55999999999995</v>
      </c>
      <c r="J17" s="54">
        <v>395.85</v>
      </c>
      <c r="K17" s="54">
        <v>411.94</v>
      </c>
      <c r="L17" s="54">
        <v>411.41</v>
      </c>
      <c r="M17" s="54">
        <v>411.41</v>
      </c>
      <c r="N17" s="54">
        <v>410.54</v>
      </c>
      <c r="O17" s="54">
        <v>411.1</v>
      </c>
      <c r="P17" s="54">
        <v>421.4</v>
      </c>
      <c r="Q17" s="54">
        <v>416.24</v>
      </c>
      <c r="R17" s="54">
        <v>439.47</v>
      </c>
      <c r="S17" s="66">
        <v>924.41</v>
      </c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66"/>
      <c r="AG17" s="67">
        <v>0</v>
      </c>
      <c r="AH17" s="67">
        <v>0</v>
      </c>
      <c r="AI17" s="67">
        <v>0</v>
      </c>
      <c r="AJ17" s="67">
        <v>0</v>
      </c>
      <c r="AK17" s="67">
        <v>414.56</v>
      </c>
      <c r="AL17" s="67">
        <v>413.24</v>
      </c>
      <c r="AM17" s="67">
        <v>392.83</v>
      </c>
      <c r="AN17" s="67">
        <v>408.3</v>
      </c>
      <c r="AO17" s="67">
        <v>408.3</v>
      </c>
      <c r="AP17" s="67">
        <v>408.31</v>
      </c>
      <c r="AQ17" s="67">
        <v>408.31</v>
      </c>
      <c r="AR17" s="67">
        <v>356.5</v>
      </c>
      <c r="AS17" s="68">
        <v>0</v>
      </c>
      <c r="AT17" s="63"/>
      <c r="AU17" s="63"/>
      <c r="BK17" s="22"/>
      <c r="BM17" s="23"/>
    </row>
    <row r="18" spans="1:65" ht="12.75" hidden="1" customHeight="1" outlineLevel="1" x14ac:dyDescent="0.2">
      <c r="A18" s="95" t="s">
        <v>109</v>
      </c>
      <c r="B18" s="62">
        <v>0</v>
      </c>
      <c r="C18" s="54"/>
      <c r="D18" s="54">
        <v>0</v>
      </c>
      <c r="E18" s="63"/>
      <c r="F18" s="64"/>
      <c r="G18" s="65">
        <v>0</v>
      </c>
      <c r="H18" s="54">
        <v>0</v>
      </c>
      <c r="I18" s="54">
        <v>0</v>
      </c>
      <c r="J18" s="54">
        <v>0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0</v>
      </c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66"/>
      <c r="AG18" s="67">
        <v>0</v>
      </c>
      <c r="AH18" s="67">
        <v>0</v>
      </c>
      <c r="AI18" s="67">
        <v>0</v>
      </c>
      <c r="AJ18" s="67">
        <v>0</v>
      </c>
      <c r="AK18" s="67">
        <v>0</v>
      </c>
      <c r="AL18" s="67">
        <v>0</v>
      </c>
      <c r="AM18" s="67">
        <v>0</v>
      </c>
      <c r="AN18" s="67">
        <v>0</v>
      </c>
      <c r="AO18" s="67">
        <v>0</v>
      </c>
      <c r="AP18" s="67">
        <v>0</v>
      </c>
      <c r="AQ18" s="67">
        <v>0</v>
      </c>
      <c r="AR18" s="67">
        <v>0</v>
      </c>
      <c r="AS18" s="68">
        <v>0</v>
      </c>
      <c r="AT18" s="63"/>
      <c r="AU18" s="63"/>
    </row>
    <row r="19" spans="1:65" ht="12.75" hidden="1" customHeight="1" outlineLevel="1" x14ac:dyDescent="0.2">
      <c r="A19" s="95" t="s">
        <v>97</v>
      </c>
      <c r="B19" s="62">
        <v>17</v>
      </c>
      <c r="C19" s="54">
        <v>0</v>
      </c>
      <c r="D19" s="54">
        <v>0</v>
      </c>
      <c r="E19" s="63"/>
      <c r="F19" s="64"/>
      <c r="G19" s="65">
        <v>20</v>
      </c>
      <c r="H19" s="54">
        <v>20</v>
      </c>
      <c r="I19" s="54">
        <v>24.3</v>
      </c>
      <c r="J19" s="54">
        <v>17</v>
      </c>
      <c r="K19" s="54">
        <v>5.91</v>
      </c>
      <c r="L19" s="54">
        <v>17</v>
      </c>
      <c r="M19" s="54">
        <v>17</v>
      </c>
      <c r="N19" s="54">
        <v>17</v>
      </c>
      <c r="O19" s="54">
        <v>17</v>
      </c>
      <c r="P19" s="54">
        <v>17</v>
      </c>
      <c r="Q19" s="54">
        <v>17</v>
      </c>
      <c r="R19" s="54">
        <v>17</v>
      </c>
      <c r="S19" s="66">
        <v>81.3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0</v>
      </c>
      <c r="AH19" s="67">
        <v>0</v>
      </c>
      <c r="AI19" s="67">
        <v>0</v>
      </c>
      <c r="AJ19" s="67">
        <v>0</v>
      </c>
      <c r="AK19" s="67">
        <v>20</v>
      </c>
      <c r="AL19" s="67">
        <v>20</v>
      </c>
      <c r="AM19" s="67">
        <v>20</v>
      </c>
      <c r="AN19" s="67">
        <v>20</v>
      </c>
      <c r="AO19" s="67">
        <v>20</v>
      </c>
      <c r="AP19" s="67">
        <v>20</v>
      </c>
      <c r="AQ19" s="67">
        <v>20</v>
      </c>
      <c r="AR19" s="67">
        <v>20</v>
      </c>
      <c r="AS19" s="68">
        <v>0</v>
      </c>
      <c r="AT19" s="63"/>
      <c r="AU19" s="63"/>
      <c r="BM19" s="23"/>
    </row>
    <row r="20" spans="1:65" ht="12.75" hidden="1" customHeight="1" outlineLevel="1" x14ac:dyDescent="0.2">
      <c r="A20" s="95" t="s">
        <v>69</v>
      </c>
      <c r="B20" s="62"/>
      <c r="C20" s="54"/>
      <c r="D20" s="54"/>
      <c r="E20" s="63"/>
      <c r="F20" s="64"/>
      <c r="G20" s="65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66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66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8"/>
      <c r="AT20" s="63"/>
      <c r="AU20" s="63"/>
    </row>
    <row r="21" spans="1:65" ht="12.75" customHeight="1" collapsed="1" x14ac:dyDescent="0.2">
      <c r="A21" s="69" t="s">
        <v>70</v>
      </c>
      <c r="B21" s="70">
        <v>17</v>
      </c>
      <c r="C21" s="71">
        <v>0</v>
      </c>
      <c r="D21" s="71">
        <v>0</v>
      </c>
      <c r="E21" s="72"/>
      <c r="F21" s="73"/>
      <c r="G21" s="70">
        <v>20</v>
      </c>
      <c r="H21" s="71">
        <v>20</v>
      </c>
      <c r="I21" s="71">
        <v>24.3</v>
      </c>
      <c r="J21" s="71">
        <v>17</v>
      </c>
      <c r="K21" s="71">
        <v>5.91</v>
      </c>
      <c r="L21" s="71">
        <v>17</v>
      </c>
      <c r="M21" s="71">
        <v>17</v>
      </c>
      <c r="N21" s="71">
        <v>17</v>
      </c>
      <c r="O21" s="71">
        <v>17</v>
      </c>
      <c r="P21" s="71">
        <v>17</v>
      </c>
      <c r="Q21" s="71">
        <v>17</v>
      </c>
      <c r="R21" s="71">
        <v>17</v>
      </c>
      <c r="S21" s="71">
        <v>81.3</v>
      </c>
      <c r="T21" s="71">
        <v>0</v>
      </c>
      <c r="U21" s="71">
        <v>0</v>
      </c>
      <c r="V21" s="71">
        <v>0</v>
      </c>
      <c r="W21" s="71">
        <v>0</v>
      </c>
      <c r="X21" s="71">
        <v>0</v>
      </c>
      <c r="Y21" s="71">
        <v>0</v>
      </c>
      <c r="Z21" s="71">
        <v>0</v>
      </c>
      <c r="AA21" s="71">
        <v>0</v>
      </c>
      <c r="AB21" s="71">
        <v>0</v>
      </c>
      <c r="AC21" s="71">
        <v>0</v>
      </c>
      <c r="AD21" s="71">
        <v>0</v>
      </c>
      <c r="AE21" s="71">
        <v>0</v>
      </c>
      <c r="AF21" s="71">
        <v>0</v>
      </c>
      <c r="AG21" s="75">
        <v>0</v>
      </c>
      <c r="AH21" s="75">
        <v>0</v>
      </c>
      <c r="AI21" s="75">
        <v>0</v>
      </c>
      <c r="AJ21" s="75">
        <v>0</v>
      </c>
      <c r="AK21" s="75">
        <v>20</v>
      </c>
      <c r="AL21" s="75">
        <v>20</v>
      </c>
      <c r="AM21" s="75">
        <v>20</v>
      </c>
      <c r="AN21" s="75">
        <v>20</v>
      </c>
      <c r="AO21" s="75">
        <v>20</v>
      </c>
      <c r="AP21" s="75">
        <v>20</v>
      </c>
      <c r="AQ21" s="75">
        <v>20</v>
      </c>
      <c r="AR21" s="75">
        <v>20</v>
      </c>
      <c r="AS21" s="75">
        <v>0</v>
      </c>
      <c r="AT21" s="72"/>
      <c r="AU21" s="72"/>
      <c r="BM21" s="23"/>
    </row>
    <row r="22" spans="1:65" ht="12.75" hidden="1" customHeight="1" outlineLevel="1" x14ac:dyDescent="0.2">
      <c r="A22" s="95" t="s">
        <v>174</v>
      </c>
      <c r="B22" s="62">
        <v>0</v>
      </c>
      <c r="C22" s="54">
        <v>0</v>
      </c>
      <c r="D22" s="54">
        <v>0</v>
      </c>
      <c r="E22" s="63"/>
      <c r="F22" s="64"/>
      <c r="G22" s="65">
        <v>0</v>
      </c>
      <c r="H22" s="54">
        <v>0</v>
      </c>
      <c r="I22" s="54">
        <v>0</v>
      </c>
      <c r="J22" s="54">
        <v>0</v>
      </c>
      <c r="K22" s="54">
        <v>0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66">
        <v>0</v>
      </c>
      <c r="T22" s="54">
        <v>0</v>
      </c>
      <c r="U22" s="54">
        <v>0</v>
      </c>
      <c r="V22" s="54">
        <v>0</v>
      </c>
      <c r="W22" s="54">
        <v>0</v>
      </c>
      <c r="X22" s="54">
        <v>0</v>
      </c>
      <c r="Y22" s="54">
        <v>0</v>
      </c>
      <c r="Z22" s="54">
        <v>0</v>
      </c>
      <c r="AA22" s="54">
        <v>0</v>
      </c>
      <c r="AB22" s="54">
        <v>0</v>
      </c>
      <c r="AC22" s="54">
        <v>0</v>
      </c>
      <c r="AD22" s="54">
        <v>0</v>
      </c>
      <c r="AE22" s="54">
        <v>0</v>
      </c>
      <c r="AF22" s="66">
        <v>0</v>
      </c>
      <c r="AG22" s="67">
        <v>0</v>
      </c>
      <c r="AH22" s="67">
        <v>0</v>
      </c>
      <c r="AI22" s="67">
        <v>0</v>
      </c>
      <c r="AJ22" s="67">
        <v>0</v>
      </c>
      <c r="AK22" s="67">
        <v>0</v>
      </c>
      <c r="AL22" s="67">
        <v>0</v>
      </c>
      <c r="AM22" s="67">
        <v>0</v>
      </c>
      <c r="AN22" s="67">
        <v>0</v>
      </c>
      <c r="AO22" s="67">
        <v>0</v>
      </c>
      <c r="AP22" s="67">
        <v>0</v>
      </c>
      <c r="AQ22" s="67">
        <v>0</v>
      </c>
      <c r="AR22" s="67">
        <v>0</v>
      </c>
      <c r="AS22" s="68">
        <v>0</v>
      </c>
      <c r="AT22" s="63"/>
      <c r="AU22" s="63"/>
    </row>
    <row r="23" spans="1:65" ht="12.75" hidden="1" customHeight="1" outlineLevel="1" x14ac:dyDescent="0.2">
      <c r="A23" s="95" t="s">
        <v>99</v>
      </c>
      <c r="B23" s="62">
        <v>0</v>
      </c>
      <c r="C23" s="54">
        <v>0</v>
      </c>
      <c r="D23" s="54">
        <v>25.71</v>
      </c>
      <c r="E23" s="63"/>
      <c r="F23" s="64">
        <v>0</v>
      </c>
      <c r="G23" s="65">
        <v>0</v>
      </c>
      <c r="H23" s="54">
        <v>0</v>
      </c>
      <c r="I23" s="54">
        <v>0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0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131.06</v>
      </c>
      <c r="AH23" s="67">
        <v>125.26</v>
      </c>
      <c r="AI23" s="67">
        <v>70.61</v>
      </c>
      <c r="AJ23" s="67">
        <v>25.71</v>
      </c>
      <c r="AK23" s="67">
        <v>0</v>
      </c>
      <c r="AL23" s="67">
        <v>0</v>
      </c>
      <c r="AM23" s="67">
        <v>0</v>
      </c>
      <c r="AN23" s="67">
        <v>0</v>
      </c>
      <c r="AO23" s="67">
        <v>0</v>
      </c>
      <c r="AP23" s="67">
        <v>0</v>
      </c>
      <c r="AQ23" s="67">
        <v>0</v>
      </c>
      <c r="AR23" s="67">
        <v>0</v>
      </c>
      <c r="AS23" s="68">
        <v>352.64</v>
      </c>
      <c r="AT23" s="63"/>
      <c r="AU23" s="63">
        <v>0</v>
      </c>
      <c r="BM23" s="23"/>
    </row>
    <row r="24" spans="1:65" ht="12.75" hidden="1" customHeight="1" outlineLevel="1" x14ac:dyDescent="0.2">
      <c r="A24" s="95" t="s">
        <v>175</v>
      </c>
      <c r="B24" s="62">
        <v>0</v>
      </c>
      <c r="C24" s="54">
        <v>0</v>
      </c>
      <c r="D24" s="54">
        <v>0</v>
      </c>
      <c r="E24" s="63"/>
      <c r="F24" s="64"/>
      <c r="G24" s="65">
        <v>0</v>
      </c>
      <c r="H24" s="54">
        <v>0</v>
      </c>
      <c r="I24" s="54">
        <v>0</v>
      </c>
      <c r="J24" s="54">
        <v>0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0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0</v>
      </c>
      <c r="AH24" s="67">
        <v>0</v>
      </c>
      <c r="AI24" s="67">
        <v>0</v>
      </c>
      <c r="AJ24" s="67">
        <v>0</v>
      </c>
      <c r="AK24" s="67">
        <v>0</v>
      </c>
      <c r="AL24" s="67">
        <v>0</v>
      </c>
      <c r="AM24" s="67">
        <v>0</v>
      </c>
      <c r="AN24" s="67">
        <v>0</v>
      </c>
      <c r="AO24" s="67">
        <v>0</v>
      </c>
      <c r="AP24" s="67">
        <v>0</v>
      </c>
      <c r="AQ24" s="67">
        <v>0</v>
      </c>
      <c r="AR24" s="67">
        <v>0</v>
      </c>
      <c r="AS24" s="68">
        <v>0</v>
      </c>
      <c r="AT24" s="63"/>
      <c r="AU24" s="63"/>
    </row>
    <row r="25" spans="1:65" ht="12.75" hidden="1" customHeight="1" outlineLevel="1" x14ac:dyDescent="0.2">
      <c r="A25" s="95" t="s">
        <v>100</v>
      </c>
      <c r="B25" s="62">
        <v>62.44</v>
      </c>
      <c r="C25" s="54">
        <v>0</v>
      </c>
      <c r="D25" s="54">
        <v>13.64</v>
      </c>
      <c r="E25" s="63"/>
      <c r="F25" s="64">
        <v>457.77126099706743</v>
      </c>
      <c r="G25" s="65">
        <v>111.66</v>
      </c>
      <c r="H25" s="54">
        <v>98.98</v>
      </c>
      <c r="I25" s="54">
        <v>225.73</v>
      </c>
      <c r="J25" s="54">
        <v>62.44</v>
      </c>
      <c r="K25" s="54">
        <v>62.45</v>
      </c>
      <c r="L25" s="54">
        <v>31.13</v>
      </c>
      <c r="M25" s="54">
        <v>54.88</v>
      </c>
      <c r="N25" s="54">
        <v>75.680000000000007</v>
      </c>
      <c r="O25" s="54">
        <v>5.54</v>
      </c>
      <c r="P25" s="56">
        <v>-117.34</v>
      </c>
      <c r="Q25" s="54">
        <v>170.75</v>
      </c>
      <c r="R25" s="56">
        <v>-74.790000000000006</v>
      </c>
      <c r="S25" s="66">
        <v>498.81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86.97</v>
      </c>
      <c r="AH25" s="67">
        <v>96.1</v>
      </c>
      <c r="AI25" s="67">
        <v>97.47</v>
      </c>
      <c r="AJ25" s="67">
        <v>13.64</v>
      </c>
      <c r="AK25" s="67">
        <v>81.59</v>
      </c>
      <c r="AL25" s="67">
        <v>159.53</v>
      </c>
      <c r="AM25" s="67">
        <v>104.39</v>
      </c>
      <c r="AN25" s="67">
        <v>105.4</v>
      </c>
      <c r="AO25" s="67">
        <v>101.15</v>
      </c>
      <c r="AP25" s="67">
        <v>99.5</v>
      </c>
      <c r="AQ25" s="67">
        <v>227.73</v>
      </c>
      <c r="AR25" s="67">
        <v>0</v>
      </c>
      <c r="AS25" s="68">
        <v>294.18</v>
      </c>
      <c r="AT25" s="63"/>
      <c r="AU25" s="63">
        <v>169.55945339588007</v>
      </c>
      <c r="BK25" s="22"/>
      <c r="BM25" s="23"/>
    </row>
    <row r="26" spans="1:65" ht="12.75" hidden="1" customHeight="1" outlineLevel="1" x14ac:dyDescent="0.2">
      <c r="A26" s="95" t="s">
        <v>101</v>
      </c>
      <c r="B26" s="62">
        <v>43.03</v>
      </c>
      <c r="C26" s="54">
        <v>0</v>
      </c>
      <c r="D26" s="54">
        <v>222.06</v>
      </c>
      <c r="E26" s="63"/>
      <c r="F26" s="64">
        <v>19.377645681347385</v>
      </c>
      <c r="G26" s="65">
        <v>39.35</v>
      </c>
      <c r="H26" s="54">
        <v>38.58</v>
      </c>
      <c r="I26" s="54">
        <v>43.3</v>
      </c>
      <c r="J26" s="54">
        <v>43.03</v>
      </c>
      <c r="K26" s="54">
        <v>35.729999999999997</v>
      </c>
      <c r="L26" s="54">
        <v>23.2</v>
      </c>
      <c r="M26" s="54">
        <v>12.5</v>
      </c>
      <c r="N26" s="54">
        <v>0</v>
      </c>
      <c r="O26" s="54">
        <v>45.48</v>
      </c>
      <c r="P26" s="54">
        <v>24.49</v>
      </c>
      <c r="Q26" s="54">
        <v>0</v>
      </c>
      <c r="R26" s="54">
        <v>114.69</v>
      </c>
      <c r="S26" s="66">
        <v>164.26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39.35</v>
      </c>
      <c r="AH26" s="67">
        <v>254.58</v>
      </c>
      <c r="AI26" s="67">
        <v>40.869999999999997</v>
      </c>
      <c r="AJ26" s="67">
        <v>222.06</v>
      </c>
      <c r="AK26" s="67">
        <v>39.119999999999997</v>
      </c>
      <c r="AL26" s="67">
        <v>38.57</v>
      </c>
      <c r="AM26" s="67">
        <v>26.71</v>
      </c>
      <c r="AN26" s="67">
        <v>51.39</v>
      </c>
      <c r="AO26" s="67">
        <v>38.75</v>
      </c>
      <c r="AP26" s="67">
        <v>39.049999999999997</v>
      </c>
      <c r="AQ26" s="67">
        <v>38.81</v>
      </c>
      <c r="AR26" s="67">
        <v>39.229999999999997</v>
      </c>
      <c r="AS26" s="68">
        <v>556.86</v>
      </c>
      <c r="AT26" s="63"/>
      <c r="AU26" s="63">
        <v>29.497539776604533</v>
      </c>
      <c r="BM26" s="23"/>
    </row>
    <row r="27" spans="1:65" ht="12.75" hidden="1" customHeight="1" outlineLevel="1" x14ac:dyDescent="0.2">
      <c r="A27" s="95" t="s">
        <v>87</v>
      </c>
      <c r="B27" s="62"/>
      <c r="C27" s="54"/>
      <c r="D27" s="54"/>
      <c r="E27" s="63"/>
      <c r="F27" s="64"/>
      <c r="G27" s="65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66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66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8"/>
      <c r="AT27" s="63"/>
      <c r="AU27" s="63"/>
    </row>
    <row r="28" spans="1:65" ht="12.75" hidden="1" customHeight="1" outlineLevel="1" x14ac:dyDescent="0.2">
      <c r="A28" s="95" t="s">
        <v>176</v>
      </c>
      <c r="B28" s="62">
        <v>0</v>
      </c>
      <c r="C28" s="54">
        <v>0</v>
      </c>
      <c r="D28" s="54">
        <v>439.46</v>
      </c>
      <c r="E28" s="63"/>
      <c r="F28" s="64">
        <v>0</v>
      </c>
      <c r="G28" s="65">
        <v>0</v>
      </c>
      <c r="H28" s="54">
        <v>0</v>
      </c>
      <c r="I28" s="54">
        <v>109.54</v>
      </c>
      <c r="J28" s="54">
        <v>0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109.54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111.09</v>
      </c>
      <c r="AH28" s="67">
        <v>111.09</v>
      </c>
      <c r="AI28" s="67">
        <v>111.09</v>
      </c>
      <c r="AJ28" s="67">
        <v>439.46</v>
      </c>
      <c r="AK28" s="67">
        <v>0</v>
      </c>
      <c r="AL28" s="67">
        <v>0</v>
      </c>
      <c r="AM28" s="67">
        <v>0</v>
      </c>
      <c r="AN28" s="67">
        <v>0</v>
      </c>
      <c r="AO28" s="67">
        <v>0</v>
      </c>
      <c r="AP28" s="67">
        <v>0</v>
      </c>
      <c r="AQ28" s="67">
        <v>0</v>
      </c>
      <c r="AR28" s="67">
        <v>0</v>
      </c>
      <c r="AS28" s="68">
        <v>772.73</v>
      </c>
      <c r="AT28" s="63"/>
      <c r="AU28" s="63">
        <v>14.17571467394821</v>
      </c>
      <c r="BM28" s="23"/>
    </row>
    <row r="29" spans="1:65" ht="12.75" hidden="1" customHeight="1" outlineLevel="1" x14ac:dyDescent="0.2">
      <c r="A29" s="95" t="s">
        <v>102</v>
      </c>
      <c r="B29" s="62">
        <v>0</v>
      </c>
      <c r="C29" s="54">
        <v>0</v>
      </c>
      <c r="D29" s="54">
        <v>101.03</v>
      </c>
      <c r="E29" s="63"/>
      <c r="F29" s="64">
        <v>0</v>
      </c>
      <c r="G29" s="65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0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101.03</v>
      </c>
      <c r="AH29" s="67">
        <v>101.03</v>
      </c>
      <c r="AI29" s="67">
        <v>101.03</v>
      </c>
      <c r="AJ29" s="67">
        <v>101.03</v>
      </c>
      <c r="AK29" s="98">
        <v>-75.22</v>
      </c>
      <c r="AL29" s="67">
        <v>434.9</v>
      </c>
      <c r="AM29" s="67">
        <v>51.47</v>
      </c>
      <c r="AN29" s="67">
        <v>23.75</v>
      </c>
      <c r="AO29" s="98">
        <v>-23.75</v>
      </c>
      <c r="AP29" s="67">
        <v>8.43</v>
      </c>
      <c r="AQ29" s="98">
        <v>-15.32</v>
      </c>
      <c r="AR29" s="67">
        <v>0</v>
      </c>
      <c r="AS29" s="68">
        <v>404.12</v>
      </c>
      <c r="AT29" s="63"/>
      <c r="AU29" s="63">
        <v>0</v>
      </c>
      <c r="BM29" s="23"/>
    </row>
    <row r="30" spans="1:65" ht="12.75" hidden="1" customHeight="1" outlineLevel="1" x14ac:dyDescent="0.2">
      <c r="A30" s="95" t="s">
        <v>75</v>
      </c>
      <c r="B30" s="62">
        <v>0</v>
      </c>
      <c r="C30" s="54">
        <v>0</v>
      </c>
      <c r="D30" s="54">
        <v>0</v>
      </c>
      <c r="E30" s="63"/>
      <c r="F30" s="64"/>
      <c r="G30" s="65">
        <v>0</v>
      </c>
      <c r="H30" s="54">
        <v>0</v>
      </c>
      <c r="I30" s="54">
        <v>0</v>
      </c>
      <c r="J30" s="54">
        <v>0</v>
      </c>
      <c r="K30" s="54">
        <v>0</v>
      </c>
      <c r="L30" s="54">
        <v>2.2799999999999998</v>
      </c>
      <c r="M30" s="54">
        <v>3651.64</v>
      </c>
      <c r="N30" s="54">
        <v>2.2799999999999998</v>
      </c>
      <c r="O30" s="54">
        <v>2.2799999999999998</v>
      </c>
      <c r="P30" s="54">
        <v>2.2799999999999998</v>
      </c>
      <c r="Q30" s="54">
        <v>2.2799999999999998</v>
      </c>
      <c r="R30" s="54">
        <v>2.2799999999999998</v>
      </c>
      <c r="S30" s="66">
        <v>0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0</v>
      </c>
      <c r="AH30" s="67">
        <v>0</v>
      </c>
      <c r="AI30" s="67">
        <v>0</v>
      </c>
      <c r="AJ30" s="67">
        <v>0</v>
      </c>
      <c r="AK30" s="67">
        <v>3220.97</v>
      </c>
      <c r="AL30" s="67">
        <v>0</v>
      </c>
      <c r="AM30" s="67">
        <v>0</v>
      </c>
      <c r="AN30" s="67">
        <v>0</v>
      </c>
      <c r="AO30" s="67">
        <v>0</v>
      </c>
      <c r="AP30" s="67">
        <v>0</v>
      </c>
      <c r="AQ30" s="67">
        <v>0</v>
      </c>
      <c r="AR30" s="67">
        <v>0</v>
      </c>
      <c r="AS30" s="68">
        <v>0</v>
      </c>
      <c r="AT30" s="63"/>
      <c r="AU30" s="63"/>
      <c r="BK30" s="22"/>
      <c r="BM30" s="23"/>
    </row>
    <row r="31" spans="1:65" ht="12.75" hidden="1" customHeight="1" outlineLevel="1" x14ac:dyDescent="0.2">
      <c r="A31" s="95" t="s">
        <v>76</v>
      </c>
      <c r="B31" s="62">
        <v>0</v>
      </c>
      <c r="C31" s="54">
        <v>0</v>
      </c>
      <c r="D31" s="54">
        <v>653.28</v>
      </c>
      <c r="E31" s="63"/>
      <c r="F31" s="64">
        <v>0</v>
      </c>
      <c r="G31" s="65">
        <v>0</v>
      </c>
      <c r="H31" s="54">
        <v>0</v>
      </c>
      <c r="I31" s="54">
        <v>0</v>
      </c>
      <c r="J31" s="54">
        <v>0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0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0</v>
      </c>
      <c r="AH31" s="67">
        <v>0</v>
      </c>
      <c r="AI31" s="67">
        <v>0</v>
      </c>
      <c r="AJ31" s="67">
        <v>653.28</v>
      </c>
      <c r="AK31" s="67">
        <v>0</v>
      </c>
      <c r="AL31" s="67">
        <v>0</v>
      </c>
      <c r="AM31" s="67">
        <v>0</v>
      </c>
      <c r="AN31" s="67">
        <v>0</v>
      </c>
      <c r="AO31" s="67">
        <v>0</v>
      </c>
      <c r="AP31" s="67">
        <v>0</v>
      </c>
      <c r="AQ31" s="67">
        <v>0</v>
      </c>
      <c r="AR31" s="67">
        <v>0</v>
      </c>
      <c r="AS31" s="68">
        <v>653.28</v>
      </c>
      <c r="AT31" s="63"/>
      <c r="AU31" s="63">
        <v>0</v>
      </c>
      <c r="BM31" s="23"/>
    </row>
    <row r="32" spans="1:65" ht="12.75" hidden="1" customHeight="1" outlineLevel="1" x14ac:dyDescent="0.2">
      <c r="A32" s="95" t="s">
        <v>77</v>
      </c>
      <c r="B32" s="62">
        <v>0</v>
      </c>
      <c r="C32" s="54">
        <v>0</v>
      </c>
      <c r="D32" s="54">
        <v>23.59</v>
      </c>
      <c r="E32" s="63"/>
      <c r="F32" s="64">
        <v>0</v>
      </c>
      <c r="G32" s="65">
        <v>28.33</v>
      </c>
      <c r="H32" s="54">
        <v>28.33</v>
      </c>
      <c r="I32" s="54">
        <v>0</v>
      </c>
      <c r="J32" s="54">
        <v>0</v>
      </c>
      <c r="K32" s="54">
        <v>0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66">
        <v>56.66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66">
        <v>0</v>
      </c>
      <c r="AG32" s="67">
        <v>23.59</v>
      </c>
      <c r="AH32" s="67">
        <v>23.59</v>
      </c>
      <c r="AI32" s="67">
        <v>23.59</v>
      </c>
      <c r="AJ32" s="67">
        <v>23.59</v>
      </c>
      <c r="AK32" s="67">
        <v>17</v>
      </c>
      <c r="AL32" s="67">
        <v>17</v>
      </c>
      <c r="AM32" s="67">
        <v>17</v>
      </c>
      <c r="AN32" s="67">
        <v>17</v>
      </c>
      <c r="AO32" s="67">
        <v>17</v>
      </c>
      <c r="AP32" s="67">
        <v>28.33</v>
      </c>
      <c r="AQ32" s="67">
        <v>28.33</v>
      </c>
      <c r="AR32" s="67">
        <v>28.33</v>
      </c>
      <c r="AS32" s="68">
        <v>94.36</v>
      </c>
      <c r="AT32" s="63"/>
      <c r="AU32" s="63">
        <v>60.046629927935562</v>
      </c>
      <c r="BM32" s="23"/>
    </row>
    <row r="33" spans="1:65" ht="12.75" customHeight="1" collapsed="1" x14ac:dyDescent="0.2">
      <c r="A33" s="69" t="s">
        <v>177</v>
      </c>
      <c r="B33" s="70">
        <v>105.47</v>
      </c>
      <c r="C33" s="71">
        <v>0</v>
      </c>
      <c r="D33" s="71">
        <v>1478.77</v>
      </c>
      <c r="E33" s="72"/>
      <c r="F33" s="73">
        <v>7.1322788533713828</v>
      </c>
      <c r="G33" s="70">
        <v>179.34</v>
      </c>
      <c r="H33" s="71">
        <v>165.89</v>
      </c>
      <c r="I33" s="71">
        <v>378.57</v>
      </c>
      <c r="J33" s="71">
        <v>105.47</v>
      </c>
      <c r="K33" s="71">
        <v>98.18</v>
      </c>
      <c r="L33" s="71">
        <v>56.61</v>
      </c>
      <c r="M33" s="71">
        <v>3719.02</v>
      </c>
      <c r="N33" s="71">
        <v>77.959999999999994</v>
      </c>
      <c r="O33" s="71">
        <v>53.3</v>
      </c>
      <c r="P33" s="74">
        <v>-90.57</v>
      </c>
      <c r="Q33" s="71">
        <v>173.03</v>
      </c>
      <c r="R33" s="71">
        <v>42.18</v>
      </c>
      <c r="S33" s="71">
        <v>829.27</v>
      </c>
      <c r="T33" s="71">
        <v>0</v>
      </c>
      <c r="U33" s="71">
        <v>0</v>
      </c>
      <c r="V33" s="71">
        <v>0</v>
      </c>
      <c r="W33" s="71">
        <v>0</v>
      </c>
      <c r="X33" s="71">
        <v>0</v>
      </c>
      <c r="Y33" s="71">
        <v>0</v>
      </c>
      <c r="Z33" s="71">
        <v>0</v>
      </c>
      <c r="AA33" s="71">
        <v>0</v>
      </c>
      <c r="AB33" s="71">
        <v>0</v>
      </c>
      <c r="AC33" s="71">
        <v>0</v>
      </c>
      <c r="AD33" s="71">
        <v>0</v>
      </c>
      <c r="AE33" s="71">
        <v>0</v>
      </c>
      <c r="AF33" s="71">
        <v>0</v>
      </c>
      <c r="AG33" s="75">
        <v>493.09</v>
      </c>
      <c r="AH33" s="75">
        <v>711.65</v>
      </c>
      <c r="AI33" s="75">
        <v>444.66</v>
      </c>
      <c r="AJ33" s="75">
        <v>1478.77</v>
      </c>
      <c r="AK33" s="75">
        <v>3283.46</v>
      </c>
      <c r="AL33" s="75">
        <v>650</v>
      </c>
      <c r="AM33" s="75">
        <v>199.57</v>
      </c>
      <c r="AN33" s="75">
        <v>197.54</v>
      </c>
      <c r="AO33" s="75">
        <v>133.15</v>
      </c>
      <c r="AP33" s="75">
        <v>175.31</v>
      </c>
      <c r="AQ33" s="75">
        <v>279.55</v>
      </c>
      <c r="AR33" s="75">
        <v>67.56</v>
      </c>
      <c r="AS33" s="75">
        <v>3128.17</v>
      </c>
      <c r="AT33" s="72"/>
      <c r="AU33" s="72">
        <v>26.509748511110331</v>
      </c>
      <c r="BK33" s="22"/>
      <c r="BM33" s="23"/>
    </row>
    <row r="34" spans="1:65" ht="12.75" hidden="1" customHeight="1" outlineLevel="1" x14ac:dyDescent="0.2">
      <c r="A34" s="95" t="s">
        <v>178</v>
      </c>
      <c r="B34" s="62">
        <v>0</v>
      </c>
      <c r="C34" s="54">
        <v>0</v>
      </c>
      <c r="D34" s="54">
        <v>457.08</v>
      </c>
      <c r="E34" s="63"/>
      <c r="F34" s="64">
        <v>0</v>
      </c>
      <c r="G34" s="65">
        <v>0</v>
      </c>
      <c r="H34" s="54">
        <v>0</v>
      </c>
      <c r="I34" s="54">
        <v>0</v>
      </c>
      <c r="J34" s="54">
        <v>0</v>
      </c>
      <c r="K34" s="54">
        <v>0</v>
      </c>
      <c r="L34" s="54">
        <v>0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66">
        <v>0</v>
      </c>
      <c r="T34" s="54">
        <v>0</v>
      </c>
      <c r="U34" s="54">
        <v>0</v>
      </c>
      <c r="V34" s="54">
        <v>0</v>
      </c>
      <c r="W34" s="54">
        <v>0</v>
      </c>
      <c r="X34" s="54">
        <v>0</v>
      </c>
      <c r="Y34" s="54">
        <v>0</v>
      </c>
      <c r="Z34" s="54">
        <v>0</v>
      </c>
      <c r="AA34" s="54">
        <v>0</v>
      </c>
      <c r="AB34" s="54">
        <v>0</v>
      </c>
      <c r="AC34" s="54">
        <v>0</v>
      </c>
      <c r="AD34" s="54">
        <v>0</v>
      </c>
      <c r="AE34" s="54">
        <v>0</v>
      </c>
      <c r="AF34" s="66">
        <v>0</v>
      </c>
      <c r="AG34" s="67">
        <v>0</v>
      </c>
      <c r="AH34" s="67">
        <v>0</v>
      </c>
      <c r="AI34" s="67">
        <v>0</v>
      </c>
      <c r="AJ34" s="67">
        <v>457.08</v>
      </c>
      <c r="AK34" s="67">
        <v>0</v>
      </c>
      <c r="AL34" s="67">
        <v>0</v>
      </c>
      <c r="AM34" s="67">
        <v>0</v>
      </c>
      <c r="AN34" s="67">
        <v>0</v>
      </c>
      <c r="AO34" s="67">
        <v>0</v>
      </c>
      <c r="AP34" s="67">
        <v>0</v>
      </c>
      <c r="AQ34" s="67">
        <v>0</v>
      </c>
      <c r="AR34" s="67">
        <v>0</v>
      </c>
      <c r="AS34" s="68">
        <v>457.08</v>
      </c>
      <c r="AT34" s="63"/>
      <c r="AU34" s="63">
        <v>0</v>
      </c>
      <c r="BM34" s="23"/>
    </row>
    <row r="35" spans="1:65" ht="12.75" hidden="1" customHeight="1" outlineLevel="1" x14ac:dyDescent="0.2">
      <c r="A35" s="95" t="s">
        <v>179</v>
      </c>
      <c r="B35" s="62">
        <v>100.21</v>
      </c>
      <c r="C35" s="54">
        <v>0</v>
      </c>
      <c r="D35" s="54">
        <v>363.59</v>
      </c>
      <c r="E35" s="63"/>
      <c r="F35" s="64">
        <v>27.561264061167797</v>
      </c>
      <c r="G35" s="65">
        <v>43.65</v>
      </c>
      <c r="H35" s="54">
        <v>179.46</v>
      </c>
      <c r="I35" s="54">
        <v>267.35000000000002</v>
      </c>
      <c r="J35" s="54">
        <v>100.21</v>
      </c>
      <c r="K35" s="54">
        <v>258.45999999999998</v>
      </c>
      <c r="L35" s="54">
        <v>267.95</v>
      </c>
      <c r="M35" s="54">
        <v>203.15</v>
      </c>
      <c r="N35" s="54">
        <v>4</v>
      </c>
      <c r="O35" s="54">
        <v>6.67</v>
      </c>
      <c r="P35" s="54">
        <v>6.67</v>
      </c>
      <c r="Q35" s="54">
        <v>300.62</v>
      </c>
      <c r="R35" s="54">
        <v>306.19</v>
      </c>
      <c r="S35" s="66">
        <v>590.66999999999996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32.159999999999997</v>
      </c>
      <c r="AH35" s="67">
        <v>71.47</v>
      </c>
      <c r="AI35" s="67">
        <v>145.94</v>
      </c>
      <c r="AJ35" s="67">
        <v>363.59</v>
      </c>
      <c r="AK35" s="67">
        <v>6229.96</v>
      </c>
      <c r="AL35" s="67">
        <v>36.11</v>
      </c>
      <c r="AM35" s="67">
        <v>198.51</v>
      </c>
      <c r="AN35" s="67">
        <v>199.98</v>
      </c>
      <c r="AO35" s="67">
        <v>173.4</v>
      </c>
      <c r="AP35" s="67">
        <v>45.47</v>
      </c>
      <c r="AQ35" s="67">
        <v>38.76</v>
      </c>
      <c r="AR35" s="67">
        <v>75.260000000000005</v>
      </c>
      <c r="AS35" s="68">
        <v>613.16</v>
      </c>
      <c r="AT35" s="63"/>
      <c r="AU35" s="63">
        <v>96.332115597886357</v>
      </c>
      <c r="BK35" s="22"/>
      <c r="BM35" s="23"/>
    </row>
    <row r="36" spans="1:65" ht="12.75" hidden="1" customHeight="1" outlineLevel="1" x14ac:dyDescent="0.2">
      <c r="A36" s="95" t="s">
        <v>180</v>
      </c>
      <c r="B36" s="62">
        <v>553.64</v>
      </c>
      <c r="C36" s="54">
        <v>0</v>
      </c>
      <c r="D36" s="54">
        <v>0</v>
      </c>
      <c r="E36" s="63"/>
      <c r="F36" s="64"/>
      <c r="G36" s="65">
        <v>418.51</v>
      </c>
      <c r="H36" s="54">
        <v>0</v>
      </c>
      <c r="I36" s="54">
        <v>0</v>
      </c>
      <c r="J36" s="54">
        <v>553.64</v>
      </c>
      <c r="K36" s="54">
        <v>452.82</v>
      </c>
      <c r="L36" s="54">
        <v>710.08</v>
      </c>
      <c r="M36" s="54">
        <v>0</v>
      </c>
      <c r="N36" s="54">
        <v>0</v>
      </c>
      <c r="O36" s="54">
        <v>2177.0700000000002</v>
      </c>
      <c r="P36" s="54">
        <v>1151.93</v>
      </c>
      <c r="Q36" s="54">
        <v>0</v>
      </c>
      <c r="R36" s="54">
        <v>3621.91</v>
      </c>
      <c r="S36" s="66">
        <v>972.15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>
        <v>0</v>
      </c>
      <c r="AH36" s="67">
        <v>0</v>
      </c>
      <c r="AI36" s="67">
        <v>0</v>
      </c>
      <c r="AJ36" s="67">
        <v>0</v>
      </c>
      <c r="AK36" s="67">
        <v>1389.49</v>
      </c>
      <c r="AL36" s="67">
        <v>1333.76</v>
      </c>
      <c r="AM36" s="67">
        <v>30</v>
      </c>
      <c r="AN36" s="67">
        <v>372.2</v>
      </c>
      <c r="AO36" s="67">
        <v>1356.76</v>
      </c>
      <c r="AP36" s="67">
        <v>0</v>
      </c>
      <c r="AQ36" s="67">
        <v>0</v>
      </c>
      <c r="AR36" s="67">
        <v>0</v>
      </c>
      <c r="AS36" s="68">
        <v>0</v>
      </c>
      <c r="AT36" s="63"/>
      <c r="AU36" s="63"/>
      <c r="AW36" s="22"/>
      <c r="BC36" s="22"/>
      <c r="BK36" s="22"/>
      <c r="BM36" s="23"/>
    </row>
    <row r="37" spans="1:65" ht="12.75" hidden="1" customHeight="1" outlineLevel="1" x14ac:dyDescent="0.2">
      <c r="A37" s="95" t="s">
        <v>181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1691.88</v>
      </c>
      <c r="O37" s="54">
        <v>0</v>
      </c>
      <c r="P37" s="54">
        <v>193.3</v>
      </c>
      <c r="Q37" s="54">
        <v>1401.92</v>
      </c>
      <c r="R37" s="54">
        <v>0</v>
      </c>
      <c r="S37" s="66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0</v>
      </c>
      <c r="AM37" s="67">
        <v>0</v>
      </c>
      <c r="AN37" s="67">
        <v>0</v>
      </c>
      <c r="AO37" s="67">
        <v>0</v>
      </c>
      <c r="AP37" s="67">
        <v>0</v>
      </c>
      <c r="AQ37" s="67">
        <v>0</v>
      </c>
      <c r="AR37" s="67">
        <v>0</v>
      </c>
      <c r="AS37" s="68">
        <v>0</v>
      </c>
      <c r="AT37" s="63"/>
      <c r="AU37" s="63"/>
    </row>
    <row r="38" spans="1:65" ht="12.75" hidden="1" customHeight="1" outlineLevel="1" x14ac:dyDescent="0.2">
      <c r="A38" s="95" t="s">
        <v>182</v>
      </c>
      <c r="B38" s="62">
        <v>228.44</v>
      </c>
      <c r="C38" s="54">
        <v>0</v>
      </c>
      <c r="D38" s="54">
        <v>68.62</v>
      </c>
      <c r="E38" s="63"/>
      <c r="F38" s="64">
        <v>332.90585835033517</v>
      </c>
      <c r="G38" s="65">
        <v>471.96</v>
      </c>
      <c r="H38" s="54">
        <v>0</v>
      </c>
      <c r="I38" s="54">
        <v>0</v>
      </c>
      <c r="J38" s="54">
        <v>228.44</v>
      </c>
      <c r="K38" s="54">
        <v>0</v>
      </c>
      <c r="L38" s="54">
        <v>133.19</v>
      </c>
      <c r="M38" s="54">
        <v>1427.91</v>
      </c>
      <c r="N38" s="54">
        <v>0</v>
      </c>
      <c r="O38" s="56">
        <v>-1076.02</v>
      </c>
      <c r="P38" s="54">
        <v>632.52</v>
      </c>
      <c r="Q38" s="54">
        <v>0</v>
      </c>
      <c r="R38" s="54">
        <v>1187.73</v>
      </c>
      <c r="S38" s="66">
        <v>700.4</v>
      </c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0</v>
      </c>
      <c r="Z38" s="54">
        <v>0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66">
        <v>0</v>
      </c>
      <c r="AG38" s="67">
        <v>0</v>
      </c>
      <c r="AH38" s="67">
        <v>0</v>
      </c>
      <c r="AI38" s="67">
        <v>1441.82</v>
      </c>
      <c r="AJ38" s="67">
        <v>68.62</v>
      </c>
      <c r="AK38" s="67">
        <v>333.82</v>
      </c>
      <c r="AL38" s="67">
        <v>268.95</v>
      </c>
      <c r="AM38" s="67">
        <v>251.98</v>
      </c>
      <c r="AN38" s="67">
        <v>502.93</v>
      </c>
      <c r="AO38" s="67">
        <v>590.17999999999995</v>
      </c>
      <c r="AP38" s="67">
        <v>0</v>
      </c>
      <c r="AQ38" s="67">
        <v>0</v>
      </c>
      <c r="AR38" s="67">
        <v>0</v>
      </c>
      <c r="AS38" s="68">
        <v>1510.44</v>
      </c>
      <c r="AT38" s="63"/>
      <c r="AU38" s="63">
        <v>46.370593999099597</v>
      </c>
      <c r="BK38" s="22"/>
      <c r="BM38" s="23"/>
    </row>
    <row r="39" spans="1:65" ht="12.75" hidden="1" customHeight="1" outlineLevel="1" x14ac:dyDescent="0.2">
      <c r="A39" s="95" t="s">
        <v>183</v>
      </c>
      <c r="B39" s="62">
        <v>0</v>
      </c>
      <c r="C39" s="54">
        <v>0</v>
      </c>
      <c r="D39" s="54">
        <v>0</v>
      </c>
      <c r="E39" s="63"/>
      <c r="F39" s="64"/>
      <c r="G39" s="65">
        <v>0</v>
      </c>
      <c r="H39" s="54">
        <v>0</v>
      </c>
      <c r="I39" s="54">
        <v>0</v>
      </c>
      <c r="J39" s="54">
        <v>0</v>
      </c>
      <c r="K39" s="54">
        <v>0</v>
      </c>
      <c r="L39" s="54">
        <v>0</v>
      </c>
      <c r="M39" s="54">
        <v>0</v>
      </c>
      <c r="N39" s="54">
        <v>11458.19</v>
      </c>
      <c r="O39" s="54">
        <v>5946.84</v>
      </c>
      <c r="P39" s="56">
        <v>-7022.83</v>
      </c>
      <c r="Q39" s="56">
        <v>-139.16999999999999</v>
      </c>
      <c r="R39" s="54">
        <v>12881.2</v>
      </c>
      <c r="S39" s="66">
        <v>0</v>
      </c>
      <c r="T39" s="54">
        <v>0</v>
      </c>
      <c r="U39" s="54">
        <v>0</v>
      </c>
      <c r="V39" s="54">
        <v>0</v>
      </c>
      <c r="W39" s="54">
        <v>0</v>
      </c>
      <c r="X39" s="54">
        <v>0</v>
      </c>
      <c r="Y39" s="54">
        <v>0</v>
      </c>
      <c r="Z39" s="54">
        <v>0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66">
        <v>0</v>
      </c>
      <c r="AG39" s="67">
        <v>0</v>
      </c>
      <c r="AH39" s="67">
        <v>0</v>
      </c>
      <c r="AI39" s="67">
        <v>0</v>
      </c>
      <c r="AJ39" s="67">
        <v>0</v>
      </c>
      <c r="AK39" s="67">
        <v>0</v>
      </c>
      <c r="AL39" s="67">
        <v>0</v>
      </c>
      <c r="AM39" s="67">
        <v>0</v>
      </c>
      <c r="AN39" s="67">
        <v>0</v>
      </c>
      <c r="AO39" s="67">
        <v>0</v>
      </c>
      <c r="AP39" s="67">
        <v>0</v>
      </c>
      <c r="AQ39" s="67">
        <v>0</v>
      </c>
      <c r="AR39" s="67">
        <v>0</v>
      </c>
      <c r="AS39" s="68">
        <v>0</v>
      </c>
      <c r="AT39" s="63"/>
      <c r="AU39" s="63"/>
    </row>
    <row r="40" spans="1:65" ht="12.75" hidden="1" customHeight="1" outlineLevel="1" x14ac:dyDescent="0.2">
      <c r="A40" s="95" t="s">
        <v>184</v>
      </c>
      <c r="B40" s="62">
        <v>0</v>
      </c>
      <c r="C40" s="54">
        <v>0</v>
      </c>
      <c r="D40" s="54">
        <v>0</v>
      </c>
      <c r="E40" s="63"/>
      <c r="F40" s="64"/>
      <c r="G40" s="65">
        <v>0</v>
      </c>
      <c r="H40" s="54">
        <v>0</v>
      </c>
      <c r="I40" s="54">
        <v>0</v>
      </c>
      <c r="J40" s="54">
        <v>0</v>
      </c>
      <c r="K40" s="54">
        <v>0</v>
      </c>
      <c r="L40" s="54">
        <v>2224.1799999999998</v>
      </c>
      <c r="M40" s="56">
        <v>-2224.1799999999998</v>
      </c>
      <c r="N40" s="54">
        <v>0</v>
      </c>
      <c r="O40" s="54">
        <v>0</v>
      </c>
      <c r="P40" s="54">
        <v>0</v>
      </c>
      <c r="Q40" s="54">
        <v>280.66000000000003</v>
      </c>
      <c r="R40" s="56">
        <v>-280.66000000000003</v>
      </c>
      <c r="S40" s="66">
        <v>0</v>
      </c>
      <c r="T40" s="54">
        <v>0</v>
      </c>
      <c r="U40" s="54">
        <v>0</v>
      </c>
      <c r="V40" s="54">
        <v>0</v>
      </c>
      <c r="W40" s="54">
        <v>0</v>
      </c>
      <c r="X40" s="54">
        <v>0</v>
      </c>
      <c r="Y40" s="54">
        <v>0</v>
      </c>
      <c r="Z40" s="54">
        <v>0</v>
      </c>
      <c r="AA40" s="54">
        <v>0</v>
      </c>
      <c r="AB40" s="54">
        <v>0</v>
      </c>
      <c r="AC40" s="54">
        <v>0</v>
      </c>
      <c r="AD40" s="54">
        <v>0</v>
      </c>
      <c r="AE40" s="54">
        <v>0</v>
      </c>
      <c r="AF40" s="66">
        <v>0</v>
      </c>
      <c r="AG40" s="67">
        <v>0</v>
      </c>
      <c r="AH40" s="67">
        <v>0</v>
      </c>
      <c r="AI40" s="67">
        <v>0</v>
      </c>
      <c r="AJ40" s="67">
        <v>0</v>
      </c>
      <c r="AK40" s="67">
        <v>35</v>
      </c>
      <c r="AL40" s="67">
        <v>0</v>
      </c>
      <c r="AM40" s="67">
        <v>0</v>
      </c>
      <c r="AN40" s="67">
        <v>0</v>
      </c>
      <c r="AO40" s="67">
        <v>0</v>
      </c>
      <c r="AP40" s="67">
        <v>0</v>
      </c>
      <c r="AQ40" s="67">
        <v>0</v>
      </c>
      <c r="AR40" s="67">
        <v>0</v>
      </c>
      <c r="AS40" s="68">
        <v>0</v>
      </c>
      <c r="AT40" s="63"/>
      <c r="AU40" s="63"/>
      <c r="BM40" s="23"/>
    </row>
    <row r="41" spans="1:65" ht="12.75" hidden="1" customHeight="1" outlineLevel="1" x14ac:dyDescent="0.2">
      <c r="A41" s="95" t="s">
        <v>185</v>
      </c>
      <c r="B41" s="62">
        <v>0</v>
      </c>
      <c r="C41" s="54">
        <v>0</v>
      </c>
      <c r="D41" s="54">
        <v>0</v>
      </c>
      <c r="E41" s="63"/>
      <c r="F41" s="64"/>
      <c r="G41" s="65">
        <v>0</v>
      </c>
      <c r="H41" s="54">
        <v>0</v>
      </c>
      <c r="I41" s="54">
        <v>0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66">
        <v>0</v>
      </c>
      <c r="T41" s="54">
        <v>0</v>
      </c>
      <c r="U41" s="54">
        <v>0</v>
      </c>
      <c r="V41" s="54">
        <v>0</v>
      </c>
      <c r="W41" s="54">
        <v>0</v>
      </c>
      <c r="X41" s="54">
        <v>0</v>
      </c>
      <c r="Y41" s="54">
        <v>0</v>
      </c>
      <c r="Z41" s="54">
        <v>0</v>
      </c>
      <c r="AA41" s="54">
        <v>0</v>
      </c>
      <c r="AB41" s="54">
        <v>0</v>
      </c>
      <c r="AC41" s="54">
        <v>0</v>
      </c>
      <c r="AD41" s="54">
        <v>0</v>
      </c>
      <c r="AE41" s="54">
        <v>0</v>
      </c>
      <c r="AF41" s="66">
        <v>0</v>
      </c>
      <c r="AG41" s="67">
        <v>0</v>
      </c>
      <c r="AH41" s="67">
        <v>0</v>
      </c>
      <c r="AI41" s="67">
        <v>0</v>
      </c>
      <c r="AJ41" s="67">
        <v>0</v>
      </c>
      <c r="AK41" s="67">
        <v>0</v>
      </c>
      <c r="AL41" s="67">
        <v>0</v>
      </c>
      <c r="AM41" s="67">
        <v>0</v>
      </c>
      <c r="AN41" s="67">
        <v>0</v>
      </c>
      <c r="AO41" s="67">
        <v>0</v>
      </c>
      <c r="AP41" s="67">
        <v>0</v>
      </c>
      <c r="AQ41" s="67">
        <v>0</v>
      </c>
      <c r="AR41" s="67">
        <v>0</v>
      </c>
      <c r="AS41" s="68">
        <v>0</v>
      </c>
      <c r="AT41" s="63"/>
      <c r="AU41" s="63"/>
    </row>
    <row r="42" spans="1:65" ht="12.75" hidden="1" customHeight="1" outlineLevel="1" x14ac:dyDescent="0.2">
      <c r="A42" s="95" t="s">
        <v>186</v>
      </c>
      <c r="B42" s="62">
        <v>0</v>
      </c>
      <c r="C42" s="54">
        <v>0</v>
      </c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0</v>
      </c>
      <c r="AH42" s="67">
        <v>0</v>
      </c>
      <c r="AI42" s="67">
        <v>415.11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0</v>
      </c>
      <c r="AS42" s="68">
        <v>415.11</v>
      </c>
      <c r="AT42" s="63"/>
      <c r="AU42" s="63">
        <v>0</v>
      </c>
      <c r="BM42" s="23"/>
    </row>
    <row r="43" spans="1:65" ht="12.75" hidden="1" customHeight="1" outlineLevel="1" x14ac:dyDescent="0.2">
      <c r="A43" s="95" t="s">
        <v>187</v>
      </c>
      <c r="B43" s="62">
        <v>0</v>
      </c>
      <c r="C43" s="54">
        <v>0</v>
      </c>
      <c r="D43" s="54">
        <v>0</v>
      </c>
      <c r="E43" s="63"/>
      <c r="F43" s="64"/>
      <c r="G43" s="65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66">
        <v>0</v>
      </c>
      <c r="T43" s="54">
        <v>0</v>
      </c>
      <c r="U43" s="54">
        <v>0</v>
      </c>
      <c r="V43" s="54">
        <v>0</v>
      </c>
      <c r="W43" s="54">
        <v>0</v>
      </c>
      <c r="X43" s="54">
        <v>0</v>
      </c>
      <c r="Y43" s="54">
        <v>0</v>
      </c>
      <c r="Z43" s="54">
        <v>0</v>
      </c>
      <c r="AA43" s="54">
        <v>0</v>
      </c>
      <c r="AB43" s="54">
        <v>0</v>
      </c>
      <c r="AC43" s="54">
        <v>0</v>
      </c>
      <c r="AD43" s="54">
        <v>0</v>
      </c>
      <c r="AE43" s="54">
        <v>0</v>
      </c>
      <c r="AF43" s="66">
        <v>0</v>
      </c>
      <c r="AG43" s="67">
        <v>0</v>
      </c>
      <c r="AH43" s="67">
        <v>0</v>
      </c>
      <c r="AI43" s="67">
        <v>64.98</v>
      </c>
      <c r="AJ43" s="67">
        <v>0</v>
      </c>
      <c r="AK43" s="67">
        <v>0</v>
      </c>
      <c r="AL43" s="67">
        <v>0</v>
      </c>
      <c r="AM43" s="67">
        <v>0</v>
      </c>
      <c r="AN43" s="67">
        <v>0</v>
      </c>
      <c r="AO43" s="67">
        <v>0</v>
      </c>
      <c r="AP43" s="67">
        <v>0</v>
      </c>
      <c r="AQ43" s="67">
        <v>0</v>
      </c>
      <c r="AR43" s="67">
        <v>0</v>
      </c>
      <c r="AS43" s="68">
        <v>64.98</v>
      </c>
      <c r="AT43" s="63"/>
      <c r="AU43" s="63">
        <v>0</v>
      </c>
      <c r="BM43" s="23"/>
    </row>
    <row r="44" spans="1:65" ht="12.75" hidden="1" customHeight="1" outlineLevel="1" x14ac:dyDescent="0.2">
      <c r="A44" s="95" t="s">
        <v>188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65" ht="12.75" hidden="1" customHeight="1" outlineLevel="1" x14ac:dyDescent="0.2">
      <c r="A45" s="95" t="s">
        <v>189</v>
      </c>
      <c r="B45" s="62"/>
      <c r="C45" s="54"/>
      <c r="D45" s="54"/>
      <c r="E45" s="63"/>
      <c r="F45" s="64"/>
      <c r="G45" s="65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66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66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8"/>
      <c r="AT45" s="63"/>
      <c r="AU45" s="63"/>
    </row>
    <row r="46" spans="1:65" ht="12.75" hidden="1" customHeight="1" outlineLevel="1" x14ac:dyDescent="0.2">
      <c r="A46" s="95" t="s">
        <v>190</v>
      </c>
      <c r="B46" s="62">
        <v>0</v>
      </c>
      <c r="C46" s="54">
        <v>0</v>
      </c>
      <c r="D46" s="54">
        <v>0</v>
      </c>
      <c r="E46" s="63"/>
      <c r="F46" s="64"/>
      <c r="G46" s="65">
        <v>0</v>
      </c>
      <c r="H46" s="54">
        <v>0</v>
      </c>
      <c r="I46" s="54">
        <v>0</v>
      </c>
      <c r="J46" s="54">
        <v>0</v>
      </c>
      <c r="K46" s="54">
        <v>0</v>
      </c>
      <c r="L46" s="54">
        <v>0</v>
      </c>
      <c r="M46" s="54">
        <v>0</v>
      </c>
      <c r="N46" s="54">
        <v>99.09</v>
      </c>
      <c r="O46" s="54">
        <v>0</v>
      </c>
      <c r="P46" s="54">
        <v>0</v>
      </c>
      <c r="Q46" s="54">
        <v>0</v>
      </c>
      <c r="R46" s="54">
        <v>5000</v>
      </c>
      <c r="S46" s="66">
        <v>0</v>
      </c>
      <c r="T46" s="54">
        <v>0</v>
      </c>
      <c r="U46" s="54">
        <v>0</v>
      </c>
      <c r="V46" s="54">
        <v>0</v>
      </c>
      <c r="W46" s="54">
        <v>0</v>
      </c>
      <c r="X46" s="54">
        <v>0</v>
      </c>
      <c r="Y46" s="54">
        <v>0</v>
      </c>
      <c r="Z46" s="54">
        <v>0</v>
      </c>
      <c r="AA46" s="54">
        <v>0</v>
      </c>
      <c r="AB46" s="54">
        <v>0</v>
      </c>
      <c r="AC46" s="54">
        <v>0</v>
      </c>
      <c r="AD46" s="54">
        <v>0</v>
      </c>
      <c r="AE46" s="54">
        <v>0</v>
      </c>
      <c r="AF46" s="66">
        <v>0</v>
      </c>
      <c r="AG46" s="67">
        <v>0</v>
      </c>
      <c r="AH46" s="67">
        <v>0</v>
      </c>
      <c r="AI46" s="67">
        <v>0</v>
      </c>
      <c r="AJ46" s="67">
        <v>0</v>
      </c>
      <c r="AK46" s="67">
        <v>0</v>
      </c>
      <c r="AL46" s="67">
        <v>0</v>
      </c>
      <c r="AM46" s="67">
        <v>0</v>
      </c>
      <c r="AN46" s="67">
        <v>0</v>
      </c>
      <c r="AO46" s="67">
        <v>73.010000000000005</v>
      </c>
      <c r="AP46" s="67">
        <v>0</v>
      </c>
      <c r="AQ46" s="67">
        <v>0</v>
      </c>
      <c r="AR46" s="67">
        <v>0</v>
      </c>
      <c r="AS46" s="68">
        <v>0</v>
      </c>
      <c r="AT46" s="63"/>
      <c r="AU46" s="63"/>
      <c r="BM46" s="23"/>
    </row>
    <row r="47" spans="1:65" ht="12.75" hidden="1" customHeight="1" outlineLevel="1" x14ac:dyDescent="0.2">
      <c r="A47" s="95" t="s">
        <v>191</v>
      </c>
      <c r="B47" s="62">
        <v>0</v>
      </c>
      <c r="C47" s="54">
        <v>0</v>
      </c>
      <c r="D47" s="54">
        <v>0</v>
      </c>
      <c r="E47" s="63"/>
      <c r="F47" s="64"/>
      <c r="G47" s="65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54">
        <v>0</v>
      </c>
      <c r="N47" s="54">
        <v>118</v>
      </c>
      <c r="O47" s="54">
        <v>0</v>
      </c>
      <c r="P47" s="54">
        <v>0</v>
      </c>
      <c r="Q47" s="54">
        <v>0</v>
      </c>
      <c r="R47" s="54">
        <v>0</v>
      </c>
      <c r="S47" s="66">
        <v>0</v>
      </c>
      <c r="T47" s="54">
        <v>0</v>
      </c>
      <c r="U47" s="54">
        <v>0</v>
      </c>
      <c r="V47" s="54">
        <v>0</v>
      </c>
      <c r="W47" s="54">
        <v>0</v>
      </c>
      <c r="X47" s="54">
        <v>0</v>
      </c>
      <c r="Y47" s="54">
        <v>0</v>
      </c>
      <c r="Z47" s="54">
        <v>0</v>
      </c>
      <c r="AA47" s="54">
        <v>0</v>
      </c>
      <c r="AB47" s="54">
        <v>0</v>
      </c>
      <c r="AC47" s="54">
        <v>0</v>
      </c>
      <c r="AD47" s="54">
        <v>0</v>
      </c>
      <c r="AE47" s="54">
        <v>0</v>
      </c>
      <c r="AF47" s="66">
        <v>0</v>
      </c>
      <c r="AG47" s="67">
        <v>0</v>
      </c>
      <c r="AH47" s="67">
        <v>0</v>
      </c>
      <c r="AI47" s="67">
        <v>0</v>
      </c>
      <c r="AJ47" s="67">
        <v>0</v>
      </c>
      <c r="AK47" s="67">
        <v>0</v>
      </c>
      <c r="AL47" s="67">
        <v>0</v>
      </c>
      <c r="AM47" s="67">
        <v>0</v>
      </c>
      <c r="AN47" s="67">
        <v>0</v>
      </c>
      <c r="AO47" s="67">
        <v>0</v>
      </c>
      <c r="AP47" s="67">
        <v>0</v>
      </c>
      <c r="AQ47" s="67">
        <v>0</v>
      </c>
      <c r="AR47" s="67">
        <v>0</v>
      </c>
      <c r="AS47" s="68">
        <v>0</v>
      </c>
      <c r="AT47" s="63"/>
      <c r="AU47" s="63"/>
    </row>
    <row r="48" spans="1:65" ht="12.75" customHeight="1" collapsed="1" x14ac:dyDescent="0.2">
      <c r="A48" s="69" t="s">
        <v>192</v>
      </c>
      <c r="B48" s="70">
        <v>882.29</v>
      </c>
      <c r="C48" s="71">
        <v>0</v>
      </c>
      <c r="D48" s="71">
        <v>889.29</v>
      </c>
      <c r="E48" s="72"/>
      <c r="F48" s="73">
        <v>99.212855199091408</v>
      </c>
      <c r="G48" s="70">
        <v>934.12</v>
      </c>
      <c r="H48" s="71">
        <v>179.46</v>
      </c>
      <c r="I48" s="71">
        <v>267.35000000000002</v>
      </c>
      <c r="J48" s="71">
        <v>882.29</v>
      </c>
      <c r="K48" s="71">
        <v>711.28</v>
      </c>
      <c r="L48" s="71">
        <v>3335.4</v>
      </c>
      <c r="M48" s="74">
        <v>-593.12</v>
      </c>
      <c r="N48" s="71">
        <v>13371.16</v>
      </c>
      <c r="O48" s="71">
        <v>7054.56</v>
      </c>
      <c r="P48" s="74">
        <v>-5038.41</v>
      </c>
      <c r="Q48" s="71">
        <v>1844.03</v>
      </c>
      <c r="R48" s="71">
        <v>22716.37</v>
      </c>
      <c r="S48" s="71">
        <v>2263.2199999999998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71">
        <v>0</v>
      </c>
      <c r="AE48" s="71">
        <v>0</v>
      </c>
      <c r="AF48" s="71">
        <v>0</v>
      </c>
      <c r="AG48" s="75">
        <v>32.159999999999997</v>
      </c>
      <c r="AH48" s="75">
        <v>71.47</v>
      </c>
      <c r="AI48" s="75">
        <v>2067.85</v>
      </c>
      <c r="AJ48" s="75">
        <v>889.29</v>
      </c>
      <c r="AK48" s="75">
        <v>7988.27</v>
      </c>
      <c r="AL48" s="75">
        <v>1638.82</v>
      </c>
      <c r="AM48" s="75">
        <v>480.49</v>
      </c>
      <c r="AN48" s="75">
        <v>1075.1099999999999</v>
      </c>
      <c r="AO48" s="75">
        <v>2193.35</v>
      </c>
      <c r="AP48" s="75">
        <v>45.47</v>
      </c>
      <c r="AQ48" s="75">
        <v>38.76</v>
      </c>
      <c r="AR48" s="75">
        <v>75.260000000000005</v>
      </c>
      <c r="AS48" s="75">
        <v>3060.77</v>
      </c>
      <c r="AT48" s="72"/>
      <c r="AU48" s="72">
        <v>73.942831379032071</v>
      </c>
      <c r="AW48" s="22"/>
      <c r="BA48" s="22"/>
      <c r="BC48" s="22"/>
      <c r="BK48" s="22"/>
      <c r="BM48" s="23"/>
    </row>
    <row r="49" spans="1:65" ht="12.75" hidden="1" customHeight="1" outlineLevel="1" x14ac:dyDescent="0.2">
      <c r="A49" s="95" t="s">
        <v>194</v>
      </c>
      <c r="B49" s="62">
        <v>0</v>
      </c>
      <c r="C49" s="54">
        <v>0</v>
      </c>
      <c r="D49" s="54">
        <v>0</v>
      </c>
      <c r="E49" s="63"/>
      <c r="F49" s="64"/>
      <c r="G49" s="65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54">
        <v>0</v>
      </c>
      <c r="N49" s="54">
        <v>0</v>
      </c>
      <c r="O49" s="54">
        <v>0</v>
      </c>
      <c r="P49" s="54">
        <v>0</v>
      </c>
      <c r="Q49" s="54">
        <v>0</v>
      </c>
      <c r="R49" s="54">
        <v>0</v>
      </c>
      <c r="S49" s="66">
        <v>0</v>
      </c>
      <c r="T49" s="54">
        <v>0</v>
      </c>
      <c r="U49" s="54">
        <v>0</v>
      </c>
      <c r="V49" s="54">
        <v>0</v>
      </c>
      <c r="W49" s="54">
        <v>0</v>
      </c>
      <c r="X49" s="54">
        <v>0</v>
      </c>
      <c r="Y49" s="54">
        <v>0</v>
      </c>
      <c r="Z49" s="54">
        <v>0</v>
      </c>
      <c r="AA49" s="54">
        <v>0</v>
      </c>
      <c r="AB49" s="54">
        <v>0</v>
      </c>
      <c r="AC49" s="54">
        <v>0</v>
      </c>
      <c r="AD49" s="54">
        <v>0</v>
      </c>
      <c r="AE49" s="54">
        <v>0</v>
      </c>
      <c r="AF49" s="66">
        <v>0</v>
      </c>
      <c r="AG49" s="67">
        <v>0</v>
      </c>
      <c r="AH49" s="67">
        <v>0</v>
      </c>
      <c r="AI49" s="67">
        <v>0</v>
      </c>
      <c r="AJ49" s="67">
        <v>0</v>
      </c>
      <c r="AK49" s="67">
        <v>0</v>
      </c>
      <c r="AL49" s="67">
        <v>0</v>
      </c>
      <c r="AM49" s="67">
        <v>0</v>
      </c>
      <c r="AN49" s="67">
        <v>0</v>
      </c>
      <c r="AO49" s="67">
        <v>0</v>
      </c>
      <c r="AP49" s="67">
        <v>0</v>
      </c>
      <c r="AQ49" s="67">
        <v>0</v>
      </c>
      <c r="AR49" s="67">
        <v>0</v>
      </c>
      <c r="AS49" s="68">
        <v>0</v>
      </c>
      <c r="AT49" s="63"/>
      <c r="AU49" s="63"/>
    </row>
    <row r="50" spans="1:65" ht="12.75" hidden="1" customHeight="1" outlineLevel="1" x14ac:dyDescent="0.2">
      <c r="A50" s="95" t="s">
        <v>193</v>
      </c>
      <c r="B50" s="62"/>
      <c r="C50" s="54"/>
      <c r="D50" s="54"/>
      <c r="E50" s="63"/>
      <c r="F50" s="64"/>
      <c r="G50" s="65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66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66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8"/>
      <c r="AT50" s="63"/>
      <c r="AU50" s="63"/>
    </row>
    <row r="51" spans="1:65" ht="12.75" hidden="1" customHeight="1" outlineLevel="1" x14ac:dyDescent="0.2">
      <c r="A51" s="95" t="s">
        <v>195</v>
      </c>
      <c r="B51" s="62">
        <v>0</v>
      </c>
      <c r="C51" s="54"/>
      <c r="D51" s="54">
        <v>0</v>
      </c>
      <c r="E51" s="63"/>
      <c r="F51" s="64"/>
      <c r="G51" s="65">
        <v>0</v>
      </c>
      <c r="H51" s="54">
        <v>0</v>
      </c>
      <c r="I51" s="54">
        <v>0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66">
        <v>0</v>
      </c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66"/>
      <c r="AG51" s="67">
        <v>0</v>
      </c>
      <c r="AH51" s="67">
        <v>0</v>
      </c>
      <c r="AI51" s="67">
        <v>0</v>
      </c>
      <c r="AJ51" s="67">
        <v>0</v>
      </c>
      <c r="AK51" s="67">
        <v>0</v>
      </c>
      <c r="AL51" s="67">
        <v>0</v>
      </c>
      <c r="AM51" s="67">
        <v>0</v>
      </c>
      <c r="AN51" s="67">
        <v>0</v>
      </c>
      <c r="AO51" s="67">
        <v>0</v>
      </c>
      <c r="AP51" s="67">
        <v>0</v>
      </c>
      <c r="AQ51" s="67">
        <v>0</v>
      </c>
      <c r="AR51" s="67">
        <v>0</v>
      </c>
      <c r="AS51" s="68">
        <v>0</v>
      </c>
      <c r="AT51" s="63"/>
      <c r="AU51" s="63"/>
    </row>
    <row r="52" spans="1:65" ht="12.75" hidden="1" customHeight="1" outlineLevel="1" x14ac:dyDescent="0.2">
      <c r="A52" s="95" t="s">
        <v>82</v>
      </c>
      <c r="B52" s="62"/>
      <c r="C52" s="54"/>
      <c r="D52" s="54"/>
      <c r="E52" s="63"/>
      <c r="F52" s="64"/>
      <c r="G52" s="65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66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66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8"/>
      <c r="AT52" s="63"/>
      <c r="AU52" s="63"/>
    </row>
    <row r="53" spans="1:65" ht="12.75" hidden="1" customHeight="1" outlineLevel="1" x14ac:dyDescent="0.2">
      <c r="A53" s="95" t="s">
        <v>83</v>
      </c>
      <c r="B53" s="62">
        <v>0</v>
      </c>
      <c r="C53" s="54"/>
      <c r="D53" s="54">
        <v>0</v>
      </c>
      <c r="E53" s="63"/>
      <c r="F53" s="64"/>
      <c r="G53" s="65">
        <v>0</v>
      </c>
      <c r="H53" s="54">
        <v>0</v>
      </c>
      <c r="I53" s="54">
        <v>0</v>
      </c>
      <c r="J53" s="54">
        <v>0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66">
        <v>0</v>
      </c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66"/>
      <c r="AG53" s="67">
        <v>0</v>
      </c>
      <c r="AH53" s="67">
        <v>0</v>
      </c>
      <c r="AI53" s="67">
        <v>0</v>
      </c>
      <c r="AJ53" s="67">
        <v>0</v>
      </c>
      <c r="AK53" s="67">
        <v>0</v>
      </c>
      <c r="AL53" s="67">
        <v>0</v>
      </c>
      <c r="AM53" s="67">
        <v>0</v>
      </c>
      <c r="AN53" s="67">
        <v>0</v>
      </c>
      <c r="AO53" s="67">
        <v>0</v>
      </c>
      <c r="AP53" s="67">
        <v>0</v>
      </c>
      <c r="AQ53" s="67">
        <v>0</v>
      </c>
      <c r="AR53" s="67">
        <v>0</v>
      </c>
      <c r="AS53" s="68">
        <v>0</v>
      </c>
      <c r="AT53" s="63"/>
      <c r="AU53" s="63"/>
    </row>
    <row r="54" spans="1:65" ht="12.75" hidden="1" customHeight="1" outlineLevel="1" x14ac:dyDescent="0.2">
      <c r="A54" s="95" t="s">
        <v>84</v>
      </c>
      <c r="B54" s="62">
        <v>0</v>
      </c>
      <c r="C54" s="54"/>
      <c r="D54" s="54">
        <v>0</v>
      </c>
      <c r="E54" s="63"/>
      <c r="F54" s="64"/>
      <c r="G54" s="65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66">
        <v>0</v>
      </c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66"/>
      <c r="AG54" s="67">
        <v>0</v>
      </c>
      <c r="AH54" s="67">
        <v>0</v>
      </c>
      <c r="AI54" s="67">
        <v>0</v>
      </c>
      <c r="AJ54" s="67">
        <v>0</v>
      </c>
      <c r="AK54" s="67">
        <v>0</v>
      </c>
      <c r="AL54" s="67">
        <v>0</v>
      </c>
      <c r="AM54" s="67">
        <v>0</v>
      </c>
      <c r="AN54" s="67">
        <v>0</v>
      </c>
      <c r="AO54" s="67">
        <v>0</v>
      </c>
      <c r="AP54" s="67">
        <v>0</v>
      </c>
      <c r="AQ54" s="67">
        <v>0</v>
      </c>
      <c r="AR54" s="67">
        <v>0</v>
      </c>
      <c r="AS54" s="68">
        <v>0</v>
      </c>
      <c r="AT54" s="63"/>
      <c r="AU54" s="63"/>
    </row>
    <row r="55" spans="1:65" ht="12.75" hidden="1" customHeight="1" outlineLevel="1" x14ac:dyDescent="0.2">
      <c r="A55" s="95" t="s">
        <v>198</v>
      </c>
      <c r="B55" s="62">
        <v>36</v>
      </c>
      <c r="C55" s="54">
        <v>0</v>
      </c>
      <c r="D55" s="54">
        <v>0</v>
      </c>
      <c r="E55" s="63"/>
      <c r="F55" s="64"/>
      <c r="G55" s="65">
        <v>0</v>
      </c>
      <c r="H55" s="54">
        <v>0</v>
      </c>
      <c r="I55" s="54">
        <v>0</v>
      </c>
      <c r="J55" s="54">
        <v>36</v>
      </c>
      <c r="K55" s="54">
        <v>0</v>
      </c>
      <c r="L55" s="54">
        <v>0</v>
      </c>
      <c r="M55" s="54">
        <v>0</v>
      </c>
      <c r="N55" s="54">
        <v>0</v>
      </c>
      <c r="O55" s="54">
        <v>64.91</v>
      </c>
      <c r="P55" s="54">
        <v>19.09</v>
      </c>
      <c r="Q55" s="54">
        <v>0</v>
      </c>
      <c r="R55" s="54">
        <v>0</v>
      </c>
      <c r="S55" s="66">
        <v>36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66">
        <v>0</v>
      </c>
      <c r="AG55" s="67">
        <v>101.82</v>
      </c>
      <c r="AH55" s="67">
        <v>1042.74</v>
      </c>
      <c r="AI55" s="67">
        <v>1048.81</v>
      </c>
      <c r="AJ55" s="67">
        <v>0</v>
      </c>
      <c r="AK55" s="67">
        <v>0</v>
      </c>
      <c r="AL55" s="67">
        <v>70.91</v>
      </c>
      <c r="AM55" s="67">
        <v>0</v>
      </c>
      <c r="AN55" s="67">
        <v>0</v>
      </c>
      <c r="AO55" s="67">
        <v>28.19</v>
      </c>
      <c r="AP55" s="67">
        <v>0</v>
      </c>
      <c r="AQ55" s="67">
        <v>0</v>
      </c>
      <c r="AR55" s="67">
        <v>0</v>
      </c>
      <c r="AS55" s="68">
        <v>2193.37</v>
      </c>
      <c r="AT55" s="63"/>
      <c r="AU55" s="63">
        <v>1.6413099477060413</v>
      </c>
      <c r="BK55" s="22"/>
      <c r="BM55" s="23"/>
    </row>
    <row r="56" spans="1:65" ht="12.75" hidden="1" customHeight="1" outlineLevel="1" x14ac:dyDescent="0.2">
      <c r="A56" s="95" t="s">
        <v>86</v>
      </c>
      <c r="B56" s="62">
        <v>0</v>
      </c>
      <c r="C56" s="54">
        <v>0</v>
      </c>
      <c r="D56" s="54">
        <v>0</v>
      </c>
      <c r="E56" s="63"/>
      <c r="F56" s="64"/>
      <c r="G56" s="65">
        <v>0</v>
      </c>
      <c r="H56" s="54">
        <v>0</v>
      </c>
      <c r="I56" s="54">
        <v>0</v>
      </c>
      <c r="J56" s="54">
        <v>0</v>
      </c>
      <c r="K56" s="54">
        <v>1811.82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66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66">
        <v>0</v>
      </c>
      <c r="AG56" s="67">
        <v>0</v>
      </c>
      <c r="AH56" s="67">
        <v>1797.39</v>
      </c>
      <c r="AI56" s="67">
        <v>945.46</v>
      </c>
      <c r="AJ56" s="67">
        <v>0</v>
      </c>
      <c r="AK56" s="67">
        <v>0</v>
      </c>
      <c r="AL56" s="67">
        <v>0</v>
      </c>
      <c r="AM56" s="67">
        <v>0</v>
      </c>
      <c r="AN56" s="67">
        <v>0</v>
      </c>
      <c r="AO56" s="67">
        <v>0</v>
      </c>
      <c r="AP56" s="67">
        <v>0</v>
      </c>
      <c r="AQ56" s="67">
        <v>0</v>
      </c>
      <c r="AR56" s="67">
        <v>0</v>
      </c>
      <c r="AS56" s="68">
        <v>2742.85</v>
      </c>
      <c r="AT56" s="63"/>
      <c r="AU56" s="63">
        <v>0</v>
      </c>
      <c r="BK56" s="22"/>
      <c r="BM56" s="23"/>
    </row>
    <row r="57" spans="1:65" ht="12.75" hidden="1" customHeight="1" outlineLevel="1" x14ac:dyDescent="0.2">
      <c r="A57" s="95" t="s">
        <v>111</v>
      </c>
      <c r="B57" s="62"/>
      <c r="C57" s="54"/>
      <c r="D57" s="54"/>
      <c r="E57" s="63"/>
      <c r="F57" s="64"/>
      <c r="G57" s="65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66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66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8"/>
      <c r="AT57" s="63"/>
      <c r="AU57" s="63"/>
    </row>
    <row r="58" spans="1:65" ht="12.75" hidden="1" customHeight="1" outlineLevel="1" x14ac:dyDescent="0.2">
      <c r="A58" s="95" t="s">
        <v>110</v>
      </c>
      <c r="B58" s="62"/>
      <c r="C58" s="54"/>
      <c r="D58" s="54"/>
      <c r="E58" s="63"/>
      <c r="F58" s="64"/>
      <c r="G58" s="65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66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66"/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8"/>
      <c r="AT58" s="63"/>
      <c r="AU58" s="63"/>
    </row>
    <row r="59" spans="1:65" ht="12.75" hidden="1" customHeight="1" outlineLevel="1" x14ac:dyDescent="0.2">
      <c r="A59" s="95" t="s">
        <v>87</v>
      </c>
      <c r="B59" s="62">
        <v>0</v>
      </c>
      <c r="C59" s="54">
        <v>0</v>
      </c>
      <c r="D59" s="54">
        <v>0</v>
      </c>
      <c r="E59" s="63"/>
      <c r="F59" s="64"/>
      <c r="G59" s="65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66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66">
        <v>0</v>
      </c>
      <c r="AG59" s="67">
        <v>0</v>
      </c>
      <c r="AH59" s="67">
        <v>0</v>
      </c>
      <c r="AI59" s="67">
        <v>0</v>
      </c>
      <c r="AJ59" s="67">
        <v>0</v>
      </c>
      <c r="AK59" s="67">
        <v>0</v>
      </c>
      <c r="AL59" s="67">
        <v>0</v>
      </c>
      <c r="AM59" s="67">
        <v>0</v>
      </c>
      <c r="AN59" s="67">
        <v>0</v>
      </c>
      <c r="AO59" s="67">
        <v>0</v>
      </c>
      <c r="AP59" s="67">
        <v>0</v>
      </c>
      <c r="AQ59" s="67">
        <v>0</v>
      </c>
      <c r="AR59" s="67">
        <v>0</v>
      </c>
      <c r="AS59" s="68">
        <v>0</v>
      </c>
      <c r="AT59" s="63"/>
      <c r="AU59" s="63"/>
    </row>
    <row r="60" spans="1:65" ht="12.75" hidden="1" customHeight="1" outlineLevel="1" x14ac:dyDescent="0.2">
      <c r="A60" s="95" t="s">
        <v>88</v>
      </c>
      <c r="B60" s="62">
        <v>0</v>
      </c>
      <c r="C60" s="54"/>
      <c r="D60" s="54">
        <v>0</v>
      </c>
      <c r="E60" s="63"/>
      <c r="F60" s="64"/>
      <c r="G60" s="65">
        <v>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66">
        <v>0</v>
      </c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66"/>
      <c r="AG60" s="67">
        <v>0</v>
      </c>
      <c r="AH60" s="67">
        <v>0</v>
      </c>
      <c r="AI60" s="67">
        <v>0</v>
      </c>
      <c r="AJ60" s="67">
        <v>0</v>
      </c>
      <c r="AK60" s="67">
        <v>0</v>
      </c>
      <c r="AL60" s="67">
        <v>0</v>
      </c>
      <c r="AM60" s="67">
        <v>0</v>
      </c>
      <c r="AN60" s="67">
        <v>0</v>
      </c>
      <c r="AO60" s="67">
        <v>0</v>
      </c>
      <c r="AP60" s="67">
        <v>0</v>
      </c>
      <c r="AQ60" s="67">
        <v>0</v>
      </c>
      <c r="AR60" s="67">
        <v>0</v>
      </c>
      <c r="AS60" s="68">
        <v>0</v>
      </c>
      <c r="AT60" s="63"/>
      <c r="AU60" s="63"/>
    </row>
    <row r="61" spans="1:65" ht="12.75" hidden="1" customHeight="1" outlineLevel="1" x14ac:dyDescent="0.2">
      <c r="A61" s="95" t="s">
        <v>205</v>
      </c>
      <c r="B61" s="62"/>
      <c r="C61" s="54"/>
      <c r="D61" s="54"/>
      <c r="E61" s="63"/>
      <c r="F61" s="64"/>
      <c r="G61" s="65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66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66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8"/>
      <c r="AT61" s="63"/>
      <c r="AU61" s="63"/>
    </row>
    <row r="62" spans="1:65" ht="12.75" hidden="1" customHeight="1" outlineLevel="1" x14ac:dyDescent="0.2">
      <c r="A62" s="95" t="s">
        <v>206</v>
      </c>
      <c r="B62" s="62">
        <v>0</v>
      </c>
      <c r="C62" s="54"/>
      <c r="D62" s="54">
        <v>0</v>
      </c>
      <c r="E62" s="63"/>
      <c r="F62" s="64"/>
      <c r="G62" s="65">
        <v>0</v>
      </c>
      <c r="H62" s="54">
        <v>0</v>
      </c>
      <c r="I62" s="54">
        <v>0</v>
      </c>
      <c r="J62" s="54">
        <v>0</v>
      </c>
      <c r="K62" s="54">
        <v>0</v>
      </c>
      <c r="L62" s="54">
        <v>0</v>
      </c>
      <c r="M62" s="54">
        <v>0</v>
      </c>
      <c r="N62" s="54">
        <v>0</v>
      </c>
      <c r="O62" s="54">
        <v>0</v>
      </c>
      <c r="P62" s="54">
        <v>0</v>
      </c>
      <c r="Q62" s="54">
        <v>0</v>
      </c>
      <c r="R62" s="54">
        <v>0</v>
      </c>
      <c r="S62" s="66">
        <v>0</v>
      </c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66"/>
      <c r="AG62" s="67">
        <v>0</v>
      </c>
      <c r="AH62" s="67">
        <v>0</v>
      </c>
      <c r="AI62" s="67">
        <v>0</v>
      </c>
      <c r="AJ62" s="67">
        <v>0</v>
      </c>
      <c r="AK62" s="67">
        <v>0</v>
      </c>
      <c r="AL62" s="67">
        <v>0</v>
      </c>
      <c r="AM62" s="67">
        <v>0</v>
      </c>
      <c r="AN62" s="67">
        <v>0</v>
      </c>
      <c r="AO62" s="67">
        <v>0</v>
      </c>
      <c r="AP62" s="67">
        <v>0</v>
      </c>
      <c r="AQ62" s="67">
        <v>0</v>
      </c>
      <c r="AR62" s="67">
        <v>0</v>
      </c>
      <c r="AS62" s="68">
        <v>0</v>
      </c>
      <c r="AT62" s="63"/>
      <c r="AU62" s="63"/>
    </row>
    <row r="63" spans="1:65" ht="12.75" hidden="1" customHeight="1" outlineLevel="1" x14ac:dyDescent="0.2">
      <c r="A63" s="95" t="s">
        <v>89</v>
      </c>
      <c r="B63" s="62"/>
      <c r="C63" s="54"/>
      <c r="D63" s="54"/>
      <c r="E63" s="63"/>
      <c r="F63" s="64"/>
      <c r="G63" s="65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66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66"/>
      <c r="AG63" s="67"/>
      <c r="AH63" s="67"/>
      <c r="AI63" s="67"/>
      <c r="AJ63" s="67"/>
      <c r="AK63" s="67"/>
      <c r="AL63" s="67"/>
      <c r="AM63" s="67"/>
      <c r="AN63" s="67"/>
      <c r="AO63" s="67"/>
      <c r="AP63" s="67"/>
      <c r="AQ63" s="67"/>
      <c r="AR63" s="67"/>
      <c r="AS63" s="68"/>
      <c r="AT63" s="63"/>
      <c r="AU63" s="63"/>
    </row>
    <row r="64" spans="1:65" ht="12.75" hidden="1" customHeight="1" outlineLevel="1" x14ac:dyDescent="0.2">
      <c r="A64" s="95" t="s">
        <v>207</v>
      </c>
      <c r="B64" s="62"/>
      <c r="C64" s="54"/>
      <c r="D64" s="54"/>
      <c r="E64" s="63"/>
      <c r="F64" s="64"/>
      <c r="G64" s="65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66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66"/>
      <c r="AG64" s="67"/>
      <c r="AH64" s="67"/>
      <c r="AI64" s="67"/>
      <c r="AJ64" s="67"/>
      <c r="AK64" s="67"/>
      <c r="AL64" s="67"/>
      <c r="AM64" s="67"/>
      <c r="AN64" s="67"/>
      <c r="AO64" s="67"/>
      <c r="AP64" s="67"/>
      <c r="AQ64" s="67"/>
      <c r="AR64" s="67"/>
      <c r="AS64" s="68"/>
      <c r="AT64" s="63"/>
      <c r="AU64" s="63"/>
    </row>
    <row r="65" spans="1:68" ht="12.75" hidden="1" customHeight="1" outlineLevel="1" x14ac:dyDescent="0.2">
      <c r="A65" s="95" t="s">
        <v>208</v>
      </c>
      <c r="B65" s="62">
        <v>37136</v>
      </c>
      <c r="C65" s="54">
        <v>0</v>
      </c>
      <c r="D65" s="54">
        <v>44131.1</v>
      </c>
      <c r="E65" s="63"/>
      <c r="F65" s="64">
        <v>84.149273414893358</v>
      </c>
      <c r="G65" s="65">
        <v>36048</v>
      </c>
      <c r="H65" s="54">
        <v>36445.339999999997</v>
      </c>
      <c r="I65" s="54">
        <v>36354.67</v>
      </c>
      <c r="J65" s="54">
        <v>37136</v>
      </c>
      <c r="K65" s="54">
        <v>37224</v>
      </c>
      <c r="L65" s="54">
        <v>35384.11</v>
      </c>
      <c r="M65" s="54">
        <v>35994.67</v>
      </c>
      <c r="N65" s="54">
        <v>31830.06</v>
      </c>
      <c r="O65" s="54">
        <v>38018.71</v>
      </c>
      <c r="P65" s="54">
        <v>40347.629999999997</v>
      </c>
      <c r="Q65" s="54">
        <v>39654.32</v>
      </c>
      <c r="R65" s="54">
        <v>35762.35</v>
      </c>
      <c r="S65" s="66">
        <v>145984.01</v>
      </c>
      <c r="T65" s="54">
        <v>0</v>
      </c>
      <c r="U65" s="54">
        <v>0</v>
      </c>
      <c r="V65" s="54">
        <v>0</v>
      </c>
      <c r="W65" s="54">
        <v>0</v>
      </c>
      <c r="X65" s="54">
        <v>0</v>
      </c>
      <c r="Y65" s="54">
        <v>0</v>
      </c>
      <c r="Z65" s="54">
        <v>0</v>
      </c>
      <c r="AA65" s="54">
        <v>0</v>
      </c>
      <c r="AB65" s="54">
        <v>0</v>
      </c>
      <c r="AC65" s="54">
        <v>0</v>
      </c>
      <c r="AD65" s="54">
        <v>0</v>
      </c>
      <c r="AE65" s="54">
        <v>0</v>
      </c>
      <c r="AF65" s="66">
        <v>0</v>
      </c>
      <c r="AG65" s="67">
        <v>47798.46</v>
      </c>
      <c r="AH65" s="67">
        <v>46861.17</v>
      </c>
      <c r="AI65" s="67">
        <v>48367.66</v>
      </c>
      <c r="AJ65" s="67">
        <v>44131.1</v>
      </c>
      <c r="AK65" s="67">
        <v>43967.5</v>
      </c>
      <c r="AL65" s="67">
        <v>51891.86</v>
      </c>
      <c r="AM65" s="67">
        <v>44240.160000000003</v>
      </c>
      <c r="AN65" s="98">
        <v>-113972.52</v>
      </c>
      <c r="AO65" s="67">
        <v>34475</v>
      </c>
      <c r="AP65" s="67">
        <v>35868.58</v>
      </c>
      <c r="AQ65" s="67">
        <v>36475.89</v>
      </c>
      <c r="AR65" s="67">
        <v>31369.68</v>
      </c>
      <c r="AS65" s="68">
        <v>187158.39</v>
      </c>
      <c r="AT65" s="63"/>
      <c r="AU65" s="63">
        <v>78.000248880106312</v>
      </c>
      <c r="AW65" s="22"/>
      <c r="AY65" s="22"/>
      <c r="BA65" s="22"/>
      <c r="BC65" s="22"/>
      <c r="BE65" s="22"/>
      <c r="BG65" s="22"/>
      <c r="BI65" s="22"/>
      <c r="BK65" s="22"/>
      <c r="BM65" s="23"/>
      <c r="BP65" s="22"/>
    </row>
    <row r="66" spans="1:68" ht="12.75" hidden="1" customHeight="1" outlineLevel="1" x14ac:dyDescent="0.2">
      <c r="A66" s="95" t="s">
        <v>209</v>
      </c>
      <c r="B66" s="62"/>
      <c r="C66" s="54"/>
      <c r="D66" s="54"/>
      <c r="E66" s="63"/>
      <c r="F66" s="64"/>
      <c r="G66" s="65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66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66"/>
      <c r="AG66" s="67"/>
      <c r="AH66" s="67"/>
      <c r="AI66" s="67"/>
      <c r="AJ66" s="67"/>
      <c r="AK66" s="67"/>
      <c r="AL66" s="67"/>
      <c r="AM66" s="67"/>
      <c r="AN66" s="67"/>
      <c r="AO66" s="67"/>
      <c r="AP66" s="67"/>
      <c r="AQ66" s="67"/>
      <c r="AR66" s="67"/>
      <c r="AS66" s="68"/>
      <c r="AT66" s="63"/>
      <c r="AU66" s="63"/>
    </row>
    <row r="67" spans="1:68" ht="12.75" hidden="1" customHeight="1" outlineLevel="1" x14ac:dyDescent="0.2">
      <c r="A67" s="95" t="s">
        <v>210</v>
      </c>
      <c r="B67" s="62"/>
      <c r="C67" s="54"/>
      <c r="D67" s="54"/>
      <c r="E67" s="63"/>
      <c r="F67" s="64"/>
      <c r="G67" s="65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66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66"/>
      <c r="AG67" s="67"/>
      <c r="AH67" s="67"/>
      <c r="AI67" s="67"/>
      <c r="AJ67" s="67"/>
      <c r="AK67" s="67"/>
      <c r="AL67" s="67"/>
      <c r="AM67" s="67"/>
      <c r="AN67" s="67"/>
      <c r="AO67" s="67"/>
      <c r="AP67" s="67"/>
      <c r="AQ67" s="67"/>
      <c r="AR67" s="67"/>
      <c r="AS67" s="68"/>
      <c r="AT67" s="63"/>
      <c r="AU67" s="63"/>
    </row>
    <row r="68" spans="1:68" ht="12.75" customHeight="1" collapsed="1" x14ac:dyDescent="0.2">
      <c r="A68" s="69" t="s">
        <v>89</v>
      </c>
      <c r="B68" s="70">
        <v>37172</v>
      </c>
      <c r="C68" s="71">
        <v>0</v>
      </c>
      <c r="D68" s="71">
        <v>44131.1</v>
      </c>
      <c r="E68" s="72"/>
      <c r="F68" s="73">
        <v>84.230848539918554</v>
      </c>
      <c r="G68" s="70">
        <v>36048</v>
      </c>
      <c r="H68" s="71">
        <v>36445.339999999997</v>
      </c>
      <c r="I68" s="71">
        <v>36354.67</v>
      </c>
      <c r="J68" s="71">
        <v>37172</v>
      </c>
      <c r="K68" s="71">
        <v>39035.82</v>
      </c>
      <c r="L68" s="71">
        <v>35384.11</v>
      </c>
      <c r="M68" s="71">
        <v>35994.67</v>
      </c>
      <c r="N68" s="71">
        <v>31830.06</v>
      </c>
      <c r="O68" s="71">
        <v>38083.620000000003</v>
      </c>
      <c r="P68" s="71">
        <v>40366.720000000001</v>
      </c>
      <c r="Q68" s="71">
        <v>39654.32</v>
      </c>
      <c r="R68" s="71">
        <v>35762.35</v>
      </c>
      <c r="S68" s="71">
        <v>146020.01</v>
      </c>
      <c r="T68" s="71">
        <v>0</v>
      </c>
      <c r="U68" s="71">
        <v>0</v>
      </c>
      <c r="V68" s="71">
        <v>0</v>
      </c>
      <c r="W68" s="71">
        <v>0</v>
      </c>
      <c r="X68" s="71">
        <v>0</v>
      </c>
      <c r="Y68" s="71">
        <v>0</v>
      </c>
      <c r="Z68" s="71">
        <v>0</v>
      </c>
      <c r="AA68" s="71">
        <v>0</v>
      </c>
      <c r="AB68" s="71">
        <v>0</v>
      </c>
      <c r="AC68" s="71">
        <v>0</v>
      </c>
      <c r="AD68" s="71">
        <v>0</v>
      </c>
      <c r="AE68" s="71">
        <v>0</v>
      </c>
      <c r="AF68" s="71">
        <v>0</v>
      </c>
      <c r="AG68" s="75">
        <v>47900.28</v>
      </c>
      <c r="AH68" s="75">
        <v>49701.3</v>
      </c>
      <c r="AI68" s="75">
        <v>50361.93</v>
      </c>
      <c r="AJ68" s="75">
        <v>44131.1</v>
      </c>
      <c r="AK68" s="75">
        <v>43967.5</v>
      </c>
      <c r="AL68" s="75">
        <v>51962.77</v>
      </c>
      <c r="AM68" s="75">
        <v>44240.160000000003</v>
      </c>
      <c r="AN68" s="134">
        <v>-113972.52</v>
      </c>
      <c r="AO68" s="75">
        <v>34503.19</v>
      </c>
      <c r="AP68" s="75">
        <v>35868.58</v>
      </c>
      <c r="AQ68" s="75">
        <v>36475.89</v>
      </c>
      <c r="AR68" s="75">
        <v>31369.68</v>
      </c>
      <c r="AS68" s="75">
        <v>192094.61</v>
      </c>
      <c r="AT68" s="72"/>
      <c r="AU68" s="72">
        <v>76.014631540156174</v>
      </c>
      <c r="AW68" s="22"/>
      <c r="AY68" s="22"/>
      <c r="BA68" s="22"/>
      <c r="BC68" s="22"/>
      <c r="BE68" s="22"/>
      <c r="BG68" s="22"/>
      <c r="BI68" s="22"/>
      <c r="BK68" s="22"/>
      <c r="BM68" s="23"/>
    </row>
    <row r="69" spans="1:68" ht="12.75" customHeight="1" x14ac:dyDescent="0.2">
      <c r="A69" s="77" t="s">
        <v>201</v>
      </c>
      <c r="B69" s="78">
        <v>64774.25</v>
      </c>
      <c r="C69" s="79">
        <v>0</v>
      </c>
      <c r="D69" s="79">
        <v>144151.53</v>
      </c>
      <c r="E69" s="80"/>
      <c r="F69" s="81">
        <v>44.934833504715492</v>
      </c>
      <c r="G69" s="78">
        <v>63781.61</v>
      </c>
      <c r="H69" s="79">
        <v>65280.95</v>
      </c>
      <c r="I69" s="79">
        <v>64924.87</v>
      </c>
      <c r="J69" s="79">
        <v>64774.25</v>
      </c>
      <c r="K69" s="79">
        <v>67135.58</v>
      </c>
      <c r="L69" s="79">
        <v>67771.44</v>
      </c>
      <c r="M69" s="79">
        <v>67474.240000000005</v>
      </c>
      <c r="N69" s="79">
        <v>74419.56</v>
      </c>
      <c r="O69" s="79">
        <v>72979.570000000007</v>
      </c>
      <c r="P69" s="79">
        <v>59658.81</v>
      </c>
      <c r="Q69" s="79">
        <v>32659.32</v>
      </c>
      <c r="R69" s="79">
        <v>77065.08</v>
      </c>
      <c r="S69" s="79">
        <v>258761.68</v>
      </c>
      <c r="T69" s="79">
        <v>0</v>
      </c>
      <c r="U69" s="79">
        <v>0</v>
      </c>
      <c r="V69" s="79">
        <v>0</v>
      </c>
      <c r="W69" s="79">
        <v>0</v>
      </c>
      <c r="X69" s="79">
        <v>0</v>
      </c>
      <c r="Y69" s="79">
        <v>0</v>
      </c>
      <c r="Z69" s="79">
        <v>0</v>
      </c>
      <c r="AA69" s="79">
        <v>0</v>
      </c>
      <c r="AB69" s="79">
        <v>0</v>
      </c>
      <c r="AC69" s="79">
        <v>0</v>
      </c>
      <c r="AD69" s="79">
        <v>0</v>
      </c>
      <c r="AE69" s="79">
        <v>0</v>
      </c>
      <c r="AF69" s="79">
        <v>0</v>
      </c>
      <c r="AG69" s="83">
        <v>74803.44</v>
      </c>
      <c r="AH69" s="83">
        <v>75695.94</v>
      </c>
      <c r="AI69" s="83">
        <v>77217.42</v>
      </c>
      <c r="AJ69" s="83">
        <v>144151.53</v>
      </c>
      <c r="AK69" s="83">
        <v>50799.06</v>
      </c>
      <c r="AL69" s="83">
        <v>55881.26</v>
      </c>
      <c r="AM69" s="83">
        <v>46984.58</v>
      </c>
      <c r="AN69" s="137">
        <v>-92093.71</v>
      </c>
      <c r="AO69" s="83">
        <v>60326.55</v>
      </c>
      <c r="AP69" s="83">
        <v>61193.9</v>
      </c>
      <c r="AQ69" s="83">
        <v>61979.26</v>
      </c>
      <c r="AR69" s="83">
        <v>58825.07</v>
      </c>
      <c r="AS69" s="83">
        <v>371868.33</v>
      </c>
      <c r="AT69" s="80"/>
      <c r="AU69" s="80">
        <v>69.584220845050183</v>
      </c>
      <c r="AW69" s="22"/>
      <c r="AY69" s="22"/>
      <c r="BA69" s="22"/>
      <c r="BC69" s="22"/>
      <c r="BE69" s="22"/>
      <c r="BG69" s="22"/>
      <c r="BI69" s="22"/>
      <c r="BK69" s="22"/>
      <c r="BM69" s="23"/>
    </row>
  </sheetData>
  <pageMargins left="0.75" right="0.75" top="1" bottom="1" header="0.5" footer="0.5"/>
  <pageSetup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6600FF"/>
  </sheetPr>
  <dimension ref="A1:AU71"/>
  <sheetViews>
    <sheetView zoomScaleNormal="100" workbookViewId="0">
      <pane xSplit="1" ySplit="7" topLeftCell="B8" activePane="bottomRight" state="frozen"/>
      <selection activeCell="A73" sqref="A73"/>
      <selection pane="topRight" activeCell="A73" sqref="A73"/>
      <selection pane="bottomLeft" activeCell="A73" sqref="A73"/>
      <selection pane="bottomRight" sqref="A1:AU71"/>
    </sheetView>
  </sheetViews>
  <sheetFormatPr defaultRowHeight="12.75" outlineLevelRow="1" outlineLevelCol="1" x14ac:dyDescent="0.2"/>
  <cols>
    <col min="1" max="1" width="66.42578125" customWidth="1"/>
    <col min="2" max="2" width="9.5703125" bestFit="1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10.42578125" bestFit="1" customWidth="1" collapsed="1"/>
    <col min="46" max="47" width="10.5703125" customWidth="1"/>
  </cols>
  <sheetData>
    <row r="1" spans="1:47" ht="39.7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ht="12.75" hidden="1" customHeight="1" outlineLevel="1" x14ac:dyDescent="0.2">
      <c r="A2" s="95" t="s">
        <v>160</v>
      </c>
      <c r="B2" s="62">
        <v>40366.160000000003</v>
      </c>
      <c r="C2" s="54">
        <v>0</v>
      </c>
      <c r="D2" s="54">
        <v>34321.550000000003</v>
      </c>
      <c r="E2" s="63"/>
      <c r="F2" s="64">
        <v>117.61170459958831</v>
      </c>
      <c r="G2" s="65">
        <v>46207.13</v>
      </c>
      <c r="H2" s="54">
        <v>43960.37</v>
      </c>
      <c r="I2" s="54">
        <v>39186.080000000002</v>
      </c>
      <c r="J2" s="54">
        <v>40366.160000000003</v>
      </c>
      <c r="K2" s="54">
        <v>0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169719.74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42389.35</v>
      </c>
      <c r="AH2" s="67">
        <v>34791.910000000003</v>
      </c>
      <c r="AI2" s="67">
        <v>40276.75</v>
      </c>
      <c r="AJ2" s="67">
        <v>34321.550000000003</v>
      </c>
      <c r="AK2" s="67">
        <v>34469.61</v>
      </c>
      <c r="AL2" s="67">
        <v>46806.52</v>
      </c>
      <c r="AM2" s="67">
        <v>87586.33</v>
      </c>
      <c r="AN2" s="67">
        <v>70269.25</v>
      </c>
      <c r="AO2" s="67">
        <v>40395.040000000001</v>
      </c>
      <c r="AP2" s="67">
        <v>49853.61</v>
      </c>
      <c r="AQ2" s="67">
        <v>43720.12</v>
      </c>
      <c r="AR2" s="67">
        <v>52187.47</v>
      </c>
      <c r="AS2" s="68">
        <v>151779.56</v>
      </c>
      <c r="AT2" s="63"/>
      <c r="AU2" s="63">
        <v>111.81989195383093</v>
      </c>
    </row>
    <row r="3" spans="1:47" ht="12.75" hidden="1" customHeight="1" outlineLevel="1" x14ac:dyDescent="0.2">
      <c r="A3" s="95" t="s">
        <v>161</v>
      </c>
      <c r="B3" s="62">
        <v>2521.42</v>
      </c>
      <c r="C3" s="54">
        <v>0</v>
      </c>
      <c r="D3" s="54">
        <v>2175.16</v>
      </c>
      <c r="E3" s="63"/>
      <c r="F3" s="64">
        <v>115.9188289597087</v>
      </c>
      <c r="G3" s="65">
        <v>2622.24</v>
      </c>
      <c r="H3" s="54">
        <v>327.37</v>
      </c>
      <c r="I3" s="54">
        <v>5158.75</v>
      </c>
      <c r="J3" s="54">
        <v>2521.42</v>
      </c>
      <c r="K3" s="56">
        <v>-1351.75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10629.78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2464.33</v>
      </c>
      <c r="AH3" s="67">
        <v>2469.36</v>
      </c>
      <c r="AI3" s="67">
        <v>2702.66</v>
      </c>
      <c r="AJ3" s="67">
        <v>2175.16</v>
      </c>
      <c r="AK3" s="67">
        <v>2434.04</v>
      </c>
      <c r="AL3" s="67">
        <v>2640.17</v>
      </c>
      <c r="AM3" s="67">
        <v>2052.54</v>
      </c>
      <c r="AN3" s="67">
        <v>2457.96</v>
      </c>
      <c r="AO3" s="67">
        <v>355.75</v>
      </c>
      <c r="AP3" s="67">
        <v>3343.15</v>
      </c>
      <c r="AQ3" s="67">
        <v>3621.45</v>
      </c>
      <c r="AR3" s="67">
        <v>2540.73</v>
      </c>
      <c r="AS3" s="68">
        <v>9811.51</v>
      </c>
      <c r="AT3" s="63"/>
      <c r="AU3" s="63">
        <v>108.33989875156831</v>
      </c>
    </row>
    <row r="4" spans="1:47" ht="12.75" hidden="1" customHeight="1" outlineLevel="1" x14ac:dyDescent="0.2">
      <c r="A4" s="95" t="s">
        <v>162</v>
      </c>
      <c r="B4" s="62">
        <v>10013.290000000001</v>
      </c>
      <c r="C4" s="54">
        <v>0</v>
      </c>
      <c r="D4" s="54">
        <v>4090.54</v>
      </c>
      <c r="E4" s="63"/>
      <c r="F4" s="64">
        <v>244.79139673490542</v>
      </c>
      <c r="G4" s="65">
        <v>5780.49</v>
      </c>
      <c r="H4" s="54">
        <v>4830.78</v>
      </c>
      <c r="I4" s="56">
        <v>-5171.74</v>
      </c>
      <c r="J4" s="54">
        <v>10013.290000000001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15452.82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3752.21</v>
      </c>
      <c r="AH4" s="67">
        <v>10339.9</v>
      </c>
      <c r="AI4" s="98">
        <v>-1215.57</v>
      </c>
      <c r="AJ4" s="67">
        <v>4090.54</v>
      </c>
      <c r="AK4" s="67">
        <v>4737.7700000000004</v>
      </c>
      <c r="AL4" s="67">
        <v>2928.1</v>
      </c>
      <c r="AM4" s="67">
        <v>5041.43</v>
      </c>
      <c r="AN4" s="67">
        <v>4552.68</v>
      </c>
      <c r="AO4" s="67">
        <v>4551.6000000000004</v>
      </c>
      <c r="AP4" s="67">
        <v>4702.34</v>
      </c>
      <c r="AQ4" s="67">
        <v>4852.08</v>
      </c>
      <c r="AR4" s="67">
        <v>2936.02</v>
      </c>
      <c r="AS4" s="68">
        <v>16967.080000000002</v>
      </c>
      <c r="AT4" s="63"/>
      <c r="AU4" s="63">
        <v>91.075305827520111</v>
      </c>
    </row>
    <row r="5" spans="1:47" ht="12.75" hidden="1" customHeight="1" outlineLevel="1" x14ac:dyDescent="0.2">
      <c r="A5" s="95" t="s">
        <v>163</v>
      </c>
      <c r="B5" s="62">
        <v>2129</v>
      </c>
      <c r="C5" s="54">
        <v>0</v>
      </c>
      <c r="D5" s="54">
        <v>1972.91</v>
      </c>
      <c r="E5" s="63"/>
      <c r="F5" s="64">
        <v>107.91166348186182</v>
      </c>
      <c r="G5" s="65">
        <v>1972.91</v>
      </c>
      <c r="H5" s="54">
        <v>1972.91</v>
      </c>
      <c r="I5" s="54">
        <v>2441.1799999999998</v>
      </c>
      <c r="J5" s="54">
        <v>2129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8516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1943</v>
      </c>
      <c r="AH5" s="67">
        <v>1943</v>
      </c>
      <c r="AI5" s="67">
        <v>1943</v>
      </c>
      <c r="AJ5" s="67">
        <v>1972.91</v>
      </c>
      <c r="AK5" s="67">
        <v>1972.91</v>
      </c>
      <c r="AL5" s="67">
        <v>1972.91</v>
      </c>
      <c r="AM5" s="67">
        <v>1972.91</v>
      </c>
      <c r="AN5" s="67">
        <v>1972.91</v>
      </c>
      <c r="AO5" s="67">
        <v>1972.91</v>
      </c>
      <c r="AP5" s="67">
        <v>1972.91</v>
      </c>
      <c r="AQ5" s="98">
        <v>-19699.2</v>
      </c>
      <c r="AR5" s="67">
        <v>0</v>
      </c>
      <c r="AS5" s="68">
        <v>7801.91</v>
      </c>
      <c r="AT5" s="63"/>
      <c r="AU5" s="63">
        <v>109.15275874753746</v>
      </c>
    </row>
    <row r="6" spans="1:47" hidden="1" outlineLevel="1" x14ac:dyDescent="0.2">
      <c r="A6" s="95" t="s">
        <v>164</v>
      </c>
      <c r="B6" s="62">
        <v>366.15</v>
      </c>
      <c r="C6" s="54">
        <v>0</v>
      </c>
      <c r="D6" s="54">
        <v>321.29000000000002</v>
      </c>
      <c r="E6" s="63"/>
      <c r="F6" s="64">
        <v>113.96246381773476</v>
      </c>
      <c r="G6" s="65">
        <v>539.55999999999995</v>
      </c>
      <c r="H6" s="54">
        <v>366.16</v>
      </c>
      <c r="I6" s="54">
        <v>366.16</v>
      </c>
      <c r="J6" s="54">
        <v>366.15</v>
      </c>
      <c r="K6" s="56">
        <v>-296.76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1638.03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25.55</v>
      </c>
      <c r="AH6" s="67">
        <v>25.55</v>
      </c>
      <c r="AI6" s="67">
        <v>37.71</v>
      </c>
      <c r="AJ6" s="67">
        <v>321.29000000000002</v>
      </c>
      <c r="AK6" s="67">
        <v>321.29000000000002</v>
      </c>
      <c r="AL6" s="67">
        <v>321.29000000000002</v>
      </c>
      <c r="AM6" s="67">
        <v>321.29000000000002</v>
      </c>
      <c r="AN6" s="67">
        <v>321.29000000000002</v>
      </c>
      <c r="AO6" s="67">
        <v>321.29000000000002</v>
      </c>
      <c r="AP6" s="67">
        <v>499.41</v>
      </c>
      <c r="AQ6" s="67">
        <v>499.41</v>
      </c>
      <c r="AR6" s="67">
        <v>499.41</v>
      </c>
      <c r="AS6" s="68">
        <v>410.1</v>
      </c>
      <c r="AT6" s="63"/>
      <c r="AU6" s="63">
        <v>399.42209217264082</v>
      </c>
    </row>
    <row r="7" spans="1:47" hidden="1" outlineLevel="1" x14ac:dyDescent="0.2">
      <c r="A7" s="95" t="s">
        <v>165</v>
      </c>
      <c r="B7" s="62">
        <v>7929.97</v>
      </c>
      <c r="C7" s="54">
        <v>0</v>
      </c>
      <c r="D7" s="54">
        <v>7541.41</v>
      </c>
      <c r="E7" s="63"/>
      <c r="F7" s="64">
        <v>105.15235214634929</v>
      </c>
      <c r="G7" s="65">
        <v>7721.85</v>
      </c>
      <c r="H7" s="54">
        <v>7749.98</v>
      </c>
      <c r="I7" s="54">
        <v>7548.63</v>
      </c>
      <c r="J7" s="54">
        <v>7929.97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30950.43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8108.91</v>
      </c>
      <c r="AH7" s="67">
        <v>7973.12</v>
      </c>
      <c r="AI7" s="67">
        <v>8218.44</v>
      </c>
      <c r="AJ7" s="67">
        <v>7541.41</v>
      </c>
      <c r="AK7" s="67">
        <v>7425.49</v>
      </c>
      <c r="AL7" s="67">
        <v>8143.22</v>
      </c>
      <c r="AM7" s="67">
        <v>6046.93</v>
      </c>
      <c r="AN7" s="67">
        <v>6858.09</v>
      </c>
      <c r="AO7" s="67">
        <v>6845.65</v>
      </c>
      <c r="AP7" s="67">
        <v>7358.88</v>
      </c>
      <c r="AQ7" s="67">
        <v>8237.14</v>
      </c>
      <c r="AR7" s="67">
        <v>7921.68</v>
      </c>
      <c r="AS7" s="68">
        <v>31841.88</v>
      </c>
      <c r="AT7" s="63"/>
      <c r="AU7" s="63">
        <v>97.200385153137944</v>
      </c>
    </row>
    <row r="8" spans="1:47" ht="12.75" customHeight="1" collapsed="1" x14ac:dyDescent="0.2">
      <c r="A8" s="69" t="s">
        <v>166</v>
      </c>
      <c r="B8" s="70">
        <v>63325.99</v>
      </c>
      <c r="C8" s="71">
        <v>0</v>
      </c>
      <c r="D8" s="71">
        <v>50422.86</v>
      </c>
      <c r="E8" s="72"/>
      <c r="F8" s="73">
        <v>125.58984159169076</v>
      </c>
      <c r="G8" s="70">
        <v>64844.18</v>
      </c>
      <c r="H8" s="71">
        <v>59207.57</v>
      </c>
      <c r="I8" s="71">
        <v>49529.06</v>
      </c>
      <c r="J8" s="71">
        <v>63325.99</v>
      </c>
      <c r="K8" s="74">
        <v>-1648.51</v>
      </c>
      <c r="L8" s="71">
        <v>0</v>
      </c>
      <c r="M8" s="71">
        <v>0</v>
      </c>
      <c r="N8" s="71">
        <v>0</v>
      </c>
      <c r="O8" s="71">
        <v>0</v>
      </c>
      <c r="P8" s="71">
        <v>0</v>
      </c>
      <c r="Q8" s="71">
        <v>0</v>
      </c>
      <c r="R8" s="71">
        <v>0</v>
      </c>
      <c r="S8" s="71">
        <v>236906.8</v>
      </c>
      <c r="T8" s="71">
        <v>0</v>
      </c>
      <c r="U8" s="71">
        <v>0</v>
      </c>
      <c r="V8" s="71">
        <v>0</v>
      </c>
      <c r="W8" s="71">
        <v>0</v>
      </c>
      <c r="X8" s="71">
        <v>0</v>
      </c>
      <c r="Y8" s="71">
        <v>0</v>
      </c>
      <c r="Z8" s="71">
        <v>0</v>
      </c>
      <c r="AA8" s="71">
        <v>0</v>
      </c>
      <c r="AB8" s="71">
        <v>0</v>
      </c>
      <c r="AC8" s="71">
        <v>0</v>
      </c>
      <c r="AD8" s="71">
        <v>0</v>
      </c>
      <c r="AE8" s="71">
        <v>0</v>
      </c>
      <c r="AF8" s="71">
        <v>0</v>
      </c>
      <c r="AG8" s="75">
        <v>58683.35</v>
      </c>
      <c r="AH8" s="75">
        <v>57542.84</v>
      </c>
      <c r="AI8" s="75">
        <v>51962.99</v>
      </c>
      <c r="AJ8" s="75">
        <v>50422.86</v>
      </c>
      <c r="AK8" s="75">
        <v>51361.11</v>
      </c>
      <c r="AL8" s="75">
        <v>62812.21</v>
      </c>
      <c r="AM8" s="75">
        <v>103021.43</v>
      </c>
      <c r="AN8" s="75">
        <v>86432.18</v>
      </c>
      <c r="AO8" s="75">
        <v>54442.239999999998</v>
      </c>
      <c r="AP8" s="75">
        <v>67730.3</v>
      </c>
      <c r="AQ8" s="75">
        <v>41231</v>
      </c>
      <c r="AR8" s="75">
        <v>66085.31</v>
      </c>
      <c r="AS8" s="75">
        <v>218612.04</v>
      </c>
      <c r="AT8" s="72"/>
      <c r="AU8" s="72">
        <v>108.36859671589909</v>
      </c>
    </row>
    <row r="9" spans="1:47" ht="12.75" customHeight="1" x14ac:dyDescent="0.2">
      <c r="A9" s="95" t="s">
        <v>167</v>
      </c>
      <c r="B9" s="62"/>
      <c r="C9" s="54"/>
      <c r="D9" s="54"/>
      <c r="E9" s="63"/>
      <c r="F9" s="64"/>
      <c r="G9" s="65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66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66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8"/>
      <c r="AT9" s="63"/>
      <c r="AU9" s="63"/>
    </row>
    <row r="10" spans="1:47" ht="12.75" customHeight="1" x14ac:dyDescent="0.2">
      <c r="A10" s="95" t="s">
        <v>168</v>
      </c>
      <c r="B10" s="62"/>
      <c r="C10" s="54"/>
      <c r="D10" s="54"/>
      <c r="E10" s="63"/>
      <c r="F10" s="64"/>
      <c r="G10" s="65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66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8"/>
      <c r="AT10" s="63"/>
      <c r="AU10" s="63"/>
    </row>
    <row r="11" spans="1:47" ht="12.75" customHeight="1" x14ac:dyDescent="0.2">
      <c r="A11" s="95" t="s">
        <v>169</v>
      </c>
      <c r="B11" s="62"/>
      <c r="C11" s="54"/>
      <c r="D11" s="54"/>
      <c r="E11" s="63"/>
      <c r="F11" s="64"/>
      <c r="G11" s="65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66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66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8"/>
      <c r="AT11" s="63"/>
      <c r="AU11" s="63"/>
    </row>
    <row r="12" spans="1:47" ht="12.75" customHeight="1" x14ac:dyDescent="0.2">
      <c r="A12" s="95" t="s">
        <v>50</v>
      </c>
      <c r="B12" s="62"/>
      <c r="C12" s="54"/>
      <c r="D12" s="54"/>
      <c r="E12" s="63"/>
      <c r="F12" s="64"/>
      <c r="G12" s="65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66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6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8"/>
      <c r="AT12" s="63"/>
      <c r="AU12" s="63"/>
    </row>
    <row r="13" spans="1:47" ht="12.75" customHeight="1" x14ac:dyDescent="0.2">
      <c r="A13" s="95" t="s">
        <v>170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47" ht="12.75" customHeight="1" x14ac:dyDescent="0.2">
      <c r="A14" s="95" t="s">
        <v>171</v>
      </c>
      <c r="B14" s="62"/>
      <c r="C14" s="54"/>
      <c r="D14" s="54"/>
      <c r="E14" s="63"/>
      <c r="F14" s="64"/>
      <c r="G14" s="65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66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66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8"/>
      <c r="AT14" s="63"/>
      <c r="AU14" s="63"/>
    </row>
    <row r="15" spans="1:47" ht="12.75" customHeight="1" x14ac:dyDescent="0.2">
      <c r="A15" s="95" t="s">
        <v>172</v>
      </c>
      <c r="B15" s="62"/>
      <c r="C15" s="54"/>
      <c r="D15" s="54"/>
      <c r="E15" s="63"/>
      <c r="F15" s="64"/>
      <c r="G15" s="65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66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66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8"/>
      <c r="AT15" s="63"/>
      <c r="AU15" s="63"/>
    </row>
    <row r="16" spans="1:47" ht="12.75" customHeight="1" x14ac:dyDescent="0.2">
      <c r="A16" s="95" t="s">
        <v>173</v>
      </c>
      <c r="B16" s="62">
        <v>0</v>
      </c>
      <c r="C16" s="54">
        <v>0</v>
      </c>
      <c r="D16" s="54">
        <v>508.45</v>
      </c>
      <c r="E16" s="63"/>
      <c r="F16" s="64">
        <v>0</v>
      </c>
      <c r="G16" s="65">
        <v>0</v>
      </c>
      <c r="H16" s="54">
        <v>0</v>
      </c>
      <c r="I16" s="54">
        <v>0</v>
      </c>
      <c r="J16" s="54">
        <v>0</v>
      </c>
      <c r="K16" s="54"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66">
        <v>0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>
        <v>508.45</v>
      </c>
      <c r="AH16" s="67">
        <v>508.47</v>
      </c>
      <c r="AI16" s="67">
        <v>508.44</v>
      </c>
      <c r="AJ16" s="67">
        <v>508.45</v>
      </c>
      <c r="AK16" s="67">
        <v>508.45</v>
      </c>
      <c r="AL16" s="67">
        <v>508.47</v>
      </c>
      <c r="AM16" s="67">
        <v>459.36</v>
      </c>
      <c r="AN16" s="67">
        <v>0</v>
      </c>
      <c r="AO16" s="67">
        <v>0</v>
      </c>
      <c r="AP16" s="67">
        <v>0</v>
      </c>
      <c r="AQ16" s="67">
        <v>0</v>
      </c>
      <c r="AR16" s="67">
        <v>0</v>
      </c>
      <c r="AS16" s="68">
        <v>2033.81</v>
      </c>
      <c r="AT16" s="63"/>
      <c r="AU16" s="63">
        <v>0</v>
      </c>
    </row>
    <row r="17" spans="1:47" ht="12.75" customHeight="1" x14ac:dyDescent="0.2">
      <c r="A17" s="95" t="s">
        <v>257</v>
      </c>
      <c r="B17" s="62">
        <v>2680.34</v>
      </c>
      <c r="C17" s="54">
        <v>0</v>
      </c>
      <c r="D17" s="54">
        <v>2513.67</v>
      </c>
      <c r="E17" s="63"/>
      <c r="F17" s="64">
        <v>106.6305441843997</v>
      </c>
      <c r="G17" s="65">
        <v>2719.41</v>
      </c>
      <c r="H17" s="54">
        <v>2719.41</v>
      </c>
      <c r="I17" s="54">
        <v>2717.81</v>
      </c>
      <c r="J17" s="54">
        <v>2680.34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10836.97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1662.54</v>
      </c>
      <c r="AH17" s="67">
        <v>1662.54</v>
      </c>
      <c r="AI17" s="67">
        <v>3356.39</v>
      </c>
      <c r="AJ17" s="67">
        <v>2513.67</v>
      </c>
      <c r="AK17" s="67">
        <v>2615.81</v>
      </c>
      <c r="AL17" s="67">
        <v>2612.44</v>
      </c>
      <c r="AM17" s="67">
        <v>2612.4299999999998</v>
      </c>
      <c r="AN17" s="67">
        <v>2606.9299999999998</v>
      </c>
      <c r="AO17" s="67">
        <v>2611.06</v>
      </c>
      <c r="AP17" s="67">
        <v>2675.91</v>
      </c>
      <c r="AQ17" s="67">
        <v>2643.11</v>
      </c>
      <c r="AR17" s="67">
        <v>2790.62</v>
      </c>
      <c r="AS17" s="68">
        <v>9195.14</v>
      </c>
      <c r="AT17" s="63"/>
      <c r="AU17" s="63">
        <v>117.85541057558667</v>
      </c>
    </row>
    <row r="18" spans="1:47" ht="12.75" hidden="1" customHeight="1" outlineLevel="1" x14ac:dyDescent="0.2">
      <c r="A18" s="95" t="s">
        <v>109</v>
      </c>
      <c r="B18" s="62">
        <v>0</v>
      </c>
      <c r="C18" s="54">
        <v>0</v>
      </c>
      <c r="D18" s="54">
        <v>0</v>
      </c>
      <c r="E18" s="63"/>
      <c r="F18" s="64"/>
      <c r="G18" s="65">
        <v>0</v>
      </c>
      <c r="H18" s="54">
        <v>0</v>
      </c>
      <c r="I18" s="54">
        <v>0</v>
      </c>
      <c r="J18" s="54">
        <v>0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0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0</v>
      </c>
      <c r="AH18" s="67">
        <v>0</v>
      </c>
      <c r="AI18" s="67">
        <v>0</v>
      </c>
      <c r="AJ18" s="67">
        <v>0</v>
      </c>
      <c r="AK18" s="67">
        <v>0</v>
      </c>
      <c r="AL18" s="67">
        <v>0</v>
      </c>
      <c r="AM18" s="67">
        <v>0</v>
      </c>
      <c r="AN18" s="67">
        <v>0</v>
      </c>
      <c r="AO18" s="67">
        <v>0</v>
      </c>
      <c r="AP18" s="67">
        <v>0</v>
      </c>
      <c r="AQ18" s="67">
        <v>0</v>
      </c>
      <c r="AR18" s="67">
        <v>0</v>
      </c>
      <c r="AS18" s="68">
        <v>0</v>
      </c>
      <c r="AT18" s="63"/>
      <c r="AU18" s="63"/>
    </row>
    <row r="19" spans="1:47" ht="12.75" hidden="1" customHeight="1" outlineLevel="1" x14ac:dyDescent="0.2">
      <c r="A19" s="95" t="s">
        <v>97</v>
      </c>
      <c r="B19" s="62">
        <v>230</v>
      </c>
      <c r="C19" s="54">
        <v>0</v>
      </c>
      <c r="D19" s="54">
        <v>230</v>
      </c>
      <c r="E19" s="63"/>
      <c r="F19" s="64">
        <v>100</v>
      </c>
      <c r="G19" s="65">
        <v>230</v>
      </c>
      <c r="H19" s="54">
        <v>230</v>
      </c>
      <c r="I19" s="54">
        <v>230</v>
      </c>
      <c r="J19" s="54">
        <v>230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920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428</v>
      </c>
      <c r="AH19" s="67">
        <v>428</v>
      </c>
      <c r="AI19" s="67">
        <v>328.8</v>
      </c>
      <c r="AJ19" s="67">
        <v>230</v>
      </c>
      <c r="AK19" s="67">
        <v>80</v>
      </c>
      <c r="AL19" s="67">
        <v>230</v>
      </c>
      <c r="AM19" s="67">
        <v>230</v>
      </c>
      <c r="AN19" s="67">
        <v>230</v>
      </c>
      <c r="AO19" s="67">
        <v>230</v>
      </c>
      <c r="AP19" s="67">
        <v>230</v>
      </c>
      <c r="AQ19" s="67">
        <v>230</v>
      </c>
      <c r="AR19" s="67">
        <v>230</v>
      </c>
      <c r="AS19" s="68">
        <v>1414.8</v>
      </c>
      <c r="AT19" s="63"/>
      <c r="AU19" s="63">
        <v>65.026858919988697</v>
      </c>
    </row>
    <row r="20" spans="1:47" ht="12.75" hidden="1" customHeight="1" outlineLevel="1" x14ac:dyDescent="0.2">
      <c r="A20" s="95" t="s">
        <v>69</v>
      </c>
      <c r="B20" s="62"/>
      <c r="C20" s="54"/>
      <c r="D20" s="54"/>
      <c r="E20" s="63"/>
      <c r="F20" s="64"/>
      <c r="G20" s="65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66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66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8"/>
      <c r="AT20" s="63"/>
      <c r="AU20" s="63"/>
    </row>
    <row r="21" spans="1:47" ht="12.75" customHeight="1" collapsed="1" x14ac:dyDescent="0.2">
      <c r="A21" s="69" t="s">
        <v>70</v>
      </c>
      <c r="B21" s="70">
        <v>230</v>
      </c>
      <c r="C21" s="71">
        <v>0</v>
      </c>
      <c r="D21" s="71">
        <v>230</v>
      </c>
      <c r="E21" s="72"/>
      <c r="F21" s="73">
        <v>100</v>
      </c>
      <c r="G21" s="70">
        <v>230</v>
      </c>
      <c r="H21" s="71">
        <v>230</v>
      </c>
      <c r="I21" s="71">
        <v>230</v>
      </c>
      <c r="J21" s="71">
        <v>230</v>
      </c>
      <c r="K21" s="71">
        <v>0</v>
      </c>
      <c r="L21" s="71">
        <v>0</v>
      </c>
      <c r="M21" s="71">
        <v>0</v>
      </c>
      <c r="N21" s="71">
        <v>0</v>
      </c>
      <c r="O21" s="71">
        <v>0</v>
      </c>
      <c r="P21" s="71">
        <v>0</v>
      </c>
      <c r="Q21" s="71">
        <v>0</v>
      </c>
      <c r="R21" s="71">
        <v>0</v>
      </c>
      <c r="S21" s="71">
        <v>920</v>
      </c>
      <c r="T21" s="71">
        <v>0</v>
      </c>
      <c r="U21" s="71">
        <v>0</v>
      </c>
      <c r="V21" s="71">
        <v>0</v>
      </c>
      <c r="W21" s="71">
        <v>0</v>
      </c>
      <c r="X21" s="71">
        <v>0</v>
      </c>
      <c r="Y21" s="71">
        <v>0</v>
      </c>
      <c r="Z21" s="71">
        <v>0</v>
      </c>
      <c r="AA21" s="71">
        <v>0</v>
      </c>
      <c r="AB21" s="71">
        <v>0</v>
      </c>
      <c r="AC21" s="71">
        <v>0</v>
      </c>
      <c r="AD21" s="71">
        <v>0</v>
      </c>
      <c r="AE21" s="71">
        <v>0</v>
      </c>
      <c r="AF21" s="71">
        <v>0</v>
      </c>
      <c r="AG21" s="75">
        <v>428</v>
      </c>
      <c r="AH21" s="75">
        <v>428</v>
      </c>
      <c r="AI21" s="75">
        <v>328.8</v>
      </c>
      <c r="AJ21" s="75">
        <v>230</v>
      </c>
      <c r="AK21" s="75">
        <v>80</v>
      </c>
      <c r="AL21" s="75">
        <v>230</v>
      </c>
      <c r="AM21" s="75">
        <v>230</v>
      </c>
      <c r="AN21" s="75">
        <v>230</v>
      </c>
      <c r="AO21" s="75">
        <v>230</v>
      </c>
      <c r="AP21" s="75">
        <v>230</v>
      </c>
      <c r="AQ21" s="75">
        <v>230</v>
      </c>
      <c r="AR21" s="75">
        <v>230</v>
      </c>
      <c r="AS21" s="75">
        <v>1414.8</v>
      </c>
      <c r="AT21" s="72"/>
      <c r="AU21" s="72">
        <v>65.026858919988697</v>
      </c>
    </row>
    <row r="22" spans="1:47" ht="12.75" hidden="1" customHeight="1" outlineLevel="1" x14ac:dyDescent="0.2">
      <c r="A22" s="95" t="s">
        <v>174</v>
      </c>
      <c r="B22" s="62">
        <v>0</v>
      </c>
      <c r="C22" s="54">
        <v>0</v>
      </c>
      <c r="D22" s="54">
        <v>0</v>
      </c>
      <c r="E22" s="63"/>
      <c r="F22" s="64"/>
      <c r="G22" s="65">
        <v>0</v>
      </c>
      <c r="H22" s="54">
        <v>69.62</v>
      </c>
      <c r="I22" s="54">
        <v>0</v>
      </c>
      <c r="J22" s="54">
        <v>0</v>
      </c>
      <c r="K22" s="54">
        <v>0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66">
        <v>69.62</v>
      </c>
      <c r="T22" s="54">
        <v>0</v>
      </c>
      <c r="U22" s="54">
        <v>0</v>
      </c>
      <c r="V22" s="54">
        <v>0</v>
      </c>
      <c r="W22" s="54">
        <v>0</v>
      </c>
      <c r="X22" s="54">
        <v>0</v>
      </c>
      <c r="Y22" s="54">
        <v>0</v>
      </c>
      <c r="Z22" s="54">
        <v>0</v>
      </c>
      <c r="AA22" s="54">
        <v>0</v>
      </c>
      <c r="AB22" s="54">
        <v>0</v>
      </c>
      <c r="AC22" s="54">
        <v>0</v>
      </c>
      <c r="AD22" s="54">
        <v>0</v>
      </c>
      <c r="AE22" s="54">
        <v>0</v>
      </c>
      <c r="AF22" s="66">
        <v>0</v>
      </c>
      <c r="AG22" s="67">
        <v>0</v>
      </c>
      <c r="AH22" s="67">
        <v>42.4</v>
      </c>
      <c r="AI22" s="98">
        <v>-192</v>
      </c>
      <c r="AJ22" s="67">
        <v>0</v>
      </c>
      <c r="AK22" s="67">
        <v>67.400000000000006</v>
      </c>
      <c r="AL22" s="67">
        <v>0</v>
      </c>
      <c r="AM22" s="67">
        <v>0</v>
      </c>
      <c r="AN22" s="67">
        <v>68.28</v>
      </c>
      <c r="AO22" s="67">
        <v>0</v>
      </c>
      <c r="AP22" s="67">
        <v>0</v>
      </c>
      <c r="AQ22" s="67">
        <v>69.62</v>
      </c>
      <c r="AR22" s="67">
        <v>0</v>
      </c>
      <c r="AS22" s="99">
        <v>-149.6</v>
      </c>
      <c r="AT22" s="63"/>
      <c r="AU22" s="63">
        <v>-46.537433155080215</v>
      </c>
    </row>
    <row r="23" spans="1:47" ht="12.75" hidden="1" customHeight="1" outlineLevel="1" x14ac:dyDescent="0.2">
      <c r="A23" s="95" t="s">
        <v>99</v>
      </c>
      <c r="B23" s="62">
        <v>0</v>
      </c>
      <c r="C23" s="54">
        <v>0</v>
      </c>
      <c r="D23" s="54">
        <v>705.07</v>
      </c>
      <c r="E23" s="63"/>
      <c r="F23" s="64">
        <v>0</v>
      </c>
      <c r="G23" s="65">
        <v>0</v>
      </c>
      <c r="H23" s="54">
        <v>0</v>
      </c>
      <c r="I23" s="54">
        <v>0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0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347.66</v>
      </c>
      <c r="AH23" s="67">
        <v>356.61</v>
      </c>
      <c r="AI23" s="67">
        <v>459.18</v>
      </c>
      <c r="AJ23" s="67">
        <v>705.07</v>
      </c>
      <c r="AK23" s="67">
        <v>1121.95</v>
      </c>
      <c r="AL23" s="67">
        <v>2852.03</v>
      </c>
      <c r="AM23" s="98">
        <v>-140.26</v>
      </c>
      <c r="AN23" s="98">
        <v>-1019.08</v>
      </c>
      <c r="AO23" s="67">
        <v>0</v>
      </c>
      <c r="AP23" s="67">
        <v>0</v>
      </c>
      <c r="AQ23" s="67">
        <v>0</v>
      </c>
      <c r="AR23" s="67">
        <v>0</v>
      </c>
      <c r="AS23" s="68">
        <v>1868.52</v>
      </c>
      <c r="AT23" s="63"/>
      <c r="AU23" s="63">
        <v>0</v>
      </c>
    </row>
    <row r="24" spans="1:47" ht="12.75" hidden="1" customHeight="1" outlineLevel="1" x14ac:dyDescent="0.2">
      <c r="A24" s="95" t="s">
        <v>175</v>
      </c>
      <c r="B24" s="62">
        <v>90.45</v>
      </c>
      <c r="C24" s="54">
        <v>0</v>
      </c>
      <c r="D24" s="54">
        <v>0</v>
      </c>
      <c r="E24" s="63"/>
      <c r="F24" s="64"/>
      <c r="G24" s="65">
        <v>0</v>
      </c>
      <c r="H24" s="54">
        <v>105.12</v>
      </c>
      <c r="I24" s="54">
        <v>0</v>
      </c>
      <c r="J24" s="54">
        <v>90.45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195.57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0</v>
      </c>
      <c r="AH24" s="67">
        <v>59.73</v>
      </c>
      <c r="AI24" s="98">
        <v>-73.010000000000005</v>
      </c>
      <c r="AJ24" s="67">
        <v>0</v>
      </c>
      <c r="AK24" s="67">
        <v>87.32</v>
      </c>
      <c r="AL24" s="67">
        <v>0</v>
      </c>
      <c r="AM24" s="67">
        <v>103.17</v>
      </c>
      <c r="AN24" s="98">
        <v>-16</v>
      </c>
      <c r="AO24" s="67">
        <v>98.55</v>
      </c>
      <c r="AP24" s="67">
        <v>0</v>
      </c>
      <c r="AQ24" s="67">
        <v>106.16</v>
      </c>
      <c r="AR24" s="67">
        <v>0</v>
      </c>
      <c r="AS24" s="99">
        <v>-13.28</v>
      </c>
      <c r="AT24" s="63"/>
      <c r="AU24" s="63">
        <v>-1472.6656626506024</v>
      </c>
    </row>
    <row r="25" spans="1:47" ht="12.75" hidden="1" customHeight="1" outlineLevel="1" x14ac:dyDescent="0.2">
      <c r="A25" s="95" t="s">
        <v>100</v>
      </c>
      <c r="B25" s="62">
        <v>587.96</v>
      </c>
      <c r="C25" s="54">
        <v>0</v>
      </c>
      <c r="D25" s="54">
        <v>563.35</v>
      </c>
      <c r="E25" s="63"/>
      <c r="F25" s="64">
        <v>104.36850980740215</v>
      </c>
      <c r="G25" s="65">
        <v>398.6</v>
      </c>
      <c r="H25" s="54">
        <v>928.16</v>
      </c>
      <c r="I25" s="54">
        <v>858.16</v>
      </c>
      <c r="J25" s="54">
        <v>587.96</v>
      </c>
      <c r="K25" s="56">
        <v>-587.96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2772.88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1007.51</v>
      </c>
      <c r="AH25" s="67">
        <v>893.01</v>
      </c>
      <c r="AI25" s="67">
        <v>2036.56</v>
      </c>
      <c r="AJ25" s="67">
        <v>563.35</v>
      </c>
      <c r="AK25" s="67">
        <v>563.54999999999995</v>
      </c>
      <c r="AL25" s="67">
        <v>280.89999999999998</v>
      </c>
      <c r="AM25" s="67">
        <v>495.1</v>
      </c>
      <c r="AN25" s="67">
        <v>682.84</v>
      </c>
      <c r="AO25" s="67">
        <v>49.94</v>
      </c>
      <c r="AP25" s="98">
        <v>-1058.72</v>
      </c>
      <c r="AQ25" s="67">
        <v>1540.61</v>
      </c>
      <c r="AR25" s="98">
        <v>-674.78</v>
      </c>
      <c r="AS25" s="68">
        <v>4500.43</v>
      </c>
      <c r="AT25" s="63"/>
      <c r="AU25" s="63">
        <v>61.613668027277392</v>
      </c>
    </row>
    <row r="26" spans="1:47" ht="12.75" hidden="1" customHeight="1" outlineLevel="1" x14ac:dyDescent="0.2">
      <c r="A26" s="95" t="s">
        <v>101</v>
      </c>
      <c r="B26" s="62">
        <v>111.84</v>
      </c>
      <c r="C26" s="54">
        <v>0</v>
      </c>
      <c r="D26" s="54">
        <v>134.26</v>
      </c>
      <c r="E26" s="63"/>
      <c r="F26" s="64">
        <v>83.30105764933711</v>
      </c>
      <c r="G26" s="65">
        <v>864.03</v>
      </c>
      <c r="H26" s="54">
        <v>111.53</v>
      </c>
      <c r="I26" s="54">
        <v>357.43</v>
      </c>
      <c r="J26" s="54">
        <v>111.84</v>
      </c>
      <c r="K26" s="56">
        <v>-34.25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1444.83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58.54</v>
      </c>
      <c r="AH26" s="67">
        <v>654.48</v>
      </c>
      <c r="AI26" s="67">
        <v>207.43</v>
      </c>
      <c r="AJ26" s="67">
        <v>134.26</v>
      </c>
      <c r="AK26" s="67">
        <v>122.53</v>
      </c>
      <c r="AL26" s="67">
        <v>633.61</v>
      </c>
      <c r="AM26" s="67">
        <v>157.96</v>
      </c>
      <c r="AN26" s="67">
        <v>72.73</v>
      </c>
      <c r="AO26" s="67">
        <v>480.38</v>
      </c>
      <c r="AP26" s="67">
        <v>39.33</v>
      </c>
      <c r="AQ26" s="67">
        <v>72.73</v>
      </c>
      <c r="AR26" s="67">
        <v>180.08</v>
      </c>
      <c r="AS26" s="68">
        <v>1054.71</v>
      </c>
      <c r="AT26" s="63"/>
      <c r="AU26" s="63">
        <v>136.98836647040417</v>
      </c>
    </row>
    <row r="27" spans="1:47" ht="12.75" hidden="1" customHeight="1" outlineLevel="1" x14ac:dyDescent="0.2">
      <c r="A27" s="95" t="s">
        <v>176</v>
      </c>
      <c r="B27" s="62">
        <v>122.48</v>
      </c>
      <c r="C27" s="54">
        <v>0</v>
      </c>
      <c r="D27" s="54">
        <v>0</v>
      </c>
      <c r="E27" s="63"/>
      <c r="F27" s="64"/>
      <c r="G27" s="65">
        <v>141.6</v>
      </c>
      <c r="H27" s="54">
        <v>119.9</v>
      </c>
      <c r="I27" s="54">
        <v>115.64</v>
      </c>
      <c r="J27" s="54">
        <v>122.48</v>
      </c>
      <c r="K27" s="54">
        <v>0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499.62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204.99</v>
      </c>
      <c r="AH27" s="67">
        <v>204.99</v>
      </c>
      <c r="AI27" s="67">
        <v>100</v>
      </c>
      <c r="AJ27" s="67">
        <v>0</v>
      </c>
      <c r="AK27" s="67">
        <v>89.92</v>
      </c>
      <c r="AL27" s="67">
        <v>89.92</v>
      </c>
      <c r="AM27" s="67">
        <v>323.16000000000003</v>
      </c>
      <c r="AN27" s="67">
        <v>235.46</v>
      </c>
      <c r="AO27" s="67">
        <v>0</v>
      </c>
      <c r="AP27" s="67">
        <v>0</v>
      </c>
      <c r="AQ27" s="67">
        <v>292.60000000000002</v>
      </c>
      <c r="AR27" s="67">
        <v>153.5</v>
      </c>
      <c r="AS27" s="68">
        <v>509.98</v>
      </c>
      <c r="AT27" s="63"/>
      <c r="AU27" s="63">
        <v>97.968547786187699</v>
      </c>
    </row>
    <row r="28" spans="1:47" ht="12.75" hidden="1" customHeight="1" outlineLevel="1" x14ac:dyDescent="0.2">
      <c r="A28" s="95" t="s">
        <v>102</v>
      </c>
      <c r="B28" s="62">
        <v>0</v>
      </c>
      <c r="C28" s="54">
        <v>0</v>
      </c>
      <c r="D28" s="54">
        <v>0</v>
      </c>
      <c r="E28" s="63"/>
      <c r="F28" s="64"/>
      <c r="G28" s="65">
        <v>0</v>
      </c>
      <c r="H28" s="54">
        <v>0</v>
      </c>
      <c r="I28" s="54">
        <v>0</v>
      </c>
      <c r="J28" s="54">
        <v>0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0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0</v>
      </c>
      <c r="AH28" s="67">
        <v>0</v>
      </c>
      <c r="AI28" s="67">
        <v>0</v>
      </c>
      <c r="AJ28" s="67">
        <v>0</v>
      </c>
      <c r="AK28" s="67">
        <v>0</v>
      </c>
      <c r="AL28" s="67">
        <v>0</v>
      </c>
      <c r="AM28" s="67">
        <v>0</v>
      </c>
      <c r="AN28" s="67">
        <v>0</v>
      </c>
      <c r="AO28" s="67">
        <v>0</v>
      </c>
      <c r="AP28" s="67">
        <v>0</v>
      </c>
      <c r="AQ28" s="67">
        <v>0</v>
      </c>
      <c r="AR28" s="67">
        <v>0</v>
      </c>
      <c r="AS28" s="68">
        <v>0</v>
      </c>
      <c r="AT28" s="63"/>
      <c r="AU28" s="63"/>
    </row>
    <row r="29" spans="1:47" ht="12.75" hidden="1" customHeight="1" outlineLevel="1" x14ac:dyDescent="0.2">
      <c r="A29" s="95" t="s">
        <v>75</v>
      </c>
      <c r="B29" s="62">
        <v>212.68</v>
      </c>
      <c r="C29" s="54">
        <v>0</v>
      </c>
      <c r="D29" s="54">
        <v>0</v>
      </c>
      <c r="E29" s="63"/>
      <c r="F29" s="64"/>
      <c r="G29" s="65">
        <v>0</v>
      </c>
      <c r="H29" s="54">
        <v>31.16</v>
      </c>
      <c r="I29" s="54">
        <v>31.16</v>
      </c>
      <c r="J29" s="54">
        <v>212.68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275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0</v>
      </c>
      <c r="AH29" s="67">
        <v>0</v>
      </c>
      <c r="AI29" s="67">
        <v>0</v>
      </c>
      <c r="AJ29" s="67">
        <v>0</v>
      </c>
      <c r="AK29" s="67">
        <v>0</v>
      </c>
      <c r="AL29" s="67">
        <v>244.9</v>
      </c>
      <c r="AM29" s="67">
        <v>1377.65</v>
      </c>
      <c r="AN29" s="67">
        <v>18.350000000000001</v>
      </c>
      <c r="AO29" s="67">
        <v>18.350000000000001</v>
      </c>
      <c r="AP29" s="67">
        <v>18.350000000000001</v>
      </c>
      <c r="AQ29" s="67">
        <v>18.350000000000001</v>
      </c>
      <c r="AR29" s="67">
        <v>18.350000000000001</v>
      </c>
      <c r="AS29" s="68">
        <v>0</v>
      </c>
      <c r="AT29" s="63"/>
      <c r="AU29" s="63"/>
    </row>
    <row r="30" spans="1:47" ht="12.75" hidden="1" customHeight="1" outlineLevel="1" x14ac:dyDescent="0.2">
      <c r="A30" s="95" t="s">
        <v>76</v>
      </c>
      <c r="B30" s="62">
        <v>0</v>
      </c>
      <c r="C30" s="54">
        <v>0</v>
      </c>
      <c r="D30" s="54">
        <v>201.02</v>
      </c>
      <c r="E30" s="63"/>
      <c r="F30" s="64">
        <v>0</v>
      </c>
      <c r="G30" s="65">
        <v>402.04</v>
      </c>
      <c r="H30" s="54">
        <v>215.69</v>
      </c>
      <c r="I30" s="54">
        <v>431.38</v>
      </c>
      <c r="J30" s="54">
        <v>0</v>
      </c>
      <c r="K30" s="56">
        <v>-215.69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1049.1099999999999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122.72</v>
      </c>
      <c r="AH30" s="67">
        <v>123.7</v>
      </c>
      <c r="AI30" s="67">
        <v>313.14</v>
      </c>
      <c r="AJ30" s="67">
        <v>201.02</v>
      </c>
      <c r="AK30" s="67">
        <v>201.02</v>
      </c>
      <c r="AL30" s="67">
        <v>201.02</v>
      </c>
      <c r="AM30" s="67">
        <v>201.02</v>
      </c>
      <c r="AN30" s="67">
        <v>201.02</v>
      </c>
      <c r="AO30" s="67">
        <v>201.02</v>
      </c>
      <c r="AP30" s="67">
        <v>201.01</v>
      </c>
      <c r="AQ30" s="67">
        <v>201.03</v>
      </c>
      <c r="AR30" s="67">
        <v>0</v>
      </c>
      <c r="AS30" s="68">
        <v>760.58</v>
      </c>
      <c r="AT30" s="63"/>
      <c r="AU30" s="63">
        <v>137.93552289042572</v>
      </c>
    </row>
    <row r="31" spans="1:47" ht="12.75" hidden="1" customHeight="1" outlineLevel="1" x14ac:dyDescent="0.2">
      <c r="A31" s="95" t="s">
        <v>77</v>
      </c>
      <c r="B31" s="62">
        <v>253</v>
      </c>
      <c r="C31" s="54">
        <v>0</v>
      </c>
      <c r="D31" s="54">
        <v>253</v>
      </c>
      <c r="E31" s="63"/>
      <c r="F31" s="64">
        <v>100</v>
      </c>
      <c r="G31" s="65">
        <v>253</v>
      </c>
      <c r="H31" s="54">
        <v>253</v>
      </c>
      <c r="I31" s="54">
        <v>253</v>
      </c>
      <c r="J31" s="54">
        <v>253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1012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256.67</v>
      </c>
      <c r="AH31" s="67">
        <v>256.67</v>
      </c>
      <c r="AI31" s="67">
        <v>253</v>
      </c>
      <c r="AJ31" s="67">
        <v>253</v>
      </c>
      <c r="AK31" s="67">
        <v>253</v>
      </c>
      <c r="AL31" s="67">
        <v>253</v>
      </c>
      <c r="AM31" s="67">
        <v>253</v>
      </c>
      <c r="AN31" s="67">
        <v>253</v>
      </c>
      <c r="AO31" s="67">
        <v>253</v>
      </c>
      <c r="AP31" s="67">
        <v>253</v>
      </c>
      <c r="AQ31" s="67">
        <v>253</v>
      </c>
      <c r="AR31" s="67">
        <v>253</v>
      </c>
      <c r="AS31" s="68">
        <v>1019.34</v>
      </c>
      <c r="AT31" s="63"/>
      <c r="AU31" s="63">
        <v>99.279926226774194</v>
      </c>
    </row>
    <row r="32" spans="1:47" ht="12.75" customHeight="1" collapsed="1" x14ac:dyDescent="0.2">
      <c r="A32" s="69" t="s">
        <v>177</v>
      </c>
      <c r="B32" s="70">
        <v>1378.41</v>
      </c>
      <c r="C32" s="71">
        <v>0</v>
      </c>
      <c r="D32" s="71">
        <v>1856.7</v>
      </c>
      <c r="E32" s="72"/>
      <c r="F32" s="73">
        <v>74.239780255291649</v>
      </c>
      <c r="G32" s="70">
        <v>2059.27</v>
      </c>
      <c r="H32" s="71">
        <v>1834.18</v>
      </c>
      <c r="I32" s="71">
        <v>2046.77</v>
      </c>
      <c r="J32" s="71">
        <v>1378.41</v>
      </c>
      <c r="K32" s="74">
        <v>-837.9</v>
      </c>
      <c r="L32" s="71">
        <v>0</v>
      </c>
      <c r="M32" s="71">
        <v>0</v>
      </c>
      <c r="N32" s="71">
        <v>0</v>
      </c>
      <c r="O32" s="71">
        <v>0</v>
      </c>
      <c r="P32" s="71">
        <v>0</v>
      </c>
      <c r="Q32" s="71">
        <v>0</v>
      </c>
      <c r="R32" s="71">
        <v>0</v>
      </c>
      <c r="S32" s="71">
        <v>7318.63</v>
      </c>
      <c r="T32" s="71">
        <v>0</v>
      </c>
      <c r="U32" s="71">
        <v>0</v>
      </c>
      <c r="V32" s="71">
        <v>0</v>
      </c>
      <c r="W32" s="71">
        <v>0</v>
      </c>
      <c r="X32" s="71">
        <v>0</v>
      </c>
      <c r="Y32" s="71">
        <v>0</v>
      </c>
      <c r="Z32" s="71">
        <v>0</v>
      </c>
      <c r="AA32" s="71">
        <v>0</v>
      </c>
      <c r="AB32" s="71">
        <v>0</v>
      </c>
      <c r="AC32" s="71">
        <v>0</v>
      </c>
      <c r="AD32" s="71">
        <v>0</v>
      </c>
      <c r="AE32" s="71">
        <v>0</v>
      </c>
      <c r="AF32" s="71">
        <v>0</v>
      </c>
      <c r="AG32" s="75">
        <v>1998.09</v>
      </c>
      <c r="AH32" s="75">
        <v>2591.59</v>
      </c>
      <c r="AI32" s="75">
        <v>3104.3</v>
      </c>
      <c r="AJ32" s="75">
        <v>1856.7</v>
      </c>
      <c r="AK32" s="75">
        <v>2506.69</v>
      </c>
      <c r="AL32" s="75">
        <v>4555.38</v>
      </c>
      <c r="AM32" s="75">
        <v>2770.8</v>
      </c>
      <c r="AN32" s="75">
        <v>496.6</v>
      </c>
      <c r="AO32" s="75">
        <v>1101.24</v>
      </c>
      <c r="AP32" s="134">
        <v>-547.03</v>
      </c>
      <c r="AQ32" s="75">
        <v>2554.1</v>
      </c>
      <c r="AR32" s="134">
        <v>-69.849999999999994</v>
      </c>
      <c r="AS32" s="75">
        <v>9550.68</v>
      </c>
      <c r="AT32" s="72"/>
      <c r="AU32" s="72">
        <v>76.629412774797188</v>
      </c>
    </row>
    <row r="33" spans="1:47" ht="12.75" hidden="1" customHeight="1" outlineLevel="1" x14ac:dyDescent="0.2">
      <c r="A33" s="95" t="s">
        <v>178</v>
      </c>
      <c r="B33" s="62">
        <v>0</v>
      </c>
      <c r="C33" s="54">
        <v>0</v>
      </c>
      <c r="D33" s="54">
        <v>0</v>
      </c>
      <c r="E33" s="63"/>
      <c r="F33" s="64"/>
      <c r="G33" s="65">
        <v>21.4</v>
      </c>
      <c r="H33" s="54">
        <v>21.51</v>
      </c>
      <c r="I33" s="54">
        <v>0</v>
      </c>
      <c r="J33" s="54">
        <v>0</v>
      </c>
      <c r="K33" s="54">
        <v>0</v>
      </c>
      <c r="L33" s="54">
        <v>0</v>
      </c>
      <c r="M33" s="54">
        <v>0</v>
      </c>
      <c r="N33" s="54">
        <v>0</v>
      </c>
      <c r="O33" s="54">
        <v>0</v>
      </c>
      <c r="P33" s="54">
        <v>0</v>
      </c>
      <c r="Q33" s="54">
        <v>0</v>
      </c>
      <c r="R33" s="54">
        <v>0</v>
      </c>
      <c r="S33" s="66">
        <v>42.91</v>
      </c>
      <c r="T33" s="54">
        <v>0</v>
      </c>
      <c r="U33" s="54">
        <v>0</v>
      </c>
      <c r="V33" s="54">
        <v>0</v>
      </c>
      <c r="W33" s="54">
        <v>0</v>
      </c>
      <c r="X33" s="54">
        <v>0</v>
      </c>
      <c r="Y33" s="54">
        <v>0</v>
      </c>
      <c r="Z33" s="54">
        <v>0</v>
      </c>
      <c r="AA33" s="54">
        <v>0</v>
      </c>
      <c r="AB33" s="54">
        <v>0</v>
      </c>
      <c r="AC33" s="54">
        <v>0</v>
      </c>
      <c r="AD33" s="54">
        <v>0</v>
      </c>
      <c r="AE33" s="54">
        <v>0</v>
      </c>
      <c r="AF33" s="66">
        <v>0</v>
      </c>
      <c r="AG33" s="67">
        <v>0</v>
      </c>
      <c r="AH33" s="67">
        <v>0</v>
      </c>
      <c r="AI33" s="67">
        <v>0</v>
      </c>
      <c r="AJ33" s="67">
        <v>0</v>
      </c>
      <c r="AK33" s="67">
        <v>0</v>
      </c>
      <c r="AL33" s="67">
        <v>0</v>
      </c>
      <c r="AM33" s="67">
        <v>0</v>
      </c>
      <c r="AN33" s="67">
        <v>0</v>
      </c>
      <c r="AO33" s="67">
        <v>72.73</v>
      </c>
      <c r="AP33" s="67">
        <v>0</v>
      </c>
      <c r="AQ33" s="67">
        <v>0</v>
      </c>
      <c r="AR33" s="67">
        <v>0</v>
      </c>
      <c r="AS33" s="68">
        <v>0</v>
      </c>
      <c r="AT33" s="63"/>
      <c r="AU33" s="63"/>
    </row>
    <row r="34" spans="1:47" ht="12.75" hidden="1" customHeight="1" outlineLevel="1" x14ac:dyDescent="0.2">
      <c r="A34" s="95" t="s">
        <v>179</v>
      </c>
      <c r="B34" s="62">
        <v>56.67</v>
      </c>
      <c r="C34" s="54">
        <v>0</v>
      </c>
      <c r="D34" s="54">
        <v>44.75</v>
      </c>
      <c r="E34" s="63"/>
      <c r="F34" s="64">
        <v>126.63687150837988</v>
      </c>
      <c r="G34" s="65">
        <v>56.67</v>
      </c>
      <c r="H34" s="54">
        <v>56.67</v>
      </c>
      <c r="I34" s="54">
        <v>56.67</v>
      </c>
      <c r="J34" s="54">
        <v>56.67</v>
      </c>
      <c r="K34" s="54">
        <v>0</v>
      </c>
      <c r="L34" s="54">
        <v>0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66">
        <v>226.68</v>
      </c>
      <c r="T34" s="54">
        <v>0</v>
      </c>
      <c r="U34" s="54">
        <v>0</v>
      </c>
      <c r="V34" s="54">
        <v>0</v>
      </c>
      <c r="W34" s="54">
        <v>0</v>
      </c>
      <c r="X34" s="54">
        <v>0</v>
      </c>
      <c r="Y34" s="54">
        <v>0</v>
      </c>
      <c r="Z34" s="54">
        <v>0</v>
      </c>
      <c r="AA34" s="54">
        <v>0</v>
      </c>
      <c r="AB34" s="54">
        <v>0</v>
      </c>
      <c r="AC34" s="54">
        <v>0</v>
      </c>
      <c r="AD34" s="54">
        <v>0</v>
      </c>
      <c r="AE34" s="54">
        <v>0</v>
      </c>
      <c r="AF34" s="66">
        <v>0</v>
      </c>
      <c r="AG34" s="67">
        <v>34</v>
      </c>
      <c r="AH34" s="67">
        <v>42.18</v>
      </c>
      <c r="AI34" s="67">
        <v>55.58</v>
      </c>
      <c r="AJ34" s="67">
        <v>44.75</v>
      </c>
      <c r="AK34" s="67">
        <v>35.75</v>
      </c>
      <c r="AL34" s="67">
        <v>35.82</v>
      </c>
      <c r="AM34" s="67">
        <v>84.44</v>
      </c>
      <c r="AN34" s="67">
        <v>1152.26</v>
      </c>
      <c r="AO34" s="67">
        <v>562.66999999999996</v>
      </c>
      <c r="AP34" s="67">
        <v>56.67</v>
      </c>
      <c r="AQ34" s="67">
        <v>93.75</v>
      </c>
      <c r="AR34" s="67">
        <v>74.819999999999993</v>
      </c>
      <c r="AS34" s="68">
        <v>176.51</v>
      </c>
      <c r="AT34" s="63"/>
      <c r="AU34" s="63">
        <v>128.42331879213643</v>
      </c>
    </row>
    <row r="35" spans="1:47" ht="12.75" hidden="1" customHeight="1" outlineLevel="1" x14ac:dyDescent="0.2">
      <c r="A35" s="95" t="s">
        <v>180</v>
      </c>
      <c r="B35" s="62">
        <v>0</v>
      </c>
      <c r="C35" s="54">
        <v>0</v>
      </c>
      <c r="D35" s="54">
        <v>0</v>
      </c>
      <c r="E35" s="63"/>
      <c r="F35" s="64"/>
      <c r="G35" s="65">
        <v>0</v>
      </c>
      <c r="H35" s="54">
        <v>667.7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667.7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0</v>
      </c>
      <c r="AH35" s="67">
        <v>0</v>
      </c>
      <c r="AI35" s="67">
        <v>0</v>
      </c>
      <c r="AJ35" s="67">
        <v>0</v>
      </c>
      <c r="AK35" s="67">
        <v>0</v>
      </c>
      <c r="AL35" s="67">
        <v>0</v>
      </c>
      <c r="AM35" s="67">
        <v>0</v>
      </c>
      <c r="AN35" s="67">
        <v>14</v>
      </c>
      <c r="AO35" s="67">
        <v>232.73</v>
      </c>
      <c r="AP35" s="67">
        <v>0</v>
      </c>
      <c r="AQ35" s="67">
        <v>0</v>
      </c>
      <c r="AR35" s="67">
        <v>961.8</v>
      </c>
      <c r="AS35" s="68">
        <v>0</v>
      </c>
      <c r="AT35" s="63"/>
      <c r="AU35" s="63"/>
    </row>
    <row r="36" spans="1:47" ht="12.75" hidden="1" customHeight="1" outlineLevel="1" x14ac:dyDescent="0.2">
      <c r="A36" s="95" t="s">
        <v>181</v>
      </c>
      <c r="B36" s="62">
        <v>0</v>
      </c>
      <c r="C36" s="54">
        <v>0</v>
      </c>
      <c r="D36" s="54">
        <v>0</v>
      </c>
      <c r="E36" s="63"/>
      <c r="F36" s="64"/>
      <c r="G36" s="65">
        <v>0</v>
      </c>
      <c r="H36" s="54">
        <v>0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0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>
        <v>0</v>
      </c>
      <c r="AH36" s="67">
        <v>0</v>
      </c>
      <c r="AI36" s="67">
        <v>0</v>
      </c>
      <c r="AJ36" s="67">
        <v>0</v>
      </c>
      <c r="AK36" s="67">
        <v>0</v>
      </c>
      <c r="AL36" s="67">
        <v>0</v>
      </c>
      <c r="AM36" s="67">
        <v>3159.82</v>
      </c>
      <c r="AN36" s="98">
        <v>-3680.69</v>
      </c>
      <c r="AO36" s="67">
        <v>7838.52</v>
      </c>
      <c r="AP36" s="67">
        <v>0</v>
      </c>
      <c r="AQ36" s="67">
        <v>1284.55</v>
      </c>
      <c r="AR36" s="67">
        <v>2565.5100000000002</v>
      </c>
      <c r="AS36" s="68">
        <v>0</v>
      </c>
      <c r="AT36" s="63"/>
      <c r="AU36" s="63"/>
    </row>
    <row r="37" spans="1:47" ht="12.75" hidden="1" customHeight="1" outlineLevel="1" x14ac:dyDescent="0.2">
      <c r="A37" s="95" t="s">
        <v>182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1351.99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1351.99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75.819999999999993</v>
      </c>
      <c r="AI37" s="67">
        <v>0</v>
      </c>
      <c r="AJ37" s="67">
        <v>0</v>
      </c>
      <c r="AK37" s="67">
        <v>0</v>
      </c>
      <c r="AL37" s="67">
        <v>0</v>
      </c>
      <c r="AM37" s="67">
        <v>10.91</v>
      </c>
      <c r="AN37" s="67">
        <v>0</v>
      </c>
      <c r="AO37" s="98">
        <v>-27.64</v>
      </c>
      <c r="AP37" s="67">
        <v>0</v>
      </c>
      <c r="AQ37" s="67">
        <v>0</v>
      </c>
      <c r="AR37" s="67">
        <v>0</v>
      </c>
      <c r="AS37" s="68">
        <v>75.819999999999993</v>
      </c>
      <c r="AT37" s="63"/>
      <c r="AU37" s="63">
        <v>1783.1574782379319</v>
      </c>
    </row>
    <row r="38" spans="1:47" ht="12.75" hidden="1" customHeight="1" outlineLevel="1" x14ac:dyDescent="0.2">
      <c r="A38" s="95" t="s">
        <v>183</v>
      </c>
      <c r="B38" s="62">
        <v>0</v>
      </c>
      <c r="C38" s="54">
        <v>0</v>
      </c>
      <c r="D38" s="54">
        <v>0</v>
      </c>
      <c r="E38" s="63"/>
      <c r="F38" s="64"/>
      <c r="G38" s="65">
        <v>1390.42</v>
      </c>
      <c r="H38" s="56">
        <v>-1390.42</v>
      </c>
      <c r="I38" s="54">
        <v>0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0</v>
      </c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0</v>
      </c>
      <c r="Z38" s="54">
        <v>0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66">
        <v>0</v>
      </c>
      <c r="AG38" s="67">
        <v>0</v>
      </c>
      <c r="AH38" s="67">
        <v>0</v>
      </c>
      <c r="AI38" s="67">
        <v>0</v>
      </c>
      <c r="AJ38" s="67">
        <v>0</v>
      </c>
      <c r="AK38" s="67">
        <v>0</v>
      </c>
      <c r="AL38" s="67">
        <v>0</v>
      </c>
      <c r="AM38" s="67">
        <v>0</v>
      </c>
      <c r="AN38" s="67">
        <v>0</v>
      </c>
      <c r="AO38" s="67">
        <v>365.77</v>
      </c>
      <c r="AP38" s="67">
        <v>3299.62</v>
      </c>
      <c r="AQ38" s="98">
        <v>-261.72000000000003</v>
      </c>
      <c r="AR38" s="98">
        <v>-1958.13</v>
      </c>
      <c r="AS38" s="68">
        <v>0</v>
      </c>
      <c r="AT38" s="63"/>
      <c r="AU38" s="63"/>
    </row>
    <row r="39" spans="1:47" ht="12.75" hidden="1" customHeight="1" outlineLevel="1" x14ac:dyDescent="0.2">
      <c r="A39" s="95" t="s">
        <v>184</v>
      </c>
      <c r="B39" s="62">
        <v>0</v>
      </c>
      <c r="C39" s="54">
        <v>0</v>
      </c>
      <c r="D39" s="54">
        <v>0</v>
      </c>
      <c r="E39" s="63"/>
      <c r="F39" s="64"/>
      <c r="G39" s="65">
        <v>324.07</v>
      </c>
      <c r="H39" s="56">
        <v>-38.18</v>
      </c>
      <c r="I39" s="56">
        <v>-285.89</v>
      </c>
      <c r="J39" s="54">
        <v>0</v>
      </c>
      <c r="K39" s="54">
        <v>0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66">
        <v>0</v>
      </c>
      <c r="T39" s="54">
        <v>0</v>
      </c>
      <c r="U39" s="54">
        <v>0</v>
      </c>
      <c r="V39" s="54">
        <v>0</v>
      </c>
      <c r="W39" s="54">
        <v>0</v>
      </c>
      <c r="X39" s="54">
        <v>0</v>
      </c>
      <c r="Y39" s="54">
        <v>0</v>
      </c>
      <c r="Z39" s="54">
        <v>0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66">
        <v>0</v>
      </c>
      <c r="AG39" s="67">
        <v>0</v>
      </c>
      <c r="AH39" s="67">
        <v>0</v>
      </c>
      <c r="AI39" s="67">
        <v>0</v>
      </c>
      <c r="AJ39" s="67">
        <v>0</v>
      </c>
      <c r="AK39" s="67">
        <v>0</v>
      </c>
      <c r="AL39" s="67">
        <v>0</v>
      </c>
      <c r="AM39" s="67">
        <v>0</v>
      </c>
      <c r="AN39" s="67">
        <v>0</v>
      </c>
      <c r="AO39" s="67">
        <v>0</v>
      </c>
      <c r="AP39" s="67">
        <v>0</v>
      </c>
      <c r="AQ39" s="67">
        <v>0</v>
      </c>
      <c r="AR39" s="67">
        <v>0</v>
      </c>
      <c r="AS39" s="68">
        <v>0</v>
      </c>
      <c r="AT39" s="63"/>
      <c r="AU39" s="63"/>
    </row>
    <row r="40" spans="1:47" ht="12.75" hidden="1" customHeight="1" outlineLevel="1" x14ac:dyDescent="0.2">
      <c r="A40" s="95" t="s">
        <v>185</v>
      </c>
      <c r="B40" s="62"/>
      <c r="C40" s="54"/>
      <c r="D40" s="54"/>
      <c r="E40" s="63"/>
      <c r="F40" s="64"/>
      <c r="G40" s="65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66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66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8"/>
      <c r="AT40" s="63"/>
      <c r="AU40" s="63"/>
    </row>
    <row r="41" spans="1:47" ht="12.75" hidden="1" customHeight="1" outlineLevel="1" x14ac:dyDescent="0.2">
      <c r="A41" s="95" t="s">
        <v>186</v>
      </c>
      <c r="B41" s="62">
        <v>0</v>
      </c>
      <c r="C41" s="54">
        <v>0</v>
      </c>
      <c r="D41" s="54">
        <v>0</v>
      </c>
      <c r="E41" s="63"/>
      <c r="F41" s="64"/>
      <c r="G41" s="65">
        <v>0</v>
      </c>
      <c r="H41" s="54">
        <v>0</v>
      </c>
      <c r="I41" s="54">
        <v>0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66">
        <v>0</v>
      </c>
      <c r="T41" s="54">
        <v>0</v>
      </c>
      <c r="U41" s="54">
        <v>0</v>
      </c>
      <c r="V41" s="54">
        <v>0</v>
      </c>
      <c r="W41" s="54">
        <v>0</v>
      </c>
      <c r="X41" s="54">
        <v>0</v>
      </c>
      <c r="Y41" s="54">
        <v>0</v>
      </c>
      <c r="Z41" s="54">
        <v>0</v>
      </c>
      <c r="AA41" s="54">
        <v>0</v>
      </c>
      <c r="AB41" s="54">
        <v>0</v>
      </c>
      <c r="AC41" s="54">
        <v>0</v>
      </c>
      <c r="AD41" s="54">
        <v>0</v>
      </c>
      <c r="AE41" s="54">
        <v>0</v>
      </c>
      <c r="AF41" s="66">
        <v>0</v>
      </c>
      <c r="AG41" s="67">
        <v>0</v>
      </c>
      <c r="AH41" s="67">
        <v>0</v>
      </c>
      <c r="AI41" s="67">
        <v>0</v>
      </c>
      <c r="AJ41" s="67">
        <v>0</v>
      </c>
      <c r="AK41" s="67">
        <v>0</v>
      </c>
      <c r="AL41" s="67">
        <v>0</v>
      </c>
      <c r="AM41" s="67">
        <v>0</v>
      </c>
      <c r="AN41" s="67">
        <v>0</v>
      </c>
      <c r="AO41" s="67">
        <v>0</v>
      </c>
      <c r="AP41" s="67">
        <v>0</v>
      </c>
      <c r="AQ41" s="67">
        <v>0</v>
      </c>
      <c r="AR41" s="67">
        <v>0</v>
      </c>
      <c r="AS41" s="68">
        <v>0</v>
      </c>
      <c r="AT41" s="63"/>
      <c r="AU41" s="63"/>
    </row>
    <row r="42" spans="1:47" ht="12.75" hidden="1" customHeight="1" outlineLevel="1" x14ac:dyDescent="0.2">
      <c r="A42" s="95" t="s">
        <v>187</v>
      </c>
      <c r="B42" s="62">
        <v>0</v>
      </c>
      <c r="C42" s="54">
        <v>0</v>
      </c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0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0</v>
      </c>
      <c r="AS42" s="68">
        <v>0</v>
      </c>
      <c r="AT42" s="63"/>
      <c r="AU42" s="63"/>
    </row>
    <row r="43" spans="1:47" ht="12.75" hidden="1" customHeight="1" outlineLevel="1" x14ac:dyDescent="0.2">
      <c r="A43" s="95" t="s">
        <v>188</v>
      </c>
      <c r="B43" s="62">
        <v>0</v>
      </c>
      <c r="C43" s="54"/>
      <c r="D43" s="54">
        <v>0</v>
      </c>
      <c r="E43" s="63"/>
      <c r="F43" s="64"/>
      <c r="G43" s="65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66">
        <v>0</v>
      </c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66"/>
      <c r="AG43" s="67">
        <v>0</v>
      </c>
      <c r="AH43" s="67">
        <v>0</v>
      </c>
      <c r="AI43" s="67">
        <v>0</v>
      </c>
      <c r="AJ43" s="67">
        <v>0</v>
      </c>
      <c r="AK43" s="67">
        <v>0</v>
      </c>
      <c r="AL43" s="67">
        <v>0</v>
      </c>
      <c r="AM43" s="67">
        <v>0</v>
      </c>
      <c r="AN43" s="67">
        <v>0</v>
      </c>
      <c r="AO43" s="67">
        <v>0</v>
      </c>
      <c r="AP43" s="67">
        <v>0</v>
      </c>
      <c r="AQ43" s="67">
        <v>0</v>
      </c>
      <c r="AR43" s="67">
        <v>0</v>
      </c>
      <c r="AS43" s="68">
        <v>0</v>
      </c>
      <c r="AT43" s="63"/>
      <c r="AU43" s="63"/>
    </row>
    <row r="44" spans="1:47" ht="12.75" hidden="1" customHeight="1" outlineLevel="1" x14ac:dyDescent="0.2">
      <c r="A44" s="95" t="s">
        <v>189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95" t="s">
        <v>190</v>
      </c>
      <c r="B45" s="62">
        <v>0</v>
      </c>
      <c r="C45" s="54">
        <v>0</v>
      </c>
      <c r="D45" s="54">
        <v>0</v>
      </c>
      <c r="E45" s="63"/>
      <c r="F45" s="64"/>
      <c r="G45" s="65">
        <v>0</v>
      </c>
      <c r="H45" s="54">
        <v>46.53</v>
      </c>
      <c r="I45" s="54">
        <v>0</v>
      </c>
      <c r="J45" s="54">
        <v>0</v>
      </c>
      <c r="K45" s="54">
        <v>0</v>
      </c>
      <c r="L45" s="54">
        <v>0</v>
      </c>
      <c r="M45" s="54">
        <v>0</v>
      </c>
      <c r="N45" s="54">
        <v>0</v>
      </c>
      <c r="O45" s="54">
        <v>0</v>
      </c>
      <c r="P45" s="54">
        <v>0</v>
      </c>
      <c r="Q45" s="54">
        <v>0</v>
      </c>
      <c r="R45" s="54">
        <v>0</v>
      </c>
      <c r="S45" s="66">
        <v>46.53</v>
      </c>
      <c r="T45" s="54">
        <v>0</v>
      </c>
      <c r="U45" s="54">
        <v>0</v>
      </c>
      <c r="V45" s="54">
        <v>0</v>
      </c>
      <c r="W45" s="54">
        <v>0</v>
      </c>
      <c r="X45" s="54">
        <v>0</v>
      </c>
      <c r="Y45" s="54">
        <v>0</v>
      </c>
      <c r="Z45" s="54">
        <v>0</v>
      </c>
      <c r="AA45" s="54">
        <v>0</v>
      </c>
      <c r="AB45" s="54">
        <v>0</v>
      </c>
      <c r="AC45" s="54">
        <v>0</v>
      </c>
      <c r="AD45" s="54">
        <v>0</v>
      </c>
      <c r="AE45" s="54">
        <v>0</v>
      </c>
      <c r="AF45" s="66">
        <v>0</v>
      </c>
      <c r="AG45" s="67">
        <v>0</v>
      </c>
      <c r="AH45" s="67">
        <v>0</v>
      </c>
      <c r="AI45" s="67">
        <v>0</v>
      </c>
      <c r="AJ45" s="67">
        <v>0</v>
      </c>
      <c r="AK45" s="67">
        <v>0</v>
      </c>
      <c r="AL45" s="67">
        <v>0</v>
      </c>
      <c r="AM45" s="67">
        <v>476.56</v>
      </c>
      <c r="AN45" s="67">
        <v>0</v>
      </c>
      <c r="AO45" s="67">
        <v>0</v>
      </c>
      <c r="AP45" s="67">
        <v>0</v>
      </c>
      <c r="AQ45" s="67">
        <v>0</v>
      </c>
      <c r="AR45" s="67">
        <v>0</v>
      </c>
      <c r="AS45" s="68">
        <v>0</v>
      </c>
      <c r="AT45" s="63"/>
      <c r="AU45" s="63"/>
    </row>
    <row r="46" spans="1:47" ht="12.75" hidden="1" customHeight="1" outlineLevel="1" x14ac:dyDescent="0.2">
      <c r="A46" s="95" t="s">
        <v>191</v>
      </c>
      <c r="B46" s="62">
        <v>0</v>
      </c>
      <c r="C46" s="54">
        <v>0</v>
      </c>
      <c r="D46" s="54">
        <v>0</v>
      </c>
      <c r="E46" s="63"/>
      <c r="F46" s="64"/>
      <c r="G46" s="65">
        <v>0</v>
      </c>
      <c r="H46" s="54">
        <v>0</v>
      </c>
      <c r="I46" s="54">
        <v>0</v>
      </c>
      <c r="J46" s="54">
        <v>0</v>
      </c>
      <c r="K46" s="54">
        <v>0</v>
      </c>
      <c r="L46" s="54">
        <v>0</v>
      </c>
      <c r="M46" s="54">
        <v>0</v>
      </c>
      <c r="N46" s="54">
        <v>0</v>
      </c>
      <c r="O46" s="54">
        <v>0</v>
      </c>
      <c r="P46" s="54">
        <v>0</v>
      </c>
      <c r="Q46" s="54">
        <v>0</v>
      </c>
      <c r="R46" s="54">
        <v>0</v>
      </c>
      <c r="S46" s="66">
        <v>0</v>
      </c>
      <c r="T46" s="54">
        <v>0</v>
      </c>
      <c r="U46" s="54">
        <v>0</v>
      </c>
      <c r="V46" s="54">
        <v>0</v>
      </c>
      <c r="W46" s="54">
        <v>0</v>
      </c>
      <c r="X46" s="54">
        <v>0</v>
      </c>
      <c r="Y46" s="54">
        <v>0</v>
      </c>
      <c r="Z46" s="54">
        <v>0</v>
      </c>
      <c r="AA46" s="54">
        <v>0</v>
      </c>
      <c r="AB46" s="54">
        <v>0</v>
      </c>
      <c r="AC46" s="54">
        <v>0</v>
      </c>
      <c r="AD46" s="54">
        <v>0</v>
      </c>
      <c r="AE46" s="54">
        <v>0</v>
      </c>
      <c r="AF46" s="66">
        <v>0</v>
      </c>
      <c r="AG46" s="67">
        <v>0</v>
      </c>
      <c r="AH46" s="67">
        <v>0</v>
      </c>
      <c r="AI46" s="67">
        <v>0</v>
      </c>
      <c r="AJ46" s="67">
        <v>0</v>
      </c>
      <c r="AK46" s="67">
        <v>0</v>
      </c>
      <c r="AL46" s="67">
        <v>0</v>
      </c>
      <c r="AM46" s="67">
        <v>80.400000000000006</v>
      </c>
      <c r="AN46" s="67">
        <v>0</v>
      </c>
      <c r="AO46" s="67">
        <v>314.94</v>
      </c>
      <c r="AP46" s="67">
        <v>0</v>
      </c>
      <c r="AQ46" s="67">
        <v>282.87</v>
      </c>
      <c r="AR46" s="67">
        <v>0</v>
      </c>
      <c r="AS46" s="68">
        <v>0</v>
      </c>
      <c r="AT46" s="63"/>
      <c r="AU46" s="63"/>
    </row>
    <row r="47" spans="1:47" ht="12.75" customHeight="1" collapsed="1" x14ac:dyDescent="0.2">
      <c r="A47" s="69" t="s">
        <v>192</v>
      </c>
      <c r="B47" s="70">
        <v>56.67</v>
      </c>
      <c r="C47" s="71">
        <v>0</v>
      </c>
      <c r="D47" s="71">
        <v>44.75</v>
      </c>
      <c r="E47" s="72"/>
      <c r="F47" s="73">
        <v>126.63687150837988</v>
      </c>
      <c r="G47" s="70">
        <v>1792.56</v>
      </c>
      <c r="H47" s="71">
        <v>715.8</v>
      </c>
      <c r="I47" s="74">
        <v>-229.22</v>
      </c>
      <c r="J47" s="71">
        <v>56.67</v>
      </c>
      <c r="K47" s="71">
        <v>0</v>
      </c>
      <c r="L47" s="71">
        <v>0</v>
      </c>
      <c r="M47" s="71">
        <v>0</v>
      </c>
      <c r="N47" s="71">
        <v>0</v>
      </c>
      <c r="O47" s="71">
        <v>0</v>
      </c>
      <c r="P47" s="71">
        <v>0</v>
      </c>
      <c r="Q47" s="71">
        <v>0</v>
      </c>
      <c r="R47" s="71">
        <v>0</v>
      </c>
      <c r="S47" s="71">
        <v>2335.81</v>
      </c>
      <c r="T47" s="71">
        <v>0</v>
      </c>
      <c r="U47" s="71">
        <v>0</v>
      </c>
      <c r="V47" s="71">
        <v>0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71">
        <v>0</v>
      </c>
      <c r="AE47" s="71">
        <v>0</v>
      </c>
      <c r="AF47" s="71">
        <v>0</v>
      </c>
      <c r="AG47" s="75">
        <v>34</v>
      </c>
      <c r="AH47" s="75">
        <v>118</v>
      </c>
      <c r="AI47" s="75">
        <v>55.58</v>
      </c>
      <c r="AJ47" s="75">
        <v>44.75</v>
      </c>
      <c r="AK47" s="75">
        <v>35.75</v>
      </c>
      <c r="AL47" s="75">
        <v>35.82</v>
      </c>
      <c r="AM47" s="75">
        <v>3812.13</v>
      </c>
      <c r="AN47" s="134">
        <v>-2514.4299999999998</v>
      </c>
      <c r="AO47" s="75">
        <v>9359.7199999999993</v>
      </c>
      <c r="AP47" s="75">
        <v>3356.29</v>
      </c>
      <c r="AQ47" s="75">
        <v>1399.45</v>
      </c>
      <c r="AR47" s="75">
        <v>1644</v>
      </c>
      <c r="AS47" s="75">
        <v>252.33</v>
      </c>
      <c r="AT47" s="72"/>
      <c r="AU47" s="72">
        <v>925.69650854040344</v>
      </c>
    </row>
    <row r="48" spans="1:47" ht="12.75" hidden="1" customHeight="1" outlineLevel="1" x14ac:dyDescent="0.2">
      <c r="A48" s="95" t="s">
        <v>194</v>
      </c>
      <c r="B48" s="62">
        <v>0</v>
      </c>
      <c r="C48" s="54">
        <v>0</v>
      </c>
      <c r="D48" s="54">
        <v>0</v>
      </c>
      <c r="E48" s="63"/>
      <c r="F48" s="64"/>
      <c r="G48" s="65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54">
        <v>0</v>
      </c>
      <c r="N48" s="54">
        <v>0</v>
      </c>
      <c r="O48" s="54">
        <v>0</v>
      </c>
      <c r="P48" s="54">
        <v>0</v>
      </c>
      <c r="Q48" s="54">
        <v>0</v>
      </c>
      <c r="R48" s="54">
        <v>0</v>
      </c>
      <c r="S48" s="66">
        <v>0</v>
      </c>
      <c r="T48" s="54">
        <v>0</v>
      </c>
      <c r="U48" s="54">
        <v>0</v>
      </c>
      <c r="V48" s="54">
        <v>0</v>
      </c>
      <c r="W48" s="54">
        <v>0</v>
      </c>
      <c r="X48" s="54">
        <v>0</v>
      </c>
      <c r="Y48" s="54">
        <v>0</v>
      </c>
      <c r="Z48" s="54">
        <v>0</v>
      </c>
      <c r="AA48" s="54">
        <v>0</v>
      </c>
      <c r="AB48" s="54">
        <v>0</v>
      </c>
      <c r="AC48" s="54">
        <v>0</v>
      </c>
      <c r="AD48" s="54">
        <v>0</v>
      </c>
      <c r="AE48" s="54">
        <v>0</v>
      </c>
      <c r="AF48" s="66">
        <v>0</v>
      </c>
      <c r="AG48" s="67">
        <v>0</v>
      </c>
      <c r="AH48" s="67">
        <v>0</v>
      </c>
      <c r="AI48" s="67">
        <v>0</v>
      </c>
      <c r="AJ48" s="67">
        <v>0</v>
      </c>
      <c r="AK48" s="67">
        <v>0</v>
      </c>
      <c r="AL48" s="67">
        <v>0</v>
      </c>
      <c r="AM48" s="67">
        <v>0</v>
      </c>
      <c r="AN48" s="67">
        <v>0</v>
      </c>
      <c r="AO48" s="67">
        <v>0</v>
      </c>
      <c r="AP48" s="67">
        <v>0</v>
      </c>
      <c r="AQ48" s="67">
        <v>0</v>
      </c>
      <c r="AR48" s="67">
        <v>0</v>
      </c>
      <c r="AS48" s="68">
        <v>0</v>
      </c>
      <c r="AT48" s="63"/>
      <c r="AU48" s="63"/>
    </row>
    <row r="49" spans="1:47" ht="12.75" hidden="1" customHeight="1" outlineLevel="1" x14ac:dyDescent="0.2">
      <c r="A49" s="95" t="s">
        <v>193</v>
      </c>
      <c r="B49" s="62"/>
      <c r="C49" s="54"/>
      <c r="D49" s="54"/>
      <c r="E49" s="63"/>
      <c r="F49" s="64"/>
      <c r="G49" s="65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66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66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8"/>
      <c r="AT49" s="63"/>
      <c r="AU49" s="63"/>
    </row>
    <row r="50" spans="1:47" ht="12.75" hidden="1" customHeight="1" outlineLevel="1" x14ac:dyDescent="0.2">
      <c r="A50" s="95" t="s">
        <v>195</v>
      </c>
      <c r="B50" s="62">
        <v>0</v>
      </c>
      <c r="C50" s="54">
        <v>0</v>
      </c>
      <c r="D50" s="54">
        <v>0</v>
      </c>
      <c r="E50" s="63"/>
      <c r="F50" s="64"/>
      <c r="G50" s="65">
        <v>0</v>
      </c>
      <c r="H50" s="54">
        <v>0</v>
      </c>
      <c r="I50" s="54">
        <v>0</v>
      </c>
      <c r="J50" s="54">
        <v>0</v>
      </c>
      <c r="K50" s="54">
        <v>0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66">
        <v>0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>
        <v>0</v>
      </c>
      <c r="AH50" s="67">
        <v>0</v>
      </c>
      <c r="AI50" s="67">
        <v>0</v>
      </c>
      <c r="AJ50" s="67">
        <v>0</v>
      </c>
      <c r="AK50" s="67">
        <v>0</v>
      </c>
      <c r="AL50" s="67">
        <v>0</v>
      </c>
      <c r="AM50" s="67">
        <v>0</v>
      </c>
      <c r="AN50" s="67">
        <v>0</v>
      </c>
      <c r="AO50" s="67">
        <v>0</v>
      </c>
      <c r="AP50" s="67">
        <v>0</v>
      </c>
      <c r="AQ50" s="67">
        <v>0</v>
      </c>
      <c r="AR50" s="67">
        <v>0</v>
      </c>
      <c r="AS50" s="68">
        <v>0</v>
      </c>
      <c r="AT50" s="63"/>
      <c r="AU50" s="63"/>
    </row>
    <row r="51" spans="1:47" ht="12.75" hidden="1" customHeight="1" outlineLevel="1" x14ac:dyDescent="0.2">
      <c r="A51" s="95" t="s">
        <v>82</v>
      </c>
      <c r="B51" s="62"/>
      <c r="C51" s="54"/>
      <c r="D51" s="54"/>
      <c r="E51" s="63"/>
      <c r="F51" s="64"/>
      <c r="G51" s="65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66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66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8"/>
      <c r="AT51" s="63"/>
      <c r="AU51" s="63"/>
    </row>
    <row r="52" spans="1:47" ht="12.75" hidden="1" customHeight="1" outlineLevel="1" x14ac:dyDescent="0.2">
      <c r="A52" s="95" t="s">
        <v>83</v>
      </c>
      <c r="B52" s="62">
        <v>0</v>
      </c>
      <c r="C52" s="54">
        <v>0</v>
      </c>
      <c r="D52" s="54">
        <v>0</v>
      </c>
      <c r="E52" s="63"/>
      <c r="F52" s="64"/>
      <c r="G52" s="65">
        <v>0</v>
      </c>
      <c r="H52" s="54">
        <v>0</v>
      </c>
      <c r="I52" s="54">
        <v>0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66">
        <v>0</v>
      </c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66">
        <v>0</v>
      </c>
      <c r="AG52" s="67">
        <v>0</v>
      </c>
      <c r="AH52" s="67">
        <v>0</v>
      </c>
      <c r="AI52" s="67">
        <v>0</v>
      </c>
      <c r="AJ52" s="67">
        <v>0</v>
      </c>
      <c r="AK52" s="67">
        <v>0</v>
      </c>
      <c r="AL52" s="67">
        <v>0</v>
      </c>
      <c r="AM52" s="67">
        <v>688</v>
      </c>
      <c r="AN52" s="67">
        <v>0</v>
      </c>
      <c r="AO52" s="67">
        <v>0</v>
      </c>
      <c r="AP52" s="67">
        <v>0</v>
      </c>
      <c r="AQ52" s="67">
        <v>33.64</v>
      </c>
      <c r="AR52" s="67">
        <v>562</v>
      </c>
      <c r="AS52" s="68">
        <v>0</v>
      </c>
      <c r="AT52" s="63"/>
      <c r="AU52" s="63"/>
    </row>
    <row r="53" spans="1:47" ht="12.75" hidden="1" customHeight="1" outlineLevel="1" x14ac:dyDescent="0.2">
      <c r="A53" s="95" t="s">
        <v>84</v>
      </c>
      <c r="B53" s="62">
        <v>3900</v>
      </c>
      <c r="C53" s="54">
        <v>0</v>
      </c>
      <c r="D53" s="54">
        <v>3900</v>
      </c>
      <c r="E53" s="63"/>
      <c r="F53" s="64">
        <v>100</v>
      </c>
      <c r="G53" s="65">
        <v>3900</v>
      </c>
      <c r="H53" s="54">
        <v>3900</v>
      </c>
      <c r="I53" s="54">
        <v>3900</v>
      </c>
      <c r="J53" s="54">
        <v>3900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66">
        <v>15600</v>
      </c>
      <c r="T53" s="54">
        <v>0</v>
      </c>
      <c r="U53" s="54">
        <v>0</v>
      </c>
      <c r="V53" s="54">
        <v>0</v>
      </c>
      <c r="W53" s="54">
        <v>0</v>
      </c>
      <c r="X53" s="54">
        <v>0</v>
      </c>
      <c r="Y53" s="54">
        <v>0</v>
      </c>
      <c r="Z53" s="54">
        <v>0</v>
      </c>
      <c r="AA53" s="54">
        <v>0</v>
      </c>
      <c r="AB53" s="54">
        <v>0</v>
      </c>
      <c r="AC53" s="54">
        <v>0</v>
      </c>
      <c r="AD53" s="54">
        <v>0</v>
      </c>
      <c r="AE53" s="54">
        <v>0</v>
      </c>
      <c r="AF53" s="66">
        <v>0</v>
      </c>
      <c r="AG53" s="67">
        <v>3900</v>
      </c>
      <c r="AH53" s="67">
        <v>3900</v>
      </c>
      <c r="AI53" s="67">
        <v>3900</v>
      </c>
      <c r="AJ53" s="67">
        <v>3900</v>
      </c>
      <c r="AK53" s="67">
        <v>3900</v>
      </c>
      <c r="AL53" s="67">
        <v>3900</v>
      </c>
      <c r="AM53" s="67">
        <v>3900</v>
      </c>
      <c r="AN53" s="67">
        <v>3900</v>
      </c>
      <c r="AO53" s="67">
        <v>3900</v>
      </c>
      <c r="AP53" s="67">
        <v>3900</v>
      </c>
      <c r="AQ53" s="67">
        <v>3900</v>
      </c>
      <c r="AR53" s="67">
        <v>3900</v>
      </c>
      <c r="AS53" s="68">
        <v>15600</v>
      </c>
      <c r="AT53" s="63"/>
      <c r="AU53" s="63">
        <v>100</v>
      </c>
    </row>
    <row r="54" spans="1:47" ht="12.75" hidden="1" customHeight="1" outlineLevel="1" x14ac:dyDescent="0.2">
      <c r="A54" s="95" t="s">
        <v>198</v>
      </c>
      <c r="B54" s="62">
        <v>1154.72</v>
      </c>
      <c r="C54" s="54">
        <v>0</v>
      </c>
      <c r="D54" s="54">
        <v>180</v>
      </c>
      <c r="E54" s="63"/>
      <c r="F54" s="64">
        <v>641.51111111111106</v>
      </c>
      <c r="G54" s="65">
        <v>0</v>
      </c>
      <c r="H54" s="54">
        <v>480.54</v>
      </c>
      <c r="I54" s="54">
        <v>1950.17</v>
      </c>
      <c r="J54" s="54">
        <v>1154.72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66">
        <v>3585.43</v>
      </c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>
        <v>0</v>
      </c>
      <c r="AH54" s="67">
        <v>1651.09</v>
      </c>
      <c r="AI54" s="67">
        <v>1377.26</v>
      </c>
      <c r="AJ54" s="67">
        <v>180</v>
      </c>
      <c r="AK54" s="67">
        <v>2219.8000000000002</v>
      </c>
      <c r="AL54" s="67">
        <v>0</v>
      </c>
      <c r="AM54" s="67">
        <v>0</v>
      </c>
      <c r="AN54" s="67">
        <v>1822.21</v>
      </c>
      <c r="AO54" s="67">
        <v>3104.7</v>
      </c>
      <c r="AP54" s="67">
        <v>0</v>
      </c>
      <c r="AQ54" s="67">
        <v>45.18</v>
      </c>
      <c r="AR54" s="67">
        <v>1717.13</v>
      </c>
      <c r="AS54" s="68">
        <v>3208.35</v>
      </c>
      <c r="AT54" s="63"/>
      <c r="AU54" s="63">
        <v>111.75308180217246</v>
      </c>
    </row>
    <row r="55" spans="1:47" ht="12.75" hidden="1" customHeight="1" outlineLevel="1" x14ac:dyDescent="0.2">
      <c r="A55" s="95" t="s">
        <v>86</v>
      </c>
      <c r="B55" s="62">
        <v>0</v>
      </c>
      <c r="C55" s="54">
        <v>0</v>
      </c>
      <c r="D55" s="54">
        <v>0</v>
      </c>
      <c r="E55" s="63"/>
      <c r="F55" s="64"/>
      <c r="G55" s="65">
        <v>0</v>
      </c>
      <c r="H55" s="54">
        <v>31.62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66">
        <v>31.62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66">
        <v>0</v>
      </c>
      <c r="AG55" s="67">
        <v>0</v>
      </c>
      <c r="AH55" s="67">
        <v>17.73</v>
      </c>
      <c r="AI55" s="67">
        <v>39.590000000000003</v>
      </c>
      <c r="AJ55" s="67">
        <v>0</v>
      </c>
      <c r="AK55" s="67">
        <v>35</v>
      </c>
      <c r="AL55" s="67">
        <v>0</v>
      </c>
      <c r="AM55" s="67">
        <v>0</v>
      </c>
      <c r="AN55" s="67">
        <v>287.67</v>
      </c>
      <c r="AO55" s="67">
        <v>0</v>
      </c>
      <c r="AP55" s="67">
        <v>0</v>
      </c>
      <c r="AQ55" s="67">
        <v>0</v>
      </c>
      <c r="AR55" s="67">
        <v>0</v>
      </c>
      <c r="AS55" s="68">
        <v>57.32</v>
      </c>
      <c r="AT55" s="63"/>
      <c r="AU55" s="63">
        <v>55.163991625959525</v>
      </c>
    </row>
    <row r="56" spans="1:47" ht="12.75" hidden="1" customHeight="1" outlineLevel="1" x14ac:dyDescent="0.2">
      <c r="A56" s="95" t="s">
        <v>111</v>
      </c>
      <c r="B56" s="62">
        <v>7450</v>
      </c>
      <c r="C56" s="54">
        <v>0</v>
      </c>
      <c r="D56" s="54">
        <v>6450</v>
      </c>
      <c r="E56" s="63"/>
      <c r="F56" s="64">
        <v>115.50387596899225</v>
      </c>
      <c r="G56" s="65">
        <v>7450</v>
      </c>
      <c r="H56" s="54">
        <v>7450</v>
      </c>
      <c r="I56" s="54">
        <v>7450</v>
      </c>
      <c r="J56" s="54">
        <v>7450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66">
        <v>29800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66">
        <v>0</v>
      </c>
      <c r="AG56" s="67">
        <v>5450</v>
      </c>
      <c r="AH56" s="67">
        <v>8</v>
      </c>
      <c r="AI56" s="67">
        <v>5450</v>
      </c>
      <c r="AJ56" s="67">
        <v>6450</v>
      </c>
      <c r="AK56" s="67">
        <v>6450</v>
      </c>
      <c r="AL56" s="67">
        <v>6450</v>
      </c>
      <c r="AM56" s="67">
        <v>6450</v>
      </c>
      <c r="AN56" s="67">
        <v>7482</v>
      </c>
      <c r="AO56" s="67">
        <v>7450</v>
      </c>
      <c r="AP56" s="67">
        <v>7450</v>
      </c>
      <c r="AQ56" s="67">
        <v>7450</v>
      </c>
      <c r="AR56" s="67">
        <v>7450</v>
      </c>
      <c r="AS56" s="68">
        <v>17358</v>
      </c>
      <c r="AT56" s="63"/>
      <c r="AU56" s="63">
        <v>171.67876483465838</v>
      </c>
    </row>
    <row r="57" spans="1:47" ht="12.75" hidden="1" customHeight="1" outlineLevel="1" x14ac:dyDescent="0.2">
      <c r="A57" s="95" t="s">
        <v>110</v>
      </c>
      <c r="B57" s="62">
        <v>0</v>
      </c>
      <c r="C57" s="54">
        <v>0</v>
      </c>
      <c r="D57" s="54">
        <v>0</v>
      </c>
      <c r="E57" s="63"/>
      <c r="F57" s="64"/>
      <c r="G57" s="65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66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66">
        <v>0</v>
      </c>
      <c r="AG57" s="67">
        <v>0</v>
      </c>
      <c r="AH57" s="67">
        <v>0</v>
      </c>
      <c r="AI57" s="67">
        <v>0</v>
      </c>
      <c r="AJ57" s="67">
        <v>0</v>
      </c>
      <c r="AK57" s="67">
        <v>0</v>
      </c>
      <c r="AL57" s="67">
        <v>0</v>
      </c>
      <c r="AM57" s="67">
        <v>0</v>
      </c>
      <c r="AN57" s="67">
        <v>0</v>
      </c>
      <c r="AO57" s="67">
        <v>0</v>
      </c>
      <c r="AP57" s="67">
        <v>0</v>
      </c>
      <c r="AQ57" s="67">
        <v>0</v>
      </c>
      <c r="AR57" s="67">
        <v>0</v>
      </c>
      <c r="AS57" s="68">
        <v>0</v>
      </c>
      <c r="AT57" s="63"/>
      <c r="AU57" s="63"/>
    </row>
    <row r="58" spans="1:47" ht="12.75" hidden="1" customHeight="1" outlineLevel="1" x14ac:dyDescent="0.2">
      <c r="A58" s="95" t="s">
        <v>408</v>
      </c>
      <c r="B58" s="62">
        <v>0</v>
      </c>
      <c r="C58" s="54">
        <v>0</v>
      </c>
      <c r="D58" s="54">
        <v>0</v>
      </c>
      <c r="E58" s="63"/>
      <c r="F58" s="64"/>
      <c r="G58" s="65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0</v>
      </c>
      <c r="AI58" s="67">
        <v>0</v>
      </c>
      <c r="AJ58" s="67">
        <v>0</v>
      </c>
      <c r="AK58" s="67">
        <v>183.63</v>
      </c>
      <c r="AL58" s="67">
        <v>0</v>
      </c>
      <c r="AM58" s="67">
        <v>0</v>
      </c>
      <c r="AN58" s="67">
        <v>0</v>
      </c>
      <c r="AO58" s="67">
        <v>0</v>
      </c>
      <c r="AP58" s="67">
        <v>0</v>
      </c>
      <c r="AQ58" s="67">
        <v>22.73</v>
      </c>
      <c r="AR58" s="67">
        <v>10</v>
      </c>
      <c r="AS58" s="68">
        <v>0</v>
      </c>
      <c r="AT58" s="63"/>
      <c r="AU58" s="63"/>
    </row>
    <row r="59" spans="1:47" ht="12.75" hidden="1" customHeight="1" outlineLevel="1" x14ac:dyDescent="0.2">
      <c r="A59" s="95" t="s">
        <v>88</v>
      </c>
      <c r="B59" s="62">
        <v>0</v>
      </c>
      <c r="C59" s="54">
        <v>0</v>
      </c>
      <c r="D59" s="54">
        <v>0</v>
      </c>
      <c r="E59" s="63"/>
      <c r="F59" s="64"/>
      <c r="G59" s="65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66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66">
        <v>0</v>
      </c>
      <c r="AG59" s="67">
        <v>0</v>
      </c>
      <c r="AH59" s="67">
        <v>0</v>
      </c>
      <c r="AI59" s="67">
        <v>0</v>
      </c>
      <c r="AJ59" s="67">
        <v>0</v>
      </c>
      <c r="AK59" s="67">
        <v>0</v>
      </c>
      <c r="AL59" s="67">
        <v>0</v>
      </c>
      <c r="AM59" s="98">
        <v>-2703.2</v>
      </c>
      <c r="AN59" s="67">
        <v>10560</v>
      </c>
      <c r="AO59" s="67">
        <v>11264</v>
      </c>
      <c r="AP59" s="67">
        <v>0</v>
      </c>
      <c r="AQ59" s="67">
        <v>0</v>
      </c>
      <c r="AR59" s="67">
        <v>11137.5</v>
      </c>
      <c r="AS59" s="68">
        <v>0</v>
      </c>
      <c r="AT59" s="63"/>
      <c r="AU59" s="63"/>
    </row>
    <row r="60" spans="1:47" ht="12.75" hidden="1" customHeight="1" outlineLevel="1" x14ac:dyDescent="0.2">
      <c r="A60" s="95" t="s">
        <v>205</v>
      </c>
      <c r="B60" s="62"/>
      <c r="C60" s="54"/>
      <c r="D60" s="54"/>
      <c r="E60" s="63"/>
      <c r="F60" s="64"/>
      <c r="G60" s="65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66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66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8"/>
      <c r="AT60" s="63"/>
      <c r="AU60" s="63"/>
    </row>
    <row r="61" spans="1:47" ht="12.75" hidden="1" customHeight="1" outlineLevel="1" x14ac:dyDescent="0.2">
      <c r="A61" s="95" t="s">
        <v>206</v>
      </c>
      <c r="B61" s="62">
        <v>6489</v>
      </c>
      <c r="C61" s="54">
        <v>0</v>
      </c>
      <c r="D61" s="54">
        <v>5802.5</v>
      </c>
      <c r="E61" s="63"/>
      <c r="F61" s="64">
        <v>111.83110728134425</v>
      </c>
      <c r="G61" s="65">
        <v>7088.85</v>
      </c>
      <c r="H61" s="54">
        <v>6833.7</v>
      </c>
      <c r="I61" s="54">
        <v>5844.15</v>
      </c>
      <c r="J61" s="54">
        <v>6489</v>
      </c>
      <c r="K61" s="56">
        <v>-6489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66">
        <v>26255.7</v>
      </c>
      <c r="T61" s="54">
        <v>0</v>
      </c>
      <c r="U61" s="54">
        <v>0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0</v>
      </c>
      <c r="AB61" s="54">
        <v>0</v>
      </c>
      <c r="AC61" s="54">
        <v>0</v>
      </c>
      <c r="AD61" s="54">
        <v>0</v>
      </c>
      <c r="AE61" s="54">
        <v>0</v>
      </c>
      <c r="AF61" s="66">
        <v>0</v>
      </c>
      <c r="AG61" s="67">
        <v>5632.5</v>
      </c>
      <c r="AH61" s="67">
        <v>5694.59</v>
      </c>
      <c r="AI61" s="67">
        <v>5680.42</v>
      </c>
      <c r="AJ61" s="67">
        <v>5802.5</v>
      </c>
      <c r="AK61" s="67">
        <v>5816.25</v>
      </c>
      <c r="AL61" s="67">
        <v>5528.99</v>
      </c>
      <c r="AM61" s="67">
        <v>5624.17</v>
      </c>
      <c r="AN61" s="98">
        <v>-3608.21</v>
      </c>
      <c r="AO61" s="67">
        <v>5159.54</v>
      </c>
      <c r="AP61" s="67">
        <v>5456.44</v>
      </c>
      <c r="AQ61" s="67">
        <v>5362.68</v>
      </c>
      <c r="AR61" s="67">
        <v>4836.3599999999997</v>
      </c>
      <c r="AS61" s="68">
        <v>22810.01</v>
      </c>
      <c r="AT61" s="63"/>
      <c r="AU61" s="63">
        <v>115.10604335552681</v>
      </c>
    </row>
    <row r="62" spans="1:47" ht="12.75" hidden="1" customHeight="1" outlineLevel="1" x14ac:dyDescent="0.2">
      <c r="A62" s="95" t="s">
        <v>89</v>
      </c>
      <c r="B62" s="62"/>
      <c r="C62" s="54"/>
      <c r="D62" s="54"/>
      <c r="E62" s="63"/>
      <c r="F62" s="64"/>
      <c r="G62" s="65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66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66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8"/>
      <c r="AT62" s="63"/>
      <c r="AU62" s="63"/>
    </row>
    <row r="63" spans="1:47" ht="12.75" hidden="1" customHeight="1" outlineLevel="1" x14ac:dyDescent="0.2">
      <c r="A63" s="95" t="s">
        <v>207</v>
      </c>
      <c r="B63" s="62">
        <v>3677.41</v>
      </c>
      <c r="C63" s="54">
        <v>0</v>
      </c>
      <c r="D63" s="54">
        <v>3544.46</v>
      </c>
      <c r="E63" s="63"/>
      <c r="F63" s="64">
        <v>103.75092397713615</v>
      </c>
      <c r="G63" s="65">
        <v>1649.77</v>
      </c>
      <c r="H63" s="54">
        <v>1292.92</v>
      </c>
      <c r="I63" s="54">
        <v>2076.3200000000002</v>
      </c>
      <c r="J63" s="54">
        <v>3677.41</v>
      </c>
      <c r="K63" s="54">
        <v>0</v>
      </c>
      <c r="L63" s="54">
        <v>0</v>
      </c>
      <c r="M63" s="54">
        <v>0</v>
      </c>
      <c r="N63" s="54">
        <v>0</v>
      </c>
      <c r="O63" s="54">
        <v>0</v>
      </c>
      <c r="P63" s="54">
        <v>0</v>
      </c>
      <c r="Q63" s="54">
        <v>0</v>
      </c>
      <c r="R63" s="54">
        <v>0</v>
      </c>
      <c r="S63" s="66">
        <v>8696.42</v>
      </c>
      <c r="T63" s="54">
        <v>0</v>
      </c>
      <c r="U63" s="54">
        <v>0</v>
      </c>
      <c r="V63" s="54">
        <v>0</v>
      </c>
      <c r="W63" s="54">
        <v>0</v>
      </c>
      <c r="X63" s="54">
        <v>0</v>
      </c>
      <c r="Y63" s="54">
        <v>0</v>
      </c>
      <c r="Z63" s="54">
        <v>0</v>
      </c>
      <c r="AA63" s="54">
        <v>0</v>
      </c>
      <c r="AB63" s="54">
        <v>0</v>
      </c>
      <c r="AC63" s="54">
        <v>0</v>
      </c>
      <c r="AD63" s="54">
        <v>0</v>
      </c>
      <c r="AE63" s="54">
        <v>0</v>
      </c>
      <c r="AF63" s="66">
        <v>0</v>
      </c>
      <c r="AG63" s="67">
        <v>1574.82</v>
      </c>
      <c r="AH63" s="67">
        <v>1745.12</v>
      </c>
      <c r="AI63" s="67">
        <v>1407.89</v>
      </c>
      <c r="AJ63" s="67">
        <v>3544.46</v>
      </c>
      <c r="AK63" s="67">
        <v>1400.74</v>
      </c>
      <c r="AL63" s="67">
        <v>2235.1799999999998</v>
      </c>
      <c r="AM63" s="67">
        <v>1471.07</v>
      </c>
      <c r="AN63" s="67">
        <v>1413.81</v>
      </c>
      <c r="AO63" s="67">
        <v>1680.09</v>
      </c>
      <c r="AP63" s="67">
        <v>4203.01</v>
      </c>
      <c r="AQ63" s="67">
        <v>1234.51</v>
      </c>
      <c r="AR63" s="67">
        <v>1558.76</v>
      </c>
      <c r="AS63" s="68">
        <v>8272.2900000000009</v>
      </c>
      <c r="AT63" s="63"/>
      <c r="AU63" s="63">
        <v>105.12711715861025</v>
      </c>
    </row>
    <row r="64" spans="1:47" ht="12.75" hidden="1" customHeight="1" outlineLevel="1" x14ac:dyDescent="0.2">
      <c r="A64" s="95" t="s">
        <v>208</v>
      </c>
      <c r="B64" s="62"/>
      <c r="C64" s="54"/>
      <c r="D64" s="54"/>
      <c r="E64" s="63"/>
      <c r="F64" s="64"/>
      <c r="G64" s="65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66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66"/>
      <c r="AG64" s="67"/>
      <c r="AH64" s="67"/>
      <c r="AI64" s="67"/>
      <c r="AJ64" s="67"/>
      <c r="AK64" s="67"/>
      <c r="AL64" s="67"/>
      <c r="AM64" s="67"/>
      <c r="AN64" s="67"/>
      <c r="AO64" s="67"/>
      <c r="AP64" s="67"/>
      <c r="AQ64" s="67"/>
      <c r="AR64" s="67"/>
      <c r="AS64" s="68"/>
      <c r="AT64" s="63"/>
      <c r="AU64" s="63"/>
    </row>
    <row r="65" spans="1:47" ht="12.75" hidden="1" customHeight="1" outlineLevel="1" x14ac:dyDescent="0.2">
      <c r="A65" s="95" t="s">
        <v>209</v>
      </c>
      <c r="B65" s="62">
        <v>0</v>
      </c>
      <c r="C65" s="54">
        <v>0</v>
      </c>
      <c r="D65" s="54">
        <v>0</v>
      </c>
      <c r="E65" s="63"/>
      <c r="F65" s="64"/>
      <c r="G65" s="65">
        <v>0</v>
      </c>
      <c r="H65" s="54">
        <v>0</v>
      </c>
      <c r="I65" s="54">
        <v>0</v>
      </c>
      <c r="J65" s="54">
        <v>0</v>
      </c>
      <c r="K65" s="54">
        <v>0</v>
      </c>
      <c r="L65" s="54">
        <v>0</v>
      </c>
      <c r="M65" s="54">
        <v>0</v>
      </c>
      <c r="N65" s="54">
        <v>0</v>
      </c>
      <c r="O65" s="54">
        <v>0</v>
      </c>
      <c r="P65" s="54">
        <v>0</v>
      </c>
      <c r="Q65" s="54">
        <v>0</v>
      </c>
      <c r="R65" s="54">
        <v>0</v>
      </c>
      <c r="S65" s="66">
        <v>0</v>
      </c>
      <c r="T65" s="54">
        <v>0</v>
      </c>
      <c r="U65" s="54">
        <v>0</v>
      </c>
      <c r="V65" s="54">
        <v>0</v>
      </c>
      <c r="W65" s="54">
        <v>0</v>
      </c>
      <c r="X65" s="54">
        <v>0</v>
      </c>
      <c r="Y65" s="54">
        <v>0</v>
      </c>
      <c r="Z65" s="54">
        <v>0</v>
      </c>
      <c r="AA65" s="54">
        <v>0</v>
      </c>
      <c r="AB65" s="54">
        <v>0</v>
      </c>
      <c r="AC65" s="54">
        <v>0</v>
      </c>
      <c r="AD65" s="54">
        <v>0</v>
      </c>
      <c r="AE65" s="54">
        <v>0</v>
      </c>
      <c r="AF65" s="66">
        <v>0</v>
      </c>
      <c r="AG65" s="67">
        <v>0</v>
      </c>
      <c r="AH65" s="67">
        <v>0</v>
      </c>
      <c r="AI65" s="67">
        <v>0</v>
      </c>
      <c r="AJ65" s="67">
        <v>0</v>
      </c>
      <c r="AK65" s="67">
        <v>0</v>
      </c>
      <c r="AL65" s="67">
        <v>0</v>
      </c>
      <c r="AM65" s="67">
        <v>0</v>
      </c>
      <c r="AN65" s="67">
        <v>0</v>
      </c>
      <c r="AO65" s="67">
        <v>0</v>
      </c>
      <c r="AP65" s="67">
        <v>0</v>
      </c>
      <c r="AQ65" s="67">
        <v>0</v>
      </c>
      <c r="AR65" s="98">
        <v>-68220.14</v>
      </c>
      <c r="AS65" s="68">
        <v>0</v>
      </c>
      <c r="AT65" s="63"/>
      <c r="AU65" s="63"/>
    </row>
    <row r="66" spans="1:47" s="365" customFormat="1" ht="12.75" hidden="1" customHeight="1" outlineLevel="1" x14ac:dyDescent="0.2">
      <c r="A66" s="95" t="s">
        <v>210</v>
      </c>
      <c r="B66" s="96">
        <v>-105.06</v>
      </c>
      <c r="C66" s="54">
        <v>0</v>
      </c>
      <c r="D66" s="56">
        <v>-162</v>
      </c>
      <c r="E66" s="63"/>
      <c r="F66" s="64">
        <v>64.851851851851848</v>
      </c>
      <c r="G66" s="97">
        <v>-46.09</v>
      </c>
      <c r="H66" s="56">
        <v>-101.67</v>
      </c>
      <c r="I66" s="56">
        <v>-105.06</v>
      </c>
      <c r="J66" s="56">
        <v>-105.06</v>
      </c>
      <c r="K66" s="54">
        <v>0</v>
      </c>
      <c r="L66" s="54">
        <v>0</v>
      </c>
      <c r="M66" s="54">
        <v>0</v>
      </c>
      <c r="N66" s="54">
        <v>0</v>
      </c>
      <c r="O66" s="54">
        <v>0</v>
      </c>
      <c r="P66" s="54">
        <v>0</v>
      </c>
      <c r="Q66" s="54">
        <v>0</v>
      </c>
      <c r="R66" s="54">
        <v>0</v>
      </c>
      <c r="S66" s="76">
        <v>-357.88</v>
      </c>
      <c r="T66" s="54">
        <v>0</v>
      </c>
      <c r="U66" s="54">
        <v>0</v>
      </c>
      <c r="V66" s="54">
        <v>0</v>
      </c>
      <c r="W66" s="54">
        <v>0</v>
      </c>
      <c r="X66" s="54">
        <v>0</v>
      </c>
      <c r="Y66" s="54">
        <v>0</v>
      </c>
      <c r="Z66" s="54">
        <v>0</v>
      </c>
      <c r="AA66" s="54">
        <v>0</v>
      </c>
      <c r="AB66" s="54">
        <v>0</v>
      </c>
      <c r="AC66" s="54">
        <v>0</v>
      </c>
      <c r="AD66" s="54">
        <v>0</v>
      </c>
      <c r="AE66" s="54">
        <v>0</v>
      </c>
      <c r="AF66" s="66">
        <v>0</v>
      </c>
      <c r="AG66" s="98">
        <v>-55.24</v>
      </c>
      <c r="AH66" s="98">
        <v>-53.46</v>
      </c>
      <c r="AI66" s="98">
        <v>-55.25</v>
      </c>
      <c r="AJ66" s="98">
        <v>-162</v>
      </c>
      <c r="AK66" s="67">
        <v>214.73</v>
      </c>
      <c r="AL66" s="98">
        <v>-57.89</v>
      </c>
      <c r="AM66" s="98">
        <v>-20.57</v>
      </c>
      <c r="AN66" s="98">
        <v>-89.54</v>
      </c>
      <c r="AO66" s="67">
        <v>40.79</v>
      </c>
      <c r="AP66" s="98">
        <v>-24.76</v>
      </c>
      <c r="AQ66" s="98">
        <v>-24.77</v>
      </c>
      <c r="AR66" s="98">
        <v>-124.39</v>
      </c>
      <c r="AS66" s="99">
        <v>-325.95</v>
      </c>
      <c r="AT66" s="63"/>
      <c r="AU66" s="63">
        <v>109.7959809786777</v>
      </c>
    </row>
    <row r="67" spans="1:47" s="365" customFormat="1" ht="12.75" hidden="1" customHeight="1" outlineLevel="1" x14ac:dyDescent="0.2">
      <c r="A67" s="95" t="s">
        <v>118</v>
      </c>
      <c r="B67" s="96">
        <v>-2262.7600000000002</v>
      </c>
      <c r="C67" s="54">
        <v>0</v>
      </c>
      <c r="D67" s="54">
        <v>3177.87</v>
      </c>
      <c r="E67" s="63"/>
      <c r="F67" s="64">
        <v>-71.203667865582915</v>
      </c>
      <c r="G67" s="65">
        <v>1428.58</v>
      </c>
      <c r="H67" s="54">
        <v>145.91999999999999</v>
      </c>
      <c r="I67" s="56">
        <v>-1649.04</v>
      </c>
      <c r="J67" s="56">
        <v>-2262.7600000000002</v>
      </c>
      <c r="K67" s="54">
        <v>0</v>
      </c>
      <c r="L67" s="54">
        <v>0</v>
      </c>
      <c r="M67" s="54">
        <v>0</v>
      </c>
      <c r="N67" s="54">
        <v>0</v>
      </c>
      <c r="O67" s="54">
        <v>0</v>
      </c>
      <c r="P67" s="54">
        <v>0</v>
      </c>
      <c r="Q67" s="54">
        <v>0</v>
      </c>
      <c r="R67" s="54">
        <v>0</v>
      </c>
      <c r="S67" s="76">
        <v>-2337.3000000000002</v>
      </c>
      <c r="T67" s="54">
        <v>0</v>
      </c>
      <c r="U67" s="54">
        <v>0</v>
      </c>
      <c r="V67" s="54">
        <v>0</v>
      </c>
      <c r="W67" s="54">
        <v>0</v>
      </c>
      <c r="X67" s="54">
        <v>0</v>
      </c>
      <c r="Y67" s="54">
        <v>0</v>
      </c>
      <c r="Z67" s="54">
        <v>0</v>
      </c>
      <c r="AA67" s="54">
        <v>0</v>
      </c>
      <c r="AB67" s="54">
        <v>0</v>
      </c>
      <c r="AC67" s="54">
        <v>0</v>
      </c>
      <c r="AD67" s="54">
        <v>0</v>
      </c>
      <c r="AE67" s="54">
        <v>0</v>
      </c>
      <c r="AF67" s="66">
        <v>0</v>
      </c>
      <c r="AG67" s="67">
        <v>11.88</v>
      </c>
      <c r="AH67" s="98">
        <v>-83.49</v>
      </c>
      <c r="AI67" s="67">
        <v>1223.3599999999999</v>
      </c>
      <c r="AJ67" s="67">
        <v>3177.87</v>
      </c>
      <c r="AK67" s="67">
        <v>643.48</v>
      </c>
      <c r="AL67" s="98">
        <v>-2177.9899999999998</v>
      </c>
      <c r="AM67" s="67">
        <v>678.49</v>
      </c>
      <c r="AN67" s="67">
        <v>1219.48</v>
      </c>
      <c r="AO67" s="67">
        <v>4544.84</v>
      </c>
      <c r="AP67" s="67">
        <v>980.97</v>
      </c>
      <c r="AQ67" s="67">
        <v>1116.25</v>
      </c>
      <c r="AR67" s="67">
        <v>2769.46</v>
      </c>
      <c r="AS67" s="68">
        <v>4329.62</v>
      </c>
      <c r="AT67" s="63"/>
      <c r="AU67" s="63">
        <v>-53.983952402289347</v>
      </c>
    </row>
    <row r="68" spans="1:47" s="365" customFormat="1" ht="12.75" hidden="1" customHeight="1" outlineLevel="1" x14ac:dyDescent="0.2">
      <c r="A68" s="95" t="s">
        <v>412</v>
      </c>
      <c r="B68" s="62">
        <v>7678.63</v>
      </c>
      <c r="C68" s="54">
        <v>0</v>
      </c>
      <c r="D68" s="54">
        <v>3616.67</v>
      </c>
      <c r="E68" s="63"/>
      <c r="F68" s="64">
        <v>212.31215455100963</v>
      </c>
      <c r="G68" s="65">
        <v>8470.15</v>
      </c>
      <c r="H68" s="54">
        <v>8646.43</v>
      </c>
      <c r="I68" s="54">
        <v>9289.84</v>
      </c>
      <c r="J68" s="54">
        <v>7678.63</v>
      </c>
      <c r="K68" s="56">
        <v>-7678.63</v>
      </c>
      <c r="L68" s="54">
        <v>0</v>
      </c>
      <c r="M68" s="54">
        <v>0</v>
      </c>
      <c r="N68" s="54">
        <v>0</v>
      </c>
      <c r="O68" s="54">
        <v>0</v>
      </c>
      <c r="P68" s="54">
        <v>0</v>
      </c>
      <c r="Q68" s="54">
        <v>0</v>
      </c>
      <c r="R68" s="54">
        <v>0</v>
      </c>
      <c r="S68" s="66">
        <v>34085.050000000003</v>
      </c>
      <c r="T68" s="54">
        <v>0</v>
      </c>
      <c r="U68" s="54">
        <v>0</v>
      </c>
      <c r="V68" s="54">
        <v>0</v>
      </c>
      <c r="W68" s="54">
        <v>0</v>
      </c>
      <c r="X68" s="54">
        <v>0</v>
      </c>
      <c r="Y68" s="54">
        <v>0</v>
      </c>
      <c r="Z68" s="54">
        <v>0</v>
      </c>
      <c r="AA68" s="54">
        <v>0</v>
      </c>
      <c r="AB68" s="54">
        <v>0</v>
      </c>
      <c r="AC68" s="54">
        <v>0</v>
      </c>
      <c r="AD68" s="54">
        <v>0</v>
      </c>
      <c r="AE68" s="54">
        <v>0</v>
      </c>
      <c r="AF68" s="66">
        <v>0</v>
      </c>
      <c r="AG68" s="67">
        <v>3616.67</v>
      </c>
      <c r="AH68" s="67">
        <v>3500</v>
      </c>
      <c r="AI68" s="67">
        <v>3616.67</v>
      </c>
      <c r="AJ68" s="67">
        <v>3616.67</v>
      </c>
      <c r="AK68" s="67">
        <v>3266.67</v>
      </c>
      <c r="AL68" s="67">
        <v>3616.67</v>
      </c>
      <c r="AM68" s="67">
        <v>4000</v>
      </c>
      <c r="AN68" s="67">
        <v>4477.78</v>
      </c>
      <c r="AO68" s="67">
        <v>4333.33</v>
      </c>
      <c r="AP68" s="67">
        <v>4477.78</v>
      </c>
      <c r="AQ68" s="67">
        <v>5061.1099999999997</v>
      </c>
      <c r="AR68" s="67">
        <v>5166.67</v>
      </c>
      <c r="AS68" s="68">
        <v>14350.01</v>
      </c>
      <c r="AT68" s="63"/>
      <c r="AU68" s="63">
        <v>237.52631531267227</v>
      </c>
    </row>
    <row r="69" spans="1:47" ht="12.75" hidden="1" customHeight="1" outlineLevel="1" x14ac:dyDescent="0.2">
      <c r="A69" s="95" t="s">
        <v>249</v>
      </c>
      <c r="B69" s="62">
        <v>2094</v>
      </c>
      <c r="C69" s="54">
        <v>0</v>
      </c>
      <c r="D69" s="54">
        <v>2459.5</v>
      </c>
      <c r="E69" s="63"/>
      <c r="F69" s="64">
        <v>85.13925594633055</v>
      </c>
      <c r="G69" s="65">
        <v>2248.5100000000002</v>
      </c>
      <c r="H69" s="54">
        <v>2193</v>
      </c>
      <c r="I69" s="54">
        <v>2164</v>
      </c>
      <c r="J69" s="54">
        <v>2094</v>
      </c>
      <c r="K69" s="54">
        <v>0</v>
      </c>
      <c r="L69" s="54">
        <v>0</v>
      </c>
      <c r="M69" s="54">
        <v>0</v>
      </c>
      <c r="N69" s="54">
        <v>0</v>
      </c>
      <c r="O69" s="54">
        <v>0</v>
      </c>
      <c r="P69" s="54">
        <v>0</v>
      </c>
      <c r="Q69" s="54">
        <v>0</v>
      </c>
      <c r="R69" s="54">
        <v>0</v>
      </c>
      <c r="S69" s="66">
        <v>8699.51</v>
      </c>
      <c r="T69" s="54">
        <v>0</v>
      </c>
      <c r="U69" s="54">
        <v>0</v>
      </c>
      <c r="V69" s="54">
        <v>0</v>
      </c>
      <c r="W69" s="54">
        <v>0</v>
      </c>
      <c r="X69" s="54">
        <v>0</v>
      </c>
      <c r="Y69" s="54">
        <v>0</v>
      </c>
      <c r="Z69" s="54">
        <v>0</v>
      </c>
      <c r="AA69" s="54">
        <v>0</v>
      </c>
      <c r="AB69" s="54">
        <v>0</v>
      </c>
      <c r="AC69" s="54">
        <v>0</v>
      </c>
      <c r="AD69" s="54">
        <v>0</v>
      </c>
      <c r="AE69" s="54">
        <v>0</v>
      </c>
      <c r="AF69" s="66">
        <v>0</v>
      </c>
      <c r="AG69" s="67">
        <v>2701</v>
      </c>
      <c r="AH69" s="67">
        <v>2649.89</v>
      </c>
      <c r="AI69" s="67">
        <v>2598.04</v>
      </c>
      <c r="AJ69" s="67">
        <v>2459.5</v>
      </c>
      <c r="AK69" s="67">
        <v>2507.13</v>
      </c>
      <c r="AL69" s="67">
        <v>2433</v>
      </c>
      <c r="AM69" s="67">
        <v>2381.7399999999998</v>
      </c>
      <c r="AN69" s="67">
        <v>2373.62</v>
      </c>
      <c r="AO69" s="67">
        <v>2295.4499999999998</v>
      </c>
      <c r="AP69" s="67">
        <v>2285.4499999999998</v>
      </c>
      <c r="AQ69" s="67">
        <v>2213.81</v>
      </c>
      <c r="AR69" s="67">
        <v>2439.9899999999998</v>
      </c>
      <c r="AS69" s="68">
        <v>10408.43</v>
      </c>
      <c r="AT69" s="63"/>
      <c r="AU69" s="63">
        <v>83.581385473121301</v>
      </c>
    </row>
    <row r="70" spans="1:47" ht="12.75" customHeight="1" collapsed="1" x14ac:dyDescent="0.2">
      <c r="A70" s="69" t="s">
        <v>89</v>
      </c>
      <c r="B70" s="70">
        <v>30075.94</v>
      </c>
      <c r="C70" s="71">
        <v>0</v>
      </c>
      <c r="D70" s="71">
        <v>28969</v>
      </c>
      <c r="E70" s="72"/>
      <c r="F70" s="73">
        <v>103.82111912734302</v>
      </c>
      <c r="G70" s="70">
        <v>32189.77</v>
      </c>
      <c r="H70" s="71">
        <v>30872.46</v>
      </c>
      <c r="I70" s="71">
        <v>30920.38</v>
      </c>
      <c r="J70" s="71">
        <v>30075.94</v>
      </c>
      <c r="K70" s="74">
        <v>-14167.63</v>
      </c>
      <c r="L70" s="71">
        <v>0</v>
      </c>
      <c r="M70" s="71">
        <v>0</v>
      </c>
      <c r="N70" s="71">
        <v>0</v>
      </c>
      <c r="O70" s="71">
        <v>0</v>
      </c>
      <c r="P70" s="71">
        <v>0</v>
      </c>
      <c r="Q70" s="71">
        <v>0</v>
      </c>
      <c r="R70" s="71">
        <v>0</v>
      </c>
      <c r="S70" s="71">
        <v>124058.55</v>
      </c>
      <c r="T70" s="71">
        <v>0</v>
      </c>
      <c r="U70" s="71">
        <v>0</v>
      </c>
      <c r="V70" s="71">
        <v>0</v>
      </c>
      <c r="W70" s="71">
        <v>0</v>
      </c>
      <c r="X70" s="71">
        <v>0</v>
      </c>
      <c r="Y70" s="71">
        <v>0</v>
      </c>
      <c r="Z70" s="71">
        <v>0</v>
      </c>
      <c r="AA70" s="71">
        <v>0</v>
      </c>
      <c r="AB70" s="71">
        <v>0</v>
      </c>
      <c r="AC70" s="71">
        <v>0</v>
      </c>
      <c r="AD70" s="71">
        <v>0</v>
      </c>
      <c r="AE70" s="71">
        <v>0</v>
      </c>
      <c r="AF70" s="71">
        <v>0</v>
      </c>
      <c r="AG70" s="75">
        <v>22831.63</v>
      </c>
      <c r="AH70" s="75">
        <v>19029.47</v>
      </c>
      <c r="AI70" s="75">
        <v>25237.98</v>
      </c>
      <c r="AJ70" s="75">
        <v>28969</v>
      </c>
      <c r="AK70" s="75">
        <v>26637.43</v>
      </c>
      <c r="AL70" s="75">
        <v>21927.96</v>
      </c>
      <c r="AM70" s="75">
        <v>22469.7</v>
      </c>
      <c r="AN70" s="75">
        <v>29838.82</v>
      </c>
      <c r="AO70" s="75">
        <v>43772.74</v>
      </c>
      <c r="AP70" s="75">
        <v>28728.89</v>
      </c>
      <c r="AQ70" s="75">
        <v>26415.14</v>
      </c>
      <c r="AR70" s="134">
        <v>-26796.66</v>
      </c>
      <c r="AS70" s="75">
        <v>96068.08</v>
      </c>
      <c r="AT70" s="72"/>
      <c r="AU70" s="72">
        <v>129.13607724855123</v>
      </c>
    </row>
    <row r="71" spans="1:47" ht="12.75" customHeight="1" x14ac:dyDescent="0.2">
      <c r="A71" s="77" t="s">
        <v>201</v>
      </c>
      <c r="B71" s="78">
        <v>97747.35</v>
      </c>
      <c r="C71" s="79">
        <v>0</v>
      </c>
      <c r="D71" s="79">
        <v>84545.43</v>
      </c>
      <c r="E71" s="80"/>
      <c r="F71" s="81">
        <v>115.61517872698737</v>
      </c>
      <c r="G71" s="78">
        <v>103835.19</v>
      </c>
      <c r="H71" s="79">
        <v>95579.42</v>
      </c>
      <c r="I71" s="79">
        <v>85214.8</v>
      </c>
      <c r="J71" s="79">
        <v>97747.35</v>
      </c>
      <c r="K71" s="82">
        <v>-16654.04</v>
      </c>
      <c r="L71" s="79">
        <v>0</v>
      </c>
      <c r="M71" s="79">
        <v>0</v>
      </c>
      <c r="N71" s="79">
        <v>0</v>
      </c>
      <c r="O71" s="79">
        <v>0</v>
      </c>
      <c r="P71" s="79">
        <v>0</v>
      </c>
      <c r="Q71" s="79">
        <v>0</v>
      </c>
      <c r="R71" s="79">
        <v>0</v>
      </c>
      <c r="S71" s="79">
        <v>382376.76</v>
      </c>
      <c r="T71" s="79">
        <v>0</v>
      </c>
      <c r="U71" s="79">
        <v>0</v>
      </c>
      <c r="V71" s="79">
        <v>0</v>
      </c>
      <c r="W71" s="79">
        <v>0</v>
      </c>
      <c r="X71" s="79">
        <v>0</v>
      </c>
      <c r="Y71" s="79">
        <v>0</v>
      </c>
      <c r="Z71" s="79">
        <v>0</v>
      </c>
      <c r="AA71" s="79">
        <v>0</v>
      </c>
      <c r="AB71" s="79">
        <v>0</v>
      </c>
      <c r="AC71" s="79">
        <v>0</v>
      </c>
      <c r="AD71" s="79">
        <v>0</v>
      </c>
      <c r="AE71" s="79">
        <v>0</v>
      </c>
      <c r="AF71" s="79">
        <v>0</v>
      </c>
      <c r="AG71" s="83">
        <v>86146.06</v>
      </c>
      <c r="AH71" s="83">
        <v>81880.91</v>
      </c>
      <c r="AI71" s="83">
        <v>84554.48</v>
      </c>
      <c r="AJ71" s="83">
        <v>84545.43</v>
      </c>
      <c r="AK71" s="83">
        <v>83745.240000000005</v>
      </c>
      <c r="AL71" s="83">
        <v>92682.28</v>
      </c>
      <c r="AM71" s="83">
        <v>135375.85</v>
      </c>
      <c r="AN71" s="83">
        <v>117090.1</v>
      </c>
      <c r="AO71" s="83">
        <v>111517</v>
      </c>
      <c r="AP71" s="83">
        <v>102174.36</v>
      </c>
      <c r="AQ71" s="83">
        <v>74472.800000000003</v>
      </c>
      <c r="AR71" s="83">
        <v>43883.42</v>
      </c>
      <c r="AS71" s="83">
        <v>337126.88</v>
      </c>
      <c r="AT71" s="80"/>
      <c r="AU71" s="80">
        <v>113.42221065255906</v>
      </c>
    </row>
  </sheetData>
  <pageMargins left="0.75" right="0.75" top="1" bottom="1" header="0.5" footer="0.5"/>
  <pageSetup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6600FF"/>
  </sheetPr>
  <dimension ref="A1:AU69"/>
  <sheetViews>
    <sheetView workbookViewId="0">
      <pane xSplit="1" ySplit="7" topLeftCell="B8" activePane="bottomRight" state="frozen"/>
      <selection activeCell="A73" sqref="A73"/>
      <selection pane="topRight" activeCell="A73" sqref="A73"/>
      <selection pane="bottomLeft" activeCell="A73" sqref="A73"/>
      <selection pane="bottomRight" sqref="A1:AU69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0" hidden="1" customWidth="1" outlineLevel="1"/>
    <col min="45" max="45" width="9.42578125" collapsed="1"/>
    <col min="46" max="47" width="10.5703125" customWidth="1"/>
  </cols>
  <sheetData>
    <row r="1" spans="1:47" ht="33.7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ht="12.75" hidden="1" customHeight="1" outlineLevel="1" x14ac:dyDescent="0.2">
      <c r="A2" s="95" t="s">
        <v>160</v>
      </c>
      <c r="B2" s="62">
        <v>15527.75</v>
      </c>
      <c r="C2" s="54">
        <v>0</v>
      </c>
      <c r="D2" s="54">
        <v>17472.560000000001</v>
      </c>
      <c r="E2" s="63"/>
      <c r="F2" s="64">
        <v>88.869347136309727</v>
      </c>
      <c r="G2" s="65">
        <v>17071.61</v>
      </c>
      <c r="H2" s="54">
        <v>18372.75</v>
      </c>
      <c r="I2" s="54">
        <v>11929.64</v>
      </c>
      <c r="J2" s="54">
        <v>15527.75</v>
      </c>
      <c r="K2" s="54">
        <v>0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62901.75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14151.62</v>
      </c>
      <c r="AH2" s="67">
        <v>14654.22</v>
      </c>
      <c r="AI2" s="67">
        <v>28769.46</v>
      </c>
      <c r="AJ2" s="67">
        <v>17472.560000000001</v>
      </c>
      <c r="AK2" s="67">
        <v>18198.310000000001</v>
      </c>
      <c r="AL2" s="67">
        <v>26033.13</v>
      </c>
      <c r="AM2" s="98">
        <v>-7657.71</v>
      </c>
      <c r="AN2" s="67">
        <v>1368.17</v>
      </c>
      <c r="AO2" s="67">
        <v>9374.5300000000007</v>
      </c>
      <c r="AP2" s="67">
        <v>16358.02</v>
      </c>
      <c r="AQ2" s="67">
        <v>18913.89</v>
      </c>
      <c r="AR2" s="67">
        <v>18268.13</v>
      </c>
      <c r="AS2" s="68">
        <v>75047.86</v>
      </c>
      <c r="AT2" s="63"/>
      <c r="AU2" s="63">
        <v>83.815514526330261</v>
      </c>
    </row>
    <row r="3" spans="1:47" ht="12.75" hidden="1" customHeight="1" outlineLevel="1" x14ac:dyDescent="0.2">
      <c r="A3" s="95" t="s">
        <v>161</v>
      </c>
      <c r="B3" s="62">
        <v>1006.34</v>
      </c>
      <c r="C3" s="54">
        <v>0</v>
      </c>
      <c r="D3" s="54">
        <v>538.41999999999996</v>
      </c>
      <c r="E3" s="63"/>
      <c r="F3" s="64">
        <v>186.90613275881282</v>
      </c>
      <c r="G3" s="65">
        <v>904.28</v>
      </c>
      <c r="H3" s="54">
        <v>130.78</v>
      </c>
      <c r="I3" s="54">
        <v>1942.87</v>
      </c>
      <c r="J3" s="54">
        <v>1006.34</v>
      </c>
      <c r="K3" s="56">
        <v>-527.46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3984.27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920.69</v>
      </c>
      <c r="AH3" s="67">
        <v>763.56</v>
      </c>
      <c r="AI3" s="67">
        <v>1138.26</v>
      </c>
      <c r="AJ3" s="67">
        <v>538.41999999999996</v>
      </c>
      <c r="AK3" s="67">
        <v>566.25</v>
      </c>
      <c r="AL3" s="67">
        <v>876.58</v>
      </c>
      <c r="AM3" s="67">
        <v>849.1</v>
      </c>
      <c r="AN3" s="67">
        <v>900.27</v>
      </c>
      <c r="AO3" s="67">
        <v>131.44999999999999</v>
      </c>
      <c r="AP3" s="67">
        <v>1164.7</v>
      </c>
      <c r="AQ3" s="67">
        <v>1277.78</v>
      </c>
      <c r="AR3" s="67">
        <v>1121.3</v>
      </c>
      <c r="AS3" s="68">
        <v>3360.93</v>
      </c>
      <c r="AT3" s="63"/>
      <c r="AU3" s="63">
        <v>118.54665226589069</v>
      </c>
    </row>
    <row r="4" spans="1:47" ht="12.75" hidden="1" customHeight="1" outlineLevel="1" x14ac:dyDescent="0.2">
      <c r="A4" s="95" t="s">
        <v>162</v>
      </c>
      <c r="B4" s="62">
        <v>4371.72</v>
      </c>
      <c r="C4" s="54">
        <v>0</v>
      </c>
      <c r="D4" s="54">
        <v>1403.47</v>
      </c>
      <c r="E4" s="63"/>
      <c r="F4" s="64">
        <v>311.49365501221973</v>
      </c>
      <c r="G4" s="65">
        <v>1771.09</v>
      </c>
      <c r="H4" s="54">
        <v>1719.32</v>
      </c>
      <c r="I4" s="56">
        <v>-1332.83</v>
      </c>
      <c r="J4" s="54">
        <v>4371.72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6529.3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154.76</v>
      </c>
      <c r="AH4" s="67">
        <v>213.18</v>
      </c>
      <c r="AI4" s="98">
        <v>-8.09</v>
      </c>
      <c r="AJ4" s="67">
        <v>1403.47</v>
      </c>
      <c r="AK4" s="67">
        <v>1061.73</v>
      </c>
      <c r="AL4" s="67">
        <v>3370.19</v>
      </c>
      <c r="AM4" s="67">
        <v>1540.77</v>
      </c>
      <c r="AN4" s="67">
        <v>1297.03</v>
      </c>
      <c r="AO4" s="67">
        <v>1331.93</v>
      </c>
      <c r="AP4" s="67">
        <v>1568.7</v>
      </c>
      <c r="AQ4" s="67">
        <v>3545.03</v>
      </c>
      <c r="AR4" s="67">
        <v>1695.11</v>
      </c>
      <c r="AS4" s="68">
        <v>1763.32</v>
      </c>
      <c r="AT4" s="63"/>
      <c r="AU4" s="63">
        <v>370.28446339858903</v>
      </c>
    </row>
    <row r="5" spans="1:47" ht="12.75" hidden="1" customHeight="1" outlineLevel="1" x14ac:dyDescent="0.2">
      <c r="A5" s="95" t="s">
        <v>163</v>
      </c>
      <c r="B5" s="62">
        <v>1233</v>
      </c>
      <c r="C5" s="54">
        <v>0</v>
      </c>
      <c r="D5" s="54">
        <v>1083.33</v>
      </c>
      <c r="E5" s="63"/>
      <c r="F5" s="64">
        <v>113.81573481764559</v>
      </c>
      <c r="G5" s="65">
        <v>1083.33</v>
      </c>
      <c r="H5" s="54">
        <v>1083.33</v>
      </c>
      <c r="I5" s="54">
        <v>1532.34</v>
      </c>
      <c r="J5" s="54">
        <v>1233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4932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1000</v>
      </c>
      <c r="AH5" s="67">
        <v>1000</v>
      </c>
      <c r="AI5" s="67">
        <v>1000</v>
      </c>
      <c r="AJ5" s="67">
        <v>1083.33</v>
      </c>
      <c r="AK5" s="67">
        <v>1083.33</v>
      </c>
      <c r="AL5" s="67">
        <v>1083.33</v>
      </c>
      <c r="AM5" s="67">
        <v>1083.33</v>
      </c>
      <c r="AN5" s="67">
        <v>1083.33</v>
      </c>
      <c r="AO5" s="67">
        <v>1083.33</v>
      </c>
      <c r="AP5" s="67">
        <v>1083.33</v>
      </c>
      <c r="AQ5" s="98">
        <v>-10816.88</v>
      </c>
      <c r="AR5" s="67">
        <v>0</v>
      </c>
      <c r="AS5" s="68">
        <v>4083.33</v>
      </c>
      <c r="AT5" s="63"/>
      <c r="AU5" s="63">
        <v>120.78377206838536</v>
      </c>
    </row>
    <row r="6" spans="1:47" ht="12.75" hidden="1" customHeight="1" outlineLevel="1" x14ac:dyDescent="0.2">
      <c r="A6" s="95" t="s">
        <v>164</v>
      </c>
      <c r="B6" s="62">
        <v>0</v>
      </c>
      <c r="C6" s="54">
        <v>0</v>
      </c>
      <c r="D6" s="54">
        <v>75.91</v>
      </c>
      <c r="E6" s="63"/>
      <c r="F6" s="64">
        <v>0</v>
      </c>
      <c r="G6" s="65">
        <v>0</v>
      </c>
      <c r="H6" s="54">
        <v>0</v>
      </c>
      <c r="I6" s="54">
        <v>0</v>
      </c>
      <c r="J6" s="54">
        <v>0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0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0</v>
      </c>
      <c r="AH6" s="67">
        <v>0</v>
      </c>
      <c r="AI6" s="67">
        <v>8.91</v>
      </c>
      <c r="AJ6" s="67">
        <v>75.91</v>
      </c>
      <c r="AK6" s="67">
        <v>75.91</v>
      </c>
      <c r="AL6" s="67">
        <v>75.91</v>
      </c>
      <c r="AM6" s="67">
        <v>75.91</v>
      </c>
      <c r="AN6" s="67">
        <v>75.91</v>
      </c>
      <c r="AO6" s="67">
        <v>75.91</v>
      </c>
      <c r="AP6" s="67">
        <v>67</v>
      </c>
      <c r="AQ6" s="67">
        <v>67</v>
      </c>
      <c r="AR6" s="67">
        <v>67</v>
      </c>
      <c r="AS6" s="68">
        <v>84.82</v>
      </c>
      <c r="AT6" s="63"/>
      <c r="AU6" s="63">
        <v>0</v>
      </c>
    </row>
    <row r="7" spans="1:47" hidden="1" outlineLevel="1" x14ac:dyDescent="0.2">
      <c r="A7" s="95" t="s">
        <v>165</v>
      </c>
      <c r="B7" s="62">
        <v>1932.8</v>
      </c>
      <c r="C7" s="54">
        <v>0</v>
      </c>
      <c r="D7" s="54">
        <v>906.93</v>
      </c>
      <c r="E7" s="63"/>
      <c r="F7" s="64">
        <v>213.11457334083116</v>
      </c>
      <c r="G7" s="65">
        <v>1764.03</v>
      </c>
      <c r="H7" s="54">
        <v>1848</v>
      </c>
      <c r="I7" s="54">
        <v>1848</v>
      </c>
      <c r="J7" s="54">
        <v>1932.8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7392.83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1335.58</v>
      </c>
      <c r="AH7" s="67">
        <v>1418.27</v>
      </c>
      <c r="AI7" s="67">
        <v>1627.68</v>
      </c>
      <c r="AJ7" s="67">
        <v>906.93</v>
      </c>
      <c r="AK7" s="67">
        <v>1000</v>
      </c>
      <c r="AL7" s="67">
        <v>1691.53</v>
      </c>
      <c r="AM7" s="67">
        <v>1566.92</v>
      </c>
      <c r="AN7" s="67">
        <v>1641.53</v>
      </c>
      <c r="AO7" s="67">
        <v>1641.53</v>
      </c>
      <c r="AP7" s="67">
        <v>1671.38</v>
      </c>
      <c r="AQ7" s="67">
        <v>1912.63</v>
      </c>
      <c r="AR7" s="67">
        <v>1848.01</v>
      </c>
      <c r="AS7" s="68">
        <v>5288.46</v>
      </c>
      <c r="AT7" s="63"/>
      <c r="AU7" s="63">
        <v>139.79173521214116</v>
      </c>
    </row>
    <row r="8" spans="1:47" ht="12.75" customHeight="1" collapsed="1" x14ac:dyDescent="0.2">
      <c r="A8" s="69" t="s">
        <v>166</v>
      </c>
      <c r="B8" s="70">
        <v>24071.61</v>
      </c>
      <c r="C8" s="71">
        <v>0</v>
      </c>
      <c r="D8" s="71">
        <v>21480.62</v>
      </c>
      <c r="E8" s="72"/>
      <c r="F8" s="73">
        <v>112.06198889976174</v>
      </c>
      <c r="G8" s="70">
        <v>22594.34</v>
      </c>
      <c r="H8" s="71">
        <v>23154.18</v>
      </c>
      <c r="I8" s="71">
        <v>15920.02</v>
      </c>
      <c r="J8" s="71">
        <v>24071.61</v>
      </c>
      <c r="K8" s="74">
        <v>-527.46</v>
      </c>
      <c r="L8" s="71">
        <v>0</v>
      </c>
      <c r="M8" s="71">
        <v>0</v>
      </c>
      <c r="N8" s="71">
        <v>0</v>
      </c>
      <c r="O8" s="71">
        <v>0</v>
      </c>
      <c r="P8" s="71">
        <v>0</v>
      </c>
      <c r="Q8" s="71">
        <v>0</v>
      </c>
      <c r="R8" s="71">
        <v>0</v>
      </c>
      <c r="S8" s="71">
        <v>85740.15</v>
      </c>
      <c r="T8" s="71">
        <v>0</v>
      </c>
      <c r="U8" s="71">
        <v>0</v>
      </c>
      <c r="V8" s="71">
        <v>0</v>
      </c>
      <c r="W8" s="71">
        <v>0</v>
      </c>
      <c r="X8" s="71">
        <v>0</v>
      </c>
      <c r="Y8" s="71">
        <v>0</v>
      </c>
      <c r="Z8" s="71">
        <v>0</v>
      </c>
      <c r="AA8" s="71">
        <v>0</v>
      </c>
      <c r="AB8" s="71">
        <v>0</v>
      </c>
      <c r="AC8" s="71">
        <v>0</v>
      </c>
      <c r="AD8" s="71">
        <v>0</v>
      </c>
      <c r="AE8" s="71">
        <v>0</v>
      </c>
      <c r="AF8" s="71">
        <v>0</v>
      </c>
      <c r="AG8" s="75">
        <v>17562.650000000001</v>
      </c>
      <c r="AH8" s="75">
        <v>18049.23</v>
      </c>
      <c r="AI8" s="75">
        <v>32536.22</v>
      </c>
      <c r="AJ8" s="75">
        <v>21480.62</v>
      </c>
      <c r="AK8" s="75">
        <v>21985.53</v>
      </c>
      <c r="AL8" s="75">
        <v>33130.67</v>
      </c>
      <c r="AM8" s="134">
        <v>-2541.6799999999998</v>
      </c>
      <c r="AN8" s="75">
        <v>6366.24</v>
      </c>
      <c r="AO8" s="75">
        <v>13638.68</v>
      </c>
      <c r="AP8" s="75">
        <v>21913.13</v>
      </c>
      <c r="AQ8" s="75">
        <v>14899.45</v>
      </c>
      <c r="AR8" s="75">
        <v>22999.55</v>
      </c>
      <c r="AS8" s="75">
        <v>89628.72</v>
      </c>
      <c r="AT8" s="72"/>
      <c r="AU8" s="72">
        <v>95.661468779203815</v>
      </c>
    </row>
    <row r="9" spans="1:47" ht="12.75" customHeight="1" x14ac:dyDescent="0.2">
      <c r="A9" s="95" t="s">
        <v>167</v>
      </c>
      <c r="B9" s="62"/>
      <c r="C9" s="54"/>
      <c r="D9" s="54"/>
      <c r="E9" s="63"/>
      <c r="F9" s="64"/>
      <c r="G9" s="65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66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66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8"/>
      <c r="AT9" s="63"/>
      <c r="AU9" s="63"/>
    </row>
    <row r="10" spans="1:47" ht="12.75" customHeight="1" x14ac:dyDescent="0.2">
      <c r="A10" s="95" t="s">
        <v>168</v>
      </c>
      <c r="B10" s="62"/>
      <c r="C10" s="54"/>
      <c r="D10" s="54"/>
      <c r="E10" s="63"/>
      <c r="F10" s="64"/>
      <c r="G10" s="65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66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8"/>
      <c r="AT10" s="63"/>
      <c r="AU10" s="63"/>
    </row>
    <row r="11" spans="1:47" ht="12.75" customHeight="1" x14ac:dyDescent="0.2">
      <c r="A11" s="95" t="s">
        <v>169</v>
      </c>
      <c r="B11" s="62"/>
      <c r="C11" s="54"/>
      <c r="D11" s="54"/>
      <c r="E11" s="63"/>
      <c r="F11" s="64"/>
      <c r="G11" s="65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66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66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8"/>
      <c r="AT11" s="63"/>
      <c r="AU11" s="63"/>
    </row>
    <row r="12" spans="1:47" ht="12.75" customHeight="1" x14ac:dyDescent="0.2">
      <c r="A12" s="95" t="s">
        <v>50</v>
      </c>
      <c r="B12" s="62"/>
      <c r="C12" s="54"/>
      <c r="D12" s="54"/>
      <c r="E12" s="63"/>
      <c r="F12" s="64"/>
      <c r="G12" s="65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66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6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8"/>
      <c r="AT12" s="63"/>
      <c r="AU12" s="63"/>
    </row>
    <row r="13" spans="1:47" s="365" customFormat="1" ht="12.75" customHeight="1" x14ac:dyDescent="0.2">
      <c r="A13" s="95" t="s">
        <v>170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47" ht="12.75" customHeight="1" x14ac:dyDescent="0.2">
      <c r="A14" s="95" t="s">
        <v>171</v>
      </c>
      <c r="B14" s="62"/>
      <c r="C14" s="54"/>
      <c r="D14" s="54"/>
      <c r="E14" s="63"/>
      <c r="F14" s="64"/>
      <c r="G14" s="65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66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66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8"/>
      <c r="AT14" s="63"/>
      <c r="AU14" s="63"/>
    </row>
    <row r="15" spans="1:47" ht="12.75" customHeight="1" x14ac:dyDescent="0.2">
      <c r="A15" s="95" t="s">
        <v>172</v>
      </c>
      <c r="B15" s="62"/>
      <c r="C15" s="54"/>
      <c r="D15" s="54"/>
      <c r="E15" s="63"/>
      <c r="F15" s="64"/>
      <c r="G15" s="65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66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66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8"/>
      <c r="AT15" s="63"/>
      <c r="AU15" s="63"/>
    </row>
    <row r="16" spans="1:47" ht="12.75" customHeight="1" x14ac:dyDescent="0.2">
      <c r="A16" s="95" t="s">
        <v>173</v>
      </c>
      <c r="B16" s="62">
        <v>0</v>
      </c>
      <c r="C16" s="54">
        <v>0</v>
      </c>
      <c r="D16" s="54">
        <v>0</v>
      </c>
      <c r="E16" s="63"/>
      <c r="F16" s="64"/>
      <c r="G16" s="65">
        <v>0</v>
      </c>
      <c r="H16" s="54">
        <v>0</v>
      </c>
      <c r="I16" s="54">
        <v>0</v>
      </c>
      <c r="J16" s="54">
        <v>0</v>
      </c>
      <c r="K16" s="54"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66">
        <v>0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>
        <v>0</v>
      </c>
      <c r="AH16" s="67">
        <v>0</v>
      </c>
      <c r="AI16" s="67">
        <v>0</v>
      </c>
      <c r="AJ16" s="67">
        <v>0</v>
      </c>
      <c r="AK16" s="67">
        <v>0</v>
      </c>
      <c r="AL16" s="67">
        <v>0</v>
      </c>
      <c r="AM16" s="67">
        <v>0</v>
      </c>
      <c r="AN16" s="67">
        <v>0</v>
      </c>
      <c r="AO16" s="67">
        <v>0</v>
      </c>
      <c r="AP16" s="67">
        <v>0</v>
      </c>
      <c r="AQ16" s="67">
        <v>0</v>
      </c>
      <c r="AR16" s="67">
        <v>0</v>
      </c>
      <c r="AS16" s="68">
        <v>0</v>
      </c>
      <c r="AT16" s="63"/>
      <c r="AU16" s="63"/>
    </row>
    <row r="17" spans="1:47" ht="15" customHeight="1" x14ac:dyDescent="0.2">
      <c r="A17" s="95" t="s">
        <v>257</v>
      </c>
      <c r="B17" s="62">
        <v>633.15</v>
      </c>
      <c r="C17" s="54">
        <v>0</v>
      </c>
      <c r="D17" s="54">
        <v>593.78</v>
      </c>
      <c r="E17" s="63"/>
      <c r="F17" s="64">
        <v>106.63040183232847</v>
      </c>
      <c r="G17" s="65">
        <v>642.38</v>
      </c>
      <c r="H17" s="54">
        <v>642.38</v>
      </c>
      <c r="I17" s="54">
        <v>642</v>
      </c>
      <c r="J17" s="54">
        <v>633.15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2559.91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831.27</v>
      </c>
      <c r="AH17" s="67">
        <v>831.27</v>
      </c>
      <c r="AI17" s="67">
        <v>792.84</v>
      </c>
      <c r="AJ17" s="67">
        <v>593.78</v>
      </c>
      <c r="AK17" s="67">
        <v>617.91</v>
      </c>
      <c r="AL17" s="67">
        <v>617.11</v>
      </c>
      <c r="AM17" s="67">
        <v>617.11</v>
      </c>
      <c r="AN17" s="67">
        <v>615.80999999999995</v>
      </c>
      <c r="AO17" s="67">
        <v>616.64</v>
      </c>
      <c r="AP17" s="67">
        <v>632.11</v>
      </c>
      <c r="AQ17" s="67">
        <v>624.36</v>
      </c>
      <c r="AR17" s="67">
        <v>659.2</v>
      </c>
      <c r="AS17" s="68">
        <v>3049.16</v>
      </c>
      <c r="AT17" s="63"/>
      <c r="AU17" s="63">
        <v>83.954597331724145</v>
      </c>
    </row>
    <row r="18" spans="1:47" ht="12.75" hidden="1" customHeight="1" outlineLevel="1" x14ac:dyDescent="0.2">
      <c r="A18" s="95" t="s">
        <v>109</v>
      </c>
      <c r="B18" s="62">
        <v>0</v>
      </c>
      <c r="C18" s="54"/>
      <c r="D18" s="54">
        <v>0</v>
      </c>
      <c r="E18" s="63"/>
      <c r="F18" s="64"/>
      <c r="G18" s="65">
        <v>0</v>
      </c>
      <c r="H18" s="54">
        <v>0</v>
      </c>
      <c r="I18" s="54">
        <v>0</v>
      </c>
      <c r="J18" s="54">
        <v>0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0</v>
      </c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66"/>
      <c r="AG18" s="67">
        <v>0</v>
      </c>
      <c r="AH18" s="67">
        <v>0</v>
      </c>
      <c r="AI18" s="67">
        <v>0</v>
      </c>
      <c r="AJ18" s="67">
        <v>0</v>
      </c>
      <c r="AK18" s="67">
        <v>0</v>
      </c>
      <c r="AL18" s="67">
        <v>0</v>
      </c>
      <c r="AM18" s="67">
        <v>0</v>
      </c>
      <c r="AN18" s="67">
        <v>0</v>
      </c>
      <c r="AO18" s="67">
        <v>0</v>
      </c>
      <c r="AP18" s="67">
        <v>0</v>
      </c>
      <c r="AQ18" s="67">
        <v>0</v>
      </c>
      <c r="AR18" s="67">
        <v>0</v>
      </c>
      <c r="AS18" s="68">
        <v>0</v>
      </c>
      <c r="AT18" s="63"/>
      <c r="AU18" s="63"/>
    </row>
    <row r="19" spans="1:47" ht="12.75" hidden="1" customHeight="1" outlineLevel="1" x14ac:dyDescent="0.2">
      <c r="A19" s="95" t="s">
        <v>97</v>
      </c>
      <c r="B19" s="62">
        <v>26</v>
      </c>
      <c r="C19" s="54">
        <v>0</v>
      </c>
      <c r="D19" s="54">
        <v>26</v>
      </c>
      <c r="E19" s="63"/>
      <c r="F19" s="64">
        <v>100</v>
      </c>
      <c r="G19" s="65">
        <v>26</v>
      </c>
      <c r="H19" s="54">
        <v>26</v>
      </c>
      <c r="I19" s="54">
        <v>26</v>
      </c>
      <c r="J19" s="54">
        <v>26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104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4</v>
      </c>
      <c r="AH19" s="67">
        <v>4</v>
      </c>
      <c r="AI19" s="67">
        <v>37.17</v>
      </c>
      <c r="AJ19" s="67">
        <v>26</v>
      </c>
      <c r="AK19" s="67">
        <v>9.0399999999999991</v>
      </c>
      <c r="AL19" s="67">
        <v>26</v>
      </c>
      <c r="AM19" s="67">
        <v>26</v>
      </c>
      <c r="AN19" s="67">
        <v>26</v>
      </c>
      <c r="AO19" s="67">
        <v>26</v>
      </c>
      <c r="AP19" s="67">
        <v>26</v>
      </c>
      <c r="AQ19" s="67">
        <v>26</v>
      </c>
      <c r="AR19" s="67">
        <v>26</v>
      </c>
      <c r="AS19" s="68">
        <v>71.17</v>
      </c>
      <c r="AT19" s="63"/>
      <c r="AU19" s="63">
        <v>146.12898693269636</v>
      </c>
    </row>
    <row r="20" spans="1:47" ht="12.75" hidden="1" customHeight="1" outlineLevel="1" x14ac:dyDescent="0.2">
      <c r="A20" s="95" t="s">
        <v>69</v>
      </c>
      <c r="B20" s="62"/>
      <c r="C20" s="54"/>
      <c r="D20" s="54"/>
      <c r="E20" s="63"/>
      <c r="F20" s="64"/>
      <c r="G20" s="65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66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66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8"/>
      <c r="AT20" s="63"/>
      <c r="AU20" s="63"/>
    </row>
    <row r="21" spans="1:47" ht="12.75" customHeight="1" collapsed="1" x14ac:dyDescent="0.2">
      <c r="A21" s="69" t="s">
        <v>70</v>
      </c>
      <c r="B21" s="70">
        <v>26</v>
      </c>
      <c r="C21" s="71">
        <v>0</v>
      </c>
      <c r="D21" s="71">
        <v>26</v>
      </c>
      <c r="E21" s="72"/>
      <c r="F21" s="73">
        <v>100</v>
      </c>
      <c r="G21" s="70">
        <v>26</v>
      </c>
      <c r="H21" s="71">
        <v>26</v>
      </c>
      <c r="I21" s="71">
        <v>26</v>
      </c>
      <c r="J21" s="71">
        <v>26</v>
      </c>
      <c r="K21" s="71">
        <v>0</v>
      </c>
      <c r="L21" s="71">
        <v>0</v>
      </c>
      <c r="M21" s="71">
        <v>0</v>
      </c>
      <c r="N21" s="71">
        <v>0</v>
      </c>
      <c r="O21" s="71">
        <v>0</v>
      </c>
      <c r="P21" s="71">
        <v>0</v>
      </c>
      <c r="Q21" s="71">
        <v>0</v>
      </c>
      <c r="R21" s="71">
        <v>0</v>
      </c>
      <c r="S21" s="71">
        <v>104</v>
      </c>
      <c r="T21" s="71">
        <v>0</v>
      </c>
      <c r="U21" s="71">
        <v>0</v>
      </c>
      <c r="V21" s="71">
        <v>0</v>
      </c>
      <c r="W21" s="71">
        <v>0</v>
      </c>
      <c r="X21" s="71">
        <v>0</v>
      </c>
      <c r="Y21" s="71">
        <v>0</v>
      </c>
      <c r="Z21" s="71">
        <v>0</v>
      </c>
      <c r="AA21" s="71">
        <v>0</v>
      </c>
      <c r="AB21" s="71">
        <v>0</v>
      </c>
      <c r="AC21" s="71">
        <v>0</v>
      </c>
      <c r="AD21" s="71">
        <v>0</v>
      </c>
      <c r="AE21" s="71">
        <v>0</v>
      </c>
      <c r="AF21" s="71">
        <v>0</v>
      </c>
      <c r="AG21" s="75">
        <v>4</v>
      </c>
      <c r="AH21" s="75">
        <v>4</v>
      </c>
      <c r="AI21" s="75">
        <v>37.17</v>
      </c>
      <c r="AJ21" s="75">
        <v>26</v>
      </c>
      <c r="AK21" s="75">
        <v>9.0399999999999991</v>
      </c>
      <c r="AL21" s="75">
        <v>26</v>
      </c>
      <c r="AM21" s="75">
        <v>26</v>
      </c>
      <c r="AN21" s="75">
        <v>26</v>
      </c>
      <c r="AO21" s="75">
        <v>26</v>
      </c>
      <c r="AP21" s="75">
        <v>26</v>
      </c>
      <c r="AQ21" s="75">
        <v>26</v>
      </c>
      <c r="AR21" s="75">
        <v>26</v>
      </c>
      <c r="AS21" s="75">
        <v>71.17</v>
      </c>
      <c r="AT21" s="72"/>
      <c r="AU21" s="72">
        <v>146.12898693269636</v>
      </c>
    </row>
    <row r="22" spans="1:47" ht="12.75" hidden="1" customHeight="1" outlineLevel="1" x14ac:dyDescent="0.2">
      <c r="A22" s="95" t="s">
        <v>174</v>
      </c>
      <c r="B22" s="62">
        <v>0</v>
      </c>
      <c r="C22" s="54">
        <v>0</v>
      </c>
      <c r="D22" s="54">
        <v>0</v>
      </c>
      <c r="E22" s="63"/>
      <c r="F22" s="64"/>
      <c r="G22" s="65">
        <v>0</v>
      </c>
      <c r="H22" s="54">
        <v>16.07</v>
      </c>
      <c r="I22" s="54">
        <v>0</v>
      </c>
      <c r="J22" s="54">
        <v>0</v>
      </c>
      <c r="K22" s="54">
        <v>0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66">
        <v>16.07</v>
      </c>
      <c r="T22" s="54">
        <v>0</v>
      </c>
      <c r="U22" s="54">
        <v>0</v>
      </c>
      <c r="V22" s="54">
        <v>0</v>
      </c>
      <c r="W22" s="54">
        <v>0</v>
      </c>
      <c r="X22" s="54">
        <v>0</v>
      </c>
      <c r="Y22" s="54">
        <v>0</v>
      </c>
      <c r="Z22" s="54">
        <v>0</v>
      </c>
      <c r="AA22" s="54">
        <v>0</v>
      </c>
      <c r="AB22" s="54">
        <v>0</v>
      </c>
      <c r="AC22" s="54">
        <v>0</v>
      </c>
      <c r="AD22" s="54">
        <v>0</v>
      </c>
      <c r="AE22" s="54">
        <v>0</v>
      </c>
      <c r="AF22" s="66">
        <v>0</v>
      </c>
      <c r="AG22" s="67">
        <v>0</v>
      </c>
      <c r="AH22" s="67">
        <v>0</v>
      </c>
      <c r="AI22" s="67">
        <v>0</v>
      </c>
      <c r="AJ22" s="67">
        <v>0</v>
      </c>
      <c r="AK22" s="67">
        <v>15.55</v>
      </c>
      <c r="AL22" s="67">
        <v>0</v>
      </c>
      <c r="AM22" s="67">
        <v>0</v>
      </c>
      <c r="AN22" s="67">
        <v>15.76</v>
      </c>
      <c r="AO22" s="67">
        <v>0</v>
      </c>
      <c r="AP22" s="67">
        <v>0</v>
      </c>
      <c r="AQ22" s="67">
        <v>16.07</v>
      </c>
      <c r="AR22" s="67">
        <v>0</v>
      </c>
      <c r="AS22" s="68">
        <v>0</v>
      </c>
      <c r="AT22" s="63"/>
      <c r="AU22" s="63"/>
    </row>
    <row r="23" spans="1:47" ht="12.75" hidden="1" customHeight="1" outlineLevel="1" x14ac:dyDescent="0.2">
      <c r="A23" s="95" t="s">
        <v>99</v>
      </c>
      <c r="B23" s="62">
        <v>0</v>
      </c>
      <c r="C23" s="54">
        <v>0</v>
      </c>
      <c r="D23" s="54">
        <v>162.71</v>
      </c>
      <c r="E23" s="63"/>
      <c r="F23" s="64">
        <v>0</v>
      </c>
      <c r="G23" s="65">
        <v>0</v>
      </c>
      <c r="H23" s="54">
        <v>0</v>
      </c>
      <c r="I23" s="54">
        <v>0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0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0</v>
      </c>
      <c r="AH23" s="67">
        <v>0</v>
      </c>
      <c r="AI23" s="67">
        <v>206.77</v>
      </c>
      <c r="AJ23" s="67">
        <v>162.71</v>
      </c>
      <c r="AK23" s="67">
        <v>258.91000000000003</v>
      </c>
      <c r="AL23" s="67">
        <v>835.69</v>
      </c>
      <c r="AM23" s="98">
        <v>-46.75</v>
      </c>
      <c r="AN23" s="98">
        <v>-398.32</v>
      </c>
      <c r="AO23" s="67">
        <v>0</v>
      </c>
      <c r="AP23" s="67">
        <v>0</v>
      </c>
      <c r="AQ23" s="67">
        <v>0</v>
      </c>
      <c r="AR23" s="67">
        <v>0</v>
      </c>
      <c r="AS23" s="68">
        <v>369.48</v>
      </c>
      <c r="AT23" s="63"/>
      <c r="AU23" s="63">
        <v>0</v>
      </c>
    </row>
    <row r="24" spans="1:47" ht="12.75" hidden="1" customHeight="1" outlineLevel="1" x14ac:dyDescent="0.2">
      <c r="A24" s="95" t="s">
        <v>175</v>
      </c>
      <c r="B24" s="62">
        <v>20.87</v>
      </c>
      <c r="C24" s="54">
        <v>0</v>
      </c>
      <c r="D24" s="54">
        <v>0</v>
      </c>
      <c r="E24" s="63"/>
      <c r="F24" s="64"/>
      <c r="G24" s="65">
        <v>0</v>
      </c>
      <c r="H24" s="54">
        <v>24.26</v>
      </c>
      <c r="I24" s="54">
        <v>0</v>
      </c>
      <c r="J24" s="54">
        <v>20.87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45.13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0</v>
      </c>
      <c r="AH24" s="67">
        <v>0</v>
      </c>
      <c r="AI24" s="67">
        <v>21.37</v>
      </c>
      <c r="AJ24" s="67">
        <v>0</v>
      </c>
      <c r="AK24" s="67">
        <v>20.149999999999999</v>
      </c>
      <c r="AL24" s="67">
        <v>0</v>
      </c>
      <c r="AM24" s="67">
        <v>25.79</v>
      </c>
      <c r="AN24" s="98">
        <v>-5.67</v>
      </c>
      <c r="AO24" s="67">
        <v>22.74</v>
      </c>
      <c r="AP24" s="67">
        <v>0</v>
      </c>
      <c r="AQ24" s="67">
        <v>24.5</v>
      </c>
      <c r="AR24" s="67">
        <v>0</v>
      </c>
      <c r="AS24" s="68">
        <v>21.37</v>
      </c>
      <c r="AT24" s="63"/>
      <c r="AU24" s="63">
        <v>211.1839026672906</v>
      </c>
    </row>
    <row r="25" spans="1:47" ht="12.75" hidden="1" customHeight="1" outlineLevel="1" x14ac:dyDescent="0.2">
      <c r="A25" s="95" t="s">
        <v>100</v>
      </c>
      <c r="B25" s="62">
        <v>0</v>
      </c>
      <c r="C25" s="54">
        <v>0</v>
      </c>
      <c r="D25" s="54">
        <v>0</v>
      </c>
      <c r="E25" s="63"/>
      <c r="F25" s="64"/>
      <c r="G25" s="65">
        <v>0</v>
      </c>
      <c r="H25" s="54">
        <v>0</v>
      </c>
      <c r="I25" s="54">
        <v>0</v>
      </c>
      <c r="J25" s="54">
        <v>0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0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0</v>
      </c>
      <c r="AH25" s="67">
        <v>0</v>
      </c>
      <c r="AI25" s="67">
        <v>0</v>
      </c>
      <c r="AJ25" s="67">
        <v>0</v>
      </c>
      <c r="AK25" s="67">
        <v>0</v>
      </c>
      <c r="AL25" s="67">
        <v>0</v>
      </c>
      <c r="AM25" s="67">
        <v>0</v>
      </c>
      <c r="AN25" s="67">
        <v>0</v>
      </c>
      <c r="AO25" s="67">
        <v>0</v>
      </c>
      <c r="AP25" s="67">
        <v>0</v>
      </c>
      <c r="AQ25" s="67">
        <v>0</v>
      </c>
      <c r="AR25" s="67">
        <v>0</v>
      </c>
      <c r="AS25" s="68">
        <v>0</v>
      </c>
      <c r="AT25" s="63"/>
      <c r="AU25" s="63"/>
    </row>
    <row r="26" spans="1:47" ht="12.75" hidden="1" customHeight="1" outlineLevel="1" x14ac:dyDescent="0.2">
      <c r="A26" s="95" t="s">
        <v>101</v>
      </c>
      <c r="B26" s="62">
        <v>0</v>
      </c>
      <c r="C26" s="54">
        <v>0</v>
      </c>
      <c r="D26" s="54">
        <v>0</v>
      </c>
      <c r="E26" s="63"/>
      <c r="F26" s="64"/>
      <c r="G26" s="65">
        <v>0</v>
      </c>
      <c r="H26" s="54">
        <v>0</v>
      </c>
      <c r="I26" s="54">
        <v>0</v>
      </c>
      <c r="J26" s="54">
        <v>0</v>
      </c>
      <c r="K26" s="54">
        <v>0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0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0</v>
      </c>
      <c r="AH26" s="67">
        <v>0</v>
      </c>
      <c r="AI26" s="67">
        <v>218.18</v>
      </c>
      <c r="AJ26" s="67">
        <v>0</v>
      </c>
      <c r="AK26" s="67">
        <v>0</v>
      </c>
      <c r="AL26" s="67">
        <v>0</v>
      </c>
      <c r="AM26" s="67">
        <v>0</v>
      </c>
      <c r="AN26" s="67">
        <v>0</v>
      </c>
      <c r="AO26" s="67">
        <v>0</v>
      </c>
      <c r="AP26" s="67">
        <v>0</v>
      </c>
      <c r="AQ26" s="67">
        <v>0</v>
      </c>
      <c r="AR26" s="67">
        <v>0</v>
      </c>
      <c r="AS26" s="68">
        <v>218.18</v>
      </c>
      <c r="AT26" s="63"/>
      <c r="AU26" s="63">
        <v>0</v>
      </c>
    </row>
    <row r="27" spans="1:47" ht="12.75" hidden="1" customHeight="1" outlineLevel="1" x14ac:dyDescent="0.2">
      <c r="A27" s="95" t="s">
        <v>87</v>
      </c>
      <c r="B27" s="62"/>
      <c r="C27" s="54"/>
      <c r="D27" s="54"/>
      <c r="E27" s="63"/>
      <c r="F27" s="64"/>
      <c r="G27" s="65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66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66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8"/>
      <c r="AT27" s="63"/>
      <c r="AU27" s="63"/>
    </row>
    <row r="28" spans="1:47" ht="12.75" hidden="1" customHeight="1" outlineLevel="1" x14ac:dyDescent="0.2">
      <c r="A28" s="95" t="s">
        <v>176</v>
      </c>
      <c r="B28" s="62">
        <v>59.05</v>
      </c>
      <c r="C28" s="54">
        <v>0</v>
      </c>
      <c r="D28" s="54">
        <v>0</v>
      </c>
      <c r="E28" s="63"/>
      <c r="F28" s="64"/>
      <c r="G28" s="65">
        <v>68.260000000000005</v>
      </c>
      <c r="H28" s="54">
        <v>57.8</v>
      </c>
      <c r="I28" s="54">
        <v>55.75</v>
      </c>
      <c r="J28" s="54">
        <v>59.05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240.86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68.48</v>
      </c>
      <c r="AH28" s="67">
        <v>68.48</v>
      </c>
      <c r="AI28" s="67">
        <v>175.95</v>
      </c>
      <c r="AJ28" s="67">
        <v>0</v>
      </c>
      <c r="AK28" s="67">
        <v>43.35</v>
      </c>
      <c r="AL28" s="67">
        <v>43.35</v>
      </c>
      <c r="AM28" s="67">
        <v>155.79</v>
      </c>
      <c r="AN28" s="67">
        <v>113.51</v>
      </c>
      <c r="AO28" s="67">
        <v>0</v>
      </c>
      <c r="AP28" s="67">
        <v>0</v>
      </c>
      <c r="AQ28" s="67">
        <v>141.05000000000001</v>
      </c>
      <c r="AR28" s="67">
        <v>74</v>
      </c>
      <c r="AS28" s="68">
        <v>312.91000000000003</v>
      </c>
      <c r="AT28" s="63"/>
      <c r="AU28" s="63">
        <v>76.974209836694257</v>
      </c>
    </row>
    <row r="29" spans="1:47" ht="12.75" hidden="1" customHeight="1" outlineLevel="1" x14ac:dyDescent="0.2">
      <c r="A29" s="95" t="s">
        <v>102</v>
      </c>
      <c r="B29" s="62">
        <v>0</v>
      </c>
      <c r="C29" s="54">
        <v>0</v>
      </c>
      <c r="D29" s="54">
        <v>0</v>
      </c>
      <c r="E29" s="63"/>
      <c r="F29" s="64"/>
      <c r="G29" s="65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0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0</v>
      </c>
      <c r="AH29" s="67">
        <v>0</v>
      </c>
      <c r="AI29" s="67">
        <v>0</v>
      </c>
      <c r="AJ29" s="67">
        <v>0</v>
      </c>
      <c r="AK29" s="67">
        <v>0</v>
      </c>
      <c r="AL29" s="67">
        <v>0</v>
      </c>
      <c r="AM29" s="67">
        <v>0</v>
      </c>
      <c r="AN29" s="67">
        <v>0</v>
      </c>
      <c r="AO29" s="67">
        <v>0</v>
      </c>
      <c r="AP29" s="67">
        <v>0</v>
      </c>
      <c r="AQ29" s="67">
        <v>0</v>
      </c>
      <c r="AR29" s="67">
        <v>0</v>
      </c>
      <c r="AS29" s="68">
        <v>0</v>
      </c>
      <c r="AT29" s="63"/>
      <c r="AU29" s="63"/>
    </row>
    <row r="30" spans="1:47" ht="12.75" hidden="1" customHeight="1" outlineLevel="1" x14ac:dyDescent="0.2">
      <c r="A30" s="95" t="s">
        <v>75</v>
      </c>
      <c r="B30" s="62">
        <v>0</v>
      </c>
      <c r="C30" s="54">
        <v>0</v>
      </c>
      <c r="D30" s="54">
        <v>0</v>
      </c>
      <c r="E30" s="63"/>
      <c r="F30" s="64"/>
      <c r="G30" s="65">
        <v>0</v>
      </c>
      <c r="H30" s="54">
        <v>0</v>
      </c>
      <c r="I30" s="54">
        <v>0</v>
      </c>
      <c r="J30" s="54">
        <v>0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0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0</v>
      </c>
      <c r="AH30" s="67">
        <v>0</v>
      </c>
      <c r="AI30" s="67">
        <v>0</v>
      </c>
      <c r="AJ30" s="67">
        <v>0</v>
      </c>
      <c r="AK30" s="67">
        <v>0</v>
      </c>
      <c r="AL30" s="67">
        <v>0</v>
      </c>
      <c r="AM30" s="67">
        <v>0</v>
      </c>
      <c r="AN30" s="67">
        <v>0</v>
      </c>
      <c r="AO30" s="67">
        <v>0</v>
      </c>
      <c r="AP30" s="67">
        <v>0</v>
      </c>
      <c r="AQ30" s="67">
        <v>0</v>
      </c>
      <c r="AR30" s="67">
        <v>0</v>
      </c>
      <c r="AS30" s="68">
        <v>0</v>
      </c>
      <c r="AT30" s="63"/>
      <c r="AU30" s="63"/>
    </row>
    <row r="31" spans="1:47" ht="12.75" hidden="1" customHeight="1" outlineLevel="1" x14ac:dyDescent="0.2">
      <c r="A31" s="95" t="s">
        <v>76</v>
      </c>
      <c r="B31" s="62">
        <v>0</v>
      </c>
      <c r="C31" s="54">
        <v>0</v>
      </c>
      <c r="D31" s="54">
        <v>46.39</v>
      </c>
      <c r="E31" s="63"/>
      <c r="F31" s="64">
        <v>0</v>
      </c>
      <c r="G31" s="65">
        <v>92.78</v>
      </c>
      <c r="H31" s="54">
        <v>49.77</v>
      </c>
      <c r="I31" s="54">
        <v>99.54</v>
      </c>
      <c r="J31" s="54">
        <v>0</v>
      </c>
      <c r="K31" s="56">
        <v>-49.77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242.09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182</v>
      </c>
      <c r="AH31" s="67">
        <v>0</v>
      </c>
      <c r="AI31" s="67">
        <v>1032.26</v>
      </c>
      <c r="AJ31" s="67">
        <v>46.39</v>
      </c>
      <c r="AK31" s="67">
        <v>228.39</v>
      </c>
      <c r="AL31" s="67">
        <v>46.39</v>
      </c>
      <c r="AM31" s="67">
        <v>46.39</v>
      </c>
      <c r="AN31" s="67">
        <v>46.39</v>
      </c>
      <c r="AO31" s="67">
        <v>46.39</v>
      </c>
      <c r="AP31" s="67">
        <v>46.39</v>
      </c>
      <c r="AQ31" s="67">
        <v>46.39</v>
      </c>
      <c r="AR31" s="67">
        <v>109.98</v>
      </c>
      <c r="AS31" s="68">
        <v>1260.6500000000001</v>
      </c>
      <c r="AT31" s="63"/>
      <c r="AU31" s="63">
        <v>19.20358545194939</v>
      </c>
    </row>
    <row r="32" spans="1:47" ht="12.75" hidden="1" customHeight="1" outlineLevel="1" x14ac:dyDescent="0.2">
      <c r="A32" s="95" t="s">
        <v>77</v>
      </c>
      <c r="B32" s="62">
        <v>60</v>
      </c>
      <c r="C32" s="54">
        <v>0</v>
      </c>
      <c r="D32" s="54">
        <v>60</v>
      </c>
      <c r="E32" s="63"/>
      <c r="F32" s="64">
        <v>100</v>
      </c>
      <c r="G32" s="65">
        <v>60</v>
      </c>
      <c r="H32" s="54">
        <v>60</v>
      </c>
      <c r="I32" s="54">
        <v>60</v>
      </c>
      <c r="J32" s="54">
        <v>60</v>
      </c>
      <c r="K32" s="54">
        <v>0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66">
        <v>240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66">
        <v>0</v>
      </c>
      <c r="AG32" s="67">
        <v>51.67</v>
      </c>
      <c r="AH32" s="67">
        <v>51.67</v>
      </c>
      <c r="AI32" s="67">
        <v>60</v>
      </c>
      <c r="AJ32" s="67">
        <v>60</v>
      </c>
      <c r="AK32" s="67">
        <v>60</v>
      </c>
      <c r="AL32" s="67">
        <v>60</v>
      </c>
      <c r="AM32" s="67">
        <v>60</v>
      </c>
      <c r="AN32" s="67">
        <v>60</v>
      </c>
      <c r="AO32" s="67">
        <v>60</v>
      </c>
      <c r="AP32" s="67">
        <v>60</v>
      </c>
      <c r="AQ32" s="67">
        <v>60</v>
      </c>
      <c r="AR32" s="67">
        <v>60</v>
      </c>
      <c r="AS32" s="68">
        <v>223.34</v>
      </c>
      <c r="AT32" s="63"/>
      <c r="AU32" s="63">
        <v>107.45947882152771</v>
      </c>
    </row>
    <row r="33" spans="1:47" ht="12.75" customHeight="1" collapsed="1" x14ac:dyDescent="0.2">
      <c r="A33" s="69" t="s">
        <v>177</v>
      </c>
      <c r="B33" s="70">
        <v>139.91999999999999</v>
      </c>
      <c r="C33" s="71">
        <v>0</v>
      </c>
      <c r="D33" s="71">
        <v>269.10000000000002</v>
      </c>
      <c r="E33" s="72"/>
      <c r="F33" s="73">
        <v>51.995540691192865</v>
      </c>
      <c r="G33" s="70">
        <v>221.04</v>
      </c>
      <c r="H33" s="71">
        <v>207.9</v>
      </c>
      <c r="I33" s="71">
        <v>215.29</v>
      </c>
      <c r="J33" s="71">
        <v>139.91999999999999</v>
      </c>
      <c r="K33" s="74">
        <v>-49.77</v>
      </c>
      <c r="L33" s="71">
        <v>0</v>
      </c>
      <c r="M33" s="71">
        <v>0</v>
      </c>
      <c r="N33" s="71">
        <v>0</v>
      </c>
      <c r="O33" s="71">
        <v>0</v>
      </c>
      <c r="P33" s="71">
        <v>0</v>
      </c>
      <c r="Q33" s="71">
        <v>0</v>
      </c>
      <c r="R33" s="71">
        <v>0</v>
      </c>
      <c r="S33" s="71">
        <v>784.15</v>
      </c>
      <c r="T33" s="71">
        <v>0</v>
      </c>
      <c r="U33" s="71">
        <v>0</v>
      </c>
      <c r="V33" s="71">
        <v>0</v>
      </c>
      <c r="W33" s="71">
        <v>0</v>
      </c>
      <c r="X33" s="71">
        <v>0</v>
      </c>
      <c r="Y33" s="71">
        <v>0</v>
      </c>
      <c r="Z33" s="71">
        <v>0</v>
      </c>
      <c r="AA33" s="71">
        <v>0</v>
      </c>
      <c r="AB33" s="71">
        <v>0</v>
      </c>
      <c r="AC33" s="71">
        <v>0</v>
      </c>
      <c r="AD33" s="71">
        <v>0</v>
      </c>
      <c r="AE33" s="71">
        <v>0</v>
      </c>
      <c r="AF33" s="71">
        <v>0</v>
      </c>
      <c r="AG33" s="75">
        <v>302.14999999999998</v>
      </c>
      <c r="AH33" s="75">
        <v>120.15</v>
      </c>
      <c r="AI33" s="75">
        <v>1714.53</v>
      </c>
      <c r="AJ33" s="75">
        <v>269.10000000000002</v>
      </c>
      <c r="AK33" s="75">
        <v>626.35</v>
      </c>
      <c r="AL33" s="75">
        <v>985.43</v>
      </c>
      <c r="AM33" s="75">
        <v>241.22</v>
      </c>
      <c r="AN33" s="134">
        <v>-168.33</v>
      </c>
      <c r="AO33" s="75">
        <v>129.13</v>
      </c>
      <c r="AP33" s="75">
        <v>106.39</v>
      </c>
      <c r="AQ33" s="75">
        <v>288.01</v>
      </c>
      <c r="AR33" s="75">
        <v>243.98</v>
      </c>
      <c r="AS33" s="75">
        <v>2405.9299999999998</v>
      </c>
      <c r="AT33" s="72"/>
      <c r="AU33" s="72">
        <v>32.592386312153721</v>
      </c>
    </row>
    <row r="34" spans="1:47" ht="12.75" hidden="1" customHeight="1" outlineLevel="1" x14ac:dyDescent="0.2">
      <c r="A34" s="95" t="s">
        <v>178</v>
      </c>
      <c r="B34" s="62">
        <v>0</v>
      </c>
      <c r="C34" s="54">
        <v>0</v>
      </c>
      <c r="D34" s="54">
        <v>0</v>
      </c>
      <c r="E34" s="63"/>
      <c r="F34" s="64"/>
      <c r="G34" s="65">
        <v>0</v>
      </c>
      <c r="H34" s="54">
        <v>0</v>
      </c>
      <c r="I34" s="54">
        <v>0</v>
      </c>
      <c r="J34" s="54">
        <v>0</v>
      </c>
      <c r="K34" s="54">
        <v>0</v>
      </c>
      <c r="L34" s="54">
        <v>0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66">
        <v>0</v>
      </c>
      <c r="T34" s="54">
        <v>0</v>
      </c>
      <c r="U34" s="54">
        <v>0</v>
      </c>
      <c r="V34" s="54">
        <v>0</v>
      </c>
      <c r="W34" s="54">
        <v>0</v>
      </c>
      <c r="X34" s="54">
        <v>0</v>
      </c>
      <c r="Y34" s="54">
        <v>0</v>
      </c>
      <c r="Z34" s="54">
        <v>0</v>
      </c>
      <c r="AA34" s="54">
        <v>0</v>
      </c>
      <c r="AB34" s="54">
        <v>0</v>
      </c>
      <c r="AC34" s="54">
        <v>0</v>
      </c>
      <c r="AD34" s="54">
        <v>0</v>
      </c>
      <c r="AE34" s="54">
        <v>0</v>
      </c>
      <c r="AF34" s="66">
        <v>0</v>
      </c>
      <c r="AG34" s="67">
        <v>0</v>
      </c>
      <c r="AH34" s="67">
        <v>0</v>
      </c>
      <c r="AI34" s="67">
        <v>0</v>
      </c>
      <c r="AJ34" s="67">
        <v>0</v>
      </c>
      <c r="AK34" s="67">
        <v>0</v>
      </c>
      <c r="AL34" s="67">
        <v>0</v>
      </c>
      <c r="AM34" s="67">
        <v>0</v>
      </c>
      <c r="AN34" s="67">
        <v>0</v>
      </c>
      <c r="AO34" s="67">
        <v>0</v>
      </c>
      <c r="AP34" s="67">
        <v>0</v>
      </c>
      <c r="AQ34" s="67">
        <v>0</v>
      </c>
      <c r="AR34" s="67">
        <v>0</v>
      </c>
      <c r="AS34" s="68">
        <v>0</v>
      </c>
      <c r="AT34" s="63"/>
      <c r="AU34" s="63"/>
    </row>
    <row r="35" spans="1:47" ht="12.75" hidden="1" customHeight="1" outlineLevel="1" x14ac:dyDescent="0.2">
      <c r="A35" s="95" t="s">
        <v>179</v>
      </c>
      <c r="B35" s="62">
        <v>13.33</v>
      </c>
      <c r="C35" s="54">
        <v>0</v>
      </c>
      <c r="D35" s="54">
        <v>8</v>
      </c>
      <c r="E35" s="63"/>
      <c r="F35" s="64">
        <v>166.625</v>
      </c>
      <c r="G35" s="65">
        <v>13.33</v>
      </c>
      <c r="H35" s="54">
        <v>13.33</v>
      </c>
      <c r="I35" s="54">
        <v>13.33</v>
      </c>
      <c r="J35" s="54">
        <v>13.33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53.32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8</v>
      </c>
      <c r="AH35" s="67">
        <v>8</v>
      </c>
      <c r="AI35" s="67">
        <v>8</v>
      </c>
      <c r="AJ35" s="67">
        <v>8</v>
      </c>
      <c r="AK35" s="67">
        <v>8</v>
      </c>
      <c r="AL35" s="67">
        <v>8</v>
      </c>
      <c r="AM35" s="67">
        <v>8</v>
      </c>
      <c r="AN35" s="67">
        <v>8</v>
      </c>
      <c r="AO35" s="67">
        <v>13.33</v>
      </c>
      <c r="AP35" s="67">
        <v>13.33</v>
      </c>
      <c r="AQ35" s="67">
        <v>13.33</v>
      </c>
      <c r="AR35" s="67">
        <v>13.33</v>
      </c>
      <c r="AS35" s="68">
        <v>32</v>
      </c>
      <c r="AT35" s="63"/>
      <c r="AU35" s="63">
        <v>166.625</v>
      </c>
    </row>
    <row r="36" spans="1:47" ht="12.75" hidden="1" customHeight="1" outlineLevel="1" x14ac:dyDescent="0.2">
      <c r="A36" s="95" t="s">
        <v>180</v>
      </c>
      <c r="B36" s="62">
        <v>0</v>
      </c>
      <c r="C36" s="54">
        <v>0</v>
      </c>
      <c r="D36" s="54">
        <v>0</v>
      </c>
      <c r="E36" s="63"/>
      <c r="F36" s="64"/>
      <c r="G36" s="65">
        <v>0</v>
      </c>
      <c r="H36" s="54">
        <v>0</v>
      </c>
      <c r="I36" s="54">
        <v>359.18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359.18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>
        <v>0</v>
      </c>
      <c r="AH36" s="67">
        <v>217.27</v>
      </c>
      <c r="AI36" s="67">
        <v>0</v>
      </c>
      <c r="AJ36" s="67">
        <v>0</v>
      </c>
      <c r="AK36" s="67">
        <v>0</v>
      </c>
      <c r="AL36" s="67">
        <v>0</v>
      </c>
      <c r="AM36" s="67">
        <v>736.03</v>
      </c>
      <c r="AN36" s="67">
        <v>262.72000000000003</v>
      </c>
      <c r="AO36" s="67">
        <v>691.36</v>
      </c>
      <c r="AP36" s="67">
        <v>264.63</v>
      </c>
      <c r="AQ36" s="67">
        <v>0</v>
      </c>
      <c r="AR36" s="67">
        <v>3102.89</v>
      </c>
      <c r="AS36" s="68">
        <v>217.27</v>
      </c>
      <c r="AT36" s="63"/>
      <c r="AU36" s="63">
        <v>165.31504579555391</v>
      </c>
    </row>
    <row r="37" spans="1:47" ht="12.75" hidden="1" customHeight="1" outlineLevel="1" x14ac:dyDescent="0.2">
      <c r="A37" s="95" t="s">
        <v>181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0</v>
      </c>
      <c r="AM37" s="67">
        <v>0</v>
      </c>
      <c r="AN37" s="98">
        <v>-5000</v>
      </c>
      <c r="AO37" s="67">
        <v>0</v>
      </c>
      <c r="AP37" s="67">
        <v>0</v>
      </c>
      <c r="AQ37" s="67">
        <v>1250</v>
      </c>
      <c r="AR37" s="67">
        <v>1250</v>
      </c>
      <c r="AS37" s="68">
        <v>0</v>
      </c>
      <c r="AT37" s="63"/>
      <c r="AU37" s="63"/>
    </row>
    <row r="38" spans="1:47" ht="12.75" hidden="1" customHeight="1" outlineLevel="1" x14ac:dyDescent="0.2">
      <c r="A38" s="95" t="s">
        <v>182</v>
      </c>
      <c r="B38" s="62">
        <v>447.38</v>
      </c>
      <c r="C38" s="54">
        <v>0</v>
      </c>
      <c r="D38" s="54">
        <v>0</v>
      </c>
      <c r="E38" s="63"/>
      <c r="F38" s="64"/>
      <c r="G38" s="65">
        <v>0</v>
      </c>
      <c r="H38" s="54">
        <v>1069.76</v>
      </c>
      <c r="I38" s="54">
        <v>0</v>
      </c>
      <c r="J38" s="54">
        <v>447.38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1517.14</v>
      </c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0</v>
      </c>
      <c r="Z38" s="54">
        <v>0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66">
        <v>0</v>
      </c>
      <c r="AG38" s="67">
        <v>0</v>
      </c>
      <c r="AH38" s="67">
        <v>0</v>
      </c>
      <c r="AI38" s="67">
        <v>96.09</v>
      </c>
      <c r="AJ38" s="67">
        <v>0</v>
      </c>
      <c r="AK38" s="67">
        <v>0</v>
      </c>
      <c r="AL38" s="67">
        <v>0</v>
      </c>
      <c r="AM38" s="67">
        <v>306.93</v>
      </c>
      <c r="AN38" s="67">
        <v>0</v>
      </c>
      <c r="AO38" s="98">
        <v>-369.63</v>
      </c>
      <c r="AP38" s="67">
        <v>165.68</v>
      </c>
      <c r="AQ38" s="67">
        <v>0</v>
      </c>
      <c r="AR38" s="67">
        <v>231.05</v>
      </c>
      <c r="AS38" s="68">
        <v>96.09</v>
      </c>
      <c r="AT38" s="63"/>
      <c r="AU38" s="63">
        <v>1578.8739723176188</v>
      </c>
    </row>
    <row r="39" spans="1:47" ht="12.75" hidden="1" customHeight="1" outlineLevel="1" x14ac:dyDescent="0.2">
      <c r="A39" s="95" t="s">
        <v>183</v>
      </c>
      <c r="B39" s="96">
        <v>-447.38</v>
      </c>
      <c r="C39" s="54">
        <v>0</v>
      </c>
      <c r="D39" s="54">
        <v>0</v>
      </c>
      <c r="E39" s="63"/>
      <c r="F39" s="64"/>
      <c r="G39" s="65">
        <v>1859.33</v>
      </c>
      <c r="H39" s="56">
        <v>-238.56</v>
      </c>
      <c r="I39" s="56">
        <v>-359.27</v>
      </c>
      <c r="J39" s="56">
        <v>-447.38</v>
      </c>
      <c r="K39" s="56">
        <v>-455.94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66">
        <v>814.12</v>
      </c>
      <c r="T39" s="54">
        <v>0</v>
      </c>
      <c r="U39" s="54">
        <v>0</v>
      </c>
      <c r="V39" s="54">
        <v>0</v>
      </c>
      <c r="W39" s="54">
        <v>0</v>
      </c>
      <c r="X39" s="54">
        <v>0</v>
      </c>
      <c r="Y39" s="54">
        <v>0</v>
      </c>
      <c r="Z39" s="54">
        <v>0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66">
        <v>0</v>
      </c>
      <c r="AG39" s="67">
        <v>0</v>
      </c>
      <c r="AH39" s="67">
        <v>0</v>
      </c>
      <c r="AI39" s="67">
        <v>0</v>
      </c>
      <c r="AJ39" s="67">
        <v>0</v>
      </c>
      <c r="AK39" s="67">
        <v>0</v>
      </c>
      <c r="AL39" s="67">
        <v>0</v>
      </c>
      <c r="AM39" s="67">
        <v>0</v>
      </c>
      <c r="AN39" s="67">
        <v>0</v>
      </c>
      <c r="AO39" s="67">
        <v>535.30999999999995</v>
      </c>
      <c r="AP39" s="67">
        <v>1449.88</v>
      </c>
      <c r="AQ39" s="98">
        <v>-930.6</v>
      </c>
      <c r="AR39" s="98">
        <v>-1321.13</v>
      </c>
      <c r="AS39" s="68">
        <v>0</v>
      </c>
      <c r="AT39" s="63"/>
      <c r="AU39" s="63"/>
    </row>
    <row r="40" spans="1:47" ht="12.75" hidden="1" customHeight="1" outlineLevel="1" x14ac:dyDescent="0.2">
      <c r="A40" s="95" t="s">
        <v>184</v>
      </c>
      <c r="B40" s="62">
        <v>0</v>
      </c>
      <c r="C40" s="54">
        <v>0</v>
      </c>
      <c r="D40" s="54">
        <v>0</v>
      </c>
      <c r="E40" s="63"/>
      <c r="F40" s="64"/>
      <c r="G40" s="65">
        <v>0</v>
      </c>
      <c r="H40" s="54">
        <v>0</v>
      </c>
      <c r="I40" s="54">
        <v>0</v>
      </c>
      <c r="J40" s="54">
        <v>0</v>
      </c>
      <c r="K40" s="54">
        <v>0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66">
        <v>0</v>
      </c>
      <c r="T40" s="54">
        <v>0</v>
      </c>
      <c r="U40" s="54">
        <v>0</v>
      </c>
      <c r="V40" s="54">
        <v>0</v>
      </c>
      <c r="W40" s="54">
        <v>0</v>
      </c>
      <c r="X40" s="54">
        <v>0</v>
      </c>
      <c r="Y40" s="54">
        <v>0</v>
      </c>
      <c r="Z40" s="54">
        <v>0</v>
      </c>
      <c r="AA40" s="54">
        <v>0</v>
      </c>
      <c r="AB40" s="54">
        <v>0</v>
      </c>
      <c r="AC40" s="54">
        <v>0</v>
      </c>
      <c r="AD40" s="54">
        <v>0</v>
      </c>
      <c r="AE40" s="54">
        <v>0</v>
      </c>
      <c r="AF40" s="66">
        <v>0</v>
      </c>
      <c r="AG40" s="67">
        <v>0</v>
      </c>
      <c r="AH40" s="67">
        <v>0</v>
      </c>
      <c r="AI40" s="67">
        <v>0</v>
      </c>
      <c r="AJ40" s="67">
        <v>0</v>
      </c>
      <c r="AK40" s="67">
        <v>0</v>
      </c>
      <c r="AL40" s="67">
        <v>0</v>
      </c>
      <c r="AM40" s="67">
        <v>0</v>
      </c>
      <c r="AN40" s="67">
        <v>0</v>
      </c>
      <c r="AO40" s="67">
        <v>0</v>
      </c>
      <c r="AP40" s="67">
        <v>0</v>
      </c>
      <c r="AQ40" s="67">
        <v>0</v>
      </c>
      <c r="AR40" s="67">
        <v>0</v>
      </c>
      <c r="AS40" s="68">
        <v>0</v>
      </c>
      <c r="AT40" s="63"/>
      <c r="AU40" s="63"/>
    </row>
    <row r="41" spans="1:47" ht="12.75" hidden="1" customHeight="1" outlineLevel="1" x14ac:dyDescent="0.2">
      <c r="A41" s="95" t="s">
        <v>185</v>
      </c>
      <c r="B41" s="62"/>
      <c r="C41" s="54"/>
      <c r="D41" s="54"/>
      <c r="E41" s="63"/>
      <c r="F41" s="64"/>
      <c r="G41" s="65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66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66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8"/>
      <c r="AT41" s="63"/>
      <c r="AU41" s="63"/>
    </row>
    <row r="42" spans="1:47" ht="12.75" hidden="1" customHeight="1" outlineLevel="1" x14ac:dyDescent="0.2">
      <c r="A42" s="95" t="s">
        <v>186</v>
      </c>
      <c r="B42" s="62">
        <v>0</v>
      </c>
      <c r="C42" s="54">
        <v>0</v>
      </c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0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0</v>
      </c>
      <c r="AS42" s="68">
        <v>0</v>
      </c>
      <c r="AT42" s="63"/>
      <c r="AU42" s="63"/>
    </row>
    <row r="43" spans="1:47" ht="12.75" hidden="1" customHeight="1" outlineLevel="1" x14ac:dyDescent="0.2">
      <c r="A43" s="95" t="s">
        <v>187</v>
      </c>
      <c r="B43" s="62">
        <v>0</v>
      </c>
      <c r="C43" s="54">
        <v>0</v>
      </c>
      <c r="D43" s="54">
        <v>0</v>
      </c>
      <c r="E43" s="63"/>
      <c r="F43" s="64"/>
      <c r="G43" s="65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66">
        <v>0</v>
      </c>
      <c r="T43" s="54">
        <v>0</v>
      </c>
      <c r="U43" s="54">
        <v>0</v>
      </c>
      <c r="V43" s="54">
        <v>0</v>
      </c>
      <c r="W43" s="54">
        <v>0</v>
      </c>
      <c r="X43" s="54">
        <v>0</v>
      </c>
      <c r="Y43" s="54">
        <v>0</v>
      </c>
      <c r="Z43" s="54">
        <v>0</v>
      </c>
      <c r="AA43" s="54">
        <v>0</v>
      </c>
      <c r="AB43" s="54">
        <v>0</v>
      </c>
      <c r="AC43" s="54">
        <v>0</v>
      </c>
      <c r="AD43" s="54">
        <v>0</v>
      </c>
      <c r="AE43" s="54">
        <v>0</v>
      </c>
      <c r="AF43" s="66">
        <v>0</v>
      </c>
      <c r="AG43" s="67">
        <v>0</v>
      </c>
      <c r="AH43" s="67">
        <v>0</v>
      </c>
      <c r="AI43" s="67">
        <v>0</v>
      </c>
      <c r="AJ43" s="67">
        <v>0</v>
      </c>
      <c r="AK43" s="67">
        <v>0</v>
      </c>
      <c r="AL43" s="67">
        <v>0</v>
      </c>
      <c r="AM43" s="67">
        <v>0</v>
      </c>
      <c r="AN43" s="67">
        <v>0</v>
      </c>
      <c r="AO43" s="67">
        <v>0</v>
      </c>
      <c r="AP43" s="67">
        <v>0</v>
      </c>
      <c r="AQ43" s="67">
        <v>0</v>
      </c>
      <c r="AR43" s="67">
        <v>0</v>
      </c>
      <c r="AS43" s="68">
        <v>0</v>
      </c>
      <c r="AT43" s="63"/>
      <c r="AU43" s="63"/>
    </row>
    <row r="44" spans="1:47" ht="12.75" hidden="1" customHeight="1" outlineLevel="1" x14ac:dyDescent="0.2">
      <c r="A44" s="95" t="s">
        <v>188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95" t="s">
        <v>189</v>
      </c>
      <c r="B45" s="62"/>
      <c r="C45" s="54"/>
      <c r="D45" s="54"/>
      <c r="E45" s="63"/>
      <c r="F45" s="64"/>
      <c r="G45" s="65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66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66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8"/>
      <c r="AT45" s="63"/>
      <c r="AU45" s="63"/>
    </row>
    <row r="46" spans="1:47" ht="12.75" hidden="1" customHeight="1" outlineLevel="1" x14ac:dyDescent="0.2">
      <c r="A46" s="95" t="s">
        <v>190</v>
      </c>
      <c r="B46" s="62">
        <v>0</v>
      </c>
      <c r="C46" s="54">
        <v>0</v>
      </c>
      <c r="D46" s="54">
        <v>0</v>
      </c>
      <c r="E46" s="63"/>
      <c r="F46" s="64"/>
      <c r="G46" s="65">
        <v>0</v>
      </c>
      <c r="H46" s="54">
        <v>0</v>
      </c>
      <c r="I46" s="54">
        <v>0</v>
      </c>
      <c r="J46" s="54">
        <v>0</v>
      </c>
      <c r="K46" s="54">
        <v>0</v>
      </c>
      <c r="L46" s="54">
        <v>0</v>
      </c>
      <c r="M46" s="54">
        <v>0</v>
      </c>
      <c r="N46" s="54">
        <v>0</v>
      </c>
      <c r="O46" s="54">
        <v>0</v>
      </c>
      <c r="P46" s="54">
        <v>0</v>
      </c>
      <c r="Q46" s="54">
        <v>0</v>
      </c>
      <c r="R46" s="54">
        <v>0</v>
      </c>
      <c r="S46" s="66">
        <v>0</v>
      </c>
      <c r="T46" s="54">
        <v>0</v>
      </c>
      <c r="U46" s="54">
        <v>0</v>
      </c>
      <c r="V46" s="54">
        <v>0</v>
      </c>
      <c r="W46" s="54">
        <v>0</v>
      </c>
      <c r="X46" s="54">
        <v>0</v>
      </c>
      <c r="Y46" s="54">
        <v>0</v>
      </c>
      <c r="Z46" s="54">
        <v>0</v>
      </c>
      <c r="AA46" s="54">
        <v>0</v>
      </c>
      <c r="AB46" s="54">
        <v>0</v>
      </c>
      <c r="AC46" s="54">
        <v>0</v>
      </c>
      <c r="AD46" s="54">
        <v>0</v>
      </c>
      <c r="AE46" s="54">
        <v>0</v>
      </c>
      <c r="AF46" s="66">
        <v>0</v>
      </c>
      <c r="AG46" s="67">
        <v>0</v>
      </c>
      <c r="AH46" s="67">
        <v>0</v>
      </c>
      <c r="AI46" s="67">
        <v>0</v>
      </c>
      <c r="AJ46" s="67">
        <v>0</v>
      </c>
      <c r="AK46" s="67">
        <v>0</v>
      </c>
      <c r="AL46" s="67">
        <v>0</v>
      </c>
      <c r="AM46" s="67">
        <v>0</v>
      </c>
      <c r="AN46" s="67">
        <v>0</v>
      </c>
      <c r="AO46" s="67">
        <v>0</v>
      </c>
      <c r="AP46" s="67">
        <v>0</v>
      </c>
      <c r="AQ46" s="67">
        <v>0</v>
      </c>
      <c r="AR46" s="67">
        <v>622.22</v>
      </c>
      <c r="AS46" s="68">
        <v>0</v>
      </c>
      <c r="AT46" s="63"/>
      <c r="AU46" s="63"/>
    </row>
    <row r="47" spans="1:47" ht="12.75" hidden="1" customHeight="1" outlineLevel="1" x14ac:dyDescent="0.2">
      <c r="A47" s="95" t="s">
        <v>191</v>
      </c>
      <c r="B47" s="62">
        <v>0</v>
      </c>
      <c r="C47" s="54">
        <v>0</v>
      </c>
      <c r="D47" s="54">
        <v>0</v>
      </c>
      <c r="E47" s="63"/>
      <c r="F47" s="64"/>
      <c r="G47" s="65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54">
        <v>0</v>
      </c>
      <c r="N47" s="54">
        <v>0</v>
      </c>
      <c r="O47" s="54">
        <v>0</v>
      </c>
      <c r="P47" s="54">
        <v>0</v>
      </c>
      <c r="Q47" s="54">
        <v>0</v>
      </c>
      <c r="R47" s="54">
        <v>0</v>
      </c>
      <c r="S47" s="66">
        <v>0</v>
      </c>
      <c r="T47" s="54">
        <v>0</v>
      </c>
      <c r="U47" s="54">
        <v>0</v>
      </c>
      <c r="V47" s="54">
        <v>0</v>
      </c>
      <c r="W47" s="54">
        <v>0</v>
      </c>
      <c r="X47" s="54">
        <v>0</v>
      </c>
      <c r="Y47" s="54">
        <v>0</v>
      </c>
      <c r="Z47" s="54">
        <v>0</v>
      </c>
      <c r="AA47" s="54">
        <v>0</v>
      </c>
      <c r="AB47" s="54">
        <v>0</v>
      </c>
      <c r="AC47" s="54">
        <v>0</v>
      </c>
      <c r="AD47" s="54">
        <v>0</v>
      </c>
      <c r="AE47" s="54">
        <v>0</v>
      </c>
      <c r="AF47" s="66">
        <v>0</v>
      </c>
      <c r="AG47" s="67">
        <v>0</v>
      </c>
      <c r="AH47" s="67">
        <v>0</v>
      </c>
      <c r="AI47" s="67">
        <v>0</v>
      </c>
      <c r="AJ47" s="67">
        <v>0</v>
      </c>
      <c r="AK47" s="67">
        <v>0</v>
      </c>
      <c r="AL47" s="67">
        <v>0</v>
      </c>
      <c r="AM47" s="67">
        <v>0</v>
      </c>
      <c r="AN47" s="67">
        <v>0</v>
      </c>
      <c r="AO47" s="67">
        <v>0</v>
      </c>
      <c r="AP47" s="67">
        <v>0</v>
      </c>
      <c r="AQ47" s="67">
        <v>0</v>
      </c>
      <c r="AR47" s="67">
        <v>0</v>
      </c>
      <c r="AS47" s="68">
        <v>0</v>
      </c>
      <c r="AT47" s="63"/>
      <c r="AU47" s="63"/>
    </row>
    <row r="48" spans="1:47" ht="12.75" customHeight="1" collapsed="1" x14ac:dyDescent="0.2">
      <c r="A48" s="69" t="s">
        <v>192</v>
      </c>
      <c r="B48" s="70">
        <v>13.33</v>
      </c>
      <c r="C48" s="71">
        <v>0</v>
      </c>
      <c r="D48" s="71">
        <v>8</v>
      </c>
      <c r="E48" s="72"/>
      <c r="F48" s="73">
        <v>166.625</v>
      </c>
      <c r="G48" s="70">
        <v>1872.66</v>
      </c>
      <c r="H48" s="71">
        <v>844.53</v>
      </c>
      <c r="I48" s="71">
        <v>13.24</v>
      </c>
      <c r="J48" s="71">
        <v>13.33</v>
      </c>
      <c r="K48" s="74">
        <v>-455.94</v>
      </c>
      <c r="L48" s="71">
        <v>0</v>
      </c>
      <c r="M48" s="71">
        <v>0</v>
      </c>
      <c r="N48" s="71">
        <v>0</v>
      </c>
      <c r="O48" s="71">
        <v>0</v>
      </c>
      <c r="P48" s="71">
        <v>0</v>
      </c>
      <c r="Q48" s="71">
        <v>0</v>
      </c>
      <c r="R48" s="71">
        <v>0</v>
      </c>
      <c r="S48" s="71">
        <v>2743.76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71">
        <v>0</v>
      </c>
      <c r="AE48" s="71">
        <v>0</v>
      </c>
      <c r="AF48" s="71">
        <v>0</v>
      </c>
      <c r="AG48" s="75">
        <v>8</v>
      </c>
      <c r="AH48" s="75">
        <v>225.27</v>
      </c>
      <c r="AI48" s="75">
        <v>104.09</v>
      </c>
      <c r="AJ48" s="75">
        <v>8</v>
      </c>
      <c r="AK48" s="75">
        <v>8</v>
      </c>
      <c r="AL48" s="75">
        <v>8</v>
      </c>
      <c r="AM48" s="75">
        <v>1050.96</v>
      </c>
      <c r="AN48" s="134">
        <v>-4729.28</v>
      </c>
      <c r="AO48" s="75">
        <v>870.37</v>
      </c>
      <c r="AP48" s="75">
        <v>1893.52</v>
      </c>
      <c r="AQ48" s="75">
        <v>332.73</v>
      </c>
      <c r="AR48" s="75">
        <v>3898.36</v>
      </c>
      <c r="AS48" s="75">
        <v>345.36</v>
      </c>
      <c r="AT48" s="72"/>
      <c r="AU48" s="72">
        <v>794.46374797312944</v>
      </c>
    </row>
    <row r="49" spans="1:47" ht="12.75" hidden="1" customHeight="1" outlineLevel="1" x14ac:dyDescent="0.2">
      <c r="A49" s="95" t="s">
        <v>194</v>
      </c>
      <c r="B49" s="62">
        <v>0</v>
      </c>
      <c r="C49" s="54">
        <v>0</v>
      </c>
      <c r="D49" s="54">
        <v>585</v>
      </c>
      <c r="E49" s="63"/>
      <c r="F49" s="64">
        <v>0</v>
      </c>
      <c r="G49" s="65">
        <v>0</v>
      </c>
      <c r="H49" s="54">
        <v>4100</v>
      </c>
      <c r="I49" s="54">
        <v>0</v>
      </c>
      <c r="J49" s="54">
        <v>0</v>
      </c>
      <c r="K49" s="54">
        <v>0</v>
      </c>
      <c r="L49" s="54">
        <v>0</v>
      </c>
      <c r="M49" s="54">
        <v>0</v>
      </c>
      <c r="N49" s="54">
        <v>0</v>
      </c>
      <c r="O49" s="54">
        <v>0</v>
      </c>
      <c r="P49" s="54">
        <v>0</v>
      </c>
      <c r="Q49" s="54">
        <v>0</v>
      </c>
      <c r="R49" s="54">
        <v>0</v>
      </c>
      <c r="S49" s="66">
        <v>4100</v>
      </c>
      <c r="T49" s="54">
        <v>0</v>
      </c>
      <c r="U49" s="54">
        <v>0</v>
      </c>
      <c r="V49" s="54">
        <v>0</v>
      </c>
      <c r="W49" s="54">
        <v>0</v>
      </c>
      <c r="X49" s="54">
        <v>0</v>
      </c>
      <c r="Y49" s="54">
        <v>0</v>
      </c>
      <c r="Z49" s="54">
        <v>0</v>
      </c>
      <c r="AA49" s="54">
        <v>0</v>
      </c>
      <c r="AB49" s="54">
        <v>0</v>
      </c>
      <c r="AC49" s="54">
        <v>0</v>
      </c>
      <c r="AD49" s="54">
        <v>0</v>
      </c>
      <c r="AE49" s="54">
        <v>0</v>
      </c>
      <c r="AF49" s="66">
        <v>0</v>
      </c>
      <c r="AG49" s="67">
        <v>0</v>
      </c>
      <c r="AH49" s="67">
        <v>0</v>
      </c>
      <c r="AI49" s="67">
        <v>0</v>
      </c>
      <c r="AJ49" s="67">
        <v>585</v>
      </c>
      <c r="AK49" s="67">
        <v>195</v>
      </c>
      <c r="AL49" s="67">
        <v>0</v>
      </c>
      <c r="AM49" s="67">
        <v>0</v>
      </c>
      <c r="AN49" s="67">
        <v>2502.91</v>
      </c>
      <c r="AO49" s="67">
        <v>0</v>
      </c>
      <c r="AP49" s="67">
        <v>0</v>
      </c>
      <c r="AQ49" s="67">
        <v>0.09</v>
      </c>
      <c r="AR49" s="67">
        <v>560</v>
      </c>
      <c r="AS49" s="68">
        <v>585</v>
      </c>
      <c r="AT49" s="63"/>
      <c r="AU49" s="63">
        <v>700.85470085470081</v>
      </c>
    </row>
    <row r="50" spans="1:47" ht="12.75" hidden="1" customHeight="1" outlineLevel="1" x14ac:dyDescent="0.2">
      <c r="A50" s="95" t="s">
        <v>193</v>
      </c>
      <c r="B50" s="62"/>
      <c r="C50" s="54"/>
      <c r="D50" s="54"/>
      <c r="E50" s="63"/>
      <c r="F50" s="64"/>
      <c r="G50" s="65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66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66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8"/>
      <c r="AT50" s="63"/>
      <c r="AU50" s="63"/>
    </row>
    <row r="51" spans="1:47" ht="12.75" hidden="1" customHeight="1" outlineLevel="1" x14ac:dyDescent="0.2">
      <c r="A51" s="95" t="s">
        <v>195</v>
      </c>
      <c r="B51" s="62">
        <v>0</v>
      </c>
      <c r="C51" s="54"/>
      <c r="D51" s="54">
        <v>0</v>
      </c>
      <c r="E51" s="63"/>
      <c r="F51" s="64"/>
      <c r="G51" s="65">
        <v>0</v>
      </c>
      <c r="H51" s="54">
        <v>0</v>
      </c>
      <c r="I51" s="54">
        <v>0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66">
        <v>0</v>
      </c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66"/>
      <c r="AG51" s="67">
        <v>0</v>
      </c>
      <c r="AH51" s="67">
        <v>4989.8999999999996</v>
      </c>
      <c r="AI51" s="67">
        <v>0</v>
      </c>
      <c r="AJ51" s="67">
        <v>0</v>
      </c>
      <c r="AK51" s="67">
        <v>0</v>
      </c>
      <c r="AL51" s="67">
        <v>0</v>
      </c>
      <c r="AM51" s="67">
        <v>0</v>
      </c>
      <c r="AN51" s="67">
        <v>0</v>
      </c>
      <c r="AO51" s="67">
        <v>0</v>
      </c>
      <c r="AP51" s="67">
        <v>0</v>
      </c>
      <c r="AQ51" s="67">
        <v>0</v>
      </c>
      <c r="AR51" s="67">
        <v>0</v>
      </c>
      <c r="AS51" s="68">
        <v>4989.8999999999996</v>
      </c>
      <c r="AT51" s="63"/>
      <c r="AU51" s="63">
        <v>0</v>
      </c>
    </row>
    <row r="52" spans="1:47" ht="12.75" hidden="1" customHeight="1" outlineLevel="1" x14ac:dyDescent="0.2">
      <c r="A52" s="95" t="s">
        <v>82</v>
      </c>
      <c r="B52" s="62"/>
      <c r="C52" s="54"/>
      <c r="D52" s="54"/>
      <c r="E52" s="63"/>
      <c r="F52" s="64"/>
      <c r="G52" s="65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66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66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8"/>
      <c r="AT52" s="63"/>
      <c r="AU52" s="63"/>
    </row>
    <row r="53" spans="1:47" ht="12.75" hidden="1" customHeight="1" outlineLevel="1" x14ac:dyDescent="0.2">
      <c r="A53" s="95" t="s">
        <v>83</v>
      </c>
      <c r="B53" s="62">
        <v>0</v>
      </c>
      <c r="C53" s="54"/>
      <c r="D53" s="54">
        <v>0</v>
      </c>
      <c r="E53" s="63"/>
      <c r="F53" s="64"/>
      <c r="G53" s="65">
        <v>0</v>
      </c>
      <c r="H53" s="54">
        <v>0</v>
      </c>
      <c r="I53" s="54">
        <v>0</v>
      </c>
      <c r="J53" s="54">
        <v>0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66">
        <v>0</v>
      </c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66"/>
      <c r="AG53" s="67">
        <v>0</v>
      </c>
      <c r="AH53" s="67">
        <v>0</v>
      </c>
      <c r="AI53" s="67">
        <v>0</v>
      </c>
      <c r="AJ53" s="67">
        <v>0</v>
      </c>
      <c r="AK53" s="67">
        <v>0</v>
      </c>
      <c r="AL53" s="67">
        <v>0</v>
      </c>
      <c r="AM53" s="67">
        <v>0</v>
      </c>
      <c r="AN53" s="67">
        <v>0</v>
      </c>
      <c r="AO53" s="67">
        <v>0</v>
      </c>
      <c r="AP53" s="67">
        <v>0</v>
      </c>
      <c r="AQ53" s="67">
        <v>0</v>
      </c>
      <c r="AR53" s="67">
        <v>0</v>
      </c>
      <c r="AS53" s="68">
        <v>0</v>
      </c>
      <c r="AT53" s="63"/>
      <c r="AU53" s="63"/>
    </row>
    <row r="54" spans="1:47" ht="12.75" hidden="1" customHeight="1" outlineLevel="1" x14ac:dyDescent="0.2">
      <c r="A54" s="95" t="s">
        <v>84</v>
      </c>
      <c r="B54" s="62">
        <v>575</v>
      </c>
      <c r="C54" s="54">
        <v>0</v>
      </c>
      <c r="D54" s="54">
        <v>0</v>
      </c>
      <c r="E54" s="63"/>
      <c r="F54" s="64"/>
      <c r="G54" s="65">
        <v>510</v>
      </c>
      <c r="H54" s="54">
        <v>170</v>
      </c>
      <c r="I54" s="54">
        <v>0</v>
      </c>
      <c r="J54" s="54">
        <v>575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66">
        <v>1255</v>
      </c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>
        <v>0</v>
      </c>
      <c r="AH54" s="67">
        <v>0</v>
      </c>
      <c r="AI54" s="67">
        <v>0</v>
      </c>
      <c r="AJ54" s="67">
        <v>0</v>
      </c>
      <c r="AK54" s="67">
        <v>0</v>
      </c>
      <c r="AL54" s="98">
        <v>-298</v>
      </c>
      <c r="AM54" s="67">
        <v>0</v>
      </c>
      <c r="AN54" s="67">
        <v>0</v>
      </c>
      <c r="AO54" s="67">
        <v>0</v>
      </c>
      <c r="AP54" s="67">
        <v>0</v>
      </c>
      <c r="AQ54" s="67">
        <v>1121</v>
      </c>
      <c r="AR54" s="67">
        <v>2819</v>
      </c>
      <c r="AS54" s="68">
        <v>0</v>
      </c>
      <c r="AT54" s="63"/>
      <c r="AU54" s="63"/>
    </row>
    <row r="55" spans="1:47" ht="12.75" hidden="1" customHeight="1" outlineLevel="1" x14ac:dyDescent="0.2">
      <c r="A55" s="95" t="s">
        <v>198</v>
      </c>
      <c r="B55" s="62">
        <v>0</v>
      </c>
      <c r="C55" s="54">
        <v>0</v>
      </c>
      <c r="D55" s="54">
        <v>462.5</v>
      </c>
      <c r="E55" s="63"/>
      <c r="F55" s="64">
        <v>0</v>
      </c>
      <c r="G55" s="65">
        <v>0</v>
      </c>
      <c r="H55" s="54">
        <v>853.9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66">
        <v>853.9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66">
        <v>0</v>
      </c>
      <c r="AG55" s="67">
        <v>1458.09</v>
      </c>
      <c r="AH55" s="67">
        <v>462.5</v>
      </c>
      <c r="AI55" s="67">
        <v>793.64</v>
      </c>
      <c r="AJ55" s="67">
        <v>462.5</v>
      </c>
      <c r="AK55" s="67">
        <v>508.26</v>
      </c>
      <c r="AL55" s="67">
        <v>462.5</v>
      </c>
      <c r="AM55" s="67">
        <v>0</v>
      </c>
      <c r="AN55" s="67">
        <v>1199</v>
      </c>
      <c r="AO55" s="67">
        <v>0</v>
      </c>
      <c r="AP55" s="67">
        <v>0</v>
      </c>
      <c r="AQ55" s="67">
        <v>0</v>
      </c>
      <c r="AR55" s="67">
        <v>994.65</v>
      </c>
      <c r="AS55" s="68">
        <v>3176.73</v>
      </c>
      <c r="AT55" s="63"/>
      <c r="AU55" s="63">
        <v>26.879841849952623</v>
      </c>
    </row>
    <row r="56" spans="1:47" ht="12.75" hidden="1" customHeight="1" outlineLevel="1" x14ac:dyDescent="0.2">
      <c r="A56" s="95" t="s">
        <v>86</v>
      </c>
      <c r="B56" s="62">
        <v>0</v>
      </c>
      <c r="C56" s="54">
        <v>0</v>
      </c>
      <c r="D56" s="54">
        <v>0</v>
      </c>
      <c r="E56" s="63"/>
      <c r="F56" s="64"/>
      <c r="G56" s="65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66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66">
        <v>0</v>
      </c>
      <c r="AG56" s="67">
        <v>0</v>
      </c>
      <c r="AH56" s="67">
        <v>0</v>
      </c>
      <c r="AI56" s="67">
        <v>0</v>
      </c>
      <c r="AJ56" s="67">
        <v>0</v>
      </c>
      <c r="AK56" s="67">
        <v>85.41</v>
      </c>
      <c r="AL56" s="67">
        <v>0</v>
      </c>
      <c r="AM56" s="67">
        <v>0</v>
      </c>
      <c r="AN56" s="67">
        <v>0</v>
      </c>
      <c r="AO56" s="67">
        <v>0</v>
      </c>
      <c r="AP56" s="67">
        <v>0</v>
      </c>
      <c r="AQ56" s="67">
        <v>0</v>
      </c>
      <c r="AR56" s="67">
        <v>0</v>
      </c>
      <c r="AS56" s="68">
        <v>0</v>
      </c>
      <c r="AT56" s="63"/>
      <c r="AU56" s="63"/>
    </row>
    <row r="57" spans="1:47" ht="12.75" hidden="1" customHeight="1" outlineLevel="1" x14ac:dyDescent="0.2">
      <c r="A57" s="95" t="s">
        <v>111</v>
      </c>
      <c r="B57" s="62"/>
      <c r="C57" s="54"/>
      <c r="D57" s="54"/>
      <c r="E57" s="63"/>
      <c r="F57" s="64"/>
      <c r="G57" s="65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66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66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8"/>
      <c r="AT57" s="63"/>
      <c r="AU57" s="63"/>
    </row>
    <row r="58" spans="1:47" ht="12.75" hidden="1" customHeight="1" outlineLevel="1" x14ac:dyDescent="0.2">
      <c r="A58" s="95" t="s">
        <v>110</v>
      </c>
      <c r="B58" s="62">
        <v>4353.93</v>
      </c>
      <c r="C58" s="54">
        <v>0</v>
      </c>
      <c r="D58" s="54">
        <v>0</v>
      </c>
      <c r="E58" s="63"/>
      <c r="F58" s="64"/>
      <c r="G58" s="65">
        <v>0</v>
      </c>
      <c r="H58" s="54">
        <v>0</v>
      </c>
      <c r="I58" s="54">
        <v>0</v>
      </c>
      <c r="J58" s="54">
        <v>4353.93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4353.93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0</v>
      </c>
      <c r="AI58" s="67">
        <v>0</v>
      </c>
      <c r="AJ58" s="67">
        <v>0</v>
      </c>
      <c r="AK58" s="67">
        <v>0</v>
      </c>
      <c r="AL58" s="67">
        <v>0</v>
      </c>
      <c r="AM58" s="67">
        <v>0</v>
      </c>
      <c r="AN58" s="67">
        <v>0</v>
      </c>
      <c r="AO58" s="67">
        <v>0</v>
      </c>
      <c r="AP58" s="67">
        <v>0</v>
      </c>
      <c r="AQ58" s="67">
        <v>0</v>
      </c>
      <c r="AR58" s="67">
        <v>2827.49</v>
      </c>
      <c r="AS58" s="68">
        <v>0</v>
      </c>
      <c r="AT58" s="63"/>
      <c r="AU58" s="63"/>
    </row>
    <row r="59" spans="1:47" ht="12.75" hidden="1" customHeight="1" outlineLevel="1" x14ac:dyDescent="0.2">
      <c r="A59" s="95" t="s">
        <v>87</v>
      </c>
      <c r="B59" s="62">
        <v>7560</v>
      </c>
      <c r="C59" s="54">
        <v>0</v>
      </c>
      <c r="D59" s="54">
        <v>0</v>
      </c>
      <c r="E59" s="63"/>
      <c r="F59" s="64"/>
      <c r="G59" s="65">
        <v>8560</v>
      </c>
      <c r="H59" s="54">
        <v>0</v>
      </c>
      <c r="I59" s="54">
        <v>9160</v>
      </c>
      <c r="J59" s="54">
        <v>7560</v>
      </c>
      <c r="K59" s="56">
        <v>-9120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66">
        <v>25280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66">
        <v>0</v>
      </c>
      <c r="AG59" s="67">
        <v>0</v>
      </c>
      <c r="AH59" s="67">
        <v>11.81</v>
      </c>
      <c r="AI59" s="67">
        <v>2100</v>
      </c>
      <c r="AJ59" s="67">
        <v>0</v>
      </c>
      <c r="AK59" s="67">
        <v>15021.64</v>
      </c>
      <c r="AL59" s="67">
        <v>0</v>
      </c>
      <c r="AM59" s="67">
        <v>0</v>
      </c>
      <c r="AN59" s="67">
        <v>0</v>
      </c>
      <c r="AO59" s="67">
        <v>0</v>
      </c>
      <c r="AP59" s="67">
        <v>4560</v>
      </c>
      <c r="AQ59" s="67">
        <v>3980</v>
      </c>
      <c r="AR59" s="67">
        <v>460.41</v>
      </c>
      <c r="AS59" s="68">
        <v>2111.81</v>
      </c>
      <c r="AT59" s="63"/>
      <c r="AU59" s="63">
        <v>1197.0773885908297</v>
      </c>
    </row>
    <row r="60" spans="1:47" ht="12.75" hidden="1" customHeight="1" outlineLevel="1" x14ac:dyDescent="0.2">
      <c r="A60" s="95" t="s">
        <v>88</v>
      </c>
      <c r="B60" s="62">
        <v>0</v>
      </c>
      <c r="C60" s="54">
        <v>0</v>
      </c>
      <c r="D60" s="54">
        <v>4575</v>
      </c>
      <c r="E60" s="63"/>
      <c r="F60" s="64">
        <v>0</v>
      </c>
      <c r="G60" s="65">
        <v>2500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66">
        <v>2500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>
        <v>0</v>
      </c>
      <c r="AE60" s="54">
        <v>0</v>
      </c>
      <c r="AF60" s="66">
        <v>0</v>
      </c>
      <c r="AG60" s="67">
        <v>0</v>
      </c>
      <c r="AH60" s="67">
        <v>3575</v>
      </c>
      <c r="AI60" s="67">
        <v>3575</v>
      </c>
      <c r="AJ60" s="67">
        <v>4575</v>
      </c>
      <c r="AK60" s="67">
        <v>16075</v>
      </c>
      <c r="AL60" s="67">
        <v>18550</v>
      </c>
      <c r="AM60" s="98">
        <v>-16550</v>
      </c>
      <c r="AN60" s="67">
        <v>1000</v>
      </c>
      <c r="AO60" s="67">
        <v>0</v>
      </c>
      <c r="AP60" s="67">
        <v>0</v>
      </c>
      <c r="AQ60" s="67">
        <v>0</v>
      </c>
      <c r="AR60" s="67">
        <v>5836.66</v>
      </c>
      <c r="AS60" s="68">
        <v>11725</v>
      </c>
      <c r="AT60" s="63"/>
      <c r="AU60" s="63">
        <v>21.321961620469082</v>
      </c>
    </row>
    <row r="61" spans="1:47" ht="12.75" hidden="1" customHeight="1" outlineLevel="1" x14ac:dyDescent="0.2">
      <c r="A61" s="95" t="s">
        <v>205</v>
      </c>
      <c r="B61" s="62"/>
      <c r="C61" s="54"/>
      <c r="D61" s="54"/>
      <c r="E61" s="63"/>
      <c r="F61" s="64"/>
      <c r="G61" s="65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66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66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8"/>
      <c r="AT61" s="63"/>
      <c r="AU61" s="63"/>
    </row>
    <row r="62" spans="1:47" ht="12.75" hidden="1" customHeight="1" outlineLevel="1" x14ac:dyDescent="0.2">
      <c r="A62" s="95" t="s">
        <v>206</v>
      </c>
      <c r="B62" s="62"/>
      <c r="C62" s="54"/>
      <c r="D62" s="54"/>
      <c r="E62" s="63"/>
      <c r="F62" s="64"/>
      <c r="G62" s="65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66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66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8"/>
      <c r="AT62" s="63"/>
      <c r="AU62" s="63"/>
    </row>
    <row r="63" spans="1:47" ht="12.75" hidden="1" customHeight="1" outlineLevel="1" x14ac:dyDescent="0.2">
      <c r="A63" s="95" t="s">
        <v>89</v>
      </c>
      <c r="B63" s="62"/>
      <c r="C63" s="54"/>
      <c r="D63" s="54"/>
      <c r="E63" s="63"/>
      <c r="F63" s="64"/>
      <c r="G63" s="65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66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66"/>
      <c r="AG63" s="67"/>
      <c r="AH63" s="67"/>
      <c r="AI63" s="67"/>
      <c r="AJ63" s="67"/>
      <c r="AK63" s="67"/>
      <c r="AL63" s="67"/>
      <c r="AM63" s="67"/>
      <c r="AN63" s="67"/>
      <c r="AO63" s="67"/>
      <c r="AP63" s="67"/>
      <c r="AQ63" s="67"/>
      <c r="AR63" s="67"/>
      <c r="AS63" s="68"/>
      <c r="AT63" s="63"/>
      <c r="AU63" s="63"/>
    </row>
    <row r="64" spans="1:47" ht="12.75" hidden="1" customHeight="1" outlineLevel="1" x14ac:dyDescent="0.2">
      <c r="A64" s="95" t="s">
        <v>207</v>
      </c>
      <c r="B64" s="62"/>
      <c r="C64" s="54"/>
      <c r="D64" s="54"/>
      <c r="E64" s="63"/>
      <c r="F64" s="64"/>
      <c r="G64" s="65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66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66"/>
      <c r="AG64" s="67"/>
      <c r="AH64" s="67"/>
      <c r="AI64" s="67"/>
      <c r="AJ64" s="67"/>
      <c r="AK64" s="67"/>
      <c r="AL64" s="67"/>
      <c r="AM64" s="67"/>
      <c r="AN64" s="67"/>
      <c r="AO64" s="67"/>
      <c r="AP64" s="67"/>
      <c r="AQ64" s="67"/>
      <c r="AR64" s="67"/>
      <c r="AS64" s="68"/>
      <c r="AT64" s="63"/>
      <c r="AU64" s="63"/>
    </row>
    <row r="65" spans="1:47" ht="12.75" hidden="1" customHeight="1" outlineLevel="1" x14ac:dyDescent="0.2">
      <c r="A65" s="95" t="s">
        <v>208</v>
      </c>
      <c r="B65" s="62"/>
      <c r="C65" s="54"/>
      <c r="D65" s="54"/>
      <c r="E65" s="63"/>
      <c r="F65" s="64"/>
      <c r="G65" s="65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66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66"/>
      <c r="AG65" s="67"/>
      <c r="AH65" s="67"/>
      <c r="AI65" s="67"/>
      <c r="AJ65" s="67"/>
      <c r="AK65" s="67"/>
      <c r="AL65" s="67"/>
      <c r="AM65" s="67"/>
      <c r="AN65" s="67"/>
      <c r="AO65" s="67"/>
      <c r="AP65" s="67"/>
      <c r="AQ65" s="67"/>
      <c r="AR65" s="67"/>
      <c r="AS65" s="68"/>
      <c r="AT65" s="63"/>
      <c r="AU65" s="63"/>
    </row>
    <row r="66" spans="1:47" ht="12.75" hidden="1" customHeight="1" outlineLevel="1" x14ac:dyDescent="0.2">
      <c r="A66" s="95" t="s">
        <v>209</v>
      </c>
      <c r="B66" s="62"/>
      <c r="C66" s="54"/>
      <c r="D66" s="54"/>
      <c r="E66" s="63"/>
      <c r="F66" s="64"/>
      <c r="G66" s="65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66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66"/>
      <c r="AG66" s="67"/>
      <c r="AH66" s="67"/>
      <c r="AI66" s="67"/>
      <c r="AJ66" s="67"/>
      <c r="AK66" s="67"/>
      <c r="AL66" s="67"/>
      <c r="AM66" s="67"/>
      <c r="AN66" s="67"/>
      <c r="AO66" s="67"/>
      <c r="AP66" s="67"/>
      <c r="AQ66" s="67"/>
      <c r="AR66" s="67"/>
      <c r="AS66" s="68"/>
      <c r="AT66" s="63"/>
      <c r="AU66" s="63"/>
    </row>
    <row r="67" spans="1:47" ht="12.75" hidden="1" customHeight="1" outlineLevel="1" x14ac:dyDescent="0.2">
      <c r="A67" s="95" t="s">
        <v>210</v>
      </c>
      <c r="B67" s="62"/>
      <c r="C67" s="54"/>
      <c r="D67" s="54"/>
      <c r="E67" s="63"/>
      <c r="F67" s="64"/>
      <c r="G67" s="65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66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66"/>
      <c r="AG67" s="67"/>
      <c r="AH67" s="67"/>
      <c r="AI67" s="67"/>
      <c r="AJ67" s="67"/>
      <c r="AK67" s="67"/>
      <c r="AL67" s="67"/>
      <c r="AM67" s="67"/>
      <c r="AN67" s="67"/>
      <c r="AO67" s="67"/>
      <c r="AP67" s="67"/>
      <c r="AQ67" s="67"/>
      <c r="AR67" s="67"/>
      <c r="AS67" s="68"/>
      <c r="AT67" s="63"/>
      <c r="AU67" s="63"/>
    </row>
    <row r="68" spans="1:47" ht="12.75" customHeight="1" collapsed="1" x14ac:dyDescent="0.2">
      <c r="A68" s="69" t="s">
        <v>89</v>
      </c>
      <c r="B68" s="70">
        <v>12488.93</v>
      </c>
      <c r="C68" s="71">
        <v>0</v>
      </c>
      <c r="D68" s="71">
        <v>5622.5</v>
      </c>
      <c r="E68" s="72"/>
      <c r="F68" s="73">
        <v>222.12414406402846</v>
      </c>
      <c r="G68" s="70">
        <v>11570</v>
      </c>
      <c r="H68" s="71">
        <v>5123.8999999999996</v>
      </c>
      <c r="I68" s="71">
        <v>9160</v>
      </c>
      <c r="J68" s="71">
        <v>12488.93</v>
      </c>
      <c r="K68" s="74">
        <v>-9120</v>
      </c>
      <c r="L68" s="71">
        <v>0</v>
      </c>
      <c r="M68" s="71">
        <v>0</v>
      </c>
      <c r="N68" s="71">
        <v>0</v>
      </c>
      <c r="O68" s="71">
        <v>0</v>
      </c>
      <c r="P68" s="71">
        <v>0</v>
      </c>
      <c r="Q68" s="71">
        <v>0</v>
      </c>
      <c r="R68" s="71">
        <v>0</v>
      </c>
      <c r="S68" s="71">
        <v>38342.83</v>
      </c>
      <c r="T68" s="71">
        <v>0</v>
      </c>
      <c r="U68" s="71">
        <v>0</v>
      </c>
      <c r="V68" s="71">
        <v>0</v>
      </c>
      <c r="W68" s="71">
        <v>0</v>
      </c>
      <c r="X68" s="71">
        <v>0</v>
      </c>
      <c r="Y68" s="71">
        <v>0</v>
      </c>
      <c r="Z68" s="71">
        <v>0</v>
      </c>
      <c r="AA68" s="71">
        <v>0</v>
      </c>
      <c r="AB68" s="71">
        <v>0</v>
      </c>
      <c r="AC68" s="71">
        <v>0</v>
      </c>
      <c r="AD68" s="71">
        <v>0</v>
      </c>
      <c r="AE68" s="71">
        <v>0</v>
      </c>
      <c r="AF68" s="71">
        <v>0</v>
      </c>
      <c r="AG68" s="75">
        <v>1458.09</v>
      </c>
      <c r="AH68" s="75">
        <v>9039.2099999999991</v>
      </c>
      <c r="AI68" s="75">
        <v>6468.64</v>
      </c>
      <c r="AJ68" s="75">
        <v>5622.5</v>
      </c>
      <c r="AK68" s="75">
        <v>31885.31</v>
      </c>
      <c r="AL68" s="75">
        <v>18714.5</v>
      </c>
      <c r="AM68" s="134">
        <v>-16550</v>
      </c>
      <c r="AN68" s="75">
        <v>4701.91</v>
      </c>
      <c r="AO68" s="75">
        <v>0</v>
      </c>
      <c r="AP68" s="75">
        <v>4560</v>
      </c>
      <c r="AQ68" s="75">
        <v>5101.09</v>
      </c>
      <c r="AR68" s="75">
        <v>13498.21</v>
      </c>
      <c r="AS68" s="75">
        <v>22588.44</v>
      </c>
      <c r="AT68" s="72"/>
      <c r="AU68" s="72">
        <v>169.74536532846005</v>
      </c>
    </row>
    <row r="69" spans="1:47" ht="12.75" customHeight="1" x14ac:dyDescent="0.2">
      <c r="A69" s="77" t="s">
        <v>201</v>
      </c>
      <c r="B69" s="78">
        <v>37372.94</v>
      </c>
      <c r="C69" s="79">
        <v>0</v>
      </c>
      <c r="D69" s="79">
        <v>28000</v>
      </c>
      <c r="E69" s="80"/>
      <c r="F69" s="81">
        <v>133.4747857142857</v>
      </c>
      <c r="G69" s="78">
        <v>36926.42</v>
      </c>
      <c r="H69" s="79">
        <v>29998.89</v>
      </c>
      <c r="I69" s="79">
        <v>25976.55</v>
      </c>
      <c r="J69" s="79">
        <v>37372.94</v>
      </c>
      <c r="K69" s="82">
        <v>-10153.17</v>
      </c>
      <c r="L69" s="79">
        <v>0</v>
      </c>
      <c r="M69" s="79">
        <v>0</v>
      </c>
      <c r="N69" s="79">
        <v>0</v>
      </c>
      <c r="O69" s="79">
        <v>0</v>
      </c>
      <c r="P69" s="79">
        <v>0</v>
      </c>
      <c r="Q69" s="79">
        <v>0</v>
      </c>
      <c r="R69" s="79">
        <v>0</v>
      </c>
      <c r="S69" s="79">
        <v>130274.8</v>
      </c>
      <c r="T69" s="79">
        <v>0</v>
      </c>
      <c r="U69" s="79">
        <v>0</v>
      </c>
      <c r="V69" s="79">
        <v>0</v>
      </c>
      <c r="W69" s="79">
        <v>0</v>
      </c>
      <c r="X69" s="79">
        <v>0</v>
      </c>
      <c r="Y69" s="79">
        <v>0</v>
      </c>
      <c r="Z69" s="79">
        <v>0</v>
      </c>
      <c r="AA69" s="79">
        <v>0</v>
      </c>
      <c r="AB69" s="79">
        <v>0</v>
      </c>
      <c r="AC69" s="79">
        <v>0</v>
      </c>
      <c r="AD69" s="79">
        <v>0</v>
      </c>
      <c r="AE69" s="79">
        <v>0</v>
      </c>
      <c r="AF69" s="79">
        <v>0</v>
      </c>
      <c r="AG69" s="83">
        <v>20166.16</v>
      </c>
      <c r="AH69" s="83">
        <v>28269.13</v>
      </c>
      <c r="AI69" s="83">
        <v>41653.49</v>
      </c>
      <c r="AJ69" s="83">
        <v>28000</v>
      </c>
      <c r="AK69" s="83">
        <v>55132.14</v>
      </c>
      <c r="AL69" s="83">
        <v>53481.71</v>
      </c>
      <c r="AM69" s="137">
        <v>-17156.39</v>
      </c>
      <c r="AN69" s="83">
        <v>6812.35</v>
      </c>
      <c r="AO69" s="83">
        <v>15280.82</v>
      </c>
      <c r="AP69" s="83">
        <v>29131.15</v>
      </c>
      <c r="AQ69" s="83">
        <v>21271.64</v>
      </c>
      <c r="AR69" s="83">
        <v>41325.300000000003</v>
      </c>
      <c r="AS69" s="83">
        <v>118088.78</v>
      </c>
      <c r="AT69" s="80"/>
      <c r="AU69" s="80">
        <v>110.3193715778925</v>
      </c>
    </row>
  </sheetData>
  <pageMargins left="0.75" right="0.75" top="1" bottom="1" header="0.5" footer="0.5"/>
  <pageSetup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CCFF99"/>
  </sheetPr>
  <dimension ref="A1:AU71"/>
  <sheetViews>
    <sheetView workbookViewId="0">
      <pane xSplit="1" ySplit="1" topLeftCell="B2" activePane="bottomRight" state="frozen"/>
      <selection activeCell="A73" sqref="A73"/>
      <selection pane="topRight" activeCell="A73" sqref="A73"/>
      <selection pane="bottomLeft" activeCell="A73" sqref="A73"/>
      <selection pane="bottomRight" sqref="A1:AU62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9.42578125" collapsed="1"/>
    <col min="46" max="47" width="10.5703125" customWidth="1"/>
  </cols>
  <sheetData>
    <row r="1" spans="1:47" ht="48.7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hidden="1" outlineLevel="1" x14ac:dyDescent="0.2">
      <c r="A2" s="61" t="s">
        <v>160</v>
      </c>
      <c r="B2" s="62">
        <v>27601.8</v>
      </c>
      <c r="C2" s="54">
        <v>0</v>
      </c>
      <c r="D2" s="54">
        <v>28970.33</v>
      </c>
      <c r="E2" s="63"/>
      <c r="F2" s="64">
        <v>95.276097994051156</v>
      </c>
      <c r="G2" s="65">
        <v>30460.02</v>
      </c>
      <c r="H2" s="54">
        <v>33582.730000000003</v>
      </c>
      <c r="I2" s="54">
        <v>25607.97</v>
      </c>
      <c r="J2" s="54">
        <v>27601.8</v>
      </c>
      <c r="K2" s="54">
        <v>0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117252.52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35999</v>
      </c>
      <c r="AH2" s="67">
        <v>34273.519999999997</v>
      </c>
      <c r="AI2" s="67">
        <v>31368.47</v>
      </c>
      <c r="AJ2" s="67">
        <v>28970.33</v>
      </c>
      <c r="AK2" s="67">
        <v>32212.55</v>
      </c>
      <c r="AL2" s="67">
        <v>39147.26</v>
      </c>
      <c r="AM2" s="67">
        <v>35714.959999999999</v>
      </c>
      <c r="AN2" s="67">
        <v>35973.47</v>
      </c>
      <c r="AO2" s="67">
        <v>38136.78</v>
      </c>
      <c r="AP2" s="67">
        <v>37438.019999999997</v>
      </c>
      <c r="AQ2" s="67">
        <v>86869.84</v>
      </c>
      <c r="AR2" s="67">
        <v>31744.66</v>
      </c>
      <c r="AS2" s="68">
        <v>130611.32</v>
      </c>
      <c r="AT2" s="63"/>
      <c r="AU2" s="63">
        <v>89.772096323657095</v>
      </c>
    </row>
    <row r="3" spans="1:47" ht="12.75" hidden="1" customHeight="1" outlineLevel="1" x14ac:dyDescent="0.2">
      <c r="A3" s="61" t="s">
        <v>161</v>
      </c>
      <c r="B3" s="62">
        <v>1823.57</v>
      </c>
      <c r="C3" s="54">
        <v>0</v>
      </c>
      <c r="D3" s="54">
        <v>2054.29</v>
      </c>
      <c r="E3" s="63"/>
      <c r="F3" s="64">
        <v>88.768869049647321</v>
      </c>
      <c r="G3" s="65">
        <v>1711.18</v>
      </c>
      <c r="H3" s="54">
        <v>185.31</v>
      </c>
      <c r="I3" s="54">
        <v>3730.01</v>
      </c>
      <c r="J3" s="54">
        <v>1823.57</v>
      </c>
      <c r="K3" s="56">
        <v>-915.37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7450.07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2137.98</v>
      </c>
      <c r="AH3" s="67">
        <v>1801.13</v>
      </c>
      <c r="AI3" s="67">
        <v>2050.5</v>
      </c>
      <c r="AJ3" s="67">
        <v>2054.29</v>
      </c>
      <c r="AK3" s="67">
        <v>1900.59</v>
      </c>
      <c r="AL3" s="67">
        <v>2028.26</v>
      </c>
      <c r="AM3" s="67">
        <v>2021.64</v>
      </c>
      <c r="AN3" s="67">
        <v>2145.7199999999998</v>
      </c>
      <c r="AO3" s="67">
        <v>247.08</v>
      </c>
      <c r="AP3" s="67">
        <v>2805.68</v>
      </c>
      <c r="AQ3" s="67">
        <v>3924.33</v>
      </c>
      <c r="AR3" s="67">
        <v>2460.48</v>
      </c>
      <c r="AS3" s="68">
        <v>8043.9</v>
      </c>
      <c r="AT3" s="63"/>
      <c r="AU3" s="63">
        <v>92.617635723964739</v>
      </c>
    </row>
    <row r="4" spans="1:47" ht="12.75" hidden="1" customHeight="1" outlineLevel="1" x14ac:dyDescent="0.2">
      <c r="A4" s="61" t="s">
        <v>162</v>
      </c>
      <c r="B4" s="62">
        <v>7160.95</v>
      </c>
      <c r="C4" s="54">
        <v>0</v>
      </c>
      <c r="D4" s="54">
        <v>13265.84</v>
      </c>
      <c r="E4" s="63"/>
      <c r="F4" s="64">
        <v>53.980373651423506</v>
      </c>
      <c r="G4" s="65">
        <v>6504.01</v>
      </c>
      <c r="H4" s="54">
        <v>2659.04</v>
      </c>
      <c r="I4" s="56">
        <v>-496.34</v>
      </c>
      <c r="J4" s="54">
        <v>7160.95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15827.66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2931.34</v>
      </c>
      <c r="AH4" s="67">
        <v>7533.22</v>
      </c>
      <c r="AI4" s="67">
        <v>4321.71</v>
      </c>
      <c r="AJ4" s="67">
        <v>13265.84</v>
      </c>
      <c r="AK4" s="67">
        <v>1998.26</v>
      </c>
      <c r="AL4" s="67">
        <v>5470.24</v>
      </c>
      <c r="AM4" s="67">
        <v>6009.35</v>
      </c>
      <c r="AN4" s="67">
        <v>8468.51</v>
      </c>
      <c r="AO4" s="67">
        <v>6255.59</v>
      </c>
      <c r="AP4" s="67">
        <v>4157.62</v>
      </c>
      <c r="AQ4" s="67">
        <v>378.39</v>
      </c>
      <c r="AR4" s="67">
        <v>6076.71</v>
      </c>
      <c r="AS4" s="68">
        <v>28052.11</v>
      </c>
      <c r="AT4" s="63"/>
      <c r="AU4" s="63">
        <v>56.422351117259986</v>
      </c>
    </row>
    <row r="5" spans="1:47" ht="12.75" hidden="1" customHeight="1" outlineLevel="1" x14ac:dyDescent="0.2">
      <c r="A5" s="61" t="s">
        <v>163</v>
      </c>
      <c r="B5" s="62">
        <v>0</v>
      </c>
      <c r="C5" s="54">
        <v>0</v>
      </c>
      <c r="D5" s="54">
        <v>1368.95</v>
      </c>
      <c r="E5" s="63"/>
      <c r="F5" s="64">
        <v>0</v>
      </c>
      <c r="G5" s="65">
        <v>1368.95</v>
      </c>
      <c r="H5" s="54">
        <v>1368.95</v>
      </c>
      <c r="I5" s="56">
        <v>-2737.9</v>
      </c>
      <c r="J5" s="54">
        <v>0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0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1313</v>
      </c>
      <c r="AH5" s="67">
        <v>1313</v>
      </c>
      <c r="AI5" s="67">
        <v>1313</v>
      </c>
      <c r="AJ5" s="67">
        <v>1368.95</v>
      </c>
      <c r="AK5" s="67">
        <v>1368.95</v>
      </c>
      <c r="AL5" s="67">
        <v>1368.95</v>
      </c>
      <c r="AM5" s="67">
        <v>1368.95</v>
      </c>
      <c r="AN5" s="67">
        <v>1368.95</v>
      </c>
      <c r="AO5" s="67">
        <v>1368.95</v>
      </c>
      <c r="AP5" s="67">
        <v>1368.95</v>
      </c>
      <c r="AQ5" s="98">
        <v>-13668.76</v>
      </c>
      <c r="AR5" s="67">
        <v>0</v>
      </c>
      <c r="AS5" s="68">
        <v>5307.95</v>
      </c>
      <c r="AT5" s="63"/>
      <c r="AU5" s="63">
        <v>0</v>
      </c>
    </row>
    <row r="6" spans="1:47" ht="12.75" hidden="1" customHeight="1" outlineLevel="1" x14ac:dyDescent="0.2">
      <c r="A6" s="61" t="s">
        <v>164</v>
      </c>
      <c r="B6" s="62">
        <v>434.41</v>
      </c>
      <c r="C6" s="54">
        <v>0</v>
      </c>
      <c r="D6" s="54">
        <v>309.64999999999998</v>
      </c>
      <c r="E6" s="63"/>
      <c r="F6" s="64">
        <v>140.29065073470048</v>
      </c>
      <c r="G6" s="65">
        <v>457.86</v>
      </c>
      <c r="H6" s="54">
        <v>434.41</v>
      </c>
      <c r="I6" s="54">
        <v>509.18</v>
      </c>
      <c r="J6" s="54">
        <v>434.41</v>
      </c>
      <c r="K6" s="56">
        <v>-188.85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1835.86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62.28</v>
      </c>
      <c r="AH6" s="67">
        <v>370.61</v>
      </c>
      <c r="AI6" s="67">
        <v>229.85</v>
      </c>
      <c r="AJ6" s="67">
        <v>309.64999999999998</v>
      </c>
      <c r="AK6" s="67">
        <v>309.64999999999998</v>
      </c>
      <c r="AL6" s="67">
        <v>345.51</v>
      </c>
      <c r="AM6" s="67">
        <v>345.51</v>
      </c>
      <c r="AN6" s="67">
        <v>345.51</v>
      </c>
      <c r="AO6" s="67">
        <v>345.51</v>
      </c>
      <c r="AP6" s="67">
        <v>441.79</v>
      </c>
      <c r="AQ6" s="67">
        <v>441.8</v>
      </c>
      <c r="AR6" s="67">
        <v>441.79</v>
      </c>
      <c r="AS6" s="68">
        <v>972.39</v>
      </c>
      <c r="AT6" s="63"/>
      <c r="AU6" s="63">
        <v>188.79873301864478</v>
      </c>
    </row>
    <row r="7" spans="1:47" hidden="1" outlineLevel="1" x14ac:dyDescent="0.2">
      <c r="A7" s="61" t="s">
        <v>165</v>
      </c>
      <c r="B7" s="62">
        <v>3281.16</v>
      </c>
      <c r="C7" s="54">
        <v>0</v>
      </c>
      <c r="D7" s="54">
        <v>3920.43</v>
      </c>
      <c r="E7" s="63"/>
      <c r="F7" s="64">
        <v>83.693880518208459</v>
      </c>
      <c r="G7" s="65">
        <v>3373.34</v>
      </c>
      <c r="H7" s="54">
        <v>3513.96</v>
      </c>
      <c r="I7" s="54">
        <v>3213.47</v>
      </c>
      <c r="J7" s="54">
        <v>3281.16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13381.93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3739.87</v>
      </c>
      <c r="AH7" s="67">
        <v>3459.44</v>
      </c>
      <c r="AI7" s="67">
        <v>3404.22</v>
      </c>
      <c r="AJ7" s="67">
        <v>3920.43</v>
      </c>
      <c r="AK7" s="67">
        <v>3736.78</v>
      </c>
      <c r="AL7" s="67">
        <v>4267.71</v>
      </c>
      <c r="AM7" s="67">
        <v>3923.62</v>
      </c>
      <c r="AN7" s="67">
        <v>4110.4799999999996</v>
      </c>
      <c r="AO7" s="67">
        <v>4110.43</v>
      </c>
      <c r="AP7" s="67">
        <v>4185.2299999999996</v>
      </c>
      <c r="AQ7" s="67">
        <v>5155.6000000000004</v>
      </c>
      <c r="AR7" s="67">
        <v>3367.37</v>
      </c>
      <c r="AS7" s="68">
        <v>14523.96</v>
      </c>
      <c r="AT7" s="63"/>
      <c r="AU7" s="63">
        <v>92.13692408957337</v>
      </c>
    </row>
    <row r="8" spans="1:47" ht="12.75" customHeight="1" collapsed="1" x14ac:dyDescent="0.2">
      <c r="A8" s="69" t="s">
        <v>166</v>
      </c>
      <c r="B8" s="70">
        <v>40301.89</v>
      </c>
      <c r="C8" s="71">
        <v>0</v>
      </c>
      <c r="D8" s="71">
        <v>49889.49</v>
      </c>
      <c r="E8" s="72"/>
      <c r="F8" s="73">
        <v>80.782325094924801</v>
      </c>
      <c r="G8" s="70">
        <v>43875.360000000001</v>
      </c>
      <c r="H8" s="71">
        <v>41744.400000000001</v>
      </c>
      <c r="I8" s="71">
        <v>29826.39</v>
      </c>
      <c r="J8" s="71">
        <v>40301.89</v>
      </c>
      <c r="K8" s="74">
        <v>-1104.22</v>
      </c>
      <c r="L8" s="71">
        <v>0</v>
      </c>
      <c r="M8" s="71">
        <v>0</v>
      </c>
      <c r="N8" s="71">
        <v>0</v>
      </c>
      <c r="O8" s="71">
        <v>0</v>
      </c>
      <c r="P8" s="71">
        <v>0</v>
      </c>
      <c r="Q8" s="71">
        <v>0</v>
      </c>
      <c r="R8" s="71">
        <v>0</v>
      </c>
      <c r="S8" s="71">
        <v>155748.04</v>
      </c>
      <c r="T8" s="71">
        <v>0</v>
      </c>
      <c r="U8" s="71">
        <v>0</v>
      </c>
      <c r="V8" s="71">
        <v>0</v>
      </c>
      <c r="W8" s="71">
        <v>0</v>
      </c>
      <c r="X8" s="71">
        <v>0</v>
      </c>
      <c r="Y8" s="71">
        <v>0</v>
      </c>
      <c r="Z8" s="71">
        <v>0</v>
      </c>
      <c r="AA8" s="71">
        <v>0</v>
      </c>
      <c r="AB8" s="71">
        <v>0</v>
      </c>
      <c r="AC8" s="71">
        <v>0</v>
      </c>
      <c r="AD8" s="71">
        <v>0</v>
      </c>
      <c r="AE8" s="71">
        <v>0</v>
      </c>
      <c r="AF8" s="71">
        <v>0</v>
      </c>
      <c r="AG8" s="75">
        <v>46183.47</v>
      </c>
      <c r="AH8" s="75">
        <v>48750.92</v>
      </c>
      <c r="AI8" s="75">
        <v>42687.75</v>
      </c>
      <c r="AJ8" s="75">
        <v>49889.49</v>
      </c>
      <c r="AK8" s="75">
        <v>41526.78</v>
      </c>
      <c r="AL8" s="75">
        <v>52627.93</v>
      </c>
      <c r="AM8" s="75">
        <v>49384.03</v>
      </c>
      <c r="AN8" s="75">
        <v>52412.639999999999</v>
      </c>
      <c r="AO8" s="75">
        <v>50464.34</v>
      </c>
      <c r="AP8" s="75">
        <v>50397.29</v>
      </c>
      <c r="AQ8" s="75">
        <v>83101.2</v>
      </c>
      <c r="AR8" s="75">
        <v>44091.01</v>
      </c>
      <c r="AS8" s="75">
        <v>187511.63</v>
      </c>
      <c r="AT8" s="72"/>
      <c r="AU8" s="72">
        <v>83.060469369286594</v>
      </c>
    </row>
    <row r="9" spans="1:47" ht="12.75" customHeight="1" x14ac:dyDescent="0.2">
      <c r="A9" s="61" t="s">
        <v>167</v>
      </c>
      <c r="B9" s="62"/>
      <c r="C9" s="54"/>
      <c r="D9" s="54"/>
      <c r="E9" s="63"/>
      <c r="F9" s="64"/>
      <c r="G9" s="65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66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66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8"/>
      <c r="AT9" s="63"/>
      <c r="AU9" s="63"/>
    </row>
    <row r="10" spans="1:47" ht="12.75" customHeight="1" x14ac:dyDescent="0.2">
      <c r="A10" s="61" t="s">
        <v>168</v>
      </c>
      <c r="B10" s="62"/>
      <c r="C10" s="54"/>
      <c r="D10" s="54"/>
      <c r="E10" s="63"/>
      <c r="F10" s="64"/>
      <c r="G10" s="65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66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8"/>
      <c r="AT10" s="63"/>
      <c r="AU10" s="63"/>
    </row>
    <row r="11" spans="1:47" ht="12.75" customHeight="1" x14ac:dyDescent="0.2">
      <c r="A11" s="61" t="s">
        <v>169</v>
      </c>
      <c r="B11" s="62"/>
      <c r="C11" s="54"/>
      <c r="D11" s="54"/>
      <c r="E11" s="63"/>
      <c r="F11" s="64"/>
      <c r="G11" s="65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66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66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8"/>
      <c r="AT11" s="63"/>
      <c r="AU11" s="63"/>
    </row>
    <row r="12" spans="1:47" ht="12.75" customHeight="1" x14ac:dyDescent="0.2">
      <c r="A12" s="61" t="s">
        <v>50</v>
      </c>
      <c r="B12" s="62"/>
      <c r="C12" s="54"/>
      <c r="D12" s="54"/>
      <c r="E12" s="63"/>
      <c r="F12" s="64"/>
      <c r="G12" s="65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66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6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8"/>
      <c r="AT12" s="63"/>
      <c r="AU12" s="63"/>
    </row>
    <row r="13" spans="1:47" ht="12.75" customHeight="1" x14ac:dyDescent="0.2">
      <c r="A13" s="61" t="s">
        <v>170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47" ht="12.75" customHeight="1" x14ac:dyDescent="0.2">
      <c r="A14" s="61" t="s">
        <v>171</v>
      </c>
      <c r="B14" s="62"/>
      <c r="C14" s="54"/>
      <c r="D14" s="54"/>
      <c r="E14" s="63"/>
      <c r="F14" s="64"/>
      <c r="G14" s="65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66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66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8"/>
      <c r="AT14" s="63"/>
      <c r="AU14" s="63"/>
    </row>
    <row r="15" spans="1:47" ht="12.75" customHeight="1" x14ac:dyDescent="0.2">
      <c r="A15" s="61" t="s">
        <v>172</v>
      </c>
      <c r="B15" s="62"/>
      <c r="C15" s="54"/>
      <c r="D15" s="54"/>
      <c r="E15" s="63"/>
      <c r="F15" s="64"/>
      <c r="G15" s="65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66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66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8"/>
      <c r="AT15" s="63"/>
      <c r="AU15" s="63"/>
    </row>
    <row r="16" spans="1:47" ht="12.75" customHeight="1" x14ac:dyDescent="0.2">
      <c r="A16" s="61" t="s">
        <v>173</v>
      </c>
      <c r="B16" s="62">
        <v>46.26</v>
      </c>
      <c r="C16" s="54">
        <v>0</v>
      </c>
      <c r="D16" s="54">
        <v>95.35</v>
      </c>
      <c r="E16" s="63"/>
      <c r="F16" s="64">
        <v>48.515993707393811</v>
      </c>
      <c r="G16" s="65">
        <v>46.26</v>
      </c>
      <c r="H16" s="54">
        <v>46.25</v>
      </c>
      <c r="I16" s="54">
        <v>46.26</v>
      </c>
      <c r="J16" s="54">
        <v>46.26</v>
      </c>
      <c r="K16" s="54"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66">
        <v>185.03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>
        <v>126.91</v>
      </c>
      <c r="AH16" s="67">
        <v>95.34</v>
      </c>
      <c r="AI16" s="67">
        <v>95.34</v>
      </c>
      <c r="AJ16" s="67">
        <v>95.35</v>
      </c>
      <c r="AK16" s="67">
        <v>95.35</v>
      </c>
      <c r="AL16" s="67">
        <v>95.34</v>
      </c>
      <c r="AM16" s="67">
        <v>46.26</v>
      </c>
      <c r="AN16" s="67">
        <v>46.26</v>
      </c>
      <c r="AO16" s="67">
        <v>46.26</v>
      </c>
      <c r="AP16" s="67">
        <v>46.25</v>
      </c>
      <c r="AQ16" s="67">
        <v>46.26</v>
      </c>
      <c r="AR16" s="67">
        <v>46.26</v>
      </c>
      <c r="AS16" s="68">
        <v>412.94</v>
      </c>
      <c r="AT16" s="63"/>
      <c r="AU16" s="63">
        <v>44.807962415847335</v>
      </c>
    </row>
    <row r="17" spans="1:47" ht="12.75" customHeight="1" x14ac:dyDescent="0.2">
      <c r="A17" s="61" t="s">
        <v>257</v>
      </c>
      <c r="B17" s="62">
        <v>2532.6</v>
      </c>
      <c r="C17" s="54">
        <v>0</v>
      </c>
      <c r="D17" s="54">
        <v>2375.12</v>
      </c>
      <c r="E17" s="63"/>
      <c r="F17" s="64">
        <v>106.63040183232847</v>
      </c>
      <c r="G17" s="65">
        <v>2569.52</v>
      </c>
      <c r="H17" s="54">
        <v>2569.52</v>
      </c>
      <c r="I17" s="54">
        <v>2568</v>
      </c>
      <c r="J17" s="54">
        <v>2532.6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10239.64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2477.7600000000002</v>
      </c>
      <c r="AH17" s="67">
        <v>2477.63</v>
      </c>
      <c r="AI17" s="67">
        <v>3171.38</v>
      </c>
      <c r="AJ17" s="67">
        <v>2375.12</v>
      </c>
      <c r="AK17" s="67">
        <v>2471.64</v>
      </c>
      <c r="AL17" s="67">
        <v>2468.46</v>
      </c>
      <c r="AM17" s="67">
        <v>2468.44</v>
      </c>
      <c r="AN17" s="67">
        <v>2463.2399999999998</v>
      </c>
      <c r="AO17" s="67">
        <v>2466.58</v>
      </c>
      <c r="AP17" s="67">
        <v>2528.42</v>
      </c>
      <c r="AQ17" s="67">
        <v>2497.44</v>
      </c>
      <c r="AR17" s="67">
        <v>2636.8</v>
      </c>
      <c r="AS17" s="68">
        <v>10501.89</v>
      </c>
      <c r="AT17" s="63"/>
      <c r="AU17" s="63">
        <v>97.502830442901228</v>
      </c>
    </row>
    <row r="18" spans="1:47" ht="12.75" hidden="1" customHeight="1" outlineLevel="1" x14ac:dyDescent="0.2">
      <c r="A18" s="61" t="s">
        <v>109</v>
      </c>
      <c r="B18" s="62">
        <v>0</v>
      </c>
      <c r="C18" s="54"/>
      <c r="D18" s="54">
        <v>0</v>
      </c>
      <c r="E18" s="63"/>
      <c r="F18" s="64"/>
      <c r="G18" s="65">
        <v>0</v>
      </c>
      <c r="H18" s="54">
        <v>0</v>
      </c>
      <c r="I18" s="54">
        <v>0</v>
      </c>
      <c r="J18" s="54">
        <v>0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0</v>
      </c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66"/>
      <c r="AG18" s="67">
        <v>0</v>
      </c>
      <c r="AH18" s="67">
        <v>0</v>
      </c>
      <c r="AI18" s="67">
        <v>0</v>
      </c>
      <c r="AJ18" s="67">
        <v>0</v>
      </c>
      <c r="AK18" s="67">
        <v>0</v>
      </c>
      <c r="AL18" s="67">
        <v>0</v>
      </c>
      <c r="AM18" s="67">
        <v>0</v>
      </c>
      <c r="AN18" s="67">
        <v>0</v>
      </c>
      <c r="AO18" s="67">
        <v>0</v>
      </c>
      <c r="AP18" s="67">
        <v>0</v>
      </c>
      <c r="AQ18" s="67">
        <v>0</v>
      </c>
      <c r="AR18" s="67">
        <v>0</v>
      </c>
      <c r="AS18" s="68">
        <v>0</v>
      </c>
      <c r="AT18" s="63"/>
      <c r="AU18" s="63"/>
    </row>
    <row r="19" spans="1:47" ht="12.75" hidden="1" customHeight="1" outlineLevel="1" x14ac:dyDescent="0.2">
      <c r="A19" s="61" t="s">
        <v>97</v>
      </c>
      <c r="B19" s="62">
        <v>104</v>
      </c>
      <c r="C19" s="54"/>
      <c r="D19" s="54">
        <v>104</v>
      </c>
      <c r="E19" s="63"/>
      <c r="F19" s="64">
        <v>100</v>
      </c>
      <c r="G19" s="65">
        <v>104</v>
      </c>
      <c r="H19" s="54">
        <v>104</v>
      </c>
      <c r="I19" s="54">
        <v>104</v>
      </c>
      <c r="J19" s="54">
        <v>104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416</v>
      </c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66"/>
      <c r="AG19" s="67">
        <v>0</v>
      </c>
      <c r="AH19" s="67">
        <v>0</v>
      </c>
      <c r="AI19" s="67">
        <v>148.66</v>
      </c>
      <c r="AJ19" s="67">
        <v>104</v>
      </c>
      <c r="AK19" s="67">
        <v>36.159999999999997</v>
      </c>
      <c r="AL19" s="67">
        <v>104</v>
      </c>
      <c r="AM19" s="67">
        <v>104</v>
      </c>
      <c r="AN19" s="67">
        <v>104</v>
      </c>
      <c r="AO19" s="67">
        <v>104</v>
      </c>
      <c r="AP19" s="67">
        <v>104</v>
      </c>
      <c r="AQ19" s="67">
        <v>104</v>
      </c>
      <c r="AR19" s="67">
        <v>104</v>
      </c>
      <c r="AS19" s="68">
        <v>252.66</v>
      </c>
      <c r="AT19" s="63"/>
      <c r="AU19" s="63">
        <v>164.64814375049474</v>
      </c>
    </row>
    <row r="20" spans="1:47" ht="12.75" hidden="1" customHeight="1" outlineLevel="1" x14ac:dyDescent="0.2">
      <c r="A20" s="61" t="s">
        <v>69</v>
      </c>
      <c r="B20" s="62"/>
      <c r="C20" s="54"/>
      <c r="D20" s="54"/>
      <c r="E20" s="63"/>
      <c r="F20" s="64"/>
      <c r="G20" s="65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66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66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8"/>
      <c r="AT20" s="63"/>
      <c r="AU20" s="63"/>
    </row>
    <row r="21" spans="1:47" ht="12.75" customHeight="1" collapsed="1" x14ac:dyDescent="0.2">
      <c r="A21" s="69" t="s">
        <v>70</v>
      </c>
      <c r="B21" s="70">
        <v>104</v>
      </c>
      <c r="C21" s="71"/>
      <c r="D21" s="71">
        <v>104</v>
      </c>
      <c r="E21" s="72"/>
      <c r="F21" s="73">
        <v>100</v>
      </c>
      <c r="G21" s="70">
        <v>104</v>
      </c>
      <c r="H21" s="71">
        <v>104</v>
      </c>
      <c r="I21" s="71">
        <v>104</v>
      </c>
      <c r="J21" s="71">
        <v>104</v>
      </c>
      <c r="K21" s="71">
        <v>0</v>
      </c>
      <c r="L21" s="71">
        <v>0</v>
      </c>
      <c r="M21" s="71">
        <v>0</v>
      </c>
      <c r="N21" s="71">
        <v>0</v>
      </c>
      <c r="O21" s="71">
        <v>0</v>
      </c>
      <c r="P21" s="71">
        <v>0</v>
      </c>
      <c r="Q21" s="71">
        <v>0</v>
      </c>
      <c r="R21" s="71">
        <v>0</v>
      </c>
      <c r="S21" s="71">
        <v>416</v>
      </c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5">
        <v>0</v>
      </c>
      <c r="AH21" s="75">
        <v>0</v>
      </c>
      <c r="AI21" s="75">
        <v>148.66</v>
      </c>
      <c r="AJ21" s="75">
        <v>104</v>
      </c>
      <c r="AK21" s="75">
        <v>36.159999999999997</v>
      </c>
      <c r="AL21" s="75">
        <v>104</v>
      </c>
      <c r="AM21" s="75">
        <v>104</v>
      </c>
      <c r="AN21" s="75">
        <v>104</v>
      </c>
      <c r="AO21" s="75">
        <v>104</v>
      </c>
      <c r="AP21" s="75">
        <v>104</v>
      </c>
      <c r="AQ21" s="75">
        <v>104</v>
      </c>
      <c r="AR21" s="75">
        <v>104</v>
      </c>
      <c r="AS21" s="75">
        <v>252.66</v>
      </c>
      <c r="AT21" s="72"/>
      <c r="AU21" s="72">
        <v>164.64814375049474</v>
      </c>
    </row>
    <row r="22" spans="1:47" ht="12.75" hidden="1" customHeight="1" outlineLevel="1" x14ac:dyDescent="0.2">
      <c r="A22" s="61" t="s">
        <v>174</v>
      </c>
      <c r="B22" s="62">
        <v>0</v>
      </c>
      <c r="C22" s="54">
        <v>0</v>
      </c>
      <c r="D22" s="54">
        <v>0</v>
      </c>
      <c r="E22" s="63"/>
      <c r="F22" s="64"/>
      <c r="G22" s="65">
        <v>0</v>
      </c>
      <c r="H22" s="54">
        <v>21.42</v>
      </c>
      <c r="I22" s="54">
        <v>0</v>
      </c>
      <c r="J22" s="54">
        <v>0</v>
      </c>
      <c r="K22" s="54">
        <v>0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66">
        <v>21.42</v>
      </c>
      <c r="T22" s="54">
        <v>0</v>
      </c>
      <c r="U22" s="54">
        <v>0</v>
      </c>
      <c r="V22" s="54">
        <v>0</v>
      </c>
      <c r="W22" s="54">
        <v>0</v>
      </c>
      <c r="X22" s="54">
        <v>0</v>
      </c>
      <c r="Y22" s="54">
        <v>0</v>
      </c>
      <c r="Z22" s="54">
        <v>0</v>
      </c>
      <c r="AA22" s="54">
        <v>0</v>
      </c>
      <c r="AB22" s="54">
        <v>0</v>
      </c>
      <c r="AC22" s="54">
        <v>0</v>
      </c>
      <c r="AD22" s="54">
        <v>0</v>
      </c>
      <c r="AE22" s="54">
        <v>0</v>
      </c>
      <c r="AF22" s="66">
        <v>0</v>
      </c>
      <c r="AG22" s="67">
        <v>0</v>
      </c>
      <c r="AH22" s="67">
        <v>21.2</v>
      </c>
      <c r="AI22" s="98">
        <v>-128</v>
      </c>
      <c r="AJ22" s="67">
        <v>0</v>
      </c>
      <c r="AK22" s="67">
        <v>20.74</v>
      </c>
      <c r="AL22" s="67">
        <v>0</v>
      </c>
      <c r="AM22" s="67">
        <v>0</v>
      </c>
      <c r="AN22" s="67">
        <v>21.01</v>
      </c>
      <c r="AO22" s="67">
        <v>0</v>
      </c>
      <c r="AP22" s="67">
        <v>0</v>
      </c>
      <c r="AQ22" s="67">
        <v>21.42</v>
      </c>
      <c r="AR22" s="67">
        <v>0</v>
      </c>
      <c r="AS22" s="99">
        <v>-106.8</v>
      </c>
      <c r="AT22" s="63"/>
      <c r="AU22" s="63">
        <v>-20.056179775280899</v>
      </c>
    </row>
    <row r="23" spans="1:47" ht="12.75" hidden="1" customHeight="1" outlineLevel="1" x14ac:dyDescent="0.2">
      <c r="A23" s="61" t="s">
        <v>99</v>
      </c>
      <c r="B23" s="62">
        <v>1168.58</v>
      </c>
      <c r="C23" s="54">
        <v>0</v>
      </c>
      <c r="D23" s="54">
        <v>1335.41</v>
      </c>
      <c r="E23" s="63"/>
      <c r="F23" s="64">
        <v>87.507207524280929</v>
      </c>
      <c r="G23" s="65">
        <v>1621.55</v>
      </c>
      <c r="H23" s="54">
        <v>1196.8</v>
      </c>
      <c r="I23" s="54">
        <v>974.98</v>
      </c>
      <c r="J23" s="54">
        <v>1168.58</v>
      </c>
      <c r="K23" s="56">
        <v>-674.92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4961.91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880.67</v>
      </c>
      <c r="AH23" s="67">
        <v>1429.78</v>
      </c>
      <c r="AI23" s="67">
        <v>252.83</v>
      </c>
      <c r="AJ23" s="67">
        <v>1335.41</v>
      </c>
      <c r="AK23" s="67">
        <v>1730.71</v>
      </c>
      <c r="AL23" s="67">
        <v>1308.95</v>
      </c>
      <c r="AM23" s="67">
        <v>229.03</v>
      </c>
      <c r="AN23" s="67">
        <v>1313.44</v>
      </c>
      <c r="AO23" s="67">
        <v>968.45</v>
      </c>
      <c r="AP23" s="67">
        <v>115.05</v>
      </c>
      <c r="AQ23" s="67">
        <v>1408.98</v>
      </c>
      <c r="AR23" s="67">
        <v>0</v>
      </c>
      <c r="AS23" s="68">
        <v>3898.69</v>
      </c>
      <c r="AT23" s="63"/>
      <c r="AU23" s="63">
        <v>127.2712116121056</v>
      </c>
    </row>
    <row r="24" spans="1:47" ht="12.75" hidden="1" customHeight="1" outlineLevel="1" x14ac:dyDescent="0.2">
      <c r="A24" s="61" t="s">
        <v>175</v>
      </c>
      <c r="B24" s="62">
        <v>27.83</v>
      </c>
      <c r="C24" s="54">
        <v>0</v>
      </c>
      <c r="D24" s="54">
        <v>0</v>
      </c>
      <c r="E24" s="63"/>
      <c r="F24" s="64"/>
      <c r="G24" s="65">
        <v>0</v>
      </c>
      <c r="H24" s="54">
        <v>32.340000000000003</v>
      </c>
      <c r="I24" s="54">
        <v>2.4300000000000002</v>
      </c>
      <c r="J24" s="54">
        <v>27.83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62.6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0</v>
      </c>
      <c r="AH24" s="67">
        <v>29.87</v>
      </c>
      <c r="AI24" s="98">
        <v>-79.45</v>
      </c>
      <c r="AJ24" s="67">
        <v>0</v>
      </c>
      <c r="AK24" s="67">
        <v>26.87</v>
      </c>
      <c r="AL24" s="67">
        <v>0</v>
      </c>
      <c r="AM24" s="67">
        <v>28.37</v>
      </c>
      <c r="AN24" s="67">
        <v>1.03</v>
      </c>
      <c r="AO24" s="67">
        <v>30.32</v>
      </c>
      <c r="AP24" s="67">
        <v>0</v>
      </c>
      <c r="AQ24" s="67">
        <v>35.4</v>
      </c>
      <c r="AR24" s="67">
        <v>3</v>
      </c>
      <c r="AS24" s="99">
        <v>-49.58</v>
      </c>
      <c r="AT24" s="63"/>
      <c r="AU24" s="63">
        <v>-126.26058894715611</v>
      </c>
    </row>
    <row r="25" spans="1:47" ht="12.75" hidden="1" customHeight="1" outlineLevel="1" x14ac:dyDescent="0.2">
      <c r="A25" s="61" t="s">
        <v>100</v>
      </c>
      <c r="B25" s="62">
        <v>271.54000000000002</v>
      </c>
      <c r="C25" s="54">
        <v>0</v>
      </c>
      <c r="D25" s="54">
        <v>388.74</v>
      </c>
      <c r="E25" s="63"/>
      <c r="F25" s="64">
        <v>69.851314503266963</v>
      </c>
      <c r="G25" s="65">
        <v>1432.4</v>
      </c>
      <c r="H25" s="54">
        <v>383.44</v>
      </c>
      <c r="I25" s="54">
        <v>257.49</v>
      </c>
      <c r="J25" s="54">
        <v>271.54000000000002</v>
      </c>
      <c r="K25" s="56">
        <v>-529.02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2344.87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423.3</v>
      </c>
      <c r="AH25" s="67">
        <v>161.04</v>
      </c>
      <c r="AI25" s="67">
        <v>391.68</v>
      </c>
      <c r="AJ25" s="67">
        <v>388.74</v>
      </c>
      <c r="AK25" s="67">
        <v>265.70999999999998</v>
      </c>
      <c r="AL25" s="67">
        <v>269.77</v>
      </c>
      <c r="AM25" s="98">
        <v>-151</v>
      </c>
      <c r="AN25" s="67">
        <v>725.02</v>
      </c>
      <c r="AO25" s="67">
        <v>274.52999999999997</v>
      </c>
      <c r="AP25" s="67">
        <v>269.58999999999997</v>
      </c>
      <c r="AQ25" s="67">
        <v>334.16</v>
      </c>
      <c r="AR25" s="98">
        <v>-1058.3399999999999</v>
      </c>
      <c r="AS25" s="68">
        <v>1364.76</v>
      </c>
      <c r="AT25" s="63"/>
      <c r="AU25" s="63">
        <v>171.81555731410651</v>
      </c>
    </row>
    <row r="26" spans="1:47" ht="12.75" hidden="1" customHeight="1" outlineLevel="1" x14ac:dyDescent="0.2">
      <c r="A26" s="61" t="s">
        <v>101</v>
      </c>
      <c r="B26" s="62"/>
      <c r="C26" s="54">
        <v>0</v>
      </c>
      <c r="D26" s="54"/>
      <c r="E26" s="63"/>
      <c r="F26" s="64"/>
      <c r="G26" s="65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66"/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8"/>
      <c r="AT26" s="63"/>
      <c r="AU26" s="63"/>
    </row>
    <row r="27" spans="1:47" ht="12.75" hidden="1" customHeight="1" outlineLevel="1" x14ac:dyDescent="0.2">
      <c r="A27" s="61" t="s">
        <v>176</v>
      </c>
      <c r="B27" s="62">
        <v>0</v>
      </c>
      <c r="C27" s="54">
        <v>0</v>
      </c>
      <c r="D27" s="54">
        <v>0</v>
      </c>
      <c r="E27" s="63"/>
      <c r="F27" s="64"/>
      <c r="G27" s="65">
        <v>0</v>
      </c>
      <c r="H27" s="54">
        <v>0</v>
      </c>
      <c r="I27" s="54">
        <v>0</v>
      </c>
      <c r="J27" s="54">
        <v>0</v>
      </c>
      <c r="K27" s="54">
        <v>0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0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0</v>
      </c>
      <c r="AH27" s="67">
        <v>0</v>
      </c>
      <c r="AI27" s="67">
        <v>100</v>
      </c>
      <c r="AJ27" s="67">
        <v>0</v>
      </c>
      <c r="AK27" s="67">
        <v>0</v>
      </c>
      <c r="AL27" s="67">
        <v>0</v>
      </c>
      <c r="AM27" s="67">
        <v>0</v>
      </c>
      <c r="AN27" s="67">
        <v>0</v>
      </c>
      <c r="AO27" s="67">
        <v>0</v>
      </c>
      <c r="AP27" s="67">
        <v>0</v>
      </c>
      <c r="AQ27" s="67">
        <v>0</v>
      </c>
      <c r="AR27" s="67">
        <v>0</v>
      </c>
      <c r="AS27" s="68">
        <v>100</v>
      </c>
      <c r="AT27" s="63"/>
      <c r="AU27" s="63">
        <v>0</v>
      </c>
    </row>
    <row r="28" spans="1:47" ht="12.75" hidden="1" customHeight="1" outlineLevel="1" x14ac:dyDescent="0.2">
      <c r="A28" s="61" t="s">
        <v>102</v>
      </c>
      <c r="B28" s="62">
        <v>471.06</v>
      </c>
      <c r="C28" s="54">
        <v>0</v>
      </c>
      <c r="D28" s="54">
        <v>470.28</v>
      </c>
      <c r="E28" s="63"/>
      <c r="F28" s="64">
        <v>100.1658586374075</v>
      </c>
      <c r="G28" s="65">
        <v>471.06</v>
      </c>
      <c r="H28" s="54">
        <v>454.99</v>
      </c>
      <c r="I28" s="54">
        <v>454.99</v>
      </c>
      <c r="J28" s="54">
        <v>471.06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1852.1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428.43</v>
      </c>
      <c r="AH28" s="67">
        <v>454.99</v>
      </c>
      <c r="AI28" s="67">
        <v>454.99</v>
      </c>
      <c r="AJ28" s="67">
        <v>470.28</v>
      </c>
      <c r="AK28" s="67">
        <v>454.99</v>
      </c>
      <c r="AL28" s="67">
        <v>599.99</v>
      </c>
      <c r="AM28" s="67">
        <v>309.99</v>
      </c>
      <c r="AN28" s="67">
        <v>454.99</v>
      </c>
      <c r="AO28" s="67">
        <v>454.99</v>
      </c>
      <c r="AP28" s="67">
        <v>454.99</v>
      </c>
      <c r="AQ28" s="67">
        <v>470.28</v>
      </c>
      <c r="AR28" s="67">
        <v>454.99</v>
      </c>
      <c r="AS28" s="68">
        <v>1808.69</v>
      </c>
      <c r="AT28" s="63"/>
      <c r="AU28" s="63">
        <v>102.40007961563342</v>
      </c>
    </row>
    <row r="29" spans="1:47" ht="12.75" hidden="1" customHeight="1" outlineLevel="1" x14ac:dyDescent="0.2">
      <c r="A29" s="61" t="s">
        <v>75</v>
      </c>
      <c r="B29" s="62">
        <v>106.36</v>
      </c>
      <c r="C29" s="54">
        <v>0</v>
      </c>
      <c r="D29" s="54">
        <v>0</v>
      </c>
      <c r="E29" s="63"/>
      <c r="F29" s="64"/>
      <c r="G29" s="65">
        <v>0</v>
      </c>
      <c r="H29" s="54">
        <v>15.59</v>
      </c>
      <c r="I29" s="54">
        <v>15.59</v>
      </c>
      <c r="J29" s="54">
        <v>106.36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137.54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0</v>
      </c>
      <c r="AH29" s="67">
        <v>0</v>
      </c>
      <c r="AI29" s="67">
        <v>0</v>
      </c>
      <c r="AJ29" s="67">
        <v>0</v>
      </c>
      <c r="AK29" s="67">
        <v>0</v>
      </c>
      <c r="AL29" s="67">
        <v>113.29</v>
      </c>
      <c r="AM29" s="67">
        <v>679.74</v>
      </c>
      <c r="AN29" s="67">
        <v>0</v>
      </c>
      <c r="AO29" s="67">
        <v>0</v>
      </c>
      <c r="AP29" s="67">
        <v>0</v>
      </c>
      <c r="AQ29" s="67">
        <v>0</v>
      </c>
      <c r="AR29" s="67">
        <v>0</v>
      </c>
      <c r="AS29" s="68">
        <v>0</v>
      </c>
      <c r="AT29" s="63"/>
      <c r="AU29" s="63"/>
    </row>
    <row r="30" spans="1:47" ht="12.75" hidden="1" customHeight="1" outlineLevel="1" x14ac:dyDescent="0.2">
      <c r="A30" s="61" t="s">
        <v>76</v>
      </c>
      <c r="B30" s="62">
        <v>9.1</v>
      </c>
      <c r="C30" s="54">
        <v>0</v>
      </c>
      <c r="D30" s="54">
        <v>258.2</v>
      </c>
      <c r="E30" s="63"/>
      <c r="F30" s="64">
        <v>3.5243996901626646</v>
      </c>
      <c r="G30" s="65">
        <v>525.74</v>
      </c>
      <c r="H30" s="54">
        <v>267.39</v>
      </c>
      <c r="I30" s="54">
        <v>473.07</v>
      </c>
      <c r="J30" s="54">
        <v>9.1</v>
      </c>
      <c r="K30" s="56">
        <v>-200.1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1275.3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266.08</v>
      </c>
      <c r="AH30" s="67">
        <v>266.57</v>
      </c>
      <c r="AI30" s="67">
        <v>95.06</v>
      </c>
      <c r="AJ30" s="67">
        <v>258.2</v>
      </c>
      <c r="AK30" s="67">
        <v>309.07</v>
      </c>
      <c r="AL30" s="67">
        <v>226.05</v>
      </c>
      <c r="AM30" s="67">
        <v>186.48</v>
      </c>
      <c r="AN30" s="67">
        <v>325.22000000000003</v>
      </c>
      <c r="AO30" s="67">
        <v>262.87</v>
      </c>
      <c r="AP30" s="67">
        <v>268.13</v>
      </c>
      <c r="AQ30" s="67">
        <v>262.86</v>
      </c>
      <c r="AR30" s="98">
        <v>-5.25</v>
      </c>
      <c r="AS30" s="68">
        <v>885.91</v>
      </c>
      <c r="AT30" s="63"/>
      <c r="AU30" s="63">
        <v>143.95367475251436</v>
      </c>
    </row>
    <row r="31" spans="1:47" ht="12.75" hidden="1" customHeight="1" outlineLevel="1" x14ac:dyDescent="0.2">
      <c r="A31" s="61" t="s">
        <v>77</v>
      </c>
      <c r="B31" s="62">
        <v>113.71</v>
      </c>
      <c r="C31" s="54">
        <v>0</v>
      </c>
      <c r="D31" s="54">
        <v>113.71</v>
      </c>
      <c r="E31" s="63"/>
      <c r="F31" s="64">
        <v>100</v>
      </c>
      <c r="G31" s="65">
        <v>113.71</v>
      </c>
      <c r="H31" s="54">
        <v>113.71</v>
      </c>
      <c r="I31" s="54">
        <v>113.71</v>
      </c>
      <c r="J31" s="54">
        <v>113.71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454.84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130.38</v>
      </c>
      <c r="AH31" s="67">
        <v>130.38</v>
      </c>
      <c r="AI31" s="67">
        <v>113.71</v>
      </c>
      <c r="AJ31" s="67">
        <v>113.71</v>
      </c>
      <c r="AK31" s="67">
        <v>113.71</v>
      </c>
      <c r="AL31" s="67">
        <v>113.71</v>
      </c>
      <c r="AM31" s="67">
        <v>113.71</v>
      </c>
      <c r="AN31" s="67">
        <v>113.71</v>
      </c>
      <c r="AO31" s="67">
        <v>113.71</v>
      </c>
      <c r="AP31" s="67">
        <v>113.71</v>
      </c>
      <c r="AQ31" s="67">
        <v>113.71</v>
      </c>
      <c r="AR31" s="67">
        <v>113.71</v>
      </c>
      <c r="AS31" s="68">
        <v>488.18</v>
      </c>
      <c r="AT31" s="63"/>
      <c r="AU31" s="63">
        <v>93.170551845630712</v>
      </c>
    </row>
    <row r="32" spans="1:47" ht="12.75" customHeight="1" collapsed="1" x14ac:dyDescent="0.2">
      <c r="A32" s="69" t="s">
        <v>177</v>
      </c>
      <c r="B32" s="70">
        <v>2168.1799999999998</v>
      </c>
      <c r="C32" s="71">
        <v>0</v>
      </c>
      <c r="D32" s="71">
        <v>2566.34</v>
      </c>
      <c r="E32" s="72"/>
      <c r="F32" s="73">
        <v>84.485298128852762</v>
      </c>
      <c r="G32" s="70">
        <v>4164.46</v>
      </c>
      <c r="H32" s="71">
        <v>2485.6799999999998</v>
      </c>
      <c r="I32" s="71">
        <v>2292.2600000000002</v>
      </c>
      <c r="J32" s="71">
        <v>2168.1799999999998</v>
      </c>
      <c r="K32" s="74">
        <v>-1404.04</v>
      </c>
      <c r="L32" s="71">
        <v>0</v>
      </c>
      <c r="M32" s="71">
        <v>0</v>
      </c>
      <c r="N32" s="71">
        <v>0</v>
      </c>
      <c r="O32" s="71">
        <v>0</v>
      </c>
      <c r="P32" s="71">
        <v>0</v>
      </c>
      <c r="Q32" s="71">
        <v>0</v>
      </c>
      <c r="R32" s="71">
        <v>0</v>
      </c>
      <c r="S32" s="71">
        <v>11110.58</v>
      </c>
      <c r="T32" s="71">
        <v>0</v>
      </c>
      <c r="U32" s="71">
        <v>0</v>
      </c>
      <c r="V32" s="71">
        <v>0</v>
      </c>
      <c r="W32" s="71">
        <v>0</v>
      </c>
      <c r="X32" s="71">
        <v>0</v>
      </c>
      <c r="Y32" s="71">
        <v>0</v>
      </c>
      <c r="Z32" s="71">
        <v>0</v>
      </c>
      <c r="AA32" s="71">
        <v>0</v>
      </c>
      <c r="AB32" s="71">
        <v>0</v>
      </c>
      <c r="AC32" s="71">
        <v>0</v>
      </c>
      <c r="AD32" s="71">
        <v>0</v>
      </c>
      <c r="AE32" s="71">
        <v>0</v>
      </c>
      <c r="AF32" s="71">
        <v>0</v>
      </c>
      <c r="AG32" s="75">
        <v>2128.86</v>
      </c>
      <c r="AH32" s="75">
        <v>2493.83</v>
      </c>
      <c r="AI32" s="75">
        <v>1200.82</v>
      </c>
      <c r="AJ32" s="75">
        <v>2566.34</v>
      </c>
      <c r="AK32" s="75">
        <v>2921.8</v>
      </c>
      <c r="AL32" s="75">
        <v>2631.76</v>
      </c>
      <c r="AM32" s="75">
        <v>1396.32</v>
      </c>
      <c r="AN32" s="75">
        <v>2954.42</v>
      </c>
      <c r="AO32" s="75">
        <v>2104.87</v>
      </c>
      <c r="AP32" s="75">
        <v>1221.47</v>
      </c>
      <c r="AQ32" s="75">
        <v>2646.81</v>
      </c>
      <c r="AR32" s="134">
        <v>-491.89</v>
      </c>
      <c r="AS32" s="75">
        <v>8389.85</v>
      </c>
      <c r="AT32" s="72"/>
      <c r="AU32" s="72">
        <v>132.42882769060233</v>
      </c>
    </row>
    <row r="33" spans="1:47" ht="12.75" hidden="1" customHeight="1" outlineLevel="1" x14ac:dyDescent="0.2">
      <c r="A33" s="61" t="s">
        <v>178</v>
      </c>
      <c r="B33" s="62"/>
      <c r="C33" s="54">
        <v>0</v>
      </c>
      <c r="D33" s="54"/>
      <c r="E33" s="63"/>
      <c r="F33" s="64"/>
      <c r="G33" s="65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66"/>
      <c r="T33" s="54">
        <v>0</v>
      </c>
      <c r="U33" s="54">
        <v>0</v>
      </c>
      <c r="V33" s="54">
        <v>0</v>
      </c>
      <c r="W33" s="54">
        <v>0</v>
      </c>
      <c r="X33" s="54">
        <v>0</v>
      </c>
      <c r="Y33" s="54">
        <v>0</v>
      </c>
      <c r="Z33" s="54">
        <v>0</v>
      </c>
      <c r="AA33" s="54">
        <v>0</v>
      </c>
      <c r="AB33" s="54">
        <v>0</v>
      </c>
      <c r="AC33" s="54">
        <v>0</v>
      </c>
      <c r="AD33" s="54">
        <v>0</v>
      </c>
      <c r="AE33" s="54">
        <v>0</v>
      </c>
      <c r="AF33" s="66">
        <v>0</v>
      </c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8"/>
      <c r="AT33" s="63"/>
      <c r="AU33" s="63"/>
    </row>
    <row r="34" spans="1:47" ht="12.75" hidden="1" customHeight="1" outlineLevel="1" x14ac:dyDescent="0.2">
      <c r="A34" s="61" t="s">
        <v>179</v>
      </c>
      <c r="B34" s="62">
        <v>58.03</v>
      </c>
      <c r="C34" s="54">
        <v>0</v>
      </c>
      <c r="D34" s="54">
        <v>17</v>
      </c>
      <c r="E34" s="63"/>
      <c r="F34" s="64">
        <v>341.35294117647061</v>
      </c>
      <c r="G34" s="65">
        <v>58.03</v>
      </c>
      <c r="H34" s="54">
        <v>58.03</v>
      </c>
      <c r="I34" s="54">
        <v>58.03</v>
      </c>
      <c r="J34" s="54">
        <v>58.03</v>
      </c>
      <c r="K34" s="54">
        <v>0</v>
      </c>
      <c r="L34" s="54">
        <v>0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66">
        <v>232.12</v>
      </c>
      <c r="T34" s="54">
        <v>0</v>
      </c>
      <c r="U34" s="54">
        <v>0</v>
      </c>
      <c r="V34" s="54">
        <v>0</v>
      </c>
      <c r="W34" s="54">
        <v>0</v>
      </c>
      <c r="X34" s="54">
        <v>0</v>
      </c>
      <c r="Y34" s="54">
        <v>0</v>
      </c>
      <c r="Z34" s="54">
        <v>0</v>
      </c>
      <c r="AA34" s="54">
        <v>0</v>
      </c>
      <c r="AB34" s="54">
        <v>0</v>
      </c>
      <c r="AC34" s="54">
        <v>0</v>
      </c>
      <c r="AD34" s="54">
        <v>0</v>
      </c>
      <c r="AE34" s="54">
        <v>0</v>
      </c>
      <c r="AF34" s="66">
        <v>0</v>
      </c>
      <c r="AG34" s="67">
        <v>17</v>
      </c>
      <c r="AH34" s="67">
        <v>17</v>
      </c>
      <c r="AI34" s="67">
        <v>17</v>
      </c>
      <c r="AJ34" s="67">
        <v>17</v>
      </c>
      <c r="AK34" s="67">
        <v>17</v>
      </c>
      <c r="AL34" s="67">
        <v>17</v>
      </c>
      <c r="AM34" s="67">
        <v>17</v>
      </c>
      <c r="AN34" s="67">
        <v>17</v>
      </c>
      <c r="AO34" s="67">
        <v>58.03</v>
      </c>
      <c r="AP34" s="67">
        <v>58.03</v>
      </c>
      <c r="AQ34" s="67">
        <v>58.03</v>
      </c>
      <c r="AR34" s="67">
        <v>58.03</v>
      </c>
      <c r="AS34" s="68">
        <v>68</v>
      </c>
      <c r="AT34" s="63"/>
      <c r="AU34" s="63">
        <v>341.35294117647061</v>
      </c>
    </row>
    <row r="35" spans="1:47" ht="12.75" hidden="1" customHeight="1" outlineLevel="1" x14ac:dyDescent="0.2">
      <c r="A35" s="61" t="s">
        <v>180</v>
      </c>
      <c r="B35" s="62">
        <v>0</v>
      </c>
      <c r="C35" s="54">
        <v>0</v>
      </c>
      <c r="D35" s="54">
        <v>0</v>
      </c>
      <c r="E35" s="63"/>
      <c r="F35" s="64"/>
      <c r="G35" s="65">
        <v>0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0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0</v>
      </c>
      <c r="AH35" s="67">
        <v>0</v>
      </c>
      <c r="AI35" s="67">
        <v>0</v>
      </c>
      <c r="AJ35" s="67">
        <v>0</v>
      </c>
      <c r="AK35" s="67">
        <v>0</v>
      </c>
      <c r="AL35" s="67">
        <v>426.36</v>
      </c>
      <c r="AM35" s="67">
        <v>0</v>
      </c>
      <c r="AN35" s="67">
        <v>0</v>
      </c>
      <c r="AO35" s="67">
        <v>0</v>
      </c>
      <c r="AP35" s="67">
        <v>0</v>
      </c>
      <c r="AQ35" s="67">
        <v>0</v>
      </c>
      <c r="AR35" s="67">
        <v>0</v>
      </c>
      <c r="AS35" s="68">
        <v>0</v>
      </c>
      <c r="AT35" s="63"/>
      <c r="AU35" s="63"/>
    </row>
    <row r="36" spans="1:47" ht="12.75" hidden="1" customHeight="1" outlineLevel="1" x14ac:dyDescent="0.2">
      <c r="A36" s="61" t="s">
        <v>181</v>
      </c>
      <c r="B36" s="62"/>
      <c r="C36" s="54">
        <v>0</v>
      </c>
      <c r="D36" s="54"/>
      <c r="E36" s="63"/>
      <c r="F36" s="64"/>
      <c r="G36" s="65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66"/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8"/>
      <c r="AT36" s="63"/>
      <c r="AU36" s="63"/>
    </row>
    <row r="37" spans="1:47" ht="12.75" hidden="1" customHeight="1" outlineLevel="1" x14ac:dyDescent="0.2">
      <c r="A37" s="61" t="s">
        <v>182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1055.96</v>
      </c>
      <c r="AM37" s="67">
        <v>0</v>
      </c>
      <c r="AN37" s="67">
        <v>0</v>
      </c>
      <c r="AO37" s="67">
        <v>0</v>
      </c>
      <c r="AP37" s="67">
        <v>0</v>
      </c>
      <c r="AQ37" s="67">
        <v>0</v>
      </c>
      <c r="AR37" s="67">
        <v>50.5</v>
      </c>
      <c r="AS37" s="68">
        <v>0</v>
      </c>
      <c r="AT37" s="63"/>
      <c r="AU37" s="63"/>
    </row>
    <row r="38" spans="1:47" ht="12.75" hidden="1" customHeight="1" outlineLevel="1" x14ac:dyDescent="0.2">
      <c r="A38" s="61" t="s">
        <v>183</v>
      </c>
      <c r="B38" s="62">
        <v>874.36</v>
      </c>
      <c r="C38" s="54">
        <v>0</v>
      </c>
      <c r="D38" s="54">
        <v>0</v>
      </c>
      <c r="E38" s="63"/>
      <c r="F38" s="64"/>
      <c r="G38" s="97">
        <v>-340.91</v>
      </c>
      <c r="H38" s="54">
        <v>0</v>
      </c>
      <c r="I38" s="54">
        <v>0</v>
      </c>
      <c r="J38" s="54">
        <v>874.36</v>
      </c>
      <c r="K38" s="56">
        <v>-874.36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533.45000000000005</v>
      </c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0</v>
      </c>
      <c r="Z38" s="54">
        <v>0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66">
        <v>0</v>
      </c>
      <c r="AG38" s="67">
        <v>0</v>
      </c>
      <c r="AH38" s="67">
        <v>0</v>
      </c>
      <c r="AI38" s="67">
        <v>0</v>
      </c>
      <c r="AJ38" s="67">
        <v>0</v>
      </c>
      <c r="AK38" s="67">
        <v>0</v>
      </c>
      <c r="AL38" s="67">
        <v>0</v>
      </c>
      <c r="AM38" s="67">
        <v>0</v>
      </c>
      <c r="AN38" s="67">
        <v>0</v>
      </c>
      <c r="AO38" s="67">
        <v>0</v>
      </c>
      <c r="AP38" s="67">
        <v>0</v>
      </c>
      <c r="AQ38" s="67">
        <v>810.49</v>
      </c>
      <c r="AR38" s="98">
        <v>-469.58</v>
      </c>
      <c r="AS38" s="68">
        <v>0</v>
      </c>
      <c r="AT38" s="63"/>
      <c r="AU38" s="63"/>
    </row>
    <row r="39" spans="1:47" ht="12.75" hidden="1" customHeight="1" outlineLevel="1" x14ac:dyDescent="0.2">
      <c r="A39" s="61" t="s">
        <v>184</v>
      </c>
      <c r="B39" s="62">
        <v>0</v>
      </c>
      <c r="C39" s="54">
        <v>0</v>
      </c>
      <c r="D39" s="54">
        <v>0</v>
      </c>
      <c r="E39" s="63"/>
      <c r="F39" s="64"/>
      <c r="G39" s="65">
        <v>0</v>
      </c>
      <c r="H39" s="54">
        <v>0</v>
      </c>
      <c r="I39" s="54">
        <v>0</v>
      </c>
      <c r="J39" s="54">
        <v>0</v>
      </c>
      <c r="K39" s="54">
        <v>0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66">
        <v>0</v>
      </c>
      <c r="T39" s="54">
        <v>0</v>
      </c>
      <c r="U39" s="54">
        <v>0</v>
      </c>
      <c r="V39" s="54">
        <v>0</v>
      </c>
      <c r="W39" s="54">
        <v>0</v>
      </c>
      <c r="X39" s="54">
        <v>0</v>
      </c>
      <c r="Y39" s="54">
        <v>0</v>
      </c>
      <c r="Z39" s="54">
        <v>0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66">
        <v>0</v>
      </c>
      <c r="AG39" s="67">
        <v>0</v>
      </c>
      <c r="AH39" s="67">
        <v>0</v>
      </c>
      <c r="AI39" s="67">
        <v>0</v>
      </c>
      <c r="AJ39" s="67">
        <v>0</v>
      </c>
      <c r="AK39" s="67">
        <v>0</v>
      </c>
      <c r="AL39" s="67">
        <v>0</v>
      </c>
      <c r="AM39" s="67">
        <v>0</v>
      </c>
      <c r="AN39" s="67">
        <v>0</v>
      </c>
      <c r="AO39" s="67">
        <v>0</v>
      </c>
      <c r="AP39" s="67">
        <v>0</v>
      </c>
      <c r="AQ39" s="67">
        <v>0</v>
      </c>
      <c r="AR39" s="67">
        <v>0</v>
      </c>
      <c r="AS39" s="68">
        <v>0</v>
      </c>
      <c r="AT39" s="63"/>
      <c r="AU39" s="63"/>
    </row>
    <row r="40" spans="1:47" ht="12.75" hidden="1" customHeight="1" outlineLevel="1" x14ac:dyDescent="0.2">
      <c r="A40" s="61" t="s">
        <v>185</v>
      </c>
      <c r="B40" s="62"/>
      <c r="C40" s="54">
        <v>0</v>
      </c>
      <c r="D40" s="54"/>
      <c r="E40" s="63"/>
      <c r="F40" s="64"/>
      <c r="G40" s="65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66"/>
      <c r="T40" s="54">
        <v>0</v>
      </c>
      <c r="U40" s="54">
        <v>0</v>
      </c>
      <c r="V40" s="54">
        <v>0</v>
      </c>
      <c r="W40" s="54">
        <v>0</v>
      </c>
      <c r="X40" s="54">
        <v>0</v>
      </c>
      <c r="Y40" s="54">
        <v>0</v>
      </c>
      <c r="Z40" s="54">
        <v>0</v>
      </c>
      <c r="AA40" s="54">
        <v>0</v>
      </c>
      <c r="AB40" s="54">
        <v>0</v>
      </c>
      <c r="AC40" s="54">
        <v>0</v>
      </c>
      <c r="AD40" s="54">
        <v>0</v>
      </c>
      <c r="AE40" s="54">
        <v>0</v>
      </c>
      <c r="AF40" s="66">
        <v>0</v>
      </c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8"/>
      <c r="AT40" s="63"/>
      <c r="AU40" s="63"/>
    </row>
    <row r="41" spans="1:47" ht="12.75" hidden="1" customHeight="1" outlineLevel="1" x14ac:dyDescent="0.2">
      <c r="A41" s="61" t="s">
        <v>186</v>
      </c>
      <c r="B41" s="62">
        <v>0</v>
      </c>
      <c r="C41" s="54">
        <v>0</v>
      </c>
      <c r="D41" s="54">
        <v>0</v>
      </c>
      <c r="E41" s="63"/>
      <c r="F41" s="64"/>
      <c r="G41" s="65">
        <v>0</v>
      </c>
      <c r="H41" s="54">
        <v>0</v>
      </c>
      <c r="I41" s="54">
        <v>0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66">
        <v>0</v>
      </c>
      <c r="T41" s="54">
        <v>0</v>
      </c>
      <c r="U41" s="54">
        <v>0</v>
      </c>
      <c r="V41" s="54">
        <v>0</v>
      </c>
      <c r="W41" s="54">
        <v>0</v>
      </c>
      <c r="X41" s="54">
        <v>0</v>
      </c>
      <c r="Y41" s="54">
        <v>0</v>
      </c>
      <c r="Z41" s="54">
        <v>0</v>
      </c>
      <c r="AA41" s="54">
        <v>0</v>
      </c>
      <c r="AB41" s="54">
        <v>0</v>
      </c>
      <c r="AC41" s="54">
        <v>0</v>
      </c>
      <c r="AD41" s="54">
        <v>0</v>
      </c>
      <c r="AE41" s="54">
        <v>0</v>
      </c>
      <c r="AF41" s="66">
        <v>0</v>
      </c>
      <c r="AG41" s="67">
        <v>0</v>
      </c>
      <c r="AH41" s="67">
        <v>0</v>
      </c>
      <c r="AI41" s="67">
        <v>0</v>
      </c>
      <c r="AJ41" s="67">
        <v>0</v>
      </c>
      <c r="AK41" s="67">
        <v>0</v>
      </c>
      <c r="AL41" s="67">
        <v>0</v>
      </c>
      <c r="AM41" s="67">
        <v>0</v>
      </c>
      <c r="AN41" s="67">
        <v>0</v>
      </c>
      <c r="AO41" s="67">
        <v>0</v>
      </c>
      <c r="AP41" s="67">
        <v>0</v>
      </c>
      <c r="AQ41" s="67">
        <v>0</v>
      </c>
      <c r="AR41" s="67">
        <v>0</v>
      </c>
      <c r="AS41" s="68">
        <v>0</v>
      </c>
      <c r="AT41" s="63"/>
      <c r="AU41" s="63"/>
    </row>
    <row r="42" spans="1:47" ht="12.75" hidden="1" customHeight="1" outlineLevel="1" x14ac:dyDescent="0.2">
      <c r="A42" s="61" t="s">
        <v>187</v>
      </c>
      <c r="B42" s="62">
        <v>0</v>
      </c>
      <c r="C42" s="54">
        <v>0</v>
      </c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0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0</v>
      </c>
      <c r="AS42" s="68">
        <v>0</v>
      </c>
      <c r="AT42" s="63"/>
      <c r="AU42" s="63"/>
    </row>
    <row r="43" spans="1:47" ht="12.75" hidden="1" customHeight="1" outlineLevel="1" x14ac:dyDescent="0.2">
      <c r="A43" s="61" t="s">
        <v>188</v>
      </c>
      <c r="B43" s="62"/>
      <c r="C43" s="54"/>
      <c r="D43" s="54"/>
      <c r="E43" s="63"/>
      <c r="F43" s="64"/>
      <c r="G43" s="65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66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66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8"/>
      <c r="AT43" s="63"/>
      <c r="AU43" s="63"/>
    </row>
    <row r="44" spans="1:47" ht="12.75" hidden="1" customHeight="1" outlineLevel="1" x14ac:dyDescent="0.2">
      <c r="A44" s="61" t="s">
        <v>189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61" t="s">
        <v>190</v>
      </c>
      <c r="B45" s="62">
        <v>0</v>
      </c>
      <c r="C45" s="54">
        <v>0</v>
      </c>
      <c r="D45" s="54">
        <v>0</v>
      </c>
      <c r="E45" s="63"/>
      <c r="F45" s="64"/>
      <c r="G45" s="65">
        <v>0</v>
      </c>
      <c r="H45" s="54">
        <v>0</v>
      </c>
      <c r="I45" s="54">
        <v>0</v>
      </c>
      <c r="J45" s="54">
        <v>0</v>
      </c>
      <c r="K45" s="54">
        <v>0</v>
      </c>
      <c r="L45" s="54">
        <v>0</v>
      </c>
      <c r="M45" s="54">
        <v>0</v>
      </c>
      <c r="N45" s="54">
        <v>0</v>
      </c>
      <c r="O45" s="54">
        <v>0</v>
      </c>
      <c r="P45" s="54">
        <v>0</v>
      </c>
      <c r="Q45" s="54">
        <v>0</v>
      </c>
      <c r="R45" s="54">
        <v>0</v>
      </c>
      <c r="S45" s="66">
        <v>0</v>
      </c>
      <c r="T45" s="54">
        <v>0</v>
      </c>
      <c r="U45" s="54">
        <v>0</v>
      </c>
      <c r="V45" s="54">
        <v>0</v>
      </c>
      <c r="W45" s="54">
        <v>0</v>
      </c>
      <c r="X45" s="54">
        <v>0</v>
      </c>
      <c r="Y45" s="54">
        <v>0</v>
      </c>
      <c r="Z45" s="54">
        <v>0</v>
      </c>
      <c r="AA45" s="54">
        <v>0</v>
      </c>
      <c r="AB45" s="54">
        <v>0</v>
      </c>
      <c r="AC45" s="54">
        <v>0</v>
      </c>
      <c r="AD45" s="54">
        <v>0</v>
      </c>
      <c r="AE45" s="54">
        <v>0</v>
      </c>
      <c r="AF45" s="66">
        <v>0</v>
      </c>
      <c r="AG45" s="67">
        <v>0</v>
      </c>
      <c r="AH45" s="67">
        <v>0</v>
      </c>
      <c r="AI45" s="67">
        <v>0</v>
      </c>
      <c r="AJ45" s="67">
        <v>0</v>
      </c>
      <c r="AK45" s="67">
        <v>0</v>
      </c>
      <c r="AL45" s="67">
        <v>307.06</v>
      </c>
      <c r="AM45" s="67">
        <v>0</v>
      </c>
      <c r="AN45" s="67">
        <v>0</v>
      </c>
      <c r="AO45" s="67">
        <v>0</v>
      </c>
      <c r="AP45" s="67">
        <v>0</v>
      </c>
      <c r="AQ45" s="67">
        <v>0</v>
      </c>
      <c r="AR45" s="67">
        <v>198.97</v>
      </c>
      <c r="AS45" s="68">
        <v>0</v>
      </c>
      <c r="AT45" s="63"/>
      <c r="AU45" s="63"/>
    </row>
    <row r="46" spans="1:47" ht="12.75" hidden="1" customHeight="1" outlineLevel="1" x14ac:dyDescent="0.2">
      <c r="A46" s="61" t="s">
        <v>191</v>
      </c>
      <c r="B46" s="62"/>
      <c r="C46" s="54">
        <v>0</v>
      </c>
      <c r="D46" s="54"/>
      <c r="E46" s="63"/>
      <c r="F46" s="64"/>
      <c r="G46" s="65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66"/>
      <c r="T46" s="54">
        <v>0</v>
      </c>
      <c r="U46" s="54">
        <v>0</v>
      </c>
      <c r="V46" s="54">
        <v>0</v>
      </c>
      <c r="W46" s="54">
        <v>0</v>
      </c>
      <c r="X46" s="54">
        <v>0</v>
      </c>
      <c r="Y46" s="54">
        <v>0</v>
      </c>
      <c r="Z46" s="54">
        <v>0</v>
      </c>
      <c r="AA46" s="54">
        <v>0</v>
      </c>
      <c r="AB46" s="54">
        <v>0</v>
      </c>
      <c r="AC46" s="54">
        <v>0</v>
      </c>
      <c r="AD46" s="54">
        <v>0</v>
      </c>
      <c r="AE46" s="54">
        <v>0</v>
      </c>
      <c r="AF46" s="66">
        <v>0</v>
      </c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8"/>
      <c r="AT46" s="63"/>
      <c r="AU46" s="63"/>
    </row>
    <row r="47" spans="1:47" ht="12.75" customHeight="1" collapsed="1" x14ac:dyDescent="0.2">
      <c r="A47" s="69" t="s">
        <v>192</v>
      </c>
      <c r="B47" s="70">
        <v>932.39</v>
      </c>
      <c r="C47" s="71">
        <v>0</v>
      </c>
      <c r="D47" s="71">
        <v>17</v>
      </c>
      <c r="E47" s="72"/>
      <c r="F47" s="73">
        <v>5484.6470588235297</v>
      </c>
      <c r="G47" s="133">
        <v>-282.88</v>
      </c>
      <c r="H47" s="71">
        <v>58.03</v>
      </c>
      <c r="I47" s="71">
        <v>58.03</v>
      </c>
      <c r="J47" s="71">
        <v>932.39</v>
      </c>
      <c r="K47" s="74">
        <v>-874.36</v>
      </c>
      <c r="L47" s="71">
        <v>0</v>
      </c>
      <c r="M47" s="71">
        <v>0</v>
      </c>
      <c r="N47" s="71">
        <v>0</v>
      </c>
      <c r="O47" s="71">
        <v>0</v>
      </c>
      <c r="P47" s="71">
        <v>0</v>
      </c>
      <c r="Q47" s="71">
        <v>0</v>
      </c>
      <c r="R47" s="71">
        <v>0</v>
      </c>
      <c r="S47" s="71">
        <v>765.57</v>
      </c>
      <c r="T47" s="71">
        <v>0</v>
      </c>
      <c r="U47" s="71">
        <v>0</v>
      </c>
      <c r="V47" s="71">
        <v>0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71">
        <v>0</v>
      </c>
      <c r="AE47" s="71">
        <v>0</v>
      </c>
      <c r="AF47" s="71">
        <v>0</v>
      </c>
      <c r="AG47" s="75">
        <v>17</v>
      </c>
      <c r="AH47" s="75">
        <v>17</v>
      </c>
      <c r="AI47" s="75">
        <v>17</v>
      </c>
      <c r="AJ47" s="75">
        <v>17</v>
      </c>
      <c r="AK47" s="75">
        <v>17</v>
      </c>
      <c r="AL47" s="75">
        <v>1806.38</v>
      </c>
      <c r="AM47" s="75">
        <v>17</v>
      </c>
      <c r="AN47" s="75">
        <v>17</v>
      </c>
      <c r="AO47" s="75">
        <v>58.03</v>
      </c>
      <c r="AP47" s="75">
        <v>58.03</v>
      </c>
      <c r="AQ47" s="75">
        <v>868.52</v>
      </c>
      <c r="AR47" s="134">
        <v>-162.08000000000001</v>
      </c>
      <c r="AS47" s="75">
        <v>68</v>
      </c>
      <c r="AT47" s="72"/>
      <c r="AU47" s="72">
        <v>1125.8382352941176</v>
      </c>
    </row>
    <row r="48" spans="1:47" ht="12.75" hidden="1" customHeight="1" outlineLevel="1" x14ac:dyDescent="0.2">
      <c r="A48" s="61" t="s">
        <v>193</v>
      </c>
      <c r="B48" s="62"/>
      <c r="C48" s="54"/>
      <c r="D48" s="54"/>
      <c r="E48" s="63"/>
      <c r="F48" s="64"/>
      <c r="G48" s="65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66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66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8"/>
      <c r="AT48" s="63"/>
      <c r="AU48" s="63"/>
    </row>
    <row r="49" spans="1:47" ht="12.75" hidden="1" customHeight="1" outlineLevel="1" x14ac:dyDescent="0.2">
      <c r="A49" s="61" t="s">
        <v>194</v>
      </c>
      <c r="B49" s="62"/>
      <c r="C49" s="54"/>
      <c r="D49" s="54"/>
      <c r="E49" s="63"/>
      <c r="F49" s="64"/>
      <c r="G49" s="65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66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66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8"/>
      <c r="AT49" s="63"/>
      <c r="AU49" s="63"/>
    </row>
    <row r="50" spans="1:47" ht="12.75" hidden="1" customHeight="1" outlineLevel="1" x14ac:dyDescent="0.2">
      <c r="A50" s="61" t="s">
        <v>82</v>
      </c>
      <c r="B50" s="62"/>
      <c r="C50" s="54"/>
      <c r="D50" s="54"/>
      <c r="E50" s="63"/>
      <c r="F50" s="64"/>
      <c r="G50" s="65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66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66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8"/>
      <c r="AT50" s="63"/>
      <c r="AU50" s="63"/>
    </row>
    <row r="51" spans="1:47" ht="12.75" hidden="1" customHeight="1" outlineLevel="1" x14ac:dyDescent="0.2">
      <c r="A51" s="61" t="s">
        <v>83</v>
      </c>
      <c r="B51" s="62">
        <v>0</v>
      </c>
      <c r="C51" s="54"/>
      <c r="D51" s="54">
        <v>0</v>
      </c>
      <c r="E51" s="63"/>
      <c r="F51" s="64"/>
      <c r="G51" s="65">
        <v>0</v>
      </c>
      <c r="H51" s="54">
        <v>0</v>
      </c>
      <c r="I51" s="54">
        <v>0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66">
        <v>0</v>
      </c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66"/>
      <c r="AG51" s="67">
        <v>0</v>
      </c>
      <c r="AH51" s="67">
        <v>46.04</v>
      </c>
      <c r="AI51" s="67">
        <v>0</v>
      </c>
      <c r="AJ51" s="67">
        <v>0</v>
      </c>
      <c r="AK51" s="67">
        <v>0</v>
      </c>
      <c r="AL51" s="67">
        <v>0</v>
      </c>
      <c r="AM51" s="67">
        <v>0</v>
      </c>
      <c r="AN51" s="67">
        <v>0</v>
      </c>
      <c r="AO51" s="67">
        <v>0</v>
      </c>
      <c r="AP51" s="67">
        <v>0</v>
      </c>
      <c r="AQ51" s="67">
        <v>0</v>
      </c>
      <c r="AR51" s="67">
        <v>0</v>
      </c>
      <c r="AS51" s="68">
        <v>46.04</v>
      </c>
      <c r="AT51" s="63"/>
      <c r="AU51" s="63">
        <v>0</v>
      </c>
    </row>
    <row r="52" spans="1:47" ht="12.75" hidden="1" customHeight="1" outlineLevel="1" x14ac:dyDescent="0.2">
      <c r="A52" s="61" t="s">
        <v>84</v>
      </c>
      <c r="B52" s="62"/>
      <c r="C52" s="54">
        <v>0</v>
      </c>
      <c r="D52" s="54"/>
      <c r="E52" s="63"/>
      <c r="F52" s="64"/>
      <c r="G52" s="65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66"/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66">
        <v>0</v>
      </c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8"/>
      <c r="AT52" s="63"/>
      <c r="AU52" s="63"/>
    </row>
    <row r="53" spans="1:47" ht="12.75" hidden="1" customHeight="1" outlineLevel="1" x14ac:dyDescent="0.2">
      <c r="A53" s="61" t="s">
        <v>195</v>
      </c>
      <c r="B53" s="62"/>
      <c r="C53" s="54"/>
      <c r="D53" s="54"/>
      <c r="E53" s="63"/>
      <c r="F53" s="64"/>
      <c r="G53" s="65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66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66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8"/>
      <c r="AT53" s="63"/>
      <c r="AU53" s="63"/>
    </row>
    <row r="54" spans="1:47" ht="12.75" hidden="1" customHeight="1" outlineLevel="1" x14ac:dyDescent="0.2">
      <c r="A54" s="61" t="s">
        <v>86</v>
      </c>
      <c r="B54" s="62">
        <v>0</v>
      </c>
      <c r="C54" s="54">
        <v>0</v>
      </c>
      <c r="D54" s="54">
        <v>0</v>
      </c>
      <c r="E54" s="63"/>
      <c r="F54" s="64"/>
      <c r="G54" s="65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66">
        <v>0</v>
      </c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>
        <v>0</v>
      </c>
      <c r="AH54" s="67">
        <v>0</v>
      </c>
      <c r="AI54" s="67">
        <v>0</v>
      </c>
      <c r="AJ54" s="67">
        <v>0</v>
      </c>
      <c r="AK54" s="67">
        <v>0</v>
      </c>
      <c r="AL54" s="67">
        <v>0</v>
      </c>
      <c r="AM54" s="67">
        <v>0</v>
      </c>
      <c r="AN54" s="67">
        <v>0</v>
      </c>
      <c r="AO54" s="67">
        <v>0</v>
      </c>
      <c r="AP54" s="67">
        <v>43.64</v>
      </c>
      <c r="AQ54" s="67">
        <v>0</v>
      </c>
      <c r="AR54" s="67">
        <v>0</v>
      </c>
      <c r="AS54" s="68">
        <v>0</v>
      </c>
      <c r="AT54" s="63"/>
      <c r="AU54" s="63"/>
    </row>
    <row r="55" spans="1:47" ht="12.75" hidden="1" customHeight="1" outlineLevel="1" x14ac:dyDescent="0.2">
      <c r="A55" s="61" t="s">
        <v>110</v>
      </c>
      <c r="B55" s="62"/>
      <c r="C55" s="54"/>
      <c r="D55" s="54"/>
      <c r="E55" s="63"/>
      <c r="F55" s="64"/>
      <c r="G55" s="65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66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66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8"/>
      <c r="AT55" s="63"/>
      <c r="AU55" s="63"/>
    </row>
    <row r="56" spans="1:47" ht="12.75" hidden="1" customHeight="1" outlineLevel="1" x14ac:dyDescent="0.2">
      <c r="A56" s="61" t="s">
        <v>196</v>
      </c>
      <c r="B56" s="62">
        <v>0</v>
      </c>
      <c r="C56" s="54">
        <v>0</v>
      </c>
      <c r="D56" s="54">
        <v>0</v>
      </c>
      <c r="E56" s="63"/>
      <c r="F56" s="64"/>
      <c r="G56" s="65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66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66">
        <v>0</v>
      </c>
      <c r="AG56" s="67">
        <v>0</v>
      </c>
      <c r="AH56" s="67">
        <v>0</v>
      </c>
      <c r="AI56" s="67">
        <v>0</v>
      </c>
      <c r="AJ56" s="67">
        <v>0</v>
      </c>
      <c r="AK56" s="67">
        <v>0</v>
      </c>
      <c r="AL56" s="67">
        <v>0</v>
      </c>
      <c r="AM56" s="67">
        <v>0</v>
      </c>
      <c r="AN56" s="67">
        <v>0</v>
      </c>
      <c r="AO56" s="67">
        <v>0</v>
      </c>
      <c r="AP56" s="67">
        <v>0</v>
      </c>
      <c r="AQ56" s="67">
        <v>0</v>
      </c>
      <c r="AR56" s="67">
        <v>0</v>
      </c>
      <c r="AS56" s="68">
        <v>0</v>
      </c>
      <c r="AT56" s="63"/>
      <c r="AU56" s="63"/>
    </row>
    <row r="57" spans="1:47" ht="12.75" hidden="1" customHeight="1" outlineLevel="1" x14ac:dyDescent="0.2">
      <c r="A57" s="61" t="s">
        <v>197</v>
      </c>
      <c r="B57" s="62">
        <v>0</v>
      </c>
      <c r="C57" s="54">
        <v>0</v>
      </c>
      <c r="D57" s="54">
        <v>0</v>
      </c>
      <c r="E57" s="63"/>
      <c r="F57" s="64"/>
      <c r="G57" s="65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66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66">
        <v>0</v>
      </c>
      <c r="AG57" s="67">
        <v>0</v>
      </c>
      <c r="AH57" s="67">
        <v>0</v>
      </c>
      <c r="AI57" s="67">
        <v>0</v>
      </c>
      <c r="AJ57" s="67">
        <v>0</v>
      </c>
      <c r="AK57" s="67">
        <v>0</v>
      </c>
      <c r="AL57" s="67">
        <v>0</v>
      </c>
      <c r="AM57" s="67">
        <v>0</v>
      </c>
      <c r="AN57" s="67">
        <v>0</v>
      </c>
      <c r="AO57" s="67">
        <v>0</v>
      </c>
      <c r="AP57" s="67">
        <v>0</v>
      </c>
      <c r="AQ57" s="67">
        <v>0</v>
      </c>
      <c r="AR57" s="67">
        <v>0</v>
      </c>
      <c r="AS57" s="68">
        <v>0</v>
      </c>
      <c r="AT57" s="63"/>
      <c r="AU57" s="63"/>
    </row>
    <row r="58" spans="1:47" ht="12.75" hidden="1" customHeight="1" outlineLevel="1" x14ac:dyDescent="0.2">
      <c r="A58" s="61" t="s">
        <v>198</v>
      </c>
      <c r="B58" s="62">
        <v>296.31</v>
      </c>
      <c r="C58" s="54">
        <v>0</v>
      </c>
      <c r="D58" s="54">
        <v>0</v>
      </c>
      <c r="E58" s="63"/>
      <c r="F58" s="64"/>
      <c r="G58" s="65">
        <v>0</v>
      </c>
      <c r="H58" s="54">
        <v>437.53</v>
      </c>
      <c r="I58" s="54">
        <v>204.14</v>
      </c>
      <c r="J58" s="54">
        <v>296.31</v>
      </c>
      <c r="K58" s="56">
        <v>-158.18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937.98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0</v>
      </c>
      <c r="AI58" s="67">
        <v>0</v>
      </c>
      <c r="AJ58" s="67">
        <v>0</v>
      </c>
      <c r="AK58" s="67">
        <v>0</v>
      </c>
      <c r="AL58" s="67">
        <v>58.73</v>
      </c>
      <c r="AM58" s="67">
        <v>0</v>
      </c>
      <c r="AN58" s="67">
        <v>0</v>
      </c>
      <c r="AO58" s="67">
        <v>0</v>
      </c>
      <c r="AP58" s="67">
        <v>18.18</v>
      </c>
      <c r="AQ58" s="67">
        <v>355.56</v>
      </c>
      <c r="AR58" s="67">
        <v>0</v>
      </c>
      <c r="AS58" s="68">
        <v>0</v>
      </c>
      <c r="AT58" s="63"/>
      <c r="AU58" s="63"/>
    </row>
    <row r="59" spans="1:47" ht="12.75" hidden="1" customHeight="1" outlineLevel="1" x14ac:dyDescent="0.2">
      <c r="A59" s="61" t="s">
        <v>199</v>
      </c>
      <c r="B59" s="62"/>
      <c r="C59" s="54"/>
      <c r="D59" s="54"/>
      <c r="E59" s="63"/>
      <c r="F59" s="64"/>
      <c r="G59" s="65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66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66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8"/>
      <c r="AT59" s="63"/>
      <c r="AU59" s="63"/>
    </row>
    <row r="60" spans="1:47" ht="12.75" hidden="1" customHeight="1" outlineLevel="1" x14ac:dyDescent="0.2">
      <c r="A60" s="61" t="s">
        <v>200</v>
      </c>
      <c r="B60" s="62"/>
      <c r="C60" s="54"/>
      <c r="D60" s="54"/>
      <c r="E60" s="63"/>
      <c r="F60" s="64"/>
      <c r="G60" s="65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66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66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8"/>
      <c r="AT60" s="63"/>
      <c r="AU60" s="63"/>
    </row>
    <row r="61" spans="1:47" ht="12.75" customHeight="1" collapsed="1" x14ac:dyDescent="0.2">
      <c r="A61" s="69" t="s">
        <v>89</v>
      </c>
      <c r="B61" s="70">
        <v>296.31</v>
      </c>
      <c r="C61" s="71">
        <v>0</v>
      </c>
      <c r="D61" s="71">
        <v>0</v>
      </c>
      <c r="E61" s="72"/>
      <c r="F61" s="73"/>
      <c r="G61" s="70">
        <v>0</v>
      </c>
      <c r="H61" s="71">
        <v>437.53</v>
      </c>
      <c r="I61" s="71">
        <v>204.14</v>
      </c>
      <c r="J61" s="71">
        <v>296.31</v>
      </c>
      <c r="K61" s="74">
        <v>-158.18</v>
      </c>
      <c r="L61" s="71">
        <v>0</v>
      </c>
      <c r="M61" s="71">
        <v>0</v>
      </c>
      <c r="N61" s="71">
        <v>0</v>
      </c>
      <c r="O61" s="71">
        <v>0</v>
      </c>
      <c r="P61" s="71">
        <v>0</v>
      </c>
      <c r="Q61" s="71">
        <v>0</v>
      </c>
      <c r="R61" s="71">
        <v>0</v>
      </c>
      <c r="S61" s="71">
        <v>937.98</v>
      </c>
      <c r="T61" s="71">
        <v>0</v>
      </c>
      <c r="U61" s="71">
        <v>0</v>
      </c>
      <c r="V61" s="71">
        <v>0</v>
      </c>
      <c r="W61" s="71">
        <v>0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71">
        <v>0</v>
      </c>
      <c r="AE61" s="71">
        <v>0</v>
      </c>
      <c r="AF61" s="71">
        <v>0</v>
      </c>
      <c r="AG61" s="75">
        <v>0</v>
      </c>
      <c r="AH61" s="75">
        <v>46.04</v>
      </c>
      <c r="AI61" s="75">
        <v>0</v>
      </c>
      <c r="AJ61" s="75">
        <v>0</v>
      </c>
      <c r="AK61" s="75">
        <v>0</v>
      </c>
      <c r="AL61" s="75">
        <v>58.73</v>
      </c>
      <c r="AM61" s="75">
        <v>0</v>
      </c>
      <c r="AN61" s="75">
        <v>0</v>
      </c>
      <c r="AO61" s="75">
        <v>0</v>
      </c>
      <c r="AP61" s="75">
        <v>61.82</v>
      </c>
      <c r="AQ61" s="75">
        <v>355.56</v>
      </c>
      <c r="AR61" s="75">
        <v>0</v>
      </c>
      <c r="AS61" s="75">
        <v>46.04</v>
      </c>
      <c r="AT61" s="72"/>
      <c r="AU61" s="72">
        <v>2037.3153779322329</v>
      </c>
    </row>
    <row r="62" spans="1:47" ht="12.75" customHeight="1" x14ac:dyDescent="0.2">
      <c r="A62" s="77" t="s">
        <v>201</v>
      </c>
      <c r="B62" s="78">
        <v>46381.63</v>
      </c>
      <c r="C62" s="79">
        <v>0</v>
      </c>
      <c r="D62" s="79">
        <v>55047.3</v>
      </c>
      <c r="E62" s="80"/>
      <c r="F62" s="81">
        <v>84.257774677413792</v>
      </c>
      <c r="G62" s="78">
        <v>50476.72</v>
      </c>
      <c r="H62" s="79">
        <v>47445.41</v>
      </c>
      <c r="I62" s="79">
        <v>35099.08</v>
      </c>
      <c r="J62" s="79">
        <v>46381.63</v>
      </c>
      <c r="K62" s="82">
        <v>-3540.8</v>
      </c>
      <c r="L62" s="79">
        <v>0</v>
      </c>
      <c r="M62" s="79">
        <v>0</v>
      </c>
      <c r="N62" s="79">
        <v>0</v>
      </c>
      <c r="O62" s="79">
        <v>0</v>
      </c>
      <c r="P62" s="79">
        <v>0</v>
      </c>
      <c r="Q62" s="79">
        <v>0</v>
      </c>
      <c r="R62" s="79">
        <v>0</v>
      </c>
      <c r="S62" s="79">
        <v>179402.84</v>
      </c>
      <c r="T62" s="79">
        <v>0</v>
      </c>
      <c r="U62" s="79">
        <v>0</v>
      </c>
      <c r="V62" s="79">
        <v>0</v>
      </c>
      <c r="W62" s="79">
        <v>0</v>
      </c>
      <c r="X62" s="79">
        <v>0</v>
      </c>
      <c r="Y62" s="79">
        <v>0</v>
      </c>
      <c r="Z62" s="79">
        <v>0</v>
      </c>
      <c r="AA62" s="79">
        <v>0</v>
      </c>
      <c r="AB62" s="79">
        <v>0</v>
      </c>
      <c r="AC62" s="79">
        <v>0</v>
      </c>
      <c r="AD62" s="79">
        <v>0</v>
      </c>
      <c r="AE62" s="79">
        <v>0</v>
      </c>
      <c r="AF62" s="79">
        <v>0</v>
      </c>
      <c r="AG62" s="83">
        <v>50934</v>
      </c>
      <c r="AH62" s="83">
        <v>53880.76</v>
      </c>
      <c r="AI62" s="83">
        <v>47320.95</v>
      </c>
      <c r="AJ62" s="83">
        <v>55047.3</v>
      </c>
      <c r="AK62" s="83">
        <v>47068.73</v>
      </c>
      <c r="AL62" s="83">
        <v>59792.6</v>
      </c>
      <c r="AM62" s="83">
        <v>53416.05</v>
      </c>
      <c r="AN62" s="83">
        <v>57997.56</v>
      </c>
      <c r="AO62" s="83">
        <v>55244.08</v>
      </c>
      <c r="AP62" s="83">
        <v>54417.279999999999</v>
      </c>
      <c r="AQ62" s="83">
        <v>89619.79</v>
      </c>
      <c r="AR62" s="83">
        <v>46224.1</v>
      </c>
      <c r="AS62" s="83">
        <v>207183.01</v>
      </c>
      <c r="AT62" s="80"/>
      <c r="AU62" s="80">
        <v>86.591482573788269</v>
      </c>
    </row>
    <row r="65" spans="1:4" ht="15" x14ac:dyDescent="0.25">
      <c r="A65" s="16"/>
      <c r="B65" s="16"/>
      <c r="C65" s="16"/>
      <c r="D65" s="16"/>
    </row>
    <row r="66" spans="1:4" ht="15" x14ac:dyDescent="0.25">
      <c r="A66" s="16"/>
      <c r="B66" s="16"/>
      <c r="C66" s="16"/>
      <c r="D66" s="16"/>
    </row>
    <row r="67" spans="1:4" ht="15" x14ac:dyDescent="0.25">
      <c r="A67" s="16"/>
      <c r="B67" s="16"/>
      <c r="C67" s="16"/>
      <c r="D67" s="16"/>
    </row>
    <row r="68" spans="1:4" ht="15" x14ac:dyDescent="0.25">
      <c r="A68" s="16"/>
      <c r="B68" s="16"/>
      <c r="C68" s="16"/>
      <c r="D68" s="16"/>
    </row>
    <row r="69" spans="1:4" ht="15" x14ac:dyDescent="0.25">
      <c r="A69" s="16"/>
      <c r="B69" s="16"/>
      <c r="C69" s="16"/>
      <c r="D69" s="16"/>
    </row>
    <row r="70" spans="1:4" ht="15" x14ac:dyDescent="0.25">
      <c r="A70" s="16"/>
      <c r="B70" s="16"/>
      <c r="C70" s="16"/>
      <c r="D70" s="16"/>
    </row>
    <row r="71" spans="1:4" ht="15" x14ac:dyDescent="0.25">
      <c r="A71" s="16"/>
      <c r="B71" s="16"/>
      <c r="C71" s="16"/>
      <c r="D71" s="16"/>
    </row>
  </sheetData>
  <pageMargins left="0.75" right="0.75" top="1" bottom="1" header="0.5" footer="0.5"/>
  <pageSetup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CCFF99"/>
  </sheetPr>
  <dimension ref="A1:AU70"/>
  <sheetViews>
    <sheetView workbookViewId="0">
      <selection sqref="A1:AU61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9.42578125" collapsed="1"/>
    <col min="46" max="47" width="10.5703125" customWidth="1"/>
  </cols>
  <sheetData>
    <row r="1" spans="1:47" ht="36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ht="12.75" hidden="1" customHeight="1" outlineLevel="1" x14ac:dyDescent="0.2">
      <c r="A2" s="61" t="s">
        <v>160</v>
      </c>
      <c r="B2" s="62">
        <v>0</v>
      </c>
      <c r="C2" s="54">
        <v>0</v>
      </c>
      <c r="D2" s="54">
        <v>0</v>
      </c>
      <c r="E2" s="63"/>
      <c r="F2" s="64"/>
      <c r="G2" s="65">
        <v>0</v>
      </c>
      <c r="H2" s="54">
        <v>0</v>
      </c>
      <c r="I2" s="54">
        <v>0</v>
      </c>
      <c r="J2" s="54">
        <v>0</v>
      </c>
      <c r="K2" s="54">
        <v>0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0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0</v>
      </c>
      <c r="AH2" s="67">
        <v>0</v>
      </c>
      <c r="AI2" s="67">
        <v>0</v>
      </c>
      <c r="AJ2" s="67">
        <v>0</v>
      </c>
      <c r="AK2" s="67">
        <v>0</v>
      </c>
      <c r="AL2" s="67">
        <v>0</v>
      </c>
      <c r="AM2" s="67">
        <v>0</v>
      </c>
      <c r="AN2" s="67">
        <v>0</v>
      </c>
      <c r="AO2" s="67">
        <v>0</v>
      </c>
      <c r="AP2" s="67">
        <v>0</v>
      </c>
      <c r="AQ2" s="67">
        <v>0</v>
      </c>
      <c r="AR2" s="67">
        <v>0</v>
      </c>
      <c r="AS2" s="68">
        <v>0</v>
      </c>
      <c r="AT2" s="63"/>
      <c r="AU2" s="63"/>
    </row>
    <row r="3" spans="1:47" ht="12.75" hidden="1" customHeight="1" outlineLevel="1" x14ac:dyDescent="0.2">
      <c r="A3" s="61" t="s">
        <v>161</v>
      </c>
      <c r="B3" s="62">
        <v>0</v>
      </c>
      <c r="C3" s="54">
        <v>0</v>
      </c>
      <c r="D3" s="54">
        <v>0</v>
      </c>
      <c r="E3" s="63"/>
      <c r="F3" s="64"/>
      <c r="G3" s="65">
        <v>0</v>
      </c>
      <c r="H3" s="54">
        <v>0</v>
      </c>
      <c r="I3" s="54">
        <v>0</v>
      </c>
      <c r="J3" s="54">
        <v>0</v>
      </c>
      <c r="K3" s="54">
        <v>0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0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0</v>
      </c>
      <c r="AH3" s="67">
        <v>0</v>
      </c>
      <c r="AI3" s="67">
        <v>0</v>
      </c>
      <c r="AJ3" s="67">
        <v>0</v>
      </c>
      <c r="AK3" s="67">
        <v>0</v>
      </c>
      <c r="AL3" s="67">
        <v>0</v>
      </c>
      <c r="AM3" s="67">
        <v>0</v>
      </c>
      <c r="AN3" s="67">
        <v>0</v>
      </c>
      <c r="AO3" s="67">
        <v>0</v>
      </c>
      <c r="AP3" s="67">
        <v>0</v>
      </c>
      <c r="AQ3" s="67">
        <v>0</v>
      </c>
      <c r="AR3" s="67">
        <v>0</v>
      </c>
      <c r="AS3" s="68">
        <v>0</v>
      </c>
      <c r="AT3" s="63"/>
      <c r="AU3" s="63"/>
    </row>
    <row r="4" spans="1:47" ht="12.75" hidden="1" customHeight="1" outlineLevel="1" x14ac:dyDescent="0.2">
      <c r="A4" s="61" t="s">
        <v>162</v>
      </c>
      <c r="B4" s="62">
        <v>0</v>
      </c>
      <c r="C4" s="54">
        <v>0</v>
      </c>
      <c r="D4" s="54">
        <v>0</v>
      </c>
      <c r="E4" s="63"/>
      <c r="F4" s="64"/>
      <c r="G4" s="65">
        <v>0</v>
      </c>
      <c r="H4" s="54">
        <v>0</v>
      </c>
      <c r="I4" s="54">
        <v>0</v>
      </c>
      <c r="J4" s="54">
        <v>0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0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0</v>
      </c>
      <c r="AH4" s="67">
        <v>0</v>
      </c>
      <c r="AI4" s="67">
        <v>0</v>
      </c>
      <c r="AJ4" s="67">
        <v>0</v>
      </c>
      <c r="AK4" s="67">
        <v>0</v>
      </c>
      <c r="AL4" s="67">
        <v>0</v>
      </c>
      <c r="AM4" s="67">
        <v>0</v>
      </c>
      <c r="AN4" s="67">
        <v>0</v>
      </c>
      <c r="AO4" s="67">
        <v>0</v>
      </c>
      <c r="AP4" s="67">
        <v>0</v>
      </c>
      <c r="AQ4" s="67">
        <v>0</v>
      </c>
      <c r="AR4" s="67">
        <v>0</v>
      </c>
      <c r="AS4" s="68">
        <v>0</v>
      </c>
      <c r="AT4" s="63"/>
      <c r="AU4" s="63"/>
    </row>
    <row r="5" spans="1:47" ht="12.75" hidden="1" customHeight="1" outlineLevel="1" x14ac:dyDescent="0.2">
      <c r="A5" s="61" t="s">
        <v>163</v>
      </c>
      <c r="B5" s="62">
        <v>0</v>
      </c>
      <c r="C5" s="54">
        <v>0</v>
      </c>
      <c r="D5" s="54">
        <v>1368.95</v>
      </c>
      <c r="E5" s="63"/>
      <c r="F5" s="64">
        <v>0</v>
      </c>
      <c r="G5" s="65">
        <v>1368.95</v>
      </c>
      <c r="H5" s="54">
        <v>1368.95</v>
      </c>
      <c r="I5" s="56">
        <v>-2737.9</v>
      </c>
      <c r="J5" s="54">
        <v>0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0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1313</v>
      </c>
      <c r="AH5" s="67">
        <v>1313</v>
      </c>
      <c r="AI5" s="67">
        <v>1313</v>
      </c>
      <c r="AJ5" s="67">
        <v>1368.95</v>
      </c>
      <c r="AK5" s="67">
        <v>1368.95</v>
      </c>
      <c r="AL5" s="67">
        <v>1368.95</v>
      </c>
      <c r="AM5" s="67">
        <v>1368.95</v>
      </c>
      <c r="AN5" s="67">
        <v>1368.95</v>
      </c>
      <c r="AO5" s="67">
        <v>1368.95</v>
      </c>
      <c r="AP5" s="67">
        <v>1368.95</v>
      </c>
      <c r="AQ5" s="98">
        <v>-13668.76</v>
      </c>
      <c r="AR5" s="67">
        <v>0</v>
      </c>
      <c r="AS5" s="68">
        <v>5307.95</v>
      </c>
      <c r="AT5" s="63"/>
      <c r="AU5" s="63">
        <v>0</v>
      </c>
    </row>
    <row r="6" spans="1:47" ht="12.75" hidden="1" customHeight="1" outlineLevel="1" x14ac:dyDescent="0.2">
      <c r="A6" s="61" t="s">
        <v>164</v>
      </c>
      <c r="B6" s="62"/>
      <c r="C6" s="54">
        <v>0</v>
      </c>
      <c r="D6" s="54"/>
      <c r="E6" s="63"/>
      <c r="F6" s="64"/>
      <c r="G6" s="65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66"/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8"/>
      <c r="AT6" s="63"/>
      <c r="AU6" s="63"/>
    </row>
    <row r="7" spans="1:47" hidden="1" outlineLevel="1" x14ac:dyDescent="0.2">
      <c r="A7" s="61" t="s">
        <v>165</v>
      </c>
      <c r="B7" s="62">
        <v>0</v>
      </c>
      <c r="C7" s="54">
        <v>0</v>
      </c>
      <c r="D7" s="54">
        <v>0</v>
      </c>
      <c r="E7" s="63"/>
      <c r="F7" s="64"/>
      <c r="G7" s="65">
        <v>0</v>
      </c>
      <c r="H7" s="54">
        <v>0</v>
      </c>
      <c r="I7" s="54">
        <v>0</v>
      </c>
      <c r="J7" s="54">
        <v>0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0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0</v>
      </c>
      <c r="AH7" s="67">
        <v>0</v>
      </c>
      <c r="AI7" s="67">
        <v>0</v>
      </c>
      <c r="AJ7" s="67">
        <v>0</v>
      </c>
      <c r="AK7" s="67">
        <v>0</v>
      </c>
      <c r="AL7" s="67">
        <v>0</v>
      </c>
      <c r="AM7" s="67">
        <v>0</v>
      </c>
      <c r="AN7" s="67">
        <v>0</v>
      </c>
      <c r="AO7" s="67">
        <v>0</v>
      </c>
      <c r="AP7" s="67">
        <v>0</v>
      </c>
      <c r="AQ7" s="67">
        <v>0</v>
      </c>
      <c r="AR7" s="67">
        <v>0</v>
      </c>
      <c r="AS7" s="68">
        <v>0</v>
      </c>
      <c r="AT7" s="63"/>
      <c r="AU7" s="63"/>
    </row>
    <row r="8" spans="1:47" ht="12.75" customHeight="1" collapsed="1" x14ac:dyDescent="0.2">
      <c r="A8" s="69" t="s">
        <v>166</v>
      </c>
      <c r="B8" s="70">
        <v>0</v>
      </c>
      <c r="C8" s="71">
        <v>0</v>
      </c>
      <c r="D8" s="71">
        <v>1368.95</v>
      </c>
      <c r="E8" s="72"/>
      <c r="F8" s="73">
        <v>0</v>
      </c>
      <c r="G8" s="70">
        <v>1368.95</v>
      </c>
      <c r="H8" s="71">
        <v>1368.95</v>
      </c>
      <c r="I8" s="74">
        <v>-2737.9</v>
      </c>
      <c r="J8" s="71">
        <v>0</v>
      </c>
      <c r="K8" s="71">
        <v>0</v>
      </c>
      <c r="L8" s="71">
        <v>0</v>
      </c>
      <c r="M8" s="71">
        <v>0</v>
      </c>
      <c r="N8" s="71">
        <v>0</v>
      </c>
      <c r="O8" s="71">
        <v>0</v>
      </c>
      <c r="P8" s="71">
        <v>0</v>
      </c>
      <c r="Q8" s="71">
        <v>0</v>
      </c>
      <c r="R8" s="71">
        <v>0</v>
      </c>
      <c r="S8" s="71">
        <v>0</v>
      </c>
      <c r="T8" s="71">
        <v>0</v>
      </c>
      <c r="U8" s="71">
        <v>0</v>
      </c>
      <c r="V8" s="71">
        <v>0</v>
      </c>
      <c r="W8" s="71">
        <v>0</v>
      </c>
      <c r="X8" s="71">
        <v>0</v>
      </c>
      <c r="Y8" s="71">
        <v>0</v>
      </c>
      <c r="Z8" s="71">
        <v>0</v>
      </c>
      <c r="AA8" s="71">
        <v>0</v>
      </c>
      <c r="AB8" s="71">
        <v>0</v>
      </c>
      <c r="AC8" s="71">
        <v>0</v>
      </c>
      <c r="AD8" s="71">
        <v>0</v>
      </c>
      <c r="AE8" s="71">
        <v>0</v>
      </c>
      <c r="AF8" s="71">
        <v>0</v>
      </c>
      <c r="AG8" s="75">
        <v>1313</v>
      </c>
      <c r="AH8" s="75">
        <v>1313</v>
      </c>
      <c r="AI8" s="75">
        <v>1313</v>
      </c>
      <c r="AJ8" s="75">
        <v>1368.95</v>
      </c>
      <c r="AK8" s="75">
        <v>1368.95</v>
      </c>
      <c r="AL8" s="75">
        <v>1368.95</v>
      </c>
      <c r="AM8" s="75">
        <v>1368.95</v>
      </c>
      <c r="AN8" s="75">
        <v>1368.95</v>
      </c>
      <c r="AO8" s="75">
        <v>1368.95</v>
      </c>
      <c r="AP8" s="75">
        <v>1368.95</v>
      </c>
      <c r="AQ8" s="134">
        <v>-13668.76</v>
      </c>
      <c r="AR8" s="75">
        <v>0</v>
      </c>
      <c r="AS8" s="75">
        <v>5307.95</v>
      </c>
      <c r="AT8" s="72"/>
      <c r="AU8" s="72">
        <v>0</v>
      </c>
    </row>
    <row r="9" spans="1:47" ht="12.75" customHeight="1" x14ac:dyDescent="0.2">
      <c r="A9" s="61" t="s">
        <v>167</v>
      </c>
      <c r="B9" s="62"/>
      <c r="C9" s="54"/>
      <c r="D9" s="54"/>
      <c r="E9" s="63"/>
      <c r="F9" s="64"/>
      <c r="G9" s="65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66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66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8"/>
      <c r="AT9" s="63"/>
      <c r="AU9" s="63"/>
    </row>
    <row r="10" spans="1:47" ht="12.75" customHeight="1" x14ac:dyDescent="0.2">
      <c r="A10" s="61" t="s">
        <v>168</v>
      </c>
      <c r="B10" s="62"/>
      <c r="C10" s="54"/>
      <c r="D10" s="54"/>
      <c r="E10" s="63"/>
      <c r="F10" s="64"/>
      <c r="G10" s="65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66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8"/>
      <c r="AT10" s="63"/>
      <c r="AU10" s="63"/>
    </row>
    <row r="11" spans="1:47" ht="12.75" customHeight="1" x14ac:dyDescent="0.2">
      <c r="A11" s="61" t="s">
        <v>169</v>
      </c>
      <c r="B11" s="62"/>
      <c r="C11" s="54"/>
      <c r="D11" s="54"/>
      <c r="E11" s="63"/>
      <c r="F11" s="64"/>
      <c r="G11" s="65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66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66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8"/>
      <c r="AT11" s="63"/>
      <c r="AU11" s="63"/>
    </row>
    <row r="12" spans="1:47" ht="12.75" customHeight="1" x14ac:dyDescent="0.2">
      <c r="A12" s="61" t="s">
        <v>50</v>
      </c>
      <c r="B12" s="62"/>
      <c r="C12" s="54"/>
      <c r="D12" s="54"/>
      <c r="E12" s="63"/>
      <c r="F12" s="64"/>
      <c r="G12" s="65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66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6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8"/>
      <c r="AT12" s="63"/>
      <c r="AU12" s="63"/>
    </row>
    <row r="13" spans="1:47" ht="12.75" customHeight="1" x14ac:dyDescent="0.2">
      <c r="A13" s="61" t="s">
        <v>170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47" ht="12.75" customHeight="1" x14ac:dyDescent="0.2">
      <c r="A14" s="61" t="s">
        <v>171</v>
      </c>
      <c r="B14" s="62"/>
      <c r="C14" s="54"/>
      <c r="D14" s="54"/>
      <c r="E14" s="63"/>
      <c r="F14" s="64"/>
      <c r="G14" s="65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66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66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8"/>
      <c r="AT14" s="63"/>
      <c r="AU14" s="63"/>
    </row>
    <row r="15" spans="1:47" ht="12.75" customHeight="1" x14ac:dyDescent="0.2">
      <c r="A15" s="61" t="s">
        <v>172</v>
      </c>
      <c r="B15" s="62"/>
      <c r="C15" s="54"/>
      <c r="D15" s="54"/>
      <c r="E15" s="63"/>
      <c r="F15" s="64"/>
      <c r="G15" s="65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66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66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8"/>
      <c r="AT15" s="63"/>
      <c r="AU15" s="63"/>
    </row>
    <row r="16" spans="1:47" ht="12.75" customHeight="1" x14ac:dyDescent="0.2">
      <c r="A16" s="61" t="s">
        <v>173</v>
      </c>
      <c r="B16" s="62"/>
      <c r="C16" s="54"/>
      <c r="D16" s="54"/>
      <c r="E16" s="63"/>
      <c r="F16" s="64"/>
      <c r="G16" s="65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66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66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8"/>
      <c r="AT16" s="63"/>
      <c r="AU16" s="63"/>
    </row>
    <row r="17" spans="1:47" ht="12.75" hidden="1" customHeight="1" outlineLevel="1" x14ac:dyDescent="0.2">
      <c r="A17" s="61" t="s">
        <v>109</v>
      </c>
      <c r="B17" s="62"/>
      <c r="C17" s="54"/>
      <c r="D17" s="54"/>
      <c r="E17" s="63"/>
      <c r="F17" s="64"/>
      <c r="G17" s="65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66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66"/>
      <c r="AG17" s="67"/>
      <c r="AH17" s="67"/>
      <c r="AI17" s="67"/>
      <c r="AJ17" s="67"/>
      <c r="AK17" s="67"/>
      <c r="AL17" s="67"/>
      <c r="AM17" s="67"/>
      <c r="AN17" s="67"/>
      <c r="AO17" s="67"/>
      <c r="AP17" s="67"/>
      <c r="AQ17" s="67"/>
      <c r="AR17" s="67"/>
      <c r="AS17" s="68"/>
      <c r="AT17" s="63"/>
      <c r="AU17" s="63"/>
    </row>
    <row r="18" spans="1:47" ht="12.75" hidden="1" customHeight="1" outlineLevel="1" x14ac:dyDescent="0.2">
      <c r="A18" s="61" t="s">
        <v>97</v>
      </c>
      <c r="B18" s="62"/>
      <c r="C18" s="54"/>
      <c r="D18" s="54"/>
      <c r="E18" s="63"/>
      <c r="F18" s="64"/>
      <c r="G18" s="65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66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66"/>
      <c r="AG18" s="67"/>
      <c r="AH18" s="67"/>
      <c r="AI18" s="67"/>
      <c r="AJ18" s="67"/>
      <c r="AK18" s="67"/>
      <c r="AL18" s="67"/>
      <c r="AM18" s="67"/>
      <c r="AN18" s="67"/>
      <c r="AO18" s="67"/>
      <c r="AP18" s="67"/>
      <c r="AQ18" s="67"/>
      <c r="AR18" s="67"/>
      <c r="AS18" s="68"/>
      <c r="AT18" s="63"/>
      <c r="AU18" s="63"/>
    </row>
    <row r="19" spans="1:47" ht="12.75" hidden="1" customHeight="1" outlineLevel="1" x14ac:dyDescent="0.2">
      <c r="A19" s="61" t="s">
        <v>69</v>
      </c>
      <c r="B19" s="62"/>
      <c r="C19" s="54"/>
      <c r="D19" s="54"/>
      <c r="E19" s="63"/>
      <c r="F19" s="64"/>
      <c r="G19" s="65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66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66"/>
      <c r="AG19" s="67"/>
      <c r="AH19" s="67"/>
      <c r="AI19" s="67"/>
      <c r="AJ19" s="67"/>
      <c r="AK19" s="67"/>
      <c r="AL19" s="67"/>
      <c r="AM19" s="67"/>
      <c r="AN19" s="67"/>
      <c r="AO19" s="67"/>
      <c r="AP19" s="67"/>
      <c r="AQ19" s="67"/>
      <c r="AR19" s="67"/>
      <c r="AS19" s="68"/>
      <c r="AT19" s="63"/>
      <c r="AU19" s="63"/>
    </row>
    <row r="20" spans="1:47" ht="12.75" customHeight="1" collapsed="1" x14ac:dyDescent="0.2">
      <c r="A20" s="69" t="s">
        <v>70</v>
      </c>
      <c r="B20" s="70"/>
      <c r="C20" s="71"/>
      <c r="D20" s="71"/>
      <c r="E20" s="72"/>
      <c r="F20" s="73"/>
      <c r="G20" s="70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5"/>
      <c r="AH20" s="75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2"/>
      <c r="AU20" s="72"/>
    </row>
    <row r="21" spans="1:47" ht="12.75" hidden="1" customHeight="1" outlineLevel="1" x14ac:dyDescent="0.2">
      <c r="A21" s="61" t="s">
        <v>174</v>
      </c>
      <c r="B21" s="62"/>
      <c r="C21" s="54"/>
      <c r="D21" s="54"/>
      <c r="E21" s="63"/>
      <c r="F21" s="64"/>
      <c r="G21" s="65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66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66"/>
      <c r="AG21" s="67"/>
      <c r="AH21" s="67"/>
      <c r="AI21" s="67"/>
      <c r="AJ21" s="67"/>
      <c r="AK21" s="67"/>
      <c r="AL21" s="67"/>
      <c r="AM21" s="67"/>
      <c r="AN21" s="67"/>
      <c r="AO21" s="67"/>
      <c r="AP21" s="67"/>
      <c r="AQ21" s="67"/>
      <c r="AR21" s="67"/>
      <c r="AS21" s="68"/>
      <c r="AT21" s="63"/>
      <c r="AU21" s="63"/>
    </row>
    <row r="22" spans="1:47" ht="12.75" hidden="1" customHeight="1" outlineLevel="1" x14ac:dyDescent="0.2">
      <c r="A22" s="61" t="s">
        <v>99</v>
      </c>
      <c r="B22" s="62"/>
      <c r="C22" s="54"/>
      <c r="D22" s="54"/>
      <c r="E22" s="63"/>
      <c r="F22" s="64"/>
      <c r="G22" s="65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66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66"/>
      <c r="AG22" s="67"/>
      <c r="AH22" s="67"/>
      <c r="AI22" s="67"/>
      <c r="AJ22" s="67"/>
      <c r="AK22" s="67"/>
      <c r="AL22" s="67"/>
      <c r="AM22" s="67"/>
      <c r="AN22" s="67"/>
      <c r="AO22" s="67"/>
      <c r="AP22" s="67"/>
      <c r="AQ22" s="67"/>
      <c r="AR22" s="67"/>
      <c r="AS22" s="68"/>
      <c r="AT22" s="63"/>
      <c r="AU22" s="63"/>
    </row>
    <row r="23" spans="1:47" ht="12.75" hidden="1" customHeight="1" outlineLevel="1" x14ac:dyDescent="0.2">
      <c r="A23" s="61" t="s">
        <v>175</v>
      </c>
      <c r="B23" s="62"/>
      <c r="C23" s="54"/>
      <c r="D23" s="54"/>
      <c r="E23" s="63"/>
      <c r="F23" s="64"/>
      <c r="G23" s="65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66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66"/>
      <c r="AG23" s="67"/>
      <c r="AH23" s="67"/>
      <c r="AI23" s="67"/>
      <c r="AJ23" s="67"/>
      <c r="AK23" s="67"/>
      <c r="AL23" s="67"/>
      <c r="AM23" s="67"/>
      <c r="AN23" s="67"/>
      <c r="AO23" s="67"/>
      <c r="AP23" s="67"/>
      <c r="AQ23" s="67"/>
      <c r="AR23" s="67"/>
      <c r="AS23" s="68"/>
      <c r="AT23" s="63"/>
      <c r="AU23" s="63"/>
    </row>
    <row r="24" spans="1:47" ht="12.75" hidden="1" customHeight="1" outlineLevel="1" x14ac:dyDescent="0.2">
      <c r="A24" s="61" t="s">
        <v>100</v>
      </c>
      <c r="B24" s="62"/>
      <c r="C24" s="54"/>
      <c r="D24" s="54"/>
      <c r="E24" s="63"/>
      <c r="F24" s="64"/>
      <c r="G24" s="65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66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66"/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8"/>
      <c r="AT24" s="63"/>
      <c r="AU24" s="63"/>
    </row>
    <row r="25" spans="1:47" ht="12.75" hidden="1" customHeight="1" outlineLevel="1" x14ac:dyDescent="0.2">
      <c r="A25" s="61" t="s">
        <v>101</v>
      </c>
      <c r="B25" s="62"/>
      <c r="C25" s="54"/>
      <c r="D25" s="54"/>
      <c r="E25" s="63"/>
      <c r="F25" s="64"/>
      <c r="G25" s="65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66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66"/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8"/>
      <c r="AT25" s="63"/>
      <c r="AU25" s="63"/>
    </row>
    <row r="26" spans="1:47" ht="12.75" hidden="1" customHeight="1" outlineLevel="1" x14ac:dyDescent="0.2">
      <c r="A26" s="61" t="s">
        <v>176</v>
      </c>
      <c r="B26" s="62"/>
      <c r="C26" s="54"/>
      <c r="D26" s="54"/>
      <c r="E26" s="63"/>
      <c r="F26" s="64"/>
      <c r="G26" s="65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66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66"/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8"/>
      <c r="AT26" s="63"/>
      <c r="AU26" s="63"/>
    </row>
    <row r="27" spans="1:47" ht="12.75" hidden="1" customHeight="1" outlineLevel="1" x14ac:dyDescent="0.2">
      <c r="A27" s="61" t="s">
        <v>102</v>
      </c>
      <c r="B27" s="62"/>
      <c r="C27" s="54"/>
      <c r="D27" s="54"/>
      <c r="E27" s="63"/>
      <c r="F27" s="64"/>
      <c r="G27" s="65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66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66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8"/>
      <c r="AT27" s="63"/>
      <c r="AU27" s="63"/>
    </row>
    <row r="28" spans="1:47" ht="12.75" hidden="1" customHeight="1" outlineLevel="1" x14ac:dyDescent="0.2">
      <c r="A28" s="61" t="s">
        <v>75</v>
      </c>
      <c r="B28" s="62"/>
      <c r="C28" s="54"/>
      <c r="D28" s="54"/>
      <c r="E28" s="63"/>
      <c r="F28" s="64"/>
      <c r="G28" s="65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66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66"/>
      <c r="AG28" s="67"/>
      <c r="AH28" s="67"/>
      <c r="AI28" s="67"/>
      <c r="AJ28" s="67"/>
      <c r="AK28" s="67"/>
      <c r="AL28" s="67"/>
      <c r="AM28" s="67"/>
      <c r="AN28" s="67"/>
      <c r="AO28" s="67"/>
      <c r="AP28" s="67"/>
      <c r="AQ28" s="67"/>
      <c r="AR28" s="67"/>
      <c r="AS28" s="68"/>
      <c r="AT28" s="63"/>
      <c r="AU28" s="63"/>
    </row>
    <row r="29" spans="1:47" ht="12.75" hidden="1" customHeight="1" outlineLevel="1" x14ac:dyDescent="0.2">
      <c r="A29" s="61" t="s">
        <v>76</v>
      </c>
      <c r="B29" s="62"/>
      <c r="C29" s="54"/>
      <c r="D29" s="54"/>
      <c r="E29" s="63"/>
      <c r="F29" s="64"/>
      <c r="G29" s="65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66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66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8"/>
      <c r="AT29" s="63"/>
      <c r="AU29" s="63"/>
    </row>
    <row r="30" spans="1:47" ht="12.75" hidden="1" customHeight="1" outlineLevel="1" x14ac:dyDescent="0.2">
      <c r="A30" s="61" t="s">
        <v>77</v>
      </c>
      <c r="B30" s="62"/>
      <c r="C30" s="54"/>
      <c r="D30" s="54"/>
      <c r="E30" s="63"/>
      <c r="F30" s="64"/>
      <c r="G30" s="65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66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66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8"/>
      <c r="AT30" s="63"/>
      <c r="AU30" s="63"/>
    </row>
    <row r="31" spans="1:47" ht="12.75" customHeight="1" collapsed="1" x14ac:dyDescent="0.2">
      <c r="A31" s="69" t="s">
        <v>177</v>
      </c>
      <c r="B31" s="70"/>
      <c r="C31" s="71"/>
      <c r="D31" s="71"/>
      <c r="E31" s="72"/>
      <c r="F31" s="73"/>
      <c r="G31" s="70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5"/>
      <c r="AH31" s="75"/>
      <c r="AI31" s="75"/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2"/>
      <c r="AU31" s="72"/>
    </row>
    <row r="32" spans="1:47" ht="12.75" hidden="1" customHeight="1" outlineLevel="1" x14ac:dyDescent="0.2">
      <c r="A32" s="61" t="s">
        <v>178</v>
      </c>
      <c r="B32" s="62"/>
      <c r="C32" s="54">
        <v>0</v>
      </c>
      <c r="D32" s="54"/>
      <c r="E32" s="63"/>
      <c r="F32" s="64"/>
      <c r="G32" s="65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66"/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66">
        <v>0</v>
      </c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8"/>
      <c r="AT32" s="63"/>
      <c r="AU32" s="63"/>
    </row>
    <row r="33" spans="1:47" ht="12.75" hidden="1" customHeight="1" outlineLevel="1" x14ac:dyDescent="0.2">
      <c r="A33" s="61" t="s">
        <v>179</v>
      </c>
      <c r="B33" s="62"/>
      <c r="C33" s="54">
        <v>0</v>
      </c>
      <c r="D33" s="54"/>
      <c r="E33" s="63"/>
      <c r="F33" s="64"/>
      <c r="G33" s="65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66"/>
      <c r="T33" s="54">
        <v>0</v>
      </c>
      <c r="U33" s="54">
        <v>0</v>
      </c>
      <c r="V33" s="54">
        <v>0</v>
      </c>
      <c r="W33" s="54">
        <v>0</v>
      </c>
      <c r="X33" s="54">
        <v>0</v>
      </c>
      <c r="Y33" s="54">
        <v>0</v>
      </c>
      <c r="Z33" s="54">
        <v>0</v>
      </c>
      <c r="AA33" s="54">
        <v>0</v>
      </c>
      <c r="AB33" s="54">
        <v>0</v>
      </c>
      <c r="AC33" s="54">
        <v>0</v>
      </c>
      <c r="AD33" s="54">
        <v>0</v>
      </c>
      <c r="AE33" s="54">
        <v>0</v>
      </c>
      <c r="AF33" s="66">
        <v>0</v>
      </c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8"/>
      <c r="AT33" s="63"/>
      <c r="AU33" s="63"/>
    </row>
    <row r="34" spans="1:47" ht="12.75" hidden="1" customHeight="1" outlineLevel="1" x14ac:dyDescent="0.2">
      <c r="A34" s="61" t="s">
        <v>180</v>
      </c>
      <c r="B34" s="62"/>
      <c r="C34" s="54">
        <v>0</v>
      </c>
      <c r="D34" s="54"/>
      <c r="E34" s="63"/>
      <c r="F34" s="64"/>
      <c r="G34" s="65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66"/>
      <c r="T34" s="54">
        <v>0</v>
      </c>
      <c r="U34" s="54">
        <v>0</v>
      </c>
      <c r="V34" s="54">
        <v>0</v>
      </c>
      <c r="W34" s="54">
        <v>0</v>
      </c>
      <c r="X34" s="54">
        <v>0</v>
      </c>
      <c r="Y34" s="54">
        <v>0</v>
      </c>
      <c r="Z34" s="54">
        <v>0</v>
      </c>
      <c r="AA34" s="54">
        <v>0</v>
      </c>
      <c r="AB34" s="54">
        <v>0</v>
      </c>
      <c r="AC34" s="54">
        <v>0</v>
      </c>
      <c r="AD34" s="54">
        <v>0</v>
      </c>
      <c r="AE34" s="54">
        <v>0</v>
      </c>
      <c r="AF34" s="66">
        <v>0</v>
      </c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8"/>
      <c r="AT34" s="63"/>
      <c r="AU34" s="63"/>
    </row>
    <row r="35" spans="1:47" ht="12.75" hidden="1" customHeight="1" outlineLevel="1" x14ac:dyDescent="0.2">
      <c r="A35" s="61" t="s">
        <v>181</v>
      </c>
      <c r="B35" s="62"/>
      <c r="C35" s="54">
        <v>0</v>
      </c>
      <c r="D35" s="54"/>
      <c r="E35" s="63"/>
      <c r="F35" s="64"/>
      <c r="G35" s="65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66"/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/>
      <c r="AH35" s="67"/>
      <c r="AI35" s="67"/>
      <c r="AJ35" s="67"/>
      <c r="AK35" s="67"/>
      <c r="AL35" s="67"/>
      <c r="AM35" s="67"/>
      <c r="AN35" s="67"/>
      <c r="AO35" s="67"/>
      <c r="AP35" s="67"/>
      <c r="AQ35" s="67"/>
      <c r="AR35" s="67"/>
      <c r="AS35" s="68"/>
      <c r="AT35" s="63"/>
      <c r="AU35" s="63"/>
    </row>
    <row r="36" spans="1:47" ht="12.75" hidden="1" customHeight="1" outlineLevel="1" x14ac:dyDescent="0.2">
      <c r="A36" s="61" t="s">
        <v>182</v>
      </c>
      <c r="B36" s="62"/>
      <c r="C36" s="54">
        <v>0</v>
      </c>
      <c r="D36" s="54"/>
      <c r="E36" s="63"/>
      <c r="F36" s="64"/>
      <c r="G36" s="65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66"/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8"/>
      <c r="AT36" s="63"/>
      <c r="AU36" s="63"/>
    </row>
    <row r="37" spans="1:47" ht="12.75" hidden="1" customHeight="1" outlineLevel="1" x14ac:dyDescent="0.2">
      <c r="A37" s="61" t="s">
        <v>183</v>
      </c>
      <c r="B37" s="62"/>
      <c r="C37" s="54">
        <v>0</v>
      </c>
      <c r="D37" s="54"/>
      <c r="E37" s="63"/>
      <c r="F37" s="64"/>
      <c r="G37" s="65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66"/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/>
      <c r="AH37" s="67"/>
      <c r="AI37" s="67"/>
      <c r="AJ37" s="67"/>
      <c r="AK37" s="67"/>
      <c r="AL37" s="67"/>
      <c r="AM37" s="67"/>
      <c r="AN37" s="67"/>
      <c r="AO37" s="67"/>
      <c r="AP37" s="67"/>
      <c r="AQ37" s="67"/>
      <c r="AR37" s="67"/>
      <c r="AS37" s="68"/>
      <c r="AT37" s="63"/>
      <c r="AU37" s="63"/>
    </row>
    <row r="38" spans="1:47" ht="12.75" hidden="1" customHeight="1" outlineLevel="1" x14ac:dyDescent="0.2">
      <c r="A38" s="61" t="s">
        <v>184</v>
      </c>
      <c r="B38" s="62"/>
      <c r="C38" s="54">
        <v>0</v>
      </c>
      <c r="D38" s="54"/>
      <c r="E38" s="63"/>
      <c r="F38" s="64"/>
      <c r="G38" s="65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66"/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0</v>
      </c>
      <c r="Z38" s="54">
        <v>0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66">
        <v>0</v>
      </c>
      <c r="AG38" s="67"/>
      <c r="AH38" s="67"/>
      <c r="AI38" s="67"/>
      <c r="AJ38" s="67"/>
      <c r="AK38" s="67"/>
      <c r="AL38" s="67"/>
      <c r="AM38" s="67"/>
      <c r="AN38" s="67"/>
      <c r="AO38" s="67"/>
      <c r="AP38" s="67"/>
      <c r="AQ38" s="67"/>
      <c r="AR38" s="67"/>
      <c r="AS38" s="68"/>
      <c r="AT38" s="63"/>
      <c r="AU38" s="63"/>
    </row>
    <row r="39" spans="1:47" ht="12.75" hidden="1" customHeight="1" outlineLevel="1" x14ac:dyDescent="0.2">
      <c r="A39" s="61" t="s">
        <v>185</v>
      </c>
      <c r="B39" s="62"/>
      <c r="C39" s="54">
        <v>0</v>
      </c>
      <c r="D39" s="54"/>
      <c r="E39" s="63"/>
      <c r="F39" s="64"/>
      <c r="G39" s="65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66"/>
      <c r="T39" s="54">
        <v>0</v>
      </c>
      <c r="U39" s="54">
        <v>0</v>
      </c>
      <c r="V39" s="54">
        <v>0</v>
      </c>
      <c r="W39" s="54">
        <v>0</v>
      </c>
      <c r="X39" s="54">
        <v>0</v>
      </c>
      <c r="Y39" s="54">
        <v>0</v>
      </c>
      <c r="Z39" s="54">
        <v>0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66">
        <v>0</v>
      </c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8"/>
      <c r="AT39" s="63"/>
      <c r="AU39" s="63"/>
    </row>
    <row r="40" spans="1:47" ht="12.75" hidden="1" customHeight="1" outlineLevel="1" x14ac:dyDescent="0.2">
      <c r="A40" s="61" t="s">
        <v>186</v>
      </c>
      <c r="B40" s="62"/>
      <c r="C40" s="54">
        <v>0</v>
      </c>
      <c r="D40" s="54"/>
      <c r="E40" s="63"/>
      <c r="F40" s="64"/>
      <c r="G40" s="65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66"/>
      <c r="T40" s="54">
        <v>0</v>
      </c>
      <c r="U40" s="54">
        <v>0</v>
      </c>
      <c r="V40" s="54">
        <v>0</v>
      </c>
      <c r="W40" s="54">
        <v>0</v>
      </c>
      <c r="X40" s="54">
        <v>0</v>
      </c>
      <c r="Y40" s="54">
        <v>0</v>
      </c>
      <c r="Z40" s="54">
        <v>0</v>
      </c>
      <c r="AA40" s="54">
        <v>0</v>
      </c>
      <c r="AB40" s="54">
        <v>0</v>
      </c>
      <c r="AC40" s="54">
        <v>0</v>
      </c>
      <c r="AD40" s="54">
        <v>0</v>
      </c>
      <c r="AE40" s="54">
        <v>0</v>
      </c>
      <c r="AF40" s="66">
        <v>0</v>
      </c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8"/>
      <c r="AT40" s="63"/>
      <c r="AU40" s="63"/>
    </row>
    <row r="41" spans="1:47" ht="12.75" hidden="1" customHeight="1" outlineLevel="1" x14ac:dyDescent="0.2">
      <c r="A41" s="61" t="s">
        <v>187</v>
      </c>
      <c r="B41" s="62">
        <v>0</v>
      </c>
      <c r="C41" s="54">
        <v>0</v>
      </c>
      <c r="D41" s="54">
        <v>0</v>
      </c>
      <c r="E41" s="63"/>
      <c r="F41" s="64"/>
      <c r="G41" s="65">
        <v>0</v>
      </c>
      <c r="H41" s="54">
        <v>0</v>
      </c>
      <c r="I41" s="54">
        <v>0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66">
        <v>0</v>
      </c>
      <c r="T41" s="54">
        <v>0</v>
      </c>
      <c r="U41" s="54">
        <v>0</v>
      </c>
      <c r="V41" s="54">
        <v>0</v>
      </c>
      <c r="W41" s="54">
        <v>0</v>
      </c>
      <c r="X41" s="54">
        <v>0</v>
      </c>
      <c r="Y41" s="54">
        <v>0</v>
      </c>
      <c r="Z41" s="54">
        <v>0</v>
      </c>
      <c r="AA41" s="54">
        <v>0</v>
      </c>
      <c r="AB41" s="54">
        <v>0</v>
      </c>
      <c r="AC41" s="54">
        <v>0</v>
      </c>
      <c r="AD41" s="54">
        <v>0</v>
      </c>
      <c r="AE41" s="54">
        <v>0</v>
      </c>
      <c r="AF41" s="66">
        <v>0</v>
      </c>
      <c r="AG41" s="67">
        <v>0</v>
      </c>
      <c r="AH41" s="67">
        <v>0</v>
      </c>
      <c r="AI41" s="67">
        <v>0</v>
      </c>
      <c r="AJ41" s="67">
        <v>0</v>
      </c>
      <c r="AK41" s="67">
        <v>0</v>
      </c>
      <c r="AL41" s="67">
        <v>0</v>
      </c>
      <c r="AM41" s="67">
        <v>0</v>
      </c>
      <c r="AN41" s="67">
        <v>0</v>
      </c>
      <c r="AO41" s="67">
        <v>0</v>
      </c>
      <c r="AP41" s="67">
        <v>0</v>
      </c>
      <c r="AQ41" s="67">
        <v>0</v>
      </c>
      <c r="AR41" s="67">
        <v>0</v>
      </c>
      <c r="AS41" s="68">
        <v>0</v>
      </c>
      <c r="AT41" s="63"/>
      <c r="AU41" s="63"/>
    </row>
    <row r="42" spans="1:47" ht="12.75" hidden="1" customHeight="1" outlineLevel="1" x14ac:dyDescent="0.2">
      <c r="A42" s="61" t="s">
        <v>188</v>
      </c>
      <c r="B42" s="62"/>
      <c r="C42" s="54"/>
      <c r="D42" s="54"/>
      <c r="E42" s="63"/>
      <c r="F42" s="64"/>
      <c r="G42" s="65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66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66"/>
      <c r="AG42" s="67"/>
      <c r="AH42" s="67"/>
      <c r="AI42" s="67"/>
      <c r="AJ42" s="67"/>
      <c r="AK42" s="67"/>
      <c r="AL42" s="67"/>
      <c r="AM42" s="67"/>
      <c r="AN42" s="67"/>
      <c r="AO42" s="67"/>
      <c r="AP42" s="67"/>
      <c r="AQ42" s="67"/>
      <c r="AR42" s="67"/>
      <c r="AS42" s="68"/>
      <c r="AT42" s="63"/>
      <c r="AU42" s="63"/>
    </row>
    <row r="43" spans="1:47" ht="12.75" hidden="1" customHeight="1" outlineLevel="1" x14ac:dyDescent="0.2">
      <c r="A43" s="61" t="s">
        <v>189</v>
      </c>
      <c r="B43" s="62"/>
      <c r="C43" s="54"/>
      <c r="D43" s="54"/>
      <c r="E43" s="63"/>
      <c r="F43" s="64"/>
      <c r="G43" s="65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66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66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8"/>
      <c r="AT43" s="63"/>
      <c r="AU43" s="63"/>
    </row>
    <row r="44" spans="1:47" ht="12.75" hidden="1" customHeight="1" outlineLevel="1" x14ac:dyDescent="0.2">
      <c r="A44" s="61" t="s">
        <v>190</v>
      </c>
      <c r="B44" s="62"/>
      <c r="C44" s="54">
        <v>0</v>
      </c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>
        <v>0</v>
      </c>
      <c r="U44" s="54">
        <v>0</v>
      </c>
      <c r="V44" s="54">
        <v>0</v>
      </c>
      <c r="W44" s="54">
        <v>0</v>
      </c>
      <c r="X44" s="54">
        <v>0</v>
      </c>
      <c r="Y44" s="54">
        <v>0</v>
      </c>
      <c r="Z44" s="54">
        <v>0</v>
      </c>
      <c r="AA44" s="54">
        <v>0</v>
      </c>
      <c r="AB44" s="54">
        <v>0</v>
      </c>
      <c r="AC44" s="54">
        <v>0</v>
      </c>
      <c r="AD44" s="54">
        <v>0</v>
      </c>
      <c r="AE44" s="54">
        <v>0</v>
      </c>
      <c r="AF44" s="66">
        <v>0</v>
      </c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61" t="s">
        <v>191</v>
      </c>
      <c r="B45" s="62"/>
      <c r="C45" s="54">
        <v>0</v>
      </c>
      <c r="D45" s="54"/>
      <c r="E45" s="63"/>
      <c r="F45" s="64"/>
      <c r="G45" s="65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66"/>
      <c r="T45" s="54">
        <v>0</v>
      </c>
      <c r="U45" s="54">
        <v>0</v>
      </c>
      <c r="V45" s="54">
        <v>0</v>
      </c>
      <c r="W45" s="54">
        <v>0</v>
      </c>
      <c r="X45" s="54">
        <v>0</v>
      </c>
      <c r="Y45" s="54">
        <v>0</v>
      </c>
      <c r="Z45" s="54">
        <v>0</v>
      </c>
      <c r="AA45" s="54">
        <v>0</v>
      </c>
      <c r="AB45" s="54">
        <v>0</v>
      </c>
      <c r="AC45" s="54">
        <v>0</v>
      </c>
      <c r="AD45" s="54">
        <v>0</v>
      </c>
      <c r="AE45" s="54">
        <v>0</v>
      </c>
      <c r="AF45" s="66">
        <v>0</v>
      </c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8"/>
      <c r="AT45" s="63"/>
      <c r="AU45" s="63"/>
    </row>
    <row r="46" spans="1:47" ht="12.75" customHeight="1" collapsed="1" x14ac:dyDescent="0.2">
      <c r="A46" s="69" t="s">
        <v>192</v>
      </c>
      <c r="B46" s="70">
        <v>0</v>
      </c>
      <c r="C46" s="71">
        <v>0</v>
      </c>
      <c r="D46" s="71">
        <v>0</v>
      </c>
      <c r="E46" s="72"/>
      <c r="F46" s="73"/>
      <c r="G46" s="70">
        <v>0</v>
      </c>
      <c r="H46" s="71">
        <v>0</v>
      </c>
      <c r="I46" s="71">
        <v>0</v>
      </c>
      <c r="J46" s="71">
        <v>0</v>
      </c>
      <c r="K46" s="71">
        <v>0</v>
      </c>
      <c r="L46" s="71">
        <v>0</v>
      </c>
      <c r="M46" s="71">
        <v>0</v>
      </c>
      <c r="N46" s="71">
        <v>0</v>
      </c>
      <c r="O46" s="71">
        <v>0</v>
      </c>
      <c r="P46" s="71">
        <v>0</v>
      </c>
      <c r="Q46" s="71">
        <v>0</v>
      </c>
      <c r="R46" s="71">
        <v>0</v>
      </c>
      <c r="S46" s="71">
        <v>0</v>
      </c>
      <c r="T46" s="71">
        <v>0</v>
      </c>
      <c r="U46" s="71">
        <v>0</v>
      </c>
      <c r="V46" s="71">
        <v>0</v>
      </c>
      <c r="W46" s="71">
        <v>0</v>
      </c>
      <c r="X46" s="71">
        <v>0</v>
      </c>
      <c r="Y46" s="71">
        <v>0</v>
      </c>
      <c r="Z46" s="71">
        <v>0</v>
      </c>
      <c r="AA46" s="71">
        <v>0</v>
      </c>
      <c r="AB46" s="71">
        <v>0</v>
      </c>
      <c r="AC46" s="71">
        <v>0</v>
      </c>
      <c r="AD46" s="71">
        <v>0</v>
      </c>
      <c r="AE46" s="71">
        <v>0</v>
      </c>
      <c r="AF46" s="71">
        <v>0</v>
      </c>
      <c r="AG46" s="75">
        <v>0</v>
      </c>
      <c r="AH46" s="75">
        <v>0</v>
      </c>
      <c r="AI46" s="75">
        <v>0</v>
      </c>
      <c r="AJ46" s="75">
        <v>0</v>
      </c>
      <c r="AK46" s="75">
        <v>0</v>
      </c>
      <c r="AL46" s="75">
        <v>0</v>
      </c>
      <c r="AM46" s="75">
        <v>0</v>
      </c>
      <c r="AN46" s="75">
        <v>0</v>
      </c>
      <c r="AO46" s="75">
        <v>0</v>
      </c>
      <c r="AP46" s="75">
        <v>0</v>
      </c>
      <c r="AQ46" s="75">
        <v>0</v>
      </c>
      <c r="AR46" s="75">
        <v>0</v>
      </c>
      <c r="AS46" s="75">
        <v>0</v>
      </c>
      <c r="AT46" s="72"/>
      <c r="AU46" s="72"/>
    </row>
    <row r="47" spans="1:47" ht="12.75" hidden="1" customHeight="1" outlineLevel="1" x14ac:dyDescent="0.2">
      <c r="A47" s="61" t="s">
        <v>193</v>
      </c>
      <c r="B47" s="62"/>
      <c r="C47" s="54"/>
      <c r="D47" s="54"/>
      <c r="E47" s="63"/>
      <c r="F47" s="64"/>
      <c r="G47" s="65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66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66"/>
      <c r="AG47" s="67"/>
      <c r="AH47" s="67"/>
      <c r="AI47" s="67"/>
      <c r="AJ47" s="67"/>
      <c r="AK47" s="67"/>
      <c r="AL47" s="67"/>
      <c r="AM47" s="67"/>
      <c r="AN47" s="67"/>
      <c r="AO47" s="67"/>
      <c r="AP47" s="67"/>
      <c r="AQ47" s="67"/>
      <c r="AR47" s="67"/>
      <c r="AS47" s="68"/>
      <c r="AT47" s="63"/>
      <c r="AU47" s="63"/>
    </row>
    <row r="48" spans="1:47" ht="12.75" hidden="1" customHeight="1" outlineLevel="1" x14ac:dyDescent="0.2">
      <c r="A48" s="61" t="s">
        <v>194</v>
      </c>
      <c r="B48" s="62"/>
      <c r="C48" s="54"/>
      <c r="D48" s="54"/>
      <c r="E48" s="63"/>
      <c r="F48" s="64"/>
      <c r="G48" s="65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66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66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8"/>
      <c r="AT48" s="63"/>
      <c r="AU48" s="63"/>
    </row>
    <row r="49" spans="1:47" ht="12.75" hidden="1" customHeight="1" outlineLevel="1" x14ac:dyDescent="0.2">
      <c r="A49" s="61" t="s">
        <v>82</v>
      </c>
      <c r="B49" s="62"/>
      <c r="C49" s="54"/>
      <c r="D49" s="54"/>
      <c r="E49" s="63"/>
      <c r="F49" s="64"/>
      <c r="G49" s="65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66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66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8"/>
      <c r="AT49" s="63"/>
      <c r="AU49" s="63"/>
    </row>
    <row r="50" spans="1:47" ht="12.75" hidden="1" customHeight="1" outlineLevel="1" x14ac:dyDescent="0.2">
      <c r="A50" s="61" t="s">
        <v>83</v>
      </c>
      <c r="B50" s="62"/>
      <c r="C50" s="54"/>
      <c r="D50" s="54"/>
      <c r="E50" s="63"/>
      <c r="F50" s="64"/>
      <c r="G50" s="65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66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66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8"/>
      <c r="AT50" s="63"/>
      <c r="AU50" s="63"/>
    </row>
    <row r="51" spans="1:47" ht="12.75" hidden="1" customHeight="1" outlineLevel="1" x14ac:dyDescent="0.2">
      <c r="A51" s="61" t="s">
        <v>84</v>
      </c>
      <c r="B51" s="62"/>
      <c r="C51" s="54"/>
      <c r="D51" s="54"/>
      <c r="E51" s="63"/>
      <c r="F51" s="64"/>
      <c r="G51" s="65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66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66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8"/>
      <c r="AT51" s="63"/>
      <c r="AU51" s="63"/>
    </row>
    <row r="52" spans="1:47" ht="12.75" hidden="1" customHeight="1" outlineLevel="1" x14ac:dyDescent="0.2">
      <c r="A52" s="61" t="s">
        <v>195</v>
      </c>
      <c r="B52" s="62"/>
      <c r="C52" s="54"/>
      <c r="D52" s="54"/>
      <c r="E52" s="63"/>
      <c r="F52" s="64"/>
      <c r="G52" s="65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66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66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8"/>
      <c r="AT52" s="63"/>
      <c r="AU52" s="63"/>
    </row>
    <row r="53" spans="1:47" ht="12.75" hidden="1" customHeight="1" outlineLevel="1" x14ac:dyDescent="0.2">
      <c r="A53" s="61" t="s">
        <v>86</v>
      </c>
      <c r="B53" s="62"/>
      <c r="C53" s="54">
        <v>0</v>
      </c>
      <c r="D53" s="54"/>
      <c r="E53" s="63"/>
      <c r="F53" s="64"/>
      <c r="G53" s="65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66"/>
      <c r="T53" s="54">
        <v>0</v>
      </c>
      <c r="U53" s="54">
        <v>0</v>
      </c>
      <c r="V53" s="54">
        <v>0</v>
      </c>
      <c r="W53" s="54">
        <v>0</v>
      </c>
      <c r="X53" s="54">
        <v>0</v>
      </c>
      <c r="Y53" s="54">
        <v>0</v>
      </c>
      <c r="Z53" s="54">
        <v>0</v>
      </c>
      <c r="AA53" s="54">
        <v>0</v>
      </c>
      <c r="AB53" s="54">
        <v>0</v>
      </c>
      <c r="AC53" s="54">
        <v>0</v>
      </c>
      <c r="AD53" s="54">
        <v>0</v>
      </c>
      <c r="AE53" s="54">
        <v>0</v>
      </c>
      <c r="AF53" s="66">
        <v>0</v>
      </c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8"/>
      <c r="AT53" s="63"/>
      <c r="AU53" s="63"/>
    </row>
    <row r="54" spans="1:47" ht="12.75" hidden="1" customHeight="1" outlineLevel="1" x14ac:dyDescent="0.2">
      <c r="A54" s="61" t="s">
        <v>110</v>
      </c>
      <c r="B54" s="62"/>
      <c r="C54" s="54"/>
      <c r="D54" s="54"/>
      <c r="E54" s="63"/>
      <c r="F54" s="64"/>
      <c r="G54" s="65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66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66"/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8"/>
      <c r="AT54" s="63"/>
      <c r="AU54" s="63"/>
    </row>
    <row r="55" spans="1:47" ht="12.75" hidden="1" customHeight="1" outlineLevel="1" x14ac:dyDescent="0.2">
      <c r="A55" s="61" t="s">
        <v>196</v>
      </c>
      <c r="B55" s="62"/>
      <c r="C55" s="54">
        <v>0</v>
      </c>
      <c r="D55" s="54"/>
      <c r="E55" s="63"/>
      <c r="F55" s="64"/>
      <c r="G55" s="65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66"/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66">
        <v>0</v>
      </c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8"/>
      <c r="AT55" s="63"/>
      <c r="AU55" s="63"/>
    </row>
    <row r="56" spans="1:47" ht="12.75" hidden="1" customHeight="1" outlineLevel="1" x14ac:dyDescent="0.2">
      <c r="A56" s="61" t="s">
        <v>197</v>
      </c>
      <c r="B56" s="62"/>
      <c r="C56" s="54">
        <v>0</v>
      </c>
      <c r="D56" s="54"/>
      <c r="E56" s="63"/>
      <c r="F56" s="64"/>
      <c r="G56" s="65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66"/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66">
        <v>0</v>
      </c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8"/>
      <c r="AT56" s="63"/>
      <c r="AU56" s="63"/>
    </row>
    <row r="57" spans="1:47" ht="12.75" hidden="1" customHeight="1" outlineLevel="1" x14ac:dyDescent="0.2">
      <c r="A57" s="61" t="s">
        <v>198</v>
      </c>
      <c r="B57" s="62"/>
      <c r="C57" s="54"/>
      <c r="D57" s="54"/>
      <c r="E57" s="63"/>
      <c r="F57" s="64"/>
      <c r="G57" s="65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66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66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8"/>
      <c r="AT57" s="63"/>
      <c r="AU57" s="63"/>
    </row>
    <row r="58" spans="1:47" ht="12.75" hidden="1" customHeight="1" outlineLevel="1" x14ac:dyDescent="0.2">
      <c r="A58" s="61" t="s">
        <v>199</v>
      </c>
      <c r="B58" s="62"/>
      <c r="C58" s="54"/>
      <c r="D58" s="54"/>
      <c r="E58" s="63"/>
      <c r="F58" s="64"/>
      <c r="G58" s="65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66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66"/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8"/>
      <c r="AT58" s="63"/>
      <c r="AU58" s="63"/>
    </row>
    <row r="59" spans="1:47" ht="12.75" hidden="1" customHeight="1" outlineLevel="1" x14ac:dyDescent="0.2">
      <c r="A59" s="61" t="s">
        <v>200</v>
      </c>
      <c r="B59" s="62"/>
      <c r="C59" s="54"/>
      <c r="D59" s="54"/>
      <c r="E59" s="63"/>
      <c r="F59" s="64"/>
      <c r="G59" s="65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66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66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8"/>
      <c r="AT59" s="63"/>
      <c r="AU59" s="63"/>
    </row>
    <row r="60" spans="1:47" ht="12.75" customHeight="1" collapsed="1" x14ac:dyDescent="0.2">
      <c r="A60" s="69" t="s">
        <v>89</v>
      </c>
      <c r="B60" s="70"/>
      <c r="C60" s="71">
        <v>0</v>
      </c>
      <c r="D60" s="71"/>
      <c r="E60" s="72"/>
      <c r="F60" s="73"/>
      <c r="G60" s="70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>
        <v>0</v>
      </c>
      <c r="U60" s="71">
        <v>0</v>
      </c>
      <c r="V60" s="71">
        <v>0</v>
      </c>
      <c r="W60" s="71">
        <v>0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71">
        <v>0</v>
      </c>
      <c r="AE60" s="71">
        <v>0</v>
      </c>
      <c r="AF60" s="71">
        <v>0</v>
      </c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2"/>
      <c r="AU60" s="72"/>
    </row>
    <row r="61" spans="1:47" ht="12.75" customHeight="1" x14ac:dyDescent="0.2">
      <c r="A61" s="77" t="s">
        <v>201</v>
      </c>
      <c r="B61" s="78">
        <v>0</v>
      </c>
      <c r="C61" s="79">
        <v>0</v>
      </c>
      <c r="D61" s="79">
        <v>1368.95</v>
      </c>
      <c r="E61" s="80"/>
      <c r="F61" s="81">
        <v>0</v>
      </c>
      <c r="G61" s="78">
        <v>1368.95</v>
      </c>
      <c r="H61" s="79">
        <v>1368.95</v>
      </c>
      <c r="I61" s="82">
        <v>-2737.9</v>
      </c>
      <c r="J61" s="79">
        <v>0</v>
      </c>
      <c r="K61" s="79">
        <v>0</v>
      </c>
      <c r="L61" s="79">
        <v>0</v>
      </c>
      <c r="M61" s="79">
        <v>0</v>
      </c>
      <c r="N61" s="79">
        <v>0</v>
      </c>
      <c r="O61" s="79">
        <v>0</v>
      </c>
      <c r="P61" s="79">
        <v>0</v>
      </c>
      <c r="Q61" s="79">
        <v>0</v>
      </c>
      <c r="R61" s="79">
        <v>0</v>
      </c>
      <c r="S61" s="79">
        <v>0</v>
      </c>
      <c r="T61" s="79">
        <v>0</v>
      </c>
      <c r="U61" s="79">
        <v>0</v>
      </c>
      <c r="V61" s="79">
        <v>0</v>
      </c>
      <c r="W61" s="79">
        <v>0</v>
      </c>
      <c r="X61" s="79">
        <v>0</v>
      </c>
      <c r="Y61" s="79">
        <v>0</v>
      </c>
      <c r="Z61" s="79">
        <v>0</v>
      </c>
      <c r="AA61" s="79">
        <v>0</v>
      </c>
      <c r="AB61" s="79">
        <v>0</v>
      </c>
      <c r="AC61" s="79">
        <v>0</v>
      </c>
      <c r="AD61" s="79">
        <v>0</v>
      </c>
      <c r="AE61" s="79">
        <v>0</v>
      </c>
      <c r="AF61" s="79">
        <v>0</v>
      </c>
      <c r="AG61" s="83">
        <v>1313</v>
      </c>
      <c r="AH61" s="83">
        <v>1313</v>
      </c>
      <c r="AI61" s="83">
        <v>1313</v>
      </c>
      <c r="AJ61" s="83">
        <v>1368.95</v>
      </c>
      <c r="AK61" s="83">
        <v>1368.95</v>
      </c>
      <c r="AL61" s="83">
        <v>1368.95</v>
      </c>
      <c r="AM61" s="83">
        <v>1368.95</v>
      </c>
      <c r="AN61" s="83">
        <v>1368.95</v>
      </c>
      <c r="AO61" s="83">
        <v>1368.95</v>
      </c>
      <c r="AP61" s="83">
        <v>1368.95</v>
      </c>
      <c r="AQ61" s="137">
        <v>-13668.76</v>
      </c>
      <c r="AR61" s="83">
        <v>0</v>
      </c>
      <c r="AS61" s="83">
        <v>5307.95</v>
      </c>
      <c r="AT61" s="80"/>
      <c r="AU61" s="80">
        <v>0</v>
      </c>
    </row>
    <row r="64" spans="1:47" ht="15" x14ac:dyDescent="0.25">
      <c r="A64" s="16"/>
      <c r="B64" s="16"/>
      <c r="C64" s="16"/>
      <c r="D64" s="16"/>
    </row>
    <row r="65" spans="1:4" ht="15" x14ac:dyDescent="0.25">
      <c r="A65" s="16"/>
      <c r="B65" s="16"/>
      <c r="C65" s="16"/>
      <c r="D65" s="16"/>
    </row>
    <row r="66" spans="1:4" ht="15" x14ac:dyDescent="0.25">
      <c r="A66" s="16"/>
      <c r="B66" s="16"/>
      <c r="C66" s="16"/>
      <c r="D66" s="16"/>
    </row>
    <row r="67" spans="1:4" ht="15" x14ac:dyDescent="0.25">
      <c r="A67" s="16"/>
      <c r="B67" s="16"/>
      <c r="C67" s="16"/>
      <c r="D67" s="16"/>
    </row>
    <row r="68" spans="1:4" ht="15" x14ac:dyDescent="0.25">
      <c r="A68" s="16"/>
      <c r="B68" s="16"/>
      <c r="C68" s="16"/>
      <c r="D68" s="16"/>
    </row>
    <row r="69" spans="1:4" ht="15" x14ac:dyDescent="0.25">
      <c r="A69" s="16"/>
      <c r="B69" s="16"/>
      <c r="C69" s="16"/>
      <c r="D69" s="16"/>
    </row>
    <row r="70" spans="1:4" ht="15" x14ac:dyDescent="0.25">
      <c r="A70" s="16"/>
      <c r="B70" s="16"/>
      <c r="C70" s="16"/>
      <c r="D70" s="16"/>
    </row>
  </sheetData>
  <pageMargins left="0.75" right="0.75" top="1" bottom="1" header="0.5" footer="0.5"/>
  <pageSetup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CCFF99"/>
  </sheetPr>
  <dimension ref="A1:AU72"/>
  <sheetViews>
    <sheetView workbookViewId="0">
      <pane xSplit="1" ySplit="7" topLeftCell="B8" activePane="bottomRight" state="frozen"/>
      <selection activeCell="A73" sqref="A73"/>
      <selection pane="topRight" activeCell="A73" sqref="A73"/>
      <selection pane="bottomLeft" activeCell="A73" sqref="A73"/>
      <selection pane="bottomRight" sqref="A1:AU62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9.42578125" collapsed="1"/>
    <col min="46" max="47" width="10.5703125" customWidth="1"/>
  </cols>
  <sheetData>
    <row r="1" spans="1:47" ht="4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ht="12.75" hidden="1" customHeight="1" outlineLevel="1" x14ac:dyDescent="0.2">
      <c r="A2" s="61" t="s">
        <v>160</v>
      </c>
      <c r="B2" s="62">
        <v>7269.02</v>
      </c>
      <c r="C2" s="54">
        <v>0</v>
      </c>
      <c r="D2" s="54">
        <v>5123.33</v>
      </c>
      <c r="E2" s="63"/>
      <c r="F2" s="64">
        <v>141.88076895300517</v>
      </c>
      <c r="G2" s="65">
        <v>10042.92</v>
      </c>
      <c r="H2" s="54">
        <v>11419.07</v>
      </c>
      <c r="I2" s="54">
        <v>7561.2</v>
      </c>
      <c r="J2" s="54">
        <v>7269.02</v>
      </c>
      <c r="K2" s="54">
        <v>0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36292.21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9665.75</v>
      </c>
      <c r="AH2" s="67">
        <v>10472.17</v>
      </c>
      <c r="AI2" s="67">
        <v>10286.290000000001</v>
      </c>
      <c r="AJ2" s="67">
        <v>5123.33</v>
      </c>
      <c r="AK2" s="67">
        <v>11400.23</v>
      </c>
      <c r="AL2" s="67">
        <v>11073.01</v>
      </c>
      <c r="AM2" s="67">
        <v>8665</v>
      </c>
      <c r="AN2" s="67">
        <v>10936.91</v>
      </c>
      <c r="AO2" s="67">
        <v>10583.64</v>
      </c>
      <c r="AP2" s="67">
        <v>7620.12</v>
      </c>
      <c r="AQ2" s="67">
        <v>12045.94</v>
      </c>
      <c r="AR2" s="67">
        <v>10118.39</v>
      </c>
      <c r="AS2" s="68">
        <v>35547.54</v>
      </c>
      <c r="AT2" s="63"/>
      <c r="AU2" s="63">
        <v>102.09485663424248</v>
      </c>
    </row>
    <row r="3" spans="1:47" ht="12.75" hidden="1" customHeight="1" outlineLevel="1" x14ac:dyDescent="0.2">
      <c r="A3" s="61" t="s">
        <v>161</v>
      </c>
      <c r="B3" s="62">
        <v>606.03</v>
      </c>
      <c r="C3" s="54">
        <v>0</v>
      </c>
      <c r="D3" s="54">
        <v>490.26</v>
      </c>
      <c r="E3" s="63"/>
      <c r="F3" s="64">
        <v>123.61400073430424</v>
      </c>
      <c r="G3" s="65">
        <v>565.46</v>
      </c>
      <c r="H3" s="54">
        <v>61.97</v>
      </c>
      <c r="I3" s="54">
        <v>1236.26</v>
      </c>
      <c r="J3" s="54">
        <v>606.03</v>
      </c>
      <c r="K3" s="56">
        <v>-314.35000000000002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2469.7199999999998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482.29</v>
      </c>
      <c r="AH3" s="67">
        <v>515.71</v>
      </c>
      <c r="AI3" s="67">
        <v>626.37</v>
      </c>
      <c r="AJ3" s="67">
        <v>490.26</v>
      </c>
      <c r="AK3" s="67">
        <v>465.46</v>
      </c>
      <c r="AL3" s="67">
        <v>489.78</v>
      </c>
      <c r="AM3" s="67">
        <v>495.89</v>
      </c>
      <c r="AN3" s="67">
        <v>526.57000000000005</v>
      </c>
      <c r="AO3" s="67">
        <v>64.77</v>
      </c>
      <c r="AP3" s="67">
        <v>715.59</v>
      </c>
      <c r="AQ3" s="67">
        <v>750.9</v>
      </c>
      <c r="AR3" s="67">
        <v>749.27</v>
      </c>
      <c r="AS3" s="68">
        <v>2114.63</v>
      </c>
      <c r="AT3" s="63"/>
      <c r="AU3" s="63">
        <v>116.79206291407954</v>
      </c>
    </row>
    <row r="4" spans="1:47" ht="12.75" hidden="1" customHeight="1" outlineLevel="1" x14ac:dyDescent="0.2">
      <c r="A4" s="61" t="s">
        <v>162</v>
      </c>
      <c r="B4" s="62">
        <v>2150.48</v>
      </c>
      <c r="C4" s="54">
        <v>0</v>
      </c>
      <c r="D4" s="54">
        <v>5599.8</v>
      </c>
      <c r="E4" s="63"/>
      <c r="F4" s="64">
        <v>38.402800100003574</v>
      </c>
      <c r="G4" s="65">
        <v>1586.41</v>
      </c>
      <c r="H4" s="54">
        <v>918.24</v>
      </c>
      <c r="I4" s="56">
        <v>-523.49</v>
      </c>
      <c r="J4" s="54">
        <v>2150.48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4131.6400000000003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1314.57</v>
      </c>
      <c r="AH4" s="67">
        <v>1220.78</v>
      </c>
      <c r="AI4" s="67">
        <v>935.73</v>
      </c>
      <c r="AJ4" s="67">
        <v>5599.8</v>
      </c>
      <c r="AK4" s="98">
        <v>-916.2</v>
      </c>
      <c r="AL4" s="67">
        <v>1767.56</v>
      </c>
      <c r="AM4" s="67">
        <v>1476.19</v>
      </c>
      <c r="AN4" s="67">
        <v>581.17999999999995</v>
      </c>
      <c r="AO4" s="67">
        <v>1222.05</v>
      </c>
      <c r="AP4" s="67">
        <v>1943.86</v>
      </c>
      <c r="AQ4" s="98">
        <v>-235.84</v>
      </c>
      <c r="AR4" s="67">
        <v>1556.31</v>
      </c>
      <c r="AS4" s="68">
        <v>9070.8799999999992</v>
      </c>
      <c r="AT4" s="63"/>
      <c r="AU4" s="63">
        <v>45.548392217734111</v>
      </c>
    </row>
    <row r="5" spans="1:47" ht="12.75" hidden="1" customHeight="1" outlineLevel="1" x14ac:dyDescent="0.2">
      <c r="A5" s="61" t="s">
        <v>163</v>
      </c>
      <c r="B5" s="62"/>
      <c r="C5" s="54">
        <v>0</v>
      </c>
      <c r="D5" s="54"/>
      <c r="E5" s="63"/>
      <c r="F5" s="64"/>
      <c r="G5" s="65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66"/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8"/>
      <c r="AT5" s="63"/>
      <c r="AU5" s="63"/>
    </row>
    <row r="6" spans="1:47" ht="12.75" hidden="1" customHeight="1" outlineLevel="1" x14ac:dyDescent="0.2">
      <c r="A6" s="61" t="s">
        <v>164</v>
      </c>
      <c r="B6" s="62">
        <v>175.45</v>
      </c>
      <c r="C6" s="54">
        <v>0</v>
      </c>
      <c r="D6" s="54">
        <v>158.93</v>
      </c>
      <c r="E6" s="63"/>
      <c r="F6" s="64">
        <v>110.39451330774556</v>
      </c>
      <c r="G6" s="65">
        <v>175.45</v>
      </c>
      <c r="H6" s="54">
        <v>175.45</v>
      </c>
      <c r="I6" s="54">
        <v>175.45</v>
      </c>
      <c r="J6" s="54">
        <v>175.45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701.8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0</v>
      </c>
      <c r="AH6" s="67">
        <v>308.33</v>
      </c>
      <c r="AI6" s="67">
        <v>168.47</v>
      </c>
      <c r="AJ6" s="67">
        <v>158.93</v>
      </c>
      <c r="AK6" s="67">
        <v>158.93</v>
      </c>
      <c r="AL6" s="67">
        <v>158.93</v>
      </c>
      <c r="AM6" s="67">
        <v>158.93</v>
      </c>
      <c r="AN6" s="67">
        <v>158.93</v>
      </c>
      <c r="AO6" s="67">
        <v>158.93</v>
      </c>
      <c r="AP6" s="67">
        <v>158.93</v>
      </c>
      <c r="AQ6" s="67">
        <v>158.93</v>
      </c>
      <c r="AR6" s="67">
        <v>158.93</v>
      </c>
      <c r="AS6" s="68">
        <v>635.73</v>
      </c>
      <c r="AT6" s="63"/>
      <c r="AU6" s="63">
        <v>110.39277680776431</v>
      </c>
    </row>
    <row r="7" spans="1:47" hidden="1" outlineLevel="1" x14ac:dyDescent="0.2">
      <c r="A7" s="61" t="s">
        <v>165</v>
      </c>
      <c r="B7" s="62">
        <v>916.6</v>
      </c>
      <c r="C7" s="54">
        <v>0</v>
      </c>
      <c r="D7" s="54">
        <v>1028.81</v>
      </c>
      <c r="E7" s="63"/>
      <c r="F7" s="64">
        <v>89.09322421049562</v>
      </c>
      <c r="G7" s="65">
        <v>1129.02</v>
      </c>
      <c r="H7" s="54">
        <v>1177.72</v>
      </c>
      <c r="I7" s="54">
        <v>1177.71</v>
      </c>
      <c r="J7" s="54">
        <v>916.6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4401.05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1015.03</v>
      </c>
      <c r="AH7" s="67">
        <v>1063.3800000000001</v>
      </c>
      <c r="AI7" s="67">
        <v>1111.7</v>
      </c>
      <c r="AJ7" s="67">
        <v>1028.81</v>
      </c>
      <c r="AK7" s="67">
        <v>981.2</v>
      </c>
      <c r="AL7" s="67">
        <v>1128.3800000000001</v>
      </c>
      <c r="AM7" s="67">
        <v>1030.26</v>
      </c>
      <c r="AN7" s="67">
        <v>1079.33</v>
      </c>
      <c r="AO7" s="67">
        <v>1079.31</v>
      </c>
      <c r="AP7" s="67">
        <v>1098.94</v>
      </c>
      <c r="AQ7" s="67">
        <v>1184.8</v>
      </c>
      <c r="AR7" s="67">
        <v>1138.54</v>
      </c>
      <c r="AS7" s="68">
        <v>4218.92</v>
      </c>
      <c r="AT7" s="63"/>
      <c r="AU7" s="63">
        <v>104.31698159718601</v>
      </c>
    </row>
    <row r="8" spans="1:47" ht="12.75" customHeight="1" collapsed="1" x14ac:dyDescent="0.2">
      <c r="A8" s="69" t="s">
        <v>166</v>
      </c>
      <c r="B8" s="70">
        <v>11117.58</v>
      </c>
      <c r="C8" s="71">
        <v>0</v>
      </c>
      <c r="D8" s="71">
        <v>12401.13</v>
      </c>
      <c r="E8" s="72"/>
      <c r="F8" s="73">
        <v>89.649733532347454</v>
      </c>
      <c r="G8" s="70">
        <v>13499.26</v>
      </c>
      <c r="H8" s="71">
        <v>13752.45</v>
      </c>
      <c r="I8" s="71">
        <v>9627.1299999999992</v>
      </c>
      <c r="J8" s="71">
        <v>11117.58</v>
      </c>
      <c r="K8" s="74">
        <v>-314.35000000000002</v>
      </c>
      <c r="L8" s="71">
        <v>0</v>
      </c>
      <c r="M8" s="71">
        <v>0</v>
      </c>
      <c r="N8" s="71">
        <v>0</v>
      </c>
      <c r="O8" s="71">
        <v>0</v>
      </c>
      <c r="P8" s="71">
        <v>0</v>
      </c>
      <c r="Q8" s="71">
        <v>0</v>
      </c>
      <c r="R8" s="71">
        <v>0</v>
      </c>
      <c r="S8" s="71">
        <v>47996.42</v>
      </c>
      <c r="T8" s="71">
        <v>0</v>
      </c>
      <c r="U8" s="71">
        <v>0</v>
      </c>
      <c r="V8" s="71">
        <v>0</v>
      </c>
      <c r="W8" s="71">
        <v>0</v>
      </c>
      <c r="X8" s="71">
        <v>0</v>
      </c>
      <c r="Y8" s="71">
        <v>0</v>
      </c>
      <c r="Z8" s="71">
        <v>0</v>
      </c>
      <c r="AA8" s="71">
        <v>0</v>
      </c>
      <c r="AB8" s="71">
        <v>0</v>
      </c>
      <c r="AC8" s="71">
        <v>0</v>
      </c>
      <c r="AD8" s="71">
        <v>0</v>
      </c>
      <c r="AE8" s="71">
        <v>0</v>
      </c>
      <c r="AF8" s="71">
        <v>0</v>
      </c>
      <c r="AG8" s="75">
        <v>12477.64</v>
      </c>
      <c r="AH8" s="75">
        <v>13580.37</v>
      </c>
      <c r="AI8" s="75">
        <v>13128.56</v>
      </c>
      <c r="AJ8" s="75">
        <v>12401.13</v>
      </c>
      <c r="AK8" s="75">
        <v>12089.62</v>
      </c>
      <c r="AL8" s="75">
        <v>14617.66</v>
      </c>
      <c r="AM8" s="75">
        <v>11826.27</v>
      </c>
      <c r="AN8" s="75">
        <v>13282.92</v>
      </c>
      <c r="AO8" s="75">
        <v>13108.7</v>
      </c>
      <c r="AP8" s="75">
        <v>11537.44</v>
      </c>
      <c r="AQ8" s="75">
        <v>13904.73</v>
      </c>
      <c r="AR8" s="75">
        <v>13721.44</v>
      </c>
      <c r="AS8" s="75">
        <v>51587.7</v>
      </c>
      <c r="AT8" s="72"/>
      <c r="AU8" s="72">
        <v>93.038495610387741</v>
      </c>
    </row>
    <row r="9" spans="1:47" ht="12.75" customHeight="1" x14ac:dyDescent="0.2">
      <c r="A9" s="61" t="s">
        <v>167</v>
      </c>
      <c r="B9" s="62"/>
      <c r="C9" s="54"/>
      <c r="D9" s="54"/>
      <c r="E9" s="63"/>
      <c r="F9" s="64"/>
      <c r="G9" s="65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66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66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8"/>
      <c r="AT9" s="63"/>
      <c r="AU9" s="63"/>
    </row>
    <row r="10" spans="1:47" ht="12.75" customHeight="1" x14ac:dyDescent="0.2">
      <c r="A10" s="61" t="s">
        <v>168</v>
      </c>
      <c r="B10" s="62"/>
      <c r="C10" s="54"/>
      <c r="D10" s="54"/>
      <c r="E10" s="63"/>
      <c r="F10" s="64"/>
      <c r="G10" s="65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66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8"/>
      <c r="AT10" s="63"/>
      <c r="AU10" s="63"/>
    </row>
    <row r="11" spans="1:47" ht="12.75" customHeight="1" x14ac:dyDescent="0.2">
      <c r="A11" s="61" t="s">
        <v>169</v>
      </c>
      <c r="B11" s="62"/>
      <c r="C11" s="54"/>
      <c r="D11" s="54"/>
      <c r="E11" s="63"/>
      <c r="F11" s="64"/>
      <c r="G11" s="65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66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66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8"/>
      <c r="AT11" s="63"/>
      <c r="AU11" s="63"/>
    </row>
    <row r="12" spans="1:47" ht="12.75" customHeight="1" x14ac:dyDescent="0.2">
      <c r="A12" s="61" t="s">
        <v>50</v>
      </c>
      <c r="B12" s="62"/>
      <c r="C12" s="54"/>
      <c r="D12" s="54"/>
      <c r="E12" s="63"/>
      <c r="F12" s="64"/>
      <c r="G12" s="65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66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6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8"/>
      <c r="AT12" s="63"/>
      <c r="AU12" s="63"/>
    </row>
    <row r="13" spans="1:47" ht="12.75" customHeight="1" x14ac:dyDescent="0.2">
      <c r="A13" s="61" t="s">
        <v>170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47" ht="12.75" customHeight="1" x14ac:dyDescent="0.2">
      <c r="A14" s="61" t="s">
        <v>171</v>
      </c>
      <c r="B14" s="62"/>
      <c r="C14" s="54"/>
      <c r="D14" s="54"/>
      <c r="E14" s="63"/>
      <c r="F14" s="64"/>
      <c r="G14" s="65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66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66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8"/>
      <c r="AT14" s="63"/>
      <c r="AU14" s="63"/>
    </row>
    <row r="15" spans="1:47" ht="12.75" customHeight="1" x14ac:dyDescent="0.2">
      <c r="A15" s="61" t="s">
        <v>172</v>
      </c>
      <c r="B15" s="62"/>
      <c r="C15" s="54"/>
      <c r="D15" s="54"/>
      <c r="E15" s="63"/>
      <c r="F15" s="64"/>
      <c r="G15" s="65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66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66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8"/>
      <c r="AT15" s="63"/>
      <c r="AU15" s="63"/>
    </row>
    <row r="16" spans="1:47" ht="12.75" customHeight="1" x14ac:dyDescent="0.2">
      <c r="A16" s="61" t="s">
        <v>173</v>
      </c>
      <c r="B16" s="62">
        <v>0</v>
      </c>
      <c r="C16" s="54">
        <v>0</v>
      </c>
      <c r="D16" s="54">
        <v>0</v>
      </c>
      <c r="E16" s="63"/>
      <c r="F16" s="64"/>
      <c r="G16" s="65">
        <v>0</v>
      </c>
      <c r="H16" s="54">
        <v>0</v>
      </c>
      <c r="I16" s="54">
        <v>0</v>
      </c>
      <c r="J16" s="54">
        <v>0</v>
      </c>
      <c r="K16" s="54"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66">
        <v>0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>
        <v>0</v>
      </c>
      <c r="AH16" s="67">
        <v>0</v>
      </c>
      <c r="AI16" s="67">
        <v>0</v>
      </c>
      <c r="AJ16" s="67">
        <v>0</v>
      </c>
      <c r="AK16" s="67">
        <v>0</v>
      </c>
      <c r="AL16" s="67">
        <v>0</v>
      </c>
      <c r="AM16" s="67">
        <v>0</v>
      </c>
      <c r="AN16" s="67">
        <v>0</v>
      </c>
      <c r="AO16" s="67">
        <v>0</v>
      </c>
      <c r="AP16" s="67">
        <v>0</v>
      </c>
      <c r="AQ16" s="67">
        <v>0</v>
      </c>
      <c r="AR16" s="67">
        <v>0</v>
      </c>
      <c r="AS16" s="68">
        <v>0</v>
      </c>
      <c r="AT16" s="63"/>
      <c r="AU16" s="63"/>
    </row>
    <row r="17" spans="1:47" ht="12.75" customHeight="1" x14ac:dyDescent="0.2">
      <c r="A17" s="61" t="s">
        <v>257</v>
      </c>
      <c r="B17" s="62">
        <v>844.2</v>
      </c>
      <c r="C17" s="54">
        <v>0</v>
      </c>
      <c r="D17" s="54">
        <v>791.71</v>
      </c>
      <c r="E17" s="63"/>
      <c r="F17" s="64">
        <v>106.62995288678935</v>
      </c>
      <c r="G17" s="65">
        <v>856.51</v>
      </c>
      <c r="H17" s="54">
        <v>856.51</v>
      </c>
      <c r="I17" s="54">
        <v>856</v>
      </c>
      <c r="J17" s="54">
        <v>844.2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3413.22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669.79</v>
      </c>
      <c r="AH17" s="67">
        <v>669.79</v>
      </c>
      <c r="AI17" s="67">
        <v>1057.1300000000001</v>
      </c>
      <c r="AJ17" s="67">
        <v>791.71</v>
      </c>
      <c r="AK17" s="67">
        <v>823.88</v>
      </c>
      <c r="AL17" s="67">
        <v>822.82</v>
      </c>
      <c r="AM17" s="67">
        <v>822.81</v>
      </c>
      <c r="AN17" s="67">
        <v>821.08</v>
      </c>
      <c r="AO17" s="67">
        <v>822.19</v>
      </c>
      <c r="AP17" s="67">
        <v>842.81</v>
      </c>
      <c r="AQ17" s="67">
        <v>832.48</v>
      </c>
      <c r="AR17" s="67">
        <v>878.93</v>
      </c>
      <c r="AS17" s="68">
        <v>3188.42</v>
      </c>
      <c r="AT17" s="63"/>
      <c r="AU17" s="63">
        <v>107.05051404771015</v>
      </c>
    </row>
    <row r="18" spans="1:47" ht="12.75" hidden="1" customHeight="1" outlineLevel="1" x14ac:dyDescent="0.2">
      <c r="A18" s="61" t="s">
        <v>109</v>
      </c>
      <c r="B18" s="62">
        <v>0</v>
      </c>
      <c r="C18" s="54"/>
      <c r="D18" s="54">
        <v>0</v>
      </c>
      <c r="E18" s="63"/>
      <c r="F18" s="64"/>
      <c r="G18" s="65">
        <v>0</v>
      </c>
      <c r="H18" s="54">
        <v>0</v>
      </c>
      <c r="I18" s="54">
        <v>0</v>
      </c>
      <c r="J18" s="54">
        <v>0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0</v>
      </c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66"/>
      <c r="AG18" s="67">
        <v>0</v>
      </c>
      <c r="AH18" s="67">
        <v>0</v>
      </c>
      <c r="AI18" s="67">
        <v>0</v>
      </c>
      <c r="AJ18" s="67">
        <v>0</v>
      </c>
      <c r="AK18" s="67">
        <v>0</v>
      </c>
      <c r="AL18" s="67">
        <v>0</v>
      </c>
      <c r="AM18" s="67">
        <v>0</v>
      </c>
      <c r="AN18" s="67">
        <v>0</v>
      </c>
      <c r="AO18" s="67">
        <v>0</v>
      </c>
      <c r="AP18" s="67">
        <v>0</v>
      </c>
      <c r="AQ18" s="67">
        <v>0</v>
      </c>
      <c r="AR18" s="67">
        <v>0</v>
      </c>
      <c r="AS18" s="68">
        <v>0</v>
      </c>
      <c r="AT18" s="63"/>
      <c r="AU18" s="63"/>
    </row>
    <row r="19" spans="1:47" ht="12.75" hidden="1" customHeight="1" outlineLevel="1" x14ac:dyDescent="0.2">
      <c r="A19" s="61" t="s">
        <v>97</v>
      </c>
      <c r="B19" s="62">
        <v>35</v>
      </c>
      <c r="C19" s="54"/>
      <c r="D19" s="54">
        <v>35</v>
      </c>
      <c r="E19" s="63"/>
      <c r="F19" s="64">
        <v>100</v>
      </c>
      <c r="G19" s="65">
        <v>35</v>
      </c>
      <c r="H19" s="54">
        <v>35</v>
      </c>
      <c r="I19" s="54">
        <v>35</v>
      </c>
      <c r="J19" s="54">
        <v>35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140</v>
      </c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66"/>
      <c r="AG19" s="67">
        <v>0</v>
      </c>
      <c r="AH19" s="67">
        <v>0</v>
      </c>
      <c r="AI19" s="67">
        <v>50.03</v>
      </c>
      <c r="AJ19" s="67">
        <v>35</v>
      </c>
      <c r="AK19" s="67">
        <v>12.17</v>
      </c>
      <c r="AL19" s="67">
        <v>35</v>
      </c>
      <c r="AM19" s="67">
        <v>35</v>
      </c>
      <c r="AN19" s="67">
        <v>35</v>
      </c>
      <c r="AO19" s="67">
        <v>35</v>
      </c>
      <c r="AP19" s="67">
        <v>35</v>
      </c>
      <c r="AQ19" s="67">
        <v>35</v>
      </c>
      <c r="AR19" s="67">
        <v>35</v>
      </c>
      <c r="AS19" s="68">
        <v>85.03</v>
      </c>
      <c r="AT19" s="63"/>
      <c r="AU19" s="63">
        <v>164.64777137480888</v>
      </c>
    </row>
    <row r="20" spans="1:47" ht="12.75" hidden="1" customHeight="1" outlineLevel="1" x14ac:dyDescent="0.2">
      <c r="A20" s="61" t="s">
        <v>69</v>
      </c>
      <c r="B20" s="62"/>
      <c r="C20" s="54"/>
      <c r="D20" s="54"/>
      <c r="E20" s="63"/>
      <c r="F20" s="64"/>
      <c r="G20" s="65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66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66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8"/>
      <c r="AT20" s="63"/>
      <c r="AU20" s="63"/>
    </row>
    <row r="21" spans="1:47" ht="12.75" customHeight="1" collapsed="1" x14ac:dyDescent="0.2">
      <c r="A21" s="69" t="s">
        <v>70</v>
      </c>
      <c r="B21" s="70">
        <v>35</v>
      </c>
      <c r="C21" s="71"/>
      <c r="D21" s="71">
        <v>35</v>
      </c>
      <c r="E21" s="72"/>
      <c r="F21" s="73">
        <v>100</v>
      </c>
      <c r="G21" s="70">
        <v>35</v>
      </c>
      <c r="H21" s="71">
        <v>35</v>
      </c>
      <c r="I21" s="71">
        <v>35</v>
      </c>
      <c r="J21" s="71">
        <v>35</v>
      </c>
      <c r="K21" s="71">
        <v>0</v>
      </c>
      <c r="L21" s="71">
        <v>0</v>
      </c>
      <c r="M21" s="71">
        <v>0</v>
      </c>
      <c r="N21" s="71">
        <v>0</v>
      </c>
      <c r="O21" s="71">
        <v>0</v>
      </c>
      <c r="P21" s="71">
        <v>0</v>
      </c>
      <c r="Q21" s="71">
        <v>0</v>
      </c>
      <c r="R21" s="71">
        <v>0</v>
      </c>
      <c r="S21" s="71">
        <v>140</v>
      </c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5">
        <v>0</v>
      </c>
      <c r="AH21" s="75">
        <v>0</v>
      </c>
      <c r="AI21" s="75">
        <v>50.03</v>
      </c>
      <c r="AJ21" s="75">
        <v>35</v>
      </c>
      <c r="AK21" s="75">
        <v>12.17</v>
      </c>
      <c r="AL21" s="75">
        <v>35</v>
      </c>
      <c r="AM21" s="75">
        <v>35</v>
      </c>
      <c r="AN21" s="75">
        <v>35</v>
      </c>
      <c r="AO21" s="75">
        <v>35</v>
      </c>
      <c r="AP21" s="75">
        <v>35</v>
      </c>
      <c r="AQ21" s="75">
        <v>35</v>
      </c>
      <c r="AR21" s="75">
        <v>35</v>
      </c>
      <c r="AS21" s="75">
        <v>85.03</v>
      </c>
      <c r="AT21" s="72"/>
      <c r="AU21" s="72">
        <v>164.64777137480888</v>
      </c>
    </row>
    <row r="22" spans="1:47" ht="12.75" hidden="1" customHeight="1" outlineLevel="1" x14ac:dyDescent="0.2">
      <c r="A22" s="61" t="s">
        <v>174</v>
      </c>
      <c r="B22" s="62"/>
      <c r="C22" s="54">
        <v>0</v>
      </c>
      <c r="D22" s="54"/>
      <c r="E22" s="63"/>
      <c r="F22" s="64"/>
      <c r="G22" s="65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66"/>
      <c r="T22" s="54">
        <v>0</v>
      </c>
      <c r="U22" s="54">
        <v>0</v>
      </c>
      <c r="V22" s="54">
        <v>0</v>
      </c>
      <c r="W22" s="54">
        <v>0</v>
      </c>
      <c r="X22" s="54">
        <v>0</v>
      </c>
      <c r="Y22" s="54">
        <v>0</v>
      </c>
      <c r="Z22" s="54">
        <v>0</v>
      </c>
      <c r="AA22" s="54">
        <v>0</v>
      </c>
      <c r="AB22" s="54">
        <v>0</v>
      </c>
      <c r="AC22" s="54">
        <v>0</v>
      </c>
      <c r="AD22" s="54">
        <v>0</v>
      </c>
      <c r="AE22" s="54">
        <v>0</v>
      </c>
      <c r="AF22" s="66">
        <v>0</v>
      </c>
      <c r="AG22" s="67"/>
      <c r="AH22" s="67"/>
      <c r="AI22" s="67"/>
      <c r="AJ22" s="67"/>
      <c r="AK22" s="67"/>
      <c r="AL22" s="67"/>
      <c r="AM22" s="67"/>
      <c r="AN22" s="67"/>
      <c r="AO22" s="67"/>
      <c r="AP22" s="67"/>
      <c r="AQ22" s="67"/>
      <c r="AR22" s="67"/>
      <c r="AS22" s="68"/>
      <c r="AT22" s="63"/>
      <c r="AU22" s="63"/>
    </row>
    <row r="23" spans="1:47" ht="12.75" hidden="1" customHeight="1" outlineLevel="1" x14ac:dyDescent="0.2">
      <c r="A23" s="61" t="s">
        <v>99</v>
      </c>
      <c r="B23" s="62">
        <v>535.05999999999995</v>
      </c>
      <c r="C23" s="54">
        <v>0</v>
      </c>
      <c r="D23" s="54">
        <v>638.45000000000005</v>
      </c>
      <c r="E23" s="63"/>
      <c r="F23" s="64">
        <v>83.806092881196648</v>
      </c>
      <c r="G23" s="65">
        <v>1018.33</v>
      </c>
      <c r="H23" s="54">
        <v>1048.17</v>
      </c>
      <c r="I23" s="54">
        <v>507.5</v>
      </c>
      <c r="J23" s="54">
        <v>535.05999999999995</v>
      </c>
      <c r="K23" s="56">
        <v>-526.29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3109.06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577.70000000000005</v>
      </c>
      <c r="AH23" s="67">
        <v>600.41999999999996</v>
      </c>
      <c r="AI23" s="67">
        <v>354.64</v>
      </c>
      <c r="AJ23" s="67">
        <v>638.45000000000005</v>
      </c>
      <c r="AK23" s="67">
        <v>969.61</v>
      </c>
      <c r="AL23" s="67">
        <v>0</v>
      </c>
      <c r="AM23" s="67">
        <v>0</v>
      </c>
      <c r="AN23" s="67">
        <v>1158.71</v>
      </c>
      <c r="AO23" s="67">
        <v>844.32</v>
      </c>
      <c r="AP23" s="67">
        <v>0</v>
      </c>
      <c r="AQ23" s="67">
        <v>1007.19</v>
      </c>
      <c r="AR23" s="67">
        <v>0</v>
      </c>
      <c r="AS23" s="68">
        <v>2171.21</v>
      </c>
      <c r="AT23" s="63"/>
      <c r="AU23" s="63">
        <v>143.19480842479538</v>
      </c>
    </row>
    <row r="24" spans="1:47" ht="12.75" hidden="1" customHeight="1" outlineLevel="1" x14ac:dyDescent="0.2">
      <c r="A24" s="61" t="s">
        <v>175</v>
      </c>
      <c r="B24" s="62"/>
      <c r="C24" s="54">
        <v>0</v>
      </c>
      <c r="D24" s="54"/>
      <c r="E24" s="63"/>
      <c r="F24" s="64"/>
      <c r="G24" s="65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66"/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8"/>
      <c r="AT24" s="63"/>
      <c r="AU24" s="63"/>
    </row>
    <row r="25" spans="1:47" ht="12.75" hidden="1" customHeight="1" outlineLevel="1" x14ac:dyDescent="0.2">
      <c r="A25" s="61" t="s">
        <v>100</v>
      </c>
      <c r="B25" s="62">
        <v>271.54000000000002</v>
      </c>
      <c r="C25" s="54">
        <v>0</v>
      </c>
      <c r="D25" s="54">
        <v>388.74</v>
      </c>
      <c r="E25" s="63"/>
      <c r="F25" s="64">
        <v>69.851314503266963</v>
      </c>
      <c r="G25" s="65">
        <v>1432.4</v>
      </c>
      <c r="H25" s="54">
        <v>383.44</v>
      </c>
      <c r="I25" s="54">
        <v>257.49</v>
      </c>
      <c r="J25" s="54">
        <v>271.54000000000002</v>
      </c>
      <c r="K25" s="56">
        <v>-529.02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2344.87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423.3</v>
      </c>
      <c r="AH25" s="67">
        <v>161.04</v>
      </c>
      <c r="AI25" s="67">
        <v>391.68</v>
      </c>
      <c r="AJ25" s="67">
        <v>388.74</v>
      </c>
      <c r="AK25" s="67">
        <v>265.70999999999998</v>
      </c>
      <c r="AL25" s="67">
        <v>269.77</v>
      </c>
      <c r="AM25" s="98">
        <v>-151</v>
      </c>
      <c r="AN25" s="67">
        <v>725.02</v>
      </c>
      <c r="AO25" s="67">
        <v>274.52999999999997</v>
      </c>
      <c r="AP25" s="67">
        <v>269.58999999999997</v>
      </c>
      <c r="AQ25" s="67">
        <v>334.16</v>
      </c>
      <c r="AR25" s="98">
        <v>-1058.3399999999999</v>
      </c>
      <c r="AS25" s="68">
        <v>1364.76</v>
      </c>
      <c r="AT25" s="63"/>
      <c r="AU25" s="63">
        <v>171.81555731410651</v>
      </c>
    </row>
    <row r="26" spans="1:47" ht="12.75" hidden="1" customHeight="1" outlineLevel="1" x14ac:dyDescent="0.2">
      <c r="A26" s="61" t="s">
        <v>101</v>
      </c>
      <c r="B26" s="62"/>
      <c r="C26" s="54">
        <v>0</v>
      </c>
      <c r="D26" s="54"/>
      <c r="E26" s="63"/>
      <c r="F26" s="64"/>
      <c r="G26" s="65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66"/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8"/>
      <c r="AT26" s="63"/>
      <c r="AU26" s="63"/>
    </row>
    <row r="27" spans="1:47" ht="12.75" hidden="1" customHeight="1" outlineLevel="1" x14ac:dyDescent="0.2">
      <c r="A27" s="61" t="s">
        <v>176</v>
      </c>
      <c r="B27" s="62">
        <v>0</v>
      </c>
      <c r="C27" s="54">
        <v>0</v>
      </c>
      <c r="D27" s="54">
        <v>0</v>
      </c>
      <c r="E27" s="63"/>
      <c r="F27" s="64"/>
      <c r="G27" s="65">
        <v>0</v>
      </c>
      <c r="H27" s="54">
        <v>0</v>
      </c>
      <c r="I27" s="54">
        <v>0</v>
      </c>
      <c r="J27" s="54">
        <v>0</v>
      </c>
      <c r="K27" s="54">
        <v>0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0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0</v>
      </c>
      <c r="AH27" s="67">
        <v>0</v>
      </c>
      <c r="AI27" s="67">
        <v>50</v>
      </c>
      <c r="AJ27" s="67">
        <v>0</v>
      </c>
      <c r="AK27" s="67">
        <v>0</v>
      </c>
      <c r="AL27" s="67">
        <v>0</v>
      </c>
      <c r="AM27" s="67">
        <v>0</v>
      </c>
      <c r="AN27" s="67">
        <v>0</v>
      </c>
      <c r="AO27" s="67">
        <v>0</v>
      </c>
      <c r="AP27" s="67">
        <v>0</v>
      </c>
      <c r="AQ27" s="67">
        <v>0</v>
      </c>
      <c r="AR27" s="67">
        <v>0</v>
      </c>
      <c r="AS27" s="68">
        <v>50</v>
      </c>
      <c r="AT27" s="63"/>
      <c r="AU27" s="63">
        <v>0</v>
      </c>
    </row>
    <row r="28" spans="1:47" ht="12.75" hidden="1" customHeight="1" outlineLevel="1" x14ac:dyDescent="0.2">
      <c r="A28" s="61" t="s">
        <v>102</v>
      </c>
      <c r="B28" s="62">
        <v>281.56</v>
      </c>
      <c r="C28" s="54">
        <v>0</v>
      </c>
      <c r="D28" s="54">
        <v>281.56</v>
      </c>
      <c r="E28" s="63"/>
      <c r="F28" s="64">
        <v>100</v>
      </c>
      <c r="G28" s="65">
        <v>281.56</v>
      </c>
      <c r="H28" s="54">
        <v>281.56</v>
      </c>
      <c r="I28" s="54">
        <v>281.56</v>
      </c>
      <c r="J28" s="54">
        <v>281.56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1126.24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255</v>
      </c>
      <c r="AH28" s="67">
        <v>281.56</v>
      </c>
      <c r="AI28" s="67">
        <v>281.56</v>
      </c>
      <c r="AJ28" s="67">
        <v>281.56</v>
      </c>
      <c r="AK28" s="67">
        <v>281.56</v>
      </c>
      <c r="AL28" s="67">
        <v>426.56</v>
      </c>
      <c r="AM28" s="67">
        <v>136.56</v>
      </c>
      <c r="AN28" s="67">
        <v>281.56</v>
      </c>
      <c r="AO28" s="67">
        <v>281.56</v>
      </c>
      <c r="AP28" s="67">
        <v>281.56</v>
      </c>
      <c r="AQ28" s="67">
        <v>281.56</v>
      </c>
      <c r="AR28" s="67">
        <v>281.56</v>
      </c>
      <c r="AS28" s="68">
        <v>1099.68</v>
      </c>
      <c r="AT28" s="63"/>
      <c r="AU28" s="63">
        <v>102.41524807216645</v>
      </c>
    </row>
    <row r="29" spans="1:47" ht="12.75" hidden="1" customHeight="1" outlineLevel="1" x14ac:dyDescent="0.2">
      <c r="A29" s="61" t="s">
        <v>75</v>
      </c>
      <c r="B29" s="62"/>
      <c r="C29" s="54">
        <v>0</v>
      </c>
      <c r="D29" s="54"/>
      <c r="E29" s="63"/>
      <c r="F29" s="64"/>
      <c r="G29" s="65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66"/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8"/>
      <c r="AT29" s="63"/>
      <c r="AU29" s="63"/>
    </row>
    <row r="30" spans="1:47" ht="12.75" hidden="1" customHeight="1" outlineLevel="1" x14ac:dyDescent="0.2">
      <c r="A30" s="61" t="s">
        <v>76</v>
      </c>
      <c r="B30" s="62">
        <v>9.1</v>
      </c>
      <c r="C30" s="54">
        <v>0</v>
      </c>
      <c r="D30" s="54">
        <v>124.63</v>
      </c>
      <c r="E30" s="63"/>
      <c r="F30" s="64">
        <v>7.3016127738104792</v>
      </c>
      <c r="G30" s="65">
        <v>249.26</v>
      </c>
      <c r="H30" s="54">
        <v>124.63</v>
      </c>
      <c r="I30" s="54">
        <v>258.36</v>
      </c>
      <c r="J30" s="54">
        <v>9.1</v>
      </c>
      <c r="K30" s="56">
        <v>-133.72999999999999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641.35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123.64</v>
      </c>
      <c r="AH30" s="67">
        <v>123.64</v>
      </c>
      <c r="AI30" s="98">
        <v>-82.37</v>
      </c>
      <c r="AJ30" s="67">
        <v>124.63</v>
      </c>
      <c r="AK30" s="67">
        <v>124.63</v>
      </c>
      <c r="AL30" s="67">
        <v>124.63</v>
      </c>
      <c r="AM30" s="67">
        <v>124.63</v>
      </c>
      <c r="AN30" s="67">
        <v>124.63</v>
      </c>
      <c r="AO30" s="67">
        <v>124.63</v>
      </c>
      <c r="AP30" s="67">
        <v>124.63</v>
      </c>
      <c r="AQ30" s="67">
        <v>124.63</v>
      </c>
      <c r="AR30" s="67">
        <v>0</v>
      </c>
      <c r="AS30" s="68">
        <v>289.54000000000002</v>
      </c>
      <c r="AT30" s="63"/>
      <c r="AU30" s="63">
        <v>221.50652759549629</v>
      </c>
    </row>
    <row r="31" spans="1:47" ht="12.75" hidden="1" customHeight="1" outlineLevel="1" x14ac:dyDescent="0.2">
      <c r="A31" s="61" t="s">
        <v>77</v>
      </c>
      <c r="B31" s="62"/>
      <c r="C31" s="54"/>
      <c r="D31" s="54"/>
      <c r="E31" s="63"/>
      <c r="F31" s="64"/>
      <c r="G31" s="65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66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66"/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8"/>
      <c r="AT31" s="63"/>
      <c r="AU31" s="63"/>
    </row>
    <row r="32" spans="1:47" ht="12.75" customHeight="1" collapsed="1" x14ac:dyDescent="0.2">
      <c r="A32" s="69" t="s">
        <v>177</v>
      </c>
      <c r="B32" s="70">
        <v>1097.26</v>
      </c>
      <c r="C32" s="71">
        <v>0</v>
      </c>
      <c r="D32" s="71">
        <v>1433.38</v>
      </c>
      <c r="E32" s="72"/>
      <c r="F32" s="73">
        <v>76.550530912947025</v>
      </c>
      <c r="G32" s="70">
        <v>2981.55</v>
      </c>
      <c r="H32" s="71">
        <v>1837.8</v>
      </c>
      <c r="I32" s="71">
        <v>1304.9100000000001</v>
      </c>
      <c r="J32" s="71">
        <v>1097.26</v>
      </c>
      <c r="K32" s="74">
        <v>-1189.04</v>
      </c>
      <c r="L32" s="71">
        <v>0</v>
      </c>
      <c r="M32" s="71">
        <v>0</v>
      </c>
      <c r="N32" s="71">
        <v>0</v>
      </c>
      <c r="O32" s="71">
        <v>0</v>
      </c>
      <c r="P32" s="71">
        <v>0</v>
      </c>
      <c r="Q32" s="71">
        <v>0</v>
      </c>
      <c r="R32" s="71">
        <v>0</v>
      </c>
      <c r="S32" s="71">
        <v>7221.52</v>
      </c>
      <c r="T32" s="71">
        <v>0</v>
      </c>
      <c r="U32" s="71">
        <v>0</v>
      </c>
      <c r="V32" s="71">
        <v>0</v>
      </c>
      <c r="W32" s="71">
        <v>0</v>
      </c>
      <c r="X32" s="71">
        <v>0</v>
      </c>
      <c r="Y32" s="71">
        <v>0</v>
      </c>
      <c r="Z32" s="71">
        <v>0</v>
      </c>
      <c r="AA32" s="71">
        <v>0</v>
      </c>
      <c r="AB32" s="71">
        <v>0</v>
      </c>
      <c r="AC32" s="71">
        <v>0</v>
      </c>
      <c r="AD32" s="71">
        <v>0</v>
      </c>
      <c r="AE32" s="71">
        <v>0</v>
      </c>
      <c r="AF32" s="71">
        <v>0</v>
      </c>
      <c r="AG32" s="75">
        <v>1379.64</v>
      </c>
      <c r="AH32" s="75">
        <v>1166.6600000000001</v>
      </c>
      <c r="AI32" s="75">
        <v>995.51</v>
      </c>
      <c r="AJ32" s="75">
        <v>1433.38</v>
      </c>
      <c r="AK32" s="75">
        <v>1641.51</v>
      </c>
      <c r="AL32" s="75">
        <v>820.96</v>
      </c>
      <c r="AM32" s="75">
        <v>110.19</v>
      </c>
      <c r="AN32" s="75">
        <v>2289.92</v>
      </c>
      <c r="AO32" s="75">
        <v>1525.04</v>
      </c>
      <c r="AP32" s="75">
        <v>675.78</v>
      </c>
      <c r="AQ32" s="75">
        <v>1747.54</v>
      </c>
      <c r="AR32" s="134">
        <v>-776.78</v>
      </c>
      <c r="AS32" s="75">
        <v>4975.1899999999996</v>
      </c>
      <c r="AT32" s="72"/>
      <c r="AU32" s="72">
        <v>145.15063746309187</v>
      </c>
    </row>
    <row r="33" spans="1:47" ht="12.75" hidden="1" customHeight="1" outlineLevel="1" x14ac:dyDescent="0.2">
      <c r="A33" s="61" t="s">
        <v>178</v>
      </c>
      <c r="B33" s="62"/>
      <c r="C33" s="54"/>
      <c r="D33" s="54"/>
      <c r="E33" s="63"/>
      <c r="F33" s="64"/>
      <c r="G33" s="65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66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66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8"/>
      <c r="AT33" s="63"/>
      <c r="AU33" s="63"/>
    </row>
    <row r="34" spans="1:47" ht="12.75" hidden="1" customHeight="1" outlineLevel="1" x14ac:dyDescent="0.2">
      <c r="A34" s="61" t="s">
        <v>179</v>
      </c>
      <c r="B34" s="62"/>
      <c r="C34" s="54"/>
      <c r="D34" s="54"/>
      <c r="E34" s="63"/>
      <c r="F34" s="64"/>
      <c r="G34" s="65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66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66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8"/>
      <c r="AT34" s="63"/>
      <c r="AU34" s="63"/>
    </row>
    <row r="35" spans="1:47" ht="12.75" hidden="1" customHeight="1" outlineLevel="1" x14ac:dyDescent="0.2">
      <c r="A35" s="61" t="s">
        <v>180</v>
      </c>
      <c r="B35" s="62"/>
      <c r="C35" s="54">
        <v>0</v>
      </c>
      <c r="D35" s="54"/>
      <c r="E35" s="63"/>
      <c r="F35" s="64"/>
      <c r="G35" s="65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66"/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/>
      <c r="AH35" s="67"/>
      <c r="AI35" s="67"/>
      <c r="AJ35" s="67"/>
      <c r="AK35" s="67"/>
      <c r="AL35" s="67"/>
      <c r="AM35" s="67"/>
      <c r="AN35" s="67"/>
      <c r="AO35" s="67"/>
      <c r="AP35" s="67"/>
      <c r="AQ35" s="67"/>
      <c r="AR35" s="67"/>
      <c r="AS35" s="68"/>
      <c r="AT35" s="63"/>
      <c r="AU35" s="63"/>
    </row>
    <row r="36" spans="1:47" ht="12.75" hidden="1" customHeight="1" outlineLevel="1" x14ac:dyDescent="0.2">
      <c r="A36" s="61" t="s">
        <v>181</v>
      </c>
      <c r="B36" s="62"/>
      <c r="C36" s="54"/>
      <c r="D36" s="54"/>
      <c r="E36" s="63"/>
      <c r="F36" s="64"/>
      <c r="G36" s="65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66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66"/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8"/>
      <c r="AT36" s="63"/>
      <c r="AU36" s="63"/>
    </row>
    <row r="37" spans="1:47" ht="12.75" hidden="1" customHeight="1" outlineLevel="1" x14ac:dyDescent="0.2">
      <c r="A37" s="61" t="s">
        <v>182</v>
      </c>
      <c r="B37" s="62"/>
      <c r="C37" s="54">
        <v>0</v>
      </c>
      <c r="D37" s="54"/>
      <c r="E37" s="63"/>
      <c r="F37" s="64"/>
      <c r="G37" s="65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66"/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/>
      <c r="AH37" s="67"/>
      <c r="AI37" s="67"/>
      <c r="AJ37" s="67"/>
      <c r="AK37" s="67"/>
      <c r="AL37" s="67"/>
      <c r="AM37" s="67"/>
      <c r="AN37" s="67"/>
      <c r="AO37" s="67"/>
      <c r="AP37" s="67"/>
      <c r="AQ37" s="67"/>
      <c r="AR37" s="67"/>
      <c r="AS37" s="68"/>
      <c r="AT37" s="63"/>
      <c r="AU37" s="63"/>
    </row>
    <row r="38" spans="1:47" ht="12.75" hidden="1" customHeight="1" outlineLevel="1" x14ac:dyDescent="0.2">
      <c r="A38" s="61" t="s">
        <v>183</v>
      </c>
      <c r="B38" s="62"/>
      <c r="C38" s="54"/>
      <c r="D38" s="54"/>
      <c r="E38" s="63"/>
      <c r="F38" s="64"/>
      <c r="G38" s="65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66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66"/>
      <c r="AG38" s="67"/>
      <c r="AH38" s="67"/>
      <c r="AI38" s="67"/>
      <c r="AJ38" s="67"/>
      <c r="AK38" s="67"/>
      <c r="AL38" s="67"/>
      <c r="AM38" s="67"/>
      <c r="AN38" s="67"/>
      <c r="AO38" s="67"/>
      <c r="AP38" s="67"/>
      <c r="AQ38" s="67"/>
      <c r="AR38" s="67"/>
      <c r="AS38" s="68"/>
      <c r="AT38" s="63"/>
      <c r="AU38" s="63"/>
    </row>
    <row r="39" spans="1:47" ht="12.75" hidden="1" customHeight="1" outlineLevel="1" x14ac:dyDescent="0.2">
      <c r="A39" s="61" t="s">
        <v>184</v>
      </c>
      <c r="B39" s="62"/>
      <c r="C39" s="54"/>
      <c r="D39" s="54"/>
      <c r="E39" s="63"/>
      <c r="F39" s="64"/>
      <c r="G39" s="65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66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66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8"/>
      <c r="AT39" s="63"/>
      <c r="AU39" s="63"/>
    </row>
    <row r="40" spans="1:47" ht="12.75" hidden="1" customHeight="1" outlineLevel="1" x14ac:dyDescent="0.2">
      <c r="A40" s="61" t="s">
        <v>185</v>
      </c>
      <c r="B40" s="62"/>
      <c r="C40" s="54"/>
      <c r="D40" s="54"/>
      <c r="E40" s="63"/>
      <c r="F40" s="64"/>
      <c r="G40" s="65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66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66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8"/>
      <c r="AT40" s="63"/>
      <c r="AU40" s="63"/>
    </row>
    <row r="41" spans="1:47" ht="12.75" hidden="1" customHeight="1" outlineLevel="1" x14ac:dyDescent="0.2">
      <c r="A41" s="61" t="s">
        <v>186</v>
      </c>
      <c r="B41" s="62"/>
      <c r="C41" s="54"/>
      <c r="D41" s="54"/>
      <c r="E41" s="63"/>
      <c r="F41" s="64"/>
      <c r="G41" s="65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66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66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8"/>
      <c r="AT41" s="63"/>
      <c r="AU41" s="63"/>
    </row>
    <row r="42" spans="1:47" ht="12.75" hidden="1" customHeight="1" outlineLevel="1" x14ac:dyDescent="0.2">
      <c r="A42" s="61" t="s">
        <v>187</v>
      </c>
      <c r="B42" s="62"/>
      <c r="C42" s="54"/>
      <c r="D42" s="54"/>
      <c r="E42" s="63"/>
      <c r="F42" s="64"/>
      <c r="G42" s="65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66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66"/>
      <c r="AG42" s="67"/>
      <c r="AH42" s="67"/>
      <c r="AI42" s="67"/>
      <c r="AJ42" s="67"/>
      <c r="AK42" s="67"/>
      <c r="AL42" s="67"/>
      <c r="AM42" s="67"/>
      <c r="AN42" s="67"/>
      <c r="AO42" s="67"/>
      <c r="AP42" s="67"/>
      <c r="AQ42" s="67"/>
      <c r="AR42" s="67"/>
      <c r="AS42" s="68"/>
      <c r="AT42" s="63"/>
      <c r="AU42" s="63"/>
    </row>
    <row r="43" spans="1:47" ht="12.75" hidden="1" customHeight="1" outlineLevel="1" x14ac:dyDescent="0.2">
      <c r="A43" s="61" t="s">
        <v>188</v>
      </c>
      <c r="B43" s="62"/>
      <c r="C43" s="54"/>
      <c r="D43" s="54"/>
      <c r="E43" s="63"/>
      <c r="F43" s="64"/>
      <c r="G43" s="65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66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66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8"/>
      <c r="AT43" s="63"/>
      <c r="AU43" s="63"/>
    </row>
    <row r="44" spans="1:47" ht="12.75" hidden="1" customHeight="1" outlineLevel="1" x14ac:dyDescent="0.2">
      <c r="A44" s="61" t="s">
        <v>189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61" t="s">
        <v>190</v>
      </c>
      <c r="B45" s="62">
        <v>0</v>
      </c>
      <c r="C45" s="54">
        <v>0</v>
      </c>
      <c r="D45" s="54">
        <v>0</v>
      </c>
      <c r="E45" s="63"/>
      <c r="F45" s="64"/>
      <c r="G45" s="65">
        <v>0</v>
      </c>
      <c r="H45" s="54">
        <v>0</v>
      </c>
      <c r="I45" s="54">
        <v>0</v>
      </c>
      <c r="J45" s="54">
        <v>0</v>
      </c>
      <c r="K45" s="54">
        <v>0</v>
      </c>
      <c r="L45" s="54">
        <v>0</v>
      </c>
      <c r="M45" s="54">
        <v>0</v>
      </c>
      <c r="N45" s="54">
        <v>0</v>
      </c>
      <c r="O45" s="54">
        <v>0</v>
      </c>
      <c r="P45" s="54">
        <v>0</v>
      </c>
      <c r="Q45" s="54">
        <v>0</v>
      </c>
      <c r="R45" s="54">
        <v>0</v>
      </c>
      <c r="S45" s="66">
        <v>0</v>
      </c>
      <c r="T45" s="54">
        <v>0</v>
      </c>
      <c r="U45" s="54">
        <v>0</v>
      </c>
      <c r="V45" s="54">
        <v>0</v>
      </c>
      <c r="W45" s="54">
        <v>0</v>
      </c>
      <c r="X45" s="54">
        <v>0</v>
      </c>
      <c r="Y45" s="54">
        <v>0</v>
      </c>
      <c r="Z45" s="54">
        <v>0</v>
      </c>
      <c r="AA45" s="54">
        <v>0</v>
      </c>
      <c r="AB45" s="54">
        <v>0</v>
      </c>
      <c r="AC45" s="54">
        <v>0</v>
      </c>
      <c r="AD45" s="54">
        <v>0</v>
      </c>
      <c r="AE45" s="54">
        <v>0</v>
      </c>
      <c r="AF45" s="66">
        <v>0</v>
      </c>
      <c r="AG45" s="67">
        <v>0</v>
      </c>
      <c r="AH45" s="67">
        <v>0</v>
      </c>
      <c r="AI45" s="67">
        <v>0</v>
      </c>
      <c r="AJ45" s="67">
        <v>0</v>
      </c>
      <c r="AK45" s="67">
        <v>0</v>
      </c>
      <c r="AL45" s="67">
        <v>0</v>
      </c>
      <c r="AM45" s="67">
        <v>0</v>
      </c>
      <c r="AN45" s="67">
        <v>0</v>
      </c>
      <c r="AO45" s="67">
        <v>0</v>
      </c>
      <c r="AP45" s="67">
        <v>0</v>
      </c>
      <c r="AQ45" s="67">
        <v>0</v>
      </c>
      <c r="AR45" s="67">
        <v>0</v>
      </c>
      <c r="AS45" s="68">
        <v>0</v>
      </c>
      <c r="AT45" s="63"/>
      <c r="AU45" s="63"/>
    </row>
    <row r="46" spans="1:47" ht="12.75" hidden="1" customHeight="1" outlineLevel="1" x14ac:dyDescent="0.2">
      <c r="A46" s="61" t="s">
        <v>191</v>
      </c>
      <c r="B46" s="62"/>
      <c r="C46" s="54"/>
      <c r="D46" s="54"/>
      <c r="E46" s="63"/>
      <c r="F46" s="64"/>
      <c r="G46" s="65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66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66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8"/>
      <c r="AT46" s="63"/>
      <c r="AU46" s="63"/>
    </row>
    <row r="47" spans="1:47" ht="12.75" customHeight="1" collapsed="1" x14ac:dyDescent="0.2">
      <c r="A47" s="69" t="s">
        <v>192</v>
      </c>
      <c r="B47" s="70">
        <v>0</v>
      </c>
      <c r="C47" s="71">
        <v>0</v>
      </c>
      <c r="D47" s="71">
        <v>0</v>
      </c>
      <c r="E47" s="72"/>
      <c r="F47" s="73"/>
      <c r="G47" s="70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</v>
      </c>
      <c r="N47" s="71">
        <v>0</v>
      </c>
      <c r="O47" s="71">
        <v>0</v>
      </c>
      <c r="P47" s="71">
        <v>0</v>
      </c>
      <c r="Q47" s="71">
        <v>0</v>
      </c>
      <c r="R47" s="71">
        <v>0</v>
      </c>
      <c r="S47" s="71">
        <v>0</v>
      </c>
      <c r="T47" s="71">
        <v>0</v>
      </c>
      <c r="U47" s="71">
        <v>0</v>
      </c>
      <c r="V47" s="71">
        <v>0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71">
        <v>0</v>
      </c>
      <c r="AE47" s="71">
        <v>0</v>
      </c>
      <c r="AF47" s="71">
        <v>0</v>
      </c>
      <c r="AG47" s="75">
        <v>0</v>
      </c>
      <c r="AH47" s="75">
        <v>0</v>
      </c>
      <c r="AI47" s="75">
        <v>0</v>
      </c>
      <c r="AJ47" s="75">
        <v>0</v>
      </c>
      <c r="AK47" s="75">
        <v>0</v>
      </c>
      <c r="AL47" s="75">
        <v>0</v>
      </c>
      <c r="AM47" s="75">
        <v>0</v>
      </c>
      <c r="AN47" s="75">
        <v>0</v>
      </c>
      <c r="AO47" s="75">
        <v>0</v>
      </c>
      <c r="AP47" s="75">
        <v>0</v>
      </c>
      <c r="AQ47" s="75">
        <v>0</v>
      </c>
      <c r="AR47" s="75">
        <v>0</v>
      </c>
      <c r="AS47" s="75">
        <v>0</v>
      </c>
      <c r="AT47" s="72"/>
      <c r="AU47" s="72"/>
    </row>
    <row r="48" spans="1:47" ht="12.75" hidden="1" customHeight="1" outlineLevel="1" x14ac:dyDescent="0.2">
      <c r="A48" s="61" t="s">
        <v>193</v>
      </c>
      <c r="B48" s="62"/>
      <c r="C48" s="54"/>
      <c r="D48" s="54"/>
      <c r="E48" s="63"/>
      <c r="F48" s="64"/>
      <c r="G48" s="65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66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66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8"/>
      <c r="AT48" s="63"/>
      <c r="AU48" s="63"/>
    </row>
    <row r="49" spans="1:47" ht="12.75" hidden="1" customHeight="1" outlineLevel="1" x14ac:dyDescent="0.2">
      <c r="A49" s="61" t="s">
        <v>194</v>
      </c>
      <c r="B49" s="62"/>
      <c r="C49" s="54"/>
      <c r="D49" s="54"/>
      <c r="E49" s="63"/>
      <c r="F49" s="64"/>
      <c r="G49" s="65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66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66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8"/>
      <c r="AT49" s="63"/>
      <c r="AU49" s="63"/>
    </row>
    <row r="50" spans="1:47" ht="12.75" hidden="1" customHeight="1" outlineLevel="1" x14ac:dyDescent="0.2">
      <c r="A50" s="61" t="s">
        <v>82</v>
      </c>
      <c r="B50" s="62"/>
      <c r="C50" s="54"/>
      <c r="D50" s="54"/>
      <c r="E50" s="63"/>
      <c r="F50" s="64"/>
      <c r="G50" s="65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66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66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8"/>
      <c r="AT50" s="63"/>
      <c r="AU50" s="63"/>
    </row>
    <row r="51" spans="1:47" ht="12.75" hidden="1" customHeight="1" outlineLevel="1" x14ac:dyDescent="0.2">
      <c r="A51" s="61" t="s">
        <v>83</v>
      </c>
      <c r="B51" s="62"/>
      <c r="C51" s="54"/>
      <c r="D51" s="54"/>
      <c r="E51" s="63"/>
      <c r="F51" s="64"/>
      <c r="G51" s="65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66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66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8"/>
      <c r="AT51" s="63"/>
      <c r="AU51" s="63"/>
    </row>
    <row r="52" spans="1:47" ht="12.75" hidden="1" customHeight="1" outlineLevel="1" x14ac:dyDescent="0.2">
      <c r="A52" s="61" t="s">
        <v>84</v>
      </c>
      <c r="B52" s="62"/>
      <c r="C52" s="54"/>
      <c r="D52" s="54"/>
      <c r="E52" s="63"/>
      <c r="F52" s="64"/>
      <c r="G52" s="65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66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66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8"/>
      <c r="AT52" s="63"/>
      <c r="AU52" s="63"/>
    </row>
    <row r="53" spans="1:47" ht="12.75" hidden="1" customHeight="1" outlineLevel="1" x14ac:dyDescent="0.2">
      <c r="A53" s="61" t="s">
        <v>195</v>
      </c>
      <c r="B53" s="62"/>
      <c r="C53" s="54"/>
      <c r="D53" s="54"/>
      <c r="E53" s="63"/>
      <c r="F53" s="64"/>
      <c r="G53" s="65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66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66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8"/>
      <c r="AT53" s="63"/>
      <c r="AU53" s="63"/>
    </row>
    <row r="54" spans="1:47" ht="12.75" hidden="1" customHeight="1" outlineLevel="1" x14ac:dyDescent="0.2">
      <c r="A54" s="61" t="s">
        <v>86</v>
      </c>
      <c r="B54" s="62"/>
      <c r="C54" s="54">
        <v>0</v>
      </c>
      <c r="D54" s="54"/>
      <c r="E54" s="63"/>
      <c r="F54" s="64"/>
      <c r="G54" s="65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66"/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8"/>
      <c r="AT54" s="63"/>
      <c r="AU54" s="63"/>
    </row>
    <row r="55" spans="1:47" ht="12.75" hidden="1" customHeight="1" outlineLevel="1" x14ac:dyDescent="0.2">
      <c r="A55" s="61" t="s">
        <v>110</v>
      </c>
      <c r="B55" s="62"/>
      <c r="C55" s="54"/>
      <c r="D55" s="54"/>
      <c r="E55" s="63"/>
      <c r="F55" s="64"/>
      <c r="G55" s="65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66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66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8"/>
      <c r="AT55" s="63"/>
      <c r="AU55" s="63"/>
    </row>
    <row r="56" spans="1:47" ht="12.75" hidden="1" customHeight="1" outlineLevel="1" x14ac:dyDescent="0.2">
      <c r="A56" s="61" t="s">
        <v>196</v>
      </c>
      <c r="B56" s="62">
        <v>0</v>
      </c>
      <c r="C56" s="54">
        <v>0</v>
      </c>
      <c r="D56" s="54">
        <v>0</v>
      </c>
      <c r="E56" s="63"/>
      <c r="F56" s="64"/>
      <c r="G56" s="65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66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66">
        <v>0</v>
      </c>
      <c r="AG56" s="67">
        <v>0</v>
      </c>
      <c r="AH56" s="67">
        <v>0</v>
      </c>
      <c r="AI56" s="67">
        <v>0</v>
      </c>
      <c r="AJ56" s="67">
        <v>0</v>
      </c>
      <c r="AK56" s="67">
        <v>0</v>
      </c>
      <c r="AL56" s="67">
        <v>0</v>
      </c>
      <c r="AM56" s="67">
        <v>0</v>
      </c>
      <c r="AN56" s="67">
        <v>0</v>
      </c>
      <c r="AO56" s="67">
        <v>0</v>
      </c>
      <c r="AP56" s="67">
        <v>0</v>
      </c>
      <c r="AQ56" s="67">
        <v>0</v>
      </c>
      <c r="AR56" s="67">
        <v>0</v>
      </c>
      <c r="AS56" s="68">
        <v>0</v>
      </c>
      <c r="AT56" s="63"/>
      <c r="AU56" s="63"/>
    </row>
    <row r="57" spans="1:47" ht="12.75" hidden="1" customHeight="1" outlineLevel="1" x14ac:dyDescent="0.2">
      <c r="A57" s="61" t="s">
        <v>197</v>
      </c>
      <c r="B57" s="62"/>
      <c r="C57" s="54">
        <v>0</v>
      </c>
      <c r="D57" s="54"/>
      <c r="E57" s="63"/>
      <c r="F57" s="64"/>
      <c r="G57" s="65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66"/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66">
        <v>0</v>
      </c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8"/>
      <c r="AT57" s="63"/>
      <c r="AU57" s="63"/>
    </row>
    <row r="58" spans="1:47" ht="12.75" hidden="1" customHeight="1" outlineLevel="1" x14ac:dyDescent="0.2">
      <c r="A58" s="61" t="s">
        <v>198</v>
      </c>
      <c r="B58" s="62">
        <v>0</v>
      </c>
      <c r="C58" s="54">
        <v>0</v>
      </c>
      <c r="D58" s="54">
        <v>0</v>
      </c>
      <c r="E58" s="63"/>
      <c r="F58" s="64"/>
      <c r="G58" s="65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0</v>
      </c>
      <c r="AI58" s="67">
        <v>0</v>
      </c>
      <c r="AJ58" s="67">
        <v>0</v>
      </c>
      <c r="AK58" s="67">
        <v>0</v>
      </c>
      <c r="AL58" s="67">
        <v>0</v>
      </c>
      <c r="AM58" s="67">
        <v>0</v>
      </c>
      <c r="AN58" s="67">
        <v>0</v>
      </c>
      <c r="AO58" s="67">
        <v>0</v>
      </c>
      <c r="AP58" s="67">
        <v>0</v>
      </c>
      <c r="AQ58" s="67">
        <v>0</v>
      </c>
      <c r="AR58" s="67">
        <v>0</v>
      </c>
      <c r="AS58" s="68">
        <v>0</v>
      </c>
      <c r="AT58" s="63"/>
      <c r="AU58" s="63"/>
    </row>
    <row r="59" spans="1:47" ht="12.75" hidden="1" customHeight="1" outlineLevel="1" x14ac:dyDescent="0.2">
      <c r="A59" s="61" t="s">
        <v>199</v>
      </c>
      <c r="B59" s="62"/>
      <c r="C59" s="54"/>
      <c r="D59" s="54"/>
      <c r="E59" s="63"/>
      <c r="F59" s="64"/>
      <c r="G59" s="65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66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66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8"/>
      <c r="AT59" s="63"/>
      <c r="AU59" s="63"/>
    </row>
    <row r="60" spans="1:47" ht="12.75" hidden="1" customHeight="1" outlineLevel="1" x14ac:dyDescent="0.2">
      <c r="A60" s="61" t="s">
        <v>200</v>
      </c>
      <c r="B60" s="62"/>
      <c r="C60" s="54"/>
      <c r="D60" s="54"/>
      <c r="E60" s="63"/>
      <c r="F60" s="64"/>
      <c r="G60" s="65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66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66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8"/>
      <c r="AT60" s="63"/>
      <c r="AU60" s="63"/>
    </row>
    <row r="61" spans="1:47" ht="12.75" customHeight="1" collapsed="1" x14ac:dyDescent="0.2">
      <c r="A61" s="69" t="s">
        <v>89</v>
      </c>
      <c r="B61" s="70">
        <v>0</v>
      </c>
      <c r="C61" s="71">
        <v>0</v>
      </c>
      <c r="D61" s="71">
        <v>0</v>
      </c>
      <c r="E61" s="72"/>
      <c r="F61" s="73"/>
      <c r="G61" s="70">
        <v>0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  <c r="M61" s="71">
        <v>0</v>
      </c>
      <c r="N61" s="71">
        <v>0</v>
      </c>
      <c r="O61" s="71">
        <v>0</v>
      </c>
      <c r="P61" s="71">
        <v>0</v>
      </c>
      <c r="Q61" s="71">
        <v>0</v>
      </c>
      <c r="R61" s="71">
        <v>0</v>
      </c>
      <c r="S61" s="71">
        <v>0</v>
      </c>
      <c r="T61" s="71">
        <v>0</v>
      </c>
      <c r="U61" s="71">
        <v>0</v>
      </c>
      <c r="V61" s="71">
        <v>0</v>
      </c>
      <c r="W61" s="71">
        <v>0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71">
        <v>0</v>
      </c>
      <c r="AE61" s="71">
        <v>0</v>
      </c>
      <c r="AF61" s="71">
        <v>0</v>
      </c>
      <c r="AG61" s="75">
        <v>0</v>
      </c>
      <c r="AH61" s="75">
        <v>0</v>
      </c>
      <c r="AI61" s="75">
        <v>0</v>
      </c>
      <c r="AJ61" s="75">
        <v>0</v>
      </c>
      <c r="AK61" s="75">
        <v>0</v>
      </c>
      <c r="AL61" s="75">
        <v>0</v>
      </c>
      <c r="AM61" s="75">
        <v>0</v>
      </c>
      <c r="AN61" s="75">
        <v>0</v>
      </c>
      <c r="AO61" s="75">
        <v>0</v>
      </c>
      <c r="AP61" s="75">
        <v>0</v>
      </c>
      <c r="AQ61" s="75">
        <v>0</v>
      </c>
      <c r="AR61" s="75">
        <v>0</v>
      </c>
      <c r="AS61" s="75">
        <v>0</v>
      </c>
      <c r="AT61" s="72"/>
      <c r="AU61" s="72"/>
    </row>
    <row r="62" spans="1:47" ht="12.75" customHeight="1" x14ac:dyDescent="0.2">
      <c r="A62" s="77" t="s">
        <v>201</v>
      </c>
      <c r="B62" s="78">
        <v>13094.04</v>
      </c>
      <c r="C62" s="79">
        <v>0</v>
      </c>
      <c r="D62" s="79">
        <v>14661.22</v>
      </c>
      <c r="E62" s="80"/>
      <c r="F62" s="81">
        <v>89.310712205396271</v>
      </c>
      <c r="G62" s="78">
        <v>17372.32</v>
      </c>
      <c r="H62" s="79">
        <v>16481.759999999998</v>
      </c>
      <c r="I62" s="79">
        <v>11823.04</v>
      </c>
      <c r="J62" s="79">
        <v>13094.04</v>
      </c>
      <c r="K62" s="82">
        <v>-1503.39</v>
      </c>
      <c r="L62" s="79">
        <v>0</v>
      </c>
      <c r="M62" s="79">
        <v>0</v>
      </c>
      <c r="N62" s="79">
        <v>0</v>
      </c>
      <c r="O62" s="79">
        <v>0</v>
      </c>
      <c r="P62" s="79">
        <v>0</v>
      </c>
      <c r="Q62" s="79">
        <v>0</v>
      </c>
      <c r="R62" s="79">
        <v>0</v>
      </c>
      <c r="S62" s="79">
        <v>58771.16</v>
      </c>
      <c r="T62" s="79">
        <v>0</v>
      </c>
      <c r="U62" s="79">
        <v>0</v>
      </c>
      <c r="V62" s="79">
        <v>0</v>
      </c>
      <c r="W62" s="79">
        <v>0</v>
      </c>
      <c r="X62" s="79">
        <v>0</v>
      </c>
      <c r="Y62" s="79">
        <v>0</v>
      </c>
      <c r="Z62" s="79">
        <v>0</v>
      </c>
      <c r="AA62" s="79">
        <v>0</v>
      </c>
      <c r="AB62" s="79">
        <v>0</v>
      </c>
      <c r="AC62" s="79">
        <v>0</v>
      </c>
      <c r="AD62" s="79">
        <v>0</v>
      </c>
      <c r="AE62" s="79">
        <v>0</v>
      </c>
      <c r="AF62" s="79">
        <v>0</v>
      </c>
      <c r="AG62" s="83">
        <v>14527.07</v>
      </c>
      <c r="AH62" s="83">
        <v>15416.82</v>
      </c>
      <c r="AI62" s="83">
        <v>15231.23</v>
      </c>
      <c r="AJ62" s="83">
        <v>14661.22</v>
      </c>
      <c r="AK62" s="83">
        <v>14567.18</v>
      </c>
      <c r="AL62" s="83">
        <v>16296.44</v>
      </c>
      <c r="AM62" s="83">
        <v>12794.27</v>
      </c>
      <c r="AN62" s="83">
        <v>16428.919999999998</v>
      </c>
      <c r="AO62" s="83">
        <v>15490.93</v>
      </c>
      <c r="AP62" s="83">
        <v>13091.03</v>
      </c>
      <c r="AQ62" s="83">
        <v>16519.75</v>
      </c>
      <c r="AR62" s="83">
        <v>13858.59</v>
      </c>
      <c r="AS62" s="83">
        <v>59836.34</v>
      </c>
      <c r="AT62" s="80"/>
      <c r="AU62" s="80">
        <v>98.219844328713961</v>
      </c>
    </row>
    <row r="66" spans="1:4" ht="15" x14ac:dyDescent="0.25">
      <c r="A66" s="16"/>
      <c r="B66" s="16"/>
      <c r="C66" s="16"/>
      <c r="D66" s="16"/>
    </row>
    <row r="67" spans="1:4" ht="15" x14ac:dyDescent="0.25">
      <c r="A67" s="16"/>
      <c r="B67" s="16"/>
      <c r="C67" s="16"/>
      <c r="D67" s="16"/>
    </row>
    <row r="68" spans="1:4" ht="15" x14ac:dyDescent="0.25">
      <c r="A68" s="16"/>
      <c r="B68" s="16"/>
      <c r="C68" s="16"/>
      <c r="D68" s="16"/>
    </row>
    <row r="69" spans="1:4" ht="15" x14ac:dyDescent="0.25">
      <c r="A69" s="16"/>
      <c r="B69" s="16"/>
      <c r="C69" s="16"/>
      <c r="D69" s="16"/>
    </row>
    <row r="70" spans="1:4" ht="15" x14ac:dyDescent="0.25">
      <c r="A70" s="16"/>
      <c r="B70" s="16"/>
      <c r="C70" s="16"/>
      <c r="D70" s="16"/>
    </row>
    <row r="71" spans="1:4" ht="15" x14ac:dyDescent="0.25">
      <c r="A71" s="16"/>
      <c r="B71" s="16"/>
      <c r="C71" s="16"/>
      <c r="D71" s="16"/>
    </row>
    <row r="72" spans="1:4" ht="15" x14ac:dyDescent="0.25">
      <c r="A72" s="16"/>
      <c r="B72" s="16"/>
      <c r="C72" s="16"/>
      <c r="D72" s="16"/>
    </row>
  </sheetData>
  <pageMargins left="0.75" right="0.75" top="1" bottom="1" header="0.5" footer="0.5"/>
  <pageSetup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CCFF99"/>
  </sheetPr>
  <dimension ref="A1:AU71"/>
  <sheetViews>
    <sheetView workbookViewId="0">
      <pane xSplit="1" ySplit="7" topLeftCell="B8" activePane="bottomRight" state="frozen"/>
      <selection activeCell="A73" sqref="A73"/>
      <selection pane="topRight" activeCell="A73" sqref="A73"/>
      <selection pane="bottomLeft" activeCell="A73" sqref="A73"/>
      <selection pane="bottomRight" sqref="A1:AU62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9.42578125" collapsed="1"/>
    <col min="46" max="47" width="10.5703125" customWidth="1"/>
  </cols>
  <sheetData>
    <row r="1" spans="1:47" ht="35.2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ht="12.75" hidden="1" customHeight="1" outlineLevel="1" x14ac:dyDescent="0.2">
      <c r="A2" s="61" t="s">
        <v>160</v>
      </c>
      <c r="B2" s="62">
        <v>5469.46</v>
      </c>
      <c r="C2" s="54">
        <v>0</v>
      </c>
      <c r="D2" s="54">
        <v>6207.91</v>
      </c>
      <c r="E2" s="63"/>
      <c r="F2" s="64">
        <v>88.104692239417133</v>
      </c>
      <c r="G2" s="65">
        <v>6215.2</v>
      </c>
      <c r="H2" s="54">
        <v>6511.16</v>
      </c>
      <c r="I2" s="54">
        <v>6511.17</v>
      </c>
      <c r="J2" s="54">
        <v>5469.46</v>
      </c>
      <c r="K2" s="54">
        <v>0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24706.99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5758.46</v>
      </c>
      <c r="AH2" s="67">
        <v>6518.47</v>
      </c>
      <c r="AI2" s="67">
        <v>6723.08</v>
      </c>
      <c r="AJ2" s="67">
        <v>6207.91</v>
      </c>
      <c r="AK2" s="67">
        <v>1894.13</v>
      </c>
      <c r="AL2" s="67">
        <v>4498.6400000000003</v>
      </c>
      <c r="AM2" s="67">
        <v>6333.6</v>
      </c>
      <c r="AN2" s="67">
        <v>6511.16</v>
      </c>
      <c r="AO2" s="67">
        <v>6511.16</v>
      </c>
      <c r="AP2" s="67">
        <v>6215.21</v>
      </c>
      <c r="AQ2" s="67">
        <v>1479.8</v>
      </c>
      <c r="AR2" s="67">
        <v>6807.13</v>
      </c>
      <c r="AS2" s="68">
        <v>25207.919999999998</v>
      </c>
      <c r="AT2" s="63"/>
      <c r="AU2" s="63">
        <v>98.012807086026925</v>
      </c>
    </row>
    <row r="3" spans="1:47" ht="12.75" hidden="1" customHeight="1" outlineLevel="1" x14ac:dyDescent="0.2">
      <c r="A3" s="61" t="s">
        <v>161</v>
      </c>
      <c r="B3" s="62">
        <v>370</v>
      </c>
      <c r="C3" s="54">
        <v>0</v>
      </c>
      <c r="D3" s="54">
        <v>341.77</v>
      </c>
      <c r="E3" s="63"/>
      <c r="F3" s="64">
        <v>108.25994089592416</v>
      </c>
      <c r="G3" s="65">
        <v>336.85</v>
      </c>
      <c r="H3" s="54">
        <v>35.979999999999997</v>
      </c>
      <c r="I3" s="54">
        <v>734.51</v>
      </c>
      <c r="J3" s="54">
        <v>370</v>
      </c>
      <c r="K3" s="56">
        <v>-185.27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1477.34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337.6</v>
      </c>
      <c r="AH3" s="67">
        <v>356.89</v>
      </c>
      <c r="AI3" s="67">
        <v>426.84</v>
      </c>
      <c r="AJ3" s="67">
        <v>341.77</v>
      </c>
      <c r="AK3" s="67">
        <v>322.3</v>
      </c>
      <c r="AL3" s="67">
        <v>330.6</v>
      </c>
      <c r="AM3" s="67">
        <v>341.84</v>
      </c>
      <c r="AN3" s="67">
        <v>361.37</v>
      </c>
      <c r="AO3" s="67">
        <v>39.06</v>
      </c>
      <c r="AP3" s="67">
        <v>451.45</v>
      </c>
      <c r="AQ3" s="67">
        <v>455.72</v>
      </c>
      <c r="AR3" s="67">
        <v>470.44</v>
      </c>
      <c r="AS3" s="68">
        <v>1463.1</v>
      </c>
      <c r="AT3" s="63"/>
      <c r="AU3" s="63">
        <v>100.97327592098968</v>
      </c>
    </row>
    <row r="4" spans="1:47" ht="12.75" hidden="1" customHeight="1" outlineLevel="1" x14ac:dyDescent="0.2">
      <c r="A4" s="61" t="s">
        <v>162</v>
      </c>
      <c r="B4" s="62">
        <v>1634.74</v>
      </c>
      <c r="C4" s="54">
        <v>0</v>
      </c>
      <c r="D4" s="54">
        <v>1161.71</v>
      </c>
      <c r="E4" s="63"/>
      <c r="F4" s="64">
        <v>140.71842370298955</v>
      </c>
      <c r="G4" s="65">
        <v>1504.26</v>
      </c>
      <c r="H4" s="54">
        <v>579.94000000000005</v>
      </c>
      <c r="I4" s="54">
        <v>557.38</v>
      </c>
      <c r="J4" s="54">
        <v>1634.74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4276.32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148.29</v>
      </c>
      <c r="AH4" s="67">
        <v>2352.3000000000002</v>
      </c>
      <c r="AI4" s="67">
        <v>887.65</v>
      </c>
      <c r="AJ4" s="67">
        <v>1161.71</v>
      </c>
      <c r="AK4" s="67">
        <v>1655.65</v>
      </c>
      <c r="AL4" s="67">
        <v>1728.43</v>
      </c>
      <c r="AM4" s="67">
        <v>1112.67</v>
      </c>
      <c r="AN4" s="67">
        <v>665.87</v>
      </c>
      <c r="AO4" s="67">
        <v>953.83</v>
      </c>
      <c r="AP4" s="67">
        <v>687.63</v>
      </c>
      <c r="AQ4" s="67">
        <v>1110.92</v>
      </c>
      <c r="AR4" s="67">
        <v>609</v>
      </c>
      <c r="AS4" s="68">
        <v>4549.95</v>
      </c>
      <c r="AT4" s="63"/>
      <c r="AU4" s="63">
        <v>93.986087759206143</v>
      </c>
    </row>
    <row r="5" spans="1:47" ht="12.75" hidden="1" customHeight="1" outlineLevel="1" x14ac:dyDescent="0.2">
      <c r="A5" s="61" t="s">
        <v>163</v>
      </c>
      <c r="B5" s="62"/>
      <c r="C5" s="54"/>
      <c r="D5" s="54"/>
      <c r="E5" s="63"/>
      <c r="F5" s="64"/>
      <c r="G5" s="65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66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66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8"/>
      <c r="AT5" s="63"/>
      <c r="AU5" s="63"/>
    </row>
    <row r="6" spans="1:47" ht="12.75" hidden="1" customHeight="1" outlineLevel="1" x14ac:dyDescent="0.2">
      <c r="A6" s="61" t="s">
        <v>164</v>
      </c>
      <c r="B6" s="62">
        <v>0</v>
      </c>
      <c r="C6" s="54">
        <v>0</v>
      </c>
      <c r="D6" s="54">
        <v>49.5</v>
      </c>
      <c r="E6" s="63"/>
      <c r="F6" s="64">
        <v>0</v>
      </c>
      <c r="G6" s="97">
        <v>-149.22999999999999</v>
      </c>
      <c r="H6" s="54">
        <v>0</v>
      </c>
      <c r="I6" s="54">
        <v>0</v>
      </c>
      <c r="J6" s="54">
        <v>0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76">
        <v>-149.22999999999999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49.5</v>
      </c>
      <c r="AH6" s="67">
        <v>49.5</v>
      </c>
      <c r="AI6" s="67">
        <v>49.5</v>
      </c>
      <c r="AJ6" s="67">
        <v>49.5</v>
      </c>
      <c r="AK6" s="67">
        <v>49.5</v>
      </c>
      <c r="AL6" s="67">
        <v>49.5</v>
      </c>
      <c r="AM6" s="67">
        <v>49.5</v>
      </c>
      <c r="AN6" s="67">
        <v>49.5</v>
      </c>
      <c r="AO6" s="67">
        <v>49.5</v>
      </c>
      <c r="AP6" s="67">
        <v>49.74</v>
      </c>
      <c r="AQ6" s="67">
        <v>49.75</v>
      </c>
      <c r="AR6" s="67">
        <v>49.74</v>
      </c>
      <c r="AS6" s="68">
        <v>198</v>
      </c>
      <c r="AT6" s="63"/>
      <c r="AU6" s="63">
        <v>-75.368686868686865</v>
      </c>
    </row>
    <row r="7" spans="1:47" hidden="1" outlineLevel="1" x14ac:dyDescent="0.2">
      <c r="A7" s="61" t="s">
        <v>165</v>
      </c>
      <c r="B7" s="62">
        <v>702.33</v>
      </c>
      <c r="C7" s="54">
        <v>0</v>
      </c>
      <c r="D7" s="54">
        <v>620.78</v>
      </c>
      <c r="E7" s="63"/>
      <c r="F7" s="64">
        <v>113.13669899159122</v>
      </c>
      <c r="G7" s="65">
        <v>652.59</v>
      </c>
      <c r="H7" s="54">
        <v>683.68</v>
      </c>
      <c r="I7" s="54">
        <v>683.67</v>
      </c>
      <c r="J7" s="54">
        <v>702.33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2722.27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613.85</v>
      </c>
      <c r="AH7" s="67">
        <v>643.09</v>
      </c>
      <c r="AI7" s="67">
        <v>672.31</v>
      </c>
      <c r="AJ7" s="67">
        <v>620.78</v>
      </c>
      <c r="AK7" s="67">
        <v>591.91999999999996</v>
      </c>
      <c r="AL7" s="67">
        <v>651.12</v>
      </c>
      <c r="AM7" s="67">
        <v>621.52</v>
      </c>
      <c r="AN7" s="67">
        <v>651.11</v>
      </c>
      <c r="AO7" s="67">
        <v>651.11</v>
      </c>
      <c r="AP7" s="67">
        <v>662.96</v>
      </c>
      <c r="AQ7" s="67">
        <v>714.75</v>
      </c>
      <c r="AR7" s="67">
        <v>683.67</v>
      </c>
      <c r="AS7" s="68">
        <v>2550.0300000000002</v>
      </c>
      <c r="AT7" s="63"/>
      <c r="AU7" s="63">
        <v>106.75443034003521</v>
      </c>
    </row>
    <row r="8" spans="1:47" ht="12.75" customHeight="1" collapsed="1" x14ac:dyDescent="0.2">
      <c r="A8" s="69" t="s">
        <v>166</v>
      </c>
      <c r="B8" s="70">
        <v>8176.53</v>
      </c>
      <c r="C8" s="71">
        <v>0</v>
      </c>
      <c r="D8" s="71">
        <v>8381.67</v>
      </c>
      <c r="E8" s="72"/>
      <c r="F8" s="73">
        <v>97.552516383966434</v>
      </c>
      <c r="G8" s="70">
        <v>8559.67</v>
      </c>
      <c r="H8" s="71">
        <v>7810.76</v>
      </c>
      <c r="I8" s="71">
        <v>8486.73</v>
      </c>
      <c r="J8" s="71">
        <v>8176.53</v>
      </c>
      <c r="K8" s="74">
        <v>-185.27</v>
      </c>
      <c r="L8" s="71">
        <v>0</v>
      </c>
      <c r="M8" s="71">
        <v>0</v>
      </c>
      <c r="N8" s="71">
        <v>0</v>
      </c>
      <c r="O8" s="71">
        <v>0</v>
      </c>
      <c r="P8" s="71">
        <v>0</v>
      </c>
      <c r="Q8" s="71">
        <v>0</v>
      </c>
      <c r="R8" s="71">
        <v>0</v>
      </c>
      <c r="S8" s="71">
        <v>33033.69</v>
      </c>
      <c r="T8" s="71">
        <v>0</v>
      </c>
      <c r="U8" s="71">
        <v>0</v>
      </c>
      <c r="V8" s="71">
        <v>0</v>
      </c>
      <c r="W8" s="71">
        <v>0</v>
      </c>
      <c r="X8" s="71">
        <v>0</v>
      </c>
      <c r="Y8" s="71">
        <v>0</v>
      </c>
      <c r="Z8" s="71">
        <v>0</v>
      </c>
      <c r="AA8" s="71">
        <v>0</v>
      </c>
      <c r="AB8" s="71">
        <v>0</v>
      </c>
      <c r="AC8" s="71">
        <v>0</v>
      </c>
      <c r="AD8" s="71">
        <v>0</v>
      </c>
      <c r="AE8" s="71">
        <v>0</v>
      </c>
      <c r="AF8" s="71">
        <v>0</v>
      </c>
      <c r="AG8" s="75">
        <v>6907.7</v>
      </c>
      <c r="AH8" s="75">
        <v>9920.25</v>
      </c>
      <c r="AI8" s="75">
        <v>8759.3799999999992</v>
      </c>
      <c r="AJ8" s="75">
        <v>8381.67</v>
      </c>
      <c r="AK8" s="75">
        <v>4513.5</v>
      </c>
      <c r="AL8" s="75">
        <v>7258.29</v>
      </c>
      <c r="AM8" s="75">
        <v>8459.1299999999992</v>
      </c>
      <c r="AN8" s="75">
        <v>8239.01</v>
      </c>
      <c r="AO8" s="75">
        <v>8204.66</v>
      </c>
      <c r="AP8" s="75">
        <v>8066.99</v>
      </c>
      <c r="AQ8" s="75">
        <v>3810.94</v>
      </c>
      <c r="AR8" s="75">
        <v>8619.98</v>
      </c>
      <c r="AS8" s="75">
        <v>33969</v>
      </c>
      <c r="AT8" s="72"/>
      <c r="AU8" s="72">
        <v>97.246577762077195</v>
      </c>
    </row>
    <row r="9" spans="1:47" ht="12.75" customHeight="1" x14ac:dyDescent="0.2">
      <c r="A9" s="61" t="s">
        <v>167</v>
      </c>
      <c r="B9" s="62"/>
      <c r="C9" s="54"/>
      <c r="D9" s="54"/>
      <c r="E9" s="63"/>
      <c r="F9" s="64"/>
      <c r="G9" s="65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66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66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8"/>
      <c r="AT9" s="63"/>
      <c r="AU9" s="63"/>
    </row>
    <row r="10" spans="1:47" ht="12.75" customHeight="1" x14ac:dyDescent="0.2">
      <c r="A10" s="61" t="s">
        <v>168</v>
      </c>
      <c r="B10" s="62"/>
      <c r="C10" s="54"/>
      <c r="D10" s="54"/>
      <c r="E10" s="63"/>
      <c r="F10" s="64"/>
      <c r="G10" s="65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66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8"/>
      <c r="AT10" s="63"/>
      <c r="AU10" s="63"/>
    </row>
    <row r="11" spans="1:47" ht="12.75" customHeight="1" x14ac:dyDescent="0.2">
      <c r="A11" s="61" t="s">
        <v>169</v>
      </c>
      <c r="B11" s="62"/>
      <c r="C11" s="54"/>
      <c r="D11" s="54"/>
      <c r="E11" s="63"/>
      <c r="F11" s="64"/>
      <c r="G11" s="65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66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66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8"/>
      <c r="AT11" s="63"/>
      <c r="AU11" s="63"/>
    </row>
    <row r="12" spans="1:47" ht="12.75" customHeight="1" x14ac:dyDescent="0.2">
      <c r="A12" s="61" t="s">
        <v>50</v>
      </c>
      <c r="B12" s="62"/>
      <c r="C12" s="54"/>
      <c r="D12" s="54"/>
      <c r="E12" s="63"/>
      <c r="F12" s="64"/>
      <c r="G12" s="65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66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6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8"/>
      <c r="AT12" s="63"/>
      <c r="AU12" s="63"/>
    </row>
    <row r="13" spans="1:47" ht="12.75" customHeight="1" x14ac:dyDescent="0.2">
      <c r="A13" s="61" t="s">
        <v>170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47" ht="12.75" customHeight="1" x14ac:dyDescent="0.2">
      <c r="A14" s="61" t="s">
        <v>171</v>
      </c>
      <c r="B14" s="62"/>
      <c r="C14" s="54"/>
      <c r="D14" s="54"/>
      <c r="E14" s="63"/>
      <c r="F14" s="64"/>
      <c r="G14" s="65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66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66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8"/>
      <c r="AT14" s="63"/>
      <c r="AU14" s="63"/>
    </row>
    <row r="15" spans="1:47" ht="12.75" customHeight="1" x14ac:dyDescent="0.2">
      <c r="A15" s="61" t="s">
        <v>172</v>
      </c>
      <c r="B15" s="62"/>
      <c r="C15" s="54"/>
      <c r="D15" s="54"/>
      <c r="E15" s="63"/>
      <c r="F15" s="64"/>
      <c r="G15" s="65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66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66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8"/>
      <c r="AT15" s="63"/>
      <c r="AU15" s="63"/>
    </row>
    <row r="16" spans="1:47" ht="12.75" customHeight="1" x14ac:dyDescent="0.2">
      <c r="A16" s="61" t="s">
        <v>173</v>
      </c>
      <c r="B16" s="62"/>
      <c r="C16" s="54"/>
      <c r="D16" s="54"/>
      <c r="E16" s="63"/>
      <c r="F16" s="64"/>
      <c r="G16" s="65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66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66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8"/>
      <c r="AT16" s="63"/>
      <c r="AU16" s="63"/>
    </row>
    <row r="17" spans="1:47" ht="12.75" customHeight="1" x14ac:dyDescent="0.2">
      <c r="A17" s="61" t="s">
        <v>257</v>
      </c>
      <c r="B17" s="62">
        <v>422.1</v>
      </c>
      <c r="C17" s="54">
        <v>0</v>
      </c>
      <c r="D17" s="54">
        <v>395.85</v>
      </c>
      <c r="E17" s="63"/>
      <c r="F17" s="64">
        <v>106.63129973474801</v>
      </c>
      <c r="G17" s="65">
        <v>428.25</v>
      </c>
      <c r="H17" s="54">
        <v>428.25</v>
      </c>
      <c r="I17" s="54">
        <v>428</v>
      </c>
      <c r="J17" s="54">
        <v>422.1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1706.6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430.35</v>
      </c>
      <c r="AH17" s="67">
        <v>430.35</v>
      </c>
      <c r="AI17" s="67">
        <v>528.55999999999995</v>
      </c>
      <c r="AJ17" s="67">
        <v>395.85</v>
      </c>
      <c r="AK17" s="67">
        <v>411.94</v>
      </c>
      <c r="AL17" s="67">
        <v>411.41</v>
      </c>
      <c r="AM17" s="67">
        <v>411.41</v>
      </c>
      <c r="AN17" s="67">
        <v>410.54</v>
      </c>
      <c r="AO17" s="67">
        <v>411.1</v>
      </c>
      <c r="AP17" s="67">
        <v>421.4</v>
      </c>
      <c r="AQ17" s="67">
        <v>416.24</v>
      </c>
      <c r="AR17" s="67">
        <v>439.47</v>
      </c>
      <c r="AS17" s="68">
        <v>1785.11</v>
      </c>
      <c r="AT17" s="63"/>
      <c r="AU17" s="63">
        <v>95.60195170045543</v>
      </c>
    </row>
    <row r="18" spans="1:47" ht="12.75" hidden="1" customHeight="1" outlineLevel="1" x14ac:dyDescent="0.2">
      <c r="A18" s="61" t="s">
        <v>109</v>
      </c>
      <c r="B18" s="62"/>
      <c r="C18" s="54"/>
      <c r="D18" s="54"/>
      <c r="E18" s="63"/>
      <c r="F18" s="64"/>
      <c r="G18" s="65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66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66"/>
      <c r="AG18" s="67"/>
      <c r="AH18" s="67"/>
      <c r="AI18" s="67"/>
      <c r="AJ18" s="67"/>
      <c r="AK18" s="67"/>
      <c r="AL18" s="67"/>
      <c r="AM18" s="67"/>
      <c r="AN18" s="67"/>
      <c r="AO18" s="67"/>
      <c r="AP18" s="67"/>
      <c r="AQ18" s="67"/>
      <c r="AR18" s="67"/>
      <c r="AS18" s="68"/>
      <c r="AT18" s="63"/>
      <c r="AU18" s="63"/>
    </row>
    <row r="19" spans="1:47" ht="12.75" hidden="1" customHeight="1" outlineLevel="1" x14ac:dyDescent="0.2">
      <c r="A19" s="61" t="s">
        <v>97</v>
      </c>
      <c r="B19" s="62">
        <v>17</v>
      </c>
      <c r="C19" s="54"/>
      <c r="D19" s="54">
        <v>17</v>
      </c>
      <c r="E19" s="63"/>
      <c r="F19" s="64">
        <v>100</v>
      </c>
      <c r="G19" s="65">
        <v>17</v>
      </c>
      <c r="H19" s="54">
        <v>17</v>
      </c>
      <c r="I19" s="54">
        <v>17</v>
      </c>
      <c r="J19" s="54">
        <v>17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68</v>
      </c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66"/>
      <c r="AG19" s="67">
        <v>0</v>
      </c>
      <c r="AH19" s="67">
        <v>0</v>
      </c>
      <c r="AI19" s="67">
        <v>24.3</v>
      </c>
      <c r="AJ19" s="67">
        <v>17</v>
      </c>
      <c r="AK19" s="67">
        <v>5.91</v>
      </c>
      <c r="AL19" s="67">
        <v>17</v>
      </c>
      <c r="AM19" s="67">
        <v>17</v>
      </c>
      <c r="AN19" s="67">
        <v>17</v>
      </c>
      <c r="AO19" s="67">
        <v>17</v>
      </c>
      <c r="AP19" s="67">
        <v>17</v>
      </c>
      <c r="AQ19" s="67">
        <v>17</v>
      </c>
      <c r="AR19" s="67">
        <v>17</v>
      </c>
      <c r="AS19" s="68">
        <v>41.3</v>
      </c>
      <c r="AT19" s="63"/>
      <c r="AU19" s="63">
        <v>164.64891041162227</v>
      </c>
    </row>
    <row r="20" spans="1:47" ht="12.75" hidden="1" customHeight="1" outlineLevel="1" x14ac:dyDescent="0.2">
      <c r="A20" s="61" t="s">
        <v>69</v>
      </c>
      <c r="B20" s="62"/>
      <c r="C20" s="54"/>
      <c r="D20" s="54"/>
      <c r="E20" s="63"/>
      <c r="F20" s="64"/>
      <c r="G20" s="65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66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66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8"/>
      <c r="AT20" s="63"/>
      <c r="AU20" s="63"/>
    </row>
    <row r="21" spans="1:47" ht="12.75" customHeight="1" collapsed="1" x14ac:dyDescent="0.2">
      <c r="A21" s="69" t="s">
        <v>70</v>
      </c>
      <c r="B21" s="70">
        <v>17</v>
      </c>
      <c r="C21" s="71"/>
      <c r="D21" s="71">
        <v>17</v>
      </c>
      <c r="E21" s="72"/>
      <c r="F21" s="73">
        <v>100</v>
      </c>
      <c r="G21" s="70">
        <v>17</v>
      </c>
      <c r="H21" s="71">
        <v>17</v>
      </c>
      <c r="I21" s="71">
        <v>17</v>
      </c>
      <c r="J21" s="71">
        <v>17</v>
      </c>
      <c r="K21" s="71">
        <v>0</v>
      </c>
      <c r="L21" s="71">
        <v>0</v>
      </c>
      <c r="M21" s="71">
        <v>0</v>
      </c>
      <c r="N21" s="71">
        <v>0</v>
      </c>
      <c r="O21" s="71">
        <v>0</v>
      </c>
      <c r="P21" s="71">
        <v>0</v>
      </c>
      <c r="Q21" s="71">
        <v>0</v>
      </c>
      <c r="R21" s="71">
        <v>0</v>
      </c>
      <c r="S21" s="71">
        <v>68</v>
      </c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5">
        <v>0</v>
      </c>
      <c r="AH21" s="75">
        <v>0</v>
      </c>
      <c r="AI21" s="75">
        <v>24.3</v>
      </c>
      <c r="AJ21" s="75">
        <v>17</v>
      </c>
      <c r="AK21" s="75">
        <v>5.91</v>
      </c>
      <c r="AL21" s="75">
        <v>17</v>
      </c>
      <c r="AM21" s="75">
        <v>17</v>
      </c>
      <c r="AN21" s="75">
        <v>17</v>
      </c>
      <c r="AO21" s="75">
        <v>17</v>
      </c>
      <c r="AP21" s="75">
        <v>17</v>
      </c>
      <c r="AQ21" s="75">
        <v>17</v>
      </c>
      <c r="AR21" s="75">
        <v>17</v>
      </c>
      <c r="AS21" s="75">
        <v>41.3</v>
      </c>
      <c r="AT21" s="72"/>
      <c r="AU21" s="72">
        <v>164.64891041162227</v>
      </c>
    </row>
    <row r="22" spans="1:47" ht="17.25" hidden="1" customHeight="1" outlineLevel="1" x14ac:dyDescent="0.2">
      <c r="A22" s="61" t="s">
        <v>174</v>
      </c>
      <c r="B22" s="62">
        <v>0</v>
      </c>
      <c r="C22" s="54">
        <v>0</v>
      </c>
      <c r="D22" s="54">
        <v>0</v>
      </c>
      <c r="E22" s="63"/>
      <c r="F22" s="64"/>
      <c r="G22" s="65">
        <v>0</v>
      </c>
      <c r="H22" s="54">
        <v>0</v>
      </c>
      <c r="I22" s="54">
        <v>0</v>
      </c>
      <c r="J22" s="54">
        <v>0</v>
      </c>
      <c r="K22" s="54">
        <v>0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66">
        <v>0</v>
      </c>
      <c r="T22" s="54">
        <v>0</v>
      </c>
      <c r="U22" s="54">
        <v>0</v>
      </c>
      <c r="V22" s="54">
        <v>0</v>
      </c>
      <c r="W22" s="54">
        <v>0</v>
      </c>
      <c r="X22" s="54">
        <v>0</v>
      </c>
      <c r="Y22" s="54">
        <v>0</v>
      </c>
      <c r="Z22" s="54">
        <v>0</v>
      </c>
      <c r="AA22" s="54">
        <v>0</v>
      </c>
      <c r="AB22" s="54">
        <v>0</v>
      </c>
      <c r="AC22" s="54">
        <v>0</v>
      </c>
      <c r="AD22" s="54">
        <v>0</v>
      </c>
      <c r="AE22" s="54">
        <v>0</v>
      </c>
      <c r="AF22" s="66">
        <v>0</v>
      </c>
      <c r="AG22" s="67">
        <v>0</v>
      </c>
      <c r="AH22" s="67">
        <v>0</v>
      </c>
      <c r="AI22" s="67">
        <v>0</v>
      </c>
      <c r="AJ22" s="67">
        <v>0</v>
      </c>
      <c r="AK22" s="67">
        <v>0</v>
      </c>
      <c r="AL22" s="67">
        <v>0</v>
      </c>
      <c r="AM22" s="67">
        <v>0</v>
      </c>
      <c r="AN22" s="67">
        <v>0</v>
      </c>
      <c r="AO22" s="67">
        <v>0</v>
      </c>
      <c r="AP22" s="67">
        <v>0</v>
      </c>
      <c r="AQ22" s="67">
        <v>0</v>
      </c>
      <c r="AR22" s="67">
        <v>0</v>
      </c>
      <c r="AS22" s="68">
        <v>0</v>
      </c>
      <c r="AT22" s="63"/>
      <c r="AU22" s="63"/>
    </row>
    <row r="23" spans="1:47" ht="12.75" hidden="1" customHeight="1" outlineLevel="1" x14ac:dyDescent="0.2">
      <c r="A23" s="61" t="s">
        <v>99</v>
      </c>
      <c r="B23" s="62">
        <v>449.54</v>
      </c>
      <c r="C23" s="54">
        <v>0</v>
      </c>
      <c r="D23" s="54">
        <v>312.11</v>
      </c>
      <c r="E23" s="63"/>
      <c r="F23" s="64">
        <v>144.03255262567686</v>
      </c>
      <c r="G23" s="65">
        <v>357.95</v>
      </c>
      <c r="H23" s="54">
        <v>0</v>
      </c>
      <c r="I23" s="54">
        <v>207</v>
      </c>
      <c r="J23" s="54">
        <v>449.54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1014.49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0</v>
      </c>
      <c r="AH23" s="67">
        <v>528.42999999999995</v>
      </c>
      <c r="AI23" s="98">
        <v>-10.43</v>
      </c>
      <c r="AJ23" s="67">
        <v>312.11</v>
      </c>
      <c r="AK23" s="67">
        <v>253.21</v>
      </c>
      <c r="AL23" s="67">
        <v>231.44</v>
      </c>
      <c r="AM23" s="67">
        <v>275.77</v>
      </c>
      <c r="AN23" s="67">
        <v>223.28</v>
      </c>
      <c r="AO23" s="67">
        <v>0</v>
      </c>
      <c r="AP23" s="67">
        <v>0</v>
      </c>
      <c r="AQ23" s="67">
        <v>275.39</v>
      </c>
      <c r="AR23" s="67">
        <v>0</v>
      </c>
      <c r="AS23" s="68">
        <v>830.11</v>
      </c>
      <c r="AT23" s="63"/>
      <c r="AU23" s="63">
        <v>122.21151413668068</v>
      </c>
    </row>
    <row r="24" spans="1:47" ht="12.75" hidden="1" customHeight="1" outlineLevel="1" x14ac:dyDescent="0.2">
      <c r="A24" s="61" t="s">
        <v>175</v>
      </c>
      <c r="B24" s="62"/>
      <c r="C24" s="54">
        <v>0</v>
      </c>
      <c r="D24" s="54"/>
      <c r="E24" s="63"/>
      <c r="F24" s="64"/>
      <c r="G24" s="65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66"/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8"/>
      <c r="AT24" s="63"/>
      <c r="AU24" s="63"/>
    </row>
    <row r="25" spans="1:47" ht="12.75" hidden="1" customHeight="1" outlineLevel="1" x14ac:dyDescent="0.2">
      <c r="A25" s="61" t="s">
        <v>100</v>
      </c>
      <c r="B25" s="62"/>
      <c r="C25" s="54">
        <v>0</v>
      </c>
      <c r="D25" s="54"/>
      <c r="E25" s="63"/>
      <c r="F25" s="64"/>
      <c r="G25" s="65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66"/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8"/>
      <c r="AT25" s="63"/>
      <c r="AU25" s="63"/>
    </row>
    <row r="26" spans="1:47" ht="12.75" hidden="1" customHeight="1" outlineLevel="1" x14ac:dyDescent="0.2">
      <c r="A26" s="61" t="s">
        <v>101</v>
      </c>
      <c r="B26" s="62"/>
      <c r="C26" s="54">
        <v>0</v>
      </c>
      <c r="D26" s="54"/>
      <c r="E26" s="63"/>
      <c r="F26" s="64"/>
      <c r="G26" s="65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66"/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8"/>
      <c r="AT26" s="63"/>
      <c r="AU26" s="63"/>
    </row>
    <row r="27" spans="1:47" ht="12.75" hidden="1" customHeight="1" outlineLevel="1" x14ac:dyDescent="0.2">
      <c r="A27" s="61" t="s">
        <v>176</v>
      </c>
      <c r="B27" s="62">
        <v>0</v>
      </c>
      <c r="C27" s="54">
        <v>0</v>
      </c>
      <c r="D27" s="54">
        <v>0</v>
      </c>
      <c r="E27" s="63"/>
      <c r="F27" s="64"/>
      <c r="G27" s="65">
        <v>0</v>
      </c>
      <c r="H27" s="54">
        <v>0</v>
      </c>
      <c r="I27" s="54">
        <v>0</v>
      </c>
      <c r="J27" s="54">
        <v>0</v>
      </c>
      <c r="K27" s="54">
        <v>0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0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0</v>
      </c>
      <c r="AH27" s="67">
        <v>0</v>
      </c>
      <c r="AI27" s="67">
        <v>50</v>
      </c>
      <c r="AJ27" s="67">
        <v>0</v>
      </c>
      <c r="AK27" s="67">
        <v>0</v>
      </c>
      <c r="AL27" s="67">
        <v>0</v>
      </c>
      <c r="AM27" s="67">
        <v>0</v>
      </c>
      <c r="AN27" s="67">
        <v>0</v>
      </c>
      <c r="AO27" s="67">
        <v>0</v>
      </c>
      <c r="AP27" s="67">
        <v>0</v>
      </c>
      <c r="AQ27" s="67">
        <v>0</v>
      </c>
      <c r="AR27" s="67">
        <v>0</v>
      </c>
      <c r="AS27" s="68">
        <v>50</v>
      </c>
      <c r="AT27" s="63"/>
      <c r="AU27" s="63">
        <v>0</v>
      </c>
    </row>
    <row r="28" spans="1:47" ht="12.75" hidden="1" customHeight="1" outlineLevel="1" x14ac:dyDescent="0.2">
      <c r="A28" s="61" t="s">
        <v>102</v>
      </c>
      <c r="B28" s="62">
        <v>133</v>
      </c>
      <c r="C28" s="54">
        <v>0</v>
      </c>
      <c r="D28" s="54">
        <v>132.22</v>
      </c>
      <c r="E28" s="63"/>
      <c r="F28" s="64">
        <v>100.58992588110725</v>
      </c>
      <c r="G28" s="65">
        <v>133</v>
      </c>
      <c r="H28" s="54">
        <v>116.93</v>
      </c>
      <c r="I28" s="54">
        <v>116.93</v>
      </c>
      <c r="J28" s="54">
        <v>133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499.86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116.93</v>
      </c>
      <c r="AH28" s="67">
        <v>116.93</v>
      </c>
      <c r="AI28" s="67">
        <v>116.93</v>
      </c>
      <c r="AJ28" s="67">
        <v>132.22</v>
      </c>
      <c r="AK28" s="67">
        <v>116.93</v>
      </c>
      <c r="AL28" s="67">
        <v>116.93</v>
      </c>
      <c r="AM28" s="67">
        <v>116.93</v>
      </c>
      <c r="AN28" s="67">
        <v>116.93</v>
      </c>
      <c r="AO28" s="67">
        <v>116.93</v>
      </c>
      <c r="AP28" s="67">
        <v>116.93</v>
      </c>
      <c r="AQ28" s="67">
        <v>132.22</v>
      </c>
      <c r="AR28" s="67">
        <v>116.93</v>
      </c>
      <c r="AS28" s="68">
        <v>483.01</v>
      </c>
      <c r="AT28" s="63"/>
      <c r="AU28" s="63">
        <v>103.48854060992527</v>
      </c>
    </row>
    <row r="29" spans="1:47" ht="12.75" hidden="1" customHeight="1" outlineLevel="1" x14ac:dyDescent="0.2">
      <c r="A29" s="61" t="s">
        <v>75</v>
      </c>
      <c r="B29" s="62">
        <v>106.36</v>
      </c>
      <c r="C29" s="54">
        <v>0</v>
      </c>
      <c r="D29" s="54">
        <v>0</v>
      </c>
      <c r="E29" s="63"/>
      <c r="F29" s="64"/>
      <c r="G29" s="65">
        <v>0</v>
      </c>
      <c r="H29" s="54">
        <v>15.59</v>
      </c>
      <c r="I29" s="54">
        <v>15.59</v>
      </c>
      <c r="J29" s="54">
        <v>106.36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137.54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0</v>
      </c>
      <c r="AH29" s="67">
        <v>0</v>
      </c>
      <c r="AI29" s="67">
        <v>0</v>
      </c>
      <c r="AJ29" s="67">
        <v>0</v>
      </c>
      <c r="AK29" s="67">
        <v>0</v>
      </c>
      <c r="AL29" s="67">
        <v>113.29</v>
      </c>
      <c r="AM29" s="67">
        <v>679.74</v>
      </c>
      <c r="AN29" s="67">
        <v>0</v>
      </c>
      <c r="AO29" s="67">
        <v>0</v>
      </c>
      <c r="AP29" s="67">
        <v>0</v>
      </c>
      <c r="AQ29" s="67">
        <v>0</v>
      </c>
      <c r="AR29" s="67">
        <v>0</v>
      </c>
      <c r="AS29" s="68">
        <v>0</v>
      </c>
      <c r="AT29" s="63"/>
      <c r="AU29" s="63"/>
    </row>
    <row r="30" spans="1:47" ht="12.75" hidden="1" customHeight="1" outlineLevel="1" x14ac:dyDescent="0.2">
      <c r="A30" s="61" t="s">
        <v>76</v>
      </c>
      <c r="B30" s="62"/>
      <c r="C30" s="54">
        <v>0</v>
      </c>
      <c r="D30" s="54"/>
      <c r="E30" s="63"/>
      <c r="F30" s="64"/>
      <c r="G30" s="65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66"/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8"/>
      <c r="AT30" s="63"/>
      <c r="AU30" s="63"/>
    </row>
    <row r="31" spans="1:47" ht="12.75" hidden="1" customHeight="1" outlineLevel="1" x14ac:dyDescent="0.2">
      <c r="A31" s="61" t="s">
        <v>77</v>
      </c>
      <c r="B31" s="62">
        <v>33.71</v>
      </c>
      <c r="C31" s="54">
        <v>0</v>
      </c>
      <c r="D31" s="54">
        <v>33.71</v>
      </c>
      <c r="E31" s="63"/>
      <c r="F31" s="64">
        <v>100</v>
      </c>
      <c r="G31" s="65">
        <v>33.71</v>
      </c>
      <c r="H31" s="54">
        <v>33.71</v>
      </c>
      <c r="I31" s="54">
        <v>33.71</v>
      </c>
      <c r="J31" s="54">
        <v>33.71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134.84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33.71</v>
      </c>
      <c r="AH31" s="67">
        <v>33.71</v>
      </c>
      <c r="AI31" s="67">
        <v>33.71</v>
      </c>
      <c r="AJ31" s="67">
        <v>33.71</v>
      </c>
      <c r="AK31" s="67">
        <v>33.71</v>
      </c>
      <c r="AL31" s="67">
        <v>33.71</v>
      </c>
      <c r="AM31" s="67">
        <v>33.71</v>
      </c>
      <c r="AN31" s="67">
        <v>33.71</v>
      </c>
      <c r="AO31" s="67">
        <v>33.71</v>
      </c>
      <c r="AP31" s="67">
        <v>33.71</v>
      </c>
      <c r="AQ31" s="67">
        <v>33.71</v>
      </c>
      <c r="AR31" s="67">
        <v>33.71</v>
      </c>
      <c r="AS31" s="68">
        <v>134.84</v>
      </c>
      <c r="AT31" s="63"/>
      <c r="AU31" s="63">
        <v>100</v>
      </c>
    </row>
    <row r="32" spans="1:47" ht="12.75" customHeight="1" collapsed="1" x14ac:dyDescent="0.2">
      <c r="A32" s="69" t="s">
        <v>177</v>
      </c>
      <c r="B32" s="70">
        <v>722.61</v>
      </c>
      <c r="C32" s="71">
        <v>0</v>
      </c>
      <c r="D32" s="71">
        <v>478.04</v>
      </c>
      <c r="E32" s="72"/>
      <c r="F32" s="73">
        <v>151.16099071207429</v>
      </c>
      <c r="G32" s="70">
        <v>524.66</v>
      </c>
      <c r="H32" s="71">
        <v>166.23</v>
      </c>
      <c r="I32" s="71">
        <v>373.23</v>
      </c>
      <c r="J32" s="71">
        <v>722.61</v>
      </c>
      <c r="K32" s="71">
        <v>0</v>
      </c>
      <c r="L32" s="71">
        <v>0</v>
      </c>
      <c r="M32" s="71">
        <v>0</v>
      </c>
      <c r="N32" s="71">
        <v>0</v>
      </c>
      <c r="O32" s="71">
        <v>0</v>
      </c>
      <c r="P32" s="71">
        <v>0</v>
      </c>
      <c r="Q32" s="71">
        <v>0</v>
      </c>
      <c r="R32" s="71">
        <v>0</v>
      </c>
      <c r="S32" s="71">
        <v>1786.73</v>
      </c>
      <c r="T32" s="71">
        <v>0</v>
      </c>
      <c r="U32" s="71">
        <v>0</v>
      </c>
      <c r="V32" s="71">
        <v>0</v>
      </c>
      <c r="W32" s="71">
        <v>0</v>
      </c>
      <c r="X32" s="71">
        <v>0</v>
      </c>
      <c r="Y32" s="71">
        <v>0</v>
      </c>
      <c r="Z32" s="71">
        <v>0</v>
      </c>
      <c r="AA32" s="71">
        <v>0</v>
      </c>
      <c r="AB32" s="71">
        <v>0</v>
      </c>
      <c r="AC32" s="71">
        <v>0</v>
      </c>
      <c r="AD32" s="71">
        <v>0</v>
      </c>
      <c r="AE32" s="71">
        <v>0</v>
      </c>
      <c r="AF32" s="71">
        <v>0</v>
      </c>
      <c r="AG32" s="75">
        <v>150.63999999999999</v>
      </c>
      <c r="AH32" s="75">
        <v>679.07</v>
      </c>
      <c r="AI32" s="75">
        <v>190.21</v>
      </c>
      <c r="AJ32" s="75">
        <v>478.04</v>
      </c>
      <c r="AK32" s="75">
        <v>403.85</v>
      </c>
      <c r="AL32" s="75">
        <v>495.37</v>
      </c>
      <c r="AM32" s="75">
        <v>1106.1500000000001</v>
      </c>
      <c r="AN32" s="75">
        <v>373.92</v>
      </c>
      <c r="AO32" s="75">
        <v>150.63999999999999</v>
      </c>
      <c r="AP32" s="75">
        <v>150.63999999999999</v>
      </c>
      <c r="AQ32" s="75">
        <v>441.32</v>
      </c>
      <c r="AR32" s="75">
        <v>150.63999999999999</v>
      </c>
      <c r="AS32" s="75">
        <v>1497.96</v>
      </c>
      <c r="AT32" s="72"/>
      <c r="AU32" s="72">
        <v>119.27755080242463</v>
      </c>
    </row>
    <row r="33" spans="1:47" ht="12.75" hidden="1" customHeight="1" outlineLevel="1" x14ac:dyDescent="0.2">
      <c r="A33" s="61" t="s">
        <v>178</v>
      </c>
      <c r="B33" s="62"/>
      <c r="C33" s="54"/>
      <c r="D33" s="54"/>
      <c r="E33" s="63"/>
      <c r="F33" s="64"/>
      <c r="G33" s="65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66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66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8"/>
      <c r="AT33" s="63"/>
      <c r="AU33" s="63"/>
    </row>
    <row r="34" spans="1:47" ht="12.75" hidden="1" customHeight="1" outlineLevel="1" x14ac:dyDescent="0.2">
      <c r="A34" s="61" t="s">
        <v>179</v>
      </c>
      <c r="B34" s="62"/>
      <c r="C34" s="54"/>
      <c r="D34" s="54"/>
      <c r="E34" s="63"/>
      <c r="F34" s="64"/>
      <c r="G34" s="65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66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66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8"/>
      <c r="AT34" s="63"/>
      <c r="AU34" s="63"/>
    </row>
    <row r="35" spans="1:47" ht="12.75" hidden="1" customHeight="1" outlineLevel="1" x14ac:dyDescent="0.2">
      <c r="A35" s="61" t="s">
        <v>180</v>
      </c>
      <c r="B35" s="62">
        <v>0</v>
      </c>
      <c r="C35" s="54">
        <v>0</v>
      </c>
      <c r="D35" s="54">
        <v>0</v>
      </c>
      <c r="E35" s="63"/>
      <c r="F35" s="64"/>
      <c r="G35" s="65">
        <v>0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0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0</v>
      </c>
      <c r="AH35" s="67">
        <v>0</v>
      </c>
      <c r="AI35" s="67">
        <v>0</v>
      </c>
      <c r="AJ35" s="67">
        <v>0</v>
      </c>
      <c r="AK35" s="67">
        <v>0</v>
      </c>
      <c r="AL35" s="67">
        <v>426.36</v>
      </c>
      <c r="AM35" s="67">
        <v>0</v>
      </c>
      <c r="AN35" s="67">
        <v>0</v>
      </c>
      <c r="AO35" s="67">
        <v>0</v>
      </c>
      <c r="AP35" s="67">
        <v>0</v>
      </c>
      <c r="AQ35" s="67">
        <v>0</v>
      </c>
      <c r="AR35" s="67">
        <v>0</v>
      </c>
      <c r="AS35" s="68">
        <v>0</v>
      </c>
      <c r="AT35" s="63"/>
      <c r="AU35" s="63"/>
    </row>
    <row r="36" spans="1:47" ht="12.75" hidden="1" customHeight="1" outlineLevel="1" x14ac:dyDescent="0.2">
      <c r="A36" s="61" t="s">
        <v>181</v>
      </c>
      <c r="B36" s="62"/>
      <c r="C36" s="54"/>
      <c r="D36" s="54"/>
      <c r="E36" s="63"/>
      <c r="F36" s="64"/>
      <c r="G36" s="65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66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66"/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8"/>
      <c r="AT36" s="63"/>
      <c r="AU36" s="63"/>
    </row>
    <row r="37" spans="1:47" ht="12.75" hidden="1" customHeight="1" outlineLevel="1" x14ac:dyDescent="0.2">
      <c r="A37" s="61" t="s">
        <v>182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1055.96</v>
      </c>
      <c r="AM37" s="67">
        <v>0</v>
      </c>
      <c r="AN37" s="67">
        <v>0</v>
      </c>
      <c r="AO37" s="67">
        <v>0</v>
      </c>
      <c r="AP37" s="67">
        <v>0</v>
      </c>
      <c r="AQ37" s="67">
        <v>0</v>
      </c>
      <c r="AR37" s="67">
        <v>0</v>
      </c>
      <c r="AS37" s="68">
        <v>0</v>
      </c>
      <c r="AT37" s="63"/>
      <c r="AU37" s="63"/>
    </row>
    <row r="38" spans="1:47" ht="12.75" hidden="1" customHeight="1" outlineLevel="1" x14ac:dyDescent="0.2">
      <c r="A38" s="61" t="s">
        <v>183</v>
      </c>
      <c r="B38" s="62">
        <v>874.36</v>
      </c>
      <c r="C38" s="54"/>
      <c r="D38" s="54"/>
      <c r="E38" s="63"/>
      <c r="F38" s="64"/>
      <c r="G38" s="65">
        <v>0</v>
      </c>
      <c r="H38" s="54">
        <v>0</v>
      </c>
      <c r="I38" s="54">
        <v>0</v>
      </c>
      <c r="J38" s="54">
        <v>874.36</v>
      </c>
      <c r="K38" s="56">
        <v>-874.36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874.36</v>
      </c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66"/>
      <c r="AG38" s="67"/>
      <c r="AH38" s="67"/>
      <c r="AI38" s="67"/>
      <c r="AJ38" s="67"/>
      <c r="AK38" s="67"/>
      <c r="AL38" s="67"/>
      <c r="AM38" s="67"/>
      <c r="AN38" s="67"/>
      <c r="AO38" s="67"/>
      <c r="AP38" s="67"/>
      <c r="AQ38" s="67"/>
      <c r="AR38" s="67"/>
      <c r="AS38" s="68"/>
      <c r="AT38" s="63"/>
      <c r="AU38" s="63"/>
    </row>
    <row r="39" spans="1:47" ht="12.75" hidden="1" customHeight="1" outlineLevel="1" x14ac:dyDescent="0.2">
      <c r="A39" s="61" t="s">
        <v>184</v>
      </c>
      <c r="B39" s="62"/>
      <c r="C39" s="54"/>
      <c r="D39" s="54"/>
      <c r="E39" s="63"/>
      <c r="F39" s="64"/>
      <c r="G39" s="65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66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66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8"/>
      <c r="AT39" s="63"/>
      <c r="AU39" s="63"/>
    </row>
    <row r="40" spans="1:47" ht="12.75" hidden="1" customHeight="1" outlineLevel="1" x14ac:dyDescent="0.2">
      <c r="A40" s="61" t="s">
        <v>185</v>
      </c>
      <c r="B40" s="62"/>
      <c r="C40" s="54"/>
      <c r="D40" s="54"/>
      <c r="E40" s="63"/>
      <c r="F40" s="64"/>
      <c r="G40" s="65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66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66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8"/>
      <c r="AT40" s="63"/>
      <c r="AU40" s="63"/>
    </row>
    <row r="41" spans="1:47" ht="12.75" hidden="1" customHeight="1" outlineLevel="1" x14ac:dyDescent="0.2">
      <c r="A41" s="61" t="s">
        <v>186</v>
      </c>
      <c r="B41" s="62"/>
      <c r="C41" s="54"/>
      <c r="D41" s="54"/>
      <c r="E41" s="63"/>
      <c r="F41" s="64"/>
      <c r="G41" s="65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66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66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8"/>
      <c r="AT41" s="63"/>
      <c r="AU41" s="63"/>
    </row>
    <row r="42" spans="1:47" ht="12.75" hidden="1" customHeight="1" outlineLevel="1" x14ac:dyDescent="0.2">
      <c r="A42" s="61" t="s">
        <v>187</v>
      </c>
      <c r="B42" s="62"/>
      <c r="C42" s="54"/>
      <c r="D42" s="54"/>
      <c r="E42" s="63"/>
      <c r="F42" s="64"/>
      <c r="G42" s="65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66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66"/>
      <c r="AG42" s="67"/>
      <c r="AH42" s="67"/>
      <c r="AI42" s="67"/>
      <c r="AJ42" s="67"/>
      <c r="AK42" s="67"/>
      <c r="AL42" s="67"/>
      <c r="AM42" s="67"/>
      <c r="AN42" s="67"/>
      <c r="AO42" s="67"/>
      <c r="AP42" s="67"/>
      <c r="AQ42" s="67"/>
      <c r="AR42" s="67"/>
      <c r="AS42" s="68"/>
      <c r="AT42" s="63"/>
      <c r="AU42" s="63"/>
    </row>
    <row r="43" spans="1:47" ht="12.75" hidden="1" customHeight="1" outlineLevel="1" x14ac:dyDescent="0.2">
      <c r="A43" s="61" t="s">
        <v>188</v>
      </c>
      <c r="B43" s="62"/>
      <c r="C43" s="54"/>
      <c r="D43" s="54"/>
      <c r="E43" s="63"/>
      <c r="F43" s="64"/>
      <c r="G43" s="65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66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66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8"/>
      <c r="AT43" s="63"/>
      <c r="AU43" s="63"/>
    </row>
    <row r="44" spans="1:47" ht="12.75" hidden="1" customHeight="1" outlineLevel="1" x14ac:dyDescent="0.2">
      <c r="A44" s="61" t="s">
        <v>189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61" t="s">
        <v>190</v>
      </c>
      <c r="B45" s="62">
        <v>0</v>
      </c>
      <c r="C45" s="54">
        <v>0</v>
      </c>
      <c r="D45" s="54">
        <v>0</v>
      </c>
      <c r="E45" s="63"/>
      <c r="F45" s="64"/>
      <c r="G45" s="65">
        <v>0</v>
      </c>
      <c r="H45" s="54">
        <v>0</v>
      </c>
      <c r="I45" s="54">
        <v>0</v>
      </c>
      <c r="J45" s="54">
        <v>0</v>
      </c>
      <c r="K45" s="54">
        <v>0</v>
      </c>
      <c r="L45" s="54">
        <v>0</v>
      </c>
      <c r="M45" s="54">
        <v>0</v>
      </c>
      <c r="N45" s="54">
        <v>0</v>
      </c>
      <c r="O45" s="54">
        <v>0</v>
      </c>
      <c r="P45" s="54">
        <v>0</v>
      </c>
      <c r="Q45" s="54">
        <v>0</v>
      </c>
      <c r="R45" s="54">
        <v>0</v>
      </c>
      <c r="S45" s="66">
        <v>0</v>
      </c>
      <c r="T45" s="54">
        <v>0</v>
      </c>
      <c r="U45" s="54">
        <v>0</v>
      </c>
      <c r="V45" s="54">
        <v>0</v>
      </c>
      <c r="W45" s="54">
        <v>0</v>
      </c>
      <c r="X45" s="54">
        <v>0</v>
      </c>
      <c r="Y45" s="54">
        <v>0</v>
      </c>
      <c r="Z45" s="54">
        <v>0</v>
      </c>
      <c r="AA45" s="54">
        <v>0</v>
      </c>
      <c r="AB45" s="54">
        <v>0</v>
      </c>
      <c r="AC45" s="54">
        <v>0</v>
      </c>
      <c r="AD45" s="54">
        <v>0</v>
      </c>
      <c r="AE45" s="54">
        <v>0</v>
      </c>
      <c r="AF45" s="66">
        <v>0</v>
      </c>
      <c r="AG45" s="67">
        <v>0</v>
      </c>
      <c r="AH45" s="67">
        <v>0</v>
      </c>
      <c r="AI45" s="67">
        <v>0</v>
      </c>
      <c r="AJ45" s="67">
        <v>0</v>
      </c>
      <c r="AK45" s="67">
        <v>0</v>
      </c>
      <c r="AL45" s="67">
        <v>307.06</v>
      </c>
      <c r="AM45" s="67">
        <v>0</v>
      </c>
      <c r="AN45" s="67">
        <v>0</v>
      </c>
      <c r="AO45" s="67">
        <v>0</v>
      </c>
      <c r="AP45" s="67">
        <v>0</v>
      </c>
      <c r="AQ45" s="67">
        <v>0</v>
      </c>
      <c r="AR45" s="67">
        <v>0</v>
      </c>
      <c r="AS45" s="68">
        <v>0</v>
      </c>
      <c r="AT45" s="63"/>
      <c r="AU45" s="63"/>
    </row>
    <row r="46" spans="1:47" ht="12.75" hidden="1" customHeight="1" outlineLevel="1" x14ac:dyDescent="0.2">
      <c r="A46" s="61" t="s">
        <v>191</v>
      </c>
      <c r="B46" s="62"/>
      <c r="C46" s="54"/>
      <c r="D46" s="54"/>
      <c r="E46" s="63"/>
      <c r="F46" s="64"/>
      <c r="G46" s="65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66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66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8"/>
      <c r="AT46" s="63"/>
      <c r="AU46" s="63"/>
    </row>
    <row r="47" spans="1:47" ht="12.75" customHeight="1" collapsed="1" x14ac:dyDescent="0.2">
      <c r="A47" s="69" t="s">
        <v>192</v>
      </c>
      <c r="B47" s="70">
        <v>874.36</v>
      </c>
      <c r="C47" s="71">
        <v>0</v>
      </c>
      <c r="D47" s="71">
        <v>0</v>
      </c>
      <c r="E47" s="72"/>
      <c r="F47" s="73"/>
      <c r="G47" s="70">
        <v>0</v>
      </c>
      <c r="H47" s="71">
        <v>0</v>
      </c>
      <c r="I47" s="71">
        <v>0</v>
      </c>
      <c r="J47" s="71">
        <v>874.36</v>
      </c>
      <c r="K47" s="74">
        <v>-874.36</v>
      </c>
      <c r="L47" s="71">
        <v>0</v>
      </c>
      <c r="M47" s="71">
        <v>0</v>
      </c>
      <c r="N47" s="71">
        <v>0</v>
      </c>
      <c r="O47" s="71">
        <v>0</v>
      </c>
      <c r="P47" s="71">
        <v>0</v>
      </c>
      <c r="Q47" s="71">
        <v>0</v>
      </c>
      <c r="R47" s="71">
        <v>0</v>
      </c>
      <c r="S47" s="71">
        <v>874.36</v>
      </c>
      <c r="T47" s="71">
        <v>0</v>
      </c>
      <c r="U47" s="71">
        <v>0</v>
      </c>
      <c r="V47" s="71">
        <v>0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71">
        <v>0</v>
      </c>
      <c r="AE47" s="71">
        <v>0</v>
      </c>
      <c r="AF47" s="71">
        <v>0</v>
      </c>
      <c r="AG47" s="75">
        <v>0</v>
      </c>
      <c r="AH47" s="75">
        <v>0</v>
      </c>
      <c r="AI47" s="75">
        <v>0</v>
      </c>
      <c r="AJ47" s="75">
        <v>0</v>
      </c>
      <c r="AK47" s="75">
        <v>0</v>
      </c>
      <c r="AL47" s="75">
        <v>1789.38</v>
      </c>
      <c r="AM47" s="75">
        <v>0</v>
      </c>
      <c r="AN47" s="75">
        <v>0</v>
      </c>
      <c r="AO47" s="75">
        <v>0</v>
      </c>
      <c r="AP47" s="75">
        <v>0</v>
      </c>
      <c r="AQ47" s="75">
        <v>0</v>
      </c>
      <c r="AR47" s="75">
        <v>0</v>
      </c>
      <c r="AS47" s="75">
        <v>0</v>
      </c>
      <c r="AT47" s="72"/>
      <c r="AU47" s="72"/>
    </row>
    <row r="48" spans="1:47" ht="12.75" hidden="1" customHeight="1" outlineLevel="1" x14ac:dyDescent="0.2">
      <c r="A48" s="61" t="s">
        <v>193</v>
      </c>
      <c r="B48" s="62"/>
      <c r="C48" s="54"/>
      <c r="D48" s="54"/>
      <c r="E48" s="63"/>
      <c r="F48" s="64"/>
      <c r="G48" s="65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66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66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8"/>
      <c r="AT48" s="63"/>
      <c r="AU48" s="63"/>
    </row>
    <row r="49" spans="1:47" ht="12.75" hidden="1" customHeight="1" outlineLevel="1" x14ac:dyDescent="0.2">
      <c r="A49" s="61" t="s">
        <v>194</v>
      </c>
      <c r="B49" s="62"/>
      <c r="C49" s="54"/>
      <c r="D49" s="54"/>
      <c r="E49" s="63"/>
      <c r="F49" s="64"/>
      <c r="G49" s="65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66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66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8"/>
      <c r="AT49" s="63"/>
      <c r="AU49" s="63"/>
    </row>
    <row r="50" spans="1:47" ht="12.75" hidden="1" customHeight="1" outlineLevel="1" x14ac:dyDescent="0.2">
      <c r="A50" s="61" t="s">
        <v>82</v>
      </c>
      <c r="B50" s="62"/>
      <c r="C50" s="54"/>
      <c r="D50" s="54"/>
      <c r="E50" s="63"/>
      <c r="F50" s="64"/>
      <c r="G50" s="65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66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66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8"/>
      <c r="AT50" s="63"/>
      <c r="AU50" s="63"/>
    </row>
    <row r="51" spans="1:47" ht="12.75" hidden="1" customHeight="1" outlineLevel="1" x14ac:dyDescent="0.2">
      <c r="A51" s="61" t="s">
        <v>83</v>
      </c>
      <c r="B51" s="62"/>
      <c r="C51" s="54"/>
      <c r="D51" s="54"/>
      <c r="E51" s="63"/>
      <c r="F51" s="64"/>
      <c r="G51" s="65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66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66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8"/>
      <c r="AT51" s="63"/>
      <c r="AU51" s="63"/>
    </row>
    <row r="52" spans="1:47" ht="12.75" hidden="1" customHeight="1" outlineLevel="1" x14ac:dyDescent="0.2">
      <c r="A52" s="61" t="s">
        <v>84</v>
      </c>
      <c r="B52" s="62"/>
      <c r="C52" s="54"/>
      <c r="D52" s="54"/>
      <c r="E52" s="63"/>
      <c r="F52" s="64"/>
      <c r="G52" s="65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66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66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8"/>
      <c r="AT52" s="63"/>
      <c r="AU52" s="63"/>
    </row>
    <row r="53" spans="1:47" ht="12.75" hidden="1" customHeight="1" outlineLevel="1" x14ac:dyDescent="0.2">
      <c r="A53" s="61" t="s">
        <v>195</v>
      </c>
      <c r="B53" s="62"/>
      <c r="C53" s="54"/>
      <c r="D53" s="54"/>
      <c r="E53" s="63"/>
      <c r="F53" s="64"/>
      <c r="G53" s="65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66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66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8"/>
      <c r="AT53" s="63"/>
      <c r="AU53" s="63"/>
    </row>
    <row r="54" spans="1:47" ht="12.75" hidden="1" customHeight="1" outlineLevel="1" x14ac:dyDescent="0.2">
      <c r="A54" s="61" t="s">
        <v>86</v>
      </c>
      <c r="B54" s="62">
        <v>0</v>
      </c>
      <c r="C54" s="54">
        <v>0</v>
      </c>
      <c r="D54" s="54">
        <v>0</v>
      </c>
      <c r="E54" s="63"/>
      <c r="F54" s="64"/>
      <c r="G54" s="65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66">
        <v>0</v>
      </c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>
        <v>0</v>
      </c>
      <c r="AH54" s="67">
        <v>0</v>
      </c>
      <c r="AI54" s="67">
        <v>0</v>
      </c>
      <c r="AJ54" s="67">
        <v>0</v>
      </c>
      <c r="AK54" s="67">
        <v>0</v>
      </c>
      <c r="AL54" s="67">
        <v>0</v>
      </c>
      <c r="AM54" s="67">
        <v>0</v>
      </c>
      <c r="AN54" s="67">
        <v>0</v>
      </c>
      <c r="AO54" s="67">
        <v>0</v>
      </c>
      <c r="AP54" s="67">
        <v>0</v>
      </c>
      <c r="AQ54" s="67">
        <v>0</v>
      </c>
      <c r="AR54" s="67">
        <v>0</v>
      </c>
      <c r="AS54" s="68">
        <v>0</v>
      </c>
      <c r="AT54" s="63"/>
      <c r="AU54" s="63"/>
    </row>
    <row r="55" spans="1:47" ht="12.75" hidden="1" customHeight="1" outlineLevel="1" x14ac:dyDescent="0.2">
      <c r="A55" s="61" t="s">
        <v>110</v>
      </c>
      <c r="B55" s="62"/>
      <c r="C55" s="54"/>
      <c r="D55" s="54"/>
      <c r="E55" s="63"/>
      <c r="F55" s="64"/>
      <c r="G55" s="65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66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66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8"/>
      <c r="AT55" s="63"/>
      <c r="AU55" s="63"/>
    </row>
    <row r="56" spans="1:47" ht="12.75" hidden="1" customHeight="1" outlineLevel="1" x14ac:dyDescent="0.2">
      <c r="A56" s="61" t="s">
        <v>196</v>
      </c>
      <c r="B56" s="62">
        <v>0</v>
      </c>
      <c r="C56" s="54">
        <v>0</v>
      </c>
      <c r="D56" s="54">
        <v>0</v>
      </c>
      <c r="E56" s="63"/>
      <c r="F56" s="64"/>
      <c r="G56" s="65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66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66">
        <v>0</v>
      </c>
      <c r="AG56" s="67">
        <v>0</v>
      </c>
      <c r="AH56" s="67">
        <v>0</v>
      </c>
      <c r="AI56" s="67">
        <v>0</v>
      </c>
      <c r="AJ56" s="67">
        <v>0</v>
      </c>
      <c r="AK56" s="67">
        <v>0</v>
      </c>
      <c r="AL56" s="67">
        <v>0</v>
      </c>
      <c r="AM56" s="67">
        <v>0</v>
      </c>
      <c r="AN56" s="67">
        <v>0</v>
      </c>
      <c r="AO56" s="67">
        <v>0</v>
      </c>
      <c r="AP56" s="67">
        <v>0</v>
      </c>
      <c r="AQ56" s="67">
        <v>0</v>
      </c>
      <c r="AR56" s="67">
        <v>0</v>
      </c>
      <c r="AS56" s="68">
        <v>0</v>
      </c>
      <c r="AT56" s="63"/>
      <c r="AU56" s="63"/>
    </row>
    <row r="57" spans="1:47" ht="12.75" hidden="1" customHeight="1" outlineLevel="1" x14ac:dyDescent="0.2">
      <c r="A57" s="61" t="s">
        <v>197</v>
      </c>
      <c r="B57" s="62">
        <v>0</v>
      </c>
      <c r="C57" s="54"/>
      <c r="D57" s="54">
        <v>0</v>
      </c>
      <c r="E57" s="63"/>
      <c r="F57" s="64"/>
      <c r="G57" s="65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66">
        <v>0</v>
      </c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66"/>
      <c r="AG57" s="67">
        <v>0</v>
      </c>
      <c r="AH57" s="67">
        <v>0</v>
      </c>
      <c r="AI57" s="67">
        <v>0</v>
      </c>
      <c r="AJ57" s="67">
        <v>0</v>
      </c>
      <c r="AK57" s="67">
        <v>0</v>
      </c>
      <c r="AL57" s="67">
        <v>0</v>
      </c>
      <c r="AM57" s="67">
        <v>0</v>
      </c>
      <c r="AN57" s="67">
        <v>0</v>
      </c>
      <c r="AO57" s="67">
        <v>0</v>
      </c>
      <c r="AP57" s="67">
        <v>0</v>
      </c>
      <c r="AQ57" s="67">
        <v>0</v>
      </c>
      <c r="AR57" s="67">
        <v>0</v>
      </c>
      <c r="AS57" s="68">
        <v>0</v>
      </c>
      <c r="AT57" s="63"/>
      <c r="AU57" s="63"/>
    </row>
    <row r="58" spans="1:47" ht="12.75" hidden="1" customHeight="1" outlineLevel="1" x14ac:dyDescent="0.2">
      <c r="A58" s="61" t="s">
        <v>198</v>
      </c>
      <c r="B58" s="62">
        <v>0</v>
      </c>
      <c r="C58" s="54">
        <v>0</v>
      </c>
      <c r="D58" s="54">
        <v>0</v>
      </c>
      <c r="E58" s="63"/>
      <c r="F58" s="64"/>
      <c r="G58" s="65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0</v>
      </c>
      <c r="AI58" s="67">
        <v>0</v>
      </c>
      <c r="AJ58" s="67">
        <v>0</v>
      </c>
      <c r="AK58" s="67">
        <v>0</v>
      </c>
      <c r="AL58" s="67">
        <v>0</v>
      </c>
      <c r="AM58" s="67">
        <v>0</v>
      </c>
      <c r="AN58" s="67">
        <v>0</v>
      </c>
      <c r="AO58" s="67">
        <v>0</v>
      </c>
      <c r="AP58" s="67">
        <v>0</v>
      </c>
      <c r="AQ58" s="67">
        <v>0</v>
      </c>
      <c r="AR58" s="67">
        <v>0</v>
      </c>
      <c r="AS58" s="68">
        <v>0</v>
      </c>
      <c r="AT58" s="63"/>
      <c r="AU58" s="63"/>
    </row>
    <row r="59" spans="1:47" ht="12.75" hidden="1" customHeight="1" outlineLevel="1" x14ac:dyDescent="0.2">
      <c r="A59" s="61" t="s">
        <v>199</v>
      </c>
      <c r="B59" s="62"/>
      <c r="C59" s="54"/>
      <c r="D59" s="54"/>
      <c r="E59" s="63"/>
      <c r="F59" s="64"/>
      <c r="G59" s="65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66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66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8"/>
      <c r="AT59" s="63"/>
      <c r="AU59" s="63"/>
    </row>
    <row r="60" spans="1:47" ht="12.75" hidden="1" customHeight="1" outlineLevel="1" x14ac:dyDescent="0.2">
      <c r="A60" s="61" t="s">
        <v>200</v>
      </c>
      <c r="B60" s="62"/>
      <c r="C60" s="54"/>
      <c r="D60" s="54"/>
      <c r="E60" s="63"/>
      <c r="F60" s="64"/>
      <c r="G60" s="65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66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66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8"/>
      <c r="AT60" s="63"/>
      <c r="AU60" s="63"/>
    </row>
    <row r="61" spans="1:47" ht="12.75" customHeight="1" collapsed="1" x14ac:dyDescent="0.2">
      <c r="A61" s="69" t="s">
        <v>89</v>
      </c>
      <c r="B61" s="70">
        <v>0</v>
      </c>
      <c r="C61" s="71">
        <v>0</v>
      </c>
      <c r="D61" s="71">
        <v>0</v>
      </c>
      <c r="E61" s="72"/>
      <c r="F61" s="73"/>
      <c r="G61" s="70">
        <v>0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  <c r="M61" s="71">
        <v>0</v>
      </c>
      <c r="N61" s="71">
        <v>0</v>
      </c>
      <c r="O61" s="71">
        <v>0</v>
      </c>
      <c r="P61" s="71">
        <v>0</v>
      </c>
      <c r="Q61" s="71">
        <v>0</v>
      </c>
      <c r="R61" s="71">
        <v>0</v>
      </c>
      <c r="S61" s="71">
        <v>0</v>
      </c>
      <c r="T61" s="71">
        <v>0</v>
      </c>
      <c r="U61" s="71">
        <v>0</v>
      </c>
      <c r="V61" s="71">
        <v>0</v>
      </c>
      <c r="W61" s="71">
        <v>0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71">
        <v>0</v>
      </c>
      <c r="AE61" s="71">
        <v>0</v>
      </c>
      <c r="AF61" s="71">
        <v>0</v>
      </c>
      <c r="AG61" s="75">
        <v>0</v>
      </c>
      <c r="AH61" s="75">
        <v>0</v>
      </c>
      <c r="AI61" s="75">
        <v>0</v>
      </c>
      <c r="AJ61" s="75">
        <v>0</v>
      </c>
      <c r="AK61" s="75">
        <v>0</v>
      </c>
      <c r="AL61" s="75">
        <v>0</v>
      </c>
      <c r="AM61" s="75">
        <v>0</v>
      </c>
      <c r="AN61" s="75">
        <v>0</v>
      </c>
      <c r="AO61" s="75">
        <v>0</v>
      </c>
      <c r="AP61" s="75">
        <v>0</v>
      </c>
      <c r="AQ61" s="75">
        <v>0</v>
      </c>
      <c r="AR61" s="75">
        <v>0</v>
      </c>
      <c r="AS61" s="75">
        <v>0</v>
      </c>
      <c r="AT61" s="72"/>
      <c r="AU61" s="72"/>
    </row>
    <row r="62" spans="1:47" ht="12.75" customHeight="1" x14ac:dyDescent="0.2">
      <c r="A62" s="77" t="s">
        <v>201</v>
      </c>
      <c r="B62" s="78">
        <v>10212.6</v>
      </c>
      <c r="C62" s="79">
        <v>0</v>
      </c>
      <c r="D62" s="79">
        <v>9272.56</v>
      </c>
      <c r="E62" s="80"/>
      <c r="F62" s="81">
        <v>110.13786915371807</v>
      </c>
      <c r="G62" s="78">
        <v>9529.58</v>
      </c>
      <c r="H62" s="79">
        <v>8422.24</v>
      </c>
      <c r="I62" s="79">
        <v>9304.9599999999991</v>
      </c>
      <c r="J62" s="79">
        <v>10212.6</v>
      </c>
      <c r="K62" s="82">
        <v>-1059.6300000000001</v>
      </c>
      <c r="L62" s="79">
        <v>0</v>
      </c>
      <c r="M62" s="79">
        <v>0</v>
      </c>
      <c r="N62" s="79">
        <v>0</v>
      </c>
      <c r="O62" s="79">
        <v>0</v>
      </c>
      <c r="P62" s="79">
        <v>0</v>
      </c>
      <c r="Q62" s="79">
        <v>0</v>
      </c>
      <c r="R62" s="79">
        <v>0</v>
      </c>
      <c r="S62" s="79">
        <v>37469.379999999997</v>
      </c>
      <c r="T62" s="79">
        <v>0</v>
      </c>
      <c r="U62" s="79">
        <v>0</v>
      </c>
      <c r="V62" s="79">
        <v>0</v>
      </c>
      <c r="W62" s="79">
        <v>0</v>
      </c>
      <c r="X62" s="79">
        <v>0</v>
      </c>
      <c r="Y62" s="79">
        <v>0</v>
      </c>
      <c r="Z62" s="79">
        <v>0</v>
      </c>
      <c r="AA62" s="79">
        <v>0</v>
      </c>
      <c r="AB62" s="79">
        <v>0</v>
      </c>
      <c r="AC62" s="79">
        <v>0</v>
      </c>
      <c r="AD62" s="79">
        <v>0</v>
      </c>
      <c r="AE62" s="79">
        <v>0</v>
      </c>
      <c r="AF62" s="79">
        <v>0</v>
      </c>
      <c r="AG62" s="83">
        <v>7488.69</v>
      </c>
      <c r="AH62" s="83">
        <v>11029.67</v>
      </c>
      <c r="AI62" s="83">
        <v>9502.4500000000007</v>
      </c>
      <c r="AJ62" s="83">
        <v>9272.56</v>
      </c>
      <c r="AK62" s="83">
        <v>5335.2</v>
      </c>
      <c r="AL62" s="83">
        <v>9971.4500000000007</v>
      </c>
      <c r="AM62" s="83">
        <v>9993.69</v>
      </c>
      <c r="AN62" s="83">
        <v>9040.4699999999993</v>
      </c>
      <c r="AO62" s="83">
        <v>8783.4</v>
      </c>
      <c r="AP62" s="83">
        <v>8656.0300000000007</v>
      </c>
      <c r="AQ62" s="83">
        <v>4685.5</v>
      </c>
      <c r="AR62" s="83">
        <v>9227.09</v>
      </c>
      <c r="AS62" s="83">
        <v>37293.370000000003</v>
      </c>
      <c r="AT62" s="80"/>
      <c r="AU62" s="80">
        <v>100.47196056564478</v>
      </c>
    </row>
    <row r="65" spans="1:4" ht="15" x14ac:dyDescent="0.25">
      <c r="A65" s="16"/>
      <c r="B65" s="16"/>
      <c r="C65" s="16"/>
      <c r="D65" s="16"/>
    </row>
    <row r="66" spans="1:4" ht="15" x14ac:dyDescent="0.25">
      <c r="A66" s="16"/>
      <c r="B66" s="16"/>
      <c r="C66" s="16"/>
      <c r="D66" s="16"/>
    </row>
    <row r="67" spans="1:4" ht="15" x14ac:dyDescent="0.25">
      <c r="A67" s="16"/>
      <c r="B67" s="16"/>
      <c r="C67" s="16"/>
      <c r="D67" s="16"/>
    </row>
    <row r="68" spans="1:4" ht="15" x14ac:dyDescent="0.25">
      <c r="A68" s="16"/>
      <c r="B68" s="16"/>
      <c r="C68" s="16"/>
      <c r="D68" s="16"/>
    </row>
    <row r="69" spans="1:4" ht="15" x14ac:dyDescent="0.25">
      <c r="A69" s="16"/>
      <c r="B69" s="16"/>
      <c r="C69" s="16"/>
      <c r="D69" s="16"/>
    </row>
    <row r="70" spans="1:4" ht="15" x14ac:dyDescent="0.25">
      <c r="A70" s="16"/>
      <c r="B70" s="16"/>
      <c r="C70" s="16"/>
      <c r="D70" s="16"/>
    </row>
    <row r="71" spans="1:4" ht="15" x14ac:dyDescent="0.25">
      <c r="A71" s="16"/>
      <c r="B71" s="16"/>
      <c r="C71" s="16"/>
      <c r="D71" s="16"/>
    </row>
  </sheetData>
  <pageMargins left="0.75" right="0.75" top="1" bottom="1" header="0.5" footer="0.5"/>
  <pageSetup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CCFF99"/>
  </sheetPr>
  <dimension ref="A1:AU72"/>
  <sheetViews>
    <sheetView workbookViewId="0">
      <pane xSplit="1" ySplit="7" topLeftCell="B8" activePane="bottomRight" state="frozen"/>
      <selection activeCell="A73" sqref="A73"/>
      <selection pane="topRight" activeCell="A73" sqref="A73"/>
      <selection pane="bottomLeft" activeCell="A73" sqref="A73"/>
      <selection pane="bottomRight" sqref="A1:AU62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9.42578125" collapsed="1"/>
    <col min="46" max="47" width="10.5703125" customWidth="1"/>
  </cols>
  <sheetData>
    <row r="1" spans="1:47" ht="31.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ht="12.75" hidden="1" customHeight="1" outlineLevel="1" x14ac:dyDescent="0.2">
      <c r="A2" s="61" t="s">
        <v>160</v>
      </c>
      <c r="B2" s="62">
        <v>9553.8799999999992</v>
      </c>
      <c r="C2" s="54">
        <v>0</v>
      </c>
      <c r="D2" s="54">
        <v>11598.56</v>
      </c>
      <c r="E2" s="63"/>
      <c r="F2" s="64">
        <v>82.371259880536897</v>
      </c>
      <c r="G2" s="65">
        <v>9401.5</v>
      </c>
      <c r="H2" s="54">
        <v>9784.59</v>
      </c>
      <c r="I2" s="54">
        <v>7292.31</v>
      </c>
      <c r="J2" s="54">
        <v>9553.8799999999992</v>
      </c>
      <c r="K2" s="54">
        <v>0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36032.28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16001.92</v>
      </c>
      <c r="AH2" s="67">
        <v>12492.31</v>
      </c>
      <c r="AI2" s="67">
        <v>13932.68</v>
      </c>
      <c r="AJ2" s="67">
        <v>11598.56</v>
      </c>
      <c r="AK2" s="67">
        <v>14899.07</v>
      </c>
      <c r="AL2" s="67">
        <v>18449.38</v>
      </c>
      <c r="AM2" s="67">
        <v>16320.9</v>
      </c>
      <c r="AN2" s="67">
        <v>19037.12</v>
      </c>
      <c r="AO2" s="67">
        <v>17015.560000000001</v>
      </c>
      <c r="AP2" s="67">
        <v>18922.21</v>
      </c>
      <c r="AQ2" s="67">
        <v>68217.86</v>
      </c>
      <c r="AR2" s="67">
        <v>9915.7900000000009</v>
      </c>
      <c r="AS2" s="68">
        <v>54025.47</v>
      </c>
      <c r="AT2" s="63"/>
      <c r="AU2" s="63">
        <v>66.694986642411436</v>
      </c>
    </row>
    <row r="3" spans="1:47" ht="12.75" hidden="1" customHeight="1" outlineLevel="1" x14ac:dyDescent="0.2">
      <c r="A3" s="61" t="s">
        <v>161</v>
      </c>
      <c r="B3" s="62">
        <v>503.71</v>
      </c>
      <c r="C3" s="54">
        <v>0</v>
      </c>
      <c r="D3" s="54">
        <v>904.76</v>
      </c>
      <c r="E3" s="63"/>
      <c r="F3" s="64">
        <v>55.673327733321543</v>
      </c>
      <c r="G3" s="65">
        <v>478.06</v>
      </c>
      <c r="H3" s="54">
        <v>56.1</v>
      </c>
      <c r="I3" s="54">
        <v>1055.8800000000001</v>
      </c>
      <c r="J3" s="54">
        <v>503.71</v>
      </c>
      <c r="K3" s="56">
        <v>-259.45999999999998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2093.75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1040.6500000000001</v>
      </c>
      <c r="AH3" s="67">
        <v>636.76</v>
      </c>
      <c r="AI3" s="67">
        <v>813.39</v>
      </c>
      <c r="AJ3" s="67">
        <v>904.76</v>
      </c>
      <c r="AK3" s="67">
        <v>843.55</v>
      </c>
      <c r="AL3" s="67">
        <v>906.78</v>
      </c>
      <c r="AM3" s="67">
        <v>899.93</v>
      </c>
      <c r="AN3" s="67">
        <v>959.14</v>
      </c>
      <c r="AO3" s="67">
        <v>113.87</v>
      </c>
      <c r="AP3" s="67">
        <v>1263.17</v>
      </c>
      <c r="AQ3" s="67">
        <v>2325.48</v>
      </c>
      <c r="AR3" s="67">
        <v>851.01</v>
      </c>
      <c r="AS3" s="68">
        <v>3395.56</v>
      </c>
      <c r="AT3" s="63"/>
      <c r="AU3" s="63">
        <v>61.661404893449095</v>
      </c>
    </row>
    <row r="4" spans="1:47" ht="12.75" hidden="1" customHeight="1" outlineLevel="1" x14ac:dyDescent="0.2">
      <c r="A4" s="61" t="s">
        <v>162</v>
      </c>
      <c r="B4" s="62">
        <v>2170.63</v>
      </c>
      <c r="C4" s="54">
        <v>0</v>
      </c>
      <c r="D4" s="54">
        <v>6843.05</v>
      </c>
      <c r="E4" s="63"/>
      <c r="F4" s="64">
        <v>31.72021247835395</v>
      </c>
      <c r="G4" s="65">
        <v>1008.66</v>
      </c>
      <c r="H4" s="54">
        <v>808.72</v>
      </c>
      <c r="I4" s="56">
        <v>-418.95</v>
      </c>
      <c r="J4" s="54">
        <v>2170.63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3569.06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1249.8499999999999</v>
      </c>
      <c r="AH4" s="67">
        <v>2567</v>
      </c>
      <c r="AI4" s="67">
        <v>373.76</v>
      </c>
      <c r="AJ4" s="67">
        <v>6843.05</v>
      </c>
      <c r="AK4" s="67">
        <v>657.69</v>
      </c>
      <c r="AL4" s="67">
        <v>1208.32</v>
      </c>
      <c r="AM4" s="67">
        <v>2386.81</v>
      </c>
      <c r="AN4" s="67">
        <v>1351.32</v>
      </c>
      <c r="AO4" s="67">
        <v>2675.73</v>
      </c>
      <c r="AP4" s="67">
        <v>1052.58</v>
      </c>
      <c r="AQ4" s="98">
        <v>-941.58</v>
      </c>
      <c r="AR4" s="67">
        <v>3388.4</v>
      </c>
      <c r="AS4" s="68">
        <v>11033.66</v>
      </c>
      <c r="AT4" s="63"/>
      <c r="AU4" s="63">
        <v>32.347018124538913</v>
      </c>
    </row>
    <row r="5" spans="1:47" ht="12.75" hidden="1" customHeight="1" outlineLevel="1" x14ac:dyDescent="0.2">
      <c r="A5" s="61" t="s">
        <v>163</v>
      </c>
      <c r="B5" s="62"/>
      <c r="C5" s="54">
        <v>0</v>
      </c>
      <c r="D5" s="54"/>
      <c r="E5" s="63"/>
      <c r="F5" s="64"/>
      <c r="G5" s="65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66"/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8"/>
      <c r="AT5" s="63"/>
      <c r="AU5" s="63"/>
    </row>
    <row r="6" spans="1:47" ht="12.75" hidden="1" customHeight="1" outlineLevel="1" x14ac:dyDescent="0.2">
      <c r="A6" s="61" t="s">
        <v>164</v>
      </c>
      <c r="B6" s="62">
        <v>233</v>
      </c>
      <c r="C6" s="54">
        <v>0</v>
      </c>
      <c r="D6" s="54">
        <v>101.22</v>
      </c>
      <c r="E6" s="63"/>
      <c r="F6" s="64">
        <v>230.19166172693144</v>
      </c>
      <c r="G6" s="65">
        <v>431.64</v>
      </c>
      <c r="H6" s="54">
        <v>233</v>
      </c>
      <c r="I6" s="54">
        <v>233</v>
      </c>
      <c r="J6" s="54">
        <v>233</v>
      </c>
      <c r="K6" s="56">
        <v>-188.85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1130.6400000000001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12.78</v>
      </c>
      <c r="AH6" s="67">
        <v>12.78</v>
      </c>
      <c r="AI6" s="67">
        <v>11.88</v>
      </c>
      <c r="AJ6" s="67">
        <v>101.22</v>
      </c>
      <c r="AK6" s="67">
        <v>101.22</v>
      </c>
      <c r="AL6" s="67">
        <v>101.22</v>
      </c>
      <c r="AM6" s="67">
        <v>101.22</v>
      </c>
      <c r="AN6" s="67">
        <v>101.22</v>
      </c>
      <c r="AO6" s="67">
        <v>101.22</v>
      </c>
      <c r="AP6" s="67">
        <v>197.26</v>
      </c>
      <c r="AQ6" s="67">
        <v>197.26</v>
      </c>
      <c r="AR6" s="67">
        <v>197.26</v>
      </c>
      <c r="AS6" s="68">
        <v>138.66</v>
      </c>
      <c r="AT6" s="63"/>
      <c r="AU6" s="63">
        <v>815.40458675897878</v>
      </c>
    </row>
    <row r="7" spans="1:47" hidden="1" outlineLevel="1" x14ac:dyDescent="0.2">
      <c r="A7" s="61" t="s">
        <v>165</v>
      </c>
      <c r="B7" s="62">
        <v>1075.8399999999999</v>
      </c>
      <c r="C7" s="54">
        <v>0</v>
      </c>
      <c r="D7" s="54">
        <v>1760.09</v>
      </c>
      <c r="E7" s="63"/>
      <c r="F7" s="64">
        <v>61.12414706066167</v>
      </c>
      <c r="G7" s="65">
        <v>1021.09</v>
      </c>
      <c r="H7" s="54">
        <v>1066.18</v>
      </c>
      <c r="I7" s="54">
        <v>765.7</v>
      </c>
      <c r="J7" s="54">
        <v>1075.8399999999999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3928.81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1661.36</v>
      </c>
      <c r="AH7" s="67">
        <v>1281.92</v>
      </c>
      <c r="AI7" s="67">
        <v>1393.27</v>
      </c>
      <c r="AJ7" s="67">
        <v>1760.09</v>
      </c>
      <c r="AK7" s="67">
        <v>1725.2</v>
      </c>
      <c r="AL7" s="67">
        <v>1983.98</v>
      </c>
      <c r="AM7" s="67">
        <v>1811.46</v>
      </c>
      <c r="AN7" s="67">
        <v>1897.73</v>
      </c>
      <c r="AO7" s="67">
        <v>1897.71</v>
      </c>
      <c r="AP7" s="67">
        <v>1932.23</v>
      </c>
      <c r="AQ7" s="67">
        <v>2726.59</v>
      </c>
      <c r="AR7" s="67">
        <v>1038.73</v>
      </c>
      <c r="AS7" s="68">
        <v>6096.64</v>
      </c>
      <c r="AT7" s="63"/>
      <c r="AU7" s="63">
        <v>64.442217352508919</v>
      </c>
    </row>
    <row r="8" spans="1:47" ht="12.75" customHeight="1" collapsed="1" x14ac:dyDescent="0.2">
      <c r="A8" s="69" t="s">
        <v>166</v>
      </c>
      <c r="B8" s="70">
        <v>13537.06</v>
      </c>
      <c r="C8" s="71">
        <v>0</v>
      </c>
      <c r="D8" s="71">
        <v>21207.68</v>
      </c>
      <c r="E8" s="72"/>
      <c r="F8" s="73">
        <v>63.830932945046321</v>
      </c>
      <c r="G8" s="70">
        <v>12340.95</v>
      </c>
      <c r="H8" s="71">
        <v>11948.59</v>
      </c>
      <c r="I8" s="71">
        <v>8927.94</v>
      </c>
      <c r="J8" s="71">
        <v>13537.06</v>
      </c>
      <c r="K8" s="74">
        <v>-448.31</v>
      </c>
      <c r="L8" s="71">
        <v>0</v>
      </c>
      <c r="M8" s="71">
        <v>0</v>
      </c>
      <c r="N8" s="71">
        <v>0</v>
      </c>
      <c r="O8" s="71">
        <v>0</v>
      </c>
      <c r="P8" s="71">
        <v>0</v>
      </c>
      <c r="Q8" s="71">
        <v>0</v>
      </c>
      <c r="R8" s="71">
        <v>0</v>
      </c>
      <c r="S8" s="71">
        <v>46754.54</v>
      </c>
      <c r="T8" s="71">
        <v>0</v>
      </c>
      <c r="U8" s="71">
        <v>0</v>
      </c>
      <c r="V8" s="71">
        <v>0</v>
      </c>
      <c r="W8" s="71">
        <v>0</v>
      </c>
      <c r="X8" s="71">
        <v>0</v>
      </c>
      <c r="Y8" s="71">
        <v>0</v>
      </c>
      <c r="Z8" s="71">
        <v>0</v>
      </c>
      <c r="AA8" s="71">
        <v>0</v>
      </c>
      <c r="AB8" s="71">
        <v>0</v>
      </c>
      <c r="AC8" s="71">
        <v>0</v>
      </c>
      <c r="AD8" s="71">
        <v>0</v>
      </c>
      <c r="AE8" s="71">
        <v>0</v>
      </c>
      <c r="AF8" s="71">
        <v>0</v>
      </c>
      <c r="AG8" s="75">
        <v>19966.560000000001</v>
      </c>
      <c r="AH8" s="75">
        <v>16990.77</v>
      </c>
      <c r="AI8" s="75">
        <v>16524.98</v>
      </c>
      <c r="AJ8" s="75">
        <v>21207.68</v>
      </c>
      <c r="AK8" s="75">
        <v>18226.73</v>
      </c>
      <c r="AL8" s="75">
        <v>22649.68</v>
      </c>
      <c r="AM8" s="75">
        <v>21520.32</v>
      </c>
      <c r="AN8" s="75">
        <v>23346.53</v>
      </c>
      <c r="AO8" s="75">
        <v>21804.09</v>
      </c>
      <c r="AP8" s="75">
        <v>23367.45</v>
      </c>
      <c r="AQ8" s="75">
        <v>72525.61</v>
      </c>
      <c r="AR8" s="75">
        <v>15391.19</v>
      </c>
      <c r="AS8" s="75">
        <v>74689.990000000005</v>
      </c>
      <c r="AT8" s="72"/>
      <c r="AU8" s="72">
        <v>62.598133966814025</v>
      </c>
    </row>
    <row r="9" spans="1:47" ht="12.75" customHeight="1" x14ac:dyDescent="0.2">
      <c r="A9" s="61" t="s">
        <v>167</v>
      </c>
      <c r="B9" s="62"/>
      <c r="C9" s="54"/>
      <c r="D9" s="54"/>
      <c r="E9" s="63"/>
      <c r="F9" s="64"/>
      <c r="G9" s="65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66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66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8"/>
      <c r="AT9" s="63"/>
      <c r="AU9" s="63"/>
    </row>
    <row r="10" spans="1:47" ht="12.75" customHeight="1" x14ac:dyDescent="0.2">
      <c r="A10" s="61" t="s">
        <v>168</v>
      </c>
      <c r="B10" s="62"/>
      <c r="C10" s="54"/>
      <c r="D10" s="54"/>
      <c r="E10" s="63"/>
      <c r="F10" s="64"/>
      <c r="G10" s="65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66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8"/>
      <c r="AT10" s="63"/>
      <c r="AU10" s="63"/>
    </row>
    <row r="11" spans="1:47" ht="12.75" customHeight="1" x14ac:dyDescent="0.2">
      <c r="A11" s="61" t="s">
        <v>169</v>
      </c>
      <c r="B11" s="62"/>
      <c r="C11" s="54"/>
      <c r="D11" s="54"/>
      <c r="E11" s="63"/>
      <c r="F11" s="64"/>
      <c r="G11" s="65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66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66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8"/>
      <c r="AT11" s="63"/>
      <c r="AU11" s="63"/>
    </row>
    <row r="12" spans="1:47" ht="12.75" customHeight="1" x14ac:dyDescent="0.2">
      <c r="A12" s="61" t="s">
        <v>50</v>
      </c>
      <c r="B12" s="62"/>
      <c r="C12" s="54"/>
      <c r="D12" s="54"/>
      <c r="E12" s="63"/>
      <c r="F12" s="64"/>
      <c r="G12" s="65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66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6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8"/>
      <c r="AT12" s="63"/>
      <c r="AU12" s="63"/>
    </row>
    <row r="13" spans="1:47" ht="12.75" customHeight="1" x14ac:dyDescent="0.2">
      <c r="A13" s="61" t="s">
        <v>170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47" ht="12.75" customHeight="1" x14ac:dyDescent="0.2">
      <c r="A14" s="61" t="s">
        <v>171</v>
      </c>
      <c r="B14" s="62"/>
      <c r="C14" s="54"/>
      <c r="D14" s="54"/>
      <c r="E14" s="63"/>
      <c r="F14" s="64"/>
      <c r="G14" s="65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66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66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8"/>
      <c r="AT14" s="63"/>
      <c r="AU14" s="63"/>
    </row>
    <row r="15" spans="1:47" ht="12.75" customHeight="1" x14ac:dyDescent="0.2">
      <c r="A15" s="61" t="s">
        <v>172</v>
      </c>
      <c r="B15" s="62"/>
      <c r="C15" s="54"/>
      <c r="D15" s="54"/>
      <c r="E15" s="63"/>
      <c r="F15" s="64"/>
      <c r="G15" s="65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66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66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8"/>
      <c r="AT15" s="63"/>
      <c r="AU15" s="63"/>
    </row>
    <row r="16" spans="1:47" ht="12.75" customHeight="1" x14ac:dyDescent="0.2">
      <c r="A16" s="61" t="s">
        <v>173</v>
      </c>
      <c r="B16" s="62">
        <v>46.26</v>
      </c>
      <c r="C16" s="54">
        <v>0</v>
      </c>
      <c r="D16" s="54">
        <v>95.35</v>
      </c>
      <c r="E16" s="63"/>
      <c r="F16" s="64">
        <v>48.515993707393811</v>
      </c>
      <c r="G16" s="65">
        <v>46.26</v>
      </c>
      <c r="H16" s="54">
        <v>46.25</v>
      </c>
      <c r="I16" s="54">
        <v>46.26</v>
      </c>
      <c r="J16" s="54">
        <v>46.26</v>
      </c>
      <c r="K16" s="54"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66">
        <v>185.03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>
        <v>95.35</v>
      </c>
      <c r="AH16" s="67">
        <v>95.34</v>
      </c>
      <c r="AI16" s="67">
        <v>95.34</v>
      </c>
      <c r="AJ16" s="67">
        <v>95.35</v>
      </c>
      <c r="AK16" s="67">
        <v>95.35</v>
      </c>
      <c r="AL16" s="67">
        <v>95.34</v>
      </c>
      <c r="AM16" s="67">
        <v>46.26</v>
      </c>
      <c r="AN16" s="67">
        <v>46.26</v>
      </c>
      <c r="AO16" s="67">
        <v>46.26</v>
      </c>
      <c r="AP16" s="67">
        <v>46.25</v>
      </c>
      <c r="AQ16" s="67">
        <v>46.26</v>
      </c>
      <c r="AR16" s="67">
        <v>46.26</v>
      </c>
      <c r="AS16" s="68">
        <v>381.38</v>
      </c>
      <c r="AT16" s="63"/>
      <c r="AU16" s="63">
        <v>48.515915884419741</v>
      </c>
    </row>
    <row r="17" spans="1:47" ht="12.75" customHeight="1" x14ac:dyDescent="0.2">
      <c r="A17" s="61" t="s">
        <v>257</v>
      </c>
      <c r="B17" s="62">
        <v>844.2</v>
      </c>
      <c r="C17" s="54">
        <v>0</v>
      </c>
      <c r="D17" s="54">
        <v>791.71</v>
      </c>
      <c r="E17" s="63"/>
      <c r="F17" s="64">
        <v>106.62995288678935</v>
      </c>
      <c r="G17" s="65">
        <v>856.51</v>
      </c>
      <c r="H17" s="54">
        <v>856.51</v>
      </c>
      <c r="I17" s="54">
        <v>856</v>
      </c>
      <c r="J17" s="54">
        <v>844.2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3413.22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1108.3599999999999</v>
      </c>
      <c r="AH17" s="67">
        <v>1108.23</v>
      </c>
      <c r="AI17" s="67">
        <v>1057.1300000000001</v>
      </c>
      <c r="AJ17" s="67">
        <v>791.71</v>
      </c>
      <c r="AK17" s="67">
        <v>823.88</v>
      </c>
      <c r="AL17" s="67">
        <v>822.82</v>
      </c>
      <c r="AM17" s="67">
        <v>822.81</v>
      </c>
      <c r="AN17" s="67">
        <v>821.08</v>
      </c>
      <c r="AO17" s="67">
        <v>822.19</v>
      </c>
      <c r="AP17" s="67">
        <v>842.81</v>
      </c>
      <c r="AQ17" s="67">
        <v>832.48</v>
      </c>
      <c r="AR17" s="67">
        <v>878.93</v>
      </c>
      <c r="AS17" s="68">
        <v>4065.43</v>
      </c>
      <c r="AT17" s="63"/>
      <c r="AU17" s="63">
        <v>83.957170582201641</v>
      </c>
    </row>
    <row r="18" spans="1:47" ht="14.25" hidden="1" customHeight="1" outlineLevel="1" x14ac:dyDescent="0.2">
      <c r="A18" s="61" t="s">
        <v>109</v>
      </c>
      <c r="B18" s="62"/>
      <c r="C18" s="54"/>
      <c r="D18" s="54"/>
      <c r="E18" s="63"/>
      <c r="F18" s="64"/>
      <c r="G18" s="65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66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66"/>
      <c r="AG18" s="67"/>
      <c r="AH18" s="67"/>
      <c r="AI18" s="67"/>
      <c r="AJ18" s="67"/>
      <c r="AK18" s="67"/>
      <c r="AL18" s="67"/>
      <c r="AM18" s="67"/>
      <c r="AN18" s="67"/>
      <c r="AO18" s="67"/>
      <c r="AP18" s="67"/>
      <c r="AQ18" s="67"/>
      <c r="AR18" s="67"/>
      <c r="AS18" s="68"/>
      <c r="AT18" s="63"/>
      <c r="AU18" s="63"/>
    </row>
    <row r="19" spans="1:47" ht="12.75" hidden="1" customHeight="1" outlineLevel="1" x14ac:dyDescent="0.2">
      <c r="A19" s="61" t="s">
        <v>97</v>
      </c>
      <c r="B19" s="62">
        <v>35</v>
      </c>
      <c r="C19" s="54"/>
      <c r="D19" s="54">
        <v>35</v>
      </c>
      <c r="E19" s="63"/>
      <c r="F19" s="64">
        <v>100</v>
      </c>
      <c r="G19" s="65">
        <v>35</v>
      </c>
      <c r="H19" s="54">
        <v>35</v>
      </c>
      <c r="I19" s="54">
        <v>35</v>
      </c>
      <c r="J19" s="54">
        <v>35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140</v>
      </c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66"/>
      <c r="AG19" s="67">
        <v>0</v>
      </c>
      <c r="AH19" s="67">
        <v>0</v>
      </c>
      <c r="AI19" s="67">
        <v>50.03</v>
      </c>
      <c r="AJ19" s="67">
        <v>35</v>
      </c>
      <c r="AK19" s="67">
        <v>12.17</v>
      </c>
      <c r="AL19" s="67">
        <v>35</v>
      </c>
      <c r="AM19" s="67">
        <v>35</v>
      </c>
      <c r="AN19" s="67">
        <v>35</v>
      </c>
      <c r="AO19" s="67">
        <v>35</v>
      </c>
      <c r="AP19" s="67">
        <v>35</v>
      </c>
      <c r="AQ19" s="67">
        <v>35</v>
      </c>
      <c r="AR19" s="67">
        <v>35</v>
      </c>
      <c r="AS19" s="68">
        <v>85.03</v>
      </c>
      <c r="AT19" s="63"/>
      <c r="AU19" s="63">
        <v>164.64777137480888</v>
      </c>
    </row>
    <row r="20" spans="1:47" ht="12.75" hidden="1" customHeight="1" outlineLevel="1" x14ac:dyDescent="0.2">
      <c r="A20" s="61" t="s">
        <v>69</v>
      </c>
      <c r="B20" s="62"/>
      <c r="C20" s="54"/>
      <c r="D20" s="54"/>
      <c r="E20" s="63"/>
      <c r="F20" s="64"/>
      <c r="G20" s="65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66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66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8"/>
      <c r="AT20" s="63"/>
      <c r="AU20" s="63"/>
    </row>
    <row r="21" spans="1:47" ht="12.75" customHeight="1" collapsed="1" x14ac:dyDescent="0.2">
      <c r="A21" s="69" t="s">
        <v>70</v>
      </c>
      <c r="B21" s="70">
        <v>35</v>
      </c>
      <c r="C21" s="71"/>
      <c r="D21" s="71">
        <v>35</v>
      </c>
      <c r="E21" s="72"/>
      <c r="F21" s="73">
        <v>100</v>
      </c>
      <c r="G21" s="70">
        <v>35</v>
      </c>
      <c r="H21" s="71">
        <v>35</v>
      </c>
      <c r="I21" s="71">
        <v>35</v>
      </c>
      <c r="J21" s="71">
        <v>35</v>
      </c>
      <c r="K21" s="71">
        <v>0</v>
      </c>
      <c r="L21" s="71">
        <v>0</v>
      </c>
      <c r="M21" s="71">
        <v>0</v>
      </c>
      <c r="N21" s="71">
        <v>0</v>
      </c>
      <c r="O21" s="71">
        <v>0</v>
      </c>
      <c r="P21" s="71">
        <v>0</v>
      </c>
      <c r="Q21" s="71">
        <v>0</v>
      </c>
      <c r="R21" s="71">
        <v>0</v>
      </c>
      <c r="S21" s="71">
        <v>140</v>
      </c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5">
        <v>0</v>
      </c>
      <c r="AH21" s="75">
        <v>0</v>
      </c>
      <c r="AI21" s="75">
        <v>50.03</v>
      </c>
      <c r="AJ21" s="75">
        <v>35</v>
      </c>
      <c r="AK21" s="75">
        <v>12.17</v>
      </c>
      <c r="AL21" s="75">
        <v>35</v>
      </c>
      <c r="AM21" s="75">
        <v>35</v>
      </c>
      <c r="AN21" s="75">
        <v>35</v>
      </c>
      <c r="AO21" s="75">
        <v>35</v>
      </c>
      <c r="AP21" s="75">
        <v>35</v>
      </c>
      <c r="AQ21" s="75">
        <v>35</v>
      </c>
      <c r="AR21" s="75">
        <v>35</v>
      </c>
      <c r="AS21" s="75">
        <v>85.03</v>
      </c>
      <c r="AT21" s="72"/>
      <c r="AU21" s="72">
        <v>164.64777137480888</v>
      </c>
    </row>
    <row r="22" spans="1:47" ht="12.75" hidden="1" customHeight="1" outlineLevel="1" x14ac:dyDescent="0.2">
      <c r="A22" s="61" t="s">
        <v>174</v>
      </c>
      <c r="B22" s="62">
        <v>0</v>
      </c>
      <c r="C22" s="54">
        <v>0</v>
      </c>
      <c r="D22" s="54">
        <v>0</v>
      </c>
      <c r="E22" s="63"/>
      <c r="F22" s="64"/>
      <c r="G22" s="65">
        <v>0</v>
      </c>
      <c r="H22" s="54">
        <v>21.42</v>
      </c>
      <c r="I22" s="54">
        <v>0</v>
      </c>
      <c r="J22" s="54">
        <v>0</v>
      </c>
      <c r="K22" s="54">
        <v>0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66">
        <v>21.42</v>
      </c>
      <c r="T22" s="54">
        <v>0</v>
      </c>
      <c r="U22" s="54">
        <v>0</v>
      </c>
      <c r="V22" s="54">
        <v>0</v>
      </c>
      <c r="W22" s="54">
        <v>0</v>
      </c>
      <c r="X22" s="54">
        <v>0</v>
      </c>
      <c r="Y22" s="54">
        <v>0</v>
      </c>
      <c r="Z22" s="54">
        <v>0</v>
      </c>
      <c r="AA22" s="54">
        <v>0</v>
      </c>
      <c r="AB22" s="54">
        <v>0</v>
      </c>
      <c r="AC22" s="54">
        <v>0</v>
      </c>
      <c r="AD22" s="54">
        <v>0</v>
      </c>
      <c r="AE22" s="54">
        <v>0</v>
      </c>
      <c r="AF22" s="66">
        <v>0</v>
      </c>
      <c r="AG22" s="67">
        <v>0</v>
      </c>
      <c r="AH22" s="67">
        <v>21.2</v>
      </c>
      <c r="AI22" s="98">
        <v>-128</v>
      </c>
      <c r="AJ22" s="67">
        <v>0</v>
      </c>
      <c r="AK22" s="67">
        <v>20.74</v>
      </c>
      <c r="AL22" s="67">
        <v>0</v>
      </c>
      <c r="AM22" s="67">
        <v>0</v>
      </c>
      <c r="AN22" s="67">
        <v>21.01</v>
      </c>
      <c r="AO22" s="67">
        <v>0</v>
      </c>
      <c r="AP22" s="67">
        <v>0</v>
      </c>
      <c r="AQ22" s="67">
        <v>21.42</v>
      </c>
      <c r="AR22" s="67">
        <v>0</v>
      </c>
      <c r="AS22" s="99">
        <v>-106.8</v>
      </c>
      <c r="AT22" s="63"/>
      <c r="AU22" s="63">
        <v>-20.056179775280899</v>
      </c>
    </row>
    <row r="23" spans="1:47" ht="12.75" hidden="1" customHeight="1" outlineLevel="1" x14ac:dyDescent="0.2">
      <c r="A23" s="61" t="s">
        <v>99</v>
      </c>
      <c r="B23" s="62">
        <v>0</v>
      </c>
      <c r="C23" s="54">
        <v>0</v>
      </c>
      <c r="D23" s="54">
        <v>216.95</v>
      </c>
      <c r="E23" s="63"/>
      <c r="F23" s="64">
        <v>0</v>
      </c>
      <c r="G23" s="65">
        <v>0</v>
      </c>
      <c r="H23" s="54">
        <v>0</v>
      </c>
      <c r="I23" s="54">
        <v>0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0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173.83</v>
      </c>
      <c r="AH23" s="67">
        <v>178.31</v>
      </c>
      <c r="AI23" s="98">
        <v>-15.51</v>
      </c>
      <c r="AJ23" s="67">
        <v>216.95</v>
      </c>
      <c r="AK23" s="67">
        <v>345.21</v>
      </c>
      <c r="AL23" s="67">
        <v>921.93</v>
      </c>
      <c r="AM23" s="98">
        <v>-46.75</v>
      </c>
      <c r="AN23" s="98">
        <v>-354.35</v>
      </c>
      <c r="AO23" s="67">
        <v>0</v>
      </c>
      <c r="AP23" s="67">
        <v>0</v>
      </c>
      <c r="AQ23" s="67">
        <v>0</v>
      </c>
      <c r="AR23" s="67">
        <v>0</v>
      </c>
      <c r="AS23" s="68">
        <v>553.58000000000004</v>
      </c>
      <c r="AT23" s="63"/>
      <c r="AU23" s="63">
        <v>0</v>
      </c>
    </row>
    <row r="24" spans="1:47" ht="12.75" hidden="1" customHeight="1" outlineLevel="1" x14ac:dyDescent="0.2">
      <c r="A24" s="61" t="s">
        <v>175</v>
      </c>
      <c r="B24" s="62">
        <v>27.83</v>
      </c>
      <c r="C24" s="54">
        <v>0</v>
      </c>
      <c r="D24" s="54">
        <v>0</v>
      </c>
      <c r="E24" s="63"/>
      <c r="F24" s="64"/>
      <c r="G24" s="65">
        <v>0</v>
      </c>
      <c r="H24" s="54">
        <v>32.340000000000003</v>
      </c>
      <c r="I24" s="54">
        <v>0</v>
      </c>
      <c r="J24" s="54">
        <v>27.83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60.17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0</v>
      </c>
      <c r="AH24" s="67">
        <v>29.87</v>
      </c>
      <c r="AI24" s="98">
        <v>-81.91</v>
      </c>
      <c r="AJ24" s="67">
        <v>0</v>
      </c>
      <c r="AK24" s="67">
        <v>26.87</v>
      </c>
      <c r="AL24" s="67">
        <v>0</v>
      </c>
      <c r="AM24" s="67">
        <v>25.79</v>
      </c>
      <c r="AN24" s="67">
        <v>1.03</v>
      </c>
      <c r="AO24" s="67">
        <v>30.32</v>
      </c>
      <c r="AP24" s="67">
        <v>0</v>
      </c>
      <c r="AQ24" s="67">
        <v>32.659999999999997</v>
      </c>
      <c r="AR24" s="67">
        <v>0</v>
      </c>
      <c r="AS24" s="99">
        <v>-52.04</v>
      </c>
      <c r="AT24" s="63"/>
      <c r="AU24" s="63">
        <v>-115.62259800153728</v>
      </c>
    </row>
    <row r="25" spans="1:47" ht="12.75" hidden="1" customHeight="1" outlineLevel="1" x14ac:dyDescent="0.2">
      <c r="A25" s="61" t="s">
        <v>100</v>
      </c>
      <c r="B25" s="62">
        <v>0</v>
      </c>
      <c r="C25" s="54">
        <v>0</v>
      </c>
      <c r="D25" s="54">
        <v>0</v>
      </c>
      <c r="E25" s="63"/>
      <c r="F25" s="64"/>
      <c r="G25" s="65">
        <v>0</v>
      </c>
      <c r="H25" s="54">
        <v>0</v>
      </c>
      <c r="I25" s="54">
        <v>0</v>
      </c>
      <c r="J25" s="54">
        <v>0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0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0</v>
      </c>
      <c r="AH25" s="67">
        <v>0</v>
      </c>
      <c r="AI25" s="67">
        <v>0</v>
      </c>
      <c r="AJ25" s="67">
        <v>0</v>
      </c>
      <c r="AK25" s="67">
        <v>0</v>
      </c>
      <c r="AL25" s="67">
        <v>0</v>
      </c>
      <c r="AM25" s="67">
        <v>0</v>
      </c>
      <c r="AN25" s="67">
        <v>0</v>
      </c>
      <c r="AO25" s="67">
        <v>0</v>
      </c>
      <c r="AP25" s="67">
        <v>0</v>
      </c>
      <c r="AQ25" s="67">
        <v>0</v>
      </c>
      <c r="AR25" s="67">
        <v>0</v>
      </c>
      <c r="AS25" s="68">
        <v>0</v>
      </c>
      <c r="AT25" s="63"/>
      <c r="AU25" s="63"/>
    </row>
    <row r="26" spans="1:47" ht="12.75" hidden="1" customHeight="1" outlineLevel="1" x14ac:dyDescent="0.2">
      <c r="A26" s="61" t="s">
        <v>101</v>
      </c>
      <c r="B26" s="62"/>
      <c r="C26" s="54">
        <v>0</v>
      </c>
      <c r="D26" s="54"/>
      <c r="E26" s="63"/>
      <c r="F26" s="64"/>
      <c r="G26" s="65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66"/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8"/>
      <c r="AT26" s="63"/>
      <c r="AU26" s="63"/>
    </row>
    <row r="27" spans="1:47" ht="12.75" hidden="1" customHeight="1" outlineLevel="1" x14ac:dyDescent="0.2">
      <c r="A27" s="61" t="s">
        <v>176</v>
      </c>
      <c r="B27" s="62">
        <v>0</v>
      </c>
      <c r="C27" s="54">
        <v>0</v>
      </c>
      <c r="D27" s="54">
        <v>0</v>
      </c>
      <c r="E27" s="63"/>
      <c r="F27" s="64"/>
      <c r="G27" s="65">
        <v>0</v>
      </c>
      <c r="H27" s="54">
        <v>0</v>
      </c>
      <c r="I27" s="54">
        <v>0</v>
      </c>
      <c r="J27" s="54">
        <v>0</v>
      </c>
      <c r="K27" s="54">
        <v>0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0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0</v>
      </c>
      <c r="AH27" s="67">
        <v>0</v>
      </c>
      <c r="AI27" s="67">
        <v>0</v>
      </c>
      <c r="AJ27" s="67">
        <v>0</v>
      </c>
      <c r="AK27" s="67">
        <v>0</v>
      </c>
      <c r="AL27" s="67">
        <v>0</v>
      </c>
      <c r="AM27" s="67">
        <v>0</v>
      </c>
      <c r="AN27" s="67">
        <v>0</v>
      </c>
      <c r="AO27" s="67">
        <v>0</v>
      </c>
      <c r="AP27" s="67">
        <v>0</v>
      </c>
      <c r="AQ27" s="67">
        <v>0</v>
      </c>
      <c r="AR27" s="67">
        <v>0</v>
      </c>
      <c r="AS27" s="68">
        <v>0</v>
      </c>
      <c r="AT27" s="63"/>
      <c r="AU27" s="63"/>
    </row>
    <row r="28" spans="1:47" ht="12.75" hidden="1" customHeight="1" outlineLevel="1" x14ac:dyDescent="0.2">
      <c r="A28" s="61" t="s">
        <v>102</v>
      </c>
      <c r="B28" s="62">
        <v>0</v>
      </c>
      <c r="C28" s="54">
        <v>0</v>
      </c>
      <c r="D28" s="54">
        <v>0</v>
      </c>
      <c r="E28" s="63"/>
      <c r="F28" s="64"/>
      <c r="G28" s="65">
        <v>0</v>
      </c>
      <c r="H28" s="54">
        <v>0</v>
      </c>
      <c r="I28" s="54">
        <v>0</v>
      </c>
      <c r="J28" s="54">
        <v>0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0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0</v>
      </c>
      <c r="AH28" s="67">
        <v>0</v>
      </c>
      <c r="AI28" s="67">
        <v>0</v>
      </c>
      <c r="AJ28" s="67">
        <v>0</v>
      </c>
      <c r="AK28" s="67">
        <v>0</v>
      </c>
      <c r="AL28" s="67">
        <v>0</v>
      </c>
      <c r="AM28" s="67">
        <v>0</v>
      </c>
      <c r="AN28" s="67">
        <v>0</v>
      </c>
      <c r="AO28" s="67">
        <v>0</v>
      </c>
      <c r="AP28" s="67">
        <v>0</v>
      </c>
      <c r="AQ28" s="67">
        <v>0</v>
      </c>
      <c r="AR28" s="67">
        <v>0</v>
      </c>
      <c r="AS28" s="68">
        <v>0</v>
      </c>
      <c r="AT28" s="63"/>
      <c r="AU28" s="63"/>
    </row>
    <row r="29" spans="1:47" ht="12.75" hidden="1" customHeight="1" outlineLevel="1" x14ac:dyDescent="0.2">
      <c r="A29" s="61" t="s">
        <v>75</v>
      </c>
      <c r="B29" s="62">
        <v>0</v>
      </c>
      <c r="C29" s="54">
        <v>0</v>
      </c>
      <c r="D29" s="54">
        <v>0</v>
      </c>
      <c r="E29" s="63"/>
      <c r="F29" s="64"/>
      <c r="G29" s="65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0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0</v>
      </c>
      <c r="AH29" s="67">
        <v>0</v>
      </c>
      <c r="AI29" s="67">
        <v>0</v>
      </c>
      <c r="AJ29" s="67">
        <v>0</v>
      </c>
      <c r="AK29" s="67">
        <v>0</v>
      </c>
      <c r="AL29" s="67">
        <v>0</v>
      </c>
      <c r="AM29" s="67">
        <v>0</v>
      </c>
      <c r="AN29" s="67">
        <v>0</v>
      </c>
      <c r="AO29" s="67">
        <v>0</v>
      </c>
      <c r="AP29" s="67">
        <v>0</v>
      </c>
      <c r="AQ29" s="67">
        <v>0</v>
      </c>
      <c r="AR29" s="67">
        <v>0</v>
      </c>
      <c r="AS29" s="68">
        <v>0</v>
      </c>
      <c r="AT29" s="63"/>
      <c r="AU29" s="63"/>
    </row>
    <row r="30" spans="1:47" ht="12.75" hidden="1" customHeight="1" outlineLevel="1" x14ac:dyDescent="0.2">
      <c r="A30" s="61" t="s">
        <v>76</v>
      </c>
      <c r="B30" s="62">
        <v>0</v>
      </c>
      <c r="C30" s="54">
        <v>0</v>
      </c>
      <c r="D30" s="54">
        <v>61.85</v>
      </c>
      <c r="E30" s="63"/>
      <c r="F30" s="64">
        <v>0</v>
      </c>
      <c r="G30" s="65">
        <v>123.7</v>
      </c>
      <c r="H30" s="54">
        <v>66.37</v>
      </c>
      <c r="I30" s="54">
        <v>132.74</v>
      </c>
      <c r="J30" s="54">
        <v>0</v>
      </c>
      <c r="K30" s="56">
        <v>-66.37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322.81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61.36</v>
      </c>
      <c r="AH30" s="67">
        <v>61.85</v>
      </c>
      <c r="AI30" s="67">
        <v>96.35</v>
      </c>
      <c r="AJ30" s="67">
        <v>61.85</v>
      </c>
      <c r="AK30" s="67">
        <v>61.85</v>
      </c>
      <c r="AL30" s="67">
        <v>61.85</v>
      </c>
      <c r="AM30" s="67">
        <v>61.85</v>
      </c>
      <c r="AN30" s="67">
        <v>61.85</v>
      </c>
      <c r="AO30" s="67">
        <v>61.85</v>
      </c>
      <c r="AP30" s="67">
        <v>61.85</v>
      </c>
      <c r="AQ30" s="67">
        <v>61.85</v>
      </c>
      <c r="AR30" s="67">
        <v>0</v>
      </c>
      <c r="AS30" s="68">
        <v>281.41000000000003</v>
      </c>
      <c r="AT30" s="63"/>
      <c r="AU30" s="63">
        <v>114.71163071674781</v>
      </c>
    </row>
    <row r="31" spans="1:47" ht="12.75" hidden="1" customHeight="1" outlineLevel="1" x14ac:dyDescent="0.2">
      <c r="A31" s="61" t="s">
        <v>77</v>
      </c>
      <c r="B31" s="62">
        <v>80</v>
      </c>
      <c r="C31" s="54">
        <v>0</v>
      </c>
      <c r="D31" s="54">
        <v>80</v>
      </c>
      <c r="E31" s="63"/>
      <c r="F31" s="64">
        <v>100</v>
      </c>
      <c r="G31" s="65">
        <v>80</v>
      </c>
      <c r="H31" s="54">
        <v>80</v>
      </c>
      <c r="I31" s="54">
        <v>80</v>
      </c>
      <c r="J31" s="54">
        <v>80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320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96.67</v>
      </c>
      <c r="AH31" s="67">
        <v>96.67</v>
      </c>
      <c r="AI31" s="67">
        <v>80</v>
      </c>
      <c r="AJ31" s="67">
        <v>80</v>
      </c>
      <c r="AK31" s="67">
        <v>80</v>
      </c>
      <c r="AL31" s="67">
        <v>80</v>
      </c>
      <c r="AM31" s="67">
        <v>80</v>
      </c>
      <c r="AN31" s="67">
        <v>80</v>
      </c>
      <c r="AO31" s="67">
        <v>80</v>
      </c>
      <c r="AP31" s="67">
        <v>80</v>
      </c>
      <c r="AQ31" s="67">
        <v>80</v>
      </c>
      <c r="AR31" s="67">
        <v>80</v>
      </c>
      <c r="AS31" s="68">
        <v>353.34</v>
      </c>
      <c r="AT31" s="63"/>
      <c r="AU31" s="63">
        <v>90.564328974925004</v>
      </c>
    </row>
    <row r="32" spans="1:47" ht="12.75" customHeight="1" collapsed="1" x14ac:dyDescent="0.2">
      <c r="A32" s="69" t="s">
        <v>177</v>
      </c>
      <c r="B32" s="70">
        <v>107.83</v>
      </c>
      <c r="C32" s="71">
        <v>0</v>
      </c>
      <c r="D32" s="71">
        <v>358.8</v>
      </c>
      <c r="E32" s="72"/>
      <c r="F32" s="73">
        <v>30.052954292084728</v>
      </c>
      <c r="G32" s="70">
        <v>203.7</v>
      </c>
      <c r="H32" s="71">
        <v>200.13</v>
      </c>
      <c r="I32" s="71">
        <v>212.74</v>
      </c>
      <c r="J32" s="71">
        <v>107.83</v>
      </c>
      <c r="K32" s="74">
        <v>-66.37</v>
      </c>
      <c r="L32" s="71">
        <v>0</v>
      </c>
      <c r="M32" s="71">
        <v>0</v>
      </c>
      <c r="N32" s="71">
        <v>0</v>
      </c>
      <c r="O32" s="71">
        <v>0</v>
      </c>
      <c r="P32" s="71">
        <v>0</v>
      </c>
      <c r="Q32" s="71">
        <v>0</v>
      </c>
      <c r="R32" s="71">
        <v>0</v>
      </c>
      <c r="S32" s="71">
        <v>724.4</v>
      </c>
      <c r="T32" s="71">
        <v>0</v>
      </c>
      <c r="U32" s="71">
        <v>0</v>
      </c>
      <c r="V32" s="71">
        <v>0</v>
      </c>
      <c r="W32" s="71">
        <v>0</v>
      </c>
      <c r="X32" s="71">
        <v>0</v>
      </c>
      <c r="Y32" s="71">
        <v>0</v>
      </c>
      <c r="Z32" s="71">
        <v>0</v>
      </c>
      <c r="AA32" s="71">
        <v>0</v>
      </c>
      <c r="AB32" s="71">
        <v>0</v>
      </c>
      <c r="AC32" s="71">
        <v>0</v>
      </c>
      <c r="AD32" s="71">
        <v>0</v>
      </c>
      <c r="AE32" s="71">
        <v>0</v>
      </c>
      <c r="AF32" s="71">
        <v>0</v>
      </c>
      <c r="AG32" s="75">
        <v>331.86</v>
      </c>
      <c r="AH32" s="75">
        <v>387.9</v>
      </c>
      <c r="AI32" s="134">
        <v>-49.07</v>
      </c>
      <c r="AJ32" s="75">
        <v>358.8</v>
      </c>
      <c r="AK32" s="75">
        <v>534.66999999999996</v>
      </c>
      <c r="AL32" s="75">
        <v>1063.78</v>
      </c>
      <c r="AM32" s="75">
        <v>120.89</v>
      </c>
      <c r="AN32" s="134">
        <v>-190.46</v>
      </c>
      <c r="AO32" s="75">
        <v>172.17</v>
      </c>
      <c r="AP32" s="75">
        <v>141.85</v>
      </c>
      <c r="AQ32" s="75">
        <v>195.93</v>
      </c>
      <c r="AR32" s="75">
        <v>80</v>
      </c>
      <c r="AS32" s="75">
        <v>1029.49</v>
      </c>
      <c r="AT32" s="72"/>
      <c r="AU32" s="72">
        <v>70.364937978999308</v>
      </c>
    </row>
    <row r="33" spans="1:47" ht="12.75" hidden="1" customHeight="1" outlineLevel="1" x14ac:dyDescent="0.2">
      <c r="A33" s="61" t="s">
        <v>178</v>
      </c>
      <c r="B33" s="62"/>
      <c r="C33" s="54"/>
      <c r="D33" s="54"/>
      <c r="E33" s="63"/>
      <c r="F33" s="64"/>
      <c r="G33" s="65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66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66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8"/>
      <c r="AT33" s="63"/>
      <c r="AU33" s="63"/>
    </row>
    <row r="34" spans="1:47" ht="12.75" hidden="1" customHeight="1" outlineLevel="1" x14ac:dyDescent="0.2">
      <c r="A34" s="61" t="s">
        <v>179</v>
      </c>
      <c r="B34" s="62">
        <v>21.67</v>
      </c>
      <c r="C34" s="54">
        <v>0</v>
      </c>
      <c r="D34" s="54">
        <v>13</v>
      </c>
      <c r="E34" s="63"/>
      <c r="F34" s="64">
        <v>166.69230769230768</v>
      </c>
      <c r="G34" s="65">
        <v>21.67</v>
      </c>
      <c r="H34" s="54">
        <v>21.67</v>
      </c>
      <c r="I34" s="54">
        <v>21.67</v>
      </c>
      <c r="J34" s="54">
        <v>21.67</v>
      </c>
      <c r="K34" s="54">
        <v>0</v>
      </c>
      <c r="L34" s="54">
        <v>0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66">
        <v>86.68</v>
      </c>
      <c r="T34" s="54">
        <v>0</v>
      </c>
      <c r="U34" s="54">
        <v>0</v>
      </c>
      <c r="V34" s="54">
        <v>0</v>
      </c>
      <c r="W34" s="54">
        <v>0</v>
      </c>
      <c r="X34" s="54">
        <v>0</v>
      </c>
      <c r="Y34" s="54">
        <v>0</v>
      </c>
      <c r="Z34" s="54">
        <v>0</v>
      </c>
      <c r="AA34" s="54">
        <v>0</v>
      </c>
      <c r="AB34" s="54">
        <v>0</v>
      </c>
      <c r="AC34" s="54">
        <v>0</v>
      </c>
      <c r="AD34" s="54">
        <v>0</v>
      </c>
      <c r="AE34" s="54">
        <v>0</v>
      </c>
      <c r="AF34" s="66">
        <v>0</v>
      </c>
      <c r="AG34" s="67">
        <v>13</v>
      </c>
      <c r="AH34" s="67">
        <v>13</v>
      </c>
      <c r="AI34" s="67">
        <v>13</v>
      </c>
      <c r="AJ34" s="67">
        <v>13</v>
      </c>
      <c r="AK34" s="67">
        <v>13</v>
      </c>
      <c r="AL34" s="67">
        <v>13</v>
      </c>
      <c r="AM34" s="67">
        <v>13</v>
      </c>
      <c r="AN34" s="67">
        <v>13</v>
      </c>
      <c r="AO34" s="67">
        <v>21.67</v>
      </c>
      <c r="AP34" s="67">
        <v>21.67</v>
      </c>
      <c r="AQ34" s="67">
        <v>21.67</v>
      </c>
      <c r="AR34" s="67">
        <v>21.67</v>
      </c>
      <c r="AS34" s="68">
        <v>52</v>
      </c>
      <c r="AT34" s="63"/>
      <c r="AU34" s="63">
        <v>166.69230769230768</v>
      </c>
    </row>
    <row r="35" spans="1:47" ht="12.75" hidden="1" customHeight="1" outlineLevel="1" x14ac:dyDescent="0.2">
      <c r="A35" s="61" t="s">
        <v>180</v>
      </c>
      <c r="B35" s="62">
        <v>0</v>
      </c>
      <c r="C35" s="54">
        <v>0</v>
      </c>
      <c r="D35" s="54">
        <v>0</v>
      </c>
      <c r="E35" s="63"/>
      <c r="F35" s="64"/>
      <c r="G35" s="65">
        <v>0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0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0</v>
      </c>
      <c r="AH35" s="67">
        <v>0</v>
      </c>
      <c r="AI35" s="67">
        <v>0</v>
      </c>
      <c r="AJ35" s="67">
        <v>0</v>
      </c>
      <c r="AK35" s="67">
        <v>0</v>
      </c>
      <c r="AL35" s="67">
        <v>0</v>
      </c>
      <c r="AM35" s="67">
        <v>0</v>
      </c>
      <c r="AN35" s="67">
        <v>0</v>
      </c>
      <c r="AO35" s="67">
        <v>0</v>
      </c>
      <c r="AP35" s="67">
        <v>0</v>
      </c>
      <c r="AQ35" s="67">
        <v>0</v>
      </c>
      <c r="AR35" s="67">
        <v>0</v>
      </c>
      <c r="AS35" s="68">
        <v>0</v>
      </c>
      <c r="AT35" s="63"/>
      <c r="AU35" s="63"/>
    </row>
    <row r="36" spans="1:47" ht="12.75" hidden="1" customHeight="1" outlineLevel="1" x14ac:dyDescent="0.2">
      <c r="A36" s="61" t="s">
        <v>181</v>
      </c>
      <c r="B36" s="62"/>
      <c r="C36" s="54"/>
      <c r="D36" s="54"/>
      <c r="E36" s="63"/>
      <c r="F36" s="64"/>
      <c r="G36" s="65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66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66"/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8"/>
      <c r="AT36" s="63"/>
      <c r="AU36" s="63"/>
    </row>
    <row r="37" spans="1:47" ht="12.75" hidden="1" customHeight="1" outlineLevel="1" x14ac:dyDescent="0.2">
      <c r="A37" s="61" t="s">
        <v>182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0</v>
      </c>
      <c r="AM37" s="67">
        <v>0</v>
      </c>
      <c r="AN37" s="67">
        <v>0</v>
      </c>
      <c r="AO37" s="67">
        <v>0</v>
      </c>
      <c r="AP37" s="67">
        <v>0</v>
      </c>
      <c r="AQ37" s="67">
        <v>0</v>
      </c>
      <c r="AR37" s="67">
        <v>0</v>
      </c>
      <c r="AS37" s="68">
        <v>0</v>
      </c>
      <c r="AT37" s="63"/>
      <c r="AU37" s="63"/>
    </row>
    <row r="38" spans="1:47" ht="12.75" hidden="1" customHeight="1" outlineLevel="1" x14ac:dyDescent="0.2">
      <c r="A38" s="61" t="s">
        <v>183</v>
      </c>
      <c r="B38" s="62">
        <v>0</v>
      </c>
      <c r="C38" s="54"/>
      <c r="D38" s="54">
        <v>0</v>
      </c>
      <c r="E38" s="63"/>
      <c r="F38" s="64"/>
      <c r="G38" s="97">
        <v>-340.91</v>
      </c>
      <c r="H38" s="54">
        <v>0</v>
      </c>
      <c r="I38" s="54">
        <v>0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76">
        <v>-340.91</v>
      </c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66"/>
      <c r="AG38" s="67">
        <v>0</v>
      </c>
      <c r="AH38" s="67">
        <v>0</v>
      </c>
      <c r="AI38" s="67">
        <v>0</v>
      </c>
      <c r="AJ38" s="67">
        <v>0</v>
      </c>
      <c r="AK38" s="67">
        <v>0</v>
      </c>
      <c r="AL38" s="67">
        <v>0</v>
      </c>
      <c r="AM38" s="67">
        <v>0</v>
      </c>
      <c r="AN38" s="67">
        <v>0</v>
      </c>
      <c r="AO38" s="67">
        <v>0</v>
      </c>
      <c r="AP38" s="67">
        <v>0</v>
      </c>
      <c r="AQ38" s="67">
        <v>340.91</v>
      </c>
      <c r="AR38" s="67">
        <v>0</v>
      </c>
      <c r="AS38" s="68">
        <v>0</v>
      </c>
      <c r="AT38" s="63"/>
      <c r="AU38" s="63"/>
    </row>
    <row r="39" spans="1:47" ht="12.75" hidden="1" customHeight="1" outlineLevel="1" x14ac:dyDescent="0.2">
      <c r="A39" s="61" t="s">
        <v>184</v>
      </c>
      <c r="B39" s="62">
        <v>0</v>
      </c>
      <c r="C39" s="54">
        <v>0</v>
      </c>
      <c r="D39" s="54">
        <v>0</v>
      </c>
      <c r="E39" s="63"/>
      <c r="F39" s="64"/>
      <c r="G39" s="65">
        <v>0</v>
      </c>
      <c r="H39" s="54">
        <v>0</v>
      </c>
      <c r="I39" s="54">
        <v>0</v>
      </c>
      <c r="J39" s="54">
        <v>0</v>
      </c>
      <c r="K39" s="54">
        <v>0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66">
        <v>0</v>
      </c>
      <c r="T39" s="54">
        <v>0</v>
      </c>
      <c r="U39" s="54">
        <v>0</v>
      </c>
      <c r="V39" s="54">
        <v>0</v>
      </c>
      <c r="W39" s="54">
        <v>0</v>
      </c>
      <c r="X39" s="54">
        <v>0</v>
      </c>
      <c r="Y39" s="54">
        <v>0</v>
      </c>
      <c r="Z39" s="54">
        <v>0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66">
        <v>0</v>
      </c>
      <c r="AG39" s="67">
        <v>0</v>
      </c>
      <c r="AH39" s="67">
        <v>0</v>
      </c>
      <c r="AI39" s="67">
        <v>0</v>
      </c>
      <c r="AJ39" s="67">
        <v>0</v>
      </c>
      <c r="AK39" s="67">
        <v>0</v>
      </c>
      <c r="AL39" s="67">
        <v>0</v>
      </c>
      <c r="AM39" s="67">
        <v>0</v>
      </c>
      <c r="AN39" s="67">
        <v>0</v>
      </c>
      <c r="AO39" s="67">
        <v>0</v>
      </c>
      <c r="AP39" s="67">
        <v>0</v>
      </c>
      <c r="AQ39" s="67">
        <v>0</v>
      </c>
      <c r="AR39" s="67">
        <v>0</v>
      </c>
      <c r="AS39" s="68">
        <v>0</v>
      </c>
      <c r="AT39" s="63"/>
      <c r="AU39" s="63"/>
    </row>
    <row r="40" spans="1:47" ht="12.75" hidden="1" customHeight="1" outlineLevel="1" x14ac:dyDescent="0.2">
      <c r="A40" s="61" t="s">
        <v>185</v>
      </c>
      <c r="B40" s="62"/>
      <c r="C40" s="54"/>
      <c r="D40" s="54"/>
      <c r="E40" s="63"/>
      <c r="F40" s="64"/>
      <c r="G40" s="65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66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66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8"/>
      <c r="AT40" s="63"/>
      <c r="AU40" s="63"/>
    </row>
    <row r="41" spans="1:47" ht="12.75" hidden="1" customHeight="1" outlineLevel="1" x14ac:dyDescent="0.2">
      <c r="A41" s="61" t="s">
        <v>186</v>
      </c>
      <c r="B41" s="62">
        <v>0</v>
      </c>
      <c r="C41" s="54">
        <v>0</v>
      </c>
      <c r="D41" s="54">
        <v>0</v>
      </c>
      <c r="E41" s="63"/>
      <c r="F41" s="64"/>
      <c r="G41" s="65">
        <v>0</v>
      </c>
      <c r="H41" s="54">
        <v>0</v>
      </c>
      <c r="I41" s="54">
        <v>0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66">
        <v>0</v>
      </c>
      <c r="T41" s="54">
        <v>0</v>
      </c>
      <c r="U41" s="54">
        <v>0</v>
      </c>
      <c r="V41" s="54">
        <v>0</v>
      </c>
      <c r="W41" s="54">
        <v>0</v>
      </c>
      <c r="X41" s="54">
        <v>0</v>
      </c>
      <c r="Y41" s="54">
        <v>0</v>
      </c>
      <c r="Z41" s="54">
        <v>0</v>
      </c>
      <c r="AA41" s="54">
        <v>0</v>
      </c>
      <c r="AB41" s="54">
        <v>0</v>
      </c>
      <c r="AC41" s="54">
        <v>0</v>
      </c>
      <c r="AD41" s="54">
        <v>0</v>
      </c>
      <c r="AE41" s="54">
        <v>0</v>
      </c>
      <c r="AF41" s="66">
        <v>0</v>
      </c>
      <c r="AG41" s="67">
        <v>0</v>
      </c>
      <c r="AH41" s="67">
        <v>0</v>
      </c>
      <c r="AI41" s="67">
        <v>0</v>
      </c>
      <c r="AJ41" s="67">
        <v>0</v>
      </c>
      <c r="AK41" s="67">
        <v>0</v>
      </c>
      <c r="AL41" s="67">
        <v>0</v>
      </c>
      <c r="AM41" s="67">
        <v>0</v>
      </c>
      <c r="AN41" s="67">
        <v>0</v>
      </c>
      <c r="AO41" s="67">
        <v>0</v>
      </c>
      <c r="AP41" s="67">
        <v>0</v>
      </c>
      <c r="AQ41" s="67">
        <v>0</v>
      </c>
      <c r="AR41" s="67">
        <v>0</v>
      </c>
      <c r="AS41" s="68">
        <v>0</v>
      </c>
      <c r="AT41" s="63"/>
      <c r="AU41" s="63"/>
    </row>
    <row r="42" spans="1:47" ht="12.75" hidden="1" customHeight="1" outlineLevel="1" x14ac:dyDescent="0.2">
      <c r="A42" s="61" t="s">
        <v>187</v>
      </c>
      <c r="B42" s="62">
        <v>0</v>
      </c>
      <c r="C42" s="54"/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66"/>
      <c r="AG42" s="67">
        <v>0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0</v>
      </c>
      <c r="AS42" s="68">
        <v>0</v>
      </c>
      <c r="AT42" s="63"/>
      <c r="AU42" s="63"/>
    </row>
    <row r="43" spans="1:47" ht="12.75" hidden="1" customHeight="1" outlineLevel="1" x14ac:dyDescent="0.2">
      <c r="A43" s="61" t="s">
        <v>188</v>
      </c>
      <c r="B43" s="62"/>
      <c r="C43" s="54"/>
      <c r="D43" s="54"/>
      <c r="E43" s="63"/>
      <c r="F43" s="64"/>
      <c r="G43" s="65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66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66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8"/>
      <c r="AT43" s="63"/>
      <c r="AU43" s="63"/>
    </row>
    <row r="44" spans="1:47" ht="12.75" hidden="1" customHeight="1" outlineLevel="1" x14ac:dyDescent="0.2">
      <c r="A44" s="61" t="s">
        <v>189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61" t="s">
        <v>190</v>
      </c>
      <c r="B45" s="62">
        <v>0</v>
      </c>
      <c r="C45" s="54">
        <v>0</v>
      </c>
      <c r="D45" s="54">
        <v>0</v>
      </c>
      <c r="E45" s="63"/>
      <c r="F45" s="64"/>
      <c r="G45" s="65">
        <v>0</v>
      </c>
      <c r="H45" s="54">
        <v>0</v>
      </c>
      <c r="I45" s="54">
        <v>0</v>
      </c>
      <c r="J45" s="54">
        <v>0</v>
      </c>
      <c r="K45" s="54">
        <v>0</v>
      </c>
      <c r="L45" s="54">
        <v>0</v>
      </c>
      <c r="M45" s="54">
        <v>0</v>
      </c>
      <c r="N45" s="54">
        <v>0</v>
      </c>
      <c r="O45" s="54">
        <v>0</v>
      </c>
      <c r="P45" s="54">
        <v>0</v>
      </c>
      <c r="Q45" s="54">
        <v>0</v>
      </c>
      <c r="R45" s="54">
        <v>0</v>
      </c>
      <c r="S45" s="66">
        <v>0</v>
      </c>
      <c r="T45" s="54">
        <v>0</v>
      </c>
      <c r="U45" s="54">
        <v>0</v>
      </c>
      <c r="V45" s="54">
        <v>0</v>
      </c>
      <c r="W45" s="54">
        <v>0</v>
      </c>
      <c r="X45" s="54">
        <v>0</v>
      </c>
      <c r="Y45" s="54">
        <v>0</v>
      </c>
      <c r="Z45" s="54">
        <v>0</v>
      </c>
      <c r="AA45" s="54">
        <v>0</v>
      </c>
      <c r="AB45" s="54">
        <v>0</v>
      </c>
      <c r="AC45" s="54">
        <v>0</v>
      </c>
      <c r="AD45" s="54">
        <v>0</v>
      </c>
      <c r="AE45" s="54">
        <v>0</v>
      </c>
      <c r="AF45" s="66">
        <v>0</v>
      </c>
      <c r="AG45" s="67">
        <v>0</v>
      </c>
      <c r="AH45" s="67">
        <v>0</v>
      </c>
      <c r="AI45" s="67">
        <v>0</v>
      </c>
      <c r="AJ45" s="67">
        <v>0</v>
      </c>
      <c r="AK45" s="67">
        <v>0</v>
      </c>
      <c r="AL45" s="67">
        <v>0</v>
      </c>
      <c r="AM45" s="67">
        <v>0</v>
      </c>
      <c r="AN45" s="67">
        <v>0</v>
      </c>
      <c r="AO45" s="67">
        <v>0</v>
      </c>
      <c r="AP45" s="67">
        <v>0</v>
      </c>
      <c r="AQ45" s="67">
        <v>0</v>
      </c>
      <c r="AR45" s="67">
        <v>0</v>
      </c>
      <c r="AS45" s="68">
        <v>0</v>
      </c>
      <c r="AT45" s="63"/>
      <c r="AU45" s="63"/>
    </row>
    <row r="46" spans="1:47" ht="12.75" hidden="1" customHeight="1" outlineLevel="1" x14ac:dyDescent="0.2">
      <c r="A46" s="61" t="s">
        <v>191</v>
      </c>
      <c r="B46" s="62"/>
      <c r="C46" s="54"/>
      <c r="D46" s="54"/>
      <c r="E46" s="63"/>
      <c r="F46" s="64"/>
      <c r="G46" s="65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66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66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8"/>
      <c r="AT46" s="63"/>
      <c r="AU46" s="63"/>
    </row>
    <row r="47" spans="1:47" ht="12.75" customHeight="1" collapsed="1" x14ac:dyDescent="0.2">
      <c r="A47" s="69" t="s">
        <v>192</v>
      </c>
      <c r="B47" s="70">
        <v>21.67</v>
      </c>
      <c r="C47" s="71">
        <v>0</v>
      </c>
      <c r="D47" s="71">
        <v>13</v>
      </c>
      <c r="E47" s="72"/>
      <c r="F47" s="73">
        <v>166.69230769230768</v>
      </c>
      <c r="G47" s="133">
        <v>-319.24</v>
      </c>
      <c r="H47" s="71">
        <v>21.67</v>
      </c>
      <c r="I47" s="71">
        <v>21.67</v>
      </c>
      <c r="J47" s="71">
        <v>21.67</v>
      </c>
      <c r="K47" s="71">
        <v>0</v>
      </c>
      <c r="L47" s="71">
        <v>0</v>
      </c>
      <c r="M47" s="71">
        <v>0</v>
      </c>
      <c r="N47" s="71">
        <v>0</v>
      </c>
      <c r="O47" s="71">
        <v>0</v>
      </c>
      <c r="P47" s="71">
        <v>0</v>
      </c>
      <c r="Q47" s="71">
        <v>0</v>
      </c>
      <c r="R47" s="71">
        <v>0</v>
      </c>
      <c r="S47" s="74">
        <v>-254.23</v>
      </c>
      <c r="T47" s="71">
        <v>0</v>
      </c>
      <c r="U47" s="71">
        <v>0</v>
      </c>
      <c r="V47" s="71">
        <v>0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71">
        <v>0</v>
      </c>
      <c r="AE47" s="71">
        <v>0</v>
      </c>
      <c r="AF47" s="71">
        <v>0</v>
      </c>
      <c r="AG47" s="75">
        <v>13</v>
      </c>
      <c r="AH47" s="75">
        <v>13</v>
      </c>
      <c r="AI47" s="75">
        <v>13</v>
      </c>
      <c r="AJ47" s="75">
        <v>13</v>
      </c>
      <c r="AK47" s="75">
        <v>13</v>
      </c>
      <c r="AL47" s="75">
        <v>13</v>
      </c>
      <c r="AM47" s="75">
        <v>13</v>
      </c>
      <c r="AN47" s="75">
        <v>13</v>
      </c>
      <c r="AO47" s="75">
        <v>21.67</v>
      </c>
      <c r="AP47" s="75">
        <v>21.67</v>
      </c>
      <c r="AQ47" s="75">
        <v>362.58</v>
      </c>
      <c r="AR47" s="75">
        <v>21.67</v>
      </c>
      <c r="AS47" s="75">
        <v>52</v>
      </c>
      <c r="AT47" s="72"/>
      <c r="AU47" s="72">
        <v>-488.90384615384613</v>
      </c>
    </row>
    <row r="48" spans="1:47" ht="12.75" hidden="1" customHeight="1" outlineLevel="1" x14ac:dyDescent="0.2">
      <c r="A48" s="61" t="s">
        <v>193</v>
      </c>
      <c r="B48" s="62"/>
      <c r="C48" s="54"/>
      <c r="D48" s="54"/>
      <c r="E48" s="63"/>
      <c r="F48" s="64"/>
      <c r="G48" s="65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66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66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8"/>
      <c r="AT48" s="63"/>
      <c r="AU48" s="63"/>
    </row>
    <row r="49" spans="1:47" ht="12.75" hidden="1" customHeight="1" outlineLevel="1" x14ac:dyDescent="0.2">
      <c r="A49" s="61" t="s">
        <v>194</v>
      </c>
      <c r="B49" s="62"/>
      <c r="C49" s="54"/>
      <c r="D49" s="54"/>
      <c r="E49" s="63"/>
      <c r="F49" s="64"/>
      <c r="G49" s="65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66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66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8"/>
      <c r="AT49" s="63"/>
      <c r="AU49" s="63"/>
    </row>
    <row r="50" spans="1:47" ht="12.75" hidden="1" customHeight="1" outlineLevel="1" x14ac:dyDescent="0.2">
      <c r="A50" s="61" t="s">
        <v>82</v>
      </c>
      <c r="B50" s="62"/>
      <c r="C50" s="54"/>
      <c r="D50" s="54"/>
      <c r="E50" s="63"/>
      <c r="F50" s="64"/>
      <c r="G50" s="65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66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66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8"/>
      <c r="AT50" s="63"/>
      <c r="AU50" s="63"/>
    </row>
    <row r="51" spans="1:47" ht="12.75" hidden="1" customHeight="1" outlineLevel="1" x14ac:dyDescent="0.2">
      <c r="A51" s="61" t="s">
        <v>83</v>
      </c>
      <c r="B51" s="62">
        <v>0</v>
      </c>
      <c r="C51" s="54"/>
      <c r="D51" s="54">
        <v>0</v>
      </c>
      <c r="E51" s="63"/>
      <c r="F51" s="64"/>
      <c r="G51" s="65">
        <v>0</v>
      </c>
      <c r="H51" s="54">
        <v>0</v>
      </c>
      <c r="I51" s="54">
        <v>0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66">
        <v>0</v>
      </c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66"/>
      <c r="AG51" s="67">
        <v>0</v>
      </c>
      <c r="AH51" s="67">
        <v>46.04</v>
      </c>
      <c r="AI51" s="67">
        <v>0</v>
      </c>
      <c r="AJ51" s="67">
        <v>0</v>
      </c>
      <c r="AK51" s="67">
        <v>0</v>
      </c>
      <c r="AL51" s="67">
        <v>0</v>
      </c>
      <c r="AM51" s="67">
        <v>0</v>
      </c>
      <c r="AN51" s="67">
        <v>0</v>
      </c>
      <c r="AO51" s="67">
        <v>0</v>
      </c>
      <c r="AP51" s="67">
        <v>0</v>
      </c>
      <c r="AQ51" s="67">
        <v>0</v>
      </c>
      <c r="AR51" s="67">
        <v>0</v>
      </c>
      <c r="AS51" s="68">
        <v>46.04</v>
      </c>
      <c r="AT51" s="63"/>
      <c r="AU51" s="63">
        <v>0</v>
      </c>
    </row>
    <row r="52" spans="1:47" ht="12.75" hidden="1" customHeight="1" outlineLevel="1" x14ac:dyDescent="0.2">
      <c r="A52" s="61" t="s">
        <v>84</v>
      </c>
      <c r="B52" s="62"/>
      <c r="C52" s="54">
        <v>0</v>
      </c>
      <c r="D52" s="54"/>
      <c r="E52" s="63"/>
      <c r="F52" s="64"/>
      <c r="G52" s="65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66"/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66">
        <v>0</v>
      </c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8"/>
      <c r="AT52" s="63"/>
      <c r="AU52" s="63"/>
    </row>
    <row r="53" spans="1:47" ht="12.75" hidden="1" customHeight="1" outlineLevel="1" x14ac:dyDescent="0.2">
      <c r="A53" s="61" t="s">
        <v>195</v>
      </c>
      <c r="B53" s="62"/>
      <c r="C53" s="54"/>
      <c r="D53" s="54"/>
      <c r="E53" s="63"/>
      <c r="F53" s="64"/>
      <c r="G53" s="65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66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66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8"/>
      <c r="AT53" s="63"/>
      <c r="AU53" s="63"/>
    </row>
    <row r="54" spans="1:47" ht="12.75" hidden="1" customHeight="1" outlineLevel="1" x14ac:dyDescent="0.2">
      <c r="A54" s="61" t="s">
        <v>86</v>
      </c>
      <c r="B54" s="62">
        <v>0</v>
      </c>
      <c r="C54" s="54">
        <v>0</v>
      </c>
      <c r="D54" s="54">
        <v>0</v>
      </c>
      <c r="E54" s="63"/>
      <c r="F54" s="64"/>
      <c r="G54" s="65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66">
        <v>0</v>
      </c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>
        <v>0</v>
      </c>
      <c r="AH54" s="67">
        <v>0</v>
      </c>
      <c r="AI54" s="67">
        <v>0</v>
      </c>
      <c r="AJ54" s="67">
        <v>0</v>
      </c>
      <c r="AK54" s="67">
        <v>0</v>
      </c>
      <c r="AL54" s="67">
        <v>0</v>
      </c>
      <c r="AM54" s="67">
        <v>0</v>
      </c>
      <c r="AN54" s="67">
        <v>0</v>
      </c>
      <c r="AO54" s="67">
        <v>0</v>
      </c>
      <c r="AP54" s="67">
        <v>43.64</v>
      </c>
      <c r="AQ54" s="67">
        <v>0</v>
      </c>
      <c r="AR54" s="67">
        <v>0</v>
      </c>
      <c r="AS54" s="68">
        <v>0</v>
      </c>
      <c r="AT54" s="63"/>
      <c r="AU54" s="63"/>
    </row>
    <row r="55" spans="1:47" ht="12.75" hidden="1" customHeight="1" outlineLevel="1" x14ac:dyDescent="0.2">
      <c r="A55" s="61" t="s">
        <v>110</v>
      </c>
      <c r="B55" s="62"/>
      <c r="C55" s="54"/>
      <c r="D55" s="54"/>
      <c r="E55" s="63"/>
      <c r="F55" s="64"/>
      <c r="G55" s="65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66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66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8"/>
      <c r="AT55" s="63"/>
      <c r="AU55" s="63"/>
    </row>
    <row r="56" spans="1:47" ht="12.75" hidden="1" customHeight="1" outlineLevel="1" x14ac:dyDescent="0.2">
      <c r="A56" s="61" t="s">
        <v>196</v>
      </c>
      <c r="B56" s="62">
        <v>0</v>
      </c>
      <c r="C56" s="54">
        <v>0</v>
      </c>
      <c r="D56" s="54">
        <v>0</v>
      </c>
      <c r="E56" s="63"/>
      <c r="F56" s="64"/>
      <c r="G56" s="65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66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66">
        <v>0</v>
      </c>
      <c r="AG56" s="67">
        <v>0</v>
      </c>
      <c r="AH56" s="67">
        <v>0</v>
      </c>
      <c r="AI56" s="67">
        <v>0</v>
      </c>
      <c r="AJ56" s="67">
        <v>0</v>
      </c>
      <c r="AK56" s="67">
        <v>0</v>
      </c>
      <c r="AL56" s="67">
        <v>0</v>
      </c>
      <c r="AM56" s="67">
        <v>0</v>
      </c>
      <c r="AN56" s="67">
        <v>0</v>
      </c>
      <c r="AO56" s="67">
        <v>0</v>
      </c>
      <c r="AP56" s="67">
        <v>0</v>
      </c>
      <c r="AQ56" s="67">
        <v>0</v>
      </c>
      <c r="AR56" s="67">
        <v>0</v>
      </c>
      <c r="AS56" s="68">
        <v>0</v>
      </c>
      <c r="AT56" s="63"/>
      <c r="AU56" s="63"/>
    </row>
    <row r="57" spans="1:47" ht="12.75" hidden="1" customHeight="1" outlineLevel="1" x14ac:dyDescent="0.2">
      <c r="A57" s="61" t="s">
        <v>197</v>
      </c>
      <c r="B57" s="62">
        <v>0</v>
      </c>
      <c r="C57" s="54">
        <v>0</v>
      </c>
      <c r="D57" s="54">
        <v>0</v>
      </c>
      <c r="E57" s="63"/>
      <c r="F57" s="64"/>
      <c r="G57" s="65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66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66">
        <v>0</v>
      </c>
      <c r="AG57" s="67">
        <v>0</v>
      </c>
      <c r="AH57" s="67">
        <v>0</v>
      </c>
      <c r="AI57" s="67">
        <v>0</v>
      </c>
      <c r="AJ57" s="67">
        <v>0</v>
      </c>
      <c r="AK57" s="67">
        <v>0</v>
      </c>
      <c r="AL57" s="67">
        <v>0</v>
      </c>
      <c r="AM57" s="67">
        <v>0</v>
      </c>
      <c r="AN57" s="67">
        <v>0</v>
      </c>
      <c r="AO57" s="67">
        <v>0</v>
      </c>
      <c r="AP57" s="67">
        <v>0</v>
      </c>
      <c r="AQ57" s="67">
        <v>0</v>
      </c>
      <c r="AR57" s="67">
        <v>0</v>
      </c>
      <c r="AS57" s="68">
        <v>0</v>
      </c>
      <c r="AT57" s="63"/>
      <c r="AU57" s="63"/>
    </row>
    <row r="58" spans="1:47" ht="12.75" hidden="1" customHeight="1" outlineLevel="1" x14ac:dyDescent="0.2">
      <c r="A58" s="61" t="s">
        <v>198</v>
      </c>
      <c r="B58" s="62">
        <v>296.31</v>
      </c>
      <c r="C58" s="54">
        <v>0</v>
      </c>
      <c r="D58" s="54">
        <v>0</v>
      </c>
      <c r="E58" s="63"/>
      <c r="F58" s="64"/>
      <c r="G58" s="65">
        <v>0</v>
      </c>
      <c r="H58" s="54">
        <v>437.53</v>
      </c>
      <c r="I58" s="54">
        <v>204.14</v>
      </c>
      <c r="J58" s="54">
        <v>296.31</v>
      </c>
      <c r="K58" s="56">
        <v>-158.18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937.98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0</v>
      </c>
      <c r="AI58" s="67">
        <v>0</v>
      </c>
      <c r="AJ58" s="67">
        <v>0</v>
      </c>
      <c r="AK58" s="67">
        <v>0</v>
      </c>
      <c r="AL58" s="67">
        <v>58.73</v>
      </c>
      <c r="AM58" s="67">
        <v>0</v>
      </c>
      <c r="AN58" s="67">
        <v>0</v>
      </c>
      <c r="AO58" s="67">
        <v>0</v>
      </c>
      <c r="AP58" s="67">
        <v>18.18</v>
      </c>
      <c r="AQ58" s="67">
        <v>355.56</v>
      </c>
      <c r="AR58" s="67">
        <v>0</v>
      </c>
      <c r="AS58" s="68">
        <v>0</v>
      </c>
      <c r="AT58" s="63"/>
      <c r="AU58" s="63"/>
    </row>
    <row r="59" spans="1:47" ht="12.75" hidden="1" customHeight="1" outlineLevel="1" x14ac:dyDescent="0.2">
      <c r="A59" s="61" t="s">
        <v>199</v>
      </c>
      <c r="B59" s="62"/>
      <c r="C59" s="54"/>
      <c r="D59" s="54"/>
      <c r="E59" s="63"/>
      <c r="F59" s="64"/>
      <c r="G59" s="65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66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66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8"/>
      <c r="AT59" s="63"/>
      <c r="AU59" s="63"/>
    </row>
    <row r="60" spans="1:47" ht="12.75" hidden="1" customHeight="1" outlineLevel="1" x14ac:dyDescent="0.2">
      <c r="A60" s="61" t="s">
        <v>200</v>
      </c>
      <c r="B60" s="62"/>
      <c r="C60" s="54"/>
      <c r="D60" s="54"/>
      <c r="E60" s="63"/>
      <c r="F60" s="64"/>
      <c r="G60" s="65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66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66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8"/>
      <c r="AT60" s="63"/>
      <c r="AU60" s="63"/>
    </row>
    <row r="61" spans="1:47" ht="12.75" customHeight="1" collapsed="1" x14ac:dyDescent="0.2">
      <c r="A61" s="69" t="s">
        <v>89</v>
      </c>
      <c r="B61" s="70">
        <v>296.31</v>
      </c>
      <c r="C61" s="71">
        <v>0</v>
      </c>
      <c r="D61" s="71">
        <v>0</v>
      </c>
      <c r="E61" s="72"/>
      <c r="F61" s="73"/>
      <c r="G61" s="70">
        <v>0</v>
      </c>
      <c r="H61" s="71">
        <v>437.53</v>
      </c>
      <c r="I61" s="71">
        <v>204.14</v>
      </c>
      <c r="J61" s="71">
        <v>296.31</v>
      </c>
      <c r="K61" s="74">
        <v>-158.18</v>
      </c>
      <c r="L61" s="71">
        <v>0</v>
      </c>
      <c r="M61" s="71">
        <v>0</v>
      </c>
      <c r="N61" s="71">
        <v>0</v>
      </c>
      <c r="O61" s="71">
        <v>0</v>
      </c>
      <c r="P61" s="71">
        <v>0</v>
      </c>
      <c r="Q61" s="71">
        <v>0</v>
      </c>
      <c r="R61" s="71">
        <v>0</v>
      </c>
      <c r="S61" s="71">
        <v>937.98</v>
      </c>
      <c r="T61" s="71">
        <v>0</v>
      </c>
      <c r="U61" s="71">
        <v>0</v>
      </c>
      <c r="V61" s="71">
        <v>0</v>
      </c>
      <c r="W61" s="71">
        <v>0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71">
        <v>0</v>
      </c>
      <c r="AE61" s="71">
        <v>0</v>
      </c>
      <c r="AF61" s="71">
        <v>0</v>
      </c>
      <c r="AG61" s="75">
        <v>0</v>
      </c>
      <c r="AH61" s="75">
        <v>46.04</v>
      </c>
      <c r="AI61" s="75">
        <v>0</v>
      </c>
      <c r="AJ61" s="75">
        <v>0</v>
      </c>
      <c r="AK61" s="75">
        <v>0</v>
      </c>
      <c r="AL61" s="75">
        <v>58.73</v>
      </c>
      <c r="AM61" s="75">
        <v>0</v>
      </c>
      <c r="AN61" s="75">
        <v>0</v>
      </c>
      <c r="AO61" s="75">
        <v>0</v>
      </c>
      <c r="AP61" s="75">
        <v>61.82</v>
      </c>
      <c r="AQ61" s="75">
        <v>355.56</v>
      </c>
      <c r="AR61" s="75">
        <v>0</v>
      </c>
      <c r="AS61" s="75">
        <v>46.04</v>
      </c>
      <c r="AT61" s="72"/>
      <c r="AU61" s="72">
        <v>2037.3153779322329</v>
      </c>
    </row>
    <row r="62" spans="1:47" ht="12.75" customHeight="1" x14ac:dyDescent="0.2">
      <c r="A62" s="77" t="s">
        <v>201</v>
      </c>
      <c r="B62" s="78">
        <v>14888.33</v>
      </c>
      <c r="C62" s="79">
        <v>0</v>
      </c>
      <c r="D62" s="79">
        <v>22501.54</v>
      </c>
      <c r="E62" s="80"/>
      <c r="F62" s="81">
        <v>66.165826872294076</v>
      </c>
      <c r="G62" s="78">
        <v>13163.18</v>
      </c>
      <c r="H62" s="79">
        <v>13545.68</v>
      </c>
      <c r="I62" s="79">
        <v>10303.75</v>
      </c>
      <c r="J62" s="79">
        <v>14888.33</v>
      </c>
      <c r="K62" s="82">
        <v>-672.86</v>
      </c>
      <c r="L62" s="79">
        <v>0</v>
      </c>
      <c r="M62" s="79">
        <v>0</v>
      </c>
      <c r="N62" s="79">
        <v>0</v>
      </c>
      <c r="O62" s="79">
        <v>0</v>
      </c>
      <c r="P62" s="79">
        <v>0</v>
      </c>
      <c r="Q62" s="79">
        <v>0</v>
      </c>
      <c r="R62" s="79">
        <v>0</v>
      </c>
      <c r="S62" s="79">
        <v>51900.94</v>
      </c>
      <c r="T62" s="79">
        <v>0</v>
      </c>
      <c r="U62" s="79">
        <v>0</v>
      </c>
      <c r="V62" s="79">
        <v>0</v>
      </c>
      <c r="W62" s="79">
        <v>0</v>
      </c>
      <c r="X62" s="79">
        <v>0</v>
      </c>
      <c r="Y62" s="79">
        <v>0</v>
      </c>
      <c r="Z62" s="79">
        <v>0</v>
      </c>
      <c r="AA62" s="79">
        <v>0</v>
      </c>
      <c r="AB62" s="79">
        <v>0</v>
      </c>
      <c r="AC62" s="79">
        <v>0</v>
      </c>
      <c r="AD62" s="79">
        <v>0</v>
      </c>
      <c r="AE62" s="79">
        <v>0</v>
      </c>
      <c r="AF62" s="79">
        <v>0</v>
      </c>
      <c r="AG62" s="83">
        <v>21515.13</v>
      </c>
      <c r="AH62" s="83">
        <v>18641.28</v>
      </c>
      <c r="AI62" s="83">
        <v>17691.41</v>
      </c>
      <c r="AJ62" s="83">
        <v>22501.54</v>
      </c>
      <c r="AK62" s="83">
        <v>19705.8</v>
      </c>
      <c r="AL62" s="83">
        <v>24738.35</v>
      </c>
      <c r="AM62" s="83">
        <v>22558.28</v>
      </c>
      <c r="AN62" s="83">
        <v>24071.41</v>
      </c>
      <c r="AO62" s="83">
        <v>22901.38</v>
      </c>
      <c r="AP62" s="83">
        <v>24516.85</v>
      </c>
      <c r="AQ62" s="83">
        <v>74353.42</v>
      </c>
      <c r="AR62" s="83">
        <v>16453.05</v>
      </c>
      <c r="AS62" s="83">
        <v>80349.36</v>
      </c>
      <c r="AT62" s="80"/>
      <c r="AU62" s="80">
        <v>64.594092597626172</v>
      </c>
    </row>
    <row r="66" spans="1:4" ht="15" x14ac:dyDescent="0.25">
      <c r="A66" s="16"/>
      <c r="B66" s="16"/>
      <c r="C66" s="16"/>
      <c r="D66" s="16"/>
    </row>
    <row r="67" spans="1:4" ht="15" x14ac:dyDescent="0.25">
      <c r="A67" s="16"/>
      <c r="B67" s="16"/>
      <c r="C67" s="16"/>
      <c r="D67" s="16"/>
    </row>
    <row r="68" spans="1:4" ht="15" x14ac:dyDescent="0.25">
      <c r="A68" s="16"/>
      <c r="B68" s="16"/>
      <c r="C68" s="16"/>
      <c r="D68" s="16"/>
    </row>
    <row r="69" spans="1:4" ht="15" x14ac:dyDescent="0.25">
      <c r="A69" s="16"/>
      <c r="B69" s="16"/>
      <c r="C69" s="16"/>
      <c r="D69" s="16"/>
    </row>
    <row r="70" spans="1:4" ht="15" x14ac:dyDescent="0.25">
      <c r="A70" s="16"/>
      <c r="B70" s="16"/>
      <c r="C70" s="16"/>
      <c r="D70" s="16"/>
    </row>
    <row r="71" spans="1:4" ht="15" x14ac:dyDescent="0.25">
      <c r="A71" s="16"/>
      <c r="B71" s="16"/>
      <c r="C71" s="16"/>
      <c r="D71" s="16"/>
    </row>
    <row r="72" spans="1:4" ht="15" x14ac:dyDescent="0.25">
      <c r="A72" s="16"/>
      <c r="B72" s="16"/>
      <c r="C72" s="16"/>
      <c r="D72" s="16"/>
    </row>
  </sheetData>
  <pageMargins left="0.75" right="0.75" top="1" bottom="1" header="0.5" footer="0.5"/>
  <pageSetup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CFF99"/>
  </sheetPr>
  <dimension ref="A1:AU71"/>
  <sheetViews>
    <sheetView workbookViewId="0">
      <pane xSplit="1" ySplit="7" topLeftCell="B8" activePane="bottomRight" state="frozen"/>
      <selection activeCell="A73" sqref="A73"/>
      <selection pane="topRight" activeCell="A73" sqref="A73"/>
      <selection pane="bottomLeft" activeCell="A73" sqref="A73"/>
      <selection pane="bottomRight" sqref="A1:AU62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9.42578125" collapsed="1"/>
    <col min="46" max="47" width="10.5703125" customWidth="1"/>
  </cols>
  <sheetData>
    <row r="1" spans="1:47" ht="42.7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s="1" customFormat="1" ht="12.75" hidden="1" customHeight="1" outlineLevel="1" x14ac:dyDescent="0.2">
      <c r="A2" s="61" t="s">
        <v>160</v>
      </c>
      <c r="B2" s="62">
        <v>5309.44</v>
      </c>
      <c r="C2" s="54">
        <v>0</v>
      </c>
      <c r="D2" s="54">
        <v>6040.53</v>
      </c>
      <c r="E2" s="63"/>
      <c r="F2" s="64">
        <v>87.896922952125067</v>
      </c>
      <c r="G2" s="65">
        <v>4800.3999999999996</v>
      </c>
      <c r="H2" s="54">
        <v>5867.91</v>
      </c>
      <c r="I2" s="54">
        <v>4243.29</v>
      </c>
      <c r="J2" s="54">
        <v>5309.44</v>
      </c>
      <c r="K2" s="54">
        <v>0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20221.04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4572.87</v>
      </c>
      <c r="AH2" s="67">
        <v>4790.57</v>
      </c>
      <c r="AI2" s="67">
        <v>426.42</v>
      </c>
      <c r="AJ2" s="67">
        <v>6040.53</v>
      </c>
      <c r="AK2" s="67">
        <v>4019.12</v>
      </c>
      <c r="AL2" s="67">
        <v>5126.2299999999996</v>
      </c>
      <c r="AM2" s="67">
        <v>4395.46</v>
      </c>
      <c r="AN2" s="98">
        <v>-511.72</v>
      </c>
      <c r="AO2" s="67">
        <v>4026.42</v>
      </c>
      <c r="AP2" s="67">
        <v>4680.4799999999996</v>
      </c>
      <c r="AQ2" s="67">
        <v>5126.24</v>
      </c>
      <c r="AR2" s="67">
        <v>4903.3500000000004</v>
      </c>
      <c r="AS2" s="68">
        <v>15830.39</v>
      </c>
      <c r="AT2" s="63"/>
      <c r="AU2" s="63">
        <v>127.73557695040994</v>
      </c>
    </row>
    <row r="3" spans="1:47" ht="12.75" hidden="1" customHeight="1" outlineLevel="1" x14ac:dyDescent="0.2">
      <c r="A3" s="61" t="s">
        <v>161</v>
      </c>
      <c r="B3" s="62">
        <v>343.83</v>
      </c>
      <c r="C3" s="54">
        <v>0</v>
      </c>
      <c r="D3" s="54">
        <v>317.5</v>
      </c>
      <c r="E3" s="63"/>
      <c r="F3" s="64">
        <v>108.29291338582676</v>
      </c>
      <c r="G3" s="65">
        <v>330.81</v>
      </c>
      <c r="H3" s="54">
        <v>31.26</v>
      </c>
      <c r="I3" s="54">
        <v>703.36</v>
      </c>
      <c r="J3" s="54">
        <v>343.83</v>
      </c>
      <c r="K3" s="56">
        <v>-156.29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1409.26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277.44</v>
      </c>
      <c r="AH3" s="67">
        <v>291.77</v>
      </c>
      <c r="AI3" s="67">
        <v>183.9</v>
      </c>
      <c r="AJ3" s="67">
        <v>317.5</v>
      </c>
      <c r="AK3" s="67">
        <v>269.27999999999997</v>
      </c>
      <c r="AL3" s="67">
        <v>301.10000000000002</v>
      </c>
      <c r="AM3" s="67">
        <v>283.98</v>
      </c>
      <c r="AN3" s="67">
        <v>298.64</v>
      </c>
      <c r="AO3" s="67">
        <v>29.38</v>
      </c>
      <c r="AP3" s="67">
        <v>375.47</v>
      </c>
      <c r="AQ3" s="67">
        <v>392.23</v>
      </c>
      <c r="AR3" s="67">
        <v>389.76</v>
      </c>
      <c r="AS3" s="68">
        <v>1070.6099999999999</v>
      </c>
      <c r="AT3" s="63"/>
      <c r="AU3" s="63">
        <v>131.63149979917992</v>
      </c>
    </row>
    <row r="4" spans="1:47" ht="12.75" hidden="1" customHeight="1" outlineLevel="1" x14ac:dyDescent="0.2">
      <c r="A4" s="61" t="s">
        <v>162</v>
      </c>
      <c r="B4" s="62">
        <v>1205.0999999999999</v>
      </c>
      <c r="C4" s="54">
        <v>0</v>
      </c>
      <c r="D4" s="56">
        <v>-338.72</v>
      </c>
      <c r="E4" s="63"/>
      <c r="F4" s="64">
        <v>-355.78058573453001</v>
      </c>
      <c r="G4" s="65">
        <v>2404.6799999999998</v>
      </c>
      <c r="H4" s="54">
        <v>352.14</v>
      </c>
      <c r="I4" s="56">
        <v>-111.28</v>
      </c>
      <c r="J4" s="54">
        <v>1205.0999999999999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3850.64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218.63</v>
      </c>
      <c r="AH4" s="67">
        <v>1393.14</v>
      </c>
      <c r="AI4" s="67">
        <v>2124.5700000000002</v>
      </c>
      <c r="AJ4" s="98">
        <v>-338.72</v>
      </c>
      <c r="AK4" s="67">
        <v>601.12</v>
      </c>
      <c r="AL4" s="67">
        <v>765.93</v>
      </c>
      <c r="AM4" s="67">
        <v>1033.68</v>
      </c>
      <c r="AN4" s="67">
        <v>5870.14</v>
      </c>
      <c r="AO4" s="67">
        <v>1403.98</v>
      </c>
      <c r="AP4" s="67">
        <v>473.55</v>
      </c>
      <c r="AQ4" s="67">
        <v>444.89</v>
      </c>
      <c r="AR4" s="67">
        <v>523</v>
      </c>
      <c r="AS4" s="68">
        <v>3397.62</v>
      </c>
      <c r="AT4" s="63"/>
      <c r="AU4" s="63">
        <v>113.33345106280278</v>
      </c>
    </row>
    <row r="5" spans="1:47" ht="12.75" hidden="1" customHeight="1" outlineLevel="1" x14ac:dyDescent="0.2">
      <c r="A5" s="61" t="s">
        <v>163</v>
      </c>
      <c r="B5" s="62"/>
      <c r="C5" s="54">
        <v>0</v>
      </c>
      <c r="D5" s="54"/>
      <c r="E5" s="63"/>
      <c r="F5" s="64"/>
      <c r="G5" s="65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66"/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8"/>
      <c r="AT5" s="63"/>
      <c r="AU5" s="63"/>
    </row>
    <row r="6" spans="1:47" ht="12.75" hidden="1" customHeight="1" outlineLevel="1" x14ac:dyDescent="0.2">
      <c r="A6" s="61" t="s">
        <v>164</v>
      </c>
      <c r="B6" s="62">
        <v>25.96</v>
      </c>
      <c r="C6" s="54">
        <v>0</v>
      </c>
      <c r="D6" s="54">
        <v>0</v>
      </c>
      <c r="E6" s="63"/>
      <c r="F6" s="64"/>
      <c r="G6" s="65">
        <v>0</v>
      </c>
      <c r="H6" s="54">
        <v>25.96</v>
      </c>
      <c r="I6" s="54">
        <v>100.73</v>
      </c>
      <c r="J6" s="54">
        <v>25.96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152.65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0</v>
      </c>
      <c r="AH6" s="67">
        <v>0</v>
      </c>
      <c r="AI6" s="67">
        <v>0</v>
      </c>
      <c r="AJ6" s="67">
        <v>0</v>
      </c>
      <c r="AK6" s="67">
        <v>0</v>
      </c>
      <c r="AL6" s="67">
        <v>35.86</v>
      </c>
      <c r="AM6" s="67">
        <v>35.86</v>
      </c>
      <c r="AN6" s="67">
        <v>35.86</v>
      </c>
      <c r="AO6" s="67">
        <v>35.86</v>
      </c>
      <c r="AP6" s="67">
        <v>35.86</v>
      </c>
      <c r="AQ6" s="67">
        <v>35.86</v>
      </c>
      <c r="AR6" s="67">
        <v>35.86</v>
      </c>
      <c r="AS6" s="68">
        <v>0</v>
      </c>
      <c r="AT6" s="63"/>
      <c r="AU6" s="63"/>
    </row>
    <row r="7" spans="1:47" hidden="1" outlineLevel="1" x14ac:dyDescent="0.2">
      <c r="A7" s="61" t="s">
        <v>165</v>
      </c>
      <c r="B7" s="62">
        <v>586.39</v>
      </c>
      <c r="C7" s="54">
        <v>0</v>
      </c>
      <c r="D7" s="54">
        <v>510.75</v>
      </c>
      <c r="E7" s="63"/>
      <c r="F7" s="64">
        <v>114.80959373470387</v>
      </c>
      <c r="G7" s="65">
        <v>570.64</v>
      </c>
      <c r="H7" s="54">
        <v>586.38</v>
      </c>
      <c r="I7" s="54">
        <v>586.39</v>
      </c>
      <c r="J7" s="54">
        <v>586.39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2329.8000000000002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449.63</v>
      </c>
      <c r="AH7" s="67">
        <v>471.05</v>
      </c>
      <c r="AI7" s="67">
        <v>226.94</v>
      </c>
      <c r="AJ7" s="67">
        <v>510.75</v>
      </c>
      <c r="AK7" s="67">
        <v>438.46</v>
      </c>
      <c r="AL7" s="67">
        <v>504.23</v>
      </c>
      <c r="AM7" s="67">
        <v>460.38</v>
      </c>
      <c r="AN7" s="67">
        <v>482.31</v>
      </c>
      <c r="AO7" s="67">
        <v>482.3</v>
      </c>
      <c r="AP7" s="67">
        <v>491.1</v>
      </c>
      <c r="AQ7" s="67">
        <v>529.46</v>
      </c>
      <c r="AR7" s="67">
        <v>506.43</v>
      </c>
      <c r="AS7" s="68">
        <v>1658.37</v>
      </c>
      <c r="AT7" s="63"/>
      <c r="AU7" s="63">
        <v>140.48734600842997</v>
      </c>
    </row>
    <row r="8" spans="1:47" ht="12.75" customHeight="1" collapsed="1" x14ac:dyDescent="0.2">
      <c r="A8" s="69" t="s">
        <v>166</v>
      </c>
      <c r="B8" s="70">
        <v>7470.72</v>
      </c>
      <c r="C8" s="71">
        <v>0</v>
      </c>
      <c r="D8" s="71">
        <v>6530.06</v>
      </c>
      <c r="E8" s="72"/>
      <c r="F8" s="73">
        <v>114.40507437910219</v>
      </c>
      <c r="G8" s="70">
        <v>8106.53</v>
      </c>
      <c r="H8" s="71">
        <v>6863.65</v>
      </c>
      <c r="I8" s="71">
        <v>5522.49</v>
      </c>
      <c r="J8" s="71">
        <v>7470.72</v>
      </c>
      <c r="K8" s="74">
        <v>-156.29</v>
      </c>
      <c r="L8" s="71">
        <v>0</v>
      </c>
      <c r="M8" s="71">
        <v>0</v>
      </c>
      <c r="N8" s="71">
        <v>0</v>
      </c>
      <c r="O8" s="71">
        <v>0</v>
      </c>
      <c r="P8" s="71">
        <v>0</v>
      </c>
      <c r="Q8" s="71">
        <v>0</v>
      </c>
      <c r="R8" s="71">
        <v>0</v>
      </c>
      <c r="S8" s="71">
        <v>27963.39</v>
      </c>
      <c r="T8" s="71">
        <v>0</v>
      </c>
      <c r="U8" s="71">
        <v>0</v>
      </c>
      <c r="V8" s="71">
        <v>0</v>
      </c>
      <c r="W8" s="71">
        <v>0</v>
      </c>
      <c r="X8" s="71">
        <v>0</v>
      </c>
      <c r="Y8" s="71">
        <v>0</v>
      </c>
      <c r="Z8" s="71">
        <v>0</v>
      </c>
      <c r="AA8" s="71">
        <v>0</v>
      </c>
      <c r="AB8" s="71">
        <v>0</v>
      </c>
      <c r="AC8" s="71">
        <v>0</v>
      </c>
      <c r="AD8" s="71">
        <v>0</v>
      </c>
      <c r="AE8" s="71">
        <v>0</v>
      </c>
      <c r="AF8" s="71">
        <v>0</v>
      </c>
      <c r="AG8" s="75">
        <v>5518.57</v>
      </c>
      <c r="AH8" s="75">
        <v>6946.53</v>
      </c>
      <c r="AI8" s="75">
        <v>2961.83</v>
      </c>
      <c r="AJ8" s="75">
        <v>6530.06</v>
      </c>
      <c r="AK8" s="75">
        <v>5327.98</v>
      </c>
      <c r="AL8" s="75">
        <v>6733.35</v>
      </c>
      <c r="AM8" s="75">
        <v>6209.36</v>
      </c>
      <c r="AN8" s="75">
        <v>6175.23</v>
      </c>
      <c r="AO8" s="75">
        <v>5977.94</v>
      </c>
      <c r="AP8" s="75">
        <v>6056.46</v>
      </c>
      <c r="AQ8" s="75">
        <v>6528.68</v>
      </c>
      <c r="AR8" s="75">
        <v>6358.4</v>
      </c>
      <c r="AS8" s="75">
        <v>21956.99</v>
      </c>
      <c r="AT8" s="72"/>
      <c r="AU8" s="72">
        <v>127.35529778899567</v>
      </c>
    </row>
    <row r="9" spans="1:47" ht="12.75" customHeight="1" x14ac:dyDescent="0.2">
      <c r="A9" s="61" t="s">
        <v>167</v>
      </c>
      <c r="B9" s="62"/>
      <c r="C9" s="54"/>
      <c r="D9" s="54"/>
      <c r="E9" s="63"/>
      <c r="F9" s="64"/>
      <c r="G9" s="65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66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66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8"/>
      <c r="AT9" s="63"/>
      <c r="AU9" s="63"/>
    </row>
    <row r="10" spans="1:47" ht="12.75" customHeight="1" x14ac:dyDescent="0.2">
      <c r="A10" s="61" t="s">
        <v>168</v>
      </c>
      <c r="B10" s="62"/>
      <c r="C10" s="54"/>
      <c r="D10" s="54"/>
      <c r="E10" s="63"/>
      <c r="F10" s="64"/>
      <c r="G10" s="65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66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8"/>
      <c r="AT10" s="63"/>
      <c r="AU10" s="63"/>
    </row>
    <row r="11" spans="1:47" ht="12.75" customHeight="1" x14ac:dyDescent="0.2">
      <c r="A11" s="61" t="s">
        <v>169</v>
      </c>
      <c r="B11" s="62"/>
      <c r="C11" s="54"/>
      <c r="D11" s="54"/>
      <c r="E11" s="63"/>
      <c r="F11" s="64"/>
      <c r="G11" s="65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66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66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8"/>
      <c r="AT11" s="63"/>
      <c r="AU11" s="63"/>
    </row>
    <row r="12" spans="1:47" ht="12.75" customHeight="1" x14ac:dyDescent="0.2">
      <c r="A12" s="61" t="s">
        <v>50</v>
      </c>
      <c r="B12" s="62"/>
      <c r="C12" s="54"/>
      <c r="D12" s="54"/>
      <c r="E12" s="63"/>
      <c r="F12" s="64"/>
      <c r="G12" s="65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66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6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8"/>
      <c r="AT12" s="63"/>
      <c r="AU12" s="63"/>
    </row>
    <row r="13" spans="1:47" ht="12.75" customHeight="1" x14ac:dyDescent="0.2">
      <c r="A13" s="61" t="s">
        <v>170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47" ht="12.75" customHeight="1" x14ac:dyDescent="0.2">
      <c r="A14" s="61" t="s">
        <v>171</v>
      </c>
      <c r="B14" s="62"/>
      <c r="C14" s="54"/>
      <c r="D14" s="54"/>
      <c r="E14" s="63"/>
      <c r="F14" s="64"/>
      <c r="G14" s="65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66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66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8"/>
      <c r="AT14" s="63"/>
      <c r="AU14" s="63"/>
    </row>
    <row r="15" spans="1:47" ht="12.75" customHeight="1" x14ac:dyDescent="0.2">
      <c r="A15" s="61" t="s">
        <v>172</v>
      </c>
      <c r="B15" s="62"/>
      <c r="C15" s="54"/>
      <c r="D15" s="54"/>
      <c r="E15" s="63"/>
      <c r="F15" s="64"/>
      <c r="G15" s="65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66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66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8"/>
      <c r="AT15" s="63"/>
      <c r="AU15" s="63"/>
    </row>
    <row r="16" spans="1:47" ht="12.75" customHeight="1" x14ac:dyDescent="0.2">
      <c r="A16" s="61" t="s">
        <v>173</v>
      </c>
      <c r="B16" s="62">
        <v>0</v>
      </c>
      <c r="C16" s="54">
        <v>0</v>
      </c>
      <c r="D16" s="54">
        <v>0</v>
      </c>
      <c r="E16" s="63"/>
      <c r="F16" s="64"/>
      <c r="G16" s="65">
        <v>0</v>
      </c>
      <c r="H16" s="54">
        <v>0</v>
      </c>
      <c r="I16" s="54">
        <v>0</v>
      </c>
      <c r="J16" s="54">
        <v>0</v>
      </c>
      <c r="K16" s="54"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66">
        <v>0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>
        <v>31.56</v>
      </c>
      <c r="AH16" s="67">
        <v>0</v>
      </c>
      <c r="AI16" s="67">
        <v>0</v>
      </c>
      <c r="AJ16" s="67">
        <v>0</v>
      </c>
      <c r="AK16" s="67">
        <v>0</v>
      </c>
      <c r="AL16" s="67">
        <v>0</v>
      </c>
      <c r="AM16" s="67">
        <v>0</v>
      </c>
      <c r="AN16" s="67">
        <v>0</v>
      </c>
      <c r="AO16" s="67">
        <v>0</v>
      </c>
      <c r="AP16" s="67">
        <v>0</v>
      </c>
      <c r="AQ16" s="67">
        <v>0</v>
      </c>
      <c r="AR16" s="67">
        <v>0</v>
      </c>
      <c r="AS16" s="68">
        <v>31.56</v>
      </c>
      <c r="AT16" s="63"/>
      <c r="AU16" s="63">
        <v>0</v>
      </c>
    </row>
    <row r="17" spans="1:47" ht="12.75" customHeight="1" x14ac:dyDescent="0.2">
      <c r="A17" s="61" t="s">
        <v>257</v>
      </c>
      <c r="B17" s="62">
        <v>422.1</v>
      </c>
      <c r="C17" s="54">
        <v>0</v>
      </c>
      <c r="D17" s="54">
        <v>395.85</v>
      </c>
      <c r="E17" s="63"/>
      <c r="F17" s="64">
        <v>106.63129973474801</v>
      </c>
      <c r="G17" s="65">
        <v>428.25</v>
      </c>
      <c r="H17" s="54">
        <v>428.25</v>
      </c>
      <c r="I17" s="54">
        <v>428</v>
      </c>
      <c r="J17" s="54">
        <v>422.1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1706.6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269.26</v>
      </c>
      <c r="AH17" s="67">
        <v>269.26</v>
      </c>
      <c r="AI17" s="67">
        <v>528.55999999999995</v>
      </c>
      <c r="AJ17" s="67">
        <v>395.85</v>
      </c>
      <c r="AK17" s="67">
        <v>411.94</v>
      </c>
      <c r="AL17" s="67">
        <v>411.41</v>
      </c>
      <c r="AM17" s="67">
        <v>411.41</v>
      </c>
      <c r="AN17" s="67">
        <v>410.54</v>
      </c>
      <c r="AO17" s="67">
        <v>411.1</v>
      </c>
      <c r="AP17" s="67">
        <v>421.4</v>
      </c>
      <c r="AQ17" s="67">
        <v>416.24</v>
      </c>
      <c r="AR17" s="67">
        <v>439.47</v>
      </c>
      <c r="AS17" s="68">
        <v>1462.93</v>
      </c>
      <c r="AT17" s="63"/>
      <c r="AU17" s="63">
        <v>116.65629934446625</v>
      </c>
    </row>
    <row r="18" spans="1:47" ht="12.75" hidden="1" customHeight="1" outlineLevel="1" x14ac:dyDescent="0.2">
      <c r="A18" s="61" t="s">
        <v>109</v>
      </c>
      <c r="B18" s="62"/>
      <c r="C18" s="54"/>
      <c r="D18" s="54"/>
      <c r="E18" s="63"/>
      <c r="F18" s="64"/>
      <c r="G18" s="65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66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66"/>
      <c r="AG18" s="67"/>
      <c r="AH18" s="67"/>
      <c r="AI18" s="67"/>
      <c r="AJ18" s="67"/>
      <c r="AK18" s="67"/>
      <c r="AL18" s="67"/>
      <c r="AM18" s="67"/>
      <c r="AN18" s="67"/>
      <c r="AO18" s="67"/>
      <c r="AP18" s="67"/>
      <c r="AQ18" s="67"/>
      <c r="AR18" s="67"/>
      <c r="AS18" s="68"/>
      <c r="AT18" s="63"/>
      <c r="AU18" s="63"/>
    </row>
    <row r="19" spans="1:47" ht="12.75" hidden="1" customHeight="1" outlineLevel="1" x14ac:dyDescent="0.2">
      <c r="A19" s="61" t="s">
        <v>97</v>
      </c>
      <c r="B19" s="62">
        <v>17</v>
      </c>
      <c r="C19" s="54"/>
      <c r="D19" s="54">
        <v>17</v>
      </c>
      <c r="E19" s="63"/>
      <c r="F19" s="64">
        <v>100</v>
      </c>
      <c r="G19" s="65">
        <v>17</v>
      </c>
      <c r="H19" s="54">
        <v>17</v>
      </c>
      <c r="I19" s="54">
        <v>17</v>
      </c>
      <c r="J19" s="54">
        <v>17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68</v>
      </c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66"/>
      <c r="AG19" s="67">
        <v>0</v>
      </c>
      <c r="AH19" s="67">
        <v>0</v>
      </c>
      <c r="AI19" s="67">
        <v>24.3</v>
      </c>
      <c r="AJ19" s="67">
        <v>17</v>
      </c>
      <c r="AK19" s="67">
        <v>5.91</v>
      </c>
      <c r="AL19" s="67">
        <v>17</v>
      </c>
      <c r="AM19" s="67">
        <v>17</v>
      </c>
      <c r="AN19" s="67">
        <v>17</v>
      </c>
      <c r="AO19" s="67">
        <v>17</v>
      </c>
      <c r="AP19" s="67">
        <v>17</v>
      </c>
      <c r="AQ19" s="67">
        <v>17</v>
      </c>
      <c r="AR19" s="67">
        <v>17</v>
      </c>
      <c r="AS19" s="68">
        <v>41.3</v>
      </c>
      <c r="AT19" s="63"/>
      <c r="AU19" s="63">
        <v>164.64891041162227</v>
      </c>
    </row>
    <row r="20" spans="1:47" ht="12.75" hidden="1" customHeight="1" outlineLevel="1" x14ac:dyDescent="0.2">
      <c r="A20" s="61" t="s">
        <v>69</v>
      </c>
      <c r="B20" s="62"/>
      <c r="C20" s="54"/>
      <c r="D20" s="54"/>
      <c r="E20" s="63"/>
      <c r="F20" s="64"/>
      <c r="G20" s="65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66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66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8"/>
      <c r="AT20" s="63"/>
      <c r="AU20" s="63"/>
    </row>
    <row r="21" spans="1:47" ht="12.75" customHeight="1" collapsed="1" x14ac:dyDescent="0.2">
      <c r="A21" s="69" t="s">
        <v>70</v>
      </c>
      <c r="B21" s="70">
        <v>17</v>
      </c>
      <c r="C21" s="71"/>
      <c r="D21" s="71">
        <v>17</v>
      </c>
      <c r="E21" s="72"/>
      <c r="F21" s="73">
        <v>100</v>
      </c>
      <c r="G21" s="70">
        <v>17</v>
      </c>
      <c r="H21" s="71">
        <v>17</v>
      </c>
      <c r="I21" s="71">
        <v>17</v>
      </c>
      <c r="J21" s="71">
        <v>17</v>
      </c>
      <c r="K21" s="71">
        <v>0</v>
      </c>
      <c r="L21" s="71">
        <v>0</v>
      </c>
      <c r="M21" s="71">
        <v>0</v>
      </c>
      <c r="N21" s="71">
        <v>0</v>
      </c>
      <c r="O21" s="71">
        <v>0</v>
      </c>
      <c r="P21" s="71">
        <v>0</v>
      </c>
      <c r="Q21" s="71">
        <v>0</v>
      </c>
      <c r="R21" s="71">
        <v>0</v>
      </c>
      <c r="S21" s="71">
        <v>68</v>
      </c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5">
        <v>0</v>
      </c>
      <c r="AH21" s="75">
        <v>0</v>
      </c>
      <c r="AI21" s="75">
        <v>24.3</v>
      </c>
      <c r="AJ21" s="75">
        <v>17</v>
      </c>
      <c r="AK21" s="75">
        <v>5.91</v>
      </c>
      <c r="AL21" s="75">
        <v>17</v>
      </c>
      <c r="AM21" s="75">
        <v>17</v>
      </c>
      <c r="AN21" s="75">
        <v>17</v>
      </c>
      <c r="AO21" s="75">
        <v>17</v>
      </c>
      <c r="AP21" s="75">
        <v>17</v>
      </c>
      <c r="AQ21" s="75">
        <v>17</v>
      </c>
      <c r="AR21" s="75">
        <v>17</v>
      </c>
      <c r="AS21" s="75">
        <v>41.3</v>
      </c>
      <c r="AT21" s="72"/>
      <c r="AU21" s="72">
        <v>164.64891041162227</v>
      </c>
    </row>
    <row r="22" spans="1:47" ht="12.75" hidden="1" customHeight="1" outlineLevel="1" x14ac:dyDescent="0.2">
      <c r="A22" s="61" t="s">
        <v>174</v>
      </c>
      <c r="B22" s="62"/>
      <c r="C22" s="54">
        <v>0</v>
      </c>
      <c r="D22" s="54"/>
      <c r="E22" s="63"/>
      <c r="F22" s="64"/>
      <c r="G22" s="65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66"/>
      <c r="T22" s="54">
        <v>0</v>
      </c>
      <c r="U22" s="54">
        <v>0</v>
      </c>
      <c r="V22" s="54">
        <v>0</v>
      </c>
      <c r="W22" s="54">
        <v>0</v>
      </c>
      <c r="X22" s="54">
        <v>0</v>
      </c>
      <c r="Y22" s="54">
        <v>0</v>
      </c>
      <c r="Z22" s="54">
        <v>0</v>
      </c>
      <c r="AA22" s="54">
        <v>0</v>
      </c>
      <c r="AB22" s="54">
        <v>0</v>
      </c>
      <c r="AC22" s="54">
        <v>0</v>
      </c>
      <c r="AD22" s="54">
        <v>0</v>
      </c>
      <c r="AE22" s="54">
        <v>0</v>
      </c>
      <c r="AF22" s="66">
        <v>0</v>
      </c>
      <c r="AG22" s="67"/>
      <c r="AH22" s="67"/>
      <c r="AI22" s="67"/>
      <c r="AJ22" s="67"/>
      <c r="AK22" s="67"/>
      <c r="AL22" s="67"/>
      <c r="AM22" s="67"/>
      <c r="AN22" s="67"/>
      <c r="AO22" s="67"/>
      <c r="AP22" s="67"/>
      <c r="AQ22" s="67"/>
      <c r="AR22" s="67"/>
      <c r="AS22" s="68"/>
      <c r="AT22" s="63"/>
      <c r="AU22" s="63"/>
    </row>
    <row r="23" spans="1:47" ht="12.75" hidden="1" customHeight="1" outlineLevel="1" x14ac:dyDescent="0.2">
      <c r="A23" s="61" t="s">
        <v>99</v>
      </c>
      <c r="B23" s="62">
        <v>183.98</v>
      </c>
      <c r="C23" s="54">
        <v>0</v>
      </c>
      <c r="D23" s="54">
        <v>167.9</v>
      </c>
      <c r="E23" s="63"/>
      <c r="F23" s="64">
        <v>109.57712924359738</v>
      </c>
      <c r="G23" s="65">
        <v>245.27</v>
      </c>
      <c r="H23" s="54">
        <v>148.63</v>
      </c>
      <c r="I23" s="54">
        <v>260.48</v>
      </c>
      <c r="J23" s="54">
        <v>183.98</v>
      </c>
      <c r="K23" s="56">
        <v>-148.63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838.36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129.13999999999999</v>
      </c>
      <c r="AH23" s="67">
        <v>122.62</v>
      </c>
      <c r="AI23" s="98">
        <v>-75.87</v>
      </c>
      <c r="AJ23" s="67">
        <v>167.9</v>
      </c>
      <c r="AK23" s="67">
        <v>162.68</v>
      </c>
      <c r="AL23" s="67">
        <v>155.58000000000001</v>
      </c>
      <c r="AM23" s="67">
        <v>0.01</v>
      </c>
      <c r="AN23" s="67">
        <v>285.8</v>
      </c>
      <c r="AO23" s="67">
        <v>124.13</v>
      </c>
      <c r="AP23" s="67">
        <v>115.05</v>
      </c>
      <c r="AQ23" s="67">
        <v>126.4</v>
      </c>
      <c r="AR23" s="67">
        <v>0</v>
      </c>
      <c r="AS23" s="68">
        <v>343.79</v>
      </c>
      <c r="AT23" s="63"/>
      <c r="AU23" s="63">
        <v>243.85816923121672</v>
      </c>
    </row>
    <row r="24" spans="1:47" ht="12.75" hidden="1" customHeight="1" outlineLevel="1" x14ac:dyDescent="0.2">
      <c r="A24" s="61" t="s">
        <v>175</v>
      </c>
      <c r="B24" s="62">
        <v>0</v>
      </c>
      <c r="C24" s="54">
        <v>0</v>
      </c>
      <c r="D24" s="54">
        <v>0</v>
      </c>
      <c r="E24" s="63"/>
      <c r="F24" s="64"/>
      <c r="G24" s="65">
        <v>0</v>
      </c>
      <c r="H24" s="54">
        <v>0</v>
      </c>
      <c r="I24" s="54">
        <v>2.4300000000000002</v>
      </c>
      <c r="J24" s="54">
        <v>0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2.4300000000000002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0</v>
      </c>
      <c r="AH24" s="67">
        <v>0</v>
      </c>
      <c r="AI24" s="67">
        <v>2.46</v>
      </c>
      <c r="AJ24" s="67">
        <v>0</v>
      </c>
      <c r="AK24" s="67">
        <v>0</v>
      </c>
      <c r="AL24" s="67">
        <v>0</v>
      </c>
      <c r="AM24" s="67">
        <v>2.58</v>
      </c>
      <c r="AN24" s="67">
        <v>0</v>
      </c>
      <c r="AO24" s="67">
        <v>0</v>
      </c>
      <c r="AP24" s="67">
        <v>0</v>
      </c>
      <c r="AQ24" s="67">
        <v>2.74</v>
      </c>
      <c r="AR24" s="67">
        <v>3</v>
      </c>
      <c r="AS24" s="68">
        <v>2.46</v>
      </c>
      <c r="AT24" s="63"/>
      <c r="AU24" s="63">
        <v>98.780487804878049</v>
      </c>
    </row>
    <row r="25" spans="1:47" ht="12.75" hidden="1" customHeight="1" outlineLevel="1" x14ac:dyDescent="0.2">
      <c r="A25" s="61" t="s">
        <v>100</v>
      </c>
      <c r="B25" s="62"/>
      <c r="C25" s="54">
        <v>0</v>
      </c>
      <c r="D25" s="54"/>
      <c r="E25" s="63"/>
      <c r="F25" s="64"/>
      <c r="G25" s="65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66"/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8"/>
      <c r="AT25" s="63"/>
      <c r="AU25" s="63"/>
    </row>
    <row r="26" spans="1:47" ht="12.75" hidden="1" customHeight="1" outlineLevel="1" x14ac:dyDescent="0.2">
      <c r="A26" s="61" t="s">
        <v>101</v>
      </c>
      <c r="B26" s="62"/>
      <c r="C26" s="54">
        <v>0</v>
      </c>
      <c r="D26" s="54"/>
      <c r="E26" s="63"/>
      <c r="F26" s="64"/>
      <c r="G26" s="65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66"/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8"/>
      <c r="AT26" s="63"/>
      <c r="AU26" s="63"/>
    </row>
    <row r="27" spans="1:47" ht="12.75" hidden="1" customHeight="1" outlineLevel="1" x14ac:dyDescent="0.2">
      <c r="A27" s="61" t="s">
        <v>176</v>
      </c>
      <c r="B27" s="62"/>
      <c r="C27" s="54">
        <v>0</v>
      </c>
      <c r="D27" s="54"/>
      <c r="E27" s="63"/>
      <c r="F27" s="64"/>
      <c r="G27" s="65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66"/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8"/>
      <c r="AT27" s="63"/>
      <c r="AU27" s="63"/>
    </row>
    <row r="28" spans="1:47" ht="12.75" hidden="1" customHeight="1" outlineLevel="1" x14ac:dyDescent="0.2">
      <c r="A28" s="61" t="s">
        <v>102</v>
      </c>
      <c r="B28" s="62">
        <v>56.5</v>
      </c>
      <c r="C28" s="54">
        <v>0</v>
      </c>
      <c r="D28" s="54">
        <v>56.5</v>
      </c>
      <c r="E28" s="63"/>
      <c r="F28" s="64">
        <v>100</v>
      </c>
      <c r="G28" s="65">
        <v>56.5</v>
      </c>
      <c r="H28" s="54">
        <v>56.5</v>
      </c>
      <c r="I28" s="54">
        <v>56.5</v>
      </c>
      <c r="J28" s="54">
        <v>56.5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226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56.5</v>
      </c>
      <c r="AH28" s="67">
        <v>56.5</v>
      </c>
      <c r="AI28" s="67">
        <v>56.5</v>
      </c>
      <c r="AJ28" s="67">
        <v>56.5</v>
      </c>
      <c r="AK28" s="67">
        <v>56.5</v>
      </c>
      <c r="AL28" s="67">
        <v>56.5</v>
      </c>
      <c r="AM28" s="67">
        <v>56.5</v>
      </c>
      <c r="AN28" s="67">
        <v>56.5</v>
      </c>
      <c r="AO28" s="67">
        <v>56.5</v>
      </c>
      <c r="AP28" s="67">
        <v>56.5</v>
      </c>
      <c r="AQ28" s="67">
        <v>56.5</v>
      </c>
      <c r="AR28" s="67">
        <v>56.5</v>
      </c>
      <c r="AS28" s="68">
        <v>226</v>
      </c>
      <c r="AT28" s="63"/>
      <c r="AU28" s="63">
        <v>100</v>
      </c>
    </row>
    <row r="29" spans="1:47" ht="12.75" hidden="1" customHeight="1" outlineLevel="1" x14ac:dyDescent="0.2">
      <c r="A29" s="61" t="s">
        <v>75</v>
      </c>
      <c r="B29" s="62"/>
      <c r="C29" s="54">
        <v>0</v>
      </c>
      <c r="D29" s="54"/>
      <c r="E29" s="63"/>
      <c r="F29" s="64"/>
      <c r="G29" s="65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66"/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8"/>
      <c r="AT29" s="63"/>
      <c r="AU29" s="63"/>
    </row>
    <row r="30" spans="1:47" ht="12.75" hidden="1" customHeight="1" outlineLevel="1" x14ac:dyDescent="0.2">
      <c r="A30" s="61" t="s">
        <v>76</v>
      </c>
      <c r="B30" s="62">
        <v>0</v>
      </c>
      <c r="C30" s="54">
        <v>0</v>
      </c>
      <c r="D30" s="54">
        <v>71.72</v>
      </c>
      <c r="E30" s="63"/>
      <c r="F30" s="64">
        <v>0</v>
      </c>
      <c r="G30" s="65">
        <v>152.78</v>
      </c>
      <c r="H30" s="54">
        <v>76.39</v>
      </c>
      <c r="I30" s="54">
        <v>81.97</v>
      </c>
      <c r="J30" s="54">
        <v>0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311.14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81.08</v>
      </c>
      <c r="AH30" s="67">
        <v>81.08</v>
      </c>
      <c r="AI30" s="67">
        <v>81.08</v>
      </c>
      <c r="AJ30" s="67">
        <v>71.72</v>
      </c>
      <c r="AK30" s="67">
        <v>122.59</v>
      </c>
      <c r="AL30" s="67">
        <v>39.57</v>
      </c>
      <c r="AM30" s="67">
        <v>0</v>
      </c>
      <c r="AN30" s="67">
        <v>138.74</v>
      </c>
      <c r="AO30" s="67">
        <v>76.39</v>
      </c>
      <c r="AP30" s="67">
        <v>81.650000000000006</v>
      </c>
      <c r="AQ30" s="67">
        <v>76.38</v>
      </c>
      <c r="AR30" s="98">
        <v>-5.25</v>
      </c>
      <c r="AS30" s="68">
        <v>314.95999999999998</v>
      </c>
      <c r="AT30" s="63"/>
      <c r="AU30" s="63">
        <v>98.787147574295147</v>
      </c>
    </row>
    <row r="31" spans="1:47" ht="12.75" hidden="1" customHeight="1" outlineLevel="1" x14ac:dyDescent="0.2">
      <c r="A31" s="61" t="s">
        <v>77</v>
      </c>
      <c r="B31" s="62"/>
      <c r="C31" s="54"/>
      <c r="D31" s="54"/>
      <c r="E31" s="63"/>
      <c r="F31" s="64"/>
      <c r="G31" s="65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66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66"/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8"/>
      <c r="AT31" s="63"/>
      <c r="AU31" s="63"/>
    </row>
    <row r="32" spans="1:47" ht="12.75" customHeight="1" collapsed="1" x14ac:dyDescent="0.2">
      <c r="A32" s="69" t="s">
        <v>177</v>
      </c>
      <c r="B32" s="70">
        <v>240.48</v>
      </c>
      <c r="C32" s="71">
        <v>0</v>
      </c>
      <c r="D32" s="71">
        <v>296.12</v>
      </c>
      <c r="E32" s="72"/>
      <c r="F32" s="73">
        <v>81.210320140483589</v>
      </c>
      <c r="G32" s="70">
        <v>454.55</v>
      </c>
      <c r="H32" s="71">
        <v>281.52</v>
      </c>
      <c r="I32" s="71">
        <v>401.38</v>
      </c>
      <c r="J32" s="71">
        <v>240.48</v>
      </c>
      <c r="K32" s="74">
        <v>-148.63</v>
      </c>
      <c r="L32" s="71">
        <v>0</v>
      </c>
      <c r="M32" s="71">
        <v>0</v>
      </c>
      <c r="N32" s="71">
        <v>0</v>
      </c>
      <c r="O32" s="71">
        <v>0</v>
      </c>
      <c r="P32" s="71">
        <v>0</v>
      </c>
      <c r="Q32" s="71">
        <v>0</v>
      </c>
      <c r="R32" s="71">
        <v>0</v>
      </c>
      <c r="S32" s="71">
        <v>1377.93</v>
      </c>
      <c r="T32" s="71">
        <v>0</v>
      </c>
      <c r="U32" s="71">
        <v>0</v>
      </c>
      <c r="V32" s="71">
        <v>0</v>
      </c>
      <c r="W32" s="71">
        <v>0</v>
      </c>
      <c r="X32" s="71">
        <v>0</v>
      </c>
      <c r="Y32" s="71">
        <v>0</v>
      </c>
      <c r="Z32" s="71">
        <v>0</v>
      </c>
      <c r="AA32" s="71">
        <v>0</v>
      </c>
      <c r="AB32" s="71">
        <v>0</v>
      </c>
      <c r="AC32" s="71">
        <v>0</v>
      </c>
      <c r="AD32" s="71">
        <v>0</v>
      </c>
      <c r="AE32" s="71">
        <v>0</v>
      </c>
      <c r="AF32" s="71">
        <v>0</v>
      </c>
      <c r="AG32" s="75">
        <v>266.72000000000003</v>
      </c>
      <c r="AH32" s="75">
        <v>260.2</v>
      </c>
      <c r="AI32" s="75">
        <v>64.17</v>
      </c>
      <c r="AJ32" s="75">
        <v>296.12</v>
      </c>
      <c r="AK32" s="75">
        <v>341.77</v>
      </c>
      <c r="AL32" s="75">
        <v>251.65</v>
      </c>
      <c r="AM32" s="75">
        <v>59.09</v>
      </c>
      <c r="AN32" s="75">
        <v>481.04</v>
      </c>
      <c r="AO32" s="75">
        <v>257.02</v>
      </c>
      <c r="AP32" s="75">
        <v>253.2</v>
      </c>
      <c r="AQ32" s="75">
        <v>262.02</v>
      </c>
      <c r="AR32" s="75">
        <v>54.25</v>
      </c>
      <c r="AS32" s="75">
        <v>887.21</v>
      </c>
      <c r="AT32" s="72"/>
      <c r="AU32" s="72">
        <v>155.31046764576595</v>
      </c>
    </row>
    <row r="33" spans="1:47" ht="12.75" hidden="1" customHeight="1" outlineLevel="1" x14ac:dyDescent="0.2">
      <c r="A33" s="61" t="s">
        <v>178</v>
      </c>
      <c r="B33" s="62"/>
      <c r="C33" s="54"/>
      <c r="D33" s="54"/>
      <c r="E33" s="63"/>
      <c r="F33" s="64"/>
      <c r="G33" s="65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66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66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8"/>
      <c r="AT33" s="63"/>
      <c r="AU33" s="63"/>
    </row>
    <row r="34" spans="1:47" ht="12.75" hidden="1" customHeight="1" outlineLevel="1" x14ac:dyDescent="0.2">
      <c r="A34" s="61" t="s">
        <v>179</v>
      </c>
      <c r="B34" s="62">
        <v>36.36</v>
      </c>
      <c r="C34" s="54">
        <v>0</v>
      </c>
      <c r="D34" s="54">
        <v>4</v>
      </c>
      <c r="E34" s="63"/>
      <c r="F34" s="64">
        <v>909</v>
      </c>
      <c r="G34" s="65">
        <v>36.36</v>
      </c>
      <c r="H34" s="54">
        <v>36.36</v>
      </c>
      <c r="I34" s="54">
        <v>36.36</v>
      </c>
      <c r="J34" s="54">
        <v>36.36</v>
      </c>
      <c r="K34" s="54">
        <v>0</v>
      </c>
      <c r="L34" s="54">
        <v>0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66">
        <v>145.44</v>
      </c>
      <c r="T34" s="54">
        <v>0</v>
      </c>
      <c r="U34" s="54">
        <v>0</v>
      </c>
      <c r="V34" s="54">
        <v>0</v>
      </c>
      <c r="W34" s="54">
        <v>0</v>
      </c>
      <c r="X34" s="54">
        <v>0</v>
      </c>
      <c r="Y34" s="54">
        <v>0</v>
      </c>
      <c r="Z34" s="54">
        <v>0</v>
      </c>
      <c r="AA34" s="54">
        <v>0</v>
      </c>
      <c r="AB34" s="54">
        <v>0</v>
      </c>
      <c r="AC34" s="54">
        <v>0</v>
      </c>
      <c r="AD34" s="54">
        <v>0</v>
      </c>
      <c r="AE34" s="54">
        <v>0</v>
      </c>
      <c r="AF34" s="66">
        <v>0</v>
      </c>
      <c r="AG34" s="67">
        <v>4</v>
      </c>
      <c r="AH34" s="67">
        <v>4</v>
      </c>
      <c r="AI34" s="67">
        <v>4</v>
      </c>
      <c r="AJ34" s="67">
        <v>4</v>
      </c>
      <c r="AK34" s="67">
        <v>4</v>
      </c>
      <c r="AL34" s="67">
        <v>4</v>
      </c>
      <c r="AM34" s="67">
        <v>4</v>
      </c>
      <c r="AN34" s="67">
        <v>4</v>
      </c>
      <c r="AO34" s="67">
        <v>36.36</v>
      </c>
      <c r="AP34" s="67">
        <v>36.36</v>
      </c>
      <c r="AQ34" s="67">
        <v>36.36</v>
      </c>
      <c r="AR34" s="67">
        <v>36.36</v>
      </c>
      <c r="AS34" s="68">
        <v>16</v>
      </c>
      <c r="AT34" s="63"/>
      <c r="AU34" s="63">
        <v>909</v>
      </c>
    </row>
    <row r="35" spans="1:47" ht="12.75" hidden="1" customHeight="1" outlineLevel="1" x14ac:dyDescent="0.2">
      <c r="A35" s="61" t="s">
        <v>180</v>
      </c>
      <c r="B35" s="62">
        <v>0</v>
      </c>
      <c r="C35" s="54">
        <v>0</v>
      </c>
      <c r="D35" s="54">
        <v>0</v>
      </c>
      <c r="E35" s="63"/>
      <c r="F35" s="64"/>
      <c r="G35" s="65">
        <v>0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0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0</v>
      </c>
      <c r="AH35" s="67">
        <v>0</v>
      </c>
      <c r="AI35" s="67">
        <v>0</v>
      </c>
      <c r="AJ35" s="67">
        <v>0</v>
      </c>
      <c r="AK35" s="67">
        <v>0</v>
      </c>
      <c r="AL35" s="67">
        <v>0</v>
      </c>
      <c r="AM35" s="67">
        <v>0</v>
      </c>
      <c r="AN35" s="67">
        <v>0</v>
      </c>
      <c r="AO35" s="67">
        <v>0</v>
      </c>
      <c r="AP35" s="67">
        <v>0</v>
      </c>
      <c r="AQ35" s="67">
        <v>0</v>
      </c>
      <c r="AR35" s="67">
        <v>0</v>
      </c>
      <c r="AS35" s="68">
        <v>0</v>
      </c>
      <c r="AT35" s="63"/>
      <c r="AU35" s="63"/>
    </row>
    <row r="36" spans="1:47" ht="12.75" hidden="1" customHeight="1" outlineLevel="1" x14ac:dyDescent="0.2">
      <c r="A36" s="61" t="s">
        <v>181</v>
      </c>
      <c r="B36" s="62"/>
      <c r="C36" s="54"/>
      <c r="D36" s="54"/>
      <c r="E36" s="63"/>
      <c r="F36" s="64"/>
      <c r="G36" s="65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66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66"/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8"/>
      <c r="AT36" s="63"/>
      <c r="AU36" s="63"/>
    </row>
    <row r="37" spans="1:47" ht="12.75" hidden="1" customHeight="1" outlineLevel="1" x14ac:dyDescent="0.2">
      <c r="A37" s="61" t="s">
        <v>182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0</v>
      </c>
      <c r="AM37" s="67">
        <v>0</v>
      </c>
      <c r="AN37" s="67">
        <v>0</v>
      </c>
      <c r="AO37" s="67">
        <v>0</v>
      </c>
      <c r="AP37" s="67">
        <v>0</v>
      </c>
      <c r="AQ37" s="67">
        <v>0</v>
      </c>
      <c r="AR37" s="67">
        <v>50.5</v>
      </c>
      <c r="AS37" s="68">
        <v>0</v>
      </c>
      <c r="AT37" s="63"/>
      <c r="AU37" s="63"/>
    </row>
    <row r="38" spans="1:47" ht="12.75" hidden="1" customHeight="1" outlineLevel="1" x14ac:dyDescent="0.2">
      <c r="A38" s="61" t="s">
        <v>183</v>
      </c>
      <c r="B38" s="62">
        <v>0</v>
      </c>
      <c r="C38" s="54"/>
      <c r="D38" s="54">
        <v>0</v>
      </c>
      <c r="E38" s="63"/>
      <c r="F38" s="64"/>
      <c r="G38" s="65">
        <v>0</v>
      </c>
      <c r="H38" s="54">
        <v>0</v>
      </c>
      <c r="I38" s="54">
        <v>0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0</v>
      </c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66"/>
      <c r="AG38" s="67">
        <v>0</v>
      </c>
      <c r="AH38" s="67">
        <v>0</v>
      </c>
      <c r="AI38" s="67">
        <v>0</v>
      </c>
      <c r="AJ38" s="67">
        <v>0</v>
      </c>
      <c r="AK38" s="67">
        <v>0</v>
      </c>
      <c r="AL38" s="67">
        <v>0</v>
      </c>
      <c r="AM38" s="67">
        <v>0</v>
      </c>
      <c r="AN38" s="67">
        <v>0</v>
      </c>
      <c r="AO38" s="67">
        <v>0</v>
      </c>
      <c r="AP38" s="67">
        <v>0</v>
      </c>
      <c r="AQ38" s="67">
        <v>469.58</v>
      </c>
      <c r="AR38" s="98">
        <v>-469.58</v>
      </c>
      <c r="AS38" s="68">
        <v>0</v>
      </c>
      <c r="AT38" s="63"/>
      <c r="AU38" s="63"/>
    </row>
    <row r="39" spans="1:47" ht="12.75" hidden="1" customHeight="1" outlineLevel="1" x14ac:dyDescent="0.2">
      <c r="A39" s="61" t="s">
        <v>184</v>
      </c>
      <c r="B39" s="62"/>
      <c r="C39" s="54"/>
      <c r="D39" s="54"/>
      <c r="E39" s="63"/>
      <c r="F39" s="64"/>
      <c r="G39" s="65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66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66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8"/>
      <c r="AT39" s="63"/>
      <c r="AU39" s="63"/>
    </row>
    <row r="40" spans="1:47" ht="12.75" hidden="1" customHeight="1" outlineLevel="1" x14ac:dyDescent="0.2">
      <c r="A40" s="61" t="s">
        <v>185</v>
      </c>
      <c r="B40" s="62"/>
      <c r="C40" s="54"/>
      <c r="D40" s="54"/>
      <c r="E40" s="63"/>
      <c r="F40" s="64"/>
      <c r="G40" s="65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66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66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8"/>
      <c r="AT40" s="63"/>
      <c r="AU40" s="63"/>
    </row>
    <row r="41" spans="1:47" ht="12.75" hidden="1" customHeight="1" outlineLevel="1" x14ac:dyDescent="0.2">
      <c r="A41" s="61" t="s">
        <v>186</v>
      </c>
      <c r="B41" s="62"/>
      <c r="C41" s="54"/>
      <c r="D41" s="54"/>
      <c r="E41" s="63"/>
      <c r="F41" s="64"/>
      <c r="G41" s="65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66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66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8"/>
      <c r="AT41" s="63"/>
      <c r="AU41" s="63"/>
    </row>
    <row r="42" spans="1:47" ht="12.75" hidden="1" customHeight="1" outlineLevel="1" x14ac:dyDescent="0.2">
      <c r="A42" s="61" t="s">
        <v>187</v>
      </c>
      <c r="B42" s="62"/>
      <c r="C42" s="54"/>
      <c r="D42" s="54"/>
      <c r="E42" s="63"/>
      <c r="F42" s="64"/>
      <c r="G42" s="65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66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66"/>
      <c r="AG42" s="67"/>
      <c r="AH42" s="67"/>
      <c r="AI42" s="67"/>
      <c r="AJ42" s="67"/>
      <c r="AK42" s="67"/>
      <c r="AL42" s="67"/>
      <c r="AM42" s="67"/>
      <c r="AN42" s="67"/>
      <c r="AO42" s="67"/>
      <c r="AP42" s="67"/>
      <c r="AQ42" s="67"/>
      <c r="AR42" s="67"/>
      <c r="AS42" s="68"/>
      <c r="AT42" s="63"/>
      <c r="AU42" s="63"/>
    </row>
    <row r="43" spans="1:47" ht="12.75" hidden="1" customHeight="1" outlineLevel="1" x14ac:dyDescent="0.2">
      <c r="A43" s="61" t="s">
        <v>188</v>
      </c>
      <c r="B43" s="62"/>
      <c r="C43" s="54"/>
      <c r="D43" s="54"/>
      <c r="E43" s="63"/>
      <c r="F43" s="64"/>
      <c r="G43" s="65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66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66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8"/>
      <c r="AT43" s="63"/>
      <c r="AU43" s="63"/>
    </row>
    <row r="44" spans="1:47" ht="12.75" hidden="1" customHeight="1" outlineLevel="1" x14ac:dyDescent="0.2">
      <c r="A44" s="61" t="s">
        <v>189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61" t="s">
        <v>190</v>
      </c>
      <c r="B45" s="62">
        <v>0</v>
      </c>
      <c r="C45" s="54">
        <v>0</v>
      </c>
      <c r="D45" s="54">
        <v>0</v>
      </c>
      <c r="E45" s="63"/>
      <c r="F45" s="64"/>
      <c r="G45" s="65">
        <v>0</v>
      </c>
      <c r="H45" s="54">
        <v>0</v>
      </c>
      <c r="I45" s="54">
        <v>0</v>
      </c>
      <c r="J45" s="54">
        <v>0</v>
      </c>
      <c r="K45" s="54">
        <v>0</v>
      </c>
      <c r="L45" s="54">
        <v>0</v>
      </c>
      <c r="M45" s="54">
        <v>0</v>
      </c>
      <c r="N45" s="54">
        <v>0</v>
      </c>
      <c r="O45" s="54">
        <v>0</v>
      </c>
      <c r="P45" s="54">
        <v>0</v>
      </c>
      <c r="Q45" s="54">
        <v>0</v>
      </c>
      <c r="R45" s="54">
        <v>0</v>
      </c>
      <c r="S45" s="66">
        <v>0</v>
      </c>
      <c r="T45" s="54">
        <v>0</v>
      </c>
      <c r="U45" s="54">
        <v>0</v>
      </c>
      <c r="V45" s="54">
        <v>0</v>
      </c>
      <c r="W45" s="54">
        <v>0</v>
      </c>
      <c r="X45" s="54">
        <v>0</v>
      </c>
      <c r="Y45" s="54">
        <v>0</v>
      </c>
      <c r="Z45" s="54">
        <v>0</v>
      </c>
      <c r="AA45" s="54">
        <v>0</v>
      </c>
      <c r="AB45" s="54">
        <v>0</v>
      </c>
      <c r="AC45" s="54">
        <v>0</v>
      </c>
      <c r="AD45" s="54">
        <v>0</v>
      </c>
      <c r="AE45" s="54">
        <v>0</v>
      </c>
      <c r="AF45" s="66">
        <v>0</v>
      </c>
      <c r="AG45" s="67">
        <v>0</v>
      </c>
      <c r="AH45" s="67">
        <v>0</v>
      </c>
      <c r="AI45" s="67">
        <v>0</v>
      </c>
      <c r="AJ45" s="67">
        <v>0</v>
      </c>
      <c r="AK45" s="67">
        <v>0</v>
      </c>
      <c r="AL45" s="67">
        <v>0</v>
      </c>
      <c r="AM45" s="67">
        <v>0</v>
      </c>
      <c r="AN45" s="67">
        <v>0</v>
      </c>
      <c r="AO45" s="67">
        <v>0</v>
      </c>
      <c r="AP45" s="67">
        <v>0</v>
      </c>
      <c r="AQ45" s="67">
        <v>0</v>
      </c>
      <c r="AR45" s="67">
        <v>198.97</v>
      </c>
      <c r="AS45" s="68">
        <v>0</v>
      </c>
      <c r="AT45" s="63"/>
      <c r="AU45" s="63"/>
    </row>
    <row r="46" spans="1:47" ht="12.75" hidden="1" customHeight="1" outlineLevel="1" x14ac:dyDescent="0.2">
      <c r="A46" s="61" t="s">
        <v>191</v>
      </c>
      <c r="B46" s="62"/>
      <c r="C46" s="54"/>
      <c r="D46" s="54"/>
      <c r="E46" s="63"/>
      <c r="F46" s="64"/>
      <c r="G46" s="65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66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66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8"/>
      <c r="AT46" s="63"/>
      <c r="AU46" s="63"/>
    </row>
    <row r="47" spans="1:47" ht="12.75" customHeight="1" collapsed="1" x14ac:dyDescent="0.2">
      <c r="A47" s="69" t="s">
        <v>192</v>
      </c>
      <c r="B47" s="70">
        <v>36.36</v>
      </c>
      <c r="C47" s="71">
        <v>0</v>
      </c>
      <c r="D47" s="71">
        <v>4</v>
      </c>
      <c r="E47" s="72"/>
      <c r="F47" s="73">
        <v>909</v>
      </c>
      <c r="G47" s="70">
        <v>36.36</v>
      </c>
      <c r="H47" s="71">
        <v>36.36</v>
      </c>
      <c r="I47" s="71">
        <v>36.36</v>
      </c>
      <c r="J47" s="71">
        <v>36.36</v>
      </c>
      <c r="K47" s="71">
        <v>0</v>
      </c>
      <c r="L47" s="71">
        <v>0</v>
      </c>
      <c r="M47" s="71">
        <v>0</v>
      </c>
      <c r="N47" s="71">
        <v>0</v>
      </c>
      <c r="O47" s="71">
        <v>0</v>
      </c>
      <c r="P47" s="71">
        <v>0</v>
      </c>
      <c r="Q47" s="71">
        <v>0</v>
      </c>
      <c r="R47" s="71">
        <v>0</v>
      </c>
      <c r="S47" s="71">
        <v>145.44</v>
      </c>
      <c r="T47" s="71">
        <v>0</v>
      </c>
      <c r="U47" s="71">
        <v>0</v>
      </c>
      <c r="V47" s="71">
        <v>0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71">
        <v>0</v>
      </c>
      <c r="AE47" s="71">
        <v>0</v>
      </c>
      <c r="AF47" s="71">
        <v>0</v>
      </c>
      <c r="AG47" s="75">
        <v>4</v>
      </c>
      <c r="AH47" s="75">
        <v>4</v>
      </c>
      <c r="AI47" s="75">
        <v>4</v>
      </c>
      <c r="AJ47" s="75">
        <v>4</v>
      </c>
      <c r="AK47" s="75">
        <v>4</v>
      </c>
      <c r="AL47" s="75">
        <v>4</v>
      </c>
      <c r="AM47" s="75">
        <v>4</v>
      </c>
      <c r="AN47" s="75">
        <v>4</v>
      </c>
      <c r="AO47" s="75">
        <v>36.36</v>
      </c>
      <c r="AP47" s="75">
        <v>36.36</v>
      </c>
      <c r="AQ47" s="75">
        <v>505.94</v>
      </c>
      <c r="AR47" s="134">
        <v>-183.75</v>
      </c>
      <c r="AS47" s="75">
        <v>16</v>
      </c>
      <c r="AT47" s="72"/>
      <c r="AU47" s="72">
        <v>909</v>
      </c>
    </row>
    <row r="48" spans="1:47" ht="12.75" hidden="1" customHeight="1" outlineLevel="1" x14ac:dyDescent="0.2">
      <c r="A48" s="61" t="s">
        <v>193</v>
      </c>
      <c r="B48" s="62"/>
      <c r="C48" s="54"/>
      <c r="D48" s="54"/>
      <c r="E48" s="63"/>
      <c r="F48" s="64"/>
      <c r="G48" s="65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66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66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8"/>
      <c r="AT48" s="63"/>
      <c r="AU48" s="63"/>
    </row>
    <row r="49" spans="1:47" ht="12.75" hidden="1" customHeight="1" outlineLevel="1" x14ac:dyDescent="0.2">
      <c r="A49" s="61" t="s">
        <v>194</v>
      </c>
      <c r="B49" s="62"/>
      <c r="C49" s="54"/>
      <c r="D49" s="54"/>
      <c r="E49" s="63"/>
      <c r="F49" s="64"/>
      <c r="G49" s="65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66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66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8"/>
      <c r="AT49" s="63"/>
      <c r="AU49" s="63"/>
    </row>
    <row r="50" spans="1:47" ht="12.75" hidden="1" customHeight="1" outlineLevel="1" x14ac:dyDescent="0.2">
      <c r="A50" s="61" t="s">
        <v>82</v>
      </c>
      <c r="B50" s="62"/>
      <c r="C50" s="54"/>
      <c r="D50" s="54"/>
      <c r="E50" s="63"/>
      <c r="F50" s="64"/>
      <c r="G50" s="65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66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66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8"/>
      <c r="AT50" s="63"/>
      <c r="AU50" s="63"/>
    </row>
    <row r="51" spans="1:47" ht="12.75" hidden="1" customHeight="1" outlineLevel="1" x14ac:dyDescent="0.2">
      <c r="A51" s="61" t="s">
        <v>83</v>
      </c>
      <c r="B51" s="62"/>
      <c r="C51" s="54"/>
      <c r="D51" s="54"/>
      <c r="E51" s="63"/>
      <c r="F51" s="64"/>
      <c r="G51" s="65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66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66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8"/>
      <c r="AT51" s="63"/>
      <c r="AU51" s="63"/>
    </row>
    <row r="52" spans="1:47" ht="12.75" hidden="1" customHeight="1" outlineLevel="1" x14ac:dyDescent="0.2">
      <c r="A52" s="61" t="s">
        <v>84</v>
      </c>
      <c r="B52" s="62"/>
      <c r="C52" s="54"/>
      <c r="D52" s="54"/>
      <c r="E52" s="63"/>
      <c r="F52" s="64"/>
      <c r="G52" s="65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66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66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8"/>
      <c r="AT52" s="63"/>
      <c r="AU52" s="63"/>
    </row>
    <row r="53" spans="1:47" ht="12.75" hidden="1" customHeight="1" outlineLevel="1" x14ac:dyDescent="0.2">
      <c r="A53" s="61" t="s">
        <v>195</v>
      </c>
      <c r="B53" s="62"/>
      <c r="C53" s="54"/>
      <c r="D53" s="54"/>
      <c r="E53" s="63"/>
      <c r="F53" s="64"/>
      <c r="G53" s="65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66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66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8"/>
      <c r="AT53" s="63"/>
      <c r="AU53" s="63"/>
    </row>
    <row r="54" spans="1:47" ht="12.75" hidden="1" customHeight="1" outlineLevel="1" x14ac:dyDescent="0.2">
      <c r="A54" s="61" t="s">
        <v>86</v>
      </c>
      <c r="B54" s="62"/>
      <c r="C54" s="54">
        <v>0</v>
      </c>
      <c r="D54" s="54"/>
      <c r="E54" s="63"/>
      <c r="F54" s="64"/>
      <c r="G54" s="65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66"/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8"/>
      <c r="AT54" s="63"/>
      <c r="AU54" s="63"/>
    </row>
    <row r="55" spans="1:47" ht="12.75" hidden="1" customHeight="1" outlineLevel="1" x14ac:dyDescent="0.2">
      <c r="A55" s="61" t="s">
        <v>110</v>
      </c>
      <c r="B55" s="62"/>
      <c r="C55" s="54"/>
      <c r="D55" s="54"/>
      <c r="E55" s="63"/>
      <c r="F55" s="64"/>
      <c r="G55" s="65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66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66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8"/>
      <c r="AT55" s="63"/>
      <c r="AU55" s="63"/>
    </row>
    <row r="56" spans="1:47" ht="12.75" hidden="1" customHeight="1" outlineLevel="1" x14ac:dyDescent="0.2">
      <c r="A56" s="61" t="s">
        <v>196</v>
      </c>
      <c r="B56" s="62">
        <v>0</v>
      </c>
      <c r="C56" s="54">
        <v>0</v>
      </c>
      <c r="D56" s="54">
        <v>0</v>
      </c>
      <c r="E56" s="63"/>
      <c r="F56" s="64"/>
      <c r="G56" s="65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66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66">
        <v>0</v>
      </c>
      <c r="AG56" s="67">
        <v>0</v>
      </c>
      <c r="AH56" s="67">
        <v>0</v>
      </c>
      <c r="AI56" s="67">
        <v>0</v>
      </c>
      <c r="AJ56" s="67">
        <v>0</v>
      </c>
      <c r="AK56" s="67">
        <v>0</v>
      </c>
      <c r="AL56" s="67">
        <v>0</v>
      </c>
      <c r="AM56" s="67">
        <v>0</v>
      </c>
      <c r="AN56" s="67">
        <v>0</v>
      </c>
      <c r="AO56" s="67">
        <v>0</v>
      </c>
      <c r="AP56" s="67">
        <v>0</v>
      </c>
      <c r="AQ56" s="67">
        <v>0</v>
      </c>
      <c r="AR56" s="67">
        <v>0</v>
      </c>
      <c r="AS56" s="68">
        <v>0</v>
      </c>
      <c r="AT56" s="63"/>
      <c r="AU56" s="63"/>
    </row>
    <row r="57" spans="1:47" ht="12.75" hidden="1" customHeight="1" outlineLevel="1" x14ac:dyDescent="0.2">
      <c r="A57" s="61" t="s">
        <v>197</v>
      </c>
      <c r="B57" s="62"/>
      <c r="C57" s="54">
        <v>0</v>
      </c>
      <c r="D57" s="54"/>
      <c r="E57" s="63"/>
      <c r="F57" s="64"/>
      <c r="G57" s="65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66"/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66">
        <v>0</v>
      </c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8"/>
      <c r="AT57" s="63"/>
      <c r="AU57" s="63"/>
    </row>
    <row r="58" spans="1:47" ht="12.75" hidden="1" customHeight="1" outlineLevel="1" x14ac:dyDescent="0.2">
      <c r="A58" s="61" t="s">
        <v>198</v>
      </c>
      <c r="B58" s="62"/>
      <c r="C58" s="54"/>
      <c r="D58" s="54"/>
      <c r="E58" s="63"/>
      <c r="F58" s="64"/>
      <c r="G58" s="65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66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66"/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8"/>
      <c r="AT58" s="63"/>
      <c r="AU58" s="63"/>
    </row>
    <row r="59" spans="1:47" ht="12.75" hidden="1" customHeight="1" outlineLevel="1" x14ac:dyDescent="0.2">
      <c r="A59" s="61" t="s">
        <v>199</v>
      </c>
      <c r="B59" s="62"/>
      <c r="C59" s="54"/>
      <c r="D59" s="54"/>
      <c r="E59" s="63"/>
      <c r="F59" s="64"/>
      <c r="G59" s="65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66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66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8"/>
      <c r="AT59" s="63"/>
      <c r="AU59" s="63"/>
    </row>
    <row r="60" spans="1:47" ht="12.75" hidden="1" customHeight="1" outlineLevel="1" x14ac:dyDescent="0.2">
      <c r="A60" s="61" t="s">
        <v>200</v>
      </c>
      <c r="B60" s="62"/>
      <c r="C60" s="54"/>
      <c r="D60" s="54"/>
      <c r="E60" s="63"/>
      <c r="F60" s="64"/>
      <c r="G60" s="65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66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66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8"/>
      <c r="AT60" s="63"/>
      <c r="AU60" s="63"/>
    </row>
    <row r="61" spans="1:47" ht="12.75" customHeight="1" collapsed="1" x14ac:dyDescent="0.2">
      <c r="A61" s="69" t="s">
        <v>89</v>
      </c>
      <c r="B61" s="70">
        <v>0</v>
      </c>
      <c r="C61" s="71">
        <v>0</v>
      </c>
      <c r="D61" s="71">
        <v>0</v>
      </c>
      <c r="E61" s="72"/>
      <c r="F61" s="73"/>
      <c r="G61" s="70">
        <v>0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  <c r="M61" s="71">
        <v>0</v>
      </c>
      <c r="N61" s="71">
        <v>0</v>
      </c>
      <c r="O61" s="71">
        <v>0</v>
      </c>
      <c r="P61" s="71">
        <v>0</v>
      </c>
      <c r="Q61" s="71">
        <v>0</v>
      </c>
      <c r="R61" s="71">
        <v>0</v>
      </c>
      <c r="S61" s="71">
        <v>0</v>
      </c>
      <c r="T61" s="71">
        <v>0</v>
      </c>
      <c r="U61" s="71">
        <v>0</v>
      </c>
      <c r="V61" s="71">
        <v>0</v>
      </c>
      <c r="W61" s="71">
        <v>0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71">
        <v>0</v>
      </c>
      <c r="AE61" s="71">
        <v>0</v>
      </c>
      <c r="AF61" s="71">
        <v>0</v>
      </c>
      <c r="AG61" s="75">
        <v>0</v>
      </c>
      <c r="AH61" s="75">
        <v>0</v>
      </c>
      <c r="AI61" s="75">
        <v>0</v>
      </c>
      <c r="AJ61" s="75">
        <v>0</v>
      </c>
      <c r="AK61" s="75">
        <v>0</v>
      </c>
      <c r="AL61" s="75">
        <v>0</v>
      </c>
      <c r="AM61" s="75">
        <v>0</v>
      </c>
      <c r="AN61" s="75">
        <v>0</v>
      </c>
      <c r="AO61" s="75">
        <v>0</v>
      </c>
      <c r="AP61" s="75">
        <v>0</v>
      </c>
      <c r="AQ61" s="75">
        <v>0</v>
      </c>
      <c r="AR61" s="75">
        <v>0</v>
      </c>
      <c r="AS61" s="75">
        <v>0</v>
      </c>
      <c r="AT61" s="72"/>
      <c r="AU61" s="72"/>
    </row>
    <row r="62" spans="1:47" ht="12.75" customHeight="1" x14ac:dyDescent="0.2">
      <c r="A62" s="77" t="s">
        <v>201</v>
      </c>
      <c r="B62" s="78">
        <v>8186.66</v>
      </c>
      <c r="C62" s="79">
        <v>0</v>
      </c>
      <c r="D62" s="79">
        <v>7243.03</v>
      </c>
      <c r="E62" s="80"/>
      <c r="F62" s="81">
        <v>113.02811116342194</v>
      </c>
      <c r="G62" s="78">
        <v>9042.69</v>
      </c>
      <c r="H62" s="79">
        <v>7626.78</v>
      </c>
      <c r="I62" s="79">
        <v>6405.23</v>
      </c>
      <c r="J62" s="79">
        <v>8186.66</v>
      </c>
      <c r="K62" s="82">
        <v>-304.92</v>
      </c>
      <c r="L62" s="79">
        <v>0</v>
      </c>
      <c r="M62" s="79">
        <v>0</v>
      </c>
      <c r="N62" s="79">
        <v>0</v>
      </c>
      <c r="O62" s="79">
        <v>0</v>
      </c>
      <c r="P62" s="79">
        <v>0</v>
      </c>
      <c r="Q62" s="79">
        <v>0</v>
      </c>
      <c r="R62" s="79">
        <v>0</v>
      </c>
      <c r="S62" s="79">
        <v>31261.360000000001</v>
      </c>
      <c r="T62" s="79">
        <v>0</v>
      </c>
      <c r="U62" s="79">
        <v>0</v>
      </c>
      <c r="V62" s="79">
        <v>0</v>
      </c>
      <c r="W62" s="79">
        <v>0</v>
      </c>
      <c r="X62" s="79">
        <v>0</v>
      </c>
      <c r="Y62" s="79">
        <v>0</v>
      </c>
      <c r="Z62" s="79">
        <v>0</v>
      </c>
      <c r="AA62" s="79">
        <v>0</v>
      </c>
      <c r="AB62" s="79">
        <v>0</v>
      </c>
      <c r="AC62" s="79">
        <v>0</v>
      </c>
      <c r="AD62" s="79">
        <v>0</v>
      </c>
      <c r="AE62" s="79">
        <v>0</v>
      </c>
      <c r="AF62" s="79">
        <v>0</v>
      </c>
      <c r="AG62" s="83">
        <v>6090.11</v>
      </c>
      <c r="AH62" s="83">
        <v>7479.99</v>
      </c>
      <c r="AI62" s="83">
        <v>3582.86</v>
      </c>
      <c r="AJ62" s="83">
        <v>7243.03</v>
      </c>
      <c r="AK62" s="83">
        <v>6091.6</v>
      </c>
      <c r="AL62" s="83">
        <v>7417.41</v>
      </c>
      <c r="AM62" s="83">
        <v>6700.86</v>
      </c>
      <c r="AN62" s="83">
        <v>7087.81</v>
      </c>
      <c r="AO62" s="83">
        <v>6699.42</v>
      </c>
      <c r="AP62" s="83">
        <v>6784.42</v>
      </c>
      <c r="AQ62" s="83">
        <v>7729.88</v>
      </c>
      <c r="AR62" s="83">
        <v>6685.37</v>
      </c>
      <c r="AS62" s="83">
        <v>24395.99</v>
      </c>
      <c r="AT62" s="80"/>
      <c r="AU62" s="80">
        <v>128.14138717059649</v>
      </c>
    </row>
    <row r="65" spans="1:4" ht="15" x14ac:dyDescent="0.25">
      <c r="A65" s="16"/>
      <c r="B65" s="16"/>
      <c r="C65" s="16"/>
      <c r="D65" s="16"/>
    </row>
    <row r="66" spans="1:4" ht="15" x14ac:dyDescent="0.25">
      <c r="A66" s="16"/>
      <c r="B66" s="16"/>
      <c r="C66" s="16"/>
      <c r="D66" s="16"/>
    </row>
    <row r="67" spans="1:4" ht="15" x14ac:dyDescent="0.25">
      <c r="A67" s="16"/>
      <c r="B67" s="16"/>
      <c r="C67" s="16"/>
      <c r="D67" s="16"/>
    </row>
    <row r="68" spans="1:4" ht="15" x14ac:dyDescent="0.25">
      <c r="A68" s="16"/>
      <c r="B68" s="16"/>
      <c r="C68" s="16"/>
      <c r="D68" s="16"/>
    </row>
    <row r="69" spans="1:4" ht="15" x14ac:dyDescent="0.25">
      <c r="A69" s="16"/>
      <c r="B69" s="16"/>
      <c r="C69" s="16"/>
      <c r="D69" s="16"/>
    </row>
    <row r="70" spans="1:4" ht="15" x14ac:dyDescent="0.25">
      <c r="A70" s="16"/>
      <c r="B70" s="16"/>
      <c r="C70" s="16"/>
      <c r="D70" s="16"/>
    </row>
    <row r="71" spans="1:4" ht="15" x14ac:dyDescent="0.25">
      <c r="A71" s="16"/>
      <c r="B71" s="16"/>
      <c r="C71" s="16"/>
      <c r="D71" s="16"/>
    </row>
  </sheetData>
  <pageMargins left="0.75" right="0.75" top="1" bottom="1" header="0.5" footer="0.5"/>
  <pageSetup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33CC"/>
  </sheetPr>
  <dimension ref="A1:AU68"/>
  <sheetViews>
    <sheetView workbookViewId="0">
      <pane xSplit="1" ySplit="7" topLeftCell="B8" activePane="bottomRight" state="frozen"/>
      <selection activeCell="A73" sqref="A73"/>
      <selection pane="topRight" activeCell="A73" sqref="A73"/>
      <selection pane="bottomLeft" activeCell="A73" sqref="A73"/>
      <selection pane="bottomRight" sqref="A1:AU61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9.42578125" collapsed="1"/>
    <col min="46" max="47" width="10.5703125" customWidth="1"/>
  </cols>
  <sheetData>
    <row r="1" spans="1:47" ht="36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ht="12.75" hidden="1" customHeight="1" outlineLevel="1" x14ac:dyDescent="0.2">
      <c r="A2" s="61" t="s">
        <v>160</v>
      </c>
      <c r="B2" s="62">
        <v>61276.45</v>
      </c>
      <c r="C2" s="54">
        <v>0</v>
      </c>
      <c r="D2" s="54">
        <v>44573.83</v>
      </c>
      <c r="E2" s="63"/>
      <c r="F2" s="64">
        <v>137.47180800931847</v>
      </c>
      <c r="G2" s="65">
        <v>28151.47</v>
      </c>
      <c r="H2" s="54">
        <v>33009.94</v>
      </c>
      <c r="I2" s="54">
        <v>19738.419999999998</v>
      </c>
      <c r="J2" s="54">
        <v>61276.45</v>
      </c>
      <c r="K2" s="54">
        <v>0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142176.28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35132.449999999997</v>
      </c>
      <c r="AH2" s="67">
        <v>37114.86</v>
      </c>
      <c r="AI2" s="67">
        <v>36486.47</v>
      </c>
      <c r="AJ2" s="67">
        <v>44573.83</v>
      </c>
      <c r="AK2" s="67">
        <v>48843.35</v>
      </c>
      <c r="AL2" s="67">
        <v>62294.69</v>
      </c>
      <c r="AM2" s="67">
        <v>49932.01</v>
      </c>
      <c r="AN2" s="67">
        <v>64575.69</v>
      </c>
      <c r="AO2" s="67">
        <v>57189.760000000002</v>
      </c>
      <c r="AP2" s="67">
        <v>52857.22</v>
      </c>
      <c r="AQ2" s="67">
        <v>94980.13</v>
      </c>
      <c r="AR2" s="67">
        <v>29977.13</v>
      </c>
      <c r="AS2" s="68">
        <v>153307.60999999999</v>
      </c>
      <c r="AT2" s="63"/>
      <c r="AU2" s="63">
        <v>92.739218881567595</v>
      </c>
    </row>
    <row r="3" spans="1:47" ht="12.75" hidden="1" customHeight="1" outlineLevel="1" x14ac:dyDescent="0.2">
      <c r="A3" s="61" t="s">
        <v>161</v>
      </c>
      <c r="B3" s="62">
        <v>1877.68</v>
      </c>
      <c r="C3" s="54">
        <v>0</v>
      </c>
      <c r="D3" s="54">
        <v>2521.08</v>
      </c>
      <c r="E3" s="63"/>
      <c r="F3" s="64">
        <v>74.47919145762927</v>
      </c>
      <c r="G3" s="65">
        <v>2030.97</v>
      </c>
      <c r="H3" s="54">
        <v>164.79</v>
      </c>
      <c r="I3" s="54">
        <v>4123.99</v>
      </c>
      <c r="J3" s="54">
        <v>1877.68</v>
      </c>
      <c r="K3" s="56">
        <v>-891.2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8197.43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1860.16</v>
      </c>
      <c r="AH3" s="67">
        <v>2045.32</v>
      </c>
      <c r="AI3" s="67">
        <v>2599.2800000000002</v>
      </c>
      <c r="AJ3" s="67">
        <v>2521.08</v>
      </c>
      <c r="AK3" s="67">
        <v>3395.15</v>
      </c>
      <c r="AL3" s="67">
        <v>3436.57</v>
      </c>
      <c r="AM3" s="67">
        <v>3364.42</v>
      </c>
      <c r="AN3" s="67">
        <v>3564.05</v>
      </c>
      <c r="AO3" s="67">
        <v>438.85</v>
      </c>
      <c r="AP3" s="67">
        <v>5014.57</v>
      </c>
      <c r="AQ3" s="67">
        <v>5539.74</v>
      </c>
      <c r="AR3" s="67">
        <v>3297.54</v>
      </c>
      <c r="AS3" s="68">
        <v>9025.84</v>
      </c>
      <c r="AT3" s="63"/>
      <c r="AU3" s="63">
        <v>90.821796087677157</v>
      </c>
    </row>
    <row r="4" spans="1:47" hidden="1" outlineLevel="1" x14ac:dyDescent="0.2">
      <c r="A4" s="61" t="s">
        <v>162</v>
      </c>
      <c r="B4" s="62">
        <v>7530.8</v>
      </c>
      <c r="C4" s="54">
        <v>0</v>
      </c>
      <c r="D4" s="54">
        <v>3506.73</v>
      </c>
      <c r="E4" s="63"/>
      <c r="F4" s="64">
        <v>214.75277537763102</v>
      </c>
      <c r="G4" s="65">
        <v>5287.59</v>
      </c>
      <c r="H4" s="56">
        <v>-468.11</v>
      </c>
      <c r="I4" s="56">
        <v>-8928.69</v>
      </c>
      <c r="J4" s="54">
        <v>7530.8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3421.59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3851.83</v>
      </c>
      <c r="AH4" s="67">
        <v>7767.34</v>
      </c>
      <c r="AI4" s="67">
        <v>1495.77</v>
      </c>
      <c r="AJ4" s="67">
        <v>3506.73</v>
      </c>
      <c r="AK4" s="67">
        <v>9600.7999999999993</v>
      </c>
      <c r="AL4" s="67">
        <v>7428.54</v>
      </c>
      <c r="AM4" s="67">
        <v>11429.35</v>
      </c>
      <c r="AN4" s="67">
        <v>5797.43</v>
      </c>
      <c r="AO4" s="67">
        <v>10690.22</v>
      </c>
      <c r="AP4" s="67">
        <v>6054.89</v>
      </c>
      <c r="AQ4" s="67">
        <v>4650.67</v>
      </c>
      <c r="AR4" s="67">
        <v>11320.66</v>
      </c>
      <c r="AS4" s="68">
        <v>16621.669999999998</v>
      </c>
      <c r="AT4" s="63"/>
      <c r="AU4" s="63">
        <v>20.585115695354318</v>
      </c>
    </row>
    <row r="5" spans="1:47" ht="12.75" hidden="1" customHeight="1" outlineLevel="1" x14ac:dyDescent="0.2">
      <c r="A5" s="61" t="s">
        <v>163</v>
      </c>
      <c r="B5" s="62">
        <v>1233</v>
      </c>
      <c r="C5" s="54">
        <v>0</v>
      </c>
      <c r="D5" s="54">
        <v>1166.67</v>
      </c>
      <c r="E5" s="63"/>
      <c r="F5" s="64">
        <v>105.68541232739335</v>
      </c>
      <c r="G5" s="65">
        <v>1166.67</v>
      </c>
      <c r="H5" s="54">
        <v>1166.67</v>
      </c>
      <c r="I5" s="54">
        <v>1365.66</v>
      </c>
      <c r="J5" s="54">
        <v>1233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4932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0</v>
      </c>
      <c r="AH5" s="67">
        <v>0</v>
      </c>
      <c r="AI5" s="67">
        <v>0</v>
      </c>
      <c r="AJ5" s="67">
        <v>1166.67</v>
      </c>
      <c r="AK5" s="67">
        <v>1166.67</v>
      </c>
      <c r="AL5" s="67">
        <v>1166.67</v>
      </c>
      <c r="AM5" s="67">
        <v>1166.67</v>
      </c>
      <c r="AN5" s="67">
        <v>1166.67</v>
      </c>
      <c r="AO5" s="67">
        <v>1166.67</v>
      </c>
      <c r="AP5" s="67">
        <v>1166.67</v>
      </c>
      <c r="AQ5" s="98">
        <v>-11654.02</v>
      </c>
      <c r="AR5" s="67">
        <v>0</v>
      </c>
      <c r="AS5" s="68">
        <v>1166.67</v>
      </c>
      <c r="AT5" s="63"/>
      <c r="AU5" s="63">
        <v>422.7416493095734</v>
      </c>
    </row>
    <row r="6" spans="1:47" ht="12.75" hidden="1" customHeight="1" outlineLevel="1" x14ac:dyDescent="0.2">
      <c r="A6" s="61" t="s">
        <v>164</v>
      </c>
      <c r="B6" s="62">
        <v>223.26</v>
      </c>
      <c r="C6" s="54">
        <v>0</v>
      </c>
      <c r="D6" s="54">
        <v>308.32</v>
      </c>
      <c r="E6" s="63"/>
      <c r="F6" s="64">
        <v>72.411779968863513</v>
      </c>
      <c r="G6" s="65">
        <v>223.26</v>
      </c>
      <c r="H6" s="54">
        <v>223.26</v>
      </c>
      <c r="I6" s="54">
        <v>223.26</v>
      </c>
      <c r="J6" s="54">
        <v>223.26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893.04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0</v>
      </c>
      <c r="AH6" s="67">
        <v>205.57</v>
      </c>
      <c r="AI6" s="67">
        <v>136.08000000000001</v>
      </c>
      <c r="AJ6" s="67">
        <v>308.32</v>
      </c>
      <c r="AK6" s="67">
        <v>308.32</v>
      </c>
      <c r="AL6" s="67">
        <v>308.32</v>
      </c>
      <c r="AM6" s="67">
        <v>308.32</v>
      </c>
      <c r="AN6" s="67">
        <v>308.32</v>
      </c>
      <c r="AO6" s="67">
        <v>308.32</v>
      </c>
      <c r="AP6" s="67">
        <v>284.57</v>
      </c>
      <c r="AQ6" s="67">
        <v>284.57</v>
      </c>
      <c r="AR6" s="67">
        <v>390.87</v>
      </c>
      <c r="AS6" s="68">
        <v>649.97</v>
      </c>
      <c r="AT6" s="63"/>
      <c r="AU6" s="63">
        <v>137.39711063587549</v>
      </c>
    </row>
    <row r="7" spans="1:47" hidden="1" outlineLevel="1" x14ac:dyDescent="0.2">
      <c r="A7" s="61" t="s">
        <v>165</v>
      </c>
      <c r="B7" s="62">
        <v>4990.01</v>
      </c>
      <c r="C7" s="54">
        <v>0</v>
      </c>
      <c r="D7" s="54">
        <v>4666.2</v>
      </c>
      <c r="E7" s="63"/>
      <c r="F7" s="64">
        <v>106.93947966225194</v>
      </c>
      <c r="G7" s="65">
        <v>4106.42</v>
      </c>
      <c r="H7" s="54">
        <v>3917.5</v>
      </c>
      <c r="I7" s="54">
        <v>3815.3</v>
      </c>
      <c r="J7" s="54">
        <v>4990.01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16829.23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3495.06</v>
      </c>
      <c r="AH7" s="67">
        <v>3799.94</v>
      </c>
      <c r="AI7" s="67">
        <v>3916.36</v>
      </c>
      <c r="AJ7" s="67">
        <v>4666.2</v>
      </c>
      <c r="AK7" s="67">
        <v>5978.26</v>
      </c>
      <c r="AL7" s="67">
        <v>7049.62</v>
      </c>
      <c r="AM7" s="67">
        <v>6481.54</v>
      </c>
      <c r="AN7" s="67">
        <v>6790.17</v>
      </c>
      <c r="AO7" s="67">
        <v>6790.16</v>
      </c>
      <c r="AP7" s="67">
        <v>6762.24</v>
      </c>
      <c r="AQ7" s="67">
        <v>8173.07</v>
      </c>
      <c r="AR7" s="67">
        <v>4284.9799999999996</v>
      </c>
      <c r="AS7" s="68">
        <v>15877.56</v>
      </c>
      <c r="AT7" s="63"/>
      <c r="AU7" s="63">
        <v>105.99380509347785</v>
      </c>
    </row>
    <row r="8" spans="1:47" ht="12.75" customHeight="1" collapsed="1" x14ac:dyDescent="0.2">
      <c r="A8" s="69" t="s">
        <v>166</v>
      </c>
      <c r="B8" s="70">
        <v>77131.199999999997</v>
      </c>
      <c r="C8" s="71">
        <v>0</v>
      </c>
      <c r="D8" s="71">
        <v>56742.83</v>
      </c>
      <c r="E8" s="72"/>
      <c r="F8" s="73">
        <v>135.93118284724255</v>
      </c>
      <c r="G8" s="70">
        <v>40966.379999999997</v>
      </c>
      <c r="H8" s="71">
        <v>38014.050000000003</v>
      </c>
      <c r="I8" s="71">
        <v>20337.939999999999</v>
      </c>
      <c r="J8" s="71">
        <v>77131.199999999997</v>
      </c>
      <c r="K8" s="74">
        <v>-891.2</v>
      </c>
      <c r="L8" s="71">
        <v>0</v>
      </c>
      <c r="M8" s="71">
        <v>0</v>
      </c>
      <c r="N8" s="71">
        <v>0</v>
      </c>
      <c r="O8" s="71">
        <v>0</v>
      </c>
      <c r="P8" s="71">
        <v>0</v>
      </c>
      <c r="Q8" s="71">
        <v>0</v>
      </c>
      <c r="R8" s="71">
        <v>0</v>
      </c>
      <c r="S8" s="71">
        <v>176449.57</v>
      </c>
      <c r="T8" s="71">
        <v>0</v>
      </c>
      <c r="U8" s="71">
        <v>0</v>
      </c>
      <c r="V8" s="71">
        <v>0</v>
      </c>
      <c r="W8" s="71">
        <v>0</v>
      </c>
      <c r="X8" s="71">
        <v>0</v>
      </c>
      <c r="Y8" s="71">
        <v>0</v>
      </c>
      <c r="Z8" s="71">
        <v>0</v>
      </c>
      <c r="AA8" s="71">
        <v>0</v>
      </c>
      <c r="AB8" s="71">
        <v>0</v>
      </c>
      <c r="AC8" s="71">
        <v>0</v>
      </c>
      <c r="AD8" s="71">
        <v>0</v>
      </c>
      <c r="AE8" s="71">
        <v>0</v>
      </c>
      <c r="AF8" s="71">
        <v>0</v>
      </c>
      <c r="AG8" s="75">
        <v>44339.5</v>
      </c>
      <c r="AH8" s="75">
        <v>50933.03</v>
      </c>
      <c r="AI8" s="75">
        <v>44633.96</v>
      </c>
      <c r="AJ8" s="75">
        <v>56742.83</v>
      </c>
      <c r="AK8" s="75">
        <v>69292.55</v>
      </c>
      <c r="AL8" s="75">
        <v>81684.41</v>
      </c>
      <c r="AM8" s="75">
        <v>72682.31</v>
      </c>
      <c r="AN8" s="75">
        <v>82202.33</v>
      </c>
      <c r="AO8" s="75">
        <v>76583.98</v>
      </c>
      <c r="AP8" s="75">
        <v>72140.160000000003</v>
      </c>
      <c r="AQ8" s="75">
        <v>101974.16</v>
      </c>
      <c r="AR8" s="75">
        <v>49271.18</v>
      </c>
      <c r="AS8" s="75">
        <v>196649.32</v>
      </c>
      <c r="AT8" s="72"/>
      <c r="AU8" s="72">
        <v>89.728034655802517</v>
      </c>
    </row>
    <row r="9" spans="1:47" ht="12.75" customHeight="1" x14ac:dyDescent="0.2">
      <c r="A9" s="61" t="s">
        <v>167</v>
      </c>
      <c r="B9" s="62">
        <v>44.94</v>
      </c>
      <c r="C9" s="54"/>
      <c r="D9" s="54">
        <v>759.9</v>
      </c>
      <c r="E9" s="63"/>
      <c r="F9" s="64">
        <v>5.913936044216344</v>
      </c>
      <c r="G9" s="65">
        <v>201.91</v>
      </c>
      <c r="H9" s="54">
        <v>210</v>
      </c>
      <c r="I9" s="54">
        <v>3.04</v>
      </c>
      <c r="J9" s="54">
        <v>44.94</v>
      </c>
      <c r="K9" s="54">
        <v>0</v>
      </c>
      <c r="L9" s="54">
        <v>0</v>
      </c>
      <c r="M9" s="54">
        <v>0</v>
      </c>
      <c r="N9" s="54">
        <v>0</v>
      </c>
      <c r="O9" s="54">
        <v>0</v>
      </c>
      <c r="P9" s="54">
        <v>0</v>
      </c>
      <c r="Q9" s="54">
        <v>0</v>
      </c>
      <c r="R9" s="54">
        <v>0</v>
      </c>
      <c r="S9" s="66">
        <v>459.89</v>
      </c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66"/>
      <c r="AG9" s="67">
        <v>959.86</v>
      </c>
      <c r="AH9" s="98">
        <v>-86.02</v>
      </c>
      <c r="AI9" s="67">
        <v>679.92</v>
      </c>
      <c r="AJ9" s="67">
        <v>759.9</v>
      </c>
      <c r="AK9" s="67">
        <v>1160.04</v>
      </c>
      <c r="AL9" s="67">
        <v>799.92</v>
      </c>
      <c r="AM9" s="67">
        <v>821.44</v>
      </c>
      <c r="AN9" s="67">
        <v>696.98</v>
      </c>
      <c r="AO9" s="67">
        <v>761.84</v>
      </c>
      <c r="AP9" s="67">
        <v>799.55</v>
      </c>
      <c r="AQ9" s="67">
        <v>1190.02</v>
      </c>
      <c r="AR9" s="67">
        <v>724.39</v>
      </c>
      <c r="AS9" s="68">
        <v>2313.66</v>
      </c>
      <c r="AT9" s="63"/>
      <c r="AU9" s="63">
        <v>19.877164319735829</v>
      </c>
    </row>
    <row r="10" spans="1:47" ht="12.75" customHeight="1" x14ac:dyDescent="0.2">
      <c r="A10" s="61" t="s">
        <v>168</v>
      </c>
      <c r="B10" s="96">
        <v>-0.02</v>
      </c>
      <c r="C10" s="54"/>
      <c r="D10" s="54">
        <v>0</v>
      </c>
      <c r="E10" s="63"/>
      <c r="F10" s="64"/>
      <c r="G10" s="65">
        <v>0.01</v>
      </c>
      <c r="H10" s="56">
        <v>-0.01</v>
      </c>
      <c r="I10" s="54">
        <v>0</v>
      </c>
      <c r="J10" s="56">
        <v>-0.02</v>
      </c>
      <c r="K10" s="54">
        <v>0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76">
        <v>-0.02</v>
      </c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>
        <v>0</v>
      </c>
      <c r="AH10" s="67">
        <v>58.5</v>
      </c>
      <c r="AI10" s="67">
        <v>0</v>
      </c>
      <c r="AJ10" s="67">
        <v>0</v>
      </c>
      <c r="AK10" s="67">
        <v>0.02</v>
      </c>
      <c r="AL10" s="67">
        <v>0</v>
      </c>
      <c r="AM10" s="98">
        <v>-101.16</v>
      </c>
      <c r="AN10" s="98">
        <v>-0.01</v>
      </c>
      <c r="AO10" s="67">
        <v>0.01</v>
      </c>
      <c r="AP10" s="98">
        <v>-0.01</v>
      </c>
      <c r="AQ10" s="98">
        <v>-0.02</v>
      </c>
      <c r="AR10" s="98">
        <v>-3.02</v>
      </c>
      <c r="AS10" s="68">
        <v>58.5</v>
      </c>
      <c r="AT10" s="63"/>
      <c r="AU10" s="63">
        <v>-3.4188034188034191E-2</v>
      </c>
    </row>
    <row r="11" spans="1:47" ht="12.75" customHeight="1" x14ac:dyDescent="0.2">
      <c r="A11" s="61" t="s">
        <v>169</v>
      </c>
      <c r="B11" s="62">
        <v>846.89</v>
      </c>
      <c r="C11" s="54">
        <v>0</v>
      </c>
      <c r="D11" s="54">
        <v>195.73</v>
      </c>
      <c r="E11" s="63"/>
      <c r="F11" s="64">
        <v>432.68277729525369</v>
      </c>
      <c r="G11" s="65">
        <v>1316.53</v>
      </c>
      <c r="H11" s="54">
        <v>655.64</v>
      </c>
      <c r="I11" s="54">
        <v>783.54</v>
      </c>
      <c r="J11" s="54">
        <v>846.89</v>
      </c>
      <c r="K11" s="54">
        <v>0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66">
        <v>3602.6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0</v>
      </c>
      <c r="AC11" s="54">
        <v>0</v>
      </c>
      <c r="AD11" s="54">
        <v>0</v>
      </c>
      <c r="AE11" s="54">
        <v>0</v>
      </c>
      <c r="AF11" s="66">
        <v>0</v>
      </c>
      <c r="AG11" s="67">
        <v>180.17</v>
      </c>
      <c r="AH11" s="67">
        <v>386.17</v>
      </c>
      <c r="AI11" s="67">
        <v>391.32</v>
      </c>
      <c r="AJ11" s="67">
        <v>195.73</v>
      </c>
      <c r="AK11" s="67">
        <v>278.02</v>
      </c>
      <c r="AL11" s="67">
        <v>67.64</v>
      </c>
      <c r="AM11" s="67">
        <v>326.08</v>
      </c>
      <c r="AN11" s="67">
        <v>124.71</v>
      </c>
      <c r="AO11" s="67">
        <v>774.72</v>
      </c>
      <c r="AP11" s="67">
        <v>196.61</v>
      </c>
      <c r="AQ11" s="67">
        <v>40.380000000000003</v>
      </c>
      <c r="AR11" s="67">
        <v>1291.29</v>
      </c>
      <c r="AS11" s="68">
        <v>1153.3900000000001</v>
      </c>
      <c r="AT11" s="63"/>
      <c r="AU11" s="63">
        <v>312.34881523162159</v>
      </c>
    </row>
    <row r="12" spans="1:47" ht="12.75" customHeight="1" x14ac:dyDescent="0.2">
      <c r="A12" s="61" t="s">
        <v>50</v>
      </c>
      <c r="B12" s="62"/>
      <c r="C12" s="54"/>
      <c r="D12" s="54"/>
      <c r="E12" s="63"/>
      <c r="F12" s="64"/>
      <c r="G12" s="65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66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6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8"/>
      <c r="AT12" s="63"/>
      <c r="AU12" s="63"/>
    </row>
    <row r="13" spans="1:47" ht="12.75" customHeight="1" x14ac:dyDescent="0.2">
      <c r="A13" s="61" t="s">
        <v>170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47" ht="12.75" customHeight="1" x14ac:dyDescent="0.2">
      <c r="A14" s="61" t="s">
        <v>171</v>
      </c>
      <c r="B14" s="62">
        <v>0</v>
      </c>
      <c r="C14" s="54">
        <v>0</v>
      </c>
      <c r="D14" s="54">
        <v>0</v>
      </c>
      <c r="E14" s="63"/>
      <c r="F14" s="64"/>
      <c r="G14" s="65">
        <v>0</v>
      </c>
      <c r="H14" s="54">
        <v>0</v>
      </c>
      <c r="I14" s="54">
        <v>0</v>
      </c>
      <c r="J14" s="54">
        <v>0</v>
      </c>
      <c r="K14" s="54">
        <v>0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0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67">
        <v>0</v>
      </c>
      <c r="AH14" s="67">
        <v>0</v>
      </c>
      <c r="AI14" s="67">
        <v>25</v>
      </c>
      <c r="AJ14" s="67">
        <v>0</v>
      </c>
      <c r="AK14" s="67">
        <v>0</v>
      </c>
      <c r="AL14" s="67">
        <v>0</v>
      </c>
      <c r="AM14" s="67">
        <v>0</v>
      </c>
      <c r="AN14" s="67">
        <v>0</v>
      </c>
      <c r="AO14" s="67">
        <v>0</v>
      </c>
      <c r="AP14" s="67">
        <v>0</v>
      </c>
      <c r="AQ14" s="67">
        <v>0</v>
      </c>
      <c r="AR14" s="67">
        <v>0</v>
      </c>
      <c r="AS14" s="68">
        <v>25</v>
      </c>
      <c r="AT14" s="63"/>
      <c r="AU14" s="63">
        <v>0</v>
      </c>
    </row>
    <row r="15" spans="1:47" ht="12.75" customHeight="1" x14ac:dyDescent="0.2">
      <c r="A15" s="61" t="s">
        <v>172</v>
      </c>
      <c r="B15" s="62"/>
      <c r="C15" s="54"/>
      <c r="D15" s="54"/>
      <c r="E15" s="63"/>
      <c r="F15" s="64"/>
      <c r="G15" s="65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66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66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8"/>
      <c r="AT15" s="63"/>
      <c r="AU15" s="63"/>
    </row>
    <row r="16" spans="1:47" ht="12.75" customHeight="1" x14ac:dyDescent="0.2">
      <c r="A16" s="61" t="s">
        <v>173</v>
      </c>
      <c r="B16" s="62">
        <v>747.88</v>
      </c>
      <c r="C16" s="54">
        <v>0</v>
      </c>
      <c r="D16" s="54">
        <v>793.73</v>
      </c>
      <c r="E16" s="63"/>
      <c r="F16" s="64">
        <v>94.223476497045596</v>
      </c>
      <c r="G16" s="65">
        <v>747.88</v>
      </c>
      <c r="H16" s="54">
        <v>747.89</v>
      </c>
      <c r="I16" s="54">
        <v>747.88</v>
      </c>
      <c r="J16" s="54">
        <v>747.88</v>
      </c>
      <c r="K16" s="54"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66">
        <v>2991.53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>
        <v>793.74</v>
      </c>
      <c r="AH16" s="67">
        <v>793.74</v>
      </c>
      <c r="AI16" s="67">
        <v>793.75</v>
      </c>
      <c r="AJ16" s="67">
        <v>793.73</v>
      </c>
      <c r="AK16" s="67">
        <v>793.74</v>
      </c>
      <c r="AL16" s="67">
        <v>793.74</v>
      </c>
      <c r="AM16" s="67">
        <v>793.75</v>
      </c>
      <c r="AN16" s="67">
        <v>747.88</v>
      </c>
      <c r="AO16" s="67">
        <v>747.88</v>
      </c>
      <c r="AP16" s="67">
        <v>747.88</v>
      </c>
      <c r="AQ16" s="67">
        <v>747.89</v>
      </c>
      <c r="AR16" s="67">
        <v>747.88</v>
      </c>
      <c r="AS16" s="68">
        <v>3174.96</v>
      </c>
      <c r="AT16" s="63"/>
      <c r="AU16" s="63">
        <v>94.222604379267764</v>
      </c>
    </row>
    <row r="17" spans="1:47" ht="12.75" customHeight="1" x14ac:dyDescent="0.2">
      <c r="A17" s="61" t="s">
        <v>257</v>
      </c>
      <c r="B17" s="62">
        <v>1688.4</v>
      </c>
      <c r="C17" s="54">
        <v>0</v>
      </c>
      <c r="D17" s="54">
        <v>1583.42</v>
      </c>
      <c r="E17" s="63"/>
      <c r="F17" s="64">
        <v>106.62995288678935</v>
      </c>
      <c r="G17" s="65">
        <v>1713.02</v>
      </c>
      <c r="H17" s="54">
        <v>1713.02</v>
      </c>
      <c r="I17" s="54">
        <v>1712</v>
      </c>
      <c r="J17" s="54">
        <v>1688.4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6826.44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1931.41</v>
      </c>
      <c r="AH17" s="67">
        <v>1931.41</v>
      </c>
      <c r="AI17" s="67">
        <v>2114.2600000000002</v>
      </c>
      <c r="AJ17" s="67">
        <v>1583.42</v>
      </c>
      <c r="AK17" s="67">
        <v>1647.76</v>
      </c>
      <c r="AL17" s="67">
        <v>1645.63</v>
      </c>
      <c r="AM17" s="67">
        <v>1645.63</v>
      </c>
      <c r="AN17" s="67">
        <v>1642.16</v>
      </c>
      <c r="AO17" s="67">
        <v>1644.39</v>
      </c>
      <c r="AP17" s="67">
        <v>1685.61</v>
      </c>
      <c r="AQ17" s="67">
        <v>1664.95</v>
      </c>
      <c r="AR17" s="67">
        <v>1757.87</v>
      </c>
      <c r="AS17" s="68">
        <v>7560.5</v>
      </c>
      <c r="AT17" s="63"/>
      <c r="AU17" s="63">
        <v>90.290853779511934</v>
      </c>
    </row>
    <row r="18" spans="1:47" ht="12.75" hidden="1" customHeight="1" outlineLevel="1" x14ac:dyDescent="0.2">
      <c r="A18" s="61" t="s">
        <v>109</v>
      </c>
      <c r="B18" s="62">
        <v>0</v>
      </c>
      <c r="C18" s="54">
        <v>0</v>
      </c>
      <c r="D18" s="54">
        <v>0</v>
      </c>
      <c r="E18" s="63"/>
      <c r="F18" s="64"/>
      <c r="G18" s="65">
        <v>0</v>
      </c>
      <c r="H18" s="54">
        <v>0</v>
      </c>
      <c r="I18" s="54">
        <v>0</v>
      </c>
      <c r="J18" s="54">
        <v>0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0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0</v>
      </c>
      <c r="AH18" s="67">
        <v>0</v>
      </c>
      <c r="AI18" s="67">
        <v>0</v>
      </c>
      <c r="AJ18" s="67">
        <v>0</v>
      </c>
      <c r="AK18" s="67">
        <v>0</v>
      </c>
      <c r="AL18" s="67">
        <v>0</v>
      </c>
      <c r="AM18" s="67">
        <v>0</v>
      </c>
      <c r="AN18" s="67">
        <v>0</v>
      </c>
      <c r="AO18" s="67">
        <v>0</v>
      </c>
      <c r="AP18" s="67">
        <v>0</v>
      </c>
      <c r="AQ18" s="67">
        <v>0</v>
      </c>
      <c r="AR18" s="67">
        <v>0</v>
      </c>
      <c r="AS18" s="68">
        <v>0</v>
      </c>
      <c r="AT18" s="63"/>
      <c r="AU18" s="63"/>
    </row>
    <row r="19" spans="1:47" ht="12.75" hidden="1" customHeight="1" outlineLevel="1" x14ac:dyDescent="0.2">
      <c r="A19" s="61" t="s">
        <v>97</v>
      </c>
      <c r="B19" s="62">
        <v>170</v>
      </c>
      <c r="C19" s="54">
        <v>0</v>
      </c>
      <c r="D19" s="54">
        <v>170</v>
      </c>
      <c r="E19" s="63"/>
      <c r="F19" s="64">
        <v>100</v>
      </c>
      <c r="G19" s="65">
        <v>170</v>
      </c>
      <c r="H19" s="54">
        <v>170</v>
      </c>
      <c r="I19" s="54">
        <v>170</v>
      </c>
      <c r="J19" s="54">
        <v>170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680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15</v>
      </c>
      <c r="AH19" s="67">
        <v>15</v>
      </c>
      <c r="AI19" s="67">
        <v>243.03</v>
      </c>
      <c r="AJ19" s="67">
        <v>170</v>
      </c>
      <c r="AK19" s="67">
        <v>59.13</v>
      </c>
      <c r="AL19" s="67">
        <v>170</v>
      </c>
      <c r="AM19" s="67">
        <v>170</v>
      </c>
      <c r="AN19" s="67">
        <v>170</v>
      </c>
      <c r="AO19" s="67">
        <v>170</v>
      </c>
      <c r="AP19" s="67">
        <v>170</v>
      </c>
      <c r="AQ19" s="67">
        <v>170</v>
      </c>
      <c r="AR19" s="67">
        <v>170</v>
      </c>
      <c r="AS19" s="68">
        <v>443.03</v>
      </c>
      <c r="AT19" s="63"/>
      <c r="AU19" s="63">
        <v>153.48847707830168</v>
      </c>
    </row>
    <row r="20" spans="1:47" ht="12.75" hidden="1" customHeight="1" outlineLevel="1" x14ac:dyDescent="0.2">
      <c r="A20" s="61" t="s">
        <v>69</v>
      </c>
      <c r="B20" s="62">
        <v>0</v>
      </c>
      <c r="C20" s="54">
        <v>0</v>
      </c>
      <c r="D20" s="54">
        <v>0</v>
      </c>
      <c r="E20" s="63"/>
      <c r="F20" s="64"/>
      <c r="G20" s="65">
        <v>0</v>
      </c>
      <c r="H20" s="54">
        <v>0</v>
      </c>
      <c r="I20" s="54">
        <v>0</v>
      </c>
      <c r="J20" s="54">
        <v>0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66">
        <v>0</v>
      </c>
      <c r="T20" s="54">
        <v>0</v>
      </c>
      <c r="U20" s="54">
        <v>0</v>
      </c>
      <c r="V20" s="54">
        <v>0</v>
      </c>
      <c r="W20" s="54">
        <v>0</v>
      </c>
      <c r="X20" s="54">
        <v>0</v>
      </c>
      <c r="Y20" s="54">
        <v>0</v>
      </c>
      <c r="Z20" s="54">
        <v>0</v>
      </c>
      <c r="AA20" s="54">
        <v>0</v>
      </c>
      <c r="AB20" s="54">
        <v>0</v>
      </c>
      <c r="AC20" s="54">
        <v>0</v>
      </c>
      <c r="AD20" s="54">
        <v>0</v>
      </c>
      <c r="AE20" s="54">
        <v>0</v>
      </c>
      <c r="AF20" s="66">
        <v>0</v>
      </c>
      <c r="AG20" s="67">
        <v>0</v>
      </c>
      <c r="AH20" s="67">
        <v>0</v>
      </c>
      <c r="AI20" s="67">
        <v>0</v>
      </c>
      <c r="AJ20" s="67">
        <v>0</v>
      </c>
      <c r="AK20" s="67">
        <v>0</v>
      </c>
      <c r="AL20" s="67">
        <v>0</v>
      </c>
      <c r="AM20" s="67">
        <v>0</v>
      </c>
      <c r="AN20" s="67">
        <v>0</v>
      </c>
      <c r="AO20" s="67">
        <v>0</v>
      </c>
      <c r="AP20" s="67">
        <v>0</v>
      </c>
      <c r="AQ20" s="67">
        <v>0</v>
      </c>
      <c r="AR20" s="67">
        <v>0</v>
      </c>
      <c r="AS20" s="68">
        <v>0</v>
      </c>
      <c r="AT20" s="63"/>
      <c r="AU20" s="63"/>
    </row>
    <row r="21" spans="1:47" ht="12.75" customHeight="1" collapsed="1" x14ac:dyDescent="0.2">
      <c r="A21" s="69" t="s">
        <v>70</v>
      </c>
      <c r="B21" s="70">
        <v>170</v>
      </c>
      <c r="C21" s="71">
        <v>0</v>
      </c>
      <c r="D21" s="71">
        <v>170</v>
      </c>
      <c r="E21" s="72"/>
      <c r="F21" s="73">
        <v>100</v>
      </c>
      <c r="G21" s="70">
        <v>170</v>
      </c>
      <c r="H21" s="71">
        <v>170</v>
      </c>
      <c r="I21" s="71">
        <v>170</v>
      </c>
      <c r="J21" s="71">
        <v>170</v>
      </c>
      <c r="K21" s="71">
        <v>0</v>
      </c>
      <c r="L21" s="71">
        <v>0</v>
      </c>
      <c r="M21" s="71">
        <v>0</v>
      </c>
      <c r="N21" s="71">
        <v>0</v>
      </c>
      <c r="O21" s="71">
        <v>0</v>
      </c>
      <c r="P21" s="71">
        <v>0</v>
      </c>
      <c r="Q21" s="71">
        <v>0</v>
      </c>
      <c r="R21" s="71">
        <v>0</v>
      </c>
      <c r="S21" s="71">
        <v>680</v>
      </c>
      <c r="T21" s="71">
        <v>0</v>
      </c>
      <c r="U21" s="71">
        <v>0</v>
      </c>
      <c r="V21" s="71">
        <v>0</v>
      </c>
      <c r="W21" s="71">
        <v>0</v>
      </c>
      <c r="X21" s="71">
        <v>0</v>
      </c>
      <c r="Y21" s="71">
        <v>0</v>
      </c>
      <c r="Z21" s="71">
        <v>0</v>
      </c>
      <c r="AA21" s="71">
        <v>0</v>
      </c>
      <c r="AB21" s="71">
        <v>0</v>
      </c>
      <c r="AC21" s="71">
        <v>0</v>
      </c>
      <c r="AD21" s="71">
        <v>0</v>
      </c>
      <c r="AE21" s="71">
        <v>0</v>
      </c>
      <c r="AF21" s="71">
        <v>0</v>
      </c>
      <c r="AG21" s="75">
        <v>15</v>
      </c>
      <c r="AH21" s="75">
        <v>15</v>
      </c>
      <c r="AI21" s="75">
        <v>243.03</v>
      </c>
      <c r="AJ21" s="75">
        <v>170</v>
      </c>
      <c r="AK21" s="75">
        <v>59.13</v>
      </c>
      <c r="AL21" s="75">
        <v>170</v>
      </c>
      <c r="AM21" s="75">
        <v>170</v>
      </c>
      <c r="AN21" s="75">
        <v>170</v>
      </c>
      <c r="AO21" s="75">
        <v>170</v>
      </c>
      <c r="AP21" s="75">
        <v>170</v>
      </c>
      <c r="AQ21" s="75">
        <v>170</v>
      </c>
      <c r="AR21" s="75">
        <v>170</v>
      </c>
      <c r="AS21" s="75">
        <v>443.03</v>
      </c>
      <c r="AT21" s="72"/>
      <c r="AU21" s="72">
        <v>153.48847707830168</v>
      </c>
    </row>
    <row r="22" spans="1:47" ht="12.75" hidden="1" customHeight="1" outlineLevel="1" x14ac:dyDescent="0.2">
      <c r="A22" s="61" t="s">
        <v>174</v>
      </c>
      <c r="B22" s="62">
        <v>0</v>
      </c>
      <c r="C22" s="54">
        <v>0</v>
      </c>
      <c r="D22" s="54">
        <v>0</v>
      </c>
      <c r="E22" s="63"/>
      <c r="F22" s="64"/>
      <c r="G22" s="65">
        <v>0</v>
      </c>
      <c r="H22" s="54">
        <v>0</v>
      </c>
      <c r="I22" s="54">
        <v>0</v>
      </c>
      <c r="J22" s="54">
        <v>0</v>
      </c>
      <c r="K22" s="54">
        <v>0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66">
        <v>0</v>
      </c>
      <c r="T22" s="54">
        <v>0</v>
      </c>
      <c r="U22" s="54">
        <v>0</v>
      </c>
      <c r="V22" s="54">
        <v>0</v>
      </c>
      <c r="W22" s="54">
        <v>0</v>
      </c>
      <c r="X22" s="54">
        <v>0</v>
      </c>
      <c r="Y22" s="54">
        <v>0</v>
      </c>
      <c r="Z22" s="54">
        <v>0</v>
      </c>
      <c r="AA22" s="54">
        <v>0</v>
      </c>
      <c r="AB22" s="54">
        <v>0</v>
      </c>
      <c r="AC22" s="54">
        <v>0</v>
      </c>
      <c r="AD22" s="54">
        <v>0</v>
      </c>
      <c r="AE22" s="54">
        <v>0</v>
      </c>
      <c r="AF22" s="66">
        <v>0</v>
      </c>
      <c r="AG22" s="67">
        <v>0</v>
      </c>
      <c r="AH22" s="67">
        <v>0</v>
      </c>
      <c r="AI22" s="67">
        <v>0</v>
      </c>
      <c r="AJ22" s="67">
        <v>0</v>
      </c>
      <c r="AK22" s="67">
        <v>0</v>
      </c>
      <c r="AL22" s="67">
        <v>0</v>
      </c>
      <c r="AM22" s="67">
        <v>0</v>
      </c>
      <c r="AN22" s="67">
        <v>0</v>
      </c>
      <c r="AO22" s="67">
        <v>0</v>
      </c>
      <c r="AP22" s="67">
        <v>0</v>
      </c>
      <c r="AQ22" s="67">
        <v>0</v>
      </c>
      <c r="AR22" s="67">
        <v>0</v>
      </c>
      <c r="AS22" s="68">
        <v>0</v>
      </c>
      <c r="AT22" s="63"/>
      <c r="AU22" s="63"/>
    </row>
    <row r="23" spans="1:47" ht="12.75" hidden="1" customHeight="1" outlineLevel="1" x14ac:dyDescent="0.2">
      <c r="A23" s="61" t="s">
        <v>99</v>
      </c>
      <c r="B23" s="62">
        <v>581.47</v>
      </c>
      <c r="C23" s="54">
        <v>0</v>
      </c>
      <c r="D23" s="54">
        <v>581.70000000000005</v>
      </c>
      <c r="E23" s="63"/>
      <c r="F23" s="64">
        <v>99.960460718583462</v>
      </c>
      <c r="G23" s="65">
        <v>857.88</v>
      </c>
      <c r="H23" s="54">
        <v>698.2</v>
      </c>
      <c r="I23" s="54">
        <v>441.83</v>
      </c>
      <c r="J23" s="54">
        <v>581.47</v>
      </c>
      <c r="K23" s="56">
        <v>-350.29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2579.38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385.13</v>
      </c>
      <c r="AH23" s="67">
        <v>664.49</v>
      </c>
      <c r="AI23" s="67">
        <v>231.21</v>
      </c>
      <c r="AJ23" s="67">
        <v>581.70000000000005</v>
      </c>
      <c r="AK23" s="67">
        <v>773.02</v>
      </c>
      <c r="AL23" s="67">
        <v>115.72</v>
      </c>
      <c r="AM23" s="67">
        <v>137.88</v>
      </c>
      <c r="AN23" s="67">
        <v>884.13</v>
      </c>
      <c r="AO23" s="67">
        <v>562.91</v>
      </c>
      <c r="AP23" s="67">
        <v>0</v>
      </c>
      <c r="AQ23" s="67">
        <v>809.15</v>
      </c>
      <c r="AR23" s="67">
        <v>0</v>
      </c>
      <c r="AS23" s="68">
        <v>1862.53</v>
      </c>
      <c r="AT23" s="63"/>
      <c r="AU23" s="63">
        <v>138.48797066355979</v>
      </c>
    </row>
    <row r="24" spans="1:47" ht="12.75" hidden="1" customHeight="1" outlineLevel="1" x14ac:dyDescent="0.2">
      <c r="A24" s="61" t="s">
        <v>175</v>
      </c>
      <c r="B24" s="62">
        <v>0</v>
      </c>
      <c r="C24" s="54">
        <v>0</v>
      </c>
      <c r="D24" s="54">
        <v>0</v>
      </c>
      <c r="E24" s="63"/>
      <c r="F24" s="64"/>
      <c r="G24" s="65">
        <v>0</v>
      </c>
      <c r="H24" s="54">
        <v>0</v>
      </c>
      <c r="I24" s="54">
        <v>0</v>
      </c>
      <c r="J24" s="54">
        <v>0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0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0</v>
      </c>
      <c r="AH24" s="67">
        <v>0</v>
      </c>
      <c r="AI24" s="67">
        <v>0</v>
      </c>
      <c r="AJ24" s="67">
        <v>0</v>
      </c>
      <c r="AK24" s="67">
        <v>0</v>
      </c>
      <c r="AL24" s="67">
        <v>0</v>
      </c>
      <c r="AM24" s="67">
        <v>0</v>
      </c>
      <c r="AN24" s="67">
        <v>0</v>
      </c>
      <c r="AO24" s="67">
        <v>0</v>
      </c>
      <c r="AP24" s="67">
        <v>0</v>
      </c>
      <c r="AQ24" s="67">
        <v>0</v>
      </c>
      <c r="AR24" s="67">
        <v>0</v>
      </c>
      <c r="AS24" s="68">
        <v>0</v>
      </c>
      <c r="AT24" s="63"/>
      <c r="AU24" s="63"/>
    </row>
    <row r="25" spans="1:47" ht="12.75" hidden="1" customHeight="1" outlineLevel="1" x14ac:dyDescent="0.2">
      <c r="A25" s="61" t="s">
        <v>100</v>
      </c>
      <c r="B25" s="62">
        <v>736.16</v>
      </c>
      <c r="C25" s="54">
        <v>0</v>
      </c>
      <c r="D25" s="54">
        <v>791.05</v>
      </c>
      <c r="E25" s="63"/>
      <c r="F25" s="64">
        <v>93.061121294482021</v>
      </c>
      <c r="G25" s="65">
        <v>1331.28</v>
      </c>
      <c r="H25" s="54">
        <v>1131.98</v>
      </c>
      <c r="I25" s="54">
        <v>981.94</v>
      </c>
      <c r="J25" s="54">
        <v>736.16</v>
      </c>
      <c r="K25" s="56">
        <v>-907.81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4181.3599999999997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1233.45</v>
      </c>
      <c r="AH25" s="67">
        <v>950.51</v>
      </c>
      <c r="AI25" s="67">
        <v>2184</v>
      </c>
      <c r="AJ25" s="67">
        <v>791.05</v>
      </c>
      <c r="AK25" s="67">
        <v>709.26</v>
      </c>
      <c r="AL25" s="67">
        <v>445.06</v>
      </c>
      <c r="AM25" s="67">
        <v>366.75</v>
      </c>
      <c r="AN25" s="67">
        <v>1128.07</v>
      </c>
      <c r="AO25" s="67">
        <v>230.17</v>
      </c>
      <c r="AP25" s="98">
        <v>-819.89</v>
      </c>
      <c r="AQ25" s="67">
        <v>1677.38</v>
      </c>
      <c r="AR25" s="98">
        <v>-1342.66</v>
      </c>
      <c r="AS25" s="68">
        <v>5159.01</v>
      </c>
      <c r="AT25" s="63"/>
      <c r="AU25" s="63">
        <v>81.04965875235753</v>
      </c>
    </row>
    <row r="26" spans="1:47" ht="12.75" hidden="1" customHeight="1" outlineLevel="1" x14ac:dyDescent="0.2">
      <c r="A26" s="61" t="s">
        <v>101</v>
      </c>
      <c r="B26" s="62">
        <v>24.78</v>
      </c>
      <c r="C26" s="54">
        <v>0</v>
      </c>
      <c r="D26" s="54">
        <v>47.66</v>
      </c>
      <c r="E26" s="63"/>
      <c r="F26" s="64">
        <v>51.99328577423416</v>
      </c>
      <c r="G26" s="65">
        <v>62.11</v>
      </c>
      <c r="H26" s="54">
        <v>774.56</v>
      </c>
      <c r="I26" s="54">
        <v>49.56</v>
      </c>
      <c r="J26" s="54">
        <v>24.78</v>
      </c>
      <c r="K26" s="56">
        <v>-24.56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911.01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44.15</v>
      </c>
      <c r="AH26" s="67">
        <v>43.23</v>
      </c>
      <c r="AI26" s="67">
        <v>47.97</v>
      </c>
      <c r="AJ26" s="67">
        <v>47.66</v>
      </c>
      <c r="AK26" s="67">
        <v>334.7</v>
      </c>
      <c r="AL26" s="67">
        <v>26.71</v>
      </c>
      <c r="AM26" s="67">
        <v>157.94999999999999</v>
      </c>
      <c r="AN26" s="67">
        <v>190.92</v>
      </c>
      <c r="AO26" s="67">
        <v>125.1</v>
      </c>
      <c r="AP26" s="67">
        <v>100.93</v>
      </c>
      <c r="AQ26" s="67">
        <v>0</v>
      </c>
      <c r="AR26" s="67">
        <v>124.49</v>
      </c>
      <c r="AS26" s="68">
        <v>183.01</v>
      </c>
      <c r="AT26" s="63"/>
      <c r="AU26" s="63">
        <v>497.79247035681112</v>
      </c>
    </row>
    <row r="27" spans="1:47" ht="12.75" hidden="1" customHeight="1" outlineLevel="1" x14ac:dyDescent="0.2">
      <c r="A27" s="61" t="s">
        <v>176</v>
      </c>
      <c r="B27" s="62">
        <v>237.2</v>
      </c>
      <c r="C27" s="54">
        <v>0</v>
      </c>
      <c r="D27" s="54">
        <v>0</v>
      </c>
      <c r="E27" s="63"/>
      <c r="F27" s="64"/>
      <c r="G27" s="65">
        <v>274.14</v>
      </c>
      <c r="H27" s="54">
        <v>232.2</v>
      </c>
      <c r="I27" s="54">
        <v>223.95</v>
      </c>
      <c r="J27" s="54">
        <v>237.2</v>
      </c>
      <c r="K27" s="54">
        <v>0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967.49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272.66000000000003</v>
      </c>
      <c r="AH27" s="67">
        <v>272.66000000000003</v>
      </c>
      <c r="AI27" s="67">
        <v>197.87</v>
      </c>
      <c r="AJ27" s="67">
        <v>0</v>
      </c>
      <c r="AK27" s="67">
        <v>174.22</v>
      </c>
      <c r="AL27" s="67">
        <v>174.06</v>
      </c>
      <c r="AM27" s="67">
        <v>625.94000000000005</v>
      </c>
      <c r="AN27" s="67">
        <v>455.88</v>
      </c>
      <c r="AO27" s="67">
        <v>0</v>
      </c>
      <c r="AP27" s="67">
        <v>0</v>
      </c>
      <c r="AQ27" s="67">
        <v>566.64</v>
      </c>
      <c r="AR27" s="67">
        <v>297.26</v>
      </c>
      <c r="AS27" s="68">
        <v>743.19</v>
      </c>
      <c r="AT27" s="63"/>
      <c r="AU27" s="63">
        <v>130.18070749068207</v>
      </c>
    </row>
    <row r="28" spans="1:47" ht="12.75" hidden="1" customHeight="1" outlineLevel="1" x14ac:dyDescent="0.2">
      <c r="A28" s="61" t="s">
        <v>102</v>
      </c>
      <c r="B28" s="62">
        <v>8.0399999999999991</v>
      </c>
      <c r="C28" s="54">
        <v>0</v>
      </c>
      <c r="D28" s="54">
        <v>7.64</v>
      </c>
      <c r="E28" s="63"/>
      <c r="F28" s="64">
        <v>105.23560209424083</v>
      </c>
      <c r="G28" s="65">
        <v>8.0399999999999991</v>
      </c>
      <c r="H28" s="54">
        <v>0</v>
      </c>
      <c r="I28" s="54">
        <v>0</v>
      </c>
      <c r="J28" s="54">
        <v>8.0399999999999991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16.079999999999998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0</v>
      </c>
      <c r="AH28" s="67">
        <v>0</v>
      </c>
      <c r="AI28" s="67">
        <v>0</v>
      </c>
      <c r="AJ28" s="67">
        <v>7.64</v>
      </c>
      <c r="AK28" s="67">
        <v>0</v>
      </c>
      <c r="AL28" s="67">
        <v>0</v>
      </c>
      <c r="AM28" s="67">
        <v>0</v>
      </c>
      <c r="AN28" s="67">
        <v>0</v>
      </c>
      <c r="AO28" s="67">
        <v>0</v>
      </c>
      <c r="AP28" s="67">
        <v>0</v>
      </c>
      <c r="AQ28" s="67">
        <v>7.64</v>
      </c>
      <c r="AR28" s="67">
        <v>0</v>
      </c>
      <c r="AS28" s="68">
        <v>7.64</v>
      </c>
      <c r="AT28" s="63"/>
      <c r="AU28" s="63">
        <v>210.47120418848166</v>
      </c>
    </row>
    <row r="29" spans="1:47" ht="12.75" hidden="1" customHeight="1" outlineLevel="1" x14ac:dyDescent="0.2">
      <c r="A29" s="61" t="s">
        <v>75</v>
      </c>
      <c r="B29" s="62">
        <v>0</v>
      </c>
      <c r="C29" s="54">
        <v>0</v>
      </c>
      <c r="D29" s="54">
        <v>0</v>
      </c>
      <c r="E29" s="63"/>
      <c r="F29" s="64"/>
      <c r="G29" s="65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0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0</v>
      </c>
      <c r="AH29" s="67">
        <v>0</v>
      </c>
      <c r="AI29" s="67">
        <v>0</v>
      </c>
      <c r="AJ29" s="67">
        <v>0</v>
      </c>
      <c r="AK29" s="67">
        <v>0</v>
      </c>
      <c r="AL29" s="67">
        <v>11.44</v>
      </c>
      <c r="AM29" s="67">
        <v>11.44</v>
      </c>
      <c r="AN29" s="67">
        <v>11.44</v>
      </c>
      <c r="AO29" s="67">
        <v>11.44</v>
      </c>
      <c r="AP29" s="67">
        <v>11.44</v>
      </c>
      <c r="AQ29" s="67">
        <v>11.44</v>
      </c>
      <c r="AR29" s="67">
        <v>11.44</v>
      </c>
      <c r="AS29" s="68">
        <v>0</v>
      </c>
      <c r="AT29" s="63"/>
      <c r="AU29" s="63"/>
    </row>
    <row r="30" spans="1:47" ht="12.75" hidden="1" customHeight="1" outlineLevel="1" x14ac:dyDescent="0.2">
      <c r="A30" s="61" t="s">
        <v>76</v>
      </c>
      <c r="B30" s="62">
        <v>6.06</v>
      </c>
      <c r="C30" s="54">
        <v>0</v>
      </c>
      <c r="D30" s="54">
        <v>83.09</v>
      </c>
      <c r="E30" s="63"/>
      <c r="F30" s="64">
        <v>7.2932964255626427</v>
      </c>
      <c r="G30" s="65">
        <v>166.18</v>
      </c>
      <c r="H30" s="54">
        <v>265.08999999999997</v>
      </c>
      <c r="I30" s="54">
        <v>544.24</v>
      </c>
      <c r="J30" s="54">
        <v>6.06</v>
      </c>
      <c r="K30" s="56">
        <v>-89.15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981.57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82.43</v>
      </c>
      <c r="AH30" s="67">
        <v>82.43</v>
      </c>
      <c r="AI30" s="98">
        <v>-54.91</v>
      </c>
      <c r="AJ30" s="67">
        <v>83.09</v>
      </c>
      <c r="AK30" s="67">
        <v>83.09</v>
      </c>
      <c r="AL30" s="67">
        <v>83.09</v>
      </c>
      <c r="AM30" s="67">
        <v>83.09</v>
      </c>
      <c r="AN30" s="67">
        <v>126.73</v>
      </c>
      <c r="AO30" s="67">
        <v>83.09</v>
      </c>
      <c r="AP30" s="67">
        <v>181.38</v>
      </c>
      <c r="AQ30" s="67">
        <v>83.09</v>
      </c>
      <c r="AR30" s="67">
        <v>0</v>
      </c>
      <c r="AS30" s="68">
        <v>193.04</v>
      </c>
      <c r="AT30" s="63"/>
      <c r="AU30" s="63">
        <v>508.48010774968918</v>
      </c>
    </row>
    <row r="31" spans="1:47" ht="12.75" hidden="1" customHeight="1" outlineLevel="1" x14ac:dyDescent="0.2">
      <c r="A31" s="61" t="s">
        <v>77</v>
      </c>
      <c r="B31" s="62">
        <v>160</v>
      </c>
      <c r="C31" s="54">
        <v>0</v>
      </c>
      <c r="D31" s="54">
        <v>160</v>
      </c>
      <c r="E31" s="63"/>
      <c r="F31" s="64">
        <v>100</v>
      </c>
      <c r="G31" s="65">
        <v>160</v>
      </c>
      <c r="H31" s="54">
        <v>160</v>
      </c>
      <c r="I31" s="54">
        <v>160</v>
      </c>
      <c r="J31" s="54">
        <v>160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640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128.33000000000001</v>
      </c>
      <c r="AH31" s="67">
        <v>128.33000000000001</v>
      </c>
      <c r="AI31" s="67">
        <v>160</v>
      </c>
      <c r="AJ31" s="67">
        <v>160</v>
      </c>
      <c r="AK31" s="67">
        <v>160</v>
      </c>
      <c r="AL31" s="67">
        <v>160</v>
      </c>
      <c r="AM31" s="67">
        <v>160</v>
      </c>
      <c r="AN31" s="67">
        <v>160</v>
      </c>
      <c r="AO31" s="67">
        <v>160</v>
      </c>
      <c r="AP31" s="67">
        <v>160</v>
      </c>
      <c r="AQ31" s="67">
        <v>160</v>
      </c>
      <c r="AR31" s="67">
        <v>160</v>
      </c>
      <c r="AS31" s="68">
        <v>576.66</v>
      </c>
      <c r="AT31" s="63"/>
      <c r="AU31" s="63">
        <v>110.9839420108903</v>
      </c>
    </row>
    <row r="32" spans="1:47" ht="12.75" customHeight="1" collapsed="1" x14ac:dyDescent="0.2">
      <c r="A32" s="69" t="s">
        <v>177</v>
      </c>
      <c r="B32" s="70">
        <v>1753.71</v>
      </c>
      <c r="C32" s="71">
        <v>0</v>
      </c>
      <c r="D32" s="71">
        <v>1671.14</v>
      </c>
      <c r="E32" s="72"/>
      <c r="F32" s="73">
        <v>104.94093852100961</v>
      </c>
      <c r="G32" s="70">
        <v>2859.63</v>
      </c>
      <c r="H32" s="71">
        <v>3262.03</v>
      </c>
      <c r="I32" s="71">
        <v>2401.52</v>
      </c>
      <c r="J32" s="71">
        <v>1753.71</v>
      </c>
      <c r="K32" s="74">
        <v>-1371.81</v>
      </c>
      <c r="L32" s="71">
        <v>0</v>
      </c>
      <c r="M32" s="71">
        <v>0</v>
      </c>
      <c r="N32" s="71">
        <v>0</v>
      </c>
      <c r="O32" s="71">
        <v>0</v>
      </c>
      <c r="P32" s="71">
        <v>0</v>
      </c>
      <c r="Q32" s="71">
        <v>0</v>
      </c>
      <c r="R32" s="71">
        <v>0</v>
      </c>
      <c r="S32" s="71">
        <v>10276.89</v>
      </c>
      <c r="T32" s="71">
        <v>0</v>
      </c>
      <c r="U32" s="71">
        <v>0</v>
      </c>
      <c r="V32" s="71">
        <v>0</v>
      </c>
      <c r="W32" s="71">
        <v>0</v>
      </c>
      <c r="X32" s="71">
        <v>0</v>
      </c>
      <c r="Y32" s="71">
        <v>0</v>
      </c>
      <c r="Z32" s="71">
        <v>0</v>
      </c>
      <c r="AA32" s="71">
        <v>0</v>
      </c>
      <c r="AB32" s="71">
        <v>0</v>
      </c>
      <c r="AC32" s="71">
        <v>0</v>
      </c>
      <c r="AD32" s="71">
        <v>0</v>
      </c>
      <c r="AE32" s="71">
        <v>0</v>
      </c>
      <c r="AF32" s="71">
        <v>0</v>
      </c>
      <c r="AG32" s="75">
        <v>2146.15</v>
      </c>
      <c r="AH32" s="75">
        <v>2141.65</v>
      </c>
      <c r="AI32" s="75">
        <v>2766.14</v>
      </c>
      <c r="AJ32" s="75">
        <v>1671.14</v>
      </c>
      <c r="AK32" s="75">
        <v>2234.29</v>
      </c>
      <c r="AL32" s="75">
        <v>1016.08</v>
      </c>
      <c r="AM32" s="75">
        <v>1543.05</v>
      </c>
      <c r="AN32" s="75">
        <v>2957.17</v>
      </c>
      <c r="AO32" s="75">
        <v>1172.71</v>
      </c>
      <c r="AP32" s="134">
        <v>-366.14</v>
      </c>
      <c r="AQ32" s="75">
        <v>3315.34</v>
      </c>
      <c r="AR32" s="134">
        <v>-749.47</v>
      </c>
      <c r="AS32" s="75">
        <v>8725.08</v>
      </c>
      <c r="AT32" s="72"/>
      <c r="AU32" s="72">
        <v>117.78562488825317</v>
      </c>
    </row>
    <row r="33" spans="1:47" ht="12.75" hidden="1" customHeight="1" outlineLevel="1" x14ac:dyDescent="0.2">
      <c r="A33" s="61" t="s">
        <v>178</v>
      </c>
      <c r="B33" s="62">
        <v>0</v>
      </c>
      <c r="C33" s="54">
        <v>0</v>
      </c>
      <c r="D33" s="54">
        <v>0</v>
      </c>
      <c r="E33" s="63"/>
      <c r="F33" s="64"/>
      <c r="G33" s="65">
        <v>0</v>
      </c>
      <c r="H33" s="54">
        <v>0</v>
      </c>
      <c r="I33" s="54">
        <v>0</v>
      </c>
      <c r="J33" s="54">
        <v>0</v>
      </c>
      <c r="K33" s="54">
        <v>0</v>
      </c>
      <c r="L33" s="54">
        <v>0</v>
      </c>
      <c r="M33" s="54">
        <v>0</v>
      </c>
      <c r="N33" s="54">
        <v>0</v>
      </c>
      <c r="O33" s="54">
        <v>0</v>
      </c>
      <c r="P33" s="54">
        <v>0</v>
      </c>
      <c r="Q33" s="54">
        <v>0</v>
      </c>
      <c r="R33" s="54">
        <v>0</v>
      </c>
      <c r="S33" s="66">
        <v>0</v>
      </c>
      <c r="T33" s="54">
        <v>0</v>
      </c>
      <c r="U33" s="54">
        <v>0</v>
      </c>
      <c r="V33" s="54">
        <v>0</v>
      </c>
      <c r="W33" s="54">
        <v>0</v>
      </c>
      <c r="X33" s="54">
        <v>0</v>
      </c>
      <c r="Y33" s="54">
        <v>0</v>
      </c>
      <c r="Z33" s="54">
        <v>0</v>
      </c>
      <c r="AA33" s="54">
        <v>0</v>
      </c>
      <c r="AB33" s="54">
        <v>0</v>
      </c>
      <c r="AC33" s="54">
        <v>0</v>
      </c>
      <c r="AD33" s="54">
        <v>0</v>
      </c>
      <c r="AE33" s="54">
        <v>0</v>
      </c>
      <c r="AF33" s="66">
        <v>0</v>
      </c>
      <c r="AG33" s="67">
        <v>0</v>
      </c>
      <c r="AH33" s="67">
        <v>0</v>
      </c>
      <c r="AI33" s="67">
        <v>0</v>
      </c>
      <c r="AJ33" s="67">
        <v>0</v>
      </c>
      <c r="AK33" s="67">
        <v>0</v>
      </c>
      <c r="AL33" s="67">
        <v>0</v>
      </c>
      <c r="AM33" s="67">
        <v>0</v>
      </c>
      <c r="AN33" s="67">
        <v>0</v>
      </c>
      <c r="AO33" s="67">
        <v>0</v>
      </c>
      <c r="AP33" s="67">
        <v>0</v>
      </c>
      <c r="AQ33" s="67">
        <v>0</v>
      </c>
      <c r="AR33" s="67">
        <v>0</v>
      </c>
      <c r="AS33" s="68">
        <v>0</v>
      </c>
      <c r="AT33" s="63"/>
      <c r="AU33" s="63"/>
    </row>
    <row r="34" spans="1:47" ht="12.75" hidden="1" customHeight="1" outlineLevel="1" x14ac:dyDescent="0.2">
      <c r="A34" s="61" t="s">
        <v>179</v>
      </c>
      <c r="B34" s="62">
        <v>28.33</v>
      </c>
      <c r="C34" s="54">
        <v>0</v>
      </c>
      <c r="D34" s="54">
        <v>17.010000000000002</v>
      </c>
      <c r="E34" s="63"/>
      <c r="F34" s="64">
        <v>166.54908877131101</v>
      </c>
      <c r="G34" s="65">
        <v>28.33</v>
      </c>
      <c r="H34" s="54">
        <v>28.33</v>
      </c>
      <c r="I34" s="54">
        <v>28.33</v>
      </c>
      <c r="J34" s="54">
        <v>28.33</v>
      </c>
      <c r="K34" s="54">
        <v>0</v>
      </c>
      <c r="L34" s="54">
        <v>0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66">
        <v>113.32</v>
      </c>
      <c r="T34" s="54">
        <v>0</v>
      </c>
      <c r="U34" s="54">
        <v>0</v>
      </c>
      <c r="V34" s="54">
        <v>0</v>
      </c>
      <c r="W34" s="54">
        <v>0</v>
      </c>
      <c r="X34" s="54">
        <v>0</v>
      </c>
      <c r="Y34" s="54">
        <v>0</v>
      </c>
      <c r="Z34" s="54">
        <v>0</v>
      </c>
      <c r="AA34" s="54">
        <v>0</v>
      </c>
      <c r="AB34" s="54">
        <v>0</v>
      </c>
      <c r="AC34" s="54">
        <v>0</v>
      </c>
      <c r="AD34" s="54">
        <v>0</v>
      </c>
      <c r="AE34" s="54">
        <v>0</v>
      </c>
      <c r="AF34" s="66">
        <v>0</v>
      </c>
      <c r="AG34" s="67">
        <v>17</v>
      </c>
      <c r="AH34" s="67">
        <v>17.149999999999999</v>
      </c>
      <c r="AI34" s="67">
        <v>44.99</v>
      </c>
      <c r="AJ34" s="67">
        <v>17.010000000000002</v>
      </c>
      <c r="AK34" s="67">
        <v>16.98</v>
      </c>
      <c r="AL34" s="67">
        <v>16.98</v>
      </c>
      <c r="AM34" s="67">
        <v>17</v>
      </c>
      <c r="AN34" s="67">
        <v>244.27</v>
      </c>
      <c r="AO34" s="67">
        <v>28.33</v>
      </c>
      <c r="AP34" s="67">
        <v>28.33</v>
      </c>
      <c r="AQ34" s="67">
        <v>28.33</v>
      </c>
      <c r="AR34" s="67">
        <v>28.33</v>
      </c>
      <c r="AS34" s="68">
        <v>96.15</v>
      </c>
      <c r="AT34" s="63"/>
      <c r="AU34" s="63">
        <v>117.85751430057202</v>
      </c>
    </row>
    <row r="35" spans="1:47" ht="12.75" hidden="1" customHeight="1" outlineLevel="1" x14ac:dyDescent="0.2">
      <c r="A35" s="61" t="s">
        <v>180</v>
      </c>
      <c r="B35" s="62">
        <v>0</v>
      </c>
      <c r="C35" s="54">
        <v>0</v>
      </c>
      <c r="D35" s="54">
        <v>0</v>
      </c>
      <c r="E35" s="63"/>
      <c r="F35" s="64"/>
      <c r="G35" s="65">
        <v>1383.41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1383.41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0</v>
      </c>
      <c r="AH35" s="67">
        <v>0</v>
      </c>
      <c r="AI35" s="67">
        <v>0</v>
      </c>
      <c r="AJ35" s="67">
        <v>0</v>
      </c>
      <c r="AK35" s="67">
        <v>0</v>
      </c>
      <c r="AL35" s="67">
        <v>52.75</v>
      </c>
      <c r="AM35" s="67">
        <v>235.45</v>
      </c>
      <c r="AN35" s="67">
        <v>602.6</v>
      </c>
      <c r="AO35" s="98">
        <v>-567.6</v>
      </c>
      <c r="AP35" s="67">
        <v>917.8</v>
      </c>
      <c r="AQ35" s="67">
        <v>0</v>
      </c>
      <c r="AR35" s="67">
        <v>0</v>
      </c>
      <c r="AS35" s="68">
        <v>0</v>
      </c>
      <c r="AT35" s="63"/>
      <c r="AU35" s="63"/>
    </row>
    <row r="36" spans="1:47" ht="12.75" hidden="1" customHeight="1" outlineLevel="1" x14ac:dyDescent="0.2">
      <c r="A36" s="61" t="s">
        <v>181</v>
      </c>
      <c r="B36" s="62">
        <v>0</v>
      </c>
      <c r="C36" s="54">
        <v>0</v>
      </c>
      <c r="D36" s="54">
        <v>0</v>
      </c>
      <c r="E36" s="63"/>
      <c r="F36" s="64"/>
      <c r="G36" s="65">
        <v>0</v>
      </c>
      <c r="H36" s="54">
        <v>0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0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>
        <v>0</v>
      </c>
      <c r="AH36" s="67">
        <v>0</v>
      </c>
      <c r="AI36" s="67">
        <v>0</v>
      </c>
      <c r="AJ36" s="67">
        <v>0</v>
      </c>
      <c r="AK36" s="67">
        <v>0</v>
      </c>
      <c r="AL36" s="67">
        <v>3201.58</v>
      </c>
      <c r="AM36" s="67">
        <v>0</v>
      </c>
      <c r="AN36" s="67">
        <v>15</v>
      </c>
      <c r="AO36" s="67">
        <v>0</v>
      </c>
      <c r="AP36" s="67">
        <v>0</v>
      </c>
      <c r="AQ36" s="67">
        <v>0</v>
      </c>
      <c r="AR36" s="67">
        <v>1983.22</v>
      </c>
      <c r="AS36" s="68">
        <v>0</v>
      </c>
      <c r="AT36" s="63"/>
      <c r="AU36" s="63"/>
    </row>
    <row r="37" spans="1:47" ht="12.75" hidden="1" customHeight="1" outlineLevel="1" x14ac:dyDescent="0.2">
      <c r="A37" s="61" t="s">
        <v>182</v>
      </c>
      <c r="B37" s="62">
        <v>0</v>
      </c>
      <c r="C37" s="54">
        <v>0</v>
      </c>
      <c r="D37" s="54">
        <v>0</v>
      </c>
      <c r="E37" s="63"/>
      <c r="F37" s="64"/>
      <c r="G37" s="65">
        <v>516</v>
      </c>
      <c r="H37" s="54">
        <v>906.64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1422.64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245.01</v>
      </c>
      <c r="AM37" s="67">
        <v>2433.2600000000002</v>
      </c>
      <c r="AN37" s="67">
        <v>397.74</v>
      </c>
      <c r="AO37" s="98">
        <v>-603.64</v>
      </c>
      <c r="AP37" s="67">
        <v>607.09</v>
      </c>
      <c r="AQ37" s="67">
        <v>0</v>
      </c>
      <c r="AR37" s="67">
        <v>439.09</v>
      </c>
      <c r="AS37" s="68">
        <v>0</v>
      </c>
      <c r="AT37" s="63"/>
      <c r="AU37" s="63"/>
    </row>
    <row r="38" spans="1:47" ht="12.75" hidden="1" customHeight="1" outlineLevel="1" x14ac:dyDescent="0.2">
      <c r="A38" s="61" t="s">
        <v>183</v>
      </c>
      <c r="B38" s="62">
        <v>1524.28</v>
      </c>
      <c r="C38" s="54">
        <v>0</v>
      </c>
      <c r="D38" s="54">
        <v>0</v>
      </c>
      <c r="E38" s="63"/>
      <c r="F38" s="64"/>
      <c r="G38" s="97">
        <v>-4597.6499999999996</v>
      </c>
      <c r="H38" s="54">
        <v>638.92999999999995</v>
      </c>
      <c r="I38" s="56">
        <v>-923.75</v>
      </c>
      <c r="J38" s="54">
        <v>1524.28</v>
      </c>
      <c r="K38" s="56">
        <v>-3888.89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76">
        <v>-3358.19</v>
      </c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0</v>
      </c>
      <c r="Z38" s="54">
        <v>0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66">
        <v>0</v>
      </c>
      <c r="AG38" s="67">
        <v>0</v>
      </c>
      <c r="AH38" s="67">
        <v>0</v>
      </c>
      <c r="AI38" s="67">
        <v>0</v>
      </c>
      <c r="AJ38" s="67">
        <v>0</v>
      </c>
      <c r="AK38" s="67">
        <v>0</v>
      </c>
      <c r="AL38" s="67">
        <v>0</v>
      </c>
      <c r="AM38" s="67">
        <v>0</v>
      </c>
      <c r="AN38" s="67">
        <v>0</v>
      </c>
      <c r="AO38" s="67">
        <v>4309.16</v>
      </c>
      <c r="AP38" s="67">
        <v>3959.19</v>
      </c>
      <c r="AQ38" s="67">
        <v>722.24</v>
      </c>
      <c r="AR38" s="67">
        <v>32.68</v>
      </c>
      <c r="AS38" s="68">
        <v>0</v>
      </c>
      <c r="AT38" s="63"/>
      <c r="AU38" s="63"/>
    </row>
    <row r="39" spans="1:47" ht="12.75" hidden="1" customHeight="1" outlineLevel="1" x14ac:dyDescent="0.2">
      <c r="A39" s="61" t="s">
        <v>184</v>
      </c>
      <c r="B39" s="62">
        <v>512.38</v>
      </c>
      <c r="C39" s="54">
        <v>0</v>
      </c>
      <c r="D39" s="54">
        <v>0</v>
      </c>
      <c r="E39" s="63"/>
      <c r="F39" s="64"/>
      <c r="G39" s="97">
        <v>-290.99</v>
      </c>
      <c r="H39" s="56">
        <v>-27.63</v>
      </c>
      <c r="I39" s="56">
        <v>-381.18</v>
      </c>
      <c r="J39" s="54">
        <v>512.38</v>
      </c>
      <c r="K39" s="56">
        <v>-512.38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76">
        <v>-187.42</v>
      </c>
      <c r="T39" s="54">
        <v>0</v>
      </c>
      <c r="U39" s="54">
        <v>0</v>
      </c>
      <c r="V39" s="54">
        <v>0</v>
      </c>
      <c r="W39" s="54">
        <v>0</v>
      </c>
      <c r="X39" s="54">
        <v>0</v>
      </c>
      <c r="Y39" s="54">
        <v>0</v>
      </c>
      <c r="Z39" s="54">
        <v>0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66">
        <v>0</v>
      </c>
      <c r="AG39" s="67">
        <v>0</v>
      </c>
      <c r="AH39" s="67">
        <v>0</v>
      </c>
      <c r="AI39" s="67">
        <v>0</v>
      </c>
      <c r="AJ39" s="67">
        <v>0</v>
      </c>
      <c r="AK39" s="67">
        <v>0</v>
      </c>
      <c r="AL39" s="67">
        <v>0</v>
      </c>
      <c r="AM39" s="67">
        <v>0</v>
      </c>
      <c r="AN39" s="67">
        <v>0</v>
      </c>
      <c r="AO39" s="67">
        <v>0</v>
      </c>
      <c r="AP39" s="67">
        <v>0</v>
      </c>
      <c r="AQ39" s="67">
        <v>0</v>
      </c>
      <c r="AR39" s="67">
        <v>699.8</v>
      </c>
      <c r="AS39" s="68">
        <v>0</v>
      </c>
      <c r="AT39" s="63"/>
      <c r="AU39" s="63"/>
    </row>
    <row r="40" spans="1:47" ht="12.75" hidden="1" customHeight="1" outlineLevel="1" x14ac:dyDescent="0.2">
      <c r="A40" s="61" t="s">
        <v>185</v>
      </c>
      <c r="B40" s="62">
        <v>0</v>
      </c>
      <c r="C40" s="54">
        <v>0</v>
      </c>
      <c r="D40" s="54">
        <v>0</v>
      </c>
      <c r="E40" s="63"/>
      <c r="F40" s="64"/>
      <c r="G40" s="65">
        <v>0</v>
      </c>
      <c r="H40" s="54">
        <v>0</v>
      </c>
      <c r="I40" s="54">
        <v>0</v>
      </c>
      <c r="J40" s="54">
        <v>0</v>
      </c>
      <c r="K40" s="54">
        <v>0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66">
        <v>0</v>
      </c>
      <c r="T40" s="54">
        <v>0</v>
      </c>
      <c r="U40" s="54">
        <v>0</v>
      </c>
      <c r="V40" s="54">
        <v>0</v>
      </c>
      <c r="W40" s="54">
        <v>0</v>
      </c>
      <c r="X40" s="54">
        <v>0</v>
      </c>
      <c r="Y40" s="54">
        <v>0</v>
      </c>
      <c r="Z40" s="54">
        <v>0</v>
      </c>
      <c r="AA40" s="54">
        <v>0</v>
      </c>
      <c r="AB40" s="54">
        <v>0</v>
      </c>
      <c r="AC40" s="54">
        <v>0</v>
      </c>
      <c r="AD40" s="54">
        <v>0</v>
      </c>
      <c r="AE40" s="54">
        <v>0</v>
      </c>
      <c r="AF40" s="66">
        <v>0</v>
      </c>
      <c r="AG40" s="67">
        <v>0</v>
      </c>
      <c r="AH40" s="67">
        <v>0</v>
      </c>
      <c r="AI40" s="67">
        <v>0</v>
      </c>
      <c r="AJ40" s="67">
        <v>0</v>
      </c>
      <c r="AK40" s="67">
        <v>0</v>
      </c>
      <c r="AL40" s="67">
        <v>0</v>
      </c>
      <c r="AM40" s="67">
        <v>0</v>
      </c>
      <c r="AN40" s="67">
        <v>0</v>
      </c>
      <c r="AO40" s="67">
        <v>0</v>
      </c>
      <c r="AP40" s="67">
        <v>0</v>
      </c>
      <c r="AQ40" s="67">
        <v>0</v>
      </c>
      <c r="AR40" s="67">
        <v>0</v>
      </c>
      <c r="AS40" s="68">
        <v>0</v>
      </c>
      <c r="AT40" s="63"/>
      <c r="AU40" s="63"/>
    </row>
    <row r="41" spans="1:47" ht="12.75" hidden="1" customHeight="1" outlineLevel="1" x14ac:dyDescent="0.2">
      <c r="A41" s="61" t="s">
        <v>186</v>
      </c>
      <c r="B41" s="62">
        <v>0</v>
      </c>
      <c r="C41" s="54">
        <v>0</v>
      </c>
      <c r="D41" s="54">
        <v>0</v>
      </c>
      <c r="E41" s="63"/>
      <c r="F41" s="64"/>
      <c r="G41" s="65">
        <v>0</v>
      </c>
      <c r="H41" s="54">
        <v>0</v>
      </c>
      <c r="I41" s="54">
        <v>0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66">
        <v>0</v>
      </c>
      <c r="T41" s="54">
        <v>0</v>
      </c>
      <c r="U41" s="54">
        <v>0</v>
      </c>
      <c r="V41" s="54">
        <v>0</v>
      </c>
      <c r="W41" s="54">
        <v>0</v>
      </c>
      <c r="X41" s="54">
        <v>0</v>
      </c>
      <c r="Y41" s="54">
        <v>0</v>
      </c>
      <c r="Z41" s="54">
        <v>0</v>
      </c>
      <c r="AA41" s="54">
        <v>0</v>
      </c>
      <c r="AB41" s="54">
        <v>0</v>
      </c>
      <c r="AC41" s="54">
        <v>0</v>
      </c>
      <c r="AD41" s="54">
        <v>0</v>
      </c>
      <c r="AE41" s="54">
        <v>0</v>
      </c>
      <c r="AF41" s="66">
        <v>0</v>
      </c>
      <c r="AG41" s="67">
        <v>0</v>
      </c>
      <c r="AH41" s="67">
        <v>0</v>
      </c>
      <c r="AI41" s="67">
        <v>0</v>
      </c>
      <c r="AJ41" s="67">
        <v>0</v>
      </c>
      <c r="AK41" s="67">
        <v>0</v>
      </c>
      <c r="AL41" s="67">
        <v>0</v>
      </c>
      <c r="AM41" s="67">
        <v>0</v>
      </c>
      <c r="AN41" s="67">
        <v>0</v>
      </c>
      <c r="AO41" s="67">
        <v>0</v>
      </c>
      <c r="AP41" s="67">
        <v>0</v>
      </c>
      <c r="AQ41" s="67">
        <v>0</v>
      </c>
      <c r="AR41" s="67">
        <v>0</v>
      </c>
      <c r="AS41" s="68">
        <v>0</v>
      </c>
      <c r="AT41" s="63"/>
      <c r="AU41" s="63"/>
    </row>
    <row r="42" spans="1:47" ht="12.75" hidden="1" customHeight="1" outlineLevel="1" x14ac:dyDescent="0.2">
      <c r="A42" s="61" t="s">
        <v>187</v>
      </c>
      <c r="B42" s="62">
        <v>0</v>
      </c>
      <c r="C42" s="54">
        <v>0</v>
      </c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0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0</v>
      </c>
      <c r="AS42" s="68">
        <v>0</v>
      </c>
      <c r="AT42" s="63"/>
      <c r="AU42" s="63"/>
    </row>
    <row r="43" spans="1:47" ht="12.75" hidden="1" customHeight="1" outlineLevel="1" x14ac:dyDescent="0.2">
      <c r="A43" s="61" t="s">
        <v>188</v>
      </c>
      <c r="B43" s="62">
        <v>0</v>
      </c>
      <c r="C43" s="54">
        <v>0</v>
      </c>
      <c r="D43" s="54">
        <v>0</v>
      </c>
      <c r="E43" s="63"/>
      <c r="F43" s="64"/>
      <c r="G43" s="65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66">
        <v>0</v>
      </c>
      <c r="T43" s="54">
        <v>0</v>
      </c>
      <c r="U43" s="54">
        <v>0</v>
      </c>
      <c r="V43" s="54">
        <v>0</v>
      </c>
      <c r="W43" s="54">
        <v>0</v>
      </c>
      <c r="X43" s="54">
        <v>0</v>
      </c>
      <c r="Y43" s="54">
        <v>0</v>
      </c>
      <c r="Z43" s="54">
        <v>0</v>
      </c>
      <c r="AA43" s="54">
        <v>0</v>
      </c>
      <c r="AB43" s="54">
        <v>0</v>
      </c>
      <c r="AC43" s="54">
        <v>0</v>
      </c>
      <c r="AD43" s="54">
        <v>0</v>
      </c>
      <c r="AE43" s="54">
        <v>0</v>
      </c>
      <c r="AF43" s="66">
        <v>0</v>
      </c>
      <c r="AG43" s="67">
        <v>0</v>
      </c>
      <c r="AH43" s="67">
        <v>0</v>
      </c>
      <c r="AI43" s="67">
        <v>0</v>
      </c>
      <c r="AJ43" s="67">
        <v>0</v>
      </c>
      <c r="AK43" s="67">
        <v>0</v>
      </c>
      <c r="AL43" s="67">
        <v>0</v>
      </c>
      <c r="AM43" s="67">
        <v>0</v>
      </c>
      <c r="AN43" s="67">
        <v>0</v>
      </c>
      <c r="AO43" s="67">
        <v>0</v>
      </c>
      <c r="AP43" s="67">
        <v>0</v>
      </c>
      <c r="AQ43" s="67">
        <v>0</v>
      </c>
      <c r="AR43" s="67">
        <v>0</v>
      </c>
      <c r="AS43" s="68">
        <v>0</v>
      </c>
      <c r="AT43" s="63"/>
      <c r="AU43" s="63"/>
    </row>
    <row r="44" spans="1:47" ht="12.75" hidden="1" customHeight="1" outlineLevel="1" x14ac:dyDescent="0.2">
      <c r="A44" s="61" t="s">
        <v>189</v>
      </c>
      <c r="B44" s="62">
        <v>0</v>
      </c>
      <c r="C44" s="54">
        <v>0</v>
      </c>
      <c r="D44" s="54">
        <v>0</v>
      </c>
      <c r="E44" s="63"/>
      <c r="F44" s="64"/>
      <c r="G44" s="65">
        <v>0</v>
      </c>
      <c r="H44" s="54">
        <v>0</v>
      </c>
      <c r="I44" s="54">
        <v>0</v>
      </c>
      <c r="J44" s="54">
        <v>0</v>
      </c>
      <c r="K44" s="54">
        <v>0</v>
      </c>
      <c r="L44" s="54">
        <v>0</v>
      </c>
      <c r="M44" s="54">
        <v>0</v>
      </c>
      <c r="N44" s="54">
        <v>0</v>
      </c>
      <c r="O44" s="54">
        <v>0</v>
      </c>
      <c r="P44" s="54">
        <v>0</v>
      </c>
      <c r="Q44" s="54">
        <v>0</v>
      </c>
      <c r="R44" s="54">
        <v>0</v>
      </c>
      <c r="S44" s="66">
        <v>0</v>
      </c>
      <c r="T44" s="54">
        <v>0</v>
      </c>
      <c r="U44" s="54">
        <v>0</v>
      </c>
      <c r="V44" s="54">
        <v>0</v>
      </c>
      <c r="W44" s="54">
        <v>0</v>
      </c>
      <c r="X44" s="54">
        <v>0</v>
      </c>
      <c r="Y44" s="54">
        <v>0</v>
      </c>
      <c r="Z44" s="54">
        <v>0</v>
      </c>
      <c r="AA44" s="54">
        <v>0</v>
      </c>
      <c r="AB44" s="54">
        <v>0</v>
      </c>
      <c r="AC44" s="54">
        <v>0</v>
      </c>
      <c r="AD44" s="54">
        <v>0</v>
      </c>
      <c r="AE44" s="54">
        <v>0</v>
      </c>
      <c r="AF44" s="66">
        <v>0</v>
      </c>
      <c r="AG44" s="67">
        <v>0</v>
      </c>
      <c r="AH44" s="67">
        <v>0</v>
      </c>
      <c r="AI44" s="67">
        <v>0</v>
      </c>
      <c r="AJ44" s="67">
        <v>0</v>
      </c>
      <c r="AK44" s="67">
        <v>0</v>
      </c>
      <c r="AL44" s="67">
        <v>0</v>
      </c>
      <c r="AM44" s="67">
        <v>0</v>
      </c>
      <c r="AN44" s="67">
        <v>0</v>
      </c>
      <c r="AO44" s="67">
        <v>0</v>
      </c>
      <c r="AP44" s="67">
        <v>0</v>
      </c>
      <c r="AQ44" s="67">
        <v>0</v>
      </c>
      <c r="AR44" s="67">
        <v>0</v>
      </c>
      <c r="AS44" s="68">
        <v>0</v>
      </c>
      <c r="AT44" s="63"/>
      <c r="AU44" s="63"/>
    </row>
    <row r="45" spans="1:47" ht="12.75" hidden="1" customHeight="1" outlineLevel="1" x14ac:dyDescent="0.2">
      <c r="A45" s="61" t="s">
        <v>190</v>
      </c>
      <c r="B45" s="62">
        <v>0</v>
      </c>
      <c r="C45" s="54">
        <v>0</v>
      </c>
      <c r="D45" s="54">
        <v>0</v>
      </c>
      <c r="E45" s="63"/>
      <c r="F45" s="64"/>
      <c r="G45" s="65">
        <v>0</v>
      </c>
      <c r="H45" s="54">
        <v>0</v>
      </c>
      <c r="I45" s="54">
        <v>0</v>
      </c>
      <c r="J45" s="54">
        <v>0</v>
      </c>
      <c r="K45" s="54">
        <v>0</v>
      </c>
      <c r="L45" s="54">
        <v>0</v>
      </c>
      <c r="M45" s="54">
        <v>0</v>
      </c>
      <c r="N45" s="54">
        <v>0</v>
      </c>
      <c r="O45" s="54">
        <v>0</v>
      </c>
      <c r="P45" s="54">
        <v>0</v>
      </c>
      <c r="Q45" s="54">
        <v>0</v>
      </c>
      <c r="R45" s="54">
        <v>0</v>
      </c>
      <c r="S45" s="66">
        <v>0</v>
      </c>
      <c r="T45" s="54">
        <v>0</v>
      </c>
      <c r="U45" s="54">
        <v>0</v>
      </c>
      <c r="V45" s="54">
        <v>0</v>
      </c>
      <c r="W45" s="54">
        <v>0</v>
      </c>
      <c r="X45" s="54">
        <v>0</v>
      </c>
      <c r="Y45" s="54">
        <v>0</v>
      </c>
      <c r="Z45" s="54">
        <v>0</v>
      </c>
      <c r="AA45" s="54">
        <v>0</v>
      </c>
      <c r="AB45" s="54">
        <v>0</v>
      </c>
      <c r="AC45" s="54">
        <v>0</v>
      </c>
      <c r="AD45" s="54">
        <v>0</v>
      </c>
      <c r="AE45" s="54">
        <v>0</v>
      </c>
      <c r="AF45" s="66">
        <v>0</v>
      </c>
      <c r="AG45" s="67">
        <v>0</v>
      </c>
      <c r="AH45" s="67">
        <v>0</v>
      </c>
      <c r="AI45" s="67">
        <v>0</v>
      </c>
      <c r="AJ45" s="67">
        <v>0</v>
      </c>
      <c r="AK45" s="67">
        <v>0</v>
      </c>
      <c r="AL45" s="67">
        <v>337.24</v>
      </c>
      <c r="AM45" s="67">
        <v>585.74</v>
      </c>
      <c r="AN45" s="67">
        <v>731.51</v>
      </c>
      <c r="AO45" s="67">
        <v>565.85</v>
      </c>
      <c r="AP45" s="67">
        <v>724.47</v>
      </c>
      <c r="AQ45" s="67">
        <v>0</v>
      </c>
      <c r="AR45" s="67">
        <v>0</v>
      </c>
      <c r="AS45" s="68">
        <v>0</v>
      </c>
      <c r="AT45" s="63"/>
      <c r="AU45" s="63"/>
    </row>
    <row r="46" spans="1:47" ht="12.75" hidden="1" customHeight="1" outlineLevel="1" x14ac:dyDescent="0.2">
      <c r="A46" s="61" t="s">
        <v>191</v>
      </c>
      <c r="B46" s="62">
        <v>0</v>
      </c>
      <c r="C46" s="54">
        <v>0</v>
      </c>
      <c r="D46" s="54">
        <v>0</v>
      </c>
      <c r="E46" s="63"/>
      <c r="F46" s="64"/>
      <c r="G46" s="65">
        <v>0</v>
      </c>
      <c r="H46" s="54">
        <v>0</v>
      </c>
      <c r="I46" s="54">
        <v>0</v>
      </c>
      <c r="J46" s="54">
        <v>0</v>
      </c>
      <c r="K46" s="54">
        <v>0</v>
      </c>
      <c r="L46" s="54">
        <v>0</v>
      </c>
      <c r="M46" s="54">
        <v>0</v>
      </c>
      <c r="N46" s="54">
        <v>0</v>
      </c>
      <c r="O46" s="54">
        <v>0</v>
      </c>
      <c r="P46" s="54">
        <v>0</v>
      </c>
      <c r="Q46" s="54">
        <v>0</v>
      </c>
      <c r="R46" s="54">
        <v>0</v>
      </c>
      <c r="S46" s="66">
        <v>0</v>
      </c>
      <c r="T46" s="54">
        <v>0</v>
      </c>
      <c r="U46" s="54">
        <v>0</v>
      </c>
      <c r="V46" s="54">
        <v>0</v>
      </c>
      <c r="W46" s="54">
        <v>0</v>
      </c>
      <c r="X46" s="54">
        <v>0</v>
      </c>
      <c r="Y46" s="54">
        <v>0</v>
      </c>
      <c r="Z46" s="54">
        <v>0</v>
      </c>
      <c r="AA46" s="54">
        <v>0</v>
      </c>
      <c r="AB46" s="54">
        <v>0</v>
      </c>
      <c r="AC46" s="54">
        <v>0</v>
      </c>
      <c r="AD46" s="54">
        <v>0</v>
      </c>
      <c r="AE46" s="54">
        <v>0</v>
      </c>
      <c r="AF46" s="66">
        <v>0</v>
      </c>
      <c r="AG46" s="67">
        <v>0</v>
      </c>
      <c r="AH46" s="67">
        <v>0</v>
      </c>
      <c r="AI46" s="67">
        <v>0</v>
      </c>
      <c r="AJ46" s="67">
        <v>0</v>
      </c>
      <c r="AK46" s="67">
        <v>0</v>
      </c>
      <c r="AL46" s="67">
        <v>0</v>
      </c>
      <c r="AM46" s="67">
        <v>0</v>
      </c>
      <c r="AN46" s="67">
        <v>0</v>
      </c>
      <c r="AO46" s="67">
        <v>200.83</v>
      </c>
      <c r="AP46" s="67">
        <v>0</v>
      </c>
      <c r="AQ46" s="67">
        <v>0</v>
      </c>
      <c r="AR46" s="67">
        <v>0</v>
      </c>
      <c r="AS46" s="68">
        <v>0</v>
      </c>
      <c r="AT46" s="63"/>
      <c r="AU46" s="63"/>
    </row>
    <row r="47" spans="1:47" ht="12.75" customHeight="1" collapsed="1" x14ac:dyDescent="0.2">
      <c r="A47" s="69" t="s">
        <v>192</v>
      </c>
      <c r="B47" s="70">
        <v>2064.9899999999998</v>
      </c>
      <c r="C47" s="71">
        <v>0</v>
      </c>
      <c r="D47" s="71">
        <v>17.010000000000002</v>
      </c>
      <c r="E47" s="72"/>
      <c r="F47" s="73">
        <v>12139.858906525573</v>
      </c>
      <c r="G47" s="133">
        <v>-2960.9</v>
      </c>
      <c r="H47" s="71">
        <v>1546.27</v>
      </c>
      <c r="I47" s="74">
        <v>-1276.5999999999999</v>
      </c>
      <c r="J47" s="71">
        <v>2064.9899999999998</v>
      </c>
      <c r="K47" s="74">
        <v>-4401.2700000000004</v>
      </c>
      <c r="L47" s="71">
        <v>0</v>
      </c>
      <c r="M47" s="71">
        <v>0</v>
      </c>
      <c r="N47" s="71">
        <v>0</v>
      </c>
      <c r="O47" s="71">
        <v>0</v>
      </c>
      <c r="P47" s="71">
        <v>0</v>
      </c>
      <c r="Q47" s="71">
        <v>0</v>
      </c>
      <c r="R47" s="71">
        <v>0</v>
      </c>
      <c r="S47" s="74">
        <v>-626.24</v>
      </c>
      <c r="T47" s="71">
        <v>0</v>
      </c>
      <c r="U47" s="71">
        <v>0</v>
      </c>
      <c r="V47" s="71">
        <v>0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71">
        <v>0</v>
      </c>
      <c r="AE47" s="71">
        <v>0</v>
      </c>
      <c r="AF47" s="71">
        <v>0</v>
      </c>
      <c r="AG47" s="75">
        <v>17</v>
      </c>
      <c r="AH47" s="75">
        <v>17.149999999999999</v>
      </c>
      <c r="AI47" s="75">
        <v>44.99</v>
      </c>
      <c r="AJ47" s="75">
        <v>17.010000000000002</v>
      </c>
      <c r="AK47" s="75">
        <v>16.98</v>
      </c>
      <c r="AL47" s="75">
        <v>3853.56</v>
      </c>
      <c r="AM47" s="75">
        <v>3271.45</v>
      </c>
      <c r="AN47" s="75">
        <v>1991.12</v>
      </c>
      <c r="AO47" s="75">
        <v>3932.93</v>
      </c>
      <c r="AP47" s="75">
        <v>6236.88</v>
      </c>
      <c r="AQ47" s="75">
        <v>750.57</v>
      </c>
      <c r="AR47" s="75">
        <v>3183.12</v>
      </c>
      <c r="AS47" s="75">
        <v>96.15</v>
      </c>
      <c r="AT47" s="72"/>
      <c r="AU47" s="72">
        <v>-651.31565262610502</v>
      </c>
    </row>
    <row r="48" spans="1:47" ht="12.75" customHeight="1" outlineLevel="1" x14ac:dyDescent="0.2">
      <c r="A48" s="61" t="s">
        <v>193</v>
      </c>
      <c r="B48" s="62"/>
      <c r="C48" s="54"/>
      <c r="D48" s="54"/>
      <c r="E48" s="63"/>
      <c r="F48" s="64"/>
      <c r="G48" s="65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66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66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8"/>
      <c r="AT48" s="63"/>
      <c r="AU48" s="63"/>
    </row>
    <row r="49" spans="1:47" ht="12.75" customHeight="1" outlineLevel="1" x14ac:dyDescent="0.2">
      <c r="A49" s="61" t="s">
        <v>194</v>
      </c>
      <c r="B49" s="62">
        <v>0</v>
      </c>
      <c r="C49" s="54">
        <v>0</v>
      </c>
      <c r="D49" s="54">
        <v>0</v>
      </c>
      <c r="E49" s="63"/>
      <c r="F49" s="64"/>
      <c r="G49" s="65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54">
        <v>0</v>
      </c>
      <c r="N49" s="54">
        <v>0</v>
      </c>
      <c r="O49" s="54">
        <v>0</v>
      </c>
      <c r="P49" s="54">
        <v>0</v>
      </c>
      <c r="Q49" s="54">
        <v>0</v>
      </c>
      <c r="R49" s="54">
        <v>0</v>
      </c>
      <c r="S49" s="66">
        <v>0</v>
      </c>
      <c r="T49" s="54">
        <v>0</v>
      </c>
      <c r="U49" s="54">
        <v>0</v>
      </c>
      <c r="V49" s="54">
        <v>0</v>
      </c>
      <c r="W49" s="54">
        <v>0</v>
      </c>
      <c r="X49" s="54">
        <v>0</v>
      </c>
      <c r="Y49" s="54">
        <v>0</v>
      </c>
      <c r="Z49" s="54">
        <v>0</v>
      </c>
      <c r="AA49" s="54">
        <v>0</v>
      </c>
      <c r="AB49" s="54">
        <v>0</v>
      </c>
      <c r="AC49" s="54">
        <v>0</v>
      </c>
      <c r="AD49" s="54">
        <v>0</v>
      </c>
      <c r="AE49" s="54">
        <v>0</v>
      </c>
      <c r="AF49" s="66">
        <v>0</v>
      </c>
      <c r="AG49" s="67">
        <v>0</v>
      </c>
      <c r="AH49" s="67">
        <v>0</v>
      </c>
      <c r="AI49" s="67">
        <v>0</v>
      </c>
      <c r="AJ49" s="67">
        <v>0</v>
      </c>
      <c r="AK49" s="67">
        <v>0</v>
      </c>
      <c r="AL49" s="67">
        <v>0</v>
      </c>
      <c r="AM49" s="67">
        <v>0</v>
      </c>
      <c r="AN49" s="67">
        <v>0</v>
      </c>
      <c r="AO49" s="67">
        <v>0</v>
      </c>
      <c r="AP49" s="67">
        <v>0</v>
      </c>
      <c r="AQ49" s="67">
        <v>0</v>
      </c>
      <c r="AR49" s="67">
        <v>0</v>
      </c>
      <c r="AS49" s="68">
        <v>0</v>
      </c>
      <c r="AT49" s="63"/>
      <c r="AU49" s="63"/>
    </row>
    <row r="50" spans="1:47" ht="12.75" customHeight="1" outlineLevel="1" x14ac:dyDescent="0.2">
      <c r="A50" s="61" t="s">
        <v>82</v>
      </c>
      <c r="B50" s="62">
        <v>0</v>
      </c>
      <c r="C50" s="54">
        <v>0</v>
      </c>
      <c r="D50" s="54">
        <v>0</v>
      </c>
      <c r="E50" s="63"/>
      <c r="F50" s="64"/>
      <c r="G50" s="65">
        <v>0</v>
      </c>
      <c r="H50" s="54">
        <v>0</v>
      </c>
      <c r="I50" s="54">
        <v>0</v>
      </c>
      <c r="J50" s="54">
        <v>0</v>
      </c>
      <c r="K50" s="54">
        <v>0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66">
        <v>0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>
        <v>0</v>
      </c>
      <c r="AH50" s="67">
        <v>9.5500000000000007</v>
      </c>
      <c r="AI50" s="67">
        <v>0</v>
      </c>
      <c r="AJ50" s="67">
        <v>0</v>
      </c>
      <c r="AK50" s="67">
        <v>0</v>
      </c>
      <c r="AL50" s="67">
        <v>0</v>
      </c>
      <c r="AM50" s="67">
        <v>0</v>
      </c>
      <c r="AN50" s="67">
        <v>0</v>
      </c>
      <c r="AO50" s="67">
        <v>0</v>
      </c>
      <c r="AP50" s="67">
        <v>2</v>
      </c>
      <c r="AQ50" s="67">
        <v>0</v>
      </c>
      <c r="AR50" s="67">
        <v>0</v>
      </c>
      <c r="AS50" s="68">
        <v>9.5500000000000007</v>
      </c>
      <c r="AT50" s="63"/>
      <c r="AU50" s="63">
        <v>0</v>
      </c>
    </row>
    <row r="51" spans="1:47" ht="12.75" customHeight="1" outlineLevel="1" x14ac:dyDescent="0.2">
      <c r="A51" s="61" t="s">
        <v>83</v>
      </c>
      <c r="B51" s="62">
        <v>0</v>
      </c>
      <c r="C51" s="54">
        <v>0</v>
      </c>
      <c r="D51" s="54">
        <v>0</v>
      </c>
      <c r="E51" s="63"/>
      <c r="F51" s="64"/>
      <c r="G51" s="65">
        <v>0</v>
      </c>
      <c r="H51" s="54">
        <v>0</v>
      </c>
      <c r="I51" s="54">
        <v>0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66">
        <v>0</v>
      </c>
      <c r="T51" s="54">
        <v>0</v>
      </c>
      <c r="U51" s="54">
        <v>0</v>
      </c>
      <c r="V51" s="54">
        <v>0</v>
      </c>
      <c r="W51" s="54">
        <v>0</v>
      </c>
      <c r="X51" s="54">
        <v>0</v>
      </c>
      <c r="Y51" s="54">
        <v>0</v>
      </c>
      <c r="Z51" s="54">
        <v>0</v>
      </c>
      <c r="AA51" s="54">
        <v>0</v>
      </c>
      <c r="AB51" s="54">
        <v>0</v>
      </c>
      <c r="AC51" s="54">
        <v>0</v>
      </c>
      <c r="AD51" s="54">
        <v>0</v>
      </c>
      <c r="AE51" s="54">
        <v>0</v>
      </c>
      <c r="AF51" s="66">
        <v>0</v>
      </c>
      <c r="AG51" s="67">
        <v>0</v>
      </c>
      <c r="AH51" s="67">
        <v>0</v>
      </c>
      <c r="AI51" s="67">
        <v>0</v>
      </c>
      <c r="AJ51" s="67">
        <v>0</v>
      </c>
      <c r="AK51" s="67">
        <v>0</v>
      </c>
      <c r="AL51" s="67">
        <v>0</v>
      </c>
      <c r="AM51" s="67">
        <v>0</v>
      </c>
      <c r="AN51" s="67">
        <v>0</v>
      </c>
      <c r="AO51" s="67">
        <v>0</v>
      </c>
      <c r="AP51" s="67">
        <v>10.91</v>
      </c>
      <c r="AQ51" s="67">
        <v>0</v>
      </c>
      <c r="AR51" s="67">
        <v>0</v>
      </c>
      <c r="AS51" s="68">
        <v>0</v>
      </c>
      <c r="AT51" s="63"/>
      <c r="AU51" s="63"/>
    </row>
    <row r="52" spans="1:47" ht="12.75" customHeight="1" outlineLevel="1" x14ac:dyDescent="0.2">
      <c r="A52" s="61" t="s">
        <v>84</v>
      </c>
      <c r="B52" s="62">
        <v>0</v>
      </c>
      <c r="C52" s="54">
        <v>0</v>
      </c>
      <c r="D52" s="54">
        <v>0</v>
      </c>
      <c r="E52" s="63"/>
      <c r="F52" s="64"/>
      <c r="G52" s="65">
        <v>0</v>
      </c>
      <c r="H52" s="54">
        <v>0</v>
      </c>
      <c r="I52" s="54">
        <v>0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66">
        <v>0</v>
      </c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66">
        <v>0</v>
      </c>
      <c r="AG52" s="67">
        <v>0</v>
      </c>
      <c r="AH52" s="67">
        <v>0</v>
      </c>
      <c r="AI52" s="67">
        <v>0</v>
      </c>
      <c r="AJ52" s="67">
        <v>0</v>
      </c>
      <c r="AK52" s="67">
        <v>0</v>
      </c>
      <c r="AL52" s="67">
        <v>0</v>
      </c>
      <c r="AM52" s="67">
        <v>0</v>
      </c>
      <c r="AN52" s="67">
        <v>0</v>
      </c>
      <c r="AO52" s="67">
        <v>0</v>
      </c>
      <c r="AP52" s="67">
        <v>0</v>
      </c>
      <c r="AQ52" s="67">
        <v>0</v>
      </c>
      <c r="AR52" s="67">
        <v>0</v>
      </c>
      <c r="AS52" s="68">
        <v>0</v>
      </c>
      <c r="AT52" s="63"/>
      <c r="AU52" s="63"/>
    </row>
    <row r="53" spans="1:47" ht="12.75" customHeight="1" outlineLevel="1" x14ac:dyDescent="0.2">
      <c r="A53" s="61" t="s">
        <v>199</v>
      </c>
      <c r="B53" s="62">
        <v>0</v>
      </c>
      <c r="C53" s="54">
        <v>0</v>
      </c>
      <c r="D53" s="54">
        <v>0</v>
      </c>
      <c r="E53" s="63"/>
      <c r="F53" s="64"/>
      <c r="G53" s="65">
        <v>0</v>
      </c>
      <c r="H53" s="54">
        <v>0</v>
      </c>
      <c r="I53" s="54">
        <v>0</v>
      </c>
      <c r="J53" s="54">
        <v>0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66">
        <v>0</v>
      </c>
      <c r="T53" s="54">
        <v>0</v>
      </c>
      <c r="U53" s="54">
        <v>0</v>
      </c>
      <c r="V53" s="54">
        <v>0</v>
      </c>
      <c r="W53" s="54">
        <v>0</v>
      </c>
      <c r="X53" s="54">
        <v>0</v>
      </c>
      <c r="Y53" s="54">
        <v>0</v>
      </c>
      <c r="Z53" s="54">
        <v>0</v>
      </c>
      <c r="AA53" s="54">
        <v>0</v>
      </c>
      <c r="AB53" s="54">
        <v>0</v>
      </c>
      <c r="AC53" s="54">
        <v>0</v>
      </c>
      <c r="AD53" s="54">
        <v>0</v>
      </c>
      <c r="AE53" s="54">
        <v>0</v>
      </c>
      <c r="AF53" s="66">
        <v>0</v>
      </c>
      <c r="AG53" s="67">
        <v>0</v>
      </c>
      <c r="AH53" s="67">
        <v>0</v>
      </c>
      <c r="AI53" s="67">
        <v>0</v>
      </c>
      <c r="AJ53" s="67">
        <v>0</v>
      </c>
      <c r="AK53" s="67">
        <v>0</v>
      </c>
      <c r="AL53" s="67">
        <v>0</v>
      </c>
      <c r="AM53" s="67">
        <v>0</v>
      </c>
      <c r="AN53" s="67">
        <v>0</v>
      </c>
      <c r="AO53" s="67">
        <v>0</v>
      </c>
      <c r="AP53" s="67">
        <v>0</v>
      </c>
      <c r="AQ53" s="67">
        <v>0</v>
      </c>
      <c r="AR53" s="98">
        <v>-2448.13</v>
      </c>
      <c r="AS53" s="68">
        <v>0</v>
      </c>
      <c r="AT53" s="63"/>
      <c r="AU53" s="63"/>
    </row>
    <row r="54" spans="1:47" ht="12.75" customHeight="1" outlineLevel="1" x14ac:dyDescent="0.2">
      <c r="A54" s="61" t="s">
        <v>195</v>
      </c>
      <c r="B54" s="62">
        <v>0</v>
      </c>
      <c r="C54" s="54">
        <v>0</v>
      </c>
      <c r="D54" s="54">
        <v>0</v>
      </c>
      <c r="E54" s="63"/>
      <c r="F54" s="64"/>
      <c r="G54" s="65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66">
        <v>0</v>
      </c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>
        <v>0</v>
      </c>
      <c r="AH54" s="67">
        <v>0</v>
      </c>
      <c r="AI54" s="67">
        <v>0</v>
      </c>
      <c r="AJ54" s="67">
        <v>0</v>
      </c>
      <c r="AK54" s="67">
        <v>0</v>
      </c>
      <c r="AL54" s="67">
        <v>0</v>
      </c>
      <c r="AM54" s="67">
        <v>0</v>
      </c>
      <c r="AN54" s="67">
        <v>0</v>
      </c>
      <c r="AO54" s="67">
        <v>0</v>
      </c>
      <c r="AP54" s="67">
        <v>0</v>
      </c>
      <c r="AQ54" s="67">
        <v>0</v>
      </c>
      <c r="AR54" s="67">
        <v>0</v>
      </c>
      <c r="AS54" s="68">
        <v>0</v>
      </c>
      <c r="AT54" s="63"/>
      <c r="AU54" s="63"/>
    </row>
    <row r="55" spans="1:47" ht="12.75" customHeight="1" outlineLevel="1" x14ac:dyDescent="0.2">
      <c r="A55" s="61" t="s">
        <v>86</v>
      </c>
      <c r="B55" s="62">
        <v>0</v>
      </c>
      <c r="C55" s="54">
        <v>0</v>
      </c>
      <c r="D55" s="54">
        <v>90</v>
      </c>
      <c r="E55" s="63"/>
      <c r="F55" s="64">
        <v>0</v>
      </c>
      <c r="G55" s="65">
        <v>90</v>
      </c>
      <c r="H55" s="54">
        <v>0</v>
      </c>
      <c r="I55" s="54">
        <v>180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66">
        <v>270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66">
        <v>0</v>
      </c>
      <c r="AG55" s="67">
        <v>155.55000000000001</v>
      </c>
      <c r="AH55" s="67">
        <v>90</v>
      </c>
      <c r="AI55" s="67">
        <v>90</v>
      </c>
      <c r="AJ55" s="67">
        <v>90</v>
      </c>
      <c r="AK55" s="67">
        <v>90</v>
      </c>
      <c r="AL55" s="67">
        <v>90</v>
      </c>
      <c r="AM55" s="67">
        <v>90</v>
      </c>
      <c r="AN55" s="67">
        <v>0</v>
      </c>
      <c r="AO55" s="67">
        <v>135.44999999999999</v>
      </c>
      <c r="AP55" s="67">
        <v>0</v>
      </c>
      <c r="AQ55" s="67">
        <v>180</v>
      </c>
      <c r="AR55" s="67">
        <v>180</v>
      </c>
      <c r="AS55" s="68">
        <v>425.55</v>
      </c>
      <c r="AT55" s="63"/>
      <c r="AU55" s="63">
        <v>63.447303489601694</v>
      </c>
    </row>
    <row r="56" spans="1:47" ht="12.75" customHeight="1" outlineLevel="1" x14ac:dyDescent="0.2">
      <c r="A56" s="61" t="s">
        <v>110</v>
      </c>
      <c r="B56" s="62"/>
      <c r="C56" s="54"/>
      <c r="D56" s="54"/>
      <c r="E56" s="63"/>
      <c r="F56" s="64"/>
      <c r="G56" s="65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66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66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8"/>
      <c r="AT56" s="63"/>
      <c r="AU56" s="63"/>
    </row>
    <row r="57" spans="1:47" ht="12.75" customHeight="1" outlineLevel="1" x14ac:dyDescent="0.2">
      <c r="A57" s="61" t="s">
        <v>213</v>
      </c>
      <c r="B57" s="62">
        <v>0</v>
      </c>
      <c r="C57" s="54">
        <v>0</v>
      </c>
      <c r="D57" s="54">
        <v>1019.87</v>
      </c>
      <c r="E57" s="63"/>
      <c r="F57" s="64">
        <v>0</v>
      </c>
      <c r="G57" s="65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66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66">
        <v>0</v>
      </c>
      <c r="AG57" s="67">
        <v>0</v>
      </c>
      <c r="AH57" s="67">
        <v>126.36</v>
      </c>
      <c r="AI57" s="67">
        <v>0</v>
      </c>
      <c r="AJ57" s="67">
        <v>1019.87</v>
      </c>
      <c r="AK57" s="67">
        <v>0</v>
      </c>
      <c r="AL57" s="67">
        <v>0</v>
      </c>
      <c r="AM57" s="67">
        <v>0</v>
      </c>
      <c r="AN57" s="67">
        <v>164.85</v>
      </c>
      <c r="AO57" s="67">
        <v>0</v>
      </c>
      <c r="AP57" s="67">
        <v>0</v>
      </c>
      <c r="AQ57" s="67">
        <v>0</v>
      </c>
      <c r="AR57" s="67">
        <v>0</v>
      </c>
      <c r="AS57" s="68">
        <v>1146.23</v>
      </c>
      <c r="AT57" s="63"/>
      <c r="AU57" s="63">
        <v>0</v>
      </c>
    </row>
    <row r="58" spans="1:47" ht="12.75" customHeight="1" outlineLevel="1" x14ac:dyDescent="0.2">
      <c r="A58" s="61" t="s">
        <v>88</v>
      </c>
      <c r="B58" s="62">
        <v>7645.76</v>
      </c>
      <c r="C58" s="54">
        <v>0</v>
      </c>
      <c r="D58" s="54">
        <v>0</v>
      </c>
      <c r="E58" s="63"/>
      <c r="F58" s="64"/>
      <c r="G58" s="65">
        <v>0</v>
      </c>
      <c r="H58" s="54">
        <v>0</v>
      </c>
      <c r="I58" s="54">
        <v>0</v>
      </c>
      <c r="J58" s="54">
        <v>7645.76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7645.76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0</v>
      </c>
      <c r="AI58" s="67">
        <v>0</v>
      </c>
      <c r="AJ58" s="67">
        <v>0</v>
      </c>
      <c r="AK58" s="67">
        <v>0</v>
      </c>
      <c r="AL58" s="67">
        <v>0</v>
      </c>
      <c r="AM58" s="67">
        <v>0</v>
      </c>
      <c r="AN58" s="67">
        <v>0</v>
      </c>
      <c r="AO58" s="67">
        <v>0</v>
      </c>
      <c r="AP58" s="67">
        <v>0</v>
      </c>
      <c r="AQ58" s="67">
        <v>0</v>
      </c>
      <c r="AR58" s="67">
        <v>0</v>
      </c>
      <c r="AS58" s="68">
        <v>0</v>
      </c>
      <c r="AT58" s="63"/>
      <c r="AU58" s="63"/>
    </row>
    <row r="59" spans="1:47" s="365" customFormat="1" ht="12.75" customHeight="1" outlineLevel="1" x14ac:dyDescent="0.2">
      <c r="A59" s="61" t="s">
        <v>198</v>
      </c>
      <c r="B59" s="62">
        <v>0</v>
      </c>
      <c r="C59" s="54">
        <v>0</v>
      </c>
      <c r="D59" s="54">
        <v>0</v>
      </c>
      <c r="E59" s="63"/>
      <c r="F59" s="64"/>
      <c r="G59" s="65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66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66">
        <v>0</v>
      </c>
      <c r="AG59" s="67">
        <v>0</v>
      </c>
      <c r="AH59" s="67">
        <v>0</v>
      </c>
      <c r="AI59" s="67">
        <v>0</v>
      </c>
      <c r="AJ59" s="67">
        <v>0</v>
      </c>
      <c r="AK59" s="67">
        <v>0</v>
      </c>
      <c r="AL59" s="67">
        <v>0</v>
      </c>
      <c r="AM59" s="67">
        <v>0</v>
      </c>
      <c r="AN59" s="67">
        <v>0</v>
      </c>
      <c r="AO59" s="67">
        <v>1090</v>
      </c>
      <c r="AP59" s="67">
        <v>22.43</v>
      </c>
      <c r="AQ59" s="67">
        <v>0</v>
      </c>
      <c r="AR59" s="67">
        <v>0</v>
      </c>
      <c r="AS59" s="68">
        <v>0</v>
      </c>
      <c r="AT59" s="63"/>
      <c r="AU59" s="63"/>
    </row>
    <row r="60" spans="1:47" s="365" customFormat="1" ht="12.75" customHeight="1" x14ac:dyDescent="0.2">
      <c r="A60" s="69" t="s">
        <v>89</v>
      </c>
      <c r="B60" s="70">
        <v>7645.76</v>
      </c>
      <c r="C60" s="71">
        <v>0</v>
      </c>
      <c r="D60" s="71">
        <v>1109.8699999999999</v>
      </c>
      <c r="E60" s="72"/>
      <c r="F60" s="73">
        <v>688.88788777063985</v>
      </c>
      <c r="G60" s="70">
        <v>90</v>
      </c>
      <c r="H60" s="71">
        <v>0</v>
      </c>
      <c r="I60" s="71">
        <v>180</v>
      </c>
      <c r="J60" s="71">
        <v>7645.76</v>
      </c>
      <c r="K60" s="71">
        <v>0</v>
      </c>
      <c r="L60" s="71">
        <v>0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v>0</v>
      </c>
      <c r="S60" s="71">
        <v>7915.76</v>
      </c>
      <c r="T60" s="71">
        <v>0</v>
      </c>
      <c r="U60" s="71">
        <v>0</v>
      </c>
      <c r="V60" s="71">
        <v>0</v>
      </c>
      <c r="W60" s="71">
        <v>0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71">
        <v>0</v>
      </c>
      <c r="AE60" s="71">
        <v>0</v>
      </c>
      <c r="AF60" s="71">
        <v>0</v>
      </c>
      <c r="AG60" s="75">
        <v>155.55000000000001</v>
      </c>
      <c r="AH60" s="75">
        <v>225.91</v>
      </c>
      <c r="AI60" s="75">
        <v>90</v>
      </c>
      <c r="AJ60" s="75">
        <v>1109.8699999999999</v>
      </c>
      <c r="AK60" s="75">
        <v>90</v>
      </c>
      <c r="AL60" s="75">
        <v>90</v>
      </c>
      <c r="AM60" s="75">
        <v>90</v>
      </c>
      <c r="AN60" s="75">
        <v>164.85</v>
      </c>
      <c r="AO60" s="75">
        <v>1225.45</v>
      </c>
      <c r="AP60" s="75">
        <v>35.340000000000003</v>
      </c>
      <c r="AQ60" s="75">
        <v>180</v>
      </c>
      <c r="AR60" s="134">
        <v>-2268.13</v>
      </c>
      <c r="AS60" s="75">
        <v>1581.33</v>
      </c>
      <c r="AT60" s="72"/>
      <c r="AU60" s="72">
        <v>500.57609733578698</v>
      </c>
    </row>
    <row r="61" spans="1:47" s="365" customFormat="1" ht="12.75" customHeight="1" x14ac:dyDescent="0.2">
      <c r="A61" s="77" t="s">
        <v>201</v>
      </c>
      <c r="B61" s="78">
        <v>92093.75</v>
      </c>
      <c r="C61" s="79">
        <v>0</v>
      </c>
      <c r="D61" s="79">
        <v>63043.63</v>
      </c>
      <c r="E61" s="80"/>
      <c r="F61" s="81">
        <v>146.0793897813308</v>
      </c>
      <c r="G61" s="78">
        <v>45104.46</v>
      </c>
      <c r="H61" s="79">
        <v>46318.89</v>
      </c>
      <c r="I61" s="79">
        <v>25059.32</v>
      </c>
      <c r="J61" s="79">
        <v>92093.75</v>
      </c>
      <c r="K61" s="82">
        <v>-6664.28</v>
      </c>
      <c r="L61" s="79">
        <v>0</v>
      </c>
      <c r="M61" s="79">
        <v>0</v>
      </c>
      <c r="N61" s="79">
        <v>0</v>
      </c>
      <c r="O61" s="79">
        <v>0</v>
      </c>
      <c r="P61" s="79">
        <v>0</v>
      </c>
      <c r="Q61" s="79">
        <v>0</v>
      </c>
      <c r="R61" s="79">
        <v>0</v>
      </c>
      <c r="S61" s="79">
        <v>208576.42</v>
      </c>
      <c r="T61" s="79">
        <v>0</v>
      </c>
      <c r="U61" s="79">
        <v>0</v>
      </c>
      <c r="V61" s="79">
        <v>0</v>
      </c>
      <c r="W61" s="79">
        <v>0</v>
      </c>
      <c r="X61" s="79">
        <v>0</v>
      </c>
      <c r="Y61" s="79">
        <v>0</v>
      </c>
      <c r="Z61" s="79">
        <v>0</v>
      </c>
      <c r="AA61" s="79">
        <v>0</v>
      </c>
      <c r="AB61" s="79">
        <v>0</v>
      </c>
      <c r="AC61" s="79">
        <v>0</v>
      </c>
      <c r="AD61" s="79">
        <v>0</v>
      </c>
      <c r="AE61" s="79">
        <v>0</v>
      </c>
      <c r="AF61" s="79">
        <v>0</v>
      </c>
      <c r="AG61" s="83">
        <v>50538.38</v>
      </c>
      <c r="AH61" s="83">
        <v>56416.54</v>
      </c>
      <c r="AI61" s="83">
        <v>51782.37</v>
      </c>
      <c r="AJ61" s="83">
        <v>63043.63</v>
      </c>
      <c r="AK61" s="83">
        <v>75572.53</v>
      </c>
      <c r="AL61" s="83">
        <v>90120.98</v>
      </c>
      <c r="AM61" s="83">
        <v>81242.55</v>
      </c>
      <c r="AN61" s="83">
        <v>90697.19</v>
      </c>
      <c r="AO61" s="83">
        <v>87013.91</v>
      </c>
      <c r="AP61" s="83">
        <v>81645.88</v>
      </c>
      <c r="AQ61" s="83">
        <v>110033.29</v>
      </c>
      <c r="AR61" s="83">
        <v>54125.11</v>
      </c>
      <c r="AS61" s="83">
        <v>221780.92</v>
      </c>
      <c r="AT61" s="80"/>
      <c r="AU61" s="80">
        <v>94.046151490398728</v>
      </c>
    </row>
    <row r="62" spans="1:47" ht="15" x14ac:dyDescent="0.25">
      <c r="A62" s="16"/>
      <c r="B62" s="16"/>
      <c r="C62" s="16"/>
      <c r="D62" s="16"/>
    </row>
    <row r="63" spans="1:47" ht="15" x14ac:dyDescent="0.25">
      <c r="A63" s="16"/>
      <c r="B63" s="16"/>
      <c r="C63" s="16"/>
      <c r="D63" s="16"/>
    </row>
    <row r="64" spans="1:47" ht="15" x14ac:dyDescent="0.25">
      <c r="A64" s="16"/>
      <c r="B64" s="16"/>
      <c r="C64" s="16"/>
      <c r="D64" s="16"/>
    </row>
    <row r="65" spans="1:4" ht="15" x14ac:dyDescent="0.25">
      <c r="A65" s="16"/>
      <c r="B65" s="16"/>
      <c r="C65" s="16"/>
      <c r="D65" s="16"/>
    </row>
    <row r="66" spans="1:4" ht="15" x14ac:dyDescent="0.25">
      <c r="A66" s="16"/>
      <c r="B66" s="16"/>
      <c r="C66" s="16"/>
      <c r="D66" s="16"/>
    </row>
    <row r="67" spans="1:4" ht="15" x14ac:dyDescent="0.25">
      <c r="A67" s="16"/>
      <c r="B67" s="16"/>
      <c r="C67" s="16"/>
      <c r="D67" s="16"/>
    </row>
    <row r="68" spans="1:4" ht="15" x14ac:dyDescent="0.25">
      <c r="A68" s="16"/>
      <c r="B68" s="16"/>
      <c r="C68" s="16"/>
      <c r="D68" s="16"/>
    </row>
  </sheetData>
  <pageMargins left="0.75" right="0.75" top="1" bottom="1" header="0.5" footer="0.5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FF33CC"/>
  </sheetPr>
  <dimension ref="A1:AU70"/>
  <sheetViews>
    <sheetView workbookViewId="0">
      <pane xSplit="1" ySplit="7" topLeftCell="B8" activePane="bottomRight" state="frozen"/>
      <selection activeCell="A73" sqref="A73"/>
      <selection pane="topRight" activeCell="A73" sqref="A73"/>
      <selection pane="bottomLeft" activeCell="A73" sqref="A73"/>
      <selection pane="bottomRight" sqref="A1:AU61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9.42578125" collapsed="1"/>
    <col min="46" max="47" width="10.5703125" customWidth="1"/>
  </cols>
  <sheetData>
    <row r="1" spans="1:47" ht="38.2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hidden="1" outlineLevel="1" x14ac:dyDescent="0.2">
      <c r="A2" s="61" t="s">
        <v>160</v>
      </c>
      <c r="B2" s="62">
        <v>5111.92</v>
      </c>
      <c r="C2" s="54">
        <v>0</v>
      </c>
      <c r="D2" s="54">
        <v>7594.3</v>
      </c>
      <c r="E2" s="63"/>
      <c r="F2" s="64">
        <v>67.312589705436977</v>
      </c>
      <c r="G2" s="65">
        <v>351.41</v>
      </c>
      <c r="H2" s="54">
        <v>8962.26</v>
      </c>
      <c r="I2" s="54">
        <v>5594.97</v>
      </c>
      <c r="J2" s="54">
        <v>5111.92</v>
      </c>
      <c r="K2" s="54">
        <v>0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20020.560000000001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8573.48</v>
      </c>
      <c r="AH2" s="67">
        <v>8956.27</v>
      </c>
      <c r="AI2" s="67">
        <v>8601.82</v>
      </c>
      <c r="AJ2" s="67">
        <v>7594.3</v>
      </c>
      <c r="AK2" s="67">
        <v>10101.57</v>
      </c>
      <c r="AL2" s="67">
        <v>3545.16</v>
      </c>
      <c r="AM2" s="67">
        <v>4187.42</v>
      </c>
      <c r="AN2" s="67">
        <v>7806.96</v>
      </c>
      <c r="AO2" s="67">
        <v>8317.61</v>
      </c>
      <c r="AP2" s="98">
        <v>-5730.72</v>
      </c>
      <c r="AQ2" s="67">
        <v>0</v>
      </c>
      <c r="AR2" s="67">
        <v>0</v>
      </c>
      <c r="AS2" s="68">
        <v>33725.870000000003</v>
      </c>
      <c r="AT2" s="63"/>
      <c r="AU2" s="63">
        <v>59.362619852356666</v>
      </c>
    </row>
    <row r="3" spans="1:47" ht="12.75" hidden="1" customHeight="1" outlineLevel="1" x14ac:dyDescent="0.2">
      <c r="A3" s="61" t="s">
        <v>161</v>
      </c>
      <c r="B3" s="62">
        <v>294.73</v>
      </c>
      <c r="C3" s="54">
        <v>0</v>
      </c>
      <c r="D3" s="54">
        <v>415.79</v>
      </c>
      <c r="E3" s="63"/>
      <c r="F3" s="64">
        <v>70.884340652733357</v>
      </c>
      <c r="G3" s="65">
        <v>19.39</v>
      </c>
      <c r="H3" s="54">
        <v>85.95</v>
      </c>
      <c r="I3" s="54">
        <v>709.97</v>
      </c>
      <c r="J3" s="54">
        <v>294.73</v>
      </c>
      <c r="K3" s="56">
        <v>-153.41999999999999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1110.04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408.02</v>
      </c>
      <c r="AH3" s="67">
        <v>434.54</v>
      </c>
      <c r="AI3" s="67">
        <v>523.04</v>
      </c>
      <c r="AJ3" s="67">
        <v>415.79</v>
      </c>
      <c r="AK3" s="67">
        <v>393.78</v>
      </c>
      <c r="AL3" s="67">
        <v>174.05</v>
      </c>
      <c r="AM3" s="67">
        <v>199.83</v>
      </c>
      <c r="AN3" s="67">
        <v>396.98</v>
      </c>
      <c r="AO3" s="67">
        <v>50.38</v>
      </c>
      <c r="AP3" s="67">
        <v>371.69</v>
      </c>
      <c r="AQ3" s="67">
        <v>135.11000000000001</v>
      </c>
      <c r="AR3" s="67">
        <v>135.11000000000001</v>
      </c>
      <c r="AS3" s="68">
        <v>1781.39</v>
      </c>
      <c r="AT3" s="63"/>
      <c r="AU3" s="63">
        <v>62.31313749375488</v>
      </c>
    </row>
    <row r="4" spans="1:47" ht="12.75" hidden="1" customHeight="1" outlineLevel="1" x14ac:dyDescent="0.2">
      <c r="A4" s="61" t="s">
        <v>162</v>
      </c>
      <c r="B4" s="62">
        <v>763.05</v>
      </c>
      <c r="C4" s="54">
        <v>0</v>
      </c>
      <c r="D4" s="54">
        <v>1208.49</v>
      </c>
      <c r="E4" s="63"/>
      <c r="F4" s="64">
        <v>63.140778988655264</v>
      </c>
      <c r="G4" s="65">
        <v>95.73</v>
      </c>
      <c r="H4" s="54">
        <v>701.45</v>
      </c>
      <c r="I4" s="54">
        <v>0.51</v>
      </c>
      <c r="J4" s="54">
        <v>763.05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1560.74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789.41</v>
      </c>
      <c r="AH4" s="67">
        <v>978.9</v>
      </c>
      <c r="AI4" s="67">
        <v>395.93</v>
      </c>
      <c r="AJ4" s="67">
        <v>1208.49</v>
      </c>
      <c r="AK4" s="98">
        <v>-373.96</v>
      </c>
      <c r="AL4" s="67">
        <v>1564.24</v>
      </c>
      <c r="AM4" s="67">
        <v>390.37</v>
      </c>
      <c r="AN4" s="67">
        <v>630.13</v>
      </c>
      <c r="AO4" s="67">
        <v>1150.6199999999999</v>
      </c>
      <c r="AP4" s="67">
        <v>5310.66</v>
      </c>
      <c r="AQ4" s="67">
        <v>72.72</v>
      </c>
      <c r="AR4" s="67">
        <v>70.37</v>
      </c>
      <c r="AS4" s="68">
        <v>3372.73</v>
      </c>
      <c r="AT4" s="63"/>
      <c r="AU4" s="63">
        <v>46.275272553687962</v>
      </c>
    </row>
    <row r="5" spans="1:47" hidden="1" outlineLevel="1" x14ac:dyDescent="0.2">
      <c r="A5" s="61" t="s">
        <v>163</v>
      </c>
      <c r="B5" s="62">
        <v>0</v>
      </c>
      <c r="C5" s="54">
        <v>0</v>
      </c>
      <c r="D5" s="54">
        <v>0</v>
      </c>
      <c r="E5" s="63"/>
      <c r="F5" s="64"/>
      <c r="G5" s="65">
        <v>0</v>
      </c>
      <c r="H5" s="54">
        <v>0</v>
      </c>
      <c r="I5" s="54">
        <v>0</v>
      </c>
      <c r="J5" s="54">
        <v>0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0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0</v>
      </c>
      <c r="AH5" s="67">
        <v>0</v>
      </c>
      <c r="AI5" s="67">
        <v>0</v>
      </c>
      <c r="AJ5" s="67">
        <v>0</v>
      </c>
      <c r="AK5" s="67">
        <v>0</v>
      </c>
      <c r="AL5" s="67">
        <v>0</v>
      </c>
      <c r="AM5" s="67">
        <v>0</v>
      </c>
      <c r="AN5" s="67">
        <v>0</v>
      </c>
      <c r="AO5" s="67">
        <v>0</v>
      </c>
      <c r="AP5" s="67">
        <v>0</v>
      </c>
      <c r="AQ5" s="67">
        <v>0</v>
      </c>
      <c r="AR5" s="67">
        <v>0</v>
      </c>
      <c r="AS5" s="68">
        <v>0</v>
      </c>
      <c r="AT5" s="63"/>
      <c r="AU5" s="63"/>
    </row>
    <row r="6" spans="1:47" s="365" customFormat="1" hidden="1" outlineLevel="1" x14ac:dyDescent="0.2">
      <c r="A6" s="61" t="s">
        <v>164</v>
      </c>
      <c r="B6" s="62">
        <v>233.93</v>
      </c>
      <c r="C6" s="54">
        <v>0</v>
      </c>
      <c r="D6" s="54">
        <v>211.91</v>
      </c>
      <c r="E6" s="63"/>
      <c r="F6" s="64">
        <v>110.39120381293945</v>
      </c>
      <c r="G6" s="65">
        <v>233.93</v>
      </c>
      <c r="H6" s="54">
        <v>233.93</v>
      </c>
      <c r="I6" s="54">
        <v>233.93</v>
      </c>
      <c r="J6" s="54">
        <v>233.93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935.72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0</v>
      </c>
      <c r="AH6" s="67">
        <v>411.11</v>
      </c>
      <c r="AI6" s="67">
        <v>224.62</v>
      </c>
      <c r="AJ6" s="67">
        <v>211.91</v>
      </c>
      <c r="AK6" s="67">
        <v>211.91</v>
      </c>
      <c r="AL6" s="67">
        <v>211.91</v>
      </c>
      <c r="AM6" s="67">
        <v>211.91</v>
      </c>
      <c r="AN6" s="67">
        <v>211.91</v>
      </c>
      <c r="AO6" s="67">
        <v>211.91</v>
      </c>
      <c r="AP6" s="67">
        <v>211.91</v>
      </c>
      <c r="AQ6" s="67">
        <v>211.91</v>
      </c>
      <c r="AR6" s="67">
        <v>211.91</v>
      </c>
      <c r="AS6" s="68">
        <v>847.64</v>
      </c>
      <c r="AT6" s="63"/>
      <c r="AU6" s="63">
        <v>110.39120381293945</v>
      </c>
    </row>
    <row r="7" spans="1:47" hidden="1" outlineLevel="1" x14ac:dyDescent="0.2">
      <c r="A7" s="61" t="s">
        <v>165</v>
      </c>
      <c r="B7" s="62">
        <v>581.16999999999996</v>
      </c>
      <c r="C7" s="54">
        <v>0</v>
      </c>
      <c r="D7" s="54">
        <v>875.82</v>
      </c>
      <c r="E7" s="63"/>
      <c r="F7" s="64">
        <v>66.357242355735195</v>
      </c>
      <c r="G7" s="65">
        <v>36.9</v>
      </c>
      <c r="H7" s="54">
        <v>940.1</v>
      </c>
      <c r="I7" s="54">
        <v>587.47</v>
      </c>
      <c r="J7" s="54">
        <v>581.16999999999996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2145.64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861.48</v>
      </c>
      <c r="AH7" s="67">
        <v>899.93</v>
      </c>
      <c r="AI7" s="67">
        <v>940.84</v>
      </c>
      <c r="AJ7" s="67">
        <v>875.82</v>
      </c>
      <c r="AK7" s="67">
        <v>833.72</v>
      </c>
      <c r="AL7" s="67">
        <v>480.59</v>
      </c>
      <c r="AM7" s="67">
        <v>418.95</v>
      </c>
      <c r="AN7" s="67">
        <v>785.06</v>
      </c>
      <c r="AO7" s="67">
        <v>923.88</v>
      </c>
      <c r="AP7" s="67">
        <v>17.43</v>
      </c>
      <c r="AQ7" s="67">
        <v>0</v>
      </c>
      <c r="AR7" s="67">
        <v>0</v>
      </c>
      <c r="AS7" s="68">
        <v>3578.07</v>
      </c>
      <c r="AT7" s="63"/>
      <c r="AU7" s="63">
        <v>59.96640647052741</v>
      </c>
    </row>
    <row r="8" spans="1:47" ht="12.75" customHeight="1" collapsed="1" x14ac:dyDescent="0.2">
      <c r="A8" s="61" t="s">
        <v>302</v>
      </c>
      <c r="B8" s="62">
        <v>0</v>
      </c>
      <c r="C8" s="54"/>
      <c r="D8" s="54">
        <v>0</v>
      </c>
      <c r="E8" s="63"/>
      <c r="F8" s="64"/>
      <c r="G8" s="65">
        <v>0</v>
      </c>
      <c r="H8" s="54">
        <v>0</v>
      </c>
      <c r="I8" s="54">
        <v>0</v>
      </c>
      <c r="J8" s="54">
        <v>0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66">
        <v>0</v>
      </c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66"/>
      <c r="AG8" s="67">
        <v>0</v>
      </c>
      <c r="AH8" s="67">
        <v>0</v>
      </c>
      <c r="AI8" s="67">
        <v>0</v>
      </c>
      <c r="AJ8" s="67">
        <v>0</v>
      </c>
      <c r="AK8" s="67">
        <v>0</v>
      </c>
      <c r="AL8" s="67">
        <v>0</v>
      </c>
      <c r="AM8" s="67">
        <v>0</v>
      </c>
      <c r="AN8" s="67">
        <v>0</v>
      </c>
      <c r="AO8" s="67">
        <v>0</v>
      </c>
      <c r="AP8" s="67">
        <v>0</v>
      </c>
      <c r="AQ8" s="67">
        <v>0</v>
      </c>
      <c r="AR8" s="67">
        <v>15328.94</v>
      </c>
      <c r="AS8" s="68">
        <v>0</v>
      </c>
      <c r="AT8" s="63"/>
      <c r="AU8" s="63"/>
    </row>
    <row r="9" spans="1:47" ht="12.75" customHeight="1" x14ac:dyDescent="0.2">
      <c r="A9" s="69" t="s">
        <v>166</v>
      </c>
      <c r="B9" s="70">
        <v>6984.8</v>
      </c>
      <c r="C9" s="71">
        <v>0</v>
      </c>
      <c r="D9" s="71">
        <v>10306.31</v>
      </c>
      <c r="E9" s="72"/>
      <c r="F9" s="73">
        <v>67.772073613155442</v>
      </c>
      <c r="G9" s="70">
        <v>737.36</v>
      </c>
      <c r="H9" s="71">
        <v>10923.69</v>
      </c>
      <c r="I9" s="71">
        <v>7126.85</v>
      </c>
      <c r="J9" s="71">
        <v>6984.8</v>
      </c>
      <c r="K9" s="74">
        <v>-153.41999999999999</v>
      </c>
      <c r="L9" s="71">
        <v>0</v>
      </c>
      <c r="M9" s="71">
        <v>0</v>
      </c>
      <c r="N9" s="71">
        <v>0</v>
      </c>
      <c r="O9" s="71">
        <v>0</v>
      </c>
      <c r="P9" s="71">
        <v>0</v>
      </c>
      <c r="Q9" s="71">
        <v>0</v>
      </c>
      <c r="R9" s="71">
        <v>0</v>
      </c>
      <c r="S9" s="71">
        <v>25772.7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0</v>
      </c>
      <c r="AA9" s="71">
        <v>0</v>
      </c>
      <c r="AB9" s="71">
        <v>0</v>
      </c>
      <c r="AC9" s="71">
        <v>0</v>
      </c>
      <c r="AD9" s="71">
        <v>0</v>
      </c>
      <c r="AE9" s="71">
        <v>0</v>
      </c>
      <c r="AF9" s="71">
        <v>0</v>
      </c>
      <c r="AG9" s="75">
        <v>10632.39</v>
      </c>
      <c r="AH9" s="75">
        <v>11680.75</v>
      </c>
      <c r="AI9" s="75">
        <v>10686.25</v>
      </c>
      <c r="AJ9" s="75">
        <v>10306.31</v>
      </c>
      <c r="AK9" s="75">
        <v>11167.02</v>
      </c>
      <c r="AL9" s="75">
        <v>5975.95</v>
      </c>
      <c r="AM9" s="75">
        <v>5408.48</v>
      </c>
      <c r="AN9" s="75">
        <v>9831.0400000000009</v>
      </c>
      <c r="AO9" s="75">
        <v>10654.4</v>
      </c>
      <c r="AP9" s="75">
        <v>180.97</v>
      </c>
      <c r="AQ9" s="75">
        <v>419.74</v>
      </c>
      <c r="AR9" s="75">
        <v>15746.33</v>
      </c>
      <c r="AS9" s="75">
        <v>43305.7</v>
      </c>
      <c r="AT9" s="72"/>
      <c r="AU9" s="72">
        <v>59.513412783998412</v>
      </c>
    </row>
    <row r="10" spans="1:47" ht="12.75" customHeight="1" x14ac:dyDescent="0.2">
      <c r="A10" s="61" t="s">
        <v>167</v>
      </c>
      <c r="B10" s="62"/>
      <c r="C10" s="54"/>
      <c r="D10" s="54"/>
      <c r="E10" s="63"/>
      <c r="F10" s="64"/>
      <c r="G10" s="65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66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8"/>
      <c r="AT10" s="63"/>
      <c r="AU10" s="63"/>
    </row>
    <row r="11" spans="1:47" ht="12.75" customHeight="1" x14ac:dyDescent="0.2">
      <c r="A11" s="61" t="s">
        <v>168</v>
      </c>
      <c r="B11" s="62"/>
      <c r="C11" s="54"/>
      <c r="D11" s="54"/>
      <c r="E11" s="63"/>
      <c r="F11" s="64"/>
      <c r="G11" s="65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66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66"/>
      <c r="AG11" s="67"/>
      <c r="AH11" s="67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8"/>
      <c r="AT11" s="63"/>
      <c r="AU11" s="63"/>
    </row>
    <row r="12" spans="1:47" ht="12.75" customHeight="1" x14ac:dyDescent="0.2">
      <c r="A12" s="61" t="s">
        <v>169</v>
      </c>
      <c r="B12" s="62">
        <v>621.94000000000005</v>
      </c>
      <c r="C12" s="54">
        <v>0</v>
      </c>
      <c r="D12" s="54">
        <v>735.95</v>
      </c>
      <c r="E12" s="63"/>
      <c r="F12" s="64">
        <v>84.50845845505809</v>
      </c>
      <c r="G12" s="65">
        <v>1327.9</v>
      </c>
      <c r="H12" s="54">
        <v>3073.16</v>
      </c>
      <c r="I12" s="54">
        <v>1558.27</v>
      </c>
      <c r="J12" s="54">
        <v>621.94000000000005</v>
      </c>
      <c r="K12" s="56">
        <v>-1164.6300000000001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66">
        <v>6581.27</v>
      </c>
      <c r="T12" s="54">
        <v>0</v>
      </c>
      <c r="U12" s="54">
        <v>0</v>
      </c>
      <c r="V12" s="54">
        <v>0</v>
      </c>
      <c r="W12" s="54">
        <v>0</v>
      </c>
      <c r="X12" s="54">
        <v>0</v>
      </c>
      <c r="Y12" s="54">
        <v>0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66">
        <v>0</v>
      </c>
      <c r="AG12" s="67">
        <v>2629.09</v>
      </c>
      <c r="AH12" s="67">
        <v>2648.7</v>
      </c>
      <c r="AI12" s="67">
        <v>1101.68</v>
      </c>
      <c r="AJ12" s="67">
        <v>735.95</v>
      </c>
      <c r="AK12" s="67">
        <v>828.95</v>
      </c>
      <c r="AL12" s="67">
        <v>4021.56</v>
      </c>
      <c r="AM12" s="98">
        <v>-3453.24</v>
      </c>
      <c r="AN12" s="67">
        <v>921.14</v>
      </c>
      <c r="AO12" s="67">
        <v>4112.43</v>
      </c>
      <c r="AP12" s="67">
        <v>317.16000000000003</v>
      </c>
      <c r="AQ12" s="67">
        <v>3311.5</v>
      </c>
      <c r="AR12" s="67">
        <v>844.58</v>
      </c>
      <c r="AS12" s="68">
        <v>7115.42</v>
      </c>
      <c r="AT12" s="63"/>
      <c r="AU12" s="63">
        <v>92.493064358815076</v>
      </c>
    </row>
    <row r="13" spans="1:47" ht="12.75" customHeight="1" x14ac:dyDescent="0.2">
      <c r="A13" s="61" t="s">
        <v>50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47" ht="12.75" customHeight="1" x14ac:dyDescent="0.2">
      <c r="A14" s="61" t="s">
        <v>170</v>
      </c>
      <c r="B14" s="62"/>
      <c r="C14" s="54"/>
      <c r="D14" s="54"/>
      <c r="E14" s="63"/>
      <c r="F14" s="64"/>
      <c r="G14" s="65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66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66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8"/>
      <c r="AT14" s="63"/>
      <c r="AU14" s="63"/>
    </row>
    <row r="15" spans="1:47" ht="12.75" customHeight="1" x14ac:dyDescent="0.2">
      <c r="A15" s="61" t="s">
        <v>171</v>
      </c>
      <c r="B15" s="62">
        <v>1168.51</v>
      </c>
      <c r="C15" s="54">
        <v>0</v>
      </c>
      <c r="D15" s="54">
        <v>5107.18</v>
      </c>
      <c r="E15" s="63"/>
      <c r="F15" s="64">
        <v>22.879749685736552</v>
      </c>
      <c r="G15" s="65">
        <v>1757.95</v>
      </c>
      <c r="H15" s="54">
        <v>1891.72</v>
      </c>
      <c r="I15" s="54">
        <v>1732</v>
      </c>
      <c r="J15" s="54">
        <v>1168.51</v>
      </c>
      <c r="K15" s="54">
        <v>564.32000000000005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66">
        <v>6550.18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66">
        <v>0</v>
      </c>
      <c r="AG15" s="67">
        <v>4350.45</v>
      </c>
      <c r="AH15" s="67">
        <v>7099.14</v>
      </c>
      <c r="AI15" s="67">
        <v>5515.32</v>
      </c>
      <c r="AJ15" s="67">
        <v>5107.18</v>
      </c>
      <c r="AK15" s="67">
        <v>5409.37</v>
      </c>
      <c r="AL15" s="67">
        <v>959.64</v>
      </c>
      <c r="AM15" s="67">
        <v>0</v>
      </c>
      <c r="AN15" s="67">
        <v>2915.42</v>
      </c>
      <c r="AO15" s="67">
        <v>189.33</v>
      </c>
      <c r="AP15" s="67">
        <v>1371.15</v>
      </c>
      <c r="AQ15" s="67">
        <v>981.76</v>
      </c>
      <c r="AR15" s="67">
        <v>2283.85</v>
      </c>
      <c r="AS15" s="68">
        <v>22072.09</v>
      </c>
      <c r="AT15" s="63"/>
      <c r="AU15" s="63">
        <v>29.676301609861142</v>
      </c>
    </row>
    <row r="16" spans="1:47" ht="12.75" customHeight="1" x14ac:dyDescent="0.2">
      <c r="A16" s="61" t="s">
        <v>172</v>
      </c>
      <c r="B16" s="62">
        <v>0</v>
      </c>
      <c r="C16" s="54">
        <v>0</v>
      </c>
      <c r="D16" s="54">
        <v>0</v>
      </c>
      <c r="E16" s="63"/>
      <c r="F16" s="64"/>
      <c r="G16" s="65">
        <v>0</v>
      </c>
      <c r="H16" s="54">
        <v>0</v>
      </c>
      <c r="I16" s="54">
        <v>0</v>
      </c>
      <c r="J16" s="54">
        <v>0</v>
      </c>
      <c r="K16" s="54"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66">
        <v>0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>
        <v>0</v>
      </c>
      <c r="AH16" s="67">
        <v>0</v>
      </c>
      <c r="AI16" s="67">
        <v>0</v>
      </c>
      <c r="AJ16" s="67">
        <v>0</v>
      </c>
      <c r="AK16" s="67">
        <v>0</v>
      </c>
      <c r="AL16" s="67">
        <v>0</v>
      </c>
      <c r="AM16" s="67">
        <v>0</v>
      </c>
      <c r="AN16" s="67">
        <v>0</v>
      </c>
      <c r="AO16" s="67">
        <v>0</v>
      </c>
      <c r="AP16" s="67">
        <v>0</v>
      </c>
      <c r="AQ16" s="67">
        <v>0</v>
      </c>
      <c r="AR16" s="67">
        <v>0</v>
      </c>
      <c r="AS16" s="68">
        <v>0</v>
      </c>
      <c r="AT16" s="63"/>
      <c r="AU16" s="63"/>
    </row>
    <row r="17" spans="1:47" ht="12.75" customHeight="1" x14ac:dyDescent="0.2">
      <c r="A17" s="61" t="s">
        <v>173</v>
      </c>
      <c r="B17" s="62">
        <v>116.14</v>
      </c>
      <c r="C17" s="54">
        <v>0</v>
      </c>
      <c r="D17" s="54">
        <v>161.99</v>
      </c>
      <c r="E17" s="63"/>
      <c r="F17" s="64">
        <v>71.695783690351263</v>
      </c>
      <c r="G17" s="65">
        <v>116.14</v>
      </c>
      <c r="H17" s="54">
        <v>116.13</v>
      </c>
      <c r="I17" s="54">
        <v>116.14</v>
      </c>
      <c r="J17" s="54">
        <v>116.14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464.55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200.79</v>
      </c>
      <c r="AH17" s="67">
        <v>161.99</v>
      </c>
      <c r="AI17" s="67">
        <v>162</v>
      </c>
      <c r="AJ17" s="67">
        <v>161.99</v>
      </c>
      <c r="AK17" s="67">
        <v>162</v>
      </c>
      <c r="AL17" s="67">
        <v>161.99</v>
      </c>
      <c r="AM17" s="67">
        <v>162</v>
      </c>
      <c r="AN17" s="67">
        <v>116.14</v>
      </c>
      <c r="AO17" s="67">
        <v>116.13</v>
      </c>
      <c r="AP17" s="67">
        <v>116.15</v>
      </c>
      <c r="AQ17" s="67">
        <v>116.13</v>
      </c>
      <c r="AR17" s="67">
        <v>116.14</v>
      </c>
      <c r="AS17" s="68">
        <v>686.77</v>
      </c>
      <c r="AT17" s="63"/>
      <c r="AU17" s="63">
        <v>67.642733375074627</v>
      </c>
    </row>
    <row r="18" spans="1:47" ht="12.75" hidden="1" customHeight="1" outlineLevel="1" x14ac:dyDescent="0.2">
      <c r="A18" s="61" t="s">
        <v>257</v>
      </c>
      <c r="B18" s="62">
        <v>844.2</v>
      </c>
      <c r="C18" s="54">
        <v>0</v>
      </c>
      <c r="D18" s="54">
        <v>791.71</v>
      </c>
      <c r="E18" s="63"/>
      <c r="F18" s="64">
        <v>106.62995288678935</v>
      </c>
      <c r="G18" s="65">
        <v>856.51</v>
      </c>
      <c r="H18" s="54">
        <v>856.51</v>
      </c>
      <c r="I18" s="54">
        <v>856</v>
      </c>
      <c r="J18" s="54">
        <v>844.2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3413.22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334.89</v>
      </c>
      <c r="AH18" s="67">
        <v>334.89</v>
      </c>
      <c r="AI18" s="67">
        <v>1057.1300000000001</v>
      </c>
      <c r="AJ18" s="67">
        <v>791.71</v>
      </c>
      <c r="AK18" s="67">
        <v>823.88</v>
      </c>
      <c r="AL18" s="67">
        <v>822.82</v>
      </c>
      <c r="AM18" s="67">
        <v>822.81</v>
      </c>
      <c r="AN18" s="67">
        <v>821.08</v>
      </c>
      <c r="AO18" s="67">
        <v>822.19</v>
      </c>
      <c r="AP18" s="67">
        <v>842.81</v>
      </c>
      <c r="AQ18" s="67">
        <v>832.48</v>
      </c>
      <c r="AR18" s="67">
        <v>878.93</v>
      </c>
      <c r="AS18" s="68">
        <v>2518.62</v>
      </c>
      <c r="AT18" s="63"/>
      <c r="AU18" s="63">
        <v>135.51945112799868</v>
      </c>
    </row>
    <row r="19" spans="1:47" ht="12.75" hidden="1" customHeight="1" outlineLevel="1" x14ac:dyDescent="0.2">
      <c r="A19" s="61" t="s">
        <v>109</v>
      </c>
      <c r="B19" s="62">
        <v>0</v>
      </c>
      <c r="C19" s="54">
        <v>0</v>
      </c>
      <c r="D19" s="54">
        <v>0</v>
      </c>
      <c r="E19" s="63"/>
      <c r="F19" s="64"/>
      <c r="G19" s="65">
        <v>0</v>
      </c>
      <c r="H19" s="54">
        <v>0</v>
      </c>
      <c r="I19" s="54">
        <v>0</v>
      </c>
      <c r="J19" s="54">
        <v>0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0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0</v>
      </c>
      <c r="AH19" s="67">
        <v>0</v>
      </c>
      <c r="AI19" s="67">
        <v>0</v>
      </c>
      <c r="AJ19" s="67">
        <v>0</v>
      </c>
      <c r="AK19" s="67">
        <v>1812.48</v>
      </c>
      <c r="AL19" s="67">
        <v>0</v>
      </c>
      <c r="AM19" s="67">
        <v>0</v>
      </c>
      <c r="AN19" s="67">
        <v>0</v>
      </c>
      <c r="AO19" s="67">
        <v>0</v>
      </c>
      <c r="AP19" s="67">
        <v>0</v>
      </c>
      <c r="AQ19" s="67">
        <v>0</v>
      </c>
      <c r="AR19" s="67">
        <v>1295</v>
      </c>
      <c r="AS19" s="68">
        <v>0</v>
      </c>
      <c r="AT19" s="63"/>
      <c r="AU19" s="63"/>
    </row>
    <row r="20" spans="1:47" ht="12.75" hidden="1" customHeight="1" outlineLevel="1" x14ac:dyDescent="0.2">
      <c r="A20" s="61" t="s">
        <v>97</v>
      </c>
      <c r="B20" s="62">
        <v>35</v>
      </c>
      <c r="C20" s="54">
        <v>0</v>
      </c>
      <c r="D20" s="54">
        <v>35</v>
      </c>
      <c r="E20" s="63"/>
      <c r="F20" s="64">
        <v>100</v>
      </c>
      <c r="G20" s="65">
        <v>35</v>
      </c>
      <c r="H20" s="54">
        <v>35</v>
      </c>
      <c r="I20" s="54">
        <v>35</v>
      </c>
      <c r="J20" s="54">
        <v>35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66">
        <v>140</v>
      </c>
      <c r="T20" s="54">
        <v>0</v>
      </c>
      <c r="U20" s="54">
        <v>0</v>
      </c>
      <c r="V20" s="54">
        <v>0</v>
      </c>
      <c r="W20" s="54">
        <v>0</v>
      </c>
      <c r="X20" s="54">
        <v>0</v>
      </c>
      <c r="Y20" s="54">
        <v>0</v>
      </c>
      <c r="Z20" s="54">
        <v>0</v>
      </c>
      <c r="AA20" s="54">
        <v>0</v>
      </c>
      <c r="AB20" s="54">
        <v>0</v>
      </c>
      <c r="AC20" s="54">
        <v>0</v>
      </c>
      <c r="AD20" s="54">
        <v>0</v>
      </c>
      <c r="AE20" s="54">
        <v>0</v>
      </c>
      <c r="AF20" s="66">
        <v>0</v>
      </c>
      <c r="AG20" s="67">
        <v>282</v>
      </c>
      <c r="AH20" s="67">
        <v>282</v>
      </c>
      <c r="AI20" s="67">
        <v>50.03</v>
      </c>
      <c r="AJ20" s="67">
        <v>35</v>
      </c>
      <c r="AK20" s="67">
        <v>12.17</v>
      </c>
      <c r="AL20" s="67">
        <v>35</v>
      </c>
      <c r="AM20" s="67">
        <v>35</v>
      </c>
      <c r="AN20" s="67">
        <v>35</v>
      </c>
      <c r="AO20" s="67">
        <v>35</v>
      </c>
      <c r="AP20" s="67">
        <v>35</v>
      </c>
      <c r="AQ20" s="67">
        <v>35</v>
      </c>
      <c r="AR20" s="67">
        <v>35</v>
      </c>
      <c r="AS20" s="68">
        <v>649.03</v>
      </c>
      <c r="AT20" s="63"/>
      <c r="AU20" s="63">
        <v>21.570651587754032</v>
      </c>
    </row>
    <row r="21" spans="1:47" ht="12.75" customHeight="1" collapsed="1" x14ac:dyDescent="0.2">
      <c r="A21" s="61" t="s">
        <v>69</v>
      </c>
      <c r="B21" s="62">
        <v>490</v>
      </c>
      <c r="C21" s="54">
        <v>0</v>
      </c>
      <c r="D21" s="54">
        <v>0</v>
      </c>
      <c r="E21" s="63"/>
      <c r="F21" s="64"/>
      <c r="G21" s="65">
        <v>0</v>
      </c>
      <c r="H21" s="54">
        <v>0</v>
      </c>
      <c r="I21" s="54">
        <v>0</v>
      </c>
      <c r="J21" s="54">
        <v>490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66">
        <v>490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4">
        <v>0</v>
      </c>
      <c r="AB21" s="54">
        <v>0</v>
      </c>
      <c r="AC21" s="54">
        <v>0</v>
      </c>
      <c r="AD21" s="54">
        <v>0</v>
      </c>
      <c r="AE21" s="54">
        <v>0</v>
      </c>
      <c r="AF21" s="66">
        <v>0</v>
      </c>
      <c r="AG21" s="67">
        <v>0</v>
      </c>
      <c r="AH21" s="67">
        <v>0</v>
      </c>
      <c r="AI21" s="67">
        <v>0</v>
      </c>
      <c r="AJ21" s="67">
        <v>0</v>
      </c>
      <c r="AK21" s="67">
        <v>0</v>
      </c>
      <c r="AL21" s="67">
        <v>0</v>
      </c>
      <c r="AM21" s="67">
        <v>0</v>
      </c>
      <c r="AN21" s="67">
        <v>0</v>
      </c>
      <c r="AO21" s="67">
        <v>328</v>
      </c>
      <c r="AP21" s="67">
        <v>0</v>
      </c>
      <c r="AQ21" s="67">
        <v>0</v>
      </c>
      <c r="AR21" s="67">
        <v>0</v>
      </c>
      <c r="AS21" s="68">
        <v>0</v>
      </c>
      <c r="AT21" s="63"/>
      <c r="AU21" s="63"/>
    </row>
    <row r="22" spans="1:47" ht="12.75" hidden="1" customHeight="1" outlineLevel="1" x14ac:dyDescent="0.2">
      <c r="A22" s="69" t="s">
        <v>70</v>
      </c>
      <c r="B22" s="70">
        <v>525</v>
      </c>
      <c r="C22" s="71">
        <v>0</v>
      </c>
      <c r="D22" s="71">
        <v>35</v>
      </c>
      <c r="E22" s="72"/>
      <c r="F22" s="73">
        <v>1500</v>
      </c>
      <c r="G22" s="70">
        <v>35</v>
      </c>
      <c r="H22" s="71">
        <v>35</v>
      </c>
      <c r="I22" s="71">
        <v>35</v>
      </c>
      <c r="J22" s="71">
        <v>525</v>
      </c>
      <c r="K22" s="71">
        <v>0</v>
      </c>
      <c r="L22" s="71">
        <v>0</v>
      </c>
      <c r="M22" s="71">
        <v>0</v>
      </c>
      <c r="N22" s="71">
        <v>0</v>
      </c>
      <c r="O22" s="71">
        <v>0</v>
      </c>
      <c r="P22" s="71">
        <v>0</v>
      </c>
      <c r="Q22" s="71">
        <v>0</v>
      </c>
      <c r="R22" s="71">
        <v>0</v>
      </c>
      <c r="S22" s="71">
        <v>630</v>
      </c>
      <c r="T22" s="71">
        <v>0</v>
      </c>
      <c r="U22" s="71">
        <v>0</v>
      </c>
      <c r="V22" s="71">
        <v>0</v>
      </c>
      <c r="W22" s="71">
        <v>0</v>
      </c>
      <c r="X22" s="71">
        <v>0</v>
      </c>
      <c r="Y22" s="71">
        <v>0</v>
      </c>
      <c r="Z22" s="71">
        <v>0</v>
      </c>
      <c r="AA22" s="71">
        <v>0</v>
      </c>
      <c r="AB22" s="71">
        <v>0</v>
      </c>
      <c r="AC22" s="71">
        <v>0</v>
      </c>
      <c r="AD22" s="71">
        <v>0</v>
      </c>
      <c r="AE22" s="71">
        <v>0</v>
      </c>
      <c r="AF22" s="71">
        <v>0</v>
      </c>
      <c r="AG22" s="75">
        <v>282</v>
      </c>
      <c r="AH22" s="75">
        <v>282</v>
      </c>
      <c r="AI22" s="75">
        <v>50.03</v>
      </c>
      <c r="AJ22" s="75">
        <v>35</v>
      </c>
      <c r="AK22" s="75">
        <v>1824.65</v>
      </c>
      <c r="AL22" s="75">
        <v>35</v>
      </c>
      <c r="AM22" s="75">
        <v>35</v>
      </c>
      <c r="AN22" s="75">
        <v>35</v>
      </c>
      <c r="AO22" s="75">
        <v>363</v>
      </c>
      <c r="AP22" s="75">
        <v>35</v>
      </c>
      <c r="AQ22" s="75">
        <v>35</v>
      </c>
      <c r="AR22" s="75">
        <v>1330</v>
      </c>
      <c r="AS22" s="75">
        <v>649.03</v>
      </c>
      <c r="AT22" s="72"/>
      <c r="AU22" s="72">
        <v>97.067932144893149</v>
      </c>
    </row>
    <row r="23" spans="1:47" ht="12.75" hidden="1" customHeight="1" outlineLevel="1" x14ac:dyDescent="0.2">
      <c r="A23" s="61" t="s">
        <v>174</v>
      </c>
      <c r="B23" s="62">
        <v>0</v>
      </c>
      <c r="C23" s="54">
        <v>0</v>
      </c>
      <c r="D23" s="54">
        <v>0</v>
      </c>
      <c r="E23" s="63"/>
      <c r="F23" s="64"/>
      <c r="G23" s="65">
        <v>0</v>
      </c>
      <c r="H23" s="54">
        <v>0</v>
      </c>
      <c r="I23" s="54">
        <v>0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0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0</v>
      </c>
      <c r="AH23" s="67">
        <v>0</v>
      </c>
      <c r="AI23" s="67">
        <v>0</v>
      </c>
      <c r="AJ23" s="67">
        <v>0</v>
      </c>
      <c r="AK23" s="67">
        <v>0</v>
      </c>
      <c r="AL23" s="67">
        <v>0</v>
      </c>
      <c r="AM23" s="67">
        <v>0</v>
      </c>
      <c r="AN23" s="67">
        <v>0</v>
      </c>
      <c r="AO23" s="67">
        <v>0</v>
      </c>
      <c r="AP23" s="67">
        <v>0</v>
      </c>
      <c r="AQ23" s="67">
        <v>0</v>
      </c>
      <c r="AR23" s="67">
        <v>0</v>
      </c>
      <c r="AS23" s="68">
        <v>0</v>
      </c>
      <c r="AT23" s="63"/>
      <c r="AU23" s="63"/>
    </row>
    <row r="24" spans="1:47" ht="12.75" hidden="1" customHeight="1" outlineLevel="1" x14ac:dyDescent="0.2">
      <c r="A24" s="61" t="s">
        <v>99</v>
      </c>
      <c r="B24" s="62">
        <v>713.41</v>
      </c>
      <c r="C24" s="54">
        <v>0</v>
      </c>
      <c r="D24" s="54">
        <v>851.27</v>
      </c>
      <c r="E24" s="63"/>
      <c r="F24" s="64">
        <v>83.805373148354818</v>
      </c>
      <c r="G24" s="65">
        <v>1357.79</v>
      </c>
      <c r="H24" s="54">
        <v>1396.41</v>
      </c>
      <c r="I24" s="54">
        <v>676.66</v>
      </c>
      <c r="J24" s="54">
        <v>713.41</v>
      </c>
      <c r="K24" s="56">
        <v>-700.57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4144.2700000000004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770.26</v>
      </c>
      <c r="AH24" s="67">
        <v>800.56</v>
      </c>
      <c r="AI24" s="67">
        <v>472.85</v>
      </c>
      <c r="AJ24" s="67">
        <v>851.27</v>
      </c>
      <c r="AK24" s="67">
        <v>1292.81</v>
      </c>
      <c r="AL24" s="67">
        <v>0</v>
      </c>
      <c r="AM24" s="67">
        <v>0</v>
      </c>
      <c r="AN24" s="67">
        <v>1544.94</v>
      </c>
      <c r="AO24" s="67">
        <v>1125.77</v>
      </c>
      <c r="AP24" s="67">
        <v>0</v>
      </c>
      <c r="AQ24" s="67">
        <v>1342.9</v>
      </c>
      <c r="AR24" s="67">
        <v>0</v>
      </c>
      <c r="AS24" s="68">
        <v>2894.94</v>
      </c>
      <c r="AT24" s="63"/>
      <c r="AU24" s="63">
        <v>143.155643985713</v>
      </c>
    </row>
    <row r="25" spans="1:47" ht="12.75" hidden="1" customHeight="1" outlineLevel="1" x14ac:dyDescent="0.2">
      <c r="A25" s="61" t="s">
        <v>175</v>
      </c>
      <c r="B25" s="62"/>
      <c r="C25" s="54">
        <v>0</v>
      </c>
      <c r="D25" s="54"/>
      <c r="E25" s="63"/>
      <c r="F25" s="64"/>
      <c r="G25" s="65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66"/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8"/>
      <c r="AT25" s="63"/>
      <c r="AU25" s="63"/>
    </row>
    <row r="26" spans="1:47" ht="12.75" hidden="1" customHeight="1" outlineLevel="1" x14ac:dyDescent="0.2">
      <c r="A26" s="61" t="s">
        <v>100</v>
      </c>
      <c r="B26" s="62">
        <v>1830.67</v>
      </c>
      <c r="C26" s="54">
        <v>0</v>
      </c>
      <c r="D26" s="54">
        <v>2108.0100000000002</v>
      </c>
      <c r="E26" s="63"/>
      <c r="F26" s="64">
        <v>86.843515922599991</v>
      </c>
      <c r="G26" s="65">
        <v>3421.85</v>
      </c>
      <c r="H26" s="54">
        <v>2217.6999999999998</v>
      </c>
      <c r="I26" s="54">
        <v>1780.98</v>
      </c>
      <c r="J26" s="54">
        <v>1830.67</v>
      </c>
      <c r="K26" s="56">
        <v>-3899.66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9251.2000000000007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1615.15</v>
      </c>
      <c r="AH26" s="67">
        <v>1077.7</v>
      </c>
      <c r="AI26" s="67">
        <v>1240.82</v>
      </c>
      <c r="AJ26" s="67">
        <v>2108.0100000000002</v>
      </c>
      <c r="AK26" s="67">
        <v>1754.65</v>
      </c>
      <c r="AL26" s="67">
        <v>359.7</v>
      </c>
      <c r="AM26" s="67">
        <v>4148.5200000000004</v>
      </c>
      <c r="AN26" s="67">
        <v>492.21</v>
      </c>
      <c r="AO26" s="67">
        <v>384.05</v>
      </c>
      <c r="AP26" s="67">
        <v>3762.9</v>
      </c>
      <c r="AQ26" s="67">
        <v>780.28</v>
      </c>
      <c r="AR26" s="67">
        <v>1952.54</v>
      </c>
      <c r="AS26" s="68">
        <v>6041.68</v>
      </c>
      <c r="AT26" s="63"/>
      <c r="AU26" s="63">
        <v>153.12297241826778</v>
      </c>
    </row>
    <row r="27" spans="1:47" ht="12.75" hidden="1" customHeight="1" outlineLevel="1" x14ac:dyDescent="0.2">
      <c r="A27" s="61" t="s">
        <v>101</v>
      </c>
      <c r="B27" s="62">
        <v>137.83000000000001</v>
      </c>
      <c r="C27" s="54">
        <v>0</v>
      </c>
      <c r="D27" s="54">
        <v>181.33</v>
      </c>
      <c r="E27" s="63"/>
      <c r="F27" s="64">
        <v>76.010588429934373</v>
      </c>
      <c r="G27" s="65">
        <v>126.93</v>
      </c>
      <c r="H27" s="54">
        <v>126.67</v>
      </c>
      <c r="I27" s="54">
        <v>136.66999999999999</v>
      </c>
      <c r="J27" s="54">
        <v>137.83000000000001</v>
      </c>
      <c r="K27" s="56">
        <v>-126.67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528.1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183.18</v>
      </c>
      <c r="AH27" s="67">
        <v>177.87</v>
      </c>
      <c r="AI27" s="67">
        <v>182.93</v>
      </c>
      <c r="AJ27" s="67">
        <v>181.33</v>
      </c>
      <c r="AK27" s="67">
        <v>137.94999999999999</v>
      </c>
      <c r="AL27" s="67">
        <v>137.72999999999999</v>
      </c>
      <c r="AM27" s="67">
        <v>0</v>
      </c>
      <c r="AN27" s="67">
        <v>0</v>
      </c>
      <c r="AO27" s="67">
        <v>288.01</v>
      </c>
      <c r="AP27" s="67">
        <v>145.44999999999999</v>
      </c>
      <c r="AQ27" s="67">
        <v>9.09</v>
      </c>
      <c r="AR27" s="67">
        <v>384.2</v>
      </c>
      <c r="AS27" s="68">
        <v>725.31</v>
      </c>
      <c r="AT27" s="63"/>
      <c r="AU27" s="63">
        <v>72.810246653155204</v>
      </c>
    </row>
    <row r="28" spans="1:47" ht="12.75" hidden="1" customHeight="1" outlineLevel="1" x14ac:dyDescent="0.2">
      <c r="A28" s="61" t="s">
        <v>176</v>
      </c>
      <c r="B28" s="62">
        <v>61.24</v>
      </c>
      <c r="C28" s="54">
        <v>0</v>
      </c>
      <c r="D28" s="54">
        <v>0</v>
      </c>
      <c r="E28" s="63"/>
      <c r="F28" s="64"/>
      <c r="G28" s="65">
        <v>70.8</v>
      </c>
      <c r="H28" s="54">
        <v>59.95</v>
      </c>
      <c r="I28" s="54">
        <v>57.82</v>
      </c>
      <c r="J28" s="54">
        <v>61.24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249.81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74.09</v>
      </c>
      <c r="AH28" s="67">
        <v>74.09</v>
      </c>
      <c r="AI28" s="67">
        <v>50</v>
      </c>
      <c r="AJ28" s="67">
        <v>0</v>
      </c>
      <c r="AK28" s="67">
        <v>44.96</v>
      </c>
      <c r="AL28" s="67">
        <v>44.96</v>
      </c>
      <c r="AM28" s="67">
        <v>161.58000000000001</v>
      </c>
      <c r="AN28" s="67">
        <v>117.73</v>
      </c>
      <c r="AO28" s="67">
        <v>0</v>
      </c>
      <c r="AP28" s="67">
        <v>0</v>
      </c>
      <c r="AQ28" s="67">
        <v>146.30000000000001</v>
      </c>
      <c r="AR28" s="67">
        <v>76.75</v>
      </c>
      <c r="AS28" s="68">
        <v>198.18</v>
      </c>
      <c r="AT28" s="63"/>
      <c r="AU28" s="63">
        <v>126.05207387223736</v>
      </c>
    </row>
    <row r="29" spans="1:47" ht="12.75" hidden="1" customHeight="1" outlineLevel="1" x14ac:dyDescent="0.2">
      <c r="A29" s="61" t="s">
        <v>102</v>
      </c>
      <c r="B29" s="62">
        <v>183.29</v>
      </c>
      <c r="C29" s="54">
        <v>0</v>
      </c>
      <c r="D29" s="54">
        <v>183.29</v>
      </c>
      <c r="E29" s="63"/>
      <c r="F29" s="64">
        <v>100</v>
      </c>
      <c r="G29" s="65">
        <v>183.29</v>
      </c>
      <c r="H29" s="54">
        <v>183.29</v>
      </c>
      <c r="I29" s="54">
        <v>183.29</v>
      </c>
      <c r="J29" s="54">
        <v>183.29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733.16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166</v>
      </c>
      <c r="AH29" s="67">
        <v>183.29</v>
      </c>
      <c r="AI29" s="67">
        <v>183.29</v>
      </c>
      <c r="AJ29" s="67">
        <v>183.29</v>
      </c>
      <c r="AK29" s="67">
        <v>183.29</v>
      </c>
      <c r="AL29" s="67">
        <v>183.29</v>
      </c>
      <c r="AM29" s="67">
        <v>183.29</v>
      </c>
      <c r="AN29" s="67">
        <v>183.29</v>
      </c>
      <c r="AO29" s="67">
        <v>183.29</v>
      </c>
      <c r="AP29" s="67">
        <v>183.29</v>
      </c>
      <c r="AQ29" s="67">
        <v>183.29</v>
      </c>
      <c r="AR29" s="67">
        <v>183.29</v>
      </c>
      <c r="AS29" s="68">
        <v>715.87</v>
      </c>
      <c r="AT29" s="63"/>
      <c r="AU29" s="63">
        <v>102.41524299104586</v>
      </c>
    </row>
    <row r="30" spans="1:47" ht="12.75" hidden="1" customHeight="1" outlineLevel="1" x14ac:dyDescent="0.2">
      <c r="A30" s="61" t="s">
        <v>75</v>
      </c>
      <c r="B30" s="62">
        <v>118.04</v>
      </c>
      <c r="C30" s="54">
        <v>0</v>
      </c>
      <c r="D30" s="54">
        <v>0</v>
      </c>
      <c r="E30" s="63"/>
      <c r="F30" s="64"/>
      <c r="G30" s="65">
        <v>0</v>
      </c>
      <c r="H30" s="54">
        <v>118.04</v>
      </c>
      <c r="I30" s="54">
        <v>118.04</v>
      </c>
      <c r="J30" s="54">
        <v>118.04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354.12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0</v>
      </c>
      <c r="AH30" s="67">
        <v>0</v>
      </c>
      <c r="AI30" s="67">
        <v>0</v>
      </c>
      <c r="AJ30" s="67">
        <v>0</v>
      </c>
      <c r="AK30" s="67">
        <v>0</v>
      </c>
      <c r="AL30" s="67">
        <v>452.4</v>
      </c>
      <c r="AM30" s="67">
        <v>452.4</v>
      </c>
      <c r="AN30" s="67">
        <v>452.4</v>
      </c>
      <c r="AO30" s="67">
        <v>452.4</v>
      </c>
      <c r="AP30" s="67">
        <v>452.4</v>
      </c>
      <c r="AQ30" s="67">
        <v>452.4</v>
      </c>
      <c r="AR30" s="67">
        <v>452.4</v>
      </c>
      <c r="AS30" s="68">
        <v>0</v>
      </c>
      <c r="AT30" s="63"/>
      <c r="AU30" s="63"/>
    </row>
    <row r="31" spans="1:47" ht="12.75" hidden="1" customHeight="1" outlineLevel="1" x14ac:dyDescent="0.2">
      <c r="A31" s="61" t="s">
        <v>76</v>
      </c>
      <c r="B31" s="62">
        <v>2466.63</v>
      </c>
      <c r="C31" s="54">
        <v>0</v>
      </c>
      <c r="D31" s="54">
        <v>949.55</v>
      </c>
      <c r="E31" s="63"/>
      <c r="F31" s="64">
        <v>259.76831130535516</v>
      </c>
      <c r="G31" s="65">
        <v>2649.79</v>
      </c>
      <c r="H31" s="54">
        <v>5980.29</v>
      </c>
      <c r="I31" s="54">
        <v>507.81</v>
      </c>
      <c r="J31" s="54">
        <v>2466.63</v>
      </c>
      <c r="K31" s="56">
        <v>-178.31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11604.52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848.25</v>
      </c>
      <c r="AH31" s="67">
        <v>2119.83</v>
      </c>
      <c r="AI31" s="67">
        <v>3326.17</v>
      </c>
      <c r="AJ31" s="67">
        <v>949.55</v>
      </c>
      <c r="AK31" s="67">
        <v>2020.9</v>
      </c>
      <c r="AL31" s="67">
        <v>965.78</v>
      </c>
      <c r="AM31" s="98">
        <v>-306.77999999999997</v>
      </c>
      <c r="AN31" s="67">
        <v>394.5</v>
      </c>
      <c r="AO31" s="67">
        <v>566.17999999999995</v>
      </c>
      <c r="AP31" s="67">
        <v>166.17</v>
      </c>
      <c r="AQ31" s="67">
        <v>2973.72</v>
      </c>
      <c r="AR31" s="67">
        <v>1862.23</v>
      </c>
      <c r="AS31" s="68">
        <v>7243.8</v>
      </c>
      <c r="AT31" s="63"/>
      <c r="AU31" s="63">
        <v>160.19934288633038</v>
      </c>
    </row>
    <row r="32" spans="1:47" ht="12.75" customHeight="1" collapsed="1" x14ac:dyDescent="0.2">
      <c r="A32" s="61" t="s">
        <v>77</v>
      </c>
      <c r="B32" s="62"/>
      <c r="C32" s="54"/>
      <c r="D32" s="54"/>
      <c r="E32" s="63"/>
      <c r="F32" s="64"/>
      <c r="G32" s="65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66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66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8"/>
      <c r="AT32" s="63"/>
      <c r="AU32" s="63"/>
    </row>
    <row r="33" spans="1:47" ht="12.75" hidden="1" customHeight="1" outlineLevel="1" x14ac:dyDescent="0.2">
      <c r="A33" s="69" t="s">
        <v>177</v>
      </c>
      <c r="B33" s="70">
        <v>5511.11</v>
      </c>
      <c r="C33" s="71">
        <v>0</v>
      </c>
      <c r="D33" s="71">
        <v>4273.45</v>
      </c>
      <c r="E33" s="72"/>
      <c r="F33" s="73">
        <v>128.96161181247001</v>
      </c>
      <c r="G33" s="70">
        <v>7810.45</v>
      </c>
      <c r="H33" s="71">
        <v>10082.35</v>
      </c>
      <c r="I33" s="71">
        <v>3461.27</v>
      </c>
      <c r="J33" s="71">
        <v>5511.11</v>
      </c>
      <c r="K33" s="74">
        <v>-4905.21</v>
      </c>
      <c r="L33" s="71">
        <v>0</v>
      </c>
      <c r="M33" s="71">
        <v>0</v>
      </c>
      <c r="N33" s="71">
        <v>0</v>
      </c>
      <c r="O33" s="71">
        <v>0</v>
      </c>
      <c r="P33" s="71">
        <v>0</v>
      </c>
      <c r="Q33" s="71">
        <v>0</v>
      </c>
      <c r="R33" s="71">
        <v>0</v>
      </c>
      <c r="S33" s="71">
        <v>26865.18</v>
      </c>
      <c r="T33" s="71">
        <v>0</v>
      </c>
      <c r="U33" s="71">
        <v>0</v>
      </c>
      <c r="V33" s="71">
        <v>0</v>
      </c>
      <c r="W33" s="71">
        <v>0</v>
      </c>
      <c r="X33" s="71">
        <v>0</v>
      </c>
      <c r="Y33" s="71">
        <v>0</v>
      </c>
      <c r="Z33" s="71">
        <v>0</v>
      </c>
      <c r="AA33" s="71">
        <v>0</v>
      </c>
      <c r="AB33" s="71">
        <v>0</v>
      </c>
      <c r="AC33" s="71">
        <v>0</v>
      </c>
      <c r="AD33" s="71">
        <v>0</v>
      </c>
      <c r="AE33" s="71">
        <v>0</v>
      </c>
      <c r="AF33" s="71">
        <v>0</v>
      </c>
      <c r="AG33" s="75">
        <v>3656.93</v>
      </c>
      <c r="AH33" s="75">
        <v>4433.34</v>
      </c>
      <c r="AI33" s="75">
        <v>5456.06</v>
      </c>
      <c r="AJ33" s="75">
        <v>4273.45</v>
      </c>
      <c r="AK33" s="75">
        <v>5434.56</v>
      </c>
      <c r="AL33" s="75">
        <v>2143.86</v>
      </c>
      <c r="AM33" s="75">
        <v>4639.01</v>
      </c>
      <c r="AN33" s="75">
        <v>3185.07</v>
      </c>
      <c r="AO33" s="75">
        <v>2999.7</v>
      </c>
      <c r="AP33" s="75">
        <v>4710.21</v>
      </c>
      <c r="AQ33" s="75">
        <v>5887.98</v>
      </c>
      <c r="AR33" s="75">
        <v>4911.41</v>
      </c>
      <c r="AS33" s="75">
        <v>17819.78</v>
      </c>
      <c r="AT33" s="72"/>
      <c r="AU33" s="72">
        <v>150.7604470986735</v>
      </c>
    </row>
    <row r="34" spans="1:47" ht="12.75" hidden="1" customHeight="1" outlineLevel="1" x14ac:dyDescent="0.2">
      <c r="A34" s="61" t="s">
        <v>178</v>
      </c>
      <c r="B34" s="62">
        <v>221.44</v>
      </c>
      <c r="C34" s="54">
        <v>0</v>
      </c>
      <c r="D34" s="54">
        <v>0</v>
      </c>
      <c r="E34" s="63"/>
      <c r="F34" s="64"/>
      <c r="G34" s="65">
        <v>13.22</v>
      </c>
      <c r="H34" s="54">
        <v>0</v>
      </c>
      <c r="I34" s="54">
        <v>0</v>
      </c>
      <c r="J34" s="54">
        <v>221.44</v>
      </c>
      <c r="K34" s="54">
        <v>0</v>
      </c>
      <c r="L34" s="54">
        <v>0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66">
        <v>234.66</v>
      </c>
      <c r="T34" s="54">
        <v>0</v>
      </c>
      <c r="U34" s="54">
        <v>0</v>
      </c>
      <c r="V34" s="54">
        <v>0</v>
      </c>
      <c r="W34" s="54">
        <v>0</v>
      </c>
      <c r="X34" s="54">
        <v>0</v>
      </c>
      <c r="Y34" s="54">
        <v>0</v>
      </c>
      <c r="Z34" s="54">
        <v>0</v>
      </c>
      <c r="AA34" s="54">
        <v>0</v>
      </c>
      <c r="AB34" s="54">
        <v>0</v>
      </c>
      <c r="AC34" s="54">
        <v>0</v>
      </c>
      <c r="AD34" s="54">
        <v>0</v>
      </c>
      <c r="AE34" s="54">
        <v>0</v>
      </c>
      <c r="AF34" s="66">
        <v>0</v>
      </c>
      <c r="AG34" s="67">
        <v>0</v>
      </c>
      <c r="AH34" s="67">
        <v>0</v>
      </c>
      <c r="AI34" s="67">
        <v>0</v>
      </c>
      <c r="AJ34" s="67">
        <v>0</v>
      </c>
      <c r="AK34" s="67">
        <v>0</v>
      </c>
      <c r="AL34" s="67">
        <v>0</v>
      </c>
      <c r="AM34" s="67">
        <v>0</v>
      </c>
      <c r="AN34" s="67">
        <v>0</v>
      </c>
      <c r="AO34" s="67">
        <v>132.28</v>
      </c>
      <c r="AP34" s="67">
        <v>0</v>
      </c>
      <c r="AQ34" s="67">
        <v>0</v>
      </c>
      <c r="AR34" s="67">
        <v>0</v>
      </c>
      <c r="AS34" s="68">
        <v>0</v>
      </c>
      <c r="AT34" s="63"/>
      <c r="AU34" s="63"/>
    </row>
    <row r="35" spans="1:47" ht="12.75" hidden="1" customHeight="1" outlineLevel="1" x14ac:dyDescent="0.2">
      <c r="A35" s="61" t="s">
        <v>179</v>
      </c>
      <c r="B35" s="62">
        <v>0</v>
      </c>
      <c r="C35" s="54">
        <v>0</v>
      </c>
      <c r="D35" s="54">
        <v>52.92</v>
      </c>
      <c r="E35" s="63"/>
      <c r="F35" s="64">
        <v>0</v>
      </c>
      <c r="G35" s="65">
        <v>0</v>
      </c>
      <c r="H35" s="54">
        <v>0</v>
      </c>
      <c r="I35" s="54">
        <v>288.68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288.68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0</v>
      </c>
      <c r="AH35" s="67">
        <v>30.78</v>
      </c>
      <c r="AI35" s="67">
        <v>1026.6400000000001</v>
      </c>
      <c r="AJ35" s="67">
        <v>52.92</v>
      </c>
      <c r="AK35" s="67">
        <v>13.15</v>
      </c>
      <c r="AL35" s="67">
        <v>48.38</v>
      </c>
      <c r="AM35" s="67">
        <v>15.61</v>
      </c>
      <c r="AN35" s="67">
        <v>0</v>
      </c>
      <c r="AO35" s="67">
        <v>0</v>
      </c>
      <c r="AP35" s="67">
        <v>0</v>
      </c>
      <c r="AQ35" s="67">
        <v>14.7</v>
      </c>
      <c r="AR35" s="67">
        <v>13.36</v>
      </c>
      <c r="AS35" s="68">
        <v>1110.3399999999999</v>
      </c>
      <c r="AT35" s="63"/>
      <c r="AU35" s="63">
        <v>25.999243474971632</v>
      </c>
    </row>
    <row r="36" spans="1:47" ht="12.75" hidden="1" customHeight="1" outlineLevel="1" x14ac:dyDescent="0.2">
      <c r="A36" s="61" t="s">
        <v>180</v>
      </c>
      <c r="B36" s="62">
        <v>0</v>
      </c>
      <c r="C36" s="54">
        <v>0</v>
      </c>
      <c r="D36" s="54">
        <v>0</v>
      </c>
      <c r="E36" s="63"/>
      <c r="F36" s="64"/>
      <c r="G36" s="65">
        <v>0</v>
      </c>
      <c r="H36" s="54">
        <v>0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0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>
        <v>0</v>
      </c>
      <c r="AH36" s="67">
        <v>0</v>
      </c>
      <c r="AI36" s="67">
        <v>0</v>
      </c>
      <c r="AJ36" s="67">
        <v>0</v>
      </c>
      <c r="AK36" s="67">
        <v>0</v>
      </c>
      <c r="AL36" s="67">
        <v>0</v>
      </c>
      <c r="AM36" s="67">
        <v>0</v>
      </c>
      <c r="AN36" s="67">
        <v>0</v>
      </c>
      <c r="AO36" s="67">
        <v>0</v>
      </c>
      <c r="AP36" s="67">
        <v>0</v>
      </c>
      <c r="AQ36" s="67">
        <v>0</v>
      </c>
      <c r="AR36" s="67">
        <v>0</v>
      </c>
      <c r="AS36" s="68">
        <v>0</v>
      </c>
      <c r="AT36" s="63"/>
      <c r="AU36" s="63"/>
    </row>
    <row r="37" spans="1:47" ht="12.75" hidden="1" customHeight="1" outlineLevel="1" x14ac:dyDescent="0.2">
      <c r="A37" s="61" t="s">
        <v>181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0</v>
      </c>
      <c r="AM37" s="67">
        <v>0</v>
      </c>
      <c r="AN37" s="67">
        <v>0</v>
      </c>
      <c r="AO37" s="67">
        <v>0</v>
      </c>
      <c r="AP37" s="67">
        <v>0</v>
      </c>
      <c r="AQ37" s="67">
        <v>0</v>
      </c>
      <c r="AR37" s="67">
        <v>0</v>
      </c>
      <c r="AS37" s="68">
        <v>0</v>
      </c>
      <c r="AT37" s="63"/>
      <c r="AU37" s="63"/>
    </row>
    <row r="38" spans="1:47" ht="12.75" hidden="1" customHeight="1" outlineLevel="1" x14ac:dyDescent="0.2">
      <c r="A38" s="61" t="s">
        <v>182</v>
      </c>
      <c r="B38" s="62">
        <v>0</v>
      </c>
      <c r="C38" s="54">
        <v>0</v>
      </c>
      <c r="D38" s="54">
        <v>0</v>
      </c>
      <c r="E38" s="63"/>
      <c r="F38" s="64"/>
      <c r="G38" s="65">
        <v>0</v>
      </c>
      <c r="H38" s="54">
        <v>0</v>
      </c>
      <c r="I38" s="54">
        <v>0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0</v>
      </c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0</v>
      </c>
      <c r="Z38" s="54">
        <v>0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66">
        <v>0</v>
      </c>
      <c r="AG38" s="67">
        <v>0</v>
      </c>
      <c r="AH38" s="67">
        <v>764.05</v>
      </c>
      <c r="AI38" s="67">
        <v>0</v>
      </c>
      <c r="AJ38" s="67">
        <v>0</v>
      </c>
      <c r="AK38" s="67">
        <v>0</v>
      </c>
      <c r="AL38" s="67">
        <v>0</v>
      </c>
      <c r="AM38" s="67">
        <v>0</v>
      </c>
      <c r="AN38" s="67">
        <v>0</v>
      </c>
      <c r="AO38" s="67">
        <v>0</v>
      </c>
      <c r="AP38" s="67">
        <v>0</v>
      </c>
      <c r="AQ38" s="67">
        <v>0</v>
      </c>
      <c r="AR38" s="67">
        <v>0</v>
      </c>
      <c r="AS38" s="68">
        <v>764.05</v>
      </c>
      <c r="AT38" s="63"/>
      <c r="AU38" s="63">
        <v>0</v>
      </c>
    </row>
    <row r="39" spans="1:47" ht="12.75" hidden="1" customHeight="1" outlineLevel="1" x14ac:dyDescent="0.2">
      <c r="A39" s="61" t="s">
        <v>183</v>
      </c>
      <c r="B39" s="62"/>
      <c r="C39" s="54"/>
      <c r="D39" s="54"/>
      <c r="E39" s="63"/>
      <c r="F39" s="64"/>
      <c r="G39" s="65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66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66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8"/>
      <c r="AT39" s="63"/>
      <c r="AU39" s="63"/>
    </row>
    <row r="40" spans="1:47" ht="12.75" hidden="1" customHeight="1" outlineLevel="1" x14ac:dyDescent="0.2">
      <c r="A40" s="61" t="s">
        <v>184</v>
      </c>
      <c r="B40" s="62">
        <v>0</v>
      </c>
      <c r="C40" s="54">
        <v>0</v>
      </c>
      <c r="D40" s="54">
        <v>0</v>
      </c>
      <c r="E40" s="63"/>
      <c r="F40" s="64"/>
      <c r="G40" s="65">
        <v>0</v>
      </c>
      <c r="H40" s="54">
        <v>0</v>
      </c>
      <c r="I40" s="54">
        <v>0</v>
      </c>
      <c r="J40" s="54">
        <v>0</v>
      </c>
      <c r="K40" s="54">
        <v>0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66">
        <v>0</v>
      </c>
      <c r="T40" s="54">
        <v>0</v>
      </c>
      <c r="U40" s="54">
        <v>0</v>
      </c>
      <c r="V40" s="54">
        <v>0</v>
      </c>
      <c r="W40" s="54">
        <v>0</v>
      </c>
      <c r="X40" s="54">
        <v>0</v>
      </c>
      <c r="Y40" s="54">
        <v>0</v>
      </c>
      <c r="Z40" s="54">
        <v>0</v>
      </c>
      <c r="AA40" s="54">
        <v>0</v>
      </c>
      <c r="AB40" s="54">
        <v>0</v>
      </c>
      <c r="AC40" s="54">
        <v>0</v>
      </c>
      <c r="AD40" s="54">
        <v>0</v>
      </c>
      <c r="AE40" s="54">
        <v>0</v>
      </c>
      <c r="AF40" s="66">
        <v>0</v>
      </c>
      <c r="AG40" s="67">
        <v>0</v>
      </c>
      <c r="AH40" s="67">
        <v>0</v>
      </c>
      <c r="AI40" s="67">
        <v>0</v>
      </c>
      <c r="AJ40" s="67">
        <v>0</v>
      </c>
      <c r="AK40" s="67">
        <v>0</v>
      </c>
      <c r="AL40" s="67">
        <v>0</v>
      </c>
      <c r="AM40" s="67">
        <v>0</v>
      </c>
      <c r="AN40" s="67">
        <v>0</v>
      </c>
      <c r="AO40" s="67">
        <v>0</v>
      </c>
      <c r="AP40" s="67">
        <v>0</v>
      </c>
      <c r="AQ40" s="67">
        <v>0</v>
      </c>
      <c r="AR40" s="67">
        <v>0</v>
      </c>
      <c r="AS40" s="68">
        <v>0</v>
      </c>
      <c r="AT40" s="63"/>
      <c r="AU40" s="63"/>
    </row>
    <row r="41" spans="1:47" ht="12.75" hidden="1" customHeight="1" outlineLevel="1" x14ac:dyDescent="0.2">
      <c r="A41" s="61" t="s">
        <v>185</v>
      </c>
      <c r="B41" s="62">
        <v>0</v>
      </c>
      <c r="C41" s="54"/>
      <c r="D41" s="54">
        <v>0</v>
      </c>
      <c r="E41" s="63"/>
      <c r="F41" s="64"/>
      <c r="G41" s="65">
        <v>0</v>
      </c>
      <c r="H41" s="54">
        <v>0</v>
      </c>
      <c r="I41" s="54">
        <v>0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66">
        <v>0</v>
      </c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66"/>
      <c r="AG41" s="67">
        <v>0</v>
      </c>
      <c r="AH41" s="67">
        <v>0</v>
      </c>
      <c r="AI41" s="67">
        <v>0</v>
      </c>
      <c r="AJ41" s="67">
        <v>0</v>
      </c>
      <c r="AK41" s="67">
        <v>0</v>
      </c>
      <c r="AL41" s="67">
        <v>0</v>
      </c>
      <c r="AM41" s="67">
        <v>0</v>
      </c>
      <c r="AN41" s="67">
        <v>0</v>
      </c>
      <c r="AO41" s="67">
        <v>0</v>
      </c>
      <c r="AP41" s="67">
        <v>0</v>
      </c>
      <c r="AQ41" s="67">
        <v>0</v>
      </c>
      <c r="AR41" s="67">
        <v>0</v>
      </c>
      <c r="AS41" s="68">
        <v>0</v>
      </c>
      <c r="AT41" s="63"/>
      <c r="AU41" s="63"/>
    </row>
    <row r="42" spans="1:47" ht="12.75" hidden="1" customHeight="1" outlineLevel="1" x14ac:dyDescent="0.2">
      <c r="A42" s="61" t="s">
        <v>186</v>
      </c>
      <c r="B42" s="62">
        <v>0</v>
      </c>
      <c r="C42" s="54">
        <v>0</v>
      </c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0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0</v>
      </c>
      <c r="AS42" s="68">
        <v>0</v>
      </c>
      <c r="AT42" s="63"/>
      <c r="AU42" s="63"/>
    </row>
    <row r="43" spans="1:47" ht="12.75" hidden="1" customHeight="1" outlineLevel="1" x14ac:dyDescent="0.2">
      <c r="A43" s="61" t="s">
        <v>187</v>
      </c>
      <c r="B43" s="62">
        <v>0</v>
      </c>
      <c r="C43" s="54">
        <v>0</v>
      </c>
      <c r="D43" s="54">
        <v>0</v>
      </c>
      <c r="E43" s="63"/>
      <c r="F43" s="64"/>
      <c r="G43" s="65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66">
        <v>0</v>
      </c>
      <c r="T43" s="54">
        <v>0</v>
      </c>
      <c r="U43" s="54">
        <v>0</v>
      </c>
      <c r="V43" s="54">
        <v>0</v>
      </c>
      <c r="W43" s="54">
        <v>0</v>
      </c>
      <c r="X43" s="54">
        <v>0</v>
      </c>
      <c r="Y43" s="54">
        <v>0</v>
      </c>
      <c r="Z43" s="54">
        <v>0</v>
      </c>
      <c r="AA43" s="54">
        <v>0</v>
      </c>
      <c r="AB43" s="54">
        <v>0</v>
      </c>
      <c r="AC43" s="54">
        <v>0</v>
      </c>
      <c r="AD43" s="54">
        <v>0</v>
      </c>
      <c r="AE43" s="54">
        <v>0</v>
      </c>
      <c r="AF43" s="66">
        <v>0</v>
      </c>
      <c r="AG43" s="67">
        <v>0</v>
      </c>
      <c r="AH43" s="67">
        <v>0</v>
      </c>
      <c r="AI43" s="67">
        <v>0</v>
      </c>
      <c r="AJ43" s="67">
        <v>0</v>
      </c>
      <c r="AK43" s="67">
        <v>0</v>
      </c>
      <c r="AL43" s="67">
        <v>0</v>
      </c>
      <c r="AM43" s="67">
        <v>0</v>
      </c>
      <c r="AN43" s="67">
        <v>0</v>
      </c>
      <c r="AO43" s="67">
        <v>0</v>
      </c>
      <c r="AP43" s="67">
        <v>0</v>
      </c>
      <c r="AQ43" s="67">
        <v>0</v>
      </c>
      <c r="AR43" s="67">
        <v>0</v>
      </c>
      <c r="AS43" s="68">
        <v>0</v>
      </c>
      <c r="AT43" s="63"/>
      <c r="AU43" s="63"/>
    </row>
    <row r="44" spans="1:47" ht="12.75" hidden="1" customHeight="1" outlineLevel="1" x14ac:dyDescent="0.2">
      <c r="A44" s="61" t="s">
        <v>188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61" t="s">
        <v>189</v>
      </c>
      <c r="B45" s="62"/>
      <c r="C45" s="54"/>
      <c r="D45" s="54"/>
      <c r="E45" s="63"/>
      <c r="F45" s="64"/>
      <c r="G45" s="65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66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66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8"/>
      <c r="AT45" s="63"/>
      <c r="AU45" s="63"/>
    </row>
    <row r="46" spans="1:47" ht="12.75" hidden="1" customHeight="1" outlineLevel="1" x14ac:dyDescent="0.2">
      <c r="A46" s="61" t="s">
        <v>190</v>
      </c>
      <c r="B46" s="62">
        <v>0</v>
      </c>
      <c r="C46" s="54">
        <v>0</v>
      </c>
      <c r="D46" s="54">
        <v>0</v>
      </c>
      <c r="E46" s="63"/>
      <c r="F46" s="64"/>
      <c r="G46" s="65">
        <v>0</v>
      </c>
      <c r="H46" s="54">
        <v>0</v>
      </c>
      <c r="I46" s="54">
        <v>0</v>
      </c>
      <c r="J46" s="54">
        <v>0</v>
      </c>
      <c r="K46" s="54">
        <v>0</v>
      </c>
      <c r="L46" s="54">
        <v>0</v>
      </c>
      <c r="M46" s="54">
        <v>0</v>
      </c>
      <c r="N46" s="54">
        <v>0</v>
      </c>
      <c r="O46" s="54">
        <v>0</v>
      </c>
      <c r="P46" s="54">
        <v>0</v>
      </c>
      <c r="Q46" s="54">
        <v>0</v>
      </c>
      <c r="R46" s="54">
        <v>0</v>
      </c>
      <c r="S46" s="66">
        <v>0</v>
      </c>
      <c r="T46" s="54">
        <v>0</v>
      </c>
      <c r="U46" s="54">
        <v>0</v>
      </c>
      <c r="V46" s="54">
        <v>0</v>
      </c>
      <c r="W46" s="54">
        <v>0</v>
      </c>
      <c r="X46" s="54">
        <v>0</v>
      </c>
      <c r="Y46" s="54">
        <v>0</v>
      </c>
      <c r="Z46" s="54">
        <v>0</v>
      </c>
      <c r="AA46" s="54">
        <v>0</v>
      </c>
      <c r="AB46" s="54">
        <v>0</v>
      </c>
      <c r="AC46" s="54">
        <v>0</v>
      </c>
      <c r="AD46" s="54">
        <v>0</v>
      </c>
      <c r="AE46" s="54">
        <v>0</v>
      </c>
      <c r="AF46" s="66">
        <v>0</v>
      </c>
      <c r="AG46" s="67">
        <v>0</v>
      </c>
      <c r="AH46" s="67">
        <v>0</v>
      </c>
      <c r="AI46" s="67">
        <v>36.36</v>
      </c>
      <c r="AJ46" s="67">
        <v>0</v>
      </c>
      <c r="AK46" s="67">
        <v>0</v>
      </c>
      <c r="AL46" s="67">
        <v>0</v>
      </c>
      <c r="AM46" s="67">
        <v>0</v>
      </c>
      <c r="AN46" s="67">
        <v>0</v>
      </c>
      <c r="AO46" s="67">
        <v>0</v>
      </c>
      <c r="AP46" s="67">
        <v>0</v>
      </c>
      <c r="AQ46" s="67">
        <v>0</v>
      </c>
      <c r="AR46" s="67">
        <v>0</v>
      </c>
      <c r="AS46" s="68">
        <v>36.36</v>
      </c>
      <c r="AT46" s="63"/>
      <c r="AU46" s="63">
        <v>0</v>
      </c>
    </row>
    <row r="47" spans="1:47" ht="12.75" customHeight="1" collapsed="1" x14ac:dyDescent="0.2">
      <c r="A47" s="61" t="s">
        <v>191</v>
      </c>
      <c r="B47" s="62"/>
      <c r="C47" s="54"/>
      <c r="D47" s="54"/>
      <c r="E47" s="63"/>
      <c r="F47" s="64"/>
      <c r="G47" s="65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66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66"/>
      <c r="AG47" s="67"/>
      <c r="AH47" s="67"/>
      <c r="AI47" s="67"/>
      <c r="AJ47" s="67"/>
      <c r="AK47" s="67"/>
      <c r="AL47" s="67"/>
      <c r="AM47" s="67"/>
      <c r="AN47" s="67"/>
      <c r="AO47" s="67"/>
      <c r="AP47" s="67"/>
      <c r="AQ47" s="67"/>
      <c r="AR47" s="67"/>
      <c r="AS47" s="68"/>
      <c r="AT47" s="63"/>
      <c r="AU47" s="63"/>
    </row>
    <row r="48" spans="1:47" ht="12.75" hidden="1" customHeight="1" outlineLevel="1" x14ac:dyDescent="0.2">
      <c r="A48" s="69" t="s">
        <v>192</v>
      </c>
      <c r="B48" s="70">
        <v>221.44</v>
      </c>
      <c r="C48" s="71">
        <v>0</v>
      </c>
      <c r="D48" s="71">
        <v>52.92</v>
      </c>
      <c r="E48" s="72"/>
      <c r="F48" s="73">
        <v>418.44293272864701</v>
      </c>
      <c r="G48" s="70">
        <v>13.22</v>
      </c>
      <c r="H48" s="71">
        <v>0</v>
      </c>
      <c r="I48" s="71">
        <v>288.68</v>
      </c>
      <c r="J48" s="71">
        <v>221.44</v>
      </c>
      <c r="K48" s="71">
        <v>0</v>
      </c>
      <c r="L48" s="71">
        <v>0</v>
      </c>
      <c r="M48" s="71">
        <v>0</v>
      </c>
      <c r="N48" s="71">
        <v>0</v>
      </c>
      <c r="O48" s="71">
        <v>0</v>
      </c>
      <c r="P48" s="71">
        <v>0</v>
      </c>
      <c r="Q48" s="71">
        <v>0</v>
      </c>
      <c r="R48" s="71">
        <v>0</v>
      </c>
      <c r="S48" s="71">
        <v>523.34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71">
        <v>0</v>
      </c>
      <c r="AE48" s="71">
        <v>0</v>
      </c>
      <c r="AF48" s="71">
        <v>0</v>
      </c>
      <c r="AG48" s="75">
        <v>0</v>
      </c>
      <c r="AH48" s="75">
        <v>794.83</v>
      </c>
      <c r="AI48" s="75">
        <v>1063</v>
      </c>
      <c r="AJ48" s="75">
        <v>52.92</v>
      </c>
      <c r="AK48" s="75">
        <v>13.15</v>
      </c>
      <c r="AL48" s="75">
        <v>48.38</v>
      </c>
      <c r="AM48" s="75">
        <v>15.61</v>
      </c>
      <c r="AN48" s="75">
        <v>0</v>
      </c>
      <c r="AO48" s="75">
        <v>132.28</v>
      </c>
      <c r="AP48" s="75">
        <v>0</v>
      </c>
      <c r="AQ48" s="75">
        <v>14.7</v>
      </c>
      <c r="AR48" s="75">
        <v>13.36</v>
      </c>
      <c r="AS48" s="75">
        <v>1910.75</v>
      </c>
      <c r="AT48" s="72"/>
      <c r="AU48" s="72">
        <v>27.389245060839983</v>
      </c>
    </row>
    <row r="49" spans="1:47" ht="12.75" hidden="1" customHeight="1" outlineLevel="1" x14ac:dyDescent="0.2">
      <c r="A49" s="61" t="s">
        <v>193</v>
      </c>
      <c r="B49" s="62"/>
      <c r="C49" s="54"/>
      <c r="D49" s="54"/>
      <c r="E49" s="63"/>
      <c r="F49" s="64"/>
      <c r="G49" s="65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66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66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8"/>
      <c r="AT49" s="63"/>
      <c r="AU49" s="63"/>
    </row>
    <row r="50" spans="1:47" ht="12.75" hidden="1" customHeight="1" outlineLevel="1" x14ac:dyDescent="0.2">
      <c r="A50" s="61" t="s">
        <v>194</v>
      </c>
      <c r="B50" s="62">
        <v>0</v>
      </c>
      <c r="C50" s="54">
        <v>0</v>
      </c>
      <c r="D50" s="54">
        <v>0</v>
      </c>
      <c r="E50" s="63"/>
      <c r="F50" s="64"/>
      <c r="G50" s="65">
        <v>0</v>
      </c>
      <c r="H50" s="54">
        <v>0</v>
      </c>
      <c r="I50" s="54">
        <v>0</v>
      </c>
      <c r="J50" s="54">
        <v>0</v>
      </c>
      <c r="K50" s="54">
        <v>0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66">
        <v>0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>
        <v>0</v>
      </c>
      <c r="AH50" s="67">
        <v>0</v>
      </c>
      <c r="AI50" s="67">
        <v>0</v>
      </c>
      <c r="AJ50" s="67">
        <v>0</v>
      </c>
      <c r="AK50" s="67">
        <v>0</v>
      </c>
      <c r="AL50" s="67">
        <v>0</v>
      </c>
      <c r="AM50" s="67">
        <v>0</v>
      </c>
      <c r="AN50" s="67">
        <v>0</v>
      </c>
      <c r="AO50" s="67">
        <v>0</v>
      </c>
      <c r="AP50" s="67">
        <v>0</v>
      </c>
      <c r="AQ50" s="67">
        <v>0</v>
      </c>
      <c r="AR50" s="67">
        <v>0</v>
      </c>
      <c r="AS50" s="68">
        <v>0</v>
      </c>
      <c r="AT50" s="63"/>
      <c r="AU50" s="63"/>
    </row>
    <row r="51" spans="1:47" ht="12.75" hidden="1" customHeight="1" outlineLevel="1" x14ac:dyDescent="0.2">
      <c r="A51" s="61" t="s">
        <v>82</v>
      </c>
      <c r="B51" s="62">
        <v>348.51</v>
      </c>
      <c r="C51" s="54">
        <v>0</v>
      </c>
      <c r="D51" s="54">
        <v>171.82</v>
      </c>
      <c r="E51" s="63"/>
      <c r="F51" s="64">
        <v>202.8343615411477</v>
      </c>
      <c r="G51" s="65">
        <v>171.82</v>
      </c>
      <c r="H51" s="54">
        <v>0</v>
      </c>
      <c r="I51" s="54">
        <v>163.63999999999999</v>
      </c>
      <c r="J51" s="54">
        <v>348.51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66">
        <v>683.97</v>
      </c>
      <c r="T51" s="54">
        <v>0</v>
      </c>
      <c r="U51" s="54">
        <v>0</v>
      </c>
      <c r="V51" s="54">
        <v>0</v>
      </c>
      <c r="W51" s="54">
        <v>0</v>
      </c>
      <c r="X51" s="54">
        <v>0</v>
      </c>
      <c r="Y51" s="54">
        <v>0</v>
      </c>
      <c r="Z51" s="54">
        <v>0</v>
      </c>
      <c r="AA51" s="54">
        <v>0</v>
      </c>
      <c r="AB51" s="54">
        <v>0</v>
      </c>
      <c r="AC51" s="54">
        <v>0</v>
      </c>
      <c r="AD51" s="54">
        <v>0</v>
      </c>
      <c r="AE51" s="54">
        <v>0</v>
      </c>
      <c r="AF51" s="66">
        <v>0</v>
      </c>
      <c r="AG51" s="67">
        <v>152.72999999999999</v>
      </c>
      <c r="AH51" s="67">
        <v>171.82</v>
      </c>
      <c r="AI51" s="67">
        <v>180</v>
      </c>
      <c r="AJ51" s="67">
        <v>171.82</v>
      </c>
      <c r="AK51" s="67">
        <v>155.44999999999999</v>
      </c>
      <c r="AL51" s="67">
        <v>476.37</v>
      </c>
      <c r="AM51" s="67">
        <v>156.82</v>
      </c>
      <c r="AN51" s="67">
        <v>183.55</v>
      </c>
      <c r="AO51" s="67">
        <v>180</v>
      </c>
      <c r="AP51" s="67">
        <v>171.82</v>
      </c>
      <c r="AQ51" s="67">
        <v>0</v>
      </c>
      <c r="AR51" s="67">
        <v>369.79</v>
      </c>
      <c r="AS51" s="68">
        <v>676.37</v>
      </c>
      <c r="AT51" s="63"/>
      <c r="AU51" s="63">
        <v>101.12364534204652</v>
      </c>
    </row>
    <row r="52" spans="1:47" ht="12.75" hidden="1" customHeight="1" outlineLevel="1" x14ac:dyDescent="0.2">
      <c r="A52" s="61" t="s">
        <v>83</v>
      </c>
      <c r="B52" s="62">
        <v>0</v>
      </c>
      <c r="C52" s="54">
        <v>0</v>
      </c>
      <c r="D52" s="54">
        <v>0</v>
      </c>
      <c r="E52" s="63"/>
      <c r="F52" s="64"/>
      <c r="G52" s="65">
        <v>0</v>
      </c>
      <c r="H52" s="54">
        <v>0</v>
      </c>
      <c r="I52" s="54">
        <v>0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66">
        <v>0</v>
      </c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66">
        <v>0</v>
      </c>
      <c r="AG52" s="67">
        <v>0</v>
      </c>
      <c r="AH52" s="67">
        <v>0</v>
      </c>
      <c r="AI52" s="67">
        <v>327.27</v>
      </c>
      <c r="AJ52" s="67">
        <v>0</v>
      </c>
      <c r="AK52" s="67">
        <v>0</v>
      </c>
      <c r="AL52" s="67">
        <v>0</v>
      </c>
      <c r="AM52" s="67">
        <v>0</v>
      </c>
      <c r="AN52" s="67">
        <v>0</v>
      </c>
      <c r="AO52" s="67">
        <v>0</v>
      </c>
      <c r="AP52" s="67">
        <v>0</v>
      </c>
      <c r="AQ52" s="67">
        <v>0</v>
      </c>
      <c r="AR52" s="67">
        <v>0</v>
      </c>
      <c r="AS52" s="68">
        <v>327.27</v>
      </c>
      <c r="AT52" s="63"/>
      <c r="AU52" s="63">
        <v>0</v>
      </c>
    </row>
    <row r="53" spans="1:47" ht="12.75" hidden="1" customHeight="1" outlineLevel="1" x14ac:dyDescent="0.2">
      <c r="A53" s="61" t="s">
        <v>84</v>
      </c>
      <c r="B53" s="62">
        <v>0</v>
      </c>
      <c r="C53" s="54">
        <v>0</v>
      </c>
      <c r="D53" s="54">
        <v>0</v>
      </c>
      <c r="E53" s="63"/>
      <c r="F53" s="64"/>
      <c r="G53" s="65">
        <v>0</v>
      </c>
      <c r="H53" s="54">
        <v>0</v>
      </c>
      <c r="I53" s="54">
        <v>0</v>
      </c>
      <c r="J53" s="54">
        <v>0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66">
        <v>0</v>
      </c>
      <c r="T53" s="54">
        <v>0</v>
      </c>
      <c r="U53" s="54">
        <v>0</v>
      </c>
      <c r="V53" s="54">
        <v>0</v>
      </c>
      <c r="W53" s="54">
        <v>0</v>
      </c>
      <c r="X53" s="54">
        <v>0</v>
      </c>
      <c r="Y53" s="54">
        <v>0</v>
      </c>
      <c r="Z53" s="54">
        <v>0</v>
      </c>
      <c r="AA53" s="54">
        <v>0</v>
      </c>
      <c r="AB53" s="54">
        <v>0</v>
      </c>
      <c r="AC53" s="54">
        <v>0</v>
      </c>
      <c r="AD53" s="54">
        <v>0</v>
      </c>
      <c r="AE53" s="54">
        <v>0</v>
      </c>
      <c r="AF53" s="66">
        <v>0</v>
      </c>
      <c r="AG53" s="67">
        <v>0</v>
      </c>
      <c r="AH53" s="67">
        <v>0</v>
      </c>
      <c r="AI53" s="67">
        <v>0</v>
      </c>
      <c r="AJ53" s="67">
        <v>0</v>
      </c>
      <c r="AK53" s="67">
        <v>0</v>
      </c>
      <c r="AL53" s="67">
        <v>0</v>
      </c>
      <c r="AM53" s="67">
        <v>0</v>
      </c>
      <c r="AN53" s="67">
        <v>0</v>
      </c>
      <c r="AO53" s="67">
        <v>0</v>
      </c>
      <c r="AP53" s="67">
        <v>0</v>
      </c>
      <c r="AQ53" s="67">
        <v>0</v>
      </c>
      <c r="AR53" s="67">
        <v>0</v>
      </c>
      <c r="AS53" s="68">
        <v>0</v>
      </c>
      <c r="AT53" s="63"/>
      <c r="AU53" s="63"/>
    </row>
    <row r="54" spans="1:47" ht="12.75" hidden="1" customHeight="1" outlineLevel="1" x14ac:dyDescent="0.2">
      <c r="A54" s="61" t="s">
        <v>195</v>
      </c>
      <c r="B54" s="62"/>
      <c r="C54" s="54"/>
      <c r="D54" s="54"/>
      <c r="E54" s="63"/>
      <c r="F54" s="64"/>
      <c r="G54" s="65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66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66"/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8"/>
      <c r="AT54" s="63"/>
      <c r="AU54" s="63"/>
    </row>
    <row r="55" spans="1:47" ht="12.75" hidden="1" customHeight="1" outlineLevel="1" x14ac:dyDescent="0.2">
      <c r="A55" s="61" t="s">
        <v>86</v>
      </c>
      <c r="B55" s="62">
        <v>2829.63</v>
      </c>
      <c r="C55" s="54">
        <v>0</v>
      </c>
      <c r="D55" s="54">
        <v>1909.44</v>
      </c>
      <c r="E55" s="63"/>
      <c r="F55" s="64">
        <v>148.19161639014581</v>
      </c>
      <c r="G55" s="65">
        <v>2298.11</v>
      </c>
      <c r="H55" s="54">
        <v>1567.02</v>
      </c>
      <c r="I55" s="54">
        <v>1362.97</v>
      </c>
      <c r="J55" s="54">
        <v>2829.63</v>
      </c>
      <c r="K55" s="56">
        <v>-1129.68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66">
        <v>8057.73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66">
        <v>0</v>
      </c>
      <c r="AG55" s="67">
        <v>924.84</v>
      </c>
      <c r="AH55" s="67">
        <v>1726.53</v>
      </c>
      <c r="AI55" s="67">
        <v>1246.3900000000001</v>
      </c>
      <c r="AJ55" s="67">
        <v>1909.44</v>
      </c>
      <c r="AK55" s="67">
        <v>1750.47</v>
      </c>
      <c r="AL55" s="67">
        <v>1630.67</v>
      </c>
      <c r="AM55" s="67">
        <v>1295.6099999999999</v>
      </c>
      <c r="AN55" s="67">
        <v>1835.23</v>
      </c>
      <c r="AO55" s="67">
        <v>684.73</v>
      </c>
      <c r="AP55" s="67">
        <v>707.83</v>
      </c>
      <c r="AQ55" s="67">
        <v>3401.67</v>
      </c>
      <c r="AR55" s="67">
        <v>1236.92</v>
      </c>
      <c r="AS55" s="68">
        <v>5807.2</v>
      </c>
      <c r="AT55" s="63"/>
      <c r="AU55" s="63">
        <v>138.75413280066124</v>
      </c>
    </row>
    <row r="56" spans="1:47" ht="12.75" hidden="1" customHeight="1" outlineLevel="1" x14ac:dyDescent="0.2">
      <c r="A56" s="61" t="s">
        <v>110</v>
      </c>
      <c r="B56" s="62"/>
      <c r="C56" s="54"/>
      <c r="D56" s="54"/>
      <c r="E56" s="63"/>
      <c r="F56" s="64"/>
      <c r="G56" s="65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66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66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8"/>
      <c r="AT56" s="63"/>
      <c r="AU56" s="63"/>
    </row>
    <row r="57" spans="1:47" ht="12.75" hidden="1" customHeight="1" outlineLevel="1" x14ac:dyDescent="0.2">
      <c r="A57" s="61" t="s">
        <v>213</v>
      </c>
      <c r="B57" s="62">
        <v>0</v>
      </c>
      <c r="C57" s="54">
        <v>0</v>
      </c>
      <c r="D57" s="54">
        <v>0</v>
      </c>
      <c r="E57" s="63"/>
      <c r="F57" s="64"/>
      <c r="G57" s="65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66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66">
        <v>0</v>
      </c>
      <c r="AG57" s="67">
        <v>0</v>
      </c>
      <c r="AH57" s="67">
        <v>0</v>
      </c>
      <c r="AI57" s="67">
        <v>0</v>
      </c>
      <c r="AJ57" s="67">
        <v>0</v>
      </c>
      <c r="AK57" s="67">
        <v>0</v>
      </c>
      <c r="AL57" s="67">
        <v>0</v>
      </c>
      <c r="AM57" s="67">
        <v>0</v>
      </c>
      <c r="AN57" s="67">
        <v>0</v>
      </c>
      <c r="AO57" s="67">
        <v>0</v>
      </c>
      <c r="AP57" s="67">
        <v>0</v>
      </c>
      <c r="AQ57" s="67">
        <v>0</v>
      </c>
      <c r="AR57" s="67">
        <v>0</v>
      </c>
      <c r="AS57" s="68">
        <v>0</v>
      </c>
      <c r="AT57" s="63"/>
      <c r="AU57" s="63"/>
    </row>
    <row r="58" spans="1:47" ht="12.75" hidden="1" customHeight="1" outlineLevel="1" x14ac:dyDescent="0.2">
      <c r="A58" s="61" t="s">
        <v>88</v>
      </c>
      <c r="B58" s="96">
        <v>-11880</v>
      </c>
      <c r="C58" s="54">
        <v>0</v>
      </c>
      <c r="D58" s="54">
        <v>0</v>
      </c>
      <c r="E58" s="63"/>
      <c r="F58" s="64"/>
      <c r="G58" s="65">
        <v>0</v>
      </c>
      <c r="H58" s="54">
        <v>0</v>
      </c>
      <c r="I58" s="54">
        <v>0</v>
      </c>
      <c r="J58" s="56">
        <v>-11880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76">
        <v>-11880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0</v>
      </c>
      <c r="AI58" s="67">
        <v>0</v>
      </c>
      <c r="AJ58" s="67">
        <v>0</v>
      </c>
      <c r="AK58" s="67">
        <v>0</v>
      </c>
      <c r="AL58" s="67">
        <v>0</v>
      </c>
      <c r="AM58" s="67">
        <v>0</v>
      </c>
      <c r="AN58" s="67">
        <v>11880</v>
      </c>
      <c r="AO58" s="67">
        <v>0</v>
      </c>
      <c r="AP58" s="67">
        <v>0</v>
      </c>
      <c r="AQ58" s="67">
        <v>0</v>
      </c>
      <c r="AR58" s="67">
        <v>0</v>
      </c>
      <c r="AS58" s="68">
        <v>0</v>
      </c>
      <c r="AT58" s="63"/>
      <c r="AU58" s="63"/>
    </row>
    <row r="59" spans="1:47" ht="12.75" customHeight="1" collapsed="1" x14ac:dyDescent="0.2">
      <c r="A59" s="61" t="s">
        <v>198</v>
      </c>
      <c r="B59" s="62">
        <v>0</v>
      </c>
      <c r="C59" s="54">
        <v>0</v>
      </c>
      <c r="D59" s="54">
        <v>0</v>
      </c>
      <c r="E59" s="63"/>
      <c r="F59" s="64"/>
      <c r="G59" s="65">
        <v>0</v>
      </c>
      <c r="H59" s="54">
        <v>0</v>
      </c>
      <c r="I59" s="54">
        <v>577.87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66">
        <v>577.87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66">
        <v>0</v>
      </c>
      <c r="AG59" s="67">
        <v>244.95</v>
      </c>
      <c r="AH59" s="67">
        <v>1420</v>
      </c>
      <c r="AI59" s="67">
        <v>240.06</v>
      </c>
      <c r="AJ59" s="67">
        <v>0</v>
      </c>
      <c r="AK59" s="67">
        <v>0</v>
      </c>
      <c r="AL59" s="67">
        <v>730</v>
      </c>
      <c r="AM59" s="98">
        <v>-730</v>
      </c>
      <c r="AN59" s="67">
        <v>730</v>
      </c>
      <c r="AO59" s="67">
        <v>0</v>
      </c>
      <c r="AP59" s="67">
        <v>0</v>
      </c>
      <c r="AQ59" s="67">
        <v>0</v>
      </c>
      <c r="AR59" s="67">
        <v>0</v>
      </c>
      <c r="AS59" s="68">
        <v>1905.01</v>
      </c>
      <c r="AT59" s="63"/>
      <c r="AU59" s="63">
        <v>30.334223967328256</v>
      </c>
    </row>
    <row r="60" spans="1:47" ht="12.75" customHeight="1" x14ac:dyDescent="0.2">
      <c r="A60" s="69" t="s">
        <v>89</v>
      </c>
      <c r="B60" s="133">
        <v>-8701.86</v>
      </c>
      <c r="C60" s="71">
        <v>0</v>
      </c>
      <c r="D60" s="71">
        <v>2081.2600000000002</v>
      </c>
      <c r="E60" s="72"/>
      <c r="F60" s="73">
        <v>-418.10537847265601</v>
      </c>
      <c r="G60" s="70">
        <v>2469.9299999999998</v>
      </c>
      <c r="H60" s="71">
        <v>1567.02</v>
      </c>
      <c r="I60" s="71">
        <v>2104.48</v>
      </c>
      <c r="J60" s="74">
        <v>-8701.86</v>
      </c>
      <c r="K60" s="74">
        <v>-1129.68</v>
      </c>
      <c r="L60" s="71">
        <v>0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v>0</v>
      </c>
      <c r="S60" s="74">
        <v>-2560.4299999999998</v>
      </c>
      <c r="T60" s="71">
        <v>0</v>
      </c>
      <c r="U60" s="71">
        <v>0</v>
      </c>
      <c r="V60" s="71">
        <v>0</v>
      </c>
      <c r="W60" s="71">
        <v>0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71">
        <v>0</v>
      </c>
      <c r="AE60" s="71">
        <v>0</v>
      </c>
      <c r="AF60" s="71">
        <v>0</v>
      </c>
      <c r="AG60" s="75">
        <v>1322.52</v>
      </c>
      <c r="AH60" s="75">
        <v>3318.35</v>
      </c>
      <c r="AI60" s="75">
        <v>1993.72</v>
      </c>
      <c r="AJ60" s="75">
        <v>2081.2600000000002</v>
      </c>
      <c r="AK60" s="75">
        <v>1905.92</v>
      </c>
      <c r="AL60" s="75">
        <v>2837.04</v>
      </c>
      <c r="AM60" s="75">
        <v>722.43</v>
      </c>
      <c r="AN60" s="75">
        <v>14628.78</v>
      </c>
      <c r="AO60" s="75">
        <v>864.73</v>
      </c>
      <c r="AP60" s="75">
        <v>879.65</v>
      </c>
      <c r="AQ60" s="75">
        <v>3401.67</v>
      </c>
      <c r="AR60" s="75">
        <v>1606.71</v>
      </c>
      <c r="AS60" s="75">
        <v>8715.85</v>
      </c>
      <c r="AT60" s="72"/>
      <c r="AU60" s="72">
        <v>-29.376710246275465</v>
      </c>
    </row>
    <row r="61" spans="1:47" x14ac:dyDescent="0.2">
      <c r="A61" s="77" t="s">
        <v>201</v>
      </c>
      <c r="B61" s="78">
        <v>7291.28</v>
      </c>
      <c r="C61" s="79">
        <v>0</v>
      </c>
      <c r="D61" s="79">
        <v>23545.77</v>
      </c>
      <c r="E61" s="80"/>
      <c r="F61" s="81">
        <v>30.966411376650669</v>
      </c>
      <c r="G61" s="78">
        <v>15124.46</v>
      </c>
      <c r="H61" s="79">
        <v>28545.58</v>
      </c>
      <c r="I61" s="79">
        <v>17278.689999999999</v>
      </c>
      <c r="J61" s="79">
        <v>7291.28</v>
      </c>
      <c r="K61" s="82">
        <v>-6788.62</v>
      </c>
      <c r="L61" s="79">
        <v>0</v>
      </c>
      <c r="M61" s="79">
        <v>0</v>
      </c>
      <c r="N61" s="79">
        <v>0</v>
      </c>
      <c r="O61" s="79">
        <v>0</v>
      </c>
      <c r="P61" s="79">
        <v>0</v>
      </c>
      <c r="Q61" s="79">
        <v>0</v>
      </c>
      <c r="R61" s="79">
        <v>0</v>
      </c>
      <c r="S61" s="79">
        <v>68240.009999999995</v>
      </c>
      <c r="T61" s="79">
        <v>0</v>
      </c>
      <c r="U61" s="79">
        <v>0</v>
      </c>
      <c r="V61" s="79">
        <v>0</v>
      </c>
      <c r="W61" s="79">
        <v>0</v>
      </c>
      <c r="X61" s="79">
        <v>0</v>
      </c>
      <c r="Y61" s="79">
        <v>0</v>
      </c>
      <c r="Z61" s="79">
        <v>0</v>
      </c>
      <c r="AA61" s="79">
        <v>0</v>
      </c>
      <c r="AB61" s="79">
        <v>0</v>
      </c>
      <c r="AC61" s="79">
        <v>0</v>
      </c>
      <c r="AD61" s="79">
        <v>0</v>
      </c>
      <c r="AE61" s="79">
        <v>0</v>
      </c>
      <c r="AF61" s="79">
        <v>0</v>
      </c>
      <c r="AG61" s="83">
        <v>23409.06</v>
      </c>
      <c r="AH61" s="83">
        <v>30753.99</v>
      </c>
      <c r="AI61" s="83">
        <v>27085.19</v>
      </c>
      <c r="AJ61" s="83">
        <v>23545.77</v>
      </c>
      <c r="AK61" s="83">
        <v>27569.5</v>
      </c>
      <c r="AL61" s="83">
        <v>17006.240000000002</v>
      </c>
      <c r="AM61" s="83">
        <v>8352.1</v>
      </c>
      <c r="AN61" s="83">
        <v>32453.67</v>
      </c>
      <c r="AO61" s="83">
        <v>20254.189999999999</v>
      </c>
      <c r="AP61" s="83">
        <v>8453.1</v>
      </c>
      <c r="AQ61" s="83">
        <v>15000.96</v>
      </c>
      <c r="AR61" s="83">
        <v>27731.31</v>
      </c>
      <c r="AS61" s="83">
        <v>104794.01</v>
      </c>
      <c r="AT61" s="80"/>
      <c r="AU61" s="80">
        <v>65.118235288448261</v>
      </c>
    </row>
    <row r="64" spans="1:47" ht="15" x14ac:dyDescent="0.25">
      <c r="A64" s="16"/>
      <c r="B64" s="16"/>
      <c r="C64" s="16"/>
      <c r="D64" s="16"/>
    </row>
    <row r="65" spans="1:4" ht="15" x14ac:dyDescent="0.25">
      <c r="A65" s="16"/>
      <c r="B65" s="16"/>
      <c r="C65" s="16"/>
      <c r="D65" s="16"/>
    </row>
    <row r="66" spans="1:4" ht="15" x14ac:dyDescent="0.25">
      <c r="A66" s="16"/>
      <c r="B66" s="16"/>
      <c r="C66" s="16"/>
      <c r="D66" s="16"/>
    </row>
    <row r="67" spans="1:4" ht="15" x14ac:dyDescent="0.25">
      <c r="A67" s="16"/>
      <c r="B67" s="16"/>
      <c r="C67" s="16"/>
      <c r="D67" s="16"/>
    </row>
    <row r="68" spans="1:4" ht="15" x14ac:dyDescent="0.25">
      <c r="A68" s="16"/>
      <c r="B68" s="16"/>
      <c r="C68" s="16"/>
      <c r="D68" s="16"/>
    </row>
    <row r="69" spans="1:4" ht="15" x14ac:dyDescent="0.25">
      <c r="A69" s="16"/>
      <c r="B69" s="16"/>
      <c r="C69" s="16"/>
      <c r="D69" s="16"/>
    </row>
    <row r="70" spans="1:4" ht="15" x14ac:dyDescent="0.25">
      <c r="A70" s="16"/>
      <c r="B70" s="16"/>
      <c r="C70" s="16"/>
      <c r="D70" s="16"/>
    </row>
  </sheetData>
  <pageMargins left="0.75" right="0.75" top="1" bottom="1" header="0.5" footer="0.5"/>
  <pageSetup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33CC"/>
  </sheetPr>
  <dimension ref="A1:AU70"/>
  <sheetViews>
    <sheetView workbookViewId="0">
      <pane xSplit="1" ySplit="7" topLeftCell="B8" activePane="bottomRight" state="frozen"/>
      <selection activeCell="A73" sqref="A73"/>
      <selection pane="topRight" activeCell="A73" sqref="A73"/>
      <selection pane="bottomLeft" activeCell="A73" sqref="A73"/>
      <selection pane="bottomRight" sqref="A1:AU60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9.42578125" collapsed="1"/>
    <col min="46" max="47" width="10.5703125" customWidth="1"/>
  </cols>
  <sheetData>
    <row r="1" spans="1:47" ht="39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ht="12.75" hidden="1" customHeight="1" outlineLevel="1" x14ac:dyDescent="0.2">
      <c r="A2" s="61" t="s">
        <v>160</v>
      </c>
      <c r="B2" s="62">
        <v>3294.88</v>
      </c>
      <c r="C2" s="54">
        <v>0</v>
      </c>
      <c r="D2" s="54">
        <v>5977.46</v>
      </c>
      <c r="E2" s="63"/>
      <c r="F2" s="64">
        <v>55.121740672459538</v>
      </c>
      <c r="G2" s="65">
        <v>14524</v>
      </c>
      <c r="H2" s="54">
        <v>9461.4</v>
      </c>
      <c r="I2" s="54">
        <v>590.42999999999995</v>
      </c>
      <c r="J2" s="54">
        <v>3294.88</v>
      </c>
      <c r="K2" s="54">
        <v>0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27870.71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6830.08</v>
      </c>
      <c r="AH2" s="67">
        <v>7411.89</v>
      </c>
      <c r="AI2" s="67">
        <v>7778.68</v>
      </c>
      <c r="AJ2" s="67">
        <v>5977.46</v>
      </c>
      <c r="AK2" s="67">
        <v>8834.39</v>
      </c>
      <c r="AL2" s="67">
        <v>10243.91</v>
      </c>
      <c r="AM2" s="67">
        <v>6404.68</v>
      </c>
      <c r="AN2" s="67">
        <v>9471.57</v>
      </c>
      <c r="AO2" s="67">
        <v>15458.98</v>
      </c>
      <c r="AP2" s="67">
        <v>13536.36</v>
      </c>
      <c r="AQ2" s="67">
        <v>15584.95</v>
      </c>
      <c r="AR2" s="67">
        <v>15237.12</v>
      </c>
      <c r="AS2" s="68">
        <v>27998.11</v>
      </c>
      <c r="AT2" s="63"/>
      <c r="AU2" s="63">
        <v>99.54496928542676</v>
      </c>
    </row>
    <row r="3" spans="1:47" ht="12.75" hidden="1" customHeight="1" outlineLevel="1" x14ac:dyDescent="0.2">
      <c r="A3" s="61" t="s">
        <v>161</v>
      </c>
      <c r="B3" s="62">
        <v>192.92</v>
      </c>
      <c r="C3" s="54">
        <v>0</v>
      </c>
      <c r="D3" s="54">
        <v>361.62</v>
      </c>
      <c r="E3" s="63"/>
      <c r="F3" s="64">
        <v>53.348819202477742</v>
      </c>
      <c r="G3" s="65">
        <v>713.17</v>
      </c>
      <c r="H3" s="54">
        <v>0.69</v>
      </c>
      <c r="I3" s="54">
        <v>908.38</v>
      </c>
      <c r="J3" s="54">
        <v>192.92</v>
      </c>
      <c r="K3" s="56">
        <v>-225.51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1815.16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361.49</v>
      </c>
      <c r="AH3" s="67">
        <v>383.53</v>
      </c>
      <c r="AI3" s="67">
        <v>473.7</v>
      </c>
      <c r="AJ3" s="67">
        <v>361.62</v>
      </c>
      <c r="AK3" s="67">
        <v>476.41</v>
      </c>
      <c r="AL3" s="67">
        <v>473.88</v>
      </c>
      <c r="AM3" s="67">
        <v>479.8</v>
      </c>
      <c r="AN3" s="67">
        <v>512.59</v>
      </c>
      <c r="AO3" s="67">
        <v>171.57</v>
      </c>
      <c r="AP3" s="67">
        <v>984.49</v>
      </c>
      <c r="AQ3" s="67">
        <v>1049.3499999999999</v>
      </c>
      <c r="AR3" s="67">
        <v>1048.49</v>
      </c>
      <c r="AS3" s="68">
        <v>1580.34</v>
      </c>
      <c r="AT3" s="63"/>
      <c r="AU3" s="63">
        <v>114.85882784717212</v>
      </c>
    </row>
    <row r="4" spans="1:47" ht="12.75" hidden="1" customHeight="1" outlineLevel="1" x14ac:dyDescent="0.2">
      <c r="A4" s="61" t="s">
        <v>162</v>
      </c>
      <c r="B4" s="62">
        <v>1571.4</v>
      </c>
      <c r="C4" s="54">
        <v>0</v>
      </c>
      <c r="D4" s="54">
        <v>1450.52</v>
      </c>
      <c r="E4" s="63"/>
      <c r="F4" s="64">
        <v>108.33356313597882</v>
      </c>
      <c r="G4" s="65">
        <v>1911.93</v>
      </c>
      <c r="H4" s="56">
        <v>-1490.42</v>
      </c>
      <c r="I4" s="54">
        <v>144.47999999999999</v>
      </c>
      <c r="J4" s="54">
        <v>1571.4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2137.39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941.4</v>
      </c>
      <c r="AH4" s="67">
        <v>947.17</v>
      </c>
      <c r="AI4" s="67">
        <v>79.87</v>
      </c>
      <c r="AJ4" s="67">
        <v>1450.52</v>
      </c>
      <c r="AK4" s="67">
        <v>825.35</v>
      </c>
      <c r="AL4" s="67">
        <v>1369</v>
      </c>
      <c r="AM4" s="67">
        <v>495.65</v>
      </c>
      <c r="AN4" s="67">
        <v>865.92</v>
      </c>
      <c r="AO4" s="67">
        <v>1745.67</v>
      </c>
      <c r="AP4" s="67">
        <v>1348.02</v>
      </c>
      <c r="AQ4" s="67">
        <v>1544.01</v>
      </c>
      <c r="AR4" s="67">
        <v>1568.97</v>
      </c>
      <c r="AS4" s="68">
        <v>3418.96</v>
      </c>
      <c r="AT4" s="63"/>
      <c r="AU4" s="63">
        <v>62.515794276622131</v>
      </c>
    </row>
    <row r="5" spans="1:47" ht="12.75" hidden="1" customHeight="1" outlineLevel="1" x14ac:dyDescent="0.2">
      <c r="A5" s="61" t="s">
        <v>163</v>
      </c>
      <c r="B5" s="62">
        <v>792</v>
      </c>
      <c r="C5" s="54">
        <v>0</v>
      </c>
      <c r="D5" s="54">
        <v>0</v>
      </c>
      <c r="E5" s="63"/>
      <c r="F5" s="64"/>
      <c r="G5" s="65">
        <v>0</v>
      </c>
      <c r="H5" s="54">
        <v>0</v>
      </c>
      <c r="I5" s="54">
        <v>2376</v>
      </c>
      <c r="J5" s="54">
        <v>792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3168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0</v>
      </c>
      <c r="AH5" s="67">
        <v>0</v>
      </c>
      <c r="AI5" s="67">
        <v>0</v>
      </c>
      <c r="AJ5" s="67">
        <v>0</v>
      </c>
      <c r="AK5" s="67">
        <v>0</v>
      </c>
      <c r="AL5" s="67">
        <v>0</v>
      </c>
      <c r="AM5" s="67">
        <v>0</v>
      </c>
      <c r="AN5" s="67">
        <v>0</v>
      </c>
      <c r="AO5" s="67">
        <v>0</v>
      </c>
      <c r="AP5" s="67">
        <v>0</v>
      </c>
      <c r="AQ5" s="67">
        <v>0</v>
      </c>
      <c r="AR5" s="67">
        <v>0</v>
      </c>
      <c r="AS5" s="68">
        <v>0</v>
      </c>
      <c r="AT5" s="63"/>
      <c r="AU5" s="63"/>
    </row>
    <row r="6" spans="1:47" ht="12.75" hidden="1" customHeight="1" outlineLevel="1" x14ac:dyDescent="0.2">
      <c r="A6" s="61" t="s">
        <v>164</v>
      </c>
      <c r="B6" s="62">
        <v>233</v>
      </c>
      <c r="C6" s="54">
        <v>0</v>
      </c>
      <c r="D6" s="54">
        <v>80.94</v>
      </c>
      <c r="E6" s="63"/>
      <c r="F6" s="64">
        <v>287.86755621447986</v>
      </c>
      <c r="G6" s="65">
        <v>431.64</v>
      </c>
      <c r="H6" s="54">
        <v>233</v>
      </c>
      <c r="I6" s="54">
        <v>233</v>
      </c>
      <c r="J6" s="54">
        <v>233</v>
      </c>
      <c r="K6" s="56">
        <v>-188.85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1130.6400000000001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12.78</v>
      </c>
      <c r="AH6" s="67">
        <v>12.78</v>
      </c>
      <c r="AI6" s="67">
        <v>9.5</v>
      </c>
      <c r="AJ6" s="67">
        <v>80.94</v>
      </c>
      <c r="AK6" s="67">
        <v>80.94</v>
      </c>
      <c r="AL6" s="67">
        <v>80.94</v>
      </c>
      <c r="AM6" s="67">
        <v>80.94</v>
      </c>
      <c r="AN6" s="67">
        <v>80.94</v>
      </c>
      <c r="AO6" s="67">
        <v>80.94</v>
      </c>
      <c r="AP6" s="67">
        <v>179.36</v>
      </c>
      <c r="AQ6" s="67">
        <v>179.36</v>
      </c>
      <c r="AR6" s="67">
        <v>179.36</v>
      </c>
      <c r="AS6" s="68">
        <v>116</v>
      </c>
      <c r="AT6" s="63"/>
      <c r="AU6" s="63">
        <v>974.68965517241384</v>
      </c>
    </row>
    <row r="7" spans="1:47" hidden="1" outlineLevel="1" x14ac:dyDescent="0.2">
      <c r="A7" s="61" t="s">
        <v>165</v>
      </c>
      <c r="B7" s="62">
        <v>515.63</v>
      </c>
      <c r="C7" s="54">
        <v>0</v>
      </c>
      <c r="D7" s="54">
        <v>732.28</v>
      </c>
      <c r="E7" s="63"/>
      <c r="F7" s="64">
        <v>70.414322390342491</v>
      </c>
      <c r="G7" s="65">
        <v>1525.01</v>
      </c>
      <c r="H7" s="54">
        <v>1165.48</v>
      </c>
      <c r="I7" s="54">
        <v>341.55</v>
      </c>
      <c r="J7" s="54">
        <v>515.63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3547.67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727.93</v>
      </c>
      <c r="AH7" s="67">
        <v>762.59</v>
      </c>
      <c r="AI7" s="67">
        <v>797.25</v>
      </c>
      <c r="AJ7" s="67">
        <v>732.28</v>
      </c>
      <c r="AK7" s="67">
        <v>942.3</v>
      </c>
      <c r="AL7" s="67">
        <v>1036.79</v>
      </c>
      <c r="AM7" s="67">
        <v>648.74</v>
      </c>
      <c r="AN7" s="67">
        <v>995.54</v>
      </c>
      <c r="AO7" s="67">
        <v>1609.58</v>
      </c>
      <c r="AP7" s="67">
        <v>1504.49</v>
      </c>
      <c r="AQ7" s="67">
        <v>1646.05</v>
      </c>
      <c r="AR7" s="67">
        <v>1597.64</v>
      </c>
      <c r="AS7" s="68">
        <v>3020.05</v>
      </c>
      <c r="AT7" s="63"/>
      <c r="AU7" s="63">
        <v>117.47057167927683</v>
      </c>
    </row>
    <row r="8" spans="1:47" ht="12.75" customHeight="1" collapsed="1" x14ac:dyDescent="0.2">
      <c r="A8" s="69" t="s">
        <v>166</v>
      </c>
      <c r="B8" s="70">
        <v>6599.83</v>
      </c>
      <c r="C8" s="71">
        <v>0</v>
      </c>
      <c r="D8" s="71">
        <v>8602.82</v>
      </c>
      <c r="E8" s="72"/>
      <c r="F8" s="73">
        <v>76.717053245331186</v>
      </c>
      <c r="G8" s="70">
        <v>19105.75</v>
      </c>
      <c r="H8" s="71">
        <v>9370.15</v>
      </c>
      <c r="I8" s="71">
        <v>4593.84</v>
      </c>
      <c r="J8" s="71">
        <v>6599.83</v>
      </c>
      <c r="K8" s="74">
        <v>-414.36</v>
      </c>
      <c r="L8" s="71">
        <v>0</v>
      </c>
      <c r="M8" s="71">
        <v>0</v>
      </c>
      <c r="N8" s="71">
        <v>0</v>
      </c>
      <c r="O8" s="71">
        <v>0</v>
      </c>
      <c r="P8" s="71">
        <v>0</v>
      </c>
      <c r="Q8" s="71">
        <v>0</v>
      </c>
      <c r="R8" s="71">
        <v>0</v>
      </c>
      <c r="S8" s="71">
        <v>39669.57</v>
      </c>
      <c r="T8" s="71">
        <v>0</v>
      </c>
      <c r="U8" s="71">
        <v>0</v>
      </c>
      <c r="V8" s="71">
        <v>0</v>
      </c>
      <c r="W8" s="71">
        <v>0</v>
      </c>
      <c r="X8" s="71">
        <v>0</v>
      </c>
      <c r="Y8" s="71">
        <v>0</v>
      </c>
      <c r="Z8" s="71">
        <v>0</v>
      </c>
      <c r="AA8" s="71">
        <v>0</v>
      </c>
      <c r="AB8" s="71">
        <v>0</v>
      </c>
      <c r="AC8" s="71">
        <v>0</v>
      </c>
      <c r="AD8" s="71">
        <v>0</v>
      </c>
      <c r="AE8" s="71">
        <v>0</v>
      </c>
      <c r="AF8" s="71">
        <v>0</v>
      </c>
      <c r="AG8" s="75">
        <v>8873.68</v>
      </c>
      <c r="AH8" s="75">
        <v>9517.9599999999991</v>
      </c>
      <c r="AI8" s="75">
        <v>9139</v>
      </c>
      <c r="AJ8" s="75">
        <v>8602.82</v>
      </c>
      <c r="AK8" s="75">
        <v>11159.39</v>
      </c>
      <c r="AL8" s="75">
        <v>13204.52</v>
      </c>
      <c r="AM8" s="75">
        <v>8109.81</v>
      </c>
      <c r="AN8" s="75">
        <v>11926.56</v>
      </c>
      <c r="AO8" s="75">
        <v>19066.740000000002</v>
      </c>
      <c r="AP8" s="75">
        <v>17552.72</v>
      </c>
      <c r="AQ8" s="75">
        <v>20003.72</v>
      </c>
      <c r="AR8" s="75">
        <v>19631.580000000002</v>
      </c>
      <c r="AS8" s="75">
        <v>36133.46</v>
      </c>
      <c r="AT8" s="72"/>
      <c r="AU8" s="72">
        <v>109.78624798178751</v>
      </c>
    </row>
    <row r="9" spans="1:47" ht="12.75" customHeight="1" x14ac:dyDescent="0.2">
      <c r="A9" s="61" t="s">
        <v>167</v>
      </c>
      <c r="B9" s="62"/>
      <c r="C9" s="54"/>
      <c r="D9" s="54"/>
      <c r="E9" s="63"/>
      <c r="F9" s="64"/>
      <c r="G9" s="65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66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66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8"/>
      <c r="AT9" s="63"/>
      <c r="AU9" s="63"/>
    </row>
    <row r="10" spans="1:47" ht="12.75" customHeight="1" x14ac:dyDescent="0.2">
      <c r="A10" s="61" t="s">
        <v>168</v>
      </c>
      <c r="B10" s="62"/>
      <c r="C10" s="54"/>
      <c r="D10" s="54"/>
      <c r="E10" s="63"/>
      <c r="F10" s="64"/>
      <c r="G10" s="65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66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8"/>
      <c r="AT10" s="63"/>
      <c r="AU10" s="63"/>
    </row>
    <row r="11" spans="1:47" ht="12.75" customHeight="1" x14ac:dyDescent="0.2">
      <c r="A11" s="61" t="s">
        <v>169</v>
      </c>
      <c r="B11" s="62">
        <v>2303.04</v>
      </c>
      <c r="C11" s="54">
        <v>0</v>
      </c>
      <c r="D11" s="54">
        <v>1201.77</v>
      </c>
      <c r="E11" s="63"/>
      <c r="F11" s="64">
        <v>191.63733493097681</v>
      </c>
      <c r="G11" s="65">
        <v>2699.86</v>
      </c>
      <c r="H11" s="54">
        <v>2585.15</v>
      </c>
      <c r="I11" s="54">
        <v>2571.8200000000002</v>
      </c>
      <c r="J11" s="54">
        <v>2303.04</v>
      </c>
      <c r="K11" s="56">
        <v>-1164.6300000000001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66">
        <v>10159.870000000001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0</v>
      </c>
      <c r="AC11" s="54">
        <v>0</v>
      </c>
      <c r="AD11" s="54">
        <v>0</v>
      </c>
      <c r="AE11" s="54">
        <v>0</v>
      </c>
      <c r="AF11" s="66">
        <v>0</v>
      </c>
      <c r="AG11" s="67">
        <v>2348.69</v>
      </c>
      <c r="AH11" s="67">
        <v>3397.94</v>
      </c>
      <c r="AI11" s="67">
        <v>1535.43</v>
      </c>
      <c r="AJ11" s="67">
        <v>1201.77</v>
      </c>
      <c r="AK11" s="67">
        <v>1066.07</v>
      </c>
      <c r="AL11" s="67">
        <v>2441.9499999999998</v>
      </c>
      <c r="AM11" s="98">
        <v>-5116.09</v>
      </c>
      <c r="AN11" s="67">
        <v>1912.92</v>
      </c>
      <c r="AO11" s="67">
        <v>1996.15</v>
      </c>
      <c r="AP11" s="67">
        <v>616.42999999999995</v>
      </c>
      <c r="AQ11" s="67">
        <v>806.86</v>
      </c>
      <c r="AR11" s="67">
        <v>5852.95</v>
      </c>
      <c r="AS11" s="68">
        <v>8483.83</v>
      </c>
      <c r="AT11" s="63"/>
      <c r="AU11" s="63">
        <v>119.7556999609846</v>
      </c>
    </row>
    <row r="12" spans="1:47" ht="12.75" customHeight="1" x14ac:dyDescent="0.2">
      <c r="A12" s="61" t="s">
        <v>50</v>
      </c>
      <c r="B12" s="62"/>
      <c r="C12" s="54"/>
      <c r="D12" s="54"/>
      <c r="E12" s="63"/>
      <c r="F12" s="64"/>
      <c r="G12" s="65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66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6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8"/>
      <c r="AT12" s="63"/>
      <c r="AU12" s="63"/>
    </row>
    <row r="13" spans="1:47" ht="12.75" customHeight="1" x14ac:dyDescent="0.2">
      <c r="A13" s="61" t="s">
        <v>170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47" ht="12.75" customHeight="1" x14ac:dyDescent="0.2">
      <c r="A14" s="61" t="s">
        <v>171</v>
      </c>
      <c r="B14" s="62">
        <v>0</v>
      </c>
      <c r="C14" s="54">
        <v>0</v>
      </c>
      <c r="D14" s="54">
        <v>0</v>
      </c>
      <c r="E14" s="63"/>
      <c r="F14" s="64"/>
      <c r="G14" s="65">
        <v>0</v>
      </c>
      <c r="H14" s="54">
        <v>0</v>
      </c>
      <c r="I14" s="54">
        <v>0</v>
      </c>
      <c r="J14" s="54">
        <v>0</v>
      </c>
      <c r="K14" s="54">
        <v>0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0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67">
        <v>0</v>
      </c>
      <c r="AH14" s="67">
        <v>0</v>
      </c>
      <c r="AI14" s="67">
        <v>0</v>
      </c>
      <c r="AJ14" s="67">
        <v>0</v>
      </c>
      <c r="AK14" s="67">
        <v>0</v>
      </c>
      <c r="AL14" s="67">
        <v>0</v>
      </c>
      <c r="AM14" s="67">
        <v>0</v>
      </c>
      <c r="AN14" s="67">
        <v>0</v>
      </c>
      <c r="AO14" s="67">
        <v>0</v>
      </c>
      <c r="AP14" s="67">
        <v>0</v>
      </c>
      <c r="AQ14" s="67">
        <v>0</v>
      </c>
      <c r="AR14" s="67">
        <v>0</v>
      </c>
      <c r="AS14" s="68">
        <v>0</v>
      </c>
      <c r="AT14" s="63"/>
      <c r="AU14" s="63"/>
    </row>
    <row r="15" spans="1:47" ht="12.75" customHeight="1" x14ac:dyDescent="0.2">
      <c r="A15" s="61" t="s">
        <v>172</v>
      </c>
      <c r="B15" s="62"/>
      <c r="C15" s="54"/>
      <c r="D15" s="54"/>
      <c r="E15" s="63"/>
      <c r="F15" s="64"/>
      <c r="G15" s="65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66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66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8"/>
      <c r="AT15" s="63"/>
      <c r="AU15" s="63"/>
    </row>
    <row r="16" spans="1:47" ht="12.75" customHeight="1" x14ac:dyDescent="0.2">
      <c r="A16" s="61" t="s">
        <v>173</v>
      </c>
      <c r="B16" s="62">
        <v>256.04000000000002</v>
      </c>
      <c r="C16" s="54">
        <v>0</v>
      </c>
      <c r="D16" s="54">
        <v>305.13</v>
      </c>
      <c r="E16" s="63"/>
      <c r="F16" s="64">
        <v>83.911775308884742</v>
      </c>
      <c r="G16" s="65">
        <v>256.04000000000002</v>
      </c>
      <c r="H16" s="54">
        <v>256.02999999999997</v>
      </c>
      <c r="I16" s="54">
        <v>256.04000000000002</v>
      </c>
      <c r="J16" s="54">
        <v>256.04000000000002</v>
      </c>
      <c r="K16" s="54"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66">
        <v>1024.1500000000001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>
        <v>305.13</v>
      </c>
      <c r="AH16" s="67">
        <v>305.12</v>
      </c>
      <c r="AI16" s="67">
        <v>305.12</v>
      </c>
      <c r="AJ16" s="67">
        <v>305.13</v>
      </c>
      <c r="AK16" s="67">
        <v>305.13</v>
      </c>
      <c r="AL16" s="67">
        <v>305.12</v>
      </c>
      <c r="AM16" s="67">
        <v>256.07</v>
      </c>
      <c r="AN16" s="67">
        <v>256.04000000000002</v>
      </c>
      <c r="AO16" s="67">
        <v>256.04000000000002</v>
      </c>
      <c r="AP16" s="67">
        <v>256.02999999999997</v>
      </c>
      <c r="AQ16" s="67">
        <v>256.04000000000002</v>
      </c>
      <c r="AR16" s="67">
        <v>256.04000000000002</v>
      </c>
      <c r="AS16" s="68">
        <v>1220.5</v>
      </c>
      <c r="AT16" s="63"/>
      <c r="AU16" s="63">
        <v>83.912331011880383</v>
      </c>
    </row>
    <row r="17" spans="1:47" ht="12.75" customHeight="1" x14ac:dyDescent="0.2">
      <c r="A17" s="61" t="s">
        <v>257</v>
      </c>
      <c r="B17" s="62">
        <v>675.36</v>
      </c>
      <c r="C17" s="54">
        <v>0</v>
      </c>
      <c r="D17" s="54">
        <v>633.37</v>
      </c>
      <c r="E17" s="63"/>
      <c r="F17" s="64">
        <v>106.62961618011589</v>
      </c>
      <c r="G17" s="65">
        <v>685.21</v>
      </c>
      <c r="H17" s="54">
        <v>685.21</v>
      </c>
      <c r="I17" s="54">
        <v>684.8</v>
      </c>
      <c r="J17" s="54">
        <v>675.36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2730.58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831.27</v>
      </c>
      <c r="AH17" s="67">
        <v>831.27</v>
      </c>
      <c r="AI17" s="67">
        <v>845.7</v>
      </c>
      <c r="AJ17" s="67">
        <v>633.37</v>
      </c>
      <c r="AK17" s="67">
        <v>659.1</v>
      </c>
      <c r="AL17" s="67">
        <v>658.25</v>
      </c>
      <c r="AM17" s="67">
        <v>658.25</v>
      </c>
      <c r="AN17" s="67">
        <v>656.87</v>
      </c>
      <c r="AO17" s="67">
        <v>657.75</v>
      </c>
      <c r="AP17" s="67">
        <v>674.25</v>
      </c>
      <c r="AQ17" s="67">
        <v>665.98</v>
      </c>
      <c r="AR17" s="67">
        <v>703.15</v>
      </c>
      <c r="AS17" s="68">
        <v>3141.61</v>
      </c>
      <c r="AT17" s="63"/>
      <c r="AU17" s="63">
        <v>86.916580988728711</v>
      </c>
    </row>
    <row r="18" spans="1:47" ht="12.75" hidden="1" customHeight="1" outlineLevel="1" x14ac:dyDescent="0.2">
      <c r="A18" s="61" t="s">
        <v>109</v>
      </c>
      <c r="B18" s="62">
        <v>0</v>
      </c>
      <c r="C18" s="54">
        <v>0</v>
      </c>
      <c r="D18" s="54">
        <v>0</v>
      </c>
      <c r="E18" s="63"/>
      <c r="F18" s="64"/>
      <c r="G18" s="65">
        <v>0</v>
      </c>
      <c r="H18" s="54">
        <v>0</v>
      </c>
      <c r="I18" s="54">
        <v>0</v>
      </c>
      <c r="J18" s="54">
        <v>0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0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0</v>
      </c>
      <c r="AH18" s="67">
        <v>0</v>
      </c>
      <c r="AI18" s="67">
        <v>0</v>
      </c>
      <c r="AJ18" s="67">
        <v>0</v>
      </c>
      <c r="AK18" s="67">
        <v>0</v>
      </c>
      <c r="AL18" s="67">
        <v>0</v>
      </c>
      <c r="AM18" s="67">
        <v>0</v>
      </c>
      <c r="AN18" s="67">
        <v>0</v>
      </c>
      <c r="AO18" s="67">
        <v>0</v>
      </c>
      <c r="AP18" s="67">
        <v>0</v>
      </c>
      <c r="AQ18" s="67">
        <v>468</v>
      </c>
      <c r="AR18" s="67">
        <v>0</v>
      </c>
      <c r="AS18" s="68">
        <v>0</v>
      </c>
      <c r="AT18" s="63"/>
      <c r="AU18" s="63"/>
    </row>
    <row r="19" spans="1:47" ht="12.75" hidden="1" customHeight="1" outlineLevel="1" x14ac:dyDescent="0.2">
      <c r="A19" s="61" t="s">
        <v>97</v>
      </c>
      <c r="B19" s="62">
        <v>62</v>
      </c>
      <c r="C19" s="54">
        <v>0</v>
      </c>
      <c r="D19" s="54">
        <v>62</v>
      </c>
      <c r="E19" s="63"/>
      <c r="F19" s="64">
        <v>100</v>
      </c>
      <c r="G19" s="65">
        <v>62</v>
      </c>
      <c r="H19" s="54">
        <v>62</v>
      </c>
      <c r="I19" s="54">
        <v>62</v>
      </c>
      <c r="J19" s="54">
        <v>62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248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856.91</v>
      </c>
      <c r="AH19" s="67">
        <v>128</v>
      </c>
      <c r="AI19" s="67">
        <v>88.63</v>
      </c>
      <c r="AJ19" s="67">
        <v>62</v>
      </c>
      <c r="AK19" s="67">
        <v>21.57</v>
      </c>
      <c r="AL19" s="67">
        <v>62</v>
      </c>
      <c r="AM19" s="67">
        <v>62</v>
      </c>
      <c r="AN19" s="67">
        <v>62</v>
      </c>
      <c r="AO19" s="67">
        <v>62</v>
      </c>
      <c r="AP19" s="67">
        <v>62</v>
      </c>
      <c r="AQ19" s="67">
        <v>62</v>
      </c>
      <c r="AR19" s="67">
        <v>62</v>
      </c>
      <c r="AS19" s="68">
        <v>1135.54</v>
      </c>
      <c r="AT19" s="63"/>
      <c r="AU19" s="63">
        <v>21.839829508427709</v>
      </c>
    </row>
    <row r="20" spans="1:47" ht="12.75" hidden="1" customHeight="1" outlineLevel="1" x14ac:dyDescent="0.2">
      <c r="A20" s="61" t="s">
        <v>69</v>
      </c>
      <c r="B20" s="62">
        <v>0</v>
      </c>
      <c r="C20" s="54">
        <v>0</v>
      </c>
      <c r="D20" s="54">
        <v>0</v>
      </c>
      <c r="E20" s="63"/>
      <c r="F20" s="64"/>
      <c r="G20" s="65">
        <v>0</v>
      </c>
      <c r="H20" s="54">
        <v>0</v>
      </c>
      <c r="I20" s="54">
        <v>1308.26</v>
      </c>
      <c r="J20" s="54">
        <v>0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66">
        <v>1308.26</v>
      </c>
      <c r="T20" s="54">
        <v>0</v>
      </c>
      <c r="U20" s="54">
        <v>0</v>
      </c>
      <c r="V20" s="54">
        <v>0</v>
      </c>
      <c r="W20" s="54">
        <v>0</v>
      </c>
      <c r="X20" s="54">
        <v>0</v>
      </c>
      <c r="Y20" s="54">
        <v>0</v>
      </c>
      <c r="Z20" s="54">
        <v>0</v>
      </c>
      <c r="AA20" s="54">
        <v>0</v>
      </c>
      <c r="AB20" s="54">
        <v>0</v>
      </c>
      <c r="AC20" s="54">
        <v>0</v>
      </c>
      <c r="AD20" s="54">
        <v>0</v>
      </c>
      <c r="AE20" s="54">
        <v>0</v>
      </c>
      <c r="AF20" s="66">
        <v>0</v>
      </c>
      <c r="AG20" s="67">
        <v>1205</v>
      </c>
      <c r="AH20" s="67">
        <v>0</v>
      </c>
      <c r="AI20" s="67">
        <v>0</v>
      </c>
      <c r="AJ20" s="67">
        <v>0</v>
      </c>
      <c r="AK20" s="67">
        <v>0</v>
      </c>
      <c r="AL20" s="67">
        <v>0</v>
      </c>
      <c r="AM20" s="67">
        <v>0</v>
      </c>
      <c r="AN20" s="67">
        <v>0</v>
      </c>
      <c r="AO20" s="67">
        <v>0</v>
      </c>
      <c r="AP20" s="67">
        <v>0</v>
      </c>
      <c r="AQ20" s="67">
        <v>0</v>
      </c>
      <c r="AR20" s="67">
        <v>0</v>
      </c>
      <c r="AS20" s="68">
        <v>1205</v>
      </c>
      <c r="AT20" s="63"/>
      <c r="AU20" s="63">
        <v>108.56929460580913</v>
      </c>
    </row>
    <row r="21" spans="1:47" ht="12.75" customHeight="1" collapsed="1" x14ac:dyDescent="0.2">
      <c r="A21" s="69" t="s">
        <v>70</v>
      </c>
      <c r="B21" s="70">
        <v>62</v>
      </c>
      <c r="C21" s="71">
        <v>0</v>
      </c>
      <c r="D21" s="71">
        <v>62</v>
      </c>
      <c r="E21" s="72"/>
      <c r="F21" s="73">
        <v>100</v>
      </c>
      <c r="G21" s="70">
        <v>62</v>
      </c>
      <c r="H21" s="71">
        <v>62</v>
      </c>
      <c r="I21" s="71">
        <v>1370.26</v>
      </c>
      <c r="J21" s="71">
        <v>62</v>
      </c>
      <c r="K21" s="71">
        <v>0</v>
      </c>
      <c r="L21" s="71">
        <v>0</v>
      </c>
      <c r="M21" s="71">
        <v>0</v>
      </c>
      <c r="N21" s="71">
        <v>0</v>
      </c>
      <c r="O21" s="71">
        <v>0</v>
      </c>
      <c r="P21" s="71">
        <v>0</v>
      </c>
      <c r="Q21" s="71">
        <v>0</v>
      </c>
      <c r="R21" s="71">
        <v>0</v>
      </c>
      <c r="S21" s="71">
        <v>1556.26</v>
      </c>
      <c r="T21" s="71">
        <v>0</v>
      </c>
      <c r="U21" s="71">
        <v>0</v>
      </c>
      <c r="V21" s="71">
        <v>0</v>
      </c>
      <c r="W21" s="71">
        <v>0</v>
      </c>
      <c r="X21" s="71">
        <v>0</v>
      </c>
      <c r="Y21" s="71">
        <v>0</v>
      </c>
      <c r="Z21" s="71">
        <v>0</v>
      </c>
      <c r="AA21" s="71">
        <v>0</v>
      </c>
      <c r="AB21" s="71">
        <v>0</v>
      </c>
      <c r="AC21" s="71">
        <v>0</v>
      </c>
      <c r="AD21" s="71">
        <v>0</v>
      </c>
      <c r="AE21" s="71">
        <v>0</v>
      </c>
      <c r="AF21" s="71">
        <v>0</v>
      </c>
      <c r="AG21" s="75">
        <v>2061.91</v>
      </c>
      <c r="AH21" s="75">
        <v>128</v>
      </c>
      <c r="AI21" s="75">
        <v>88.63</v>
      </c>
      <c r="AJ21" s="75">
        <v>62</v>
      </c>
      <c r="AK21" s="75">
        <v>21.57</v>
      </c>
      <c r="AL21" s="75">
        <v>62</v>
      </c>
      <c r="AM21" s="75">
        <v>62</v>
      </c>
      <c r="AN21" s="75">
        <v>62</v>
      </c>
      <c r="AO21" s="75">
        <v>62</v>
      </c>
      <c r="AP21" s="75">
        <v>62</v>
      </c>
      <c r="AQ21" s="75">
        <v>530</v>
      </c>
      <c r="AR21" s="75">
        <v>62</v>
      </c>
      <c r="AS21" s="75">
        <v>2340.54</v>
      </c>
      <c r="AT21" s="72"/>
      <c r="AU21" s="72">
        <v>66.491493416049295</v>
      </c>
    </row>
    <row r="22" spans="1:47" ht="12.75" hidden="1" customHeight="1" outlineLevel="1" x14ac:dyDescent="0.2">
      <c r="A22" s="61" t="s">
        <v>174</v>
      </c>
      <c r="B22" s="62">
        <v>0</v>
      </c>
      <c r="C22" s="54">
        <v>0</v>
      </c>
      <c r="D22" s="54">
        <v>0</v>
      </c>
      <c r="E22" s="63"/>
      <c r="F22" s="64"/>
      <c r="G22" s="65">
        <v>0</v>
      </c>
      <c r="H22" s="54">
        <v>85.68</v>
      </c>
      <c r="I22" s="54">
        <v>0</v>
      </c>
      <c r="J22" s="54">
        <v>0</v>
      </c>
      <c r="K22" s="54">
        <v>0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66">
        <v>85.68</v>
      </c>
      <c r="T22" s="54">
        <v>0</v>
      </c>
      <c r="U22" s="54">
        <v>0</v>
      </c>
      <c r="V22" s="54">
        <v>0</v>
      </c>
      <c r="W22" s="54">
        <v>0</v>
      </c>
      <c r="X22" s="54">
        <v>0</v>
      </c>
      <c r="Y22" s="54">
        <v>0</v>
      </c>
      <c r="Z22" s="54">
        <v>0</v>
      </c>
      <c r="AA22" s="54">
        <v>0</v>
      </c>
      <c r="AB22" s="54">
        <v>0</v>
      </c>
      <c r="AC22" s="54">
        <v>0</v>
      </c>
      <c r="AD22" s="54">
        <v>0</v>
      </c>
      <c r="AE22" s="54">
        <v>0</v>
      </c>
      <c r="AF22" s="66">
        <v>0</v>
      </c>
      <c r="AG22" s="67">
        <v>0</v>
      </c>
      <c r="AH22" s="67">
        <v>21.2</v>
      </c>
      <c r="AI22" s="98">
        <v>-128</v>
      </c>
      <c r="AJ22" s="67">
        <v>0</v>
      </c>
      <c r="AK22" s="67">
        <v>62.22</v>
      </c>
      <c r="AL22" s="67">
        <v>0</v>
      </c>
      <c r="AM22" s="67">
        <v>20.74</v>
      </c>
      <c r="AN22" s="67">
        <v>84.03</v>
      </c>
      <c r="AO22" s="67">
        <v>0</v>
      </c>
      <c r="AP22" s="67">
        <v>0</v>
      </c>
      <c r="AQ22" s="67">
        <v>85.68</v>
      </c>
      <c r="AR22" s="67">
        <v>0</v>
      </c>
      <c r="AS22" s="99">
        <v>-106.8</v>
      </c>
      <c r="AT22" s="63"/>
      <c r="AU22" s="63">
        <v>-80.224719101123597</v>
      </c>
    </row>
    <row r="23" spans="1:47" ht="12.75" hidden="1" customHeight="1" outlineLevel="1" x14ac:dyDescent="0.2">
      <c r="A23" s="61" t="s">
        <v>99</v>
      </c>
      <c r="B23" s="62">
        <v>0</v>
      </c>
      <c r="C23" s="54">
        <v>0</v>
      </c>
      <c r="D23" s="54">
        <v>650.84</v>
      </c>
      <c r="E23" s="63"/>
      <c r="F23" s="64">
        <v>0</v>
      </c>
      <c r="G23" s="65">
        <v>0</v>
      </c>
      <c r="H23" s="54">
        <v>0</v>
      </c>
      <c r="I23" s="54">
        <v>0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0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173.83</v>
      </c>
      <c r="AH23" s="67">
        <v>178.31</v>
      </c>
      <c r="AI23" s="67">
        <v>535.87</v>
      </c>
      <c r="AJ23" s="67">
        <v>650.84</v>
      </c>
      <c r="AK23" s="67">
        <v>1035.6400000000001</v>
      </c>
      <c r="AL23" s="67">
        <v>2765.8</v>
      </c>
      <c r="AM23" s="98">
        <v>-140.26</v>
      </c>
      <c r="AN23" s="98">
        <v>-1063.04</v>
      </c>
      <c r="AO23" s="67">
        <v>0</v>
      </c>
      <c r="AP23" s="67">
        <v>0</v>
      </c>
      <c r="AQ23" s="67">
        <v>0</v>
      </c>
      <c r="AR23" s="67">
        <v>0</v>
      </c>
      <c r="AS23" s="68">
        <v>1538.85</v>
      </c>
      <c r="AT23" s="63"/>
      <c r="AU23" s="63">
        <v>0</v>
      </c>
    </row>
    <row r="24" spans="1:47" ht="12.75" hidden="1" customHeight="1" outlineLevel="1" x14ac:dyDescent="0.2">
      <c r="A24" s="61" t="s">
        <v>175</v>
      </c>
      <c r="B24" s="62">
        <v>83.49</v>
      </c>
      <c r="C24" s="54">
        <v>0</v>
      </c>
      <c r="D24" s="54">
        <v>0</v>
      </c>
      <c r="E24" s="63"/>
      <c r="F24" s="64"/>
      <c r="G24" s="65">
        <v>0</v>
      </c>
      <c r="H24" s="54">
        <v>97.03</v>
      </c>
      <c r="I24" s="54">
        <v>0</v>
      </c>
      <c r="J24" s="54">
        <v>83.49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180.52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0</v>
      </c>
      <c r="AH24" s="67">
        <v>29.87</v>
      </c>
      <c r="AI24" s="98">
        <v>-24.93</v>
      </c>
      <c r="AJ24" s="67">
        <v>0</v>
      </c>
      <c r="AK24" s="67">
        <v>80.61</v>
      </c>
      <c r="AL24" s="67">
        <v>0</v>
      </c>
      <c r="AM24" s="67">
        <v>77.37</v>
      </c>
      <c r="AN24" s="67">
        <v>3.1</v>
      </c>
      <c r="AO24" s="67">
        <v>90.96</v>
      </c>
      <c r="AP24" s="67">
        <v>0</v>
      </c>
      <c r="AQ24" s="67">
        <v>97.99</v>
      </c>
      <c r="AR24" s="67">
        <v>0</v>
      </c>
      <c r="AS24" s="68">
        <v>4.9400000000000004</v>
      </c>
      <c r="AT24" s="63"/>
      <c r="AU24" s="63">
        <v>3654.251012145749</v>
      </c>
    </row>
    <row r="25" spans="1:47" ht="12.75" hidden="1" customHeight="1" outlineLevel="1" x14ac:dyDescent="0.2">
      <c r="A25" s="61" t="s">
        <v>100</v>
      </c>
      <c r="B25" s="62">
        <v>977.78</v>
      </c>
      <c r="C25" s="54">
        <v>0</v>
      </c>
      <c r="D25" s="54">
        <v>938.91</v>
      </c>
      <c r="E25" s="63"/>
      <c r="F25" s="64">
        <v>104.13990691333568</v>
      </c>
      <c r="G25" s="65">
        <v>819.7</v>
      </c>
      <c r="H25" s="54">
        <v>1241.75</v>
      </c>
      <c r="I25" s="54">
        <v>1581.29</v>
      </c>
      <c r="J25" s="54">
        <v>977.78</v>
      </c>
      <c r="K25" s="56">
        <v>-1440.38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4620.5200000000004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1679.19</v>
      </c>
      <c r="AH25" s="67">
        <v>1488.36</v>
      </c>
      <c r="AI25" s="67">
        <v>3394.3</v>
      </c>
      <c r="AJ25" s="67">
        <v>938.91</v>
      </c>
      <c r="AK25" s="67">
        <v>939.24</v>
      </c>
      <c r="AL25" s="67">
        <v>468.17</v>
      </c>
      <c r="AM25" s="67">
        <v>825.16</v>
      </c>
      <c r="AN25" s="67">
        <v>1138.06</v>
      </c>
      <c r="AO25" s="67">
        <v>83.23</v>
      </c>
      <c r="AP25" s="98">
        <v>-1764.53</v>
      </c>
      <c r="AQ25" s="67">
        <v>2567.69</v>
      </c>
      <c r="AR25" s="98">
        <v>-663.1</v>
      </c>
      <c r="AS25" s="68">
        <v>7500.76</v>
      </c>
      <c r="AT25" s="63"/>
      <c r="AU25" s="63">
        <v>61.600691129965497</v>
      </c>
    </row>
    <row r="26" spans="1:47" ht="12.75" hidden="1" customHeight="1" outlineLevel="1" x14ac:dyDescent="0.2">
      <c r="A26" s="61" t="s">
        <v>101</v>
      </c>
      <c r="B26" s="62">
        <v>76.95</v>
      </c>
      <c r="C26" s="54">
        <v>0</v>
      </c>
      <c r="D26" s="54">
        <v>121.67</v>
      </c>
      <c r="E26" s="63"/>
      <c r="F26" s="64">
        <v>63.244842607051865</v>
      </c>
      <c r="G26" s="65">
        <v>113.91</v>
      </c>
      <c r="H26" s="54">
        <v>76.25</v>
      </c>
      <c r="I26" s="54">
        <v>101.25</v>
      </c>
      <c r="J26" s="54">
        <v>76.95</v>
      </c>
      <c r="K26" s="56">
        <v>-76.25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368.36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339.06</v>
      </c>
      <c r="AH26" s="67">
        <v>117.73</v>
      </c>
      <c r="AI26" s="67">
        <v>122.64</v>
      </c>
      <c r="AJ26" s="67">
        <v>121.67</v>
      </c>
      <c r="AK26" s="67">
        <v>241</v>
      </c>
      <c r="AL26" s="67">
        <v>82.92</v>
      </c>
      <c r="AM26" s="67">
        <v>12.5</v>
      </c>
      <c r="AN26" s="67">
        <v>0</v>
      </c>
      <c r="AO26" s="67">
        <v>162.61000000000001</v>
      </c>
      <c r="AP26" s="67">
        <v>87.56</v>
      </c>
      <c r="AQ26" s="67">
        <v>0</v>
      </c>
      <c r="AR26" s="67">
        <v>281.27999999999997</v>
      </c>
      <c r="AS26" s="68">
        <v>701.1</v>
      </c>
      <c r="AT26" s="63"/>
      <c r="AU26" s="63">
        <v>52.540293823990872</v>
      </c>
    </row>
    <row r="27" spans="1:47" ht="12.75" hidden="1" customHeight="1" outlineLevel="1" x14ac:dyDescent="0.2">
      <c r="A27" s="61" t="s">
        <v>176</v>
      </c>
      <c r="B27" s="62">
        <v>173.6</v>
      </c>
      <c r="C27" s="54">
        <v>0</v>
      </c>
      <c r="D27" s="54">
        <v>0</v>
      </c>
      <c r="E27" s="63"/>
      <c r="F27" s="64"/>
      <c r="G27" s="65">
        <v>200.7</v>
      </c>
      <c r="H27" s="54">
        <v>169.94</v>
      </c>
      <c r="I27" s="54">
        <v>163.9</v>
      </c>
      <c r="J27" s="54">
        <v>173.6</v>
      </c>
      <c r="K27" s="54">
        <v>0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708.14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204.13</v>
      </c>
      <c r="AH27" s="67">
        <v>204.13</v>
      </c>
      <c r="AI27" s="67">
        <v>162.44999999999999</v>
      </c>
      <c r="AJ27" s="67">
        <v>0</v>
      </c>
      <c r="AK27" s="67">
        <v>127.45</v>
      </c>
      <c r="AL27" s="67">
        <v>127.45</v>
      </c>
      <c r="AM27" s="67">
        <v>458.04</v>
      </c>
      <c r="AN27" s="67">
        <v>333.73</v>
      </c>
      <c r="AO27" s="67">
        <v>0</v>
      </c>
      <c r="AP27" s="67">
        <v>0</v>
      </c>
      <c r="AQ27" s="67">
        <v>414.72</v>
      </c>
      <c r="AR27" s="67">
        <v>217.56</v>
      </c>
      <c r="AS27" s="68">
        <v>570.71</v>
      </c>
      <c r="AT27" s="63"/>
      <c r="AU27" s="63">
        <v>124.08053126806959</v>
      </c>
    </row>
    <row r="28" spans="1:47" ht="12.75" hidden="1" customHeight="1" outlineLevel="1" x14ac:dyDescent="0.2">
      <c r="A28" s="61" t="s">
        <v>102</v>
      </c>
      <c r="B28" s="62">
        <v>0</v>
      </c>
      <c r="C28" s="54">
        <v>0</v>
      </c>
      <c r="D28" s="54">
        <v>0</v>
      </c>
      <c r="E28" s="63"/>
      <c r="F28" s="64"/>
      <c r="G28" s="65">
        <v>0</v>
      </c>
      <c r="H28" s="54">
        <v>0</v>
      </c>
      <c r="I28" s="54">
        <v>0</v>
      </c>
      <c r="J28" s="54">
        <v>0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0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0</v>
      </c>
      <c r="AH28" s="67">
        <v>0</v>
      </c>
      <c r="AI28" s="67">
        <v>0</v>
      </c>
      <c r="AJ28" s="67">
        <v>0</v>
      </c>
      <c r="AK28" s="67">
        <v>0</v>
      </c>
      <c r="AL28" s="67">
        <v>0</v>
      </c>
      <c r="AM28" s="67">
        <v>0</v>
      </c>
      <c r="AN28" s="67">
        <v>0</v>
      </c>
      <c r="AO28" s="67">
        <v>0</v>
      </c>
      <c r="AP28" s="67">
        <v>0</v>
      </c>
      <c r="AQ28" s="67">
        <v>0</v>
      </c>
      <c r="AR28" s="67">
        <v>0</v>
      </c>
      <c r="AS28" s="68">
        <v>0</v>
      </c>
      <c r="AT28" s="63"/>
      <c r="AU28" s="63"/>
    </row>
    <row r="29" spans="1:47" ht="12.75" hidden="1" customHeight="1" outlineLevel="1" x14ac:dyDescent="0.2">
      <c r="A29" s="61" t="s">
        <v>75</v>
      </c>
      <c r="B29" s="62">
        <v>165.38</v>
      </c>
      <c r="C29" s="54">
        <v>0</v>
      </c>
      <c r="D29" s="54">
        <v>0</v>
      </c>
      <c r="E29" s="63"/>
      <c r="F29" s="64"/>
      <c r="G29" s="65">
        <v>0</v>
      </c>
      <c r="H29" s="54">
        <v>74.61</v>
      </c>
      <c r="I29" s="54">
        <v>74.61</v>
      </c>
      <c r="J29" s="54">
        <v>165.38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314.60000000000002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0</v>
      </c>
      <c r="AH29" s="67">
        <v>0</v>
      </c>
      <c r="AI29" s="67">
        <v>0</v>
      </c>
      <c r="AJ29" s="67">
        <v>0</v>
      </c>
      <c r="AK29" s="67">
        <v>0</v>
      </c>
      <c r="AL29" s="67">
        <v>360.13</v>
      </c>
      <c r="AM29" s="67">
        <v>926.53</v>
      </c>
      <c r="AN29" s="67">
        <v>246.85</v>
      </c>
      <c r="AO29" s="67">
        <v>246.85</v>
      </c>
      <c r="AP29" s="67">
        <v>246.85</v>
      </c>
      <c r="AQ29" s="67">
        <v>246.85</v>
      </c>
      <c r="AR29" s="67">
        <v>246.85</v>
      </c>
      <c r="AS29" s="68">
        <v>0</v>
      </c>
      <c r="AT29" s="63"/>
      <c r="AU29" s="63"/>
    </row>
    <row r="30" spans="1:47" ht="12.75" hidden="1" customHeight="1" outlineLevel="1" x14ac:dyDescent="0.2">
      <c r="A30" s="61" t="s">
        <v>76</v>
      </c>
      <c r="B30" s="62">
        <v>2920</v>
      </c>
      <c r="C30" s="54">
        <v>0</v>
      </c>
      <c r="D30" s="54">
        <v>2174.1999999999998</v>
      </c>
      <c r="E30" s="63"/>
      <c r="F30" s="64">
        <v>134.3022721000828</v>
      </c>
      <c r="G30" s="65">
        <v>4240.53</v>
      </c>
      <c r="H30" s="54">
        <v>1135.46</v>
      </c>
      <c r="I30" s="54">
        <v>1495.62</v>
      </c>
      <c r="J30" s="54">
        <v>2920</v>
      </c>
      <c r="K30" s="56">
        <v>-199.1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9791.61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1674.97</v>
      </c>
      <c r="AH30" s="67">
        <v>2998.4</v>
      </c>
      <c r="AI30" s="67">
        <v>5748.82</v>
      </c>
      <c r="AJ30" s="67">
        <v>2174.1999999999998</v>
      </c>
      <c r="AK30" s="67">
        <v>581.29</v>
      </c>
      <c r="AL30" s="67">
        <v>4300.3999999999996</v>
      </c>
      <c r="AM30" s="98">
        <v>-1377.97</v>
      </c>
      <c r="AN30" s="67">
        <v>251.41</v>
      </c>
      <c r="AO30" s="67">
        <v>6657.05</v>
      </c>
      <c r="AP30" s="67">
        <v>185.55</v>
      </c>
      <c r="AQ30" s="67">
        <v>2685.05</v>
      </c>
      <c r="AR30" s="67">
        <v>4397.46</v>
      </c>
      <c r="AS30" s="68">
        <v>12596.39</v>
      </c>
      <c r="AT30" s="63"/>
      <c r="AU30" s="63">
        <v>77.733461729908328</v>
      </c>
    </row>
    <row r="31" spans="1:47" ht="12.75" hidden="1" customHeight="1" outlineLevel="1" x14ac:dyDescent="0.2">
      <c r="A31" s="61" t="s">
        <v>77</v>
      </c>
      <c r="B31" s="62">
        <v>64</v>
      </c>
      <c r="C31" s="54">
        <v>0</v>
      </c>
      <c r="D31" s="54">
        <v>64</v>
      </c>
      <c r="E31" s="63"/>
      <c r="F31" s="64">
        <v>100</v>
      </c>
      <c r="G31" s="65">
        <v>64</v>
      </c>
      <c r="H31" s="54">
        <v>64</v>
      </c>
      <c r="I31" s="54">
        <v>64</v>
      </c>
      <c r="J31" s="54">
        <v>64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256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63.33</v>
      </c>
      <c r="AH31" s="67">
        <v>63.33</v>
      </c>
      <c r="AI31" s="67">
        <v>144</v>
      </c>
      <c r="AJ31" s="67">
        <v>64</v>
      </c>
      <c r="AK31" s="67">
        <v>64</v>
      </c>
      <c r="AL31" s="67">
        <v>64</v>
      </c>
      <c r="AM31" s="67">
        <v>64</v>
      </c>
      <c r="AN31" s="67">
        <v>64</v>
      </c>
      <c r="AO31" s="67">
        <v>64</v>
      </c>
      <c r="AP31" s="67">
        <v>64</v>
      </c>
      <c r="AQ31" s="67">
        <v>64</v>
      </c>
      <c r="AR31" s="67">
        <v>64</v>
      </c>
      <c r="AS31" s="68">
        <v>334.66</v>
      </c>
      <c r="AT31" s="63"/>
      <c r="AU31" s="63">
        <v>76.4955477200741</v>
      </c>
    </row>
    <row r="32" spans="1:47" ht="12.75" customHeight="1" collapsed="1" x14ac:dyDescent="0.2">
      <c r="A32" s="69" t="s">
        <v>177</v>
      </c>
      <c r="B32" s="70">
        <v>4461.2</v>
      </c>
      <c r="C32" s="71">
        <v>0</v>
      </c>
      <c r="D32" s="71">
        <v>3949.62</v>
      </c>
      <c r="E32" s="72"/>
      <c r="F32" s="73">
        <v>112.95263848167671</v>
      </c>
      <c r="G32" s="70">
        <v>5438.84</v>
      </c>
      <c r="H32" s="71">
        <v>2944.72</v>
      </c>
      <c r="I32" s="71">
        <v>3480.67</v>
      </c>
      <c r="J32" s="71">
        <v>4461.2</v>
      </c>
      <c r="K32" s="74">
        <v>-1715.73</v>
      </c>
      <c r="L32" s="71">
        <v>0</v>
      </c>
      <c r="M32" s="71">
        <v>0</v>
      </c>
      <c r="N32" s="71">
        <v>0</v>
      </c>
      <c r="O32" s="71">
        <v>0</v>
      </c>
      <c r="P32" s="71">
        <v>0</v>
      </c>
      <c r="Q32" s="71">
        <v>0</v>
      </c>
      <c r="R32" s="71">
        <v>0</v>
      </c>
      <c r="S32" s="71">
        <v>16325.43</v>
      </c>
      <c r="T32" s="71">
        <v>0</v>
      </c>
      <c r="U32" s="71">
        <v>0</v>
      </c>
      <c r="V32" s="71">
        <v>0</v>
      </c>
      <c r="W32" s="71">
        <v>0</v>
      </c>
      <c r="X32" s="71">
        <v>0</v>
      </c>
      <c r="Y32" s="71">
        <v>0</v>
      </c>
      <c r="Z32" s="71">
        <v>0</v>
      </c>
      <c r="AA32" s="71">
        <v>0</v>
      </c>
      <c r="AB32" s="71">
        <v>0</v>
      </c>
      <c r="AC32" s="71">
        <v>0</v>
      </c>
      <c r="AD32" s="71">
        <v>0</v>
      </c>
      <c r="AE32" s="71">
        <v>0</v>
      </c>
      <c r="AF32" s="71">
        <v>0</v>
      </c>
      <c r="AG32" s="75">
        <v>4134.51</v>
      </c>
      <c r="AH32" s="75">
        <v>5101.33</v>
      </c>
      <c r="AI32" s="75">
        <v>9955.15</v>
      </c>
      <c r="AJ32" s="75">
        <v>3949.62</v>
      </c>
      <c r="AK32" s="75">
        <v>3131.45</v>
      </c>
      <c r="AL32" s="75">
        <v>8168.87</v>
      </c>
      <c r="AM32" s="75">
        <v>866.11</v>
      </c>
      <c r="AN32" s="75">
        <v>1058.1400000000001</v>
      </c>
      <c r="AO32" s="75">
        <v>7304.7</v>
      </c>
      <c r="AP32" s="134">
        <v>-1180.57</v>
      </c>
      <c r="AQ32" s="75">
        <v>6161.98</v>
      </c>
      <c r="AR32" s="75">
        <v>4544.05</v>
      </c>
      <c r="AS32" s="75">
        <v>23140.61</v>
      </c>
      <c r="AT32" s="72"/>
      <c r="AU32" s="72">
        <v>70.548831685940868</v>
      </c>
    </row>
    <row r="33" spans="1:47" ht="12.75" hidden="1" customHeight="1" outlineLevel="1" x14ac:dyDescent="0.2">
      <c r="A33" s="61" t="s">
        <v>178</v>
      </c>
      <c r="B33" s="62">
        <v>221.44</v>
      </c>
      <c r="C33" s="54">
        <v>0</v>
      </c>
      <c r="D33" s="54">
        <v>0</v>
      </c>
      <c r="E33" s="63"/>
      <c r="F33" s="64"/>
      <c r="G33" s="65">
        <v>1391.82</v>
      </c>
      <c r="H33" s="54">
        <v>1197.29</v>
      </c>
      <c r="I33" s="54">
        <v>0</v>
      </c>
      <c r="J33" s="54">
        <v>221.44</v>
      </c>
      <c r="K33" s="54">
        <v>0</v>
      </c>
      <c r="L33" s="54">
        <v>0</v>
      </c>
      <c r="M33" s="54">
        <v>0</v>
      </c>
      <c r="N33" s="54">
        <v>0</v>
      </c>
      <c r="O33" s="54">
        <v>0</v>
      </c>
      <c r="P33" s="54">
        <v>0</v>
      </c>
      <c r="Q33" s="54">
        <v>0</v>
      </c>
      <c r="R33" s="54">
        <v>0</v>
      </c>
      <c r="S33" s="66">
        <v>2810.55</v>
      </c>
      <c r="T33" s="54">
        <v>0</v>
      </c>
      <c r="U33" s="54">
        <v>0</v>
      </c>
      <c r="V33" s="54">
        <v>0</v>
      </c>
      <c r="W33" s="54">
        <v>0</v>
      </c>
      <c r="X33" s="54">
        <v>0</v>
      </c>
      <c r="Y33" s="54">
        <v>0</v>
      </c>
      <c r="Z33" s="54">
        <v>0</v>
      </c>
      <c r="AA33" s="54">
        <v>0</v>
      </c>
      <c r="AB33" s="54">
        <v>0</v>
      </c>
      <c r="AC33" s="54">
        <v>0</v>
      </c>
      <c r="AD33" s="54">
        <v>0</v>
      </c>
      <c r="AE33" s="54">
        <v>0</v>
      </c>
      <c r="AF33" s="66">
        <v>0</v>
      </c>
      <c r="AG33" s="67">
        <v>0</v>
      </c>
      <c r="AH33" s="67">
        <v>0</v>
      </c>
      <c r="AI33" s="67">
        <v>0</v>
      </c>
      <c r="AJ33" s="67">
        <v>0</v>
      </c>
      <c r="AK33" s="67">
        <v>0</v>
      </c>
      <c r="AL33" s="67">
        <v>0</v>
      </c>
      <c r="AM33" s="67">
        <v>0</v>
      </c>
      <c r="AN33" s="67">
        <v>0</v>
      </c>
      <c r="AO33" s="67">
        <v>0</v>
      </c>
      <c r="AP33" s="67">
        <v>0</v>
      </c>
      <c r="AQ33" s="67">
        <v>0</v>
      </c>
      <c r="AR33" s="67">
        <v>0</v>
      </c>
      <c r="AS33" s="68">
        <v>0</v>
      </c>
      <c r="AT33" s="63"/>
      <c r="AU33" s="63"/>
    </row>
    <row r="34" spans="1:47" ht="12.75" hidden="1" customHeight="1" outlineLevel="1" x14ac:dyDescent="0.2">
      <c r="A34" s="61" t="s">
        <v>179</v>
      </c>
      <c r="B34" s="62">
        <v>13.33</v>
      </c>
      <c r="C34" s="54">
        <v>0</v>
      </c>
      <c r="D34" s="54">
        <v>232.37</v>
      </c>
      <c r="E34" s="63"/>
      <c r="F34" s="64">
        <v>5.7365408615569997</v>
      </c>
      <c r="G34" s="65">
        <v>13.33</v>
      </c>
      <c r="H34" s="54">
        <v>271.3</v>
      </c>
      <c r="I34" s="54">
        <v>396.21</v>
      </c>
      <c r="J34" s="54">
        <v>13.33</v>
      </c>
      <c r="K34" s="54">
        <v>0</v>
      </c>
      <c r="L34" s="54">
        <v>0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66">
        <v>694.17</v>
      </c>
      <c r="T34" s="54">
        <v>0</v>
      </c>
      <c r="U34" s="54">
        <v>0</v>
      </c>
      <c r="V34" s="54">
        <v>0</v>
      </c>
      <c r="W34" s="54">
        <v>0</v>
      </c>
      <c r="X34" s="54">
        <v>0</v>
      </c>
      <c r="Y34" s="54">
        <v>0</v>
      </c>
      <c r="Z34" s="54">
        <v>0</v>
      </c>
      <c r="AA34" s="54">
        <v>0</v>
      </c>
      <c r="AB34" s="54">
        <v>0</v>
      </c>
      <c r="AC34" s="54">
        <v>0</v>
      </c>
      <c r="AD34" s="54">
        <v>0</v>
      </c>
      <c r="AE34" s="54">
        <v>0</v>
      </c>
      <c r="AF34" s="66">
        <v>0</v>
      </c>
      <c r="AG34" s="67">
        <v>266.68</v>
      </c>
      <c r="AH34" s="67">
        <v>275.85000000000002</v>
      </c>
      <c r="AI34" s="67">
        <v>304.27</v>
      </c>
      <c r="AJ34" s="67">
        <v>232.37</v>
      </c>
      <c r="AK34" s="67">
        <v>272.60000000000002</v>
      </c>
      <c r="AL34" s="67">
        <v>282.47000000000003</v>
      </c>
      <c r="AM34" s="67">
        <v>285.79000000000002</v>
      </c>
      <c r="AN34" s="67">
        <v>8</v>
      </c>
      <c r="AO34" s="67">
        <v>13.33</v>
      </c>
      <c r="AP34" s="67">
        <v>13.33</v>
      </c>
      <c r="AQ34" s="67">
        <v>310.83</v>
      </c>
      <c r="AR34" s="67">
        <v>1377.49</v>
      </c>
      <c r="AS34" s="68">
        <v>1079.17</v>
      </c>
      <c r="AT34" s="63"/>
      <c r="AU34" s="63">
        <v>64.324434519121183</v>
      </c>
    </row>
    <row r="35" spans="1:47" ht="12.75" hidden="1" customHeight="1" outlineLevel="1" x14ac:dyDescent="0.2">
      <c r="A35" s="61" t="s">
        <v>180</v>
      </c>
      <c r="B35" s="62">
        <v>0</v>
      </c>
      <c r="C35" s="54">
        <v>0</v>
      </c>
      <c r="D35" s="54">
        <v>0</v>
      </c>
      <c r="E35" s="63"/>
      <c r="F35" s="64"/>
      <c r="G35" s="65">
        <v>0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0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0</v>
      </c>
      <c r="AH35" s="67">
        <v>0</v>
      </c>
      <c r="AI35" s="67">
        <v>0</v>
      </c>
      <c r="AJ35" s="67">
        <v>0</v>
      </c>
      <c r="AK35" s="67">
        <v>0</v>
      </c>
      <c r="AL35" s="67">
        <v>0</v>
      </c>
      <c r="AM35" s="67">
        <v>0</v>
      </c>
      <c r="AN35" s="67">
        <v>0</v>
      </c>
      <c r="AO35" s="67">
        <v>0</v>
      </c>
      <c r="AP35" s="67">
        <v>0</v>
      </c>
      <c r="AQ35" s="67">
        <v>0</v>
      </c>
      <c r="AR35" s="67">
        <v>0</v>
      </c>
      <c r="AS35" s="68">
        <v>0</v>
      </c>
      <c r="AT35" s="63"/>
      <c r="AU35" s="63"/>
    </row>
    <row r="36" spans="1:47" ht="12.75" hidden="1" customHeight="1" outlineLevel="1" x14ac:dyDescent="0.2">
      <c r="A36" s="61" t="s">
        <v>181</v>
      </c>
      <c r="B36" s="62">
        <v>0</v>
      </c>
      <c r="C36" s="54">
        <v>0</v>
      </c>
      <c r="D36" s="54">
        <v>0</v>
      </c>
      <c r="E36" s="63"/>
      <c r="F36" s="64"/>
      <c r="G36" s="65">
        <v>0</v>
      </c>
      <c r="H36" s="54">
        <v>0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0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>
        <v>0</v>
      </c>
      <c r="AH36" s="67">
        <v>0</v>
      </c>
      <c r="AI36" s="67">
        <v>0</v>
      </c>
      <c r="AJ36" s="67">
        <v>0</v>
      </c>
      <c r="AK36" s="67">
        <v>0</v>
      </c>
      <c r="AL36" s="67">
        <v>0</v>
      </c>
      <c r="AM36" s="67">
        <v>0</v>
      </c>
      <c r="AN36" s="67">
        <v>0</v>
      </c>
      <c r="AO36" s="67">
        <v>0</v>
      </c>
      <c r="AP36" s="67">
        <v>0</v>
      </c>
      <c r="AQ36" s="67">
        <v>0</v>
      </c>
      <c r="AR36" s="67">
        <v>0</v>
      </c>
      <c r="AS36" s="68">
        <v>0</v>
      </c>
      <c r="AT36" s="63"/>
      <c r="AU36" s="63"/>
    </row>
    <row r="37" spans="1:47" ht="12.75" hidden="1" customHeight="1" outlineLevel="1" x14ac:dyDescent="0.2">
      <c r="A37" s="61" t="s">
        <v>182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18.899999999999999</v>
      </c>
      <c r="AL37" s="67">
        <v>0</v>
      </c>
      <c r="AM37" s="67">
        <v>0</v>
      </c>
      <c r="AN37" s="67">
        <v>0</v>
      </c>
      <c r="AO37" s="67">
        <v>0</v>
      </c>
      <c r="AP37" s="67">
        <v>0</v>
      </c>
      <c r="AQ37" s="67">
        <v>0</v>
      </c>
      <c r="AR37" s="67">
        <v>0</v>
      </c>
      <c r="AS37" s="68">
        <v>0</v>
      </c>
      <c r="AT37" s="63"/>
      <c r="AU37" s="63"/>
    </row>
    <row r="38" spans="1:47" ht="12.75" hidden="1" customHeight="1" outlineLevel="1" x14ac:dyDescent="0.2">
      <c r="A38" s="61" t="s">
        <v>183</v>
      </c>
      <c r="B38" s="62">
        <v>0</v>
      </c>
      <c r="C38" s="54">
        <v>0</v>
      </c>
      <c r="D38" s="54">
        <v>0</v>
      </c>
      <c r="E38" s="63"/>
      <c r="F38" s="64"/>
      <c r="G38" s="65">
        <v>0</v>
      </c>
      <c r="H38" s="54">
        <v>0</v>
      </c>
      <c r="I38" s="54">
        <v>0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0</v>
      </c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0</v>
      </c>
      <c r="Z38" s="54">
        <v>0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66">
        <v>0</v>
      </c>
      <c r="AG38" s="67">
        <v>0</v>
      </c>
      <c r="AH38" s="67">
        <v>0</v>
      </c>
      <c r="AI38" s="67">
        <v>0</v>
      </c>
      <c r="AJ38" s="67">
        <v>0</v>
      </c>
      <c r="AK38" s="67">
        <v>0</v>
      </c>
      <c r="AL38" s="67">
        <v>0</v>
      </c>
      <c r="AM38" s="67">
        <v>0</v>
      </c>
      <c r="AN38" s="67">
        <v>0</v>
      </c>
      <c r="AO38" s="67">
        <v>0</v>
      </c>
      <c r="AP38" s="67">
        <v>0</v>
      </c>
      <c r="AQ38" s="67">
        <v>0</v>
      </c>
      <c r="AR38" s="67">
        <v>0</v>
      </c>
      <c r="AS38" s="68">
        <v>0</v>
      </c>
      <c r="AT38" s="63"/>
      <c r="AU38" s="63"/>
    </row>
    <row r="39" spans="1:47" ht="12.75" hidden="1" customHeight="1" outlineLevel="1" x14ac:dyDescent="0.2">
      <c r="A39" s="61" t="s">
        <v>184</v>
      </c>
      <c r="B39" s="62">
        <v>0</v>
      </c>
      <c r="C39" s="54">
        <v>0</v>
      </c>
      <c r="D39" s="54">
        <v>0</v>
      </c>
      <c r="E39" s="63"/>
      <c r="F39" s="64"/>
      <c r="G39" s="65">
        <v>0</v>
      </c>
      <c r="H39" s="54">
        <v>0</v>
      </c>
      <c r="I39" s="54">
        <v>0</v>
      </c>
      <c r="J39" s="54">
        <v>0</v>
      </c>
      <c r="K39" s="54">
        <v>0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66">
        <v>0</v>
      </c>
      <c r="T39" s="54">
        <v>0</v>
      </c>
      <c r="U39" s="54">
        <v>0</v>
      </c>
      <c r="V39" s="54">
        <v>0</v>
      </c>
      <c r="W39" s="54">
        <v>0</v>
      </c>
      <c r="X39" s="54">
        <v>0</v>
      </c>
      <c r="Y39" s="54">
        <v>0</v>
      </c>
      <c r="Z39" s="54">
        <v>0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66">
        <v>0</v>
      </c>
      <c r="AG39" s="67">
        <v>0</v>
      </c>
      <c r="AH39" s="67">
        <v>0</v>
      </c>
      <c r="AI39" s="67">
        <v>0</v>
      </c>
      <c r="AJ39" s="67">
        <v>0</v>
      </c>
      <c r="AK39" s="67">
        <v>0</v>
      </c>
      <c r="AL39" s="67">
        <v>0</v>
      </c>
      <c r="AM39" s="67">
        <v>0</v>
      </c>
      <c r="AN39" s="67">
        <v>0</v>
      </c>
      <c r="AO39" s="67">
        <v>0</v>
      </c>
      <c r="AP39" s="67">
        <v>0</v>
      </c>
      <c r="AQ39" s="67">
        <v>0</v>
      </c>
      <c r="AR39" s="67">
        <v>0</v>
      </c>
      <c r="AS39" s="68">
        <v>0</v>
      </c>
      <c r="AT39" s="63"/>
      <c r="AU39" s="63"/>
    </row>
    <row r="40" spans="1:47" ht="12.75" hidden="1" customHeight="1" outlineLevel="1" x14ac:dyDescent="0.2">
      <c r="A40" s="61" t="s">
        <v>185</v>
      </c>
      <c r="B40" s="62"/>
      <c r="C40" s="54">
        <v>0</v>
      </c>
      <c r="D40" s="54"/>
      <c r="E40" s="63"/>
      <c r="F40" s="64"/>
      <c r="G40" s="65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66"/>
      <c r="T40" s="54">
        <v>0</v>
      </c>
      <c r="U40" s="54">
        <v>0</v>
      </c>
      <c r="V40" s="54">
        <v>0</v>
      </c>
      <c r="W40" s="54">
        <v>0</v>
      </c>
      <c r="X40" s="54">
        <v>0</v>
      </c>
      <c r="Y40" s="54">
        <v>0</v>
      </c>
      <c r="Z40" s="54">
        <v>0</v>
      </c>
      <c r="AA40" s="54">
        <v>0</v>
      </c>
      <c r="AB40" s="54">
        <v>0</v>
      </c>
      <c r="AC40" s="54">
        <v>0</v>
      </c>
      <c r="AD40" s="54">
        <v>0</v>
      </c>
      <c r="AE40" s="54">
        <v>0</v>
      </c>
      <c r="AF40" s="66">
        <v>0</v>
      </c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8"/>
      <c r="AT40" s="63"/>
      <c r="AU40" s="63"/>
    </row>
    <row r="41" spans="1:47" ht="12.75" hidden="1" customHeight="1" outlineLevel="1" x14ac:dyDescent="0.2">
      <c r="A41" s="61" t="s">
        <v>186</v>
      </c>
      <c r="B41" s="62">
        <v>0</v>
      </c>
      <c r="C41" s="54">
        <v>0</v>
      </c>
      <c r="D41" s="54">
        <v>0</v>
      </c>
      <c r="E41" s="63"/>
      <c r="F41" s="64"/>
      <c r="G41" s="65">
        <v>0</v>
      </c>
      <c r="H41" s="54">
        <v>0</v>
      </c>
      <c r="I41" s="54">
        <v>0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66">
        <v>0</v>
      </c>
      <c r="T41" s="54">
        <v>0</v>
      </c>
      <c r="U41" s="54">
        <v>0</v>
      </c>
      <c r="V41" s="54">
        <v>0</v>
      </c>
      <c r="W41" s="54">
        <v>0</v>
      </c>
      <c r="X41" s="54">
        <v>0</v>
      </c>
      <c r="Y41" s="54">
        <v>0</v>
      </c>
      <c r="Z41" s="54">
        <v>0</v>
      </c>
      <c r="AA41" s="54">
        <v>0</v>
      </c>
      <c r="AB41" s="54">
        <v>0</v>
      </c>
      <c r="AC41" s="54">
        <v>0</v>
      </c>
      <c r="AD41" s="54">
        <v>0</v>
      </c>
      <c r="AE41" s="54">
        <v>0</v>
      </c>
      <c r="AF41" s="66">
        <v>0</v>
      </c>
      <c r="AG41" s="67">
        <v>0</v>
      </c>
      <c r="AH41" s="67">
        <v>0</v>
      </c>
      <c r="AI41" s="67">
        <v>0</v>
      </c>
      <c r="AJ41" s="67">
        <v>0</v>
      </c>
      <c r="AK41" s="67">
        <v>0</v>
      </c>
      <c r="AL41" s="67">
        <v>0</v>
      </c>
      <c r="AM41" s="67">
        <v>0</v>
      </c>
      <c r="AN41" s="67">
        <v>0</v>
      </c>
      <c r="AO41" s="67">
        <v>0</v>
      </c>
      <c r="AP41" s="67">
        <v>0</v>
      </c>
      <c r="AQ41" s="67">
        <v>0</v>
      </c>
      <c r="AR41" s="67">
        <v>0</v>
      </c>
      <c r="AS41" s="68">
        <v>0</v>
      </c>
      <c r="AT41" s="63"/>
      <c r="AU41" s="63"/>
    </row>
    <row r="42" spans="1:47" ht="12.75" hidden="1" customHeight="1" outlineLevel="1" x14ac:dyDescent="0.2">
      <c r="A42" s="61" t="s">
        <v>187</v>
      </c>
      <c r="B42" s="62">
        <v>0</v>
      </c>
      <c r="C42" s="54">
        <v>0</v>
      </c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0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0</v>
      </c>
      <c r="AS42" s="68">
        <v>0</v>
      </c>
      <c r="AT42" s="63"/>
      <c r="AU42" s="63"/>
    </row>
    <row r="43" spans="1:47" ht="12.75" hidden="1" customHeight="1" outlineLevel="1" x14ac:dyDescent="0.2">
      <c r="A43" s="61" t="s">
        <v>188</v>
      </c>
      <c r="B43" s="62"/>
      <c r="C43" s="54">
        <v>0</v>
      </c>
      <c r="D43" s="54"/>
      <c r="E43" s="63"/>
      <c r="F43" s="64"/>
      <c r="G43" s="65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66"/>
      <c r="T43" s="54">
        <v>0</v>
      </c>
      <c r="U43" s="54">
        <v>0</v>
      </c>
      <c r="V43" s="54">
        <v>0</v>
      </c>
      <c r="W43" s="54">
        <v>0</v>
      </c>
      <c r="X43" s="54">
        <v>0</v>
      </c>
      <c r="Y43" s="54">
        <v>0</v>
      </c>
      <c r="Z43" s="54">
        <v>0</v>
      </c>
      <c r="AA43" s="54">
        <v>0</v>
      </c>
      <c r="AB43" s="54">
        <v>0</v>
      </c>
      <c r="AC43" s="54">
        <v>0</v>
      </c>
      <c r="AD43" s="54">
        <v>0</v>
      </c>
      <c r="AE43" s="54">
        <v>0</v>
      </c>
      <c r="AF43" s="66">
        <v>0</v>
      </c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8"/>
      <c r="AT43" s="63"/>
      <c r="AU43" s="63"/>
    </row>
    <row r="44" spans="1:47" ht="12.75" hidden="1" customHeight="1" outlineLevel="1" x14ac:dyDescent="0.2">
      <c r="A44" s="61" t="s">
        <v>189</v>
      </c>
      <c r="B44" s="62"/>
      <c r="C44" s="54">
        <v>0</v>
      </c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>
        <v>0</v>
      </c>
      <c r="U44" s="54">
        <v>0</v>
      </c>
      <c r="V44" s="54">
        <v>0</v>
      </c>
      <c r="W44" s="54">
        <v>0</v>
      </c>
      <c r="X44" s="54">
        <v>0</v>
      </c>
      <c r="Y44" s="54">
        <v>0</v>
      </c>
      <c r="Z44" s="54">
        <v>0</v>
      </c>
      <c r="AA44" s="54">
        <v>0</v>
      </c>
      <c r="AB44" s="54">
        <v>0</v>
      </c>
      <c r="AC44" s="54">
        <v>0</v>
      </c>
      <c r="AD44" s="54">
        <v>0</v>
      </c>
      <c r="AE44" s="54">
        <v>0</v>
      </c>
      <c r="AF44" s="66">
        <v>0</v>
      </c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61" t="s">
        <v>190</v>
      </c>
      <c r="B45" s="62">
        <v>0</v>
      </c>
      <c r="C45" s="54">
        <v>0</v>
      </c>
      <c r="D45" s="54">
        <v>0</v>
      </c>
      <c r="E45" s="63"/>
      <c r="F45" s="64"/>
      <c r="G45" s="65">
        <v>0</v>
      </c>
      <c r="H45" s="54">
        <v>0</v>
      </c>
      <c r="I45" s="54">
        <v>0</v>
      </c>
      <c r="J45" s="54">
        <v>0</v>
      </c>
      <c r="K45" s="54">
        <v>0</v>
      </c>
      <c r="L45" s="54">
        <v>0</v>
      </c>
      <c r="M45" s="54">
        <v>0</v>
      </c>
      <c r="N45" s="54">
        <v>0</v>
      </c>
      <c r="O45" s="54">
        <v>0</v>
      </c>
      <c r="P45" s="54">
        <v>0</v>
      </c>
      <c r="Q45" s="54">
        <v>0</v>
      </c>
      <c r="R45" s="54">
        <v>0</v>
      </c>
      <c r="S45" s="66">
        <v>0</v>
      </c>
      <c r="T45" s="54">
        <v>0</v>
      </c>
      <c r="U45" s="54">
        <v>0</v>
      </c>
      <c r="V45" s="54">
        <v>0</v>
      </c>
      <c r="W45" s="54">
        <v>0</v>
      </c>
      <c r="X45" s="54">
        <v>0</v>
      </c>
      <c r="Y45" s="54">
        <v>0</v>
      </c>
      <c r="Z45" s="54">
        <v>0</v>
      </c>
      <c r="AA45" s="54">
        <v>0</v>
      </c>
      <c r="AB45" s="54">
        <v>0</v>
      </c>
      <c r="AC45" s="54">
        <v>0</v>
      </c>
      <c r="AD45" s="54">
        <v>0</v>
      </c>
      <c r="AE45" s="54">
        <v>0</v>
      </c>
      <c r="AF45" s="66">
        <v>0</v>
      </c>
      <c r="AG45" s="67">
        <v>0</v>
      </c>
      <c r="AH45" s="67">
        <v>0</v>
      </c>
      <c r="AI45" s="67">
        <v>0</v>
      </c>
      <c r="AJ45" s="67">
        <v>0</v>
      </c>
      <c r="AK45" s="67">
        <v>212.16</v>
      </c>
      <c r="AL45" s="67">
        <v>0</v>
      </c>
      <c r="AM45" s="67">
        <v>0</v>
      </c>
      <c r="AN45" s="67">
        <v>0</v>
      </c>
      <c r="AO45" s="67">
        <v>0</v>
      </c>
      <c r="AP45" s="67">
        <v>0</v>
      </c>
      <c r="AQ45" s="67">
        <v>0</v>
      </c>
      <c r="AR45" s="67">
        <v>0</v>
      </c>
      <c r="AS45" s="68">
        <v>0</v>
      </c>
      <c r="AT45" s="63"/>
      <c r="AU45" s="63"/>
    </row>
    <row r="46" spans="1:47" ht="12.75" hidden="1" customHeight="1" outlineLevel="1" x14ac:dyDescent="0.2">
      <c r="A46" s="61" t="s">
        <v>191</v>
      </c>
      <c r="B46" s="62">
        <v>0</v>
      </c>
      <c r="C46" s="54">
        <v>0</v>
      </c>
      <c r="D46" s="54">
        <v>0</v>
      </c>
      <c r="E46" s="63"/>
      <c r="F46" s="64"/>
      <c r="G46" s="65">
        <v>0</v>
      </c>
      <c r="H46" s="54">
        <v>0</v>
      </c>
      <c r="I46" s="54">
        <v>0</v>
      </c>
      <c r="J46" s="54">
        <v>0</v>
      </c>
      <c r="K46" s="54">
        <v>0</v>
      </c>
      <c r="L46" s="54">
        <v>0</v>
      </c>
      <c r="M46" s="54">
        <v>0</v>
      </c>
      <c r="N46" s="54">
        <v>0</v>
      </c>
      <c r="O46" s="54">
        <v>0</v>
      </c>
      <c r="P46" s="54">
        <v>0</v>
      </c>
      <c r="Q46" s="54">
        <v>0</v>
      </c>
      <c r="R46" s="54">
        <v>0</v>
      </c>
      <c r="S46" s="66">
        <v>0</v>
      </c>
      <c r="T46" s="54">
        <v>0</v>
      </c>
      <c r="U46" s="54">
        <v>0</v>
      </c>
      <c r="V46" s="54">
        <v>0</v>
      </c>
      <c r="W46" s="54">
        <v>0</v>
      </c>
      <c r="X46" s="54">
        <v>0</v>
      </c>
      <c r="Y46" s="54">
        <v>0</v>
      </c>
      <c r="Z46" s="54">
        <v>0</v>
      </c>
      <c r="AA46" s="54">
        <v>0</v>
      </c>
      <c r="AB46" s="54">
        <v>0</v>
      </c>
      <c r="AC46" s="54">
        <v>0</v>
      </c>
      <c r="AD46" s="54">
        <v>0</v>
      </c>
      <c r="AE46" s="54">
        <v>0</v>
      </c>
      <c r="AF46" s="66">
        <v>0</v>
      </c>
      <c r="AG46" s="67">
        <v>0</v>
      </c>
      <c r="AH46" s="67">
        <v>0</v>
      </c>
      <c r="AI46" s="67">
        <v>0</v>
      </c>
      <c r="AJ46" s="67">
        <v>0</v>
      </c>
      <c r="AK46" s="67">
        <v>0</v>
      </c>
      <c r="AL46" s="67">
        <v>0</v>
      </c>
      <c r="AM46" s="67">
        <v>0</v>
      </c>
      <c r="AN46" s="67">
        <v>0</v>
      </c>
      <c r="AO46" s="67">
        <v>0</v>
      </c>
      <c r="AP46" s="67">
        <v>0</v>
      </c>
      <c r="AQ46" s="67">
        <v>0</v>
      </c>
      <c r="AR46" s="67">
        <v>0</v>
      </c>
      <c r="AS46" s="68">
        <v>0</v>
      </c>
      <c r="AT46" s="63"/>
      <c r="AU46" s="63"/>
    </row>
    <row r="47" spans="1:47" ht="12.75" customHeight="1" collapsed="1" x14ac:dyDescent="0.2">
      <c r="A47" s="69" t="s">
        <v>192</v>
      </c>
      <c r="B47" s="70">
        <v>234.77</v>
      </c>
      <c r="C47" s="71">
        <v>0</v>
      </c>
      <c r="D47" s="71">
        <v>232.37</v>
      </c>
      <c r="E47" s="72"/>
      <c r="F47" s="73">
        <v>101.03283556397125</v>
      </c>
      <c r="G47" s="70">
        <v>1405.15</v>
      </c>
      <c r="H47" s="71">
        <v>1468.59</v>
      </c>
      <c r="I47" s="71">
        <v>396.21</v>
      </c>
      <c r="J47" s="71">
        <v>234.77</v>
      </c>
      <c r="K47" s="71">
        <v>0</v>
      </c>
      <c r="L47" s="71">
        <v>0</v>
      </c>
      <c r="M47" s="71">
        <v>0</v>
      </c>
      <c r="N47" s="71">
        <v>0</v>
      </c>
      <c r="O47" s="71">
        <v>0</v>
      </c>
      <c r="P47" s="71">
        <v>0</v>
      </c>
      <c r="Q47" s="71">
        <v>0</v>
      </c>
      <c r="R47" s="71">
        <v>0</v>
      </c>
      <c r="S47" s="71">
        <v>3504.72</v>
      </c>
      <c r="T47" s="71">
        <v>0</v>
      </c>
      <c r="U47" s="71">
        <v>0</v>
      </c>
      <c r="V47" s="71">
        <v>0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71">
        <v>0</v>
      </c>
      <c r="AE47" s="71">
        <v>0</v>
      </c>
      <c r="AF47" s="71">
        <v>0</v>
      </c>
      <c r="AG47" s="75">
        <v>266.68</v>
      </c>
      <c r="AH47" s="75">
        <v>275.85000000000002</v>
      </c>
      <c r="AI47" s="75">
        <v>304.27</v>
      </c>
      <c r="AJ47" s="75">
        <v>232.37</v>
      </c>
      <c r="AK47" s="75">
        <v>503.66</v>
      </c>
      <c r="AL47" s="75">
        <v>282.47000000000003</v>
      </c>
      <c r="AM47" s="75">
        <v>285.79000000000002</v>
      </c>
      <c r="AN47" s="75">
        <v>8</v>
      </c>
      <c r="AO47" s="75">
        <v>13.33</v>
      </c>
      <c r="AP47" s="75">
        <v>13.33</v>
      </c>
      <c r="AQ47" s="75">
        <v>310.83</v>
      </c>
      <c r="AR47" s="75">
        <v>1377.49</v>
      </c>
      <c r="AS47" s="75">
        <v>1079.17</v>
      </c>
      <c r="AT47" s="72"/>
      <c r="AU47" s="72">
        <v>324.7606957198588</v>
      </c>
    </row>
    <row r="48" spans="1:47" ht="12.75" hidden="1" customHeight="1" outlineLevel="1" x14ac:dyDescent="0.2">
      <c r="A48" s="61" t="s">
        <v>193</v>
      </c>
      <c r="B48" s="62"/>
      <c r="C48" s="54"/>
      <c r="D48" s="54"/>
      <c r="E48" s="63"/>
      <c r="F48" s="64"/>
      <c r="G48" s="65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66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66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8"/>
      <c r="AT48" s="63"/>
      <c r="AU48" s="63"/>
    </row>
    <row r="49" spans="1:47" ht="12.75" hidden="1" customHeight="1" outlineLevel="1" x14ac:dyDescent="0.2">
      <c r="A49" s="61" t="s">
        <v>194</v>
      </c>
      <c r="B49" s="62">
        <v>0</v>
      </c>
      <c r="C49" s="54">
        <v>0</v>
      </c>
      <c r="D49" s="54">
        <v>294.17</v>
      </c>
      <c r="E49" s="63"/>
      <c r="F49" s="64">
        <v>0</v>
      </c>
      <c r="G49" s="65">
        <v>294.17</v>
      </c>
      <c r="H49" s="54">
        <v>588.34</v>
      </c>
      <c r="I49" s="54">
        <v>294.17</v>
      </c>
      <c r="J49" s="54">
        <v>0</v>
      </c>
      <c r="K49" s="54">
        <v>0</v>
      </c>
      <c r="L49" s="54">
        <v>0</v>
      </c>
      <c r="M49" s="54">
        <v>0</v>
      </c>
      <c r="N49" s="54">
        <v>0</v>
      </c>
      <c r="O49" s="54">
        <v>0</v>
      </c>
      <c r="P49" s="54">
        <v>0</v>
      </c>
      <c r="Q49" s="54">
        <v>0</v>
      </c>
      <c r="R49" s="54">
        <v>0</v>
      </c>
      <c r="S49" s="66">
        <v>1176.68</v>
      </c>
      <c r="T49" s="54">
        <v>0</v>
      </c>
      <c r="U49" s="54">
        <v>0</v>
      </c>
      <c r="V49" s="54">
        <v>0</v>
      </c>
      <c r="W49" s="54">
        <v>0</v>
      </c>
      <c r="X49" s="54">
        <v>0</v>
      </c>
      <c r="Y49" s="54">
        <v>0</v>
      </c>
      <c r="Z49" s="54">
        <v>0</v>
      </c>
      <c r="AA49" s="54">
        <v>0</v>
      </c>
      <c r="AB49" s="54">
        <v>0</v>
      </c>
      <c r="AC49" s="54">
        <v>0</v>
      </c>
      <c r="AD49" s="54">
        <v>0</v>
      </c>
      <c r="AE49" s="54">
        <v>0</v>
      </c>
      <c r="AF49" s="66">
        <v>0</v>
      </c>
      <c r="AG49" s="67">
        <v>294.17</v>
      </c>
      <c r="AH49" s="67">
        <v>294.17</v>
      </c>
      <c r="AI49" s="67">
        <v>550.16999999999996</v>
      </c>
      <c r="AJ49" s="67">
        <v>294.17</v>
      </c>
      <c r="AK49" s="67">
        <v>294.17</v>
      </c>
      <c r="AL49" s="67">
        <v>294.17</v>
      </c>
      <c r="AM49" s="67">
        <v>294.17</v>
      </c>
      <c r="AN49" s="67">
        <v>0</v>
      </c>
      <c r="AO49" s="67">
        <v>3732.73</v>
      </c>
      <c r="AP49" s="67">
        <v>0</v>
      </c>
      <c r="AQ49" s="67">
        <v>3903.51</v>
      </c>
      <c r="AR49" s="67">
        <v>294.17</v>
      </c>
      <c r="AS49" s="68">
        <v>1432.68</v>
      </c>
      <c r="AT49" s="63"/>
      <c r="AU49" s="63">
        <v>82.131390122009108</v>
      </c>
    </row>
    <row r="50" spans="1:47" ht="12.75" hidden="1" customHeight="1" outlineLevel="1" x14ac:dyDescent="0.2">
      <c r="A50" s="61" t="s">
        <v>82</v>
      </c>
      <c r="B50" s="62">
        <v>0</v>
      </c>
      <c r="C50" s="54">
        <v>0</v>
      </c>
      <c r="D50" s="54">
        <v>0</v>
      </c>
      <c r="E50" s="63"/>
      <c r="F50" s="64"/>
      <c r="G50" s="65">
        <v>0</v>
      </c>
      <c r="H50" s="54">
        <v>0</v>
      </c>
      <c r="I50" s="54">
        <v>0</v>
      </c>
      <c r="J50" s="54">
        <v>0</v>
      </c>
      <c r="K50" s="54">
        <v>0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66">
        <v>0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>
        <v>0</v>
      </c>
      <c r="AH50" s="67">
        <v>0</v>
      </c>
      <c r="AI50" s="67">
        <v>0</v>
      </c>
      <c r="AJ50" s="67">
        <v>0</v>
      </c>
      <c r="AK50" s="67">
        <v>0</v>
      </c>
      <c r="AL50" s="67">
        <v>0</v>
      </c>
      <c r="AM50" s="67">
        <v>31.36</v>
      </c>
      <c r="AN50" s="98">
        <v>-31.36</v>
      </c>
      <c r="AO50" s="67">
        <v>0</v>
      </c>
      <c r="AP50" s="67">
        <v>0</v>
      </c>
      <c r="AQ50" s="67">
        <v>0</v>
      </c>
      <c r="AR50" s="67">
        <v>0</v>
      </c>
      <c r="AS50" s="68">
        <v>0</v>
      </c>
      <c r="AT50" s="63"/>
      <c r="AU50" s="63"/>
    </row>
    <row r="51" spans="1:47" ht="12.75" hidden="1" customHeight="1" outlineLevel="1" x14ac:dyDescent="0.2">
      <c r="A51" s="61" t="s">
        <v>83</v>
      </c>
      <c r="B51" s="62">
        <v>0</v>
      </c>
      <c r="C51" s="54">
        <v>0</v>
      </c>
      <c r="D51" s="54">
        <v>0</v>
      </c>
      <c r="E51" s="63"/>
      <c r="F51" s="64"/>
      <c r="G51" s="65">
        <v>0</v>
      </c>
      <c r="H51" s="54">
        <v>0</v>
      </c>
      <c r="I51" s="54">
        <v>0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66">
        <v>0</v>
      </c>
      <c r="T51" s="54">
        <v>0</v>
      </c>
      <c r="U51" s="54">
        <v>0</v>
      </c>
      <c r="V51" s="54">
        <v>0</v>
      </c>
      <c r="W51" s="54">
        <v>0</v>
      </c>
      <c r="X51" s="54">
        <v>0</v>
      </c>
      <c r="Y51" s="54">
        <v>0</v>
      </c>
      <c r="Z51" s="54">
        <v>0</v>
      </c>
      <c r="AA51" s="54">
        <v>0</v>
      </c>
      <c r="AB51" s="54">
        <v>0</v>
      </c>
      <c r="AC51" s="54">
        <v>0</v>
      </c>
      <c r="AD51" s="54">
        <v>0</v>
      </c>
      <c r="AE51" s="54">
        <v>0</v>
      </c>
      <c r="AF51" s="66">
        <v>0</v>
      </c>
      <c r="AG51" s="67">
        <v>0</v>
      </c>
      <c r="AH51" s="67">
        <v>0</v>
      </c>
      <c r="AI51" s="67">
        <v>0</v>
      </c>
      <c r="AJ51" s="67">
        <v>0</v>
      </c>
      <c r="AK51" s="67">
        <v>240</v>
      </c>
      <c r="AL51" s="67">
        <v>58</v>
      </c>
      <c r="AM51" s="98">
        <v>-58</v>
      </c>
      <c r="AN51" s="67">
        <v>0</v>
      </c>
      <c r="AO51" s="67">
        <v>0</v>
      </c>
      <c r="AP51" s="67">
        <v>0</v>
      </c>
      <c r="AQ51" s="67">
        <v>0</v>
      </c>
      <c r="AR51" s="67">
        <v>0</v>
      </c>
      <c r="AS51" s="68">
        <v>0</v>
      </c>
      <c r="AT51" s="63"/>
      <c r="AU51" s="63"/>
    </row>
    <row r="52" spans="1:47" ht="12.75" hidden="1" customHeight="1" outlineLevel="1" x14ac:dyDescent="0.2">
      <c r="A52" s="61" t="s">
        <v>84</v>
      </c>
      <c r="B52" s="62">
        <v>0</v>
      </c>
      <c r="C52" s="54">
        <v>0</v>
      </c>
      <c r="D52" s="54">
        <v>0</v>
      </c>
      <c r="E52" s="63"/>
      <c r="F52" s="64"/>
      <c r="G52" s="65">
        <v>0</v>
      </c>
      <c r="H52" s="54">
        <v>0</v>
      </c>
      <c r="I52" s="54">
        <v>0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66">
        <v>0</v>
      </c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66">
        <v>0</v>
      </c>
      <c r="AG52" s="67">
        <v>0</v>
      </c>
      <c r="AH52" s="67">
        <v>0</v>
      </c>
      <c r="AI52" s="67">
        <v>0</v>
      </c>
      <c r="AJ52" s="67">
        <v>0</v>
      </c>
      <c r="AK52" s="67">
        <v>0</v>
      </c>
      <c r="AL52" s="67">
        <v>0</v>
      </c>
      <c r="AM52" s="67">
        <v>0</v>
      </c>
      <c r="AN52" s="67">
        <v>0</v>
      </c>
      <c r="AO52" s="67">
        <v>0</v>
      </c>
      <c r="AP52" s="67">
        <v>0</v>
      </c>
      <c r="AQ52" s="67">
        <v>0</v>
      </c>
      <c r="AR52" s="67">
        <v>0</v>
      </c>
      <c r="AS52" s="68">
        <v>0</v>
      </c>
      <c r="AT52" s="63"/>
      <c r="AU52" s="63"/>
    </row>
    <row r="53" spans="1:47" ht="12.75" hidden="1" customHeight="1" outlineLevel="1" x14ac:dyDescent="0.2">
      <c r="A53" s="61" t="s">
        <v>195</v>
      </c>
      <c r="B53" s="62"/>
      <c r="C53" s="54"/>
      <c r="D53" s="54"/>
      <c r="E53" s="63"/>
      <c r="F53" s="64"/>
      <c r="G53" s="65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66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66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8"/>
      <c r="AT53" s="63"/>
      <c r="AU53" s="63"/>
    </row>
    <row r="54" spans="1:47" ht="12.75" hidden="1" customHeight="1" outlineLevel="1" x14ac:dyDescent="0.2">
      <c r="A54" s="61" t="s">
        <v>86</v>
      </c>
      <c r="B54" s="62">
        <v>1260</v>
      </c>
      <c r="C54" s="54">
        <v>0</v>
      </c>
      <c r="D54" s="54">
        <v>1823.01</v>
      </c>
      <c r="E54" s="63"/>
      <c r="F54" s="64">
        <v>69.116461237184652</v>
      </c>
      <c r="G54" s="65">
        <v>1788.14</v>
      </c>
      <c r="H54" s="54">
        <v>77.52</v>
      </c>
      <c r="I54" s="54">
        <v>404.94</v>
      </c>
      <c r="J54" s="54">
        <v>1260</v>
      </c>
      <c r="K54" s="56">
        <v>-1694.52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66">
        <v>3530.6</v>
      </c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>
        <v>1919.81</v>
      </c>
      <c r="AH54" s="67">
        <v>1624.85</v>
      </c>
      <c r="AI54" s="67">
        <v>323.3</v>
      </c>
      <c r="AJ54" s="67">
        <v>1823.01</v>
      </c>
      <c r="AK54" s="67">
        <v>927.13</v>
      </c>
      <c r="AL54" s="67">
        <v>2106.42</v>
      </c>
      <c r="AM54" s="98">
        <v>-185.15</v>
      </c>
      <c r="AN54" s="67">
        <v>1470.24</v>
      </c>
      <c r="AO54" s="67">
        <v>1503.57</v>
      </c>
      <c r="AP54" s="67">
        <v>1778.32</v>
      </c>
      <c r="AQ54" s="67">
        <v>950.96</v>
      </c>
      <c r="AR54" s="67">
        <v>961.64</v>
      </c>
      <c r="AS54" s="68">
        <v>5690.97</v>
      </c>
      <c r="AT54" s="63"/>
      <c r="AU54" s="63">
        <v>62.038633132840275</v>
      </c>
    </row>
    <row r="55" spans="1:47" ht="12.75" hidden="1" customHeight="1" outlineLevel="1" x14ac:dyDescent="0.2">
      <c r="A55" s="61" t="s">
        <v>110</v>
      </c>
      <c r="B55" s="62"/>
      <c r="C55" s="54"/>
      <c r="D55" s="54"/>
      <c r="E55" s="63"/>
      <c r="F55" s="64"/>
      <c r="G55" s="65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66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66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8"/>
      <c r="AT55" s="63"/>
      <c r="AU55" s="63"/>
    </row>
    <row r="56" spans="1:47" ht="12.75" hidden="1" customHeight="1" outlineLevel="1" x14ac:dyDescent="0.2">
      <c r="A56" s="61" t="s">
        <v>213</v>
      </c>
      <c r="B56" s="62">
        <v>0</v>
      </c>
      <c r="C56" s="54">
        <v>0</v>
      </c>
      <c r="D56" s="54">
        <v>0</v>
      </c>
      <c r="E56" s="63"/>
      <c r="F56" s="64"/>
      <c r="G56" s="65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66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66">
        <v>0</v>
      </c>
      <c r="AG56" s="67">
        <v>0</v>
      </c>
      <c r="AH56" s="67">
        <v>0</v>
      </c>
      <c r="AI56" s="67">
        <v>0</v>
      </c>
      <c r="AJ56" s="67">
        <v>0</v>
      </c>
      <c r="AK56" s="67">
        <v>0</v>
      </c>
      <c r="AL56" s="67">
        <v>0</v>
      </c>
      <c r="AM56" s="67">
        <v>0</v>
      </c>
      <c r="AN56" s="67">
        <v>0</v>
      </c>
      <c r="AO56" s="67">
        <v>0</v>
      </c>
      <c r="AP56" s="67">
        <v>3810</v>
      </c>
      <c r="AQ56" s="67">
        <v>0</v>
      </c>
      <c r="AR56" s="67">
        <v>0</v>
      </c>
      <c r="AS56" s="68">
        <v>0</v>
      </c>
      <c r="AT56" s="63"/>
      <c r="AU56" s="63"/>
    </row>
    <row r="57" spans="1:47" ht="12.75" hidden="1" customHeight="1" outlineLevel="1" x14ac:dyDescent="0.2">
      <c r="A57" s="61" t="s">
        <v>88</v>
      </c>
      <c r="B57" s="62">
        <v>5754.56</v>
      </c>
      <c r="C57" s="54">
        <v>0</v>
      </c>
      <c r="D57" s="54">
        <v>4854.54</v>
      </c>
      <c r="E57" s="63"/>
      <c r="F57" s="64">
        <v>118.53975865890486</v>
      </c>
      <c r="G57" s="65">
        <v>0</v>
      </c>
      <c r="H57" s="54">
        <v>11104.18</v>
      </c>
      <c r="I57" s="54">
        <v>0</v>
      </c>
      <c r="J57" s="54">
        <v>5754.56</v>
      </c>
      <c r="K57" s="56">
        <v>-3570.01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66">
        <v>16858.740000000002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66">
        <v>0</v>
      </c>
      <c r="AG57" s="67">
        <v>0</v>
      </c>
      <c r="AH57" s="67">
        <v>3327.27</v>
      </c>
      <c r="AI57" s="67">
        <v>1854.54</v>
      </c>
      <c r="AJ57" s="67">
        <v>4854.54</v>
      </c>
      <c r="AK57" s="67">
        <v>1922.73</v>
      </c>
      <c r="AL57" s="67">
        <v>3381.82</v>
      </c>
      <c r="AM57" s="98">
        <v>-3381.82</v>
      </c>
      <c r="AN57" s="67">
        <v>0</v>
      </c>
      <c r="AO57" s="67">
        <v>0</v>
      </c>
      <c r="AP57" s="67">
        <v>0</v>
      </c>
      <c r="AQ57" s="67">
        <v>0</v>
      </c>
      <c r="AR57" s="98">
        <v>-1472.73</v>
      </c>
      <c r="AS57" s="68">
        <v>10036.35</v>
      </c>
      <c r="AT57" s="63"/>
      <c r="AU57" s="63">
        <v>167.97680431631022</v>
      </c>
    </row>
    <row r="58" spans="1:47" ht="12.75" hidden="1" customHeight="1" outlineLevel="1" x14ac:dyDescent="0.2">
      <c r="A58" s="61" t="s">
        <v>198</v>
      </c>
      <c r="B58" s="62">
        <v>0</v>
      </c>
      <c r="C58" s="54">
        <v>0</v>
      </c>
      <c r="D58" s="54">
        <v>31.4</v>
      </c>
      <c r="E58" s="63"/>
      <c r="F58" s="64">
        <v>0</v>
      </c>
      <c r="G58" s="65">
        <v>94.24</v>
      </c>
      <c r="H58" s="54">
        <v>923.41</v>
      </c>
      <c r="I58" s="54">
        <v>106.27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1123.92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57.8</v>
      </c>
      <c r="AI58" s="67">
        <v>98</v>
      </c>
      <c r="AJ58" s="67">
        <v>31.4</v>
      </c>
      <c r="AK58" s="67">
        <v>94.4</v>
      </c>
      <c r="AL58" s="67">
        <v>1645.45</v>
      </c>
      <c r="AM58" s="98">
        <v>-445.45</v>
      </c>
      <c r="AN58" s="67">
        <v>0</v>
      </c>
      <c r="AO58" s="67">
        <v>36.799999999999997</v>
      </c>
      <c r="AP58" s="67">
        <v>46</v>
      </c>
      <c r="AQ58" s="67">
        <v>0</v>
      </c>
      <c r="AR58" s="67">
        <v>0</v>
      </c>
      <c r="AS58" s="68">
        <v>187.2</v>
      </c>
      <c r="AT58" s="63"/>
      <c r="AU58" s="63">
        <v>600.38461538461536</v>
      </c>
    </row>
    <row r="59" spans="1:47" ht="12.75" customHeight="1" collapsed="1" x14ac:dyDescent="0.2">
      <c r="A59" s="69" t="s">
        <v>89</v>
      </c>
      <c r="B59" s="70">
        <v>7014.56</v>
      </c>
      <c r="C59" s="71">
        <v>0</v>
      </c>
      <c r="D59" s="71">
        <v>7003.12</v>
      </c>
      <c r="E59" s="72"/>
      <c r="F59" s="73">
        <v>100.16335576143204</v>
      </c>
      <c r="G59" s="70">
        <v>2176.5500000000002</v>
      </c>
      <c r="H59" s="71">
        <v>12693.45</v>
      </c>
      <c r="I59" s="71">
        <v>805.38</v>
      </c>
      <c r="J59" s="71">
        <v>7014.56</v>
      </c>
      <c r="K59" s="74">
        <v>-5264.53</v>
      </c>
      <c r="L59" s="71">
        <v>0</v>
      </c>
      <c r="M59" s="71">
        <v>0</v>
      </c>
      <c r="N59" s="71">
        <v>0</v>
      </c>
      <c r="O59" s="71">
        <v>0</v>
      </c>
      <c r="P59" s="71">
        <v>0</v>
      </c>
      <c r="Q59" s="71">
        <v>0</v>
      </c>
      <c r="R59" s="71">
        <v>0</v>
      </c>
      <c r="S59" s="71">
        <v>22689.94</v>
      </c>
      <c r="T59" s="71">
        <v>0</v>
      </c>
      <c r="U59" s="71">
        <v>0</v>
      </c>
      <c r="V59" s="71">
        <v>0</v>
      </c>
      <c r="W59" s="71">
        <v>0</v>
      </c>
      <c r="X59" s="71">
        <v>0</v>
      </c>
      <c r="Y59" s="71">
        <v>0</v>
      </c>
      <c r="Z59" s="71">
        <v>0</v>
      </c>
      <c r="AA59" s="71">
        <v>0</v>
      </c>
      <c r="AB59" s="71">
        <v>0</v>
      </c>
      <c r="AC59" s="71">
        <v>0</v>
      </c>
      <c r="AD59" s="71">
        <v>0</v>
      </c>
      <c r="AE59" s="71">
        <v>0</v>
      </c>
      <c r="AF59" s="71">
        <v>0</v>
      </c>
      <c r="AG59" s="75">
        <v>2213.98</v>
      </c>
      <c r="AH59" s="75">
        <v>5304.09</v>
      </c>
      <c r="AI59" s="75">
        <v>2826.01</v>
      </c>
      <c r="AJ59" s="75">
        <v>7003.12</v>
      </c>
      <c r="AK59" s="75">
        <v>3478.43</v>
      </c>
      <c r="AL59" s="75">
        <v>7485.86</v>
      </c>
      <c r="AM59" s="134">
        <v>-3744.89</v>
      </c>
      <c r="AN59" s="75">
        <v>1438.88</v>
      </c>
      <c r="AO59" s="75">
        <v>5273.1</v>
      </c>
      <c r="AP59" s="75">
        <v>5634.32</v>
      </c>
      <c r="AQ59" s="75">
        <v>4854.47</v>
      </c>
      <c r="AR59" s="134">
        <v>-216.92</v>
      </c>
      <c r="AS59" s="75">
        <v>17347.2</v>
      </c>
      <c r="AT59" s="72"/>
      <c r="AU59" s="72">
        <v>130.79886091127099</v>
      </c>
    </row>
    <row r="60" spans="1:47" ht="12.75" customHeight="1" x14ac:dyDescent="0.2">
      <c r="A60" s="77" t="s">
        <v>201</v>
      </c>
      <c r="B60" s="78">
        <v>21606.799999999999</v>
      </c>
      <c r="C60" s="79">
        <v>0</v>
      </c>
      <c r="D60" s="79">
        <v>21990.2</v>
      </c>
      <c r="E60" s="80"/>
      <c r="F60" s="81">
        <v>98.256496075524552</v>
      </c>
      <c r="G60" s="78">
        <v>31829.4</v>
      </c>
      <c r="H60" s="79">
        <v>30065.3</v>
      </c>
      <c r="I60" s="79">
        <v>14159.02</v>
      </c>
      <c r="J60" s="79">
        <v>21606.799999999999</v>
      </c>
      <c r="K60" s="82">
        <v>-8559.25</v>
      </c>
      <c r="L60" s="79">
        <v>0</v>
      </c>
      <c r="M60" s="79">
        <v>0</v>
      </c>
      <c r="N60" s="79">
        <v>0</v>
      </c>
      <c r="O60" s="79">
        <v>0</v>
      </c>
      <c r="P60" s="79">
        <v>0</v>
      </c>
      <c r="Q60" s="79">
        <v>0</v>
      </c>
      <c r="R60" s="79">
        <v>0</v>
      </c>
      <c r="S60" s="79">
        <v>97660.52</v>
      </c>
      <c r="T60" s="79">
        <v>0</v>
      </c>
      <c r="U60" s="79">
        <v>0</v>
      </c>
      <c r="V60" s="79">
        <v>0</v>
      </c>
      <c r="W60" s="79">
        <v>0</v>
      </c>
      <c r="X60" s="79">
        <v>0</v>
      </c>
      <c r="Y60" s="79">
        <v>0</v>
      </c>
      <c r="Z60" s="79">
        <v>0</v>
      </c>
      <c r="AA60" s="79">
        <v>0</v>
      </c>
      <c r="AB60" s="79">
        <v>0</v>
      </c>
      <c r="AC60" s="79">
        <v>0</v>
      </c>
      <c r="AD60" s="79">
        <v>0</v>
      </c>
      <c r="AE60" s="79">
        <v>0</v>
      </c>
      <c r="AF60" s="79">
        <v>0</v>
      </c>
      <c r="AG60" s="83">
        <v>21035.85</v>
      </c>
      <c r="AH60" s="83">
        <v>24861.56</v>
      </c>
      <c r="AI60" s="83">
        <v>24999.31</v>
      </c>
      <c r="AJ60" s="83">
        <v>21990.2</v>
      </c>
      <c r="AK60" s="83">
        <v>20324.8</v>
      </c>
      <c r="AL60" s="83">
        <v>32609.040000000001</v>
      </c>
      <c r="AM60" s="83">
        <v>1377.05</v>
      </c>
      <c r="AN60" s="83">
        <v>17319.41</v>
      </c>
      <c r="AO60" s="83">
        <v>34629.81</v>
      </c>
      <c r="AP60" s="83">
        <v>23628.51</v>
      </c>
      <c r="AQ60" s="83">
        <v>33589.879999999997</v>
      </c>
      <c r="AR60" s="83">
        <v>32210.34</v>
      </c>
      <c r="AS60" s="83">
        <v>92886.92</v>
      </c>
      <c r="AT60" s="80"/>
      <c r="AU60" s="80">
        <v>105.1391519925518</v>
      </c>
    </row>
    <row r="64" spans="1:47" ht="15" x14ac:dyDescent="0.25">
      <c r="A64" s="16"/>
      <c r="B64" s="16"/>
      <c r="C64" s="16"/>
      <c r="D64" s="16"/>
    </row>
    <row r="65" spans="1:4" ht="15" x14ac:dyDescent="0.25">
      <c r="A65" s="16"/>
      <c r="B65" s="16"/>
      <c r="C65" s="16"/>
      <c r="D65" s="16"/>
    </row>
    <row r="66" spans="1:4" ht="15" x14ac:dyDescent="0.25">
      <c r="A66" s="16"/>
      <c r="B66" s="16"/>
      <c r="C66" s="16"/>
      <c r="D66" s="16"/>
    </row>
    <row r="67" spans="1:4" ht="15" x14ac:dyDescent="0.25">
      <c r="A67" s="16"/>
      <c r="B67" s="16"/>
      <c r="C67" s="16"/>
      <c r="D67" s="16"/>
    </row>
    <row r="68" spans="1:4" ht="15" x14ac:dyDescent="0.25">
      <c r="A68" s="16"/>
      <c r="B68" s="16"/>
      <c r="C68" s="16"/>
      <c r="D68" s="16"/>
    </row>
    <row r="69" spans="1:4" ht="15" x14ac:dyDescent="0.25">
      <c r="A69" s="16"/>
      <c r="B69" s="16"/>
      <c r="C69" s="16"/>
      <c r="D69" s="16"/>
    </row>
    <row r="70" spans="1:4" ht="15" x14ac:dyDescent="0.25">
      <c r="A70" s="16"/>
      <c r="B70" s="16"/>
      <c r="C70" s="16"/>
      <c r="D70" s="16"/>
    </row>
  </sheetData>
  <pageMargins left="0.75" right="0.75" top="1" bottom="1" header="0.5" footer="0.5"/>
  <pageSetup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rgb="FFFF33CC"/>
  </sheetPr>
  <dimension ref="A1:AU67"/>
  <sheetViews>
    <sheetView workbookViewId="0">
      <pane xSplit="1" ySplit="7" topLeftCell="B8" activePane="bottomRight" state="frozen"/>
      <selection activeCell="A73" sqref="A73"/>
      <selection pane="topRight" activeCell="A73" sqref="A73"/>
      <selection pane="bottomLeft" activeCell="A73" sqref="A73"/>
      <selection pane="bottomRight" sqref="A1:AU57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9.42578125" collapsed="1"/>
    <col min="46" max="47" width="10.5703125" customWidth="1"/>
  </cols>
  <sheetData>
    <row r="1" spans="1:47" ht="37.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s="1" customFormat="1" ht="12.75" hidden="1" customHeight="1" outlineLevel="1" x14ac:dyDescent="0.2">
      <c r="A2" s="61" t="s">
        <v>160</v>
      </c>
      <c r="B2" s="62">
        <v>0</v>
      </c>
      <c r="C2" s="54">
        <v>0</v>
      </c>
      <c r="D2" s="54">
        <v>0</v>
      </c>
      <c r="E2" s="63"/>
      <c r="F2" s="64"/>
      <c r="G2" s="65">
        <v>0</v>
      </c>
      <c r="H2" s="54">
        <v>0</v>
      </c>
      <c r="I2" s="54">
        <v>0</v>
      </c>
      <c r="J2" s="54">
        <v>0</v>
      </c>
      <c r="K2" s="54">
        <v>0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0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0</v>
      </c>
      <c r="AH2" s="67">
        <v>0</v>
      </c>
      <c r="AI2" s="67">
        <v>0</v>
      </c>
      <c r="AJ2" s="67">
        <v>0</v>
      </c>
      <c r="AK2" s="67">
        <v>0</v>
      </c>
      <c r="AL2" s="67">
        <v>0</v>
      </c>
      <c r="AM2" s="67">
        <v>0</v>
      </c>
      <c r="AN2" s="67">
        <v>0</v>
      </c>
      <c r="AO2" s="67">
        <v>0</v>
      </c>
      <c r="AP2" s="67">
        <v>0</v>
      </c>
      <c r="AQ2" s="67">
        <v>0</v>
      </c>
      <c r="AR2" s="67">
        <v>0</v>
      </c>
      <c r="AS2" s="68">
        <v>0</v>
      </c>
      <c r="AT2" s="63"/>
      <c r="AU2" s="63"/>
    </row>
    <row r="3" spans="1:47" ht="12.75" hidden="1" customHeight="1" outlineLevel="1" x14ac:dyDescent="0.2">
      <c r="A3" s="61" t="s">
        <v>161</v>
      </c>
      <c r="B3" s="62">
        <v>0</v>
      </c>
      <c r="C3" s="54">
        <v>0</v>
      </c>
      <c r="D3" s="54">
        <v>0</v>
      </c>
      <c r="E3" s="63"/>
      <c r="F3" s="64"/>
      <c r="G3" s="65">
        <v>0</v>
      </c>
      <c r="H3" s="54">
        <v>0</v>
      </c>
      <c r="I3" s="54">
        <v>0</v>
      </c>
      <c r="J3" s="54">
        <v>0</v>
      </c>
      <c r="K3" s="54">
        <v>0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0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0</v>
      </c>
      <c r="AH3" s="67">
        <v>0</v>
      </c>
      <c r="AI3" s="67">
        <v>0</v>
      </c>
      <c r="AJ3" s="67">
        <v>0</v>
      </c>
      <c r="AK3" s="67">
        <v>0</v>
      </c>
      <c r="AL3" s="67">
        <v>0</v>
      </c>
      <c r="AM3" s="67">
        <v>0</v>
      </c>
      <c r="AN3" s="67">
        <v>0</v>
      </c>
      <c r="AO3" s="67">
        <v>0</v>
      </c>
      <c r="AP3" s="67">
        <v>0</v>
      </c>
      <c r="AQ3" s="67">
        <v>0</v>
      </c>
      <c r="AR3" s="67">
        <v>0</v>
      </c>
      <c r="AS3" s="68">
        <v>0</v>
      </c>
      <c r="AT3" s="63"/>
      <c r="AU3" s="63"/>
    </row>
    <row r="4" spans="1:47" ht="12.75" hidden="1" customHeight="1" outlineLevel="1" x14ac:dyDescent="0.2">
      <c r="A4" s="61" t="s">
        <v>162</v>
      </c>
      <c r="B4" s="62">
        <v>0</v>
      </c>
      <c r="C4" s="54">
        <v>0</v>
      </c>
      <c r="D4" s="54">
        <v>0</v>
      </c>
      <c r="E4" s="63"/>
      <c r="F4" s="64"/>
      <c r="G4" s="65">
        <v>0</v>
      </c>
      <c r="H4" s="54">
        <v>0</v>
      </c>
      <c r="I4" s="54">
        <v>0</v>
      </c>
      <c r="J4" s="54">
        <v>0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0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0</v>
      </c>
      <c r="AH4" s="67">
        <v>0</v>
      </c>
      <c r="AI4" s="67">
        <v>0</v>
      </c>
      <c r="AJ4" s="67">
        <v>0</v>
      </c>
      <c r="AK4" s="67">
        <v>0</v>
      </c>
      <c r="AL4" s="67">
        <v>0</v>
      </c>
      <c r="AM4" s="67">
        <v>0</v>
      </c>
      <c r="AN4" s="67">
        <v>0</v>
      </c>
      <c r="AO4" s="67">
        <v>0</v>
      </c>
      <c r="AP4" s="67">
        <v>0</v>
      </c>
      <c r="AQ4" s="67">
        <v>0</v>
      </c>
      <c r="AR4" s="67">
        <v>0</v>
      </c>
      <c r="AS4" s="68">
        <v>0</v>
      </c>
      <c r="AT4" s="63"/>
      <c r="AU4" s="63"/>
    </row>
    <row r="5" spans="1:47" ht="12.75" hidden="1" customHeight="1" outlineLevel="1" x14ac:dyDescent="0.2">
      <c r="A5" s="61" t="s">
        <v>163</v>
      </c>
      <c r="B5" s="62">
        <v>693</v>
      </c>
      <c r="C5" s="54">
        <v>0</v>
      </c>
      <c r="D5" s="54">
        <v>0</v>
      </c>
      <c r="E5" s="63"/>
      <c r="F5" s="64"/>
      <c r="G5" s="65">
        <v>0</v>
      </c>
      <c r="H5" s="54">
        <v>0</v>
      </c>
      <c r="I5" s="54">
        <v>2079</v>
      </c>
      <c r="J5" s="54">
        <v>693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2772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0</v>
      </c>
      <c r="AH5" s="67">
        <v>0</v>
      </c>
      <c r="AI5" s="67">
        <v>0</v>
      </c>
      <c r="AJ5" s="67">
        <v>0</v>
      </c>
      <c r="AK5" s="67">
        <v>0</v>
      </c>
      <c r="AL5" s="67">
        <v>0</v>
      </c>
      <c r="AM5" s="67">
        <v>0</v>
      </c>
      <c r="AN5" s="67">
        <v>0</v>
      </c>
      <c r="AO5" s="67">
        <v>0</v>
      </c>
      <c r="AP5" s="67">
        <v>0</v>
      </c>
      <c r="AQ5" s="67">
        <v>0</v>
      </c>
      <c r="AR5" s="67">
        <v>0</v>
      </c>
      <c r="AS5" s="68">
        <v>0</v>
      </c>
      <c r="AT5" s="63"/>
      <c r="AU5" s="63"/>
    </row>
    <row r="6" spans="1:47" ht="12.75" hidden="1" customHeight="1" outlineLevel="1" x14ac:dyDescent="0.2">
      <c r="A6" s="61" t="s">
        <v>164</v>
      </c>
      <c r="B6" s="62">
        <v>48.13</v>
      </c>
      <c r="C6" s="54">
        <v>0</v>
      </c>
      <c r="D6" s="54">
        <v>0</v>
      </c>
      <c r="E6" s="63"/>
      <c r="F6" s="64"/>
      <c r="G6" s="65">
        <v>0</v>
      </c>
      <c r="H6" s="54">
        <v>48.13</v>
      </c>
      <c r="I6" s="54">
        <v>186.75</v>
      </c>
      <c r="J6" s="54">
        <v>48.13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283.01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0</v>
      </c>
      <c r="AH6" s="67">
        <v>0</v>
      </c>
      <c r="AI6" s="67">
        <v>0</v>
      </c>
      <c r="AJ6" s="67">
        <v>0</v>
      </c>
      <c r="AK6" s="67">
        <v>0</v>
      </c>
      <c r="AL6" s="67">
        <v>66.540000000000006</v>
      </c>
      <c r="AM6" s="67">
        <v>66.540000000000006</v>
      </c>
      <c r="AN6" s="67">
        <v>66.540000000000006</v>
      </c>
      <c r="AO6" s="67">
        <v>66.540000000000006</v>
      </c>
      <c r="AP6" s="67">
        <v>66.540000000000006</v>
      </c>
      <c r="AQ6" s="67">
        <v>66.540000000000006</v>
      </c>
      <c r="AR6" s="67">
        <v>66.540000000000006</v>
      </c>
      <c r="AS6" s="68">
        <v>0</v>
      </c>
      <c r="AT6" s="63"/>
      <c r="AU6" s="63"/>
    </row>
    <row r="7" spans="1:47" hidden="1" outlineLevel="1" x14ac:dyDescent="0.2">
      <c r="A7" s="61" t="s">
        <v>165</v>
      </c>
      <c r="B7" s="62">
        <v>0</v>
      </c>
      <c r="C7" s="54">
        <v>0</v>
      </c>
      <c r="D7" s="54">
        <v>0</v>
      </c>
      <c r="E7" s="63"/>
      <c r="F7" s="64"/>
      <c r="G7" s="65">
        <v>0</v>
      </c>
      <c r="H7" s="54">
        <v>0</v>
      </c>
      <c r="I7" s="54">
        <v>0</v>
      </c>
      <c r="J7" s="54">
        <v>0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0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0</v>
      </c>
      <c r="AH7" s="67">
        <v>0</v>
      </c>
      <c r="AI7" s="67">
        <v>0</v>
      </c>
      <c r="AJ7" s="67">
        <v>0</v>
      </c>
      <c r="AK7" s="67">
        <v>0</v>
      </c>
      <c r="AL7" s="67">
        <v>0</v>
      </c>
      <c r="AM7" s="67">
        <v>0</v>
      </c>
      <c r="AN7" s="67">
        <v>0</v>
      </c>
      <c r="AO7" s="67">
        <v>0</v>
      </c>
      <c r="AP7" s="67">
        <v>0</v>
      </c>
      <c r="AQ7" s="67">
        <v>0</v>
      </c>
      <c r="AR7" s="67">
        <v>0</v>
      </c>
      <c r="AS7" s="68">
        <v>0</v>
      </c>
      <c r="AT7" s="63"/>
      <c r="AU7" s="63"/>
    </row>
    <row r="8" spans="1:47" ht="12.75" customHeight="1" collapsed="1" x14ac:dyDescent="0.2">
      <c r="A8" s="69" t="s">
        <v>166</v>
      </c>
      <c r="B8" s="70">
        <v>741.13</v>
      </c>
      <c r="C8" s="71">
        <v>0</v>
      </c>
      <c r="D8" s="71">
        <v>0</v>
      </c>
      <c r="E8" s="72"/>
      <c r="F8" s="73"/>
      <c r="G8" s="70">
        <v>0</v>
      </c>
      <c r="H8" s="71">
        <v>48.13</v>
      </c>
      <c r="I8" s="71">
        <v>2265.75</v>
      </c>
      <c r="J8" s="71">
        <v>741.13</v>
      </c>
      <c r="K8" s="71">
        <v>0</v>
      </c>
      <c r="L8" s="71">
        <v>0</v>
      </c>
      <c r="M8" s="71">
        <v>0</v>
      </c>
      <c r="N8" s="71">
        <v>0</v>
      </c>
      <c r="O8" s="71">
        <v>0</v>
      </c>
      <c r="P8" s="71">
        <v>0</v>
      </c>
      <c r="Q8" s="71">
        <v>0</v>
      </c>
      <c r="R8" s="71">
        <v>0</v>
      </c>
      <c r="S8" s="71">
        <v>3055.01</v>
      </c>
      <c r="T8" s="71">
        <v>0</v>
      </c>
      <c r="U8" s="71">
        <v>0</v>
      </c>
      <c r="V8" s="71">
        <v>0</v>
      </c>
      <c r="W8" s="71">
        <v>0</v>
      </c>
      <c r="X8" s="71">
        <v>0</v>
      </c>
      <c r="Y8" s="71">
        <v>0</v>
      </c>
      <c r="Z8" s="71">
        <v>0</v>
      </c>
      <c r="AA8" s="71">
        <v>0</v>
      </c>
      <c r="AB8" s="71">
        <v>0</v>
      </c>
      <c r="AC8" s="71">
        <v>0</v>
      </c>
      <c r="AD8" s="71">
        <v>0</v>
      </c>
      <c r="AE8" s="71">
        <v>0</v>
      </c>
      <c r="AF8" s="71">
        <v>0</v>
      </c>
      <c r="AG8" s="75">
        <v>0</v>
      </c>
      <c r="AH8" s="75">
        <v>0</v>
      </c>
      <c r="AI8" s="75">
        <v>0</v>
      </c>
      <c r="AJ8" s="75">
        <v>0</v>
      </c>
      <c r="AK8" s="75">
        <v>0</v>
      </c>
      <c r="AL8" s="75">
        <v>66.540000000000006</v>
      </c>
      <c r="AM8" s="75">
        <v>66.540000000000006</v>
      </c>
      <c r="AN8" s="75">
        <v>66.540000000000006</v>
      </c>
      <c r="AO8" s="75">
        <v>66.540000000000006</v>
      </c>
      <c r="AP8" s="75">
        <v>66.540000000000006</v>
      </c>
      <c r="AQ8" s="75">
        <v>66.540000000000006</v>
      </c>
      <c r="AR8" s="75">
        <v>66.540000000000006</v>
      </c>
      <c r="AS8" s="75">
        <v>0</v>
      </c>
      <c r="AT8" s="72"/>
      <c r="AU8" s="72"/>
    </row>
    <row r="9" spans="1:47" ht="12.75" customHeight="1" x14ac:dyDescent="0.2">
      <c r="A9" s="61" t="s">
        <v>167</v>
      </c>
      <c r="B9" s="62"/>
      <c r="C9" s="54"/>
      <c r="D9" s="54"/>
      <c r="E9" s="63"/>
      <c r="F9" s="64"/>
      <c r="G9" s="65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66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66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8"/>
      <c r="AT9" s="63"/>
      <c r="AU9" s="63"/>
    </row>
    <row r="10" spans="1:47" ht="12.75" customHeight="1" x14ac:dyDescent="0.2">
      <c r="A10" s="61" t="s">
        <v>168</v>
      </c>
      <c r="B10" s="62"/>
      <c r="C10" s="54"/>
      <c r="D10" s="54"/>
      <c r="E10" s="63"/>
      <c r="F10" s="64"/>
      <c r="G10" s="65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66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8"/>
      <c r="AT10" s="63"/>
      <c r="AU10" s="63"/>
    </row>
    <row r="11" spans="1:47" ht="12.75" customHeight="1" x14ac:dyDescent="0.2">
      <c r="A11" s="61" t="s">
        <v>169</v>
      </c>
      <c r="B11" s="62">
        <v>40</v>
      </c>
      <c r="C11" s="54">
        <v>0</v>
      </c>
      <c r="D11" s="54">
        <v>889.7</v>
      </c>
      <c r="E11" s="63"/>
      <c r="F11" s="64">
        <v>4.4958974935371474</v>
      </c>
      <c r="G11" s="65">
        <v>539.73</v>
      </c>
      <c r="H11" s="54">
        <v>742.69</v>
      </c>
      <c r="I11" s="54">
        <v>488.15</v>
      </c>
      <c r="J11" s="54">
        <v>40</v>
      </c>
      <c r="K11" s="56">
        <v>-401.21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66">
        <v>1810.57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0</v>
      </c>
      <c r="AC11" s="54">
        <v>0</v>
      </c>
      <c r="AD11" s="54">
        <v>0</v>
      </c>
      <c r="AE11" s="54">
        <v>0</v>
      </c>
      <c r="AF11" s="66">
        <v>0</v>
      </c>
      <c r="AG11" s="67">
        <v>484.97</v>
      </c>
      <c r="AH11" s="67">
        <v>425.65</v>
      </c>
      <c r="AI11" s="67">
        <v>329.76</v>
      </c>
      <c r="AJ11" s="67">
        <v>889.7</v>
      </c>
      <c r="AK11" s="67">
        <v>59.32</v>
      </c>
      <c r="AL11" s="67">
        <v>1168.93</v>
      </c>
      <c r="AM11" s="67">
        <v>403.98</v>
      </c>
      <c r="AN11" s="67">
        <v>678.1</v>
      </c>
      <c r="AO11" s="67">
        <v>293.01</v>
      </c>
      <c r="AP11" s="98">
        <v>-78.05</v>
      </c>
      <c r="AQ11" s="67">
        <v>752.18</v>
      </c>
      <c r="AR11" s="98">
        <v>-1316</v>
      </c>
      <c r="AS11" s="68">
        <v>2130.08</v>
      </c>
      <c r="AT11" s="63"/>
      <c r="AU11" s="63">
        <v>85.000093893187113</v>
      </c>
    </row>
    <row r="12" spans="1:47" ht="12.75" customHeight="1" x14ac:dyDescent="0.2">
      <c r="A12" s="61" t="s">
        <v>50</v>
      </c>
      <c r="B12" s="62"/>
      <c r="C12" s="54"/>
      <c r="D12" s="54"/>
      <c r="E12" s="63"/>
      <c r="F12" s="64"/>
      <c r="G12" s="65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66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6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8"/>
      <c r="AT12" s="63"/>
      <c r="AU12" s="63"/>
    </row>
    <row r="13" spans="1:47" ht="12.75" customHeight="1" x14ac:dyDescent="0.2">
      <c r="A13" s="61" t="s">
        <v>170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47" ht="12.75" customHeight="1" x14ac:dyDescent="0.2">
      <c r="A14" s="61" t="s">
        <v>171</v>
      </c>
      <c r="B14" s="62">
        <v>0</v>
      </c>
      <c r="C14" s="54">
        <v>0</v>
      </c>
      <c r="D14" s="54">
        <v>0</v>
      </c>
      <c r="E14" s="63"/>
      <c r="F14" s="64"/>
      <c r="G14" s="65">
        <v>0</v>
      </c>
      <c r="H14" s="54">
        <v>0</v>
      </c>
      <c r="I14" s="54">
        <v>0</v>
      </c>
      <c r="J14" s="54">
        <v>0</v>
      </c>
      <c r="K14" s="54">
        <v>0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0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67">
        <v>25</v>
      </c>
      <c r="AH14" s="67">
        <v>0</v>
      </c>
      <c r="AI14" s="67">
        <v>25</v>
      </c>
      <c r="AJ14" s="67">
        <v>0</v>
      </c>
      <c r="AK14" s="67">
        <v>0</v>
      </c>
      <c r="AL14" s="67">
        <v>0</v>
      </c>
      <c r="AM14" s="67">
        <v>0</v>
      </c>
      <c r="AN14" s="67">
        <v>0</v>
      </c>
      <c r="AO14" s="67">
        <v>0</v>
      </c>
      <c r="AP14" s="67">
        <v>0</v>
      </c>
      <c r="AQ14" s="67">
        <v>0</v>
      </c>
      <c r="AR14" s="67">
        <v>0</v>
      </c>
      <c r="AS14" s="68">
        <v>50</v>
      </c>
      <c r="AT14" s="63"/>
      <c r="AU14" s="63">
        <v>0</v>
      </c>
    </row>
    <row r="15" spans="1:47" ht="12.75" customHeight="1" x14ac:dyDescent="0.2">
      <c r="A15" s="61" t="s">
        <v>172</v>
      </c>
      <c r="B15" s="62">
        <v>0</v>
      </c>
      <c r="C15" s="54">
        <v>0</v>
      </c>
      <c r="D15" s="54">
        <v>0</v>
      </c>
      <c r="E15" s="63"/>
      <c r="F15" s="64"/>
      <c r="G15" s="65">
        <v>0</v>
      </c>
      <c r="H15" s="54">
        <v>0</v>
      </c>
      <c r="I15" s="54">
        <v>0</v>
      </c>
      <c r="J15" s="54">
        <v>0</v>
      </c>
      <c r="K15" s="54">
        <v>0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66">
        <v>0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66">
        <v>0</v>
      </c>
      <c r="AG15" s="67">
        <v>0</v>
      </c>
      <c r="AH15" s="67">
        <v>0</v>
      </c>
      <c r="AI15" s="67">
        <v>0</v>
      </c>
      <c r="AJ15" s="67">
        <v>0</v>
      </c>
      <c r="AK15" s="67">
        <v>0</v>
      </c>
      <c r="AL15" s="67">
        <v>0</v>
      </c>
      <c r="AM15" s="67">
        <v>0</v>
      </c>
      <c r="AN15" s="67">
        <v>0</v>
      </c>
      <c r="AO15" s="67">
        <v>0</v>
      </c>
      <c r="AP15" s="67">
        <v>0</v>
      </c>
      <c r="AQ15" s="67">
        <v>0</v>
      </c>
      <c r="AR15" s="67">
        <v>0</v>
      </c>
      <c r="AS15" s="68">
        <v>0</v>
      </c>
      <c r="AT15" s="63"/>
      <c r="AU15" s="63"/>
    </row>
    <row r="16" spans="1:47" ht="12.75" customHeight="1" x14ac:dyDescent="0.2">
      <c r="A16" s="61" t="s">
        <v>173</v>
      </c>
      <c r="B16" s="62">
        <v>18.29</v>
      </c>
      <c r="C16" s="54">
        <v>0</v>
      </c>
      <c r="D16" s="54">
        <v>108.29</v>
      </c>
      <c r="E16" s="63"/>
      <c r="F16" s="64">
        <v>16.88983285621941</v>
      </c>
      <c r="G16" s="65">
        <v>110.02</v>
      </c>
      <c r="H16" s="54">
        <v>18.29</v>
      </c>
      <c r="I16" s="54">
        <v>18.29</v>
      </c>
      <c r="J16" s="54">
        <v>18.29</v>
      </c>
      <c r="K16" s="54"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66">
        <v>164.89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>
        <v>108.29</v>
      </c>
      <c r="AH16" s="67">
        <v>108.29</v>
      </c>
      <c r="AI16" s="67">
        <v>108.29</v>
      </c>
      <c r="AJ16" s="67">
        <v>108.29</v>
      </c>
      <c r="AK16" s="67">
        <v>108.29</v>
      </c>
      <c r="AL16" s="67">
        <v>108.29</v>
      </c>
      <c r="AM16" s="67">
        <v>108.29</v>
      </c>
      <c r="AN16" s="67">
        <v>108.29</v>
      </c>
      <c r="AO16" s="67">
        <v>108.29</v>
      </c>
      <c r="AP16" s="67">
        <v>108.29</v>
      </c>
      <c r="AQ16" s="67">
        <v>108.29</v>
      </c>
      <c r="AR16" s="67">
        <v>108.29</v>
      </c>
      <c r="AS16" s="68">
        <v>433.16</v>
      </c>
      <c r="AT16" s="63"/>
      <c r="AU16" s="63">
        <v>38.066765167605503</v>
      </c>
    </row>
    <row r="17" spans="1:47" ht="12.75" hidden="1" customHeight="1" outlineLevel="1" x14ac:dyDescent="0.2">
      <c r="A17" s="61" t="s">
        <v>109</v>
      </c>
      <c r="B17" s="62">
        <v>0</v>
      </c>
      <c r="C17" s="54">
        <v>0</v>
      </c>
      <c r="D17" s="54">
        <v>0</v>
      </c>
      <c r="E17" s="63"/>
      <c r="F17" s="64"/>
      <c r="G17" s="65">
        <v>0</v>
      </c>
      <c r="H17" s="54">
        <v>0</v>
      </c>
      <c r="I17" s="54">
        <v>0</v>
      </c>
      <c r="J17" s="54">
        <v>0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0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0</v>
      </c>
      <c r="AH17" s="67">
        <v>0</v>
      </c>
      <c r="AI17" s="67">
        <v>0</v>
      </c>
      <c r="AJ17" s="67">
        <v>0</v>
      </c>
      <c r="AK17" s="67">
        <v>0</v>
      </c>
      <c r="AL17" s="67">
        <v>0</v>
      </c>
      <c r="AM17" s="67">
        <v>0</v>
      </c>
      <c r="AN17" s="67">
        <v>0</v>
      </c>
      <c r="AO17" s="67">
        <v>0</v>
      </c>
      <c r="AP17" s="67">
        <v>0</v>
      </c>
      <c r="AQ17" s="67">
        <v>0</v>
      </c>
      <c r="AR17" s="67">
        <v>0</v>
      </c>
      <c r="AS17" s="68">
        <v>0</v>
      </c>
      <c r="AT17" s="63"/>
      <c r="AU17" s="63"/>
    </row>
    <row r="18" spans="1:47" ht="12.75" hidden="1" customHeight="1" outlineLevel="1" x14ac:dyDescent="0.2">
      <c r="A18" s="61" t="s">
        <v>97</v>
      </c>
      <c r="B18" s="62">
        <v>0</v>
      </c>
      <c r="C18" s="54">
        <v>0</v>
      </c>
      <c r="D18" s="54">
        <v>0</v>
      </c>
      <c r="E18" s="63"/>
      <c r="F18" s="64"/>
      <c r="G18" s="65">
        <v>0</v>
      </c>
      <c r="H18" s="54">
        <v>0</v>
      </c>
      <c r="I18" s="54">
        <v>0</v>
      </c>
      <c r="J18" s="54">
        <v>0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0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42</v>
      </c>
      <c r="AH18" s="67">
        <v>42</v>
      </c>
      <c r="AI18" s="67">
        <v>0</v>
      </c>
      <c r="AJ18" s="67">
        <v>0</v>
      </c>
      <c r="AK18" s="67">
        <v>0</v>
      </c>
      <c r="AL18" s="67">
        <v>0</v>
      </c>
      <c r="AM18" s="67">
        <v>0</v>
      </c>
      <c r="AN18" s="67">
        <v>0</v>
      </c>
      <c r="AO18" s="67">
        <v>0</v>
      </c>
      <c r="AP18" s="67">
        <v>0</v>
      </c>
      <c r="AQ18" s="67">
        <v>0</v>
      </c>
      <c r="AR18" s="67">
        <v>0</v>
      </c>
      <c r="AS18" s="68">
        <v>84</v>
      </c>
      <c r="AT18" s="63"/>
      <c r="AU18" s="63">
        <v>0</v>
      </c>
    </row>
    <row r="19" spans="1:47" ht="12.75" hidden="1" customHeight="1" outlineLevel="1" x14ac:dyDescent="0.2">
      <c r="A19" s="61" t="s">
        <v>69</v>
      </c>
      <c r="B19" s="62">
        <v>0</v>
      </c>
      <c r="C19" s="54">
        <v>0</v>
      </c>
      <c r="D19" s="54">
        <v>2764</v>
      </c>
      <c r="E19" s="63"/>
      <c r="F19" s="64">
        <v>0</v>
      </c>
      <c r="G19" s="65">
        <v>0</v>
      </c>
      <c r="H19" s="54">
        <v>0</v>
      </c>
      <c r="I19" s="54">
        <v>0</v>
      </c>
      <c r="J19" s="54">
        <v>0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0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0</v>
      </c>
      <c r="AH19" s="67">
        <v>0</v>
      </c>
      <c r="AI19" s="67">
        <v>260</v>
      </c>
      <c r="AJ19" s="67">
        <v>2764</v>
      </c>
      <c r="AK19" s="67">
        <v>0</v>
      </c>
      <c r="AL19" s="67">
        <v>2719.5</v>
      </c>
      <c r="AM19" s="98">
        <v>-2719.5</v>
      </c>
      <c r="AN19" s="67">
        <v>0</v>
      </c>
      <c r="AO19" s="67">
        <v>0</v>
      </c>
      <c r="AP19" s="67">
        <v>0</v>
      </c>
      <c r="AQ19" s="67">
        <v>0</v>
      </c>
      <c r="AR19" s="67">
        <v>0</v>
      </c>
      <c r="AS19" s="68">
        <v>3024</v>
      </c>
      <c r="AT19" s="63"/>
      <c r="AU19" s="63">
        <v>0</v>
      </c>
    </row>
    <row r="20" spans="1:47" ht="12.75" customHeight="1" collapsed="1" x14ac:dyDescent="0.2">
      <c r="A20" s="69" t="s">
        <v>70</v>
      </c>
      <c r="B20" s="70">
        <v>0</v>
      </c>
      <c r="C20" s="71">
        <v>0</v>
      </c>
      <c r="D20" s="71">
        <v>2764</v>
      </c>
      <c r="E20" s="72"/>
      <c r="F20" s="73">
        <v>0</v>
      </c>
      <c r="G20" s="70">
        <v>0</v>
      </c>
      <c r="H20" s="71">
        <v>0</v>
      </c>
      <c r="I20" s="71">
        <v>0</v>
      </c>
      <c r="J20" s="71">
        <v>0</v>
      </c>
      <c r="K20" s="71">
        <v>0</v>
      </c>
      <c r="L20" s="71">
        <v>0</v>
      </c>
      <c r="M20" s="71">
        <v>0</v>
      </c>
      <c r="N20" s="71">
        <v>0</v>
      </c>
      <c r="O20" s="71">
        <v>0</v>
      </c>
      <c r="P20" s="71">
        <v>0</v>
      </c>
      <c r="Q20" s="71">
        <v>0</v>
      </c>
      <c r="R20" s="71">
        <v>0</v>
      </c>
      <c r="S20" s="71">
        <v>0</v>
      </c>
      <c r="T20" s="71">
        <v>0</v>
      </c>
      <c r="U20" s="71">
        <v>0</v>
      </c>
      <c r="V20" s="71">
        <v>0</v>
      </c>
      <c r="W20" s="71">
        <v>0</v>
      </c>
      <c r="X20" s="71">
        <v>0</v>
      </c>
      <c r="Y20" s="71">
        <v>0</v>
      </c>
      <c r="Z20" s="71">
        <v>0</v>
      </c>
      <c r="AA20" s="71">
        <v>0</v>
      </c>
      <c r="AB20" s="71">
        <v>0</v>
      </c>
      <c r="AC20" s="71">
        <v>0</v>
      </c>
      <c r="AD20" s="71">
        <v>0</v>
      </c>
      <c r="AE20" s="71">
        <v>0</v>
      </c>
      <c r="AF20" s="71">
        <v>0</v>
      </c>
      <c r="AG20" s="75">
        <v>42</v>
      </c>
      <c r="AH20" s="75">
        <v>42</v>
      </c>
      <c r="AI20" s="75">
        <v>260</v>
      </c>
      <c r="AJ20" s="75">
        <v>2764</v>
      </c>
      <c r="AK20" s="75">
        <v>0</v>
      </c>
      <c r="AL20" s="75">
        <v>2719.5</v>
      </c>
      <c r="AM20" s="134">
        <v>-2719.5</v>
      </c>
      <c r="AN20" s="75">
        <v>0</v>
      </c>
      <c r="AO20" s="75">
        <v>0</v>
      </c>
      <c r="AP20" s="75">
        <v>0</v>
      </c>
      <c r="AQ20" s="75">
        <v>0</v>
      </c>
      <c r="AR20" s="75">
        <v>0</v>
      </c>
      <c r="AS20" s="75">
        <v>3108</v>
      </c>
      <c r="AT20" s="72"/>
      <c r="AU20" s="72">
        <v>0</v>
      </c>
    </row>
    <row r="21" spans="1:47" ht="12.75" hidden="1" customHeight="1" outlineLevel="1" x14ac:dyDescent="0.2">
      <c r="A21" s="61" t="s">
        <v>174</v>
      </c>
      <c r="B21" s="62">
        <v>0</v>
      </c>
      <c r="C21" s="54">
        <v>0</v>
      </c>
      <c r="D21" s="54">
        <v>0</v>
      </c>
      <c r="E21" s="63"/>
      <c r="F21" s="64"/>
      <c r="G21" s="65">
        <v>113.9</v>
      </c>
      <c r="H21" s="54">
        <v>0</v>
      </c>
      <c r="I21" s="54">
        <v>149.16</v>
      </c>
      <c r="J21" s="54">
        <v>0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66">
        <v>263.06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4">
        <v>0</v>
      </c>
      <c r="AB21" s="54">
        <v>0</v>
      </c>
      <c r="AC21" s="54">
        <v>0</v>
      </c>
      <c r="AD21" s="54">
        <v>0</v>
      </c>
      <c r="AE21" s="54">
        <v>0</v>
      </c>
      <c r="AF21" s="66">
        <v>0</v>
      </c>
      <c r="AG21" s="67">
        <v>320</v>
      </c>
      <c r="AH21" s="67">
        <v>0</v>
      </c>
      <c r="AI21" s="67">
        <v>632.5</v>
      </c>
      <c r="AJ21" s="67">
        <v>0</v>
      </c>
      <c r="AK21" s="67">
        <v>527.1</v>
      </c>
      <c r="AL21" s="67">
        <v>0</v>
      </c>
      <c r="AM21" s="67">
        <v>310.98</v>
      </c>
      <c r="AN21" s="67">
        <v>0</v>
      </c>
      <c r="AO21" s="67">
        <v>264.87</v>
      </c>
      <c r="AP21" s="67">
        <v>0</v>
      </c>
      <c r="AQ21" s="67">
        <v>0</v>
      </c>
      <c r="AR21" s="67">
        <v>103.19</v>
      </c>
      <c r="AS21" s="68">
        <v>952.5</v>
      </c>
      <c r="AT21" s="63"/>
      <c r="AU21" s="63">
        <v>27.61784776902887</v>
      </c>
    </row>
    <row r="22" spans="1:47" ht="12.75" hidden="1" customHeight="1" outlineLevel="1" x14ac:dyDescent="0.2">
      <c r="A22" s="61" t="s">
        <v>99</v>
      </c>
      <c r="B22" s="62">
        <v>341.68</v>
      </c>
      <c r="C22" s="54">
        <v>0</v>
      </c>
      <c r="D22" s="54">
        <v>311.82</v>
      </c>
      <c r="E22" s="63"/>
      <c r="F22" s="64">
        <v>109.57603745750754</v>
      </c>
      <c r="G22" s="65">
        <v>455.51</v>
      </c>
      <c r="H22" s="54">
        <v>277.05</v>
      </c>
      <c r="I22" s="54">
        <v>483.74</v>
      </c>
      <c r="J22" s="54">
        <v>341.68</v>
      </c>
      <c r="K22" s="56">
        <v>-277.05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66">
        <v>1557.98</v>
      </c>
      <c r="T22" s="54">
        <v>0</v>
      </c>
      <c r="U22" s="54">
        <v>0</v>
      </c>
      <c r="V22" s="54">
        <v>0</v>
      </c>
      <c r="W22" s="54">
        <v>0</v>
      </c>
      <c r="X22" s="54">
        <v>0</v>
      </c>
      <c r="Y22" s="54">
        <v>0</v>
      </c>
      <c r="Z22" s="54">
        <v>0</v>
      </c>
      <c r="AA22" s="54">
        <v>0</v>
      </c>
      <c r="AB22" s="54">
        <v>0</v>
      </c>
      <c r="AC22" s="54">
        <v>0</v>
      </c>
      <c r="AD22" s="54">
        <v>0</v>
      </c>
      <c r="AE22" s="54">
        <v>0</v>
      </c>
      <c r="AF22" s="66">
        <v>0</v>
      </c>
      <c r="AG22" s="67">
        <v>239.83</v>
      </c>
      <c r="AH22" s="67">
        <v>227.72</v>
      </c>
      <c r="AI22" s="98">
        <v>-140.9</v>
      </c>
      <c r="AJ22" s="67">
        <v>311.82</v>
      </c>
      <c r="AK22" s="67">
        <v>302.12</v>
      </c>
      <c r="AL22" s="67">
        <v>288.95</v>
      </c>
      <c r="AM22" s="67">
        <v>0</v>
      </c>
      <c r="AN22" s="67">
        <v>530.77</v>
      </c>
      <c r="AO22" s="67">
        <v>230.54</v>
      </c>
      <c r="AP22" s="67">
        <v>213.66</v>
      </c>
      <c r="AQ22" s="67">
        <v>234.74</v>
      </c>
      <c r="AR22" s="67">
        <v>0</v>
      </c>
      <c r="AS22" s="68">
        <v>638.47</v>
      </c>
      <c r="AT22" s="63"/>
      <c r="AU22" s="63">
        <v>244.01772988550755</v>
      </c>
    </row>
    <row r="23" spans="1:47" ht="12.75" hidden="1" customHeight="1" outlineLevel="1" x14ac:dyDescent="0.2">
      <c r="A23" s="61" t="s">
        <v>175</v>
      </c>
      <c r="B23" s="62">
        <v>0</v>
      </c>
      <c r="C23" s="54">
        <v>0</v>
      </c>
      <c r="D23" s="54">
        <v>0</v>
      </c>
      <c r="E23" s="63"/>
      <c r="F23" s="64"/>
      <c r="G23" s="65">
        <v>0</v>
      </c>
      <c r="H23" s="54">
        <v>0</v>
      </c>
      <c r="I23" s="54">
        <v>4.5199999999999996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4.5199999999999996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0</v>
      </c>
      <c r="AH23" s="67">
        <v>0</v>
      </c>
      <c r="AI23" s="67">
        <v>4.5599999999999996</v>
      </c>
      <c r="AJ23" s="67">
        <v>0</v>
      </c>
      <c r="AK23" s="67">
        <v>0</v>
      </c>
      <c r="AL23" s="67">
        <v>0</v>
      </c>
      <c r="AM23" s="67">
        <v>4.8</v>
      </c>
      <c r="AN23" s="67">
        <v>0</v>
      </c>
      <c r="AO23" s="67">
        <v>0</v>
      </c>
      <c r="AP23" s="67">
        <v>0</v>
      </c>
      <c r="AQ23" s="67">
        <v>5.09</v>
      </c>
      <c r="AR23" s="67">
        <v>5.58</v>
      </c>
      <c r="AS23" s="68">
        <v>4.5599999999999996</v>
      </c>
      <c r="AT23" s="63"/>
      <c r="AU23" s="63">
        <v>99.122807017543863</v>
      </c>
    </row>
    <row r="24" spans="1:47" ht="12.75" hidden="1" customHeight="1" outlineLevel="1" x14ac:dyDescent="0.2">
      <c r="A24" s="61" t="s">
        <v>101</v>
      </c>
      <c r="B24" s="62">
        <v>34.57</v>
      </c>
      <c r="C24" s="54">
        <v>0</v>
      </c>
      <c r="D24" s="54">
        <v>49.03</v>
      </c>
      <c r="E24" s="63"/>
      <c r="F24" s="64">
        <v>70.507852335304918</v>
      </c>
      <c r="G24" s="65">
        <v>34.33</v>
      </c>
      <c r="H24" s="54">
        <v>34.25</v>
      </c>
      <c r="I24" s="54">
        <v>223.52</v>
      </c>
      <c r="J24" s="54">
        <v>34.57</v>
      </c>
      <c r="K24" s="56">
        <v>-34.25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326.67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46.04</v>
      </c>
      <c r="AH24" s="67">
        <v>44.7</v>
      </c>
      <c r="AI24" s="67">
        <v>49.47</v>
      </c>
      <c r="AJ24" s="67">
        <v>49.03</v>
      </c>
      <c r="AK24" s="67">
        <v>37.299999999999997</v>
      </c>
      <c r="AL24" s="67">
        <v>128.15</v>
      </c>
      <c r="AM24" s="67">
        <v>0</v>
      </c>
      <c r="AN24" s="67">
        <v>0</v>
      </c>
      <c r="AO24" s="67">
        <v>73.040000000000006</v>
      </c>
      <c r="AP24" s="67">
        <v>39.33</v>
      </c>
      <c r="AQ24" s="67">
        <v>0</v>
      </c>
      <c r="AR24" s="67">
        <v>203.9</v>
      </c>
      <c r="AS24" s="68">
        <v>189.24</v>
      </c>
      <c r="AT24" s="63"/>
      <c r="AU24" s="63">
        <v>172.62206721623335</v>
      </c>
    </row>
    <row r="25" spans="1:47" ht="12.75" hidden="1" customHeight="1" outlineLevel="1" x14ac:dyDescent="0.2">
      <c r="A25" s="61" t="s">
        <v>176</v>
      </c>
      <c r="B25" s="62">
        <v>61.24</v>
      </c>
      <c r="C25" s="54">
        <v>0</v>
      </c>
      <c r="D25" s="54">
        <v>0</v>
      </c>
      <c r="E25" s="63"/>
      <c r="F25" s="64"/>
      <c r="G25" s="65">
        <v>70.8</v>
      </c>
      <c r="H25" s="54">
        <v>59.95</v>
      </c>
      <c r="I25" s="54">
        <v>57.82</v>
      </c>
      <c r="J25" s="54">
        <v>61.24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249.81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0</v>
      </c>
      <c r="AH25" s="67">
        <v>0</v>
      </c>
      <c r="AI25" s="67">
        <v>0</v>
      </c>
      <c r="AJ25" s="67">
        <v>0</v>
      </c>
      <c r="AK25" s="67">
        <v>44.96</v>
      </c>
      <c r="AL25" s="67">
        <v>44.96</v>
      </c>
      <c r="AM25" s="67">
        <v>161.58000000000001</v>
      </c>
      <c r="AN25" s="67">
        <v>117.73</v>
      </c>
      <c r="AO25" s="67">
        <v>0</v>
      </c>
      <c r="AP25" s="67">
        <v>0</v>
      </c>
      <c r="AQ25" s="67">
        <v>146.30000000000001</v>
      </c>
      <c r="AR25" s="67">
        <v>76.75</v>
      </c>
      <c r="AS25" s="68">
        <v>0</v>
      </c>
      <c r="AT25" s="63"/>
      <c r="AU25" s="63"/>
    </row>
    <row r="26" spans="1:47" ht="12.75" hidden="1" customHeight="1" outlineLevel="1" x14ac:dyDescent="0.2">
      <c r="A26" s="61" t="s">
        <v>102</v>
      </c>
      <c r="B26" s="62">
        <v>0</v>
      </c>
      <c r="C26" s="54">
        <v>0</v>
      </c>
      <c r="D26" s="54">
        <v>0</v>
      </c>
      <c r="E26" s="63"/>
      <c r="F26" s="64"/>
      <c r="G26" s="65">
        <v>0</v>
      </c>
      <c r="H26" s="54">
        <v>0</v>
      </c>
      <c r="I26" s="54">
        <v>0</v>
      </c>
      <c r="J26" s="54">
        <v>0</v>
      </c>
      <c r="K26" s="54">
        <v>0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0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0</v>
      </c>
      <c r="AH26" s="67">
        <v>0</v>
      </c>
      <c r="AI26" s="67">
        <v>0</v>
      </c>
      <c r="AJ26" s="67">
        <v>0</v>
      </c>
      <c r="AK26" s="67">
        <v>0</v>
      </c>
      <c r="AL26" s="67">
        <v>0</v>
      </c>
      <c r="AM26" s="67">
        <v>0</v>
      </c>
      <c r="AN26" s="67">
        <v>0</v>
      </c>
      <c r="AO26" s="67">
        <v>0</v>
      </c>
      <c r="AP26" s="67">
        <v>0</v>
      </c>
      <c r="AQ26" s="67">
        <v>0</v>
      </c>
      <c r="AR26" s="67">
        <v>0</v>
      </c>
      <c r="AS26" s="68">
        <v>0</v>
      </c>
      <c r="AT26" s="63"/>
      <c r="AU26" s="63"/>
    </row>
    <row r="27" spans="1:47" ht="12.75" hidden="1" customHeight="1" outlineLevel="1" x14ac:dyDescent="0.2">
      <c r="A27" s="61" t="s">
        <v>75</v>
      </c>
      <c r="B27" s="62">
        <v>59.02</v>
      </c>
      <c r="C27" s="54">
        <v>0</v>
      </c>
      <c r="D27" s="54">
        <v>0</v>
      </c>
      <c r="E27" s="63"/>
      <c r="F27" s="64"/>
      <c r="G27" s="65">
        <v>0</v>
      </c>
      <c r="H27" s="54">
        <v>59.02</v>
      </c>
      <c r="I27" s="54">
        <v>59.02</v>
      </c>
      <c r="J27" s="54">
        <v>59.02</v>
      </c>
      <c r="K27" s="54">
        <v>0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177.06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0</v>
      </c>
      <c r="AH27" s="67">
        <v>0</v>
      </c>
      <c r="AI27" s="67">
        <v>0</v>
      </c>
      <c r="AJ27" s="67">
        <v>0</v>
      </c>
      <c r="AK27" s="67">
        <v>0</v>
      </c>
      <c r="AL27" s="67">
        <v>235.39</v>
      </c>
      <c r="AM27" s="67">
        <v>235.39</v>
      </c>
      <c r="AN27" s="67">
        <v>235.39</v>
      </c>
      <c r="AO27" s="67">
        <v>235.39</v>
      </c>
      <c r="AP27" s="67">
        <v>235.39</v>
      </c>
      <c r="AQ27" s="67">
        <v>235.39</v>
      </c>
      <c r="AR27" s="67">
        <v>235.39</v>
      </c>
      <c r="AS27" s="68">
        <v>0</v>
      </c>
      <c r="AT27" s="63"/>
      <c r="AU27" s="63"/>
    </row>
    <row r="28" spans="1:47" ht="12.75" hidden="1" customHeight="1" outlineLevel="1" x14ac:dyDescent="0.2">
      <c r="A28" s="61" t="s">
        <v>76</v>
      </c>
      <c r="B28" s="62">
        <v>1000</v>
      </c>
      <c r="C28" s="54">
        <v>0</v>
      </c>
      <c r="D28" s="54">
        <v>3360.06</v>
      </c>
      <c r="E28" s="63"/>
      <c r="F28" s="64">
        <v>29.761373308809961</v>
      </c>
      <c r="G28" s="65">
        <v>2587.9</v>
      </c>
      <c r="H28" s="54">
        <v>216.88</v>
      </c>
      <c r="I28" s="54">
        <v>949.03</v>
      </c>
      <c r="J28" s="54">
        <v>1000</v>
      </c>
      <c r="K28" s="54">
        <v>367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4753.8100000000004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150.57</v>
      </c>
      <c r="AH28" s="67">
        <v>150.57</v>
      </c>
      <c r="AI28" s="67">
        <v>1155.3699999999999</v>
      </c>
      <c r="AJ28" s="67">
        <v>3360.06</v>
      </c>
      <c r="AK28" s="67">
        <v>799.16</v>
      </c>
      <c r="AL28" s="67">
        <v>666.48</v>
      </c>
      <c r="AM28" s="67">
        <v>0</v>
      </c>
      <c r="AN28" s="67">
        <v>257.66000000000003</v>
      </c>
      <c r="AO28" s="67">
        <v>882.78</v>
      </c>
      <c r="AP28" s="67">
        <v>518.62</v>
      </c>
      <c r="AQ28" s="67">
        <v>141.88999999999999</v>
      </c>
      <c r="AR28" s="67">
        <v>485.25</v>
      </c>
      <c r="AS28" s="68">
        <v>4816.57</v>
      </c>
      <c r="AT28" s="63"/>
      <c r="AU28" s="63">
        <v>98.696998071241566</v>
      </c>
    </row>
    <row r="29" spans="1:47" ht="12.75" hidden="1" customHeight="1" outlineLevel="1" x14ac:dyDescent="0.2">
      <c r="A29" s="61" t="s">
        <v>77</v>
      </c>
      <c r="B29" s="62"/>
      <c r="C29" s="54"/>
      <c r="D29" s="54"/>
      <c r="E29" s="63"/>
      <c r="F29" s="64"/>
      <c r="G29" s="65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66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66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8"/>
      <c r="AT29" s="63"/>
      <c r="AU29" s="63"/>
    </row>
    <row r="30" spans="1:47" ht="12.75" customHeight="1" collapsed="1" x14ac:dyDescent="0.2">
      <c r="A30" s="69" t="s">
        <v>177</v>
      </c>
      <c r="B30" s="70">
        <v>1496.51</v>
      </c>
      <c r="C30" s="71">
        <v>0</v>
      </c>
      <c r="D30" s="71">
        <v>3720.91</v>
      </c>
      <c r="E30" s="72"/>
      <c r="F30" s="73">
        <v>40.218924940404364</v>
      </c>
      <c r="G30" s="70">
        <v>3262.44</v>
      </c>
      <c r="H30" s="71">
        <v>647.15</v>
      </c>
      <c r="I30" s="71">
        <v>1926.81</v>
      </c>
      <c r="J30" s="71">
        <v>1496.51</v>
      </c>
      <c r="K30" s="71">
        <v>55.7</v>
      </c>
      <c r="L30" s="71">
        <v>0</v>
      </c>
      <c r="M30" s="71">
        <v>0</v>
      </c>
      <c r="N30" s="71">
        <v>0</v>
      </c>
      <c r="O30" s="71">
        <v>0</v>
      </c>
      <c r="P30" s="71">
        <v>0</v>
      </c>
      <c r="Q30" s="71">
        <v>0</v>
      </c>
      <c r="R30" s="71">
        <v>0</v>
      </c>
      <c r="S30" s="71">
        <v>7332.91</v>
      </c>
      <c r="T30" s="71">
        <v>0</v>
      </c>
      <c r="U30" s="71">
        <v>0</v>
      </c>
      <c r="V30" s="71">
        <v>0</v>
      </c>
      <c r="W30" s="71">
        <v>0</v>
      </c>
      <c r="X30" s="71">
        <v>0</v>
      </c>
      <c r="Y30" s="71">
        <v>0</v>
      </c>
      <c r="Z30" s="71">
        <v>0</v>
      </c>
      <c r="AA30" s="71">
        <v>0</v>
      </c>
      <c r="AB30" s="71">
        <v>0</v>
      </c>
      <c r="AC30" s="71">
        <v>0</v>
      </c>
      <c r="AD30" s="71">
        <v>0</v>
      </c>
      <c r="AE30" s="71">
        <v>0</v>
      </c>
      <c r="AF30" s="71">
        <v>0</v>
      </c>
      <c r="AG30" s="75">
        <v>756.44</v>
      </c>
      <c r="AH30" s="75">
        <v>422.99</v>
      </c>
      <c r="AI30" s="75">
        <v>1701</v>
      </c>
      <c r="AJ30" s="75">
        <v>3720.91</v>
      </c>
      <c r="AK30" s="75">
        <v>1710.64</v>
      </c>
      <c r="AL30" s="75">
        <v>1363.93</v>
      </c>
      <c r="AM30" s="75">
        <v>712.75</v>
      </c>
      <c r="AN30" s="75">
        <v>1141.55</v>
      </c>
      <c r="AO30" s="75">
        <v>1686.62</v>
      </c>
      <c r="AP30" s="75">
        <v>1007</v>
      </c>
      <c r="AQ30" s="75">
        <v>763.41</v>
      </c>
      <c r="AR30" s="75">
        <v>1110.06</v>
      </c>
      <c r="AS30" s="75">
        <v>6601.34</v>
      </c>
      <c r="AT30" s="72"/>
      <c r="AU30" s="72">
        <v>111.08214392835394</v>
      </c>
    </row>
    <row r="31" spans="1:47" ht="12.75" hidden="1" customHeight="1" outlineLevel="1" x14ac:dyDescent="0.2">
      <c r="A31" s="61" t="s">
        <v>178</v>
      </c>
      <c r="B31" s="62">
        <v>0</v>
      </c>
      <c r="C31" s="54">
        <v>0</v>
      </c>
      <c r="D31" s="54">
        <v>0</v>
      </c>
      <c r="E31" s="63"/>
      <c r="F31" s="64"/>
      <c r="G31" s="65">
        <v>0</v>
      </c>
      <c r="H31" s="54">
        <v>0</v>
      </c>
      <c r="I31" s="54">
        <v>0</v>
      </c>
      <c r="J31" s="54">
        <v>0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0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0</v>
      </c>
      <c r="AH31" s="67">
        <v>0</v>
      </c>
      <c r="AI31" s="67">
        <v>0</v>
      </c>
      <c r="AJ31" s="67">
        <v>0</v>
      </c>
      <c r="AK31" s="67">
        <v>0</v>
      </c>
      <c r="AL31" s="67">
        <v>0</v>
      </c>
      <c r="AM31" s="67">
        <v>0</v>
      </c>
      <c r="AN31" s="67">
        <v>0</v>
      </c>
      <c r="AO31" s="67">
        <v>0</v>
      </c>
      <c r="AP31" s="67">
        <v>0</v>
      </c>
      <c r="AQ31" s="67">
        <v>0</v>
      </c>
      <c r="AR31" s="67">
        <v>0</v>
      </c>
      <c r="AS31" s="68">
        <v>0</v>
      </c>
      <c r="AT31" s="63"/>
      <c r="AU31" s="63"/>
    </row>
    <row r="32" spans="1:47" ht="12.75" hidden="1" customHeight="1" outlineLevel="1" x14ac:dyDescent="0.2">
      <c r="A32" s="61" t="s">
        <v>179</v>
      </c>
      <c r="B32" s="62">
        <v>63.64</v>
      </c>
      <c r="C32" s="54">
        <v>0</v>
      </c>
      <c r="D32" s="54">
        <v>7</v>
      </c>
      <c r="E32" s="63"/>
      <c r="F32" s="64">
        <v>909.14285714285711</v>
      </c>
      <c r="G32" s="65">
        <v>63.64</v>
      </c>
      <c r="H32" s="54">
        <v>63.64</v>
      </c>
      <c r="I32" s="54">
        <v>63.64</v>
      </c>
      <c r="J32" s="54">
        <v>63.64</v>
      </c>
      <c r="K32" s="54">
        <v>0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66">
        <v>254.56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66">
        <v>0</v>
      </c>
      <c r="AG32" s="67">
        <v>7</v>
      </c>
      <c r="AH32" s="67">
        <v>7</v>
      </c>
      <c r="AI32" s="67">
        <v>7</v>
      </c>
      <c r="AJ32" s="67">
        <v>7</v>
      </c>
      <c r="AK32" s="67">
        <v>7</v>
      </c>
      <c r="AL32" s="67">
        <v>7</v>
      </c>
      <c r="AM32" s="67">
        <v>7</v>
      </c>
      <c r="AN32" s="67">
        <v>7</v>
      </c>
      <c r="AO32" s="67">
        <v>63.64</v>
      </c>
      <c r="AP32" s="67">
        <v>63.64</v>
      </c>
      <c r="AQ32" s="67">
        <v>63.64</v>
      </c>
      <c r="AR32" s="67">
        <v>63.64</v>
      </c>
      <c r="AS32" s="68">
        <v>28</v>
      </c>
      <c r="AT32" s="63"/>
      <c r="AU32" s="63">
        <v>909.14285714285711</v>
      </c>
    </row>
    <row r="33" spans="1:47" ht="12.75" hidden="1" customHeight="1" outlineLevel="1" x14ac:dyDescent="0.2">
      <c r="A33" s="61" t="s">
        <v>180</v>
      </c>
      <c r="B33" s="62">
        <v>0</v>
      </c>
      <c r="C33" s="54">
        <v>0</v>
      </c>
      <c r="D33" s="54">
        <v>0</v>
      </c>
      <c r="E33" s="63"/>
      <c r="F33" s="64"/>
      <c r="G33" s="65">
        <v>0</v>
      </c>
      <c r="H33" s="54">
        <v>0</v>
      </c>
      <c r="I33" s="54">
        <v>0</v>
      </c>
      <c r="J33" s="54">
        <v>0</v>
      </c>
      <c r="K33" s="54">
        <v>0</v>
      </c>
      <c r="L33" s="54">
        <v>0</v>
      </c>
      <c r="M33" s="54">
        <v>0</v>
      </c>
      <c r="N33" s="54">
        <v>0</v>
      </c>
      <c r="O33" s="54">
        <v>0</v>
      </c>
      <c r="P33" s="54">
        <v>0</v>
      </c>
      <c r="Q33" s="54">
        <v>0</v>
      </c>
      <c r="R33" s="54">
        <v>0</v>
      </c>
      <c r="S33" s="66">
        <v>0</v>
      </c>
      <c r="T33" s="54">
        <v>0</v>
      </c>
      <c r="U33" s="54">
        <v>0</v>
      </c>
      <c r="V33" s="54">
        <v>0</v>
      </c>
      <c r="W33" s="54">
        <v>0</v>
      </c>
      <c r="X33" s="54">
        <v>0</v>
      </c>
      <c r="Y33" s="54">
        <v>0</v>
      </c>
      <c r="Z33" s="54">
        <v>0</v>
      </c>
      <c r="AA33" s="54">
        <v>0</v>
      </c>
      <c r="AB33" s="54">
        <v>0</v>
      </c>
      <c r="AC33" s="54">
        <v>0</v>
      </c>
      <c r="AD33" s="54">
        <v>0</v>
      </c>
      <c r="AE33" s="54">
        <v>0</v>
      </c>
      <c r="AF33" s="66">
        <v>0</v>
      </c>
      <c r="AG33" s="67">
        <v>0</v>
      </c>
      <c r="AH33" s="67">
        <v>0</v>
      </c>
      <c r="AI33" s="67">
        <v>0</v>
      </c>
      <c r="AJ33" s="67">
        <v>0</v>
      </c>
      <c r="AK33" s="67">
        <v>0</v>
      </c>
      <c r="AL33" s="67">
        <v>0</v>
      </c>
      <c r="AM33" s="67">
        <v>0</v>
      </c>
      <c r="AN33" s="67">
        <v>0</v>
      </c>
      <c r="AO33" s="67">
        <v>0</v>
      </c>
      <c r="AP33" s="67">
        <v>0</v>
      </c>
      <c r="AQ33" s="67">
        <v>0</v>
      </c>
      <c r="AR33" s="67">
        <v>910.49</v>
      </c>
      <c r="AS33" s="68">
        <v>0</v>
      </c>
      <c r="AT33" s="63"/>
      <c r="AU33" s="63"/>
    </row>
    <row r="34" spans="1:47" ht="12.75" hidden="1" customHeight="1" outlineLevel="1" x14ac:dyDescent="0.2">
      <c r="A34" s="61" t="s">
        <v>181</v>
      </c>
      <c r="B34" s="62">
        <v>0</v>
      </c>
      <c r="C34" s="54"/>
      <c r="D34" s="54">
        <v>0</v>
      </c>
      <c r="E34" s="63"/>
      <c r="F34" s="64"/>
      <c r="G34" s="65">
        <v>0</v>
      </c>
      <c r="H34" s="54">
        <v>0</v>
      </c>
      <c r="I34" s="54">
        <v>0</v>
      </c>
      <c r="J34" s="54">
        <v>0</v>
      </c>
      <c r="K34" s="54">
        <v>0</v>
      </c>
      <c r="L34" s="54">
        <v>0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66">
        <v>0</v>
      </c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66"/>
      <c r="AG34" s="67">
        <v>0</v>
      </c>
      <c r="AH34" s="67">
        <v>0</v>
      </c>
      <c r="AI34" s="67">
        <v>0</v>
      </c>
      <c r="AJ34" s="67">
        <v>0</v>
      </c>
      <c r="AK34" s="67">
        <v>0</v>
      </c>
      <c r="AL34" s="67">
        <v>0</v>
      </c>
      <c r="AM34" s="67">
        <v>0</v>
      </c>
      <c r="AN34" s="67">
        <v>0</v>
      </c>
      <c r="AO34" s="67">
        <v>0</v>
      </c>
      <c r="AP34" s="67">
        <v>0</v>
      </c>
      <c r="AQ34" s="67">
        <v>0</v>
      </c>
      <c r="AR34" s="67">
        <v>291.25</v>
      </c>
      <c r="AS34" s="68">
        <v>0</v>
      </c>
      <c r="AT34" s="63"/>
      <c r="AU34" s="63"/>
    </row>
    <row r="35" spans="1:47" ht="12.75" hidden="1" customHeight="1" outlineLevel="1" x14ac:dyDescent="0.2">
      <c r="A35" s="61" t="s">
        <v>182</v>
      </c>
      <c r="B35" s="62">
        <v>0</v>
      </c>
      <c r="C35" s="54">
        <v>0</v>
      </c>
      <c r="D35" s="54">
        <v>0</v>
      </c>
      <c r="E35" s="63"/>
      <c r="F35" s="64"/>
      <c r="G35" s="65">
        <v>0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0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0</v>
      </c>
      <c r="AH35" s="67">
        <v>0</v>
      </c>
      <c r="AI35" s="67">
        <v>0</v>
      </c>
      <c r="AJ35" s="67">
        <v>0</v>
      </c>
      <c r="AK35" s="67">
        <v>0</v>
      </c>
      <c r="AL35" s="67">
        <v>0</v>
      </c>
      <c r="AM35" s="67">
        <v>0</v>
      </c>
      <c r="AN35" s="67">
        <v>0</v>
      </c>
      <c r="AO35" s="67">
        <v>0</v>
      </c>
      <c r="AP35" s="67">
        <v>0</v>
      </c>
      <c r="AQ35" s="67">
        <v>0</v>
      </c>
      <c r="AR35" s="67">
        <v>0</v>
      </c>
      <c r="AS35" s="68">
        <v>0</v>
      </c>
      <c r="AT35" s="63"/>
      <c r="AU35" s="63"/>
    </row>
    <row r="36" spans="1:47" ht="12.75" hidden="1" customHeight="1" outlineLevel="1" x14ac:dyDescent="0.2">
      <c r="A36" s="61" t="s">
        <v>183</v>
      </c>
      <c r="B36" s="62">
        <v>0</v>
      </c>
      <c r="C36" s="54"/>
      <c r="D36" s="54">
        <v>0</v>
      </c>
      <c r="E36" s="63"/>
      <c r="F36" s="64"/>
      <c r="G36" s="65">
        <v>0</v>
      </c>
      <c r="H36" s="54">
        <v>0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0</v>
      </c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66"/>
      <c r="AG36" s="67">
        <v>0</v>
      </c>
      <c r="AH36" s="67">
        <v>0</v>
      </c>
      <c r="AI36" s="67">
        <v>0</v>
      </c>
      <c r="AJ36" s="67">
        <v>0</v>
      </c>
      <c r="AK36" s="67">
        <v>0</v>
      </c>
      <c r="AL36" s="67">
        <v>0</v>
      </c>
      <c r="AM36" s="67">
        <v>0</v>
      </c>
      <c r="AN36" s="67">
        <v>0</v>
      </c>
      <c r="AO36" s="67">
        <v>0</v>
      </c>
      <c r="AP36" s="67">
        <v>0</v>
      </c>
      <c r="AQ36" s="67">
        <v>0</v>
      </c>
      <c r="AR36" s="67">
        <v>0</v>
      </c>
      <c r="AS36" s="68">
        <v>0</v>
      </c>
      <c r="AT36" s="63"/>
      <c r="AU36" s="63"/>
    </row>
    <row r="37" spans="1:47" ht="12.75" hidden="1" customHeight="1" outlineLevel="1" x14ac:dyDescent="0.2">
      <c r="A37" s="61" t="s">
        <v>184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0</v>
      </c>
      <c r="AM37" s="67">
        <v>0</v>
      </c>
      <c r="AN37" s="67">
        <v>0</v>
      </c>
      <c r="AO37" s="67">
        <v>0</v>
      </c>
      <c r="AP37" s="67">
        <v>0</v>
      </c>
      <c r="AQ37" s="67">
        <v>0</v>
      </c>
      <c r="AR37" s="67">
        <v>0</v>
      </c>
      <c r="AS37" s="68">
        <v>0</v>
      </c>
      <c r="AT37" s="63"/>
      <c r="AU37" s="63"/>
    </row>
    <row r="38" spans="1:47" ht="12.75" hidden="1" customHeight="1" outlineLevel="1" x14ac:dyDescent="0.2">
      <c r="A38" s="61" t="s">
        <v>185</v>
      </c>
      <c r="B38" s="62"/>
      <c r="C38" s="54"/>
      <c r="D38" s="54"/>
      <c r="E38" s="63"/>
      <c r="F38" s="64"/>
      <c r="G38" s="65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66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66"/>
      <c r="AG38" s="67"/>
      <c r="AH38" s="67"/>
      <c r="AI38" s="67"/>
      <c r="AJ38" s="67"/>
      <c r="AK38" s="67"/>
      <c r="AL38" s="67"/>
      <c r="AM38" s="67"/>
      <c r="AN38" s="67"/>
      <c r="AO38" s="67"/>
      <c r="AP38" s="67"/>
      <c r="AQ38" s="67"/>
      <c r="AR38" s="67"/>
      <c r="AS38" s="68"/>
      <c r="AT38" s="63"/>
      <c r="AU38" s="63"/>
    </row>
    <row r="39" spans="1:47" ht="12.75" hidden="1" customHeight="1" outlineLevel="1" x14ac:dyDescent="0.2">
      <c r="A39" s="61" t="s">
        <v>186</v>
      </c>
      <c r="B39" s="62">
        <v>0</v>
      </c>
      <c r="C39" s="54">
        <v>0</v>
      </c>
      <c r="D39" s="54">
        <v>0</v>
      </c>
      <c r="E39" s="63"/>
      <c r="F39" s="64"/>
      <c r="G39" s="65">
        <v>0</v>
      </c>
      <c r="H39" s="54">
        <v>0</v>
      </c>
      <c r="I39" s="54">
        <v>0</v>
      </c>
      <c r="J39" s="54">
        <v>0</v>
      </c>
      <c r="K39" s="54">
        <v>0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66">
        <v>0</v>
      </c>
      <c r="T39" s="54">
        <v>0</v>
      </c>
      <c r="U39" s="54">
        <v>0</v>
      </c>
      <c r="V39" s="54">
        <v>0</v>
      </c>
      <c r="W39" s="54">
        <v>0</v>
      </c>
      <c r="X39" s="54">
        <v>0</v>
      </c>
      <c r="Y39" s="54">
        <v>0</v>
      </c>
      <c r="Z39" s="54">
        <v>0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66">
        <v>0</v>
      </c>
      <c r="AG39" s="67">
        <v>0</v>
      </c>
      <c r="AH39" s="67">
        <v>0</v>
      </c>
      <c r="AI39" s="67">
        <v>0</v>
      </c>
      <c r="AJ39" s="67">
        <v>0</v>
      </c>
      <c r="AK39" s="67">
        <v>0</v>
      </c>
      <c r="AL39" s="67">
        <v>0</v>
      </c>
      <c r="AM39" s="67">
        <v>0</v>
      </c>
      <c r="AN39" s="67">
        <v>0</v>
      </c>
      <c r="AO39" s="67">
        <v>0</v>
      </c>
      <c r="AP39" s="67">
        <v>0</v>
      </c>
      <c r="AQ39" s="67">
        <v>0</v>
      </c>
      <c r="AR39" s="67">
        <v>100</v>
      </c>
      <c r="AS39" s="68">
        <v>0</v>
      </c>
      <c r="AT39" s="63"/>
      <c r="AU39" s="63"/>
    </row>
    <row r="40" spans="1:47" ht="12.75" hidden="1" customHeight="1" outlineLevel="1" x14ac:dyDescent="0.2">
      <c r="A40" s="61" t="s">
        <v>187</v>
      </c>
      <c r="B40" s="62">
        <v>0</v>
      </c>
      <c r="C40" s="54">
        <v>0</v>
      </c>
      <c r="D40" s="54">
        <v>0</v>
      </c>
      <c r="E40" s="63"/>
      <c r="F40" s="64"/>
      <c r="G40" s="65">
        <v>0</v>
      </c>
      <c r="H40" s="54">
        <v>0</v>
      </c>
      <c r="I40" s="54">
        <v>0</v>
      </c>
      <c r="J40" s="54">
        <v>0</v>
      </c>
      <c r="K40" s="54">
        <v>0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66">
        <v>0</v>
      </c>
      <c r="T40" s="54">
        <v>0</v>
      </c>
      <c r="U40" s="54">
        <v>0</v>
      </c>
      <c r="V40" s="54">
        <v>0</v>
      </c>
      <c r="W40" s="54">
        <v>0</v>
      </c>
      <c r="X40" s="54">
        <v>0</v>
      </c>
      <c r="Y40" s="54">
        <v>0</v>
      </c>
      <c r="Z40" s="54">
        <v>0</v>
      </c>
      <c r="AA40" s="54">
        <v>0</v>
      </c>
      <c r="AB40" s="54">
        <v>0</v>
      </c>
      <c r="AC40" s="54">
        <v>0</v>
      </c>
      <c r="AD40" s="54">
        <v>0</v>
      </c>
      <c r="AE40" s="54">
        <v>0</v>
      </c>
      <c r="AF40" s="66">
        <v>0</v>
      </c>
      <c r="AG40" s="67">
        <v>0</v>
      </c>
      <c r="AH40" s="67">
        <v>0</v>
      </c>
      <c r="AI40" s="67">
        <v>0</v>
      </c>
      <c r="AJ40" s="67">
        <v>0</v>
      </c>
      <c r="AK40" s="67">
        <v>0</v>
      </c>
      <c r="AL40" s="67">
        <v>0</v>
      </c>
      <c r="AM40" s="67">
        <v>0</v>
      </c>
      <c r="AN40" s="67">
        <v>0</v>
      </c>
      <c r="AO40" s="67">
        <v>0</v>
      </c>
      <c r="AP40" s="67">
        <v>0</v>
      </c>
      <c r="AQ40" s="67">
        <v>0</v>
      </c>
      <c r="AR40" s="67">
        <v>0</v>
      </c>
      <c r="AS40" s="68">
        <v>0</v>
      </c>
      <c r="AT40" s="63"/>
      <c r="AU40" s="63"/>
    </row>
    <row r="41" spans="1:47" ht="12.75" hidden="1" customHeight="1" outlineLevel="1" x14ac:dyDescent="0.2">
      <c r="A41" s="61" t="s">
        <v>188</v>
      </c>
      <c r="B41" s="62"/>
      <c r="C41" s="54"/>
      <c r="D41" s="54"/>
      <c r="E41" s="63"/>
      <c r="F41" s="64"/>
      <c r="G41" s="65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66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66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8"/>
      <c r="AT41" s="63"/>
      <c r="AU41" s="63"/>
    </row>
    <row r="42" spans="1:47" ht="12.75" hidden="1" customHeight="1" outlineLevel="1" x14ac:dyDescent="0.2">
      <c r="A42" s="61" t="s">
        <v>189</v>
      </c>
      <c r="B42" s="62"/>
      <c r="C42" s="54"/>
      <c r="D42" s="54"/>
      <c r="E42" s="63"/>
      <c r="F42" s="64"/>
      <c r="G42" s="65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66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66"/>
      <c r="AG42" s="67"/>
      <c r="AH42" s="67"/>
      <c r="AI42" s="67"/>
      <c r="AJ42" s="67"/>
      <c r="AK42" s="67"/>
      <c r="AL42" s="67"/>
      <c r="AM42" s="67"/>
      <c r="AN42" s="67"/>
      <c r="AO42" s="67"/>
      <c r="AP42" s="67"/>
      <c r="AQ42" s="67"/>
      <c r="AR42" s="67"/>
      <c r="AS42" s="68"/>
      <c r="AT42" s="63"/>
      <c r="AU42" s="63"/>
    </row>
    <row r="43" spans="1:47" ht="12.75" hidden="1" customHeight="1" outlineLevel="1" x14ac:dyDescent="0.2">
      <c r="A43" s="61" t="s">
        <v>190</v>
      </c>
      <c r="B43" s="62">
        <v>0</v>
      </c>
      <c r="C43" s="54">
        <v>0</v>
      </c>
      <c r="D43" s="54">
        <v>0</v>
      </c>
      <c r="E43" s="63"/>
      <c r="F43" s="64"/>
      <c r="G43" s="65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66">
        <v>0</v>
      </c>
      <c r="T43" s="54">
        <v>0</v>
      </c>
      <c r="U43" s="54">
        <v>0</v>
      </c>
      <c r="V43" s="54">
        <v>0</v>
      </c>
      <c r="W43" s="54">
        <v>0</v>
      </c>
      <c r="X43" s="54">
        <v>0</v>
      </c>
      <c r="Y43" s="54">
        <v>0</v>
      </c>
      <c r="Z43" s="54">
        <v>0</v>
      </c>
      <c r="AA43" s="54">
        <v>0</v>
      </c>
      <c r="AB43" s="54">
        <v>0</v>
      </c>
      <c r="AC43" s="54">
        <v>0</v>
      </c>
      <c r="AD43" s="54">
        <v>0</v>
      </c>
      <c r="AE43" s="54">
        <v>0</v>
      </c>
      <c r="AF43" s="66">
        <v>0</v>
      </c>
      <c r="AG43" s="67">
        <v>0</v>
      </c>
      <c r="AH43" s="67">
        <v>0</v>
      </c>
      <c r="AI43" s="67">
        <v>0</v>
      </c>
      <c r="AJ43" s="67">
        <v>0</v>
      </c>
      <c r="AK43" s="67">
        <v>0</v>
      </c>
      <c r="AL43" s="67">
        <v>0</v>
      </c>
      <c r="AM43" s="67">
        <v>0</v>
      </c>
      <c r="AN43" s="67">
        <v>0</v>
      </c>
      <c r="AO43" s="67">
        <v>0</v>
      </c>
      <c r="AP43" s="67">
        <v>0</v>
      </c>
      <c r="AQ43" s="67">
        <v>0</v>
      </c>
      <c r="AR43" s="67">
        <v>0</v>
      </c>
      <c r="AS43" s="68">
        <v>0</v>
      </c>
      <c r="AT43" s="63"/>
      <c r="AU43" s="63"/>
    </row>
    <row r="44" spans="1:47" ht="12.75" hidden="1" customHeight="1" outlineLevel="1" x14ac:dyDescent="0.2">
      <c r="A44" s="61" t="s">
        <v>191</v>
      </c>
      <c r="B44" s="62">
        <v>0</v>
      </c>
      <c r="C44" s="54"/>
      <c r="D44" s="54">
        <v>0</v>
      </c>
      <c r="E44" s="63"/>
      <c r="F44" s="64"/>
      <c r="G44" s="65">
        <v>0</v>
      </c>
      <c r="H44" s="54">
        <v>0</v>
      </c>
      <c r="I44" s="54">
        <v>0</v>
      </c>
      <c r="J44" s="54">
        <v>0</v>
      </c>
      <c r="K44" s="54">
        <v>0</v>
      </c>
      <c r="L44" s="54">
        <v>0</v>
      </c>
      <c r="M44" s="54">
        <v>0</v>
      </c>
      <c r="N44" s="54">
        <v>0</v>
      </c>
      <c r="O44" s="54">
        <v>0</v>
      </c>
      <c r="P44" s="54">
        <v>0</v>
      </c>
      <c r="Q44" s="54">
        <v>0</v>
      </c>
      <c r="R44" s="54">
        <v>0</v>
      </c>
      <c r="S44" s="66">
        <v>0</v>
      </c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>
        <v>0</v>
      </c>
      <c r="AH44" s="67">
        <v>0</v>
      </c>
      <c r="AI44" s="67">
        <v>0</v>
      </c>
      <c r="AJ44" s="67">
        <v>0</v>
      </c>
      <c r="AK44" s="67">
        <v>0</v>
      </c>
      <c r="AL44" s="67">
        <v>0</v>
      </c>
      <c r="AM44" s="67">
        <v>0</v>
      </c>
      <c r="AN44" s="67">
        <v>0</v>
      </c>
      <c r="AO44" s="67">
        <v>0</v>
      </c>
      <c r="AP44" s="67">
        <v>0</v>
      </c>
      <c r="AQ44" s="67">
        <v>0</v>
      </c>
      <c r="AR44" s="67">
        <v>0</v>
      </c>
      <c r="AS44" s="68">
        <v>0</v>
      </c>
      <c r="AT44" s="63"/>
      <c r="AU44" s="63"/>
    </row>
    <row r="45" spans="1:47" ht="12.75" customHeight="1" collapsed="1" x14ac:dyDescent="0.2">
      <c r="A45" s="69" t="s">
        <v>192</v>
      </c>
      <c r="B45" s="70">
        <v>63.64</v>
      </c>
      <c r="C45" s="71">
        <v>0</v>
      </c>
      <c r="D45" s="71">
        <v>7</v>
      </c>
      <c r="E45" s="72"/>
      <c r="F45" s="73">
        <v>909.14285714285711</v>
      </c>
      <c r="G45" s="70">
        <v>63.64</v>
      </c>
      <c r="H45" s="71">
        <v>63.64</v>
      </c>
      <c r="I45" s="71">
        <v>63.64</v>
      </c>
      <c r="J45" s="71">
        <v>63.64</v>
      </c>
      <c r="K45" s="71">
        <v>0</v>
      </c>
      <c r="L45" s="71">
        <v>0</v>
      </c>
      <c r="M45" s="71">
        <v>0</v>
      </c>
      <c r="N45" s="71">
        <v>0</v>
      </c>
      <c r="O45" s="71">
        <v>0</v>
      </c>
      <c r="P45" s="71">
        <v>0</v>
      </c>
      <c r="Q45" s="71">
        <v>0</v>
      </c>
      <c r="R45" s="71">
        <v>0</v>
      </c>
      <c r="S45" s="71">
        <v>254.56</v>
      </c>
      <c r="T45" s="71">
        <v>0</v>
      </c>
      <c r="U45" s="71">
        <v>0</v>
      </c>
      <c r="V45" s="71">
        <v>0</v>
      </c>
      <c r="W45" s="71">
        <v>0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>
        <v>0</v>
      </c>
      <c r="AD45" s="71">
        <v>0</v>
      </c>
      <c r="AE45" s="71">
        <v>0</v>
      </c>
      <c r="AF45" s="71">
        <v>0</v>
      </c>
      <c r="AG45" s="75">
        <v>7</v>
      </c>
      <c r="AH45" s="75">
        <v>7</v>
      </c>
      <c r="AI45" s="75">
        <v>7</v>
      </c>
      <c r="AJ45" s="75">
        <v>7</v>
      </c>
      <c r="AK45" s="75">
        <v>7</v>
      </c>
      <c r="AL45" s="75">
        <v>7</v>
      </c>
      <c r="AM45" s="75">
        <v>7</v>
      </c>
      <c r="AN45" s="75">
        <v>7</v>
      </c>
      <c r="AO45" s="75">
        <v>63.64</v>
      </c>
      <c r="AP45" s="75">
        <v>63.64</v>
      </c>
      <c r="AQ45" s="75">
        <v>63.64</v>
      </c>
      <c r="AR45" s="75">
        <v>1365.38</v>
      </c>
      <c r="AS45" s="75">
        <v>28</v>
      </c>
      <c r="AT45" s="72"/>
      <c r="AU45" s="72">
        <v>909.14285714285711</v>
      </c>
    </row>
    <row r="46" spans="1:47" ht="12.75" hidden="1" customHeight="1" outlineLevel="1" x14ac:dyDescent="0.2">
      <c r="A46" s="61" t="s">
        <v>193</v>
      </c>
      <c r="B46" s="62"/>
      <c r="C46" s="54"/>
      <c r="D46" s="54"/>
      <c r="E46" s="63"/>
      <c r="F46" s="64"/>
      <c r="G46" s="65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66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66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8"/>
      <c r="AT46" s="63"/>
      <c r="AU46" s="63"/>
    </row>
    <row r="47" spans="1:47" ht="12.75" hidden="1" customHeight="1" outlineLevel="1" x14ac:dyDescent="0.2">
      <c r="A47" s="61" t="s">
        <v>194</v>
      </c>
      <c r="B47" s="62">
        <v>0</v>
      </c>
      <c r="C47" s="54">
        <v>0</v>
      </c>
      <c r="D47" s="54">
        <v>0</v>
      </c>
      <c r="E47" s="63"/>
      <c r="F47" s="64"/>
      <c r="G47" s="65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54">
        <v>0</v>
      </c>
      <c r="N47" s="54">
        <v>0</v>
      </c>
      <c r="O47" s="54">
        <v>0</v>
      </c>
      <c r="P47" s="54">
        <v>0</v>
      </c>
      <c r="Q47" s="54">
        <v>0</v>
      </c>
      <c r="R47" s="54">
        <v>0</v>
      </c>
      <c r="S47" s="66">
        <v>0</v>
      </c>
      <c r="T47" s="54">
        <v>0</v>
      </c>
      <c r="U47" s="54">
        <v>0</v>
      </c>
      <c r="V47" s="54">
        <v>0</v>
      </c>
      <c r="W47" s="54">
        <v>0</v>
      </c>
      <c r="X47" s="54">
        <v>0</v>
      </c>
      <c r="Y47" s="54">
        <v>0</v>
      </c>
      <c r="Z47" s="54">
        <v>0</v>
      </c>
      <c r="AA47" s="54">
        <v>0</v>
      </c>
      <c r="AB47" s="54">
        <v>0</v>
      </c>
      <c r="AC47" s="54">
        <v>0</v>
      </c>
      <c r="AD47" s="54">
        <v>0</v>
      </c>
      <c r="AE47" s="54">
        <v>0</v>
      </c>
      <c r="AF47" s="66">
        <v>0</v>
      </c>
      <c r="AG47" s="67">
        <v>0</v>
      </c>
      <c r="AH47" s="67">
        <v>0</v>
      </c>
      <c r="AI47" s="67">
        <v>0</v>
      </c>
      <c r="AJ47" s="67">
        <v>0</v>
      </c>
      <c r="AK47" s="67">
        <v>0</v>
      </c>
      <c r="AL47" s="67">
        <v>0</v>
      </c>
      <c r="AM47" s="67">
        <v>0</v>
      </c>
      <c r="AN47" s="67">
        <v>0</v>
      </c>
      <c r="AO47" s="67">
        <v>0</v>
      </c>
      <c r="AP47" s="67">
        <v>0</v>
      </c>
      <c r="AQ47" s="67">
        <v>0</v>
      </c>
      <c r="AR47" s="67">
        <v>402.75</v>
      </c>
      <c r="AS47" s="68">
        <v>0</v>
      </c>
      <c r="AT47" s="63"/>
      <c r="AU47" s="63"/>
    </row>
    <row r="48" spans="1:47" ht="12.75" hidden="1" customHeight="1" outlineLevel="1" x14ac:dyDescent="0.2">
      <c r="A48" s="61" t="s">
        <v>82</v>
      </c>
      <c r="B48" s="62">
        <v>0</v>
      </c>
      <c r="C48" s="54">
        <v>0</v>
      </c>
      <c r="D48" s="54">
        <v>0</v>
      </c>
      <c r="E48" s="63"/>
      <c r="F48" s="64"/>
      <c r="G48" s="65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54">
        <v>0</v>
      </c>
      <c r="N48" s="54">
        <v>0</v>
      </c>
      <c r="O48" s="54">
        <v>0</v>
      </c>
      <c r="P48" s="54">
        <v>0</v>
      </c>
      <c r="Q48" s="54">
        <v>0</v>
      </c>
      <c r="R48" s="54">
        <v>0</v>
      </c>
      <c r="S48" s="66">
        <v>0</v>
      </c>
      <c r="T48" s="54">
        <v>0</v>
      </c>
      <c r="U48" s="54">
        <v>0</v>
      </c>
      <c r="V48" s="54">
        <v>0</v>
      </c>
      <c r="W48" s="54">
        <v>0</v>
      </c>
      <c r="X48" s="54">
        <v>0</v>
      </c>
      <c r="Y48" s="54">
        <v>0</v>
      </c>
      <c r="Z48" s="54">
        <v>0</v>
      </c>
      <c r="AA48" s="54">
        <v>0</v>
      </c>
      <c r="AB48" s="54">
        <v>0</v>
      </c>
      <c r="AC48" s="54">
        <v>0</v>
      </c>
      <c r="AD48" s="54">
        <v>0</v>
      </c>
      <c r="AE48" s="54">
        <v>0</v>
      </c>
      <c r="AF48" s="66">
        <v>0</v>
      </c>
      <c r="AG48" s="67">
        <v>0</v>
      </c>
      <c r="AH48" s="67">
        <v>0</v>
      </c>
      <c r="AI48" s="67">
        <v>0</v>
      </c>
      <c r="AJ48" s="67">
        <v>0</v>
      </c>
      <c r="AK48" s="67">
        <v>0</v>
      </c>
      <c r="AL48" s="67">
        <v>0</v>
      </c>
      <c r="AM48" s="67">
        <v>0</v>
      </c>
      <c r="AN48" s="67">
        <v>0</v>
      </c>
      <c r="AO48" s="67">
        <v>0</v>
      </c>
      <c r="AP48" s="67">
        <v>0</v>
      </c>
      <c r="AQ48" s="67">
        <v>0</v>
      </c>
      <c r="AR48" s="67">
        <v>0</v>
      </c>
      <c r="AS48" s="68">
        <v>0</v>
      </c>
      <c r="AT48" s="63"/>
      <c r="AU48" s="63"/>
    </row>
    <row r="49" spans="1:47" ht="12.75" hidden="1" customHeight="1" outlineLevel="1" x14ac:dyDescent="0.2">
      <c r="A49" s="61" t="s">
        <v>83</v>
      </c>
      <c r="B49" s="62">
        <v>0</v>
      </c>
      <c r="C49" s="54">
        <v>0</v>
      </c>
      <c r="D49" s="54">
        <v>0</v>
      </c>
      <c r="E49" s="63"/>
      <c r="F49" s="64"/>
      <c r="G49" s="65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54">
        <v>0</v>
      </c>
      <c r="N49" s="54">
        <v>0</v>
      </c>
      <c r="O49" s="54">
        <v>0</v>
      </c>
      <c r="P49" s="54">
        <v>0</v>
      </c>
      <c r="Q49" s="54">
        <v>0</v>
      </c>
      <c r="R49" s="54">
        <v>0</v>
      </c>
      <c r="S49" s="66">
        <v>0</v>
      </c>
      <c r="T49" s="54">
        <v>0</v>
      </c>
      <c r="U49" s="54">
        <v>0</v>
      </c>
      <c r="V49" s="54">
        <v>0</v>
      </c>
      <c r="W49" s="54">
        <v>0</v>
      </c>
      <c r="X49" s="54">
        <v>0</v>
      </c>
      <c r="Y49" s="54">
        <v>0</v>
      </c>
      <c r="Z49" s="54">
        <v>0</v>
      </c>
      <c r="AA49" s="54">
        <v>0</v>
      </c>
      <c r="AB49" s="54">
        <v>0</v>
      </c>
      <c r="AC49" s="54">
        <v>0</v>
      </c>
      <c r="AD49" s="54">
        <v>0</v>
      </c>
      <c r="AE49" s="54">
        <v>0</v>
      </c>
      <c r="AF49" s="66">
        <v>0</v>
      </c>
      <c r="AG49" s="67">
        <v>0</v>
      </c>
      <c r="AH49" s="67">
        <v>0</v>
      </c>
      <c r="AI49" s="67">
        <v>0</v>
      </c>
      <c r="AJ49" s="67">
        <v>0</v>
      </c>
      <c r="AK49" s="67">
        <v>0</v>
      </c>
      <c r="AL49" s="67">
        <v>0</v>
      </c>
      <c r="AM49" s="67">
        <v>0</v>
      </c>
      <c r="AN49" s="67">
        <v>0</v>
      </c>
      <c r="AO49" s="67">
        <v>0</v>
      </c>
      <c r="AP49" s="67">
        <v>0</v>
      </c>
      <c r="AQ49" s="67">
        <v>0</v>
      </c>
      <c r="AR49" s="67">
        <v>0</v>
      </c>
      <c r="AS49" s="68">
        <v>0</v>
      </c>
      <c r="AT49" s="63"/>
      <c r="AU49" s="63"/>
    </row>
    <row r="50" spans="1:47" ht="12.75" hidden="1" customHeight="1" outlineLevel="1" x14ac:dyDescent="0.2">
      <c r="A50" s="61" t="s">
        <v>84</v>
      </c>
      <c r="B50" s="62">
        <v>0</v>
      </c>
      <c r="C50" s="54">
        <v>0</v>
      </c>
      <c r="D50" s="54">
        <v>0</v>
      </c>
      <c r="E50" s="63"/>
      <c r="F50" s="64"/>
      <c r="G50" s="65">
        <v>0</v>
      </c>
      <c r="H50" s="54">
        <v>0</v>
      </c>
      <c r="I50" s="54">
        <v>0</v>
      </c>
      <c r="J50" s="54">
        <v>0</v>
      </c>
      <c r="K50" s="54">
        <v>0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66">
        <v>0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>
        <v>0</v>
      </c>
      <c r="AH50" s="67">
        <v>0</v>
      </c>
      <c r="AI50" s="67">
        <v>0</v>
      </c>
      <c r="AJ50" s="67">
        <v>0</v>
      </c>
      <c r="AK50" s="67">
        <v>0</v>
      </c>
      <c r="AL50" s="67">
        <v>0</v>
      </c>
      <c r="AM50" s="67">
        <v>0</v>
      </c>
      <c r="AN50" s="67">
        <v>0</v>
      </c>
      <c r="AO50" s="67">
        <v>0</v>
      </c>
      <c r="AP50" s="67">
        <v>0</v>
      </c>
      <c r="AQ50" s="67">
        <v>0</v>
      </c>
      <c r="AR50" s="67">
        <v>0</v>
      </c>
      <c r="AS50" s="68">
        <v>0</v>
      </c>
      <c r="AT50" s="63"/>
      <c r="AU50" s="63"/>
    </row>
    <row r="51" spans="1:47" ht="12.75" hidden="1" customHeight="1" outlineLevel="1" x14ac:dyDescent="0.2">
      <c r="A51" s="61" t="s">
        <v>195</v>
      </c>
      <c r="B51" s="62"/>
      <c r="C51" s="54"/>
      <c r="D51" s="54"/>
      <c r="E51" s="63"/>
      <c r="F51" s="64"/>
      <c r="G51" s="65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66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66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8"/>
      <c r="AT51" s="63"/>
      <c r="AU51" s="63"/>
    </row>
    <row r="52" spans="1:47" ht="12.75" hidden="1" customHeight="1" outlineLevel="1" x14ac:dyDescent="0.2">
      <c r="A52" s="61" t="s">
        <v>86</v>
      </c>
      <c r="B52" s="62">
        <v>2001.34</v>
      </c>
      <c r="C52" s="54">
        <v>0</v>
      </c>
      <c r="D52" s="54">
        <v>789.75</v>
      </c>
      <c r="E52" s="63"/>
      <c r="F52" s="64">
        <v>253.41437163659387</v>
      </c>
      <c r="G52" s="65">
        <v>1386.15</v>
      </c>
      <c r="H52" s="54">
        <v>1337.77</v>
      </c>
      <c r="I52" s="54">
        <v>1135.58</v>
      </c>
      <c r="J52" s="54">
        <v>2001.34</v>
      </c>
      <c r="K52" s="56">
        <v>-753.1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66">
        <v>5860.84</v>
      </c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66">
        <v>0</v>
      </c>
      <c r="AG52" s="67">
        <v>1625.65</v>
      </c>
      <c r="AH52" s="67">
        <v>1236.57</v>
      </c>
      <c r="AI52" s="67">
        <v>892.77</v>
      </c>
      <c r="AJ52" s="67">
        <v>789.75</v>
      </c>
      <c r="AK52" s="67">
        <v>1174.69</v>
      </c>
      <c r="AL52" s="67">
        <v>2023.84</v>
      </c>
      <c r="AM52" s="67">
        <v>490.59</v>
      </c>
      <c r="AN52" s="67">
        <v>532.83000000000004</v>
      </c>
      <c r="AO52" s="67">
        <v>1183</v>
      </c>
      <c r="AP52" s="67">
        <v>1488.2</v>
      </c>
      <c r="AQ52" s="98">
        <v>-134.19</v>
      </c>
      <c r="AR52" s="67">
        <v>2358.2600000000002</v>
      </c>
      <c r="AS52" s="68">
        <v>4544.74</v>
      </c>
      <c r="AT52" s="63"/>
      <c r="AU52" s="63">
        <v>128.95875231586405</v>
      </c>
    </row>
    <row r="53" spans="1:47" ht="12.75" hidden="1" customHeight="1" outlineLevel="1" x14ac:dyDescent="0.2">
      <c r="A53" s="61" t="s">
        <v>110</v>
      </c>
      <c r="B53" s="62"/>
      <c r="C53" s="54"/>
      <c r="D53" s="54"/>
      <c r="E53" s="63"/>
      <c r="F53" s="64"/>
      <c r="G53" s="65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66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66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8"/>
      <c r="AT53" s="63"/>
      <c r="AU53" s="63"/>
    </row>
    <row r="54" spans="1:47" ht="12.75" hidden="1" customHeight="1" outlineLevel="1" x14ac:dyDescent="0.2">
      <c r="A54" s="61" t="s">
        <v>213</v>
      </c>
      <c r="B54" s="62">
        <v>0</v>
      </c>
      <c r="C54" s="54">
        <v>0</v>
      </c>
      <c r="D54" s="54">
        <v>0</v>
      </c>
      <c r="E54" s="63"/>
      <c r="F54" s="64"/>
      <c r="G54" s="65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66">
        <v>0</v>
      </c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>
        <v>0</v>
      </c>
      <c r="AH54" s="67">
        <v>0</v>
      </c>
      <c r="AI54" s="67">
        <v>0</v>
      </c>
      <c r="AJ54" s="67">
        <v>0</v>
      </c>
      <c r="AK54" s="67">
        <v>0</v>
      </c>
      <c r="AL54" s="67">
        <v>0</v>
      </c>
      <c r="AM54" s="67">
        <v>0</v>
      </c>
      <c r="AN54" s="67">
        <v>0</v>
      </c>
      <c r="AO54" s="67">
        <v>0</v>
      </c>
      <c r="AP54" s="67">
        <v>0</v>
      </c>
      <c r="AQ54" s="67">
        <v>0</v>
      </c>
      <c r="AR54" s="67">
        <v>0</v>
      </c>
      <c r="AS54" s="68">
        <v>0</v>
      </c>
      <c r="AT54" s="63"/>
      <c r="AU54" s="63"/>
    </row>
    <row r="55" spans="1:47" ht="12.75" hidden="1" customHeight="1" outlineLevel="1" x14ac:dyDescent="0.2">
      <c r="A55" s="61" t="s">
        <v>198</v>
      </c>
      <c r="B55" s="62">
        <v>0</v>
      </c>
      <c r="C55" s="54">
        <v>0</v>
      </c>
      <c r="D55" s="54">
        <v>0</v>
      </c>
      <c r="E55" s="63"/>
      <c r="F55" s="64"/>
      <c r="G55" s="65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66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66">
        <v>0</v>
      </c>
      <c r="AG55" s="67">
        <v>127.5</v>
      </c>
      <c r="AH55" s="67">
        <v>0</v>
      </c>
      <c r="AI55" s="67">
        <v>102</v>
      </c>
      <c r="AJ55" s="67">
        <v>0</v>
      </c>
      <c r="AK55" s="67">
        <v>0</v>
      </c>
      <c r="AL55" s="67">
        <v>0</v>
      </c>
      <c r="AM55" s="67">
        <v>0</v>
      </c>
      <c r="AN55" s="67">
        <v>0</v>
      </c>
      <c r="AO55" s="67">
        <v>0</v>
      </c>
      <c r="AP55" s="67">
        <v>0</v>
      </c>
      <c r="AQ55" s="67">
        <v>0</v>
      </c>
      <c r="AR55" s="67">
        <v>0</v>
      </c>
      <c r="AS55" s="68">
        <v>229.5</v>
      </c>
      <c r="AT55" s="63"/>
      <c r="AU55" s="63">
        <v>0</v>
      </c>
    </row>
    <row r="56" spans="1:47" ht="12.75" customHeight="1" collapsed="1" x14ac:dyDescent="0.2">
      <c r="A56" s="69" t="s">
        <v>89</v>
      </c>
      <c r="B56" s="70">
        <v>2001.34</v>
      </c>
      <c r="C56" s="71">
        <v>0</v>
      </c>
      <c r="D56" s="71">
        <v>789.75</v>
      </c>
      <c r="E56" s="72"/>
      <c r="F56" s="73">
        <v>253.41437163659387</v>
      </c>
      <c r="G56" s="70">
        <v>1386.15</v>
      </c>
      <c r="H56" s="71">
        <v>1337.77</v>
      </c>
      <c r="I56" s="71">
        <v>1135.58</v>
      </c>
      <c r="J56" s="71">
        <v>2001.34</v>
      </c>
      <c r="K56" s="74">
        <v>-753.1</v>
      </c>
      <c r="L56" s="71">
        <v>0</v>
      </c>
      <c r="M56" s="71">
        <v>0</v>
      </c>
      <c r="N56" s="71">
        <v>0</v>
      </c>
      <c r="O56" s="71">
        <v>0</v>
      </c>
      <c r="P56" s="71">
        <v>0</v>
      </c>
      <c r="Q56" s="71">
        <v>0</v>
      </c>
      <c r="R56" s="71">
        <v>0</v>
      </c>
      <c r="S56" s="71">
        <v>5860.84</v>
      </c>
      <c r="T56" s="71">
        <v>0</v>
      </c>
      <c r="U56" s="71">
        <v>0</v>
      </c>
      <c r="V56" s="71">
        <v>0</v>
      </c>
      <c r="W56" s="71">
        <v>0</v>
      </c>
      <c r="X56" s="71">
        <v>0</v>
      </c>
      <c r="Y56" s="71">
        <v>0</v>
      </c>
      <c r="Z56" s="71">
        <v>0</v>
      </c>
      <c r="AA56" s="71">
        <v>0</v>
      </c>
      <c r="AB56" s="71">
        <v>0</v>
      </c>
      <c r="AC56" s="71">
        <v>0</v>
      </c>
      <c r="AD56" s="71">
        <v>0</v>
      </c>
      <c r="AE56" s="71">
        <v>0</v>
      </c>
      <c r="AF56" s="71">
        <v>0</v>
      </c>
      <c r="AG56" s="75">
        <v>1753.15</v>
      </c>
      <c r="AH56" s="75">
        <v>1236.57</v>
      </c>
      <c r="AI56" s="75">
        <v>994.77</v>
      </c>
      <c r="AJ56" s="75">
        <v>789.75</v>
      </c>
      <c r="AK56" s="75">
        <v>1174.69</v>
      </c>
      <c r="AL56" s="75">
        <v>2023.84</v>
      </c>
      <c r="AM56" s="75">
        <v>490.59</v>
      </c>
      <c r="AN56" s="75">
        <v>532.83000000000004</v>
      </c>
      <c r="AO56" s="75">
        <v>1183</v>
      </c>
      <c r="AP56" s="75">
        <v>1488.2</v>
      </c>
      <c r="AQ56" s="134">
        <v>-134.19</v>
      </c>
      <c r="AR56" s="75">
        <v>2761.01</v>
      </c>
      <c r="AS56" s="75">
        <v>4774.24</v>
      </c>
      <c r="AT56" s="72"/>
      <c r="AU56" s="72">
        <v>122.75964341968564</v>
      </c>
    </row>
    <row r="57" spans="1:47" ht="12.75" customHeight="1" x14ac:dyDescent="0.2">
      <c r="A57" s="77" t="s">
        <v>201</v>
      </c>
      <c r="B57" s="78">
        <v>4360.91</v>
      </c>
      <c r="C57" s="79">
        <v>0</v>
      </c>
      <c r="D57" s="79">
        <v>8279.65</v>
      </c>
      <c r="E57" s="80"/>
      <c r="F57" s="81">
        <v>52.670221567336782</v>
      </c>
      <c r="G57" s="78">
        <v>5361.98</v>
      </c>
      <c r="H57" s="79">
        <v>2857.67</v>
      </c>
      <c r="I57" s="79">
        <v>5898.22</v>
      </c>
      <c r="J57" s="79">
        <v>4360.91</v>
      </c>
      <c r="K57" s="82">
        <v>-1098.6099999999999</v>
      </c>
      <c r="L57" s="79">
        <v>0</v>
      </c>
      <c r="M57" s="79">
        <v>0</v>
      </c>
      <c r="N57" s="79">
        <v>0</v>
      </c>
      <c r="O57" s="79">
        <v>0</v>
      </c>
      <c r="P57" s="79">
        <v>0</v>
      </c>
      <c r="Q57" s="79">
        <v>0</v>
      </c>
      <c r="R57" s="79">
        <v>0</v>
      </c>
      <c r="S57" s="79">
        <v>18478.78</v>
      </c>
      <c r="T57" s="79">
        <v>0</v>
      </c>
      <c r="U57" s="79">
        <v>0</v>
      </c>
      <c r="V57" s="79">
        <v>0</v>
      </c>
      <c r="W57" s="79">
        <v>0</v>
      </c>
      <c r="X57" s="79">
        <v>0</v>
      </c>
      <c r="Y57" s="79">
        <v>0</v>
      </c>
      <c r="Z57" s="79">
        <v>0</v>
      </c>
      <c r="AA57" s="79">
        <v>0</v>
      </c>
      <c r="AB57" s="79">
        <v>0</v>
      </c>
      <c r="AC57" s="79">
        <v>0</v>
      </c>
      <c r="AD57" s="79">
        <v>0</v>
      </c>
      <c r="AE57" s="79">
        <v>0</v>
      </c>
      <c r="AF57" s="79">
        <v>0</v>
      </c>
      <c r="AG57" s="83">
        <v>3176.85</v>
      </c>
      <c r="AH57" s="83">
        <v>2242.5</v>
      </c>
      <c r="AI57" s="83">
        <v>3425.82</v>
      </c>
      <c r="AJ57" s="83">
        <v>8279.65</v>
      </c>
      <c r="AK57" s="83">
        <v>3059.94</v>
      </c>
      <c r="AL57" s="83">
        <v>7458.03</v>
      </c>
      <c r="AM57" s="137">
        <v>-930.35</v>
      </c>
      <c r="AN57" s="83">
        <v>2534.31</v>
      </c>
      <c r="AO57" s="83">
        <v>3401.1</v>
      </c>
      <c r="AP57" s="83">
        <v>2655.62</v>
      </c>
      <c r="AQ57" s="83">
        <v>1619.87</v>
      </c>
      <c r="AR57" s="83">
        <v>4095.28</v>
      </c>
      <c r="AS57" s="83">
        <v>17124.82</v>
      </c>
      <c r="AT57" s="80"/>
      <c r="AU57" s="80">
        <v>107.90641887038812</v>
      </c>
    </row>
    <row r="61" spans="1:47" ht="15" x14ac:dyDescent="0.25">
      <c r="A61" s="16"/>
      <c r="B61" s="16"/>
      <c r="C61" s="16"/>
      <c r="D61" s="16"/>
    </row>
    <row r="62" spans="1:47" ht="15" x14ac:dyDescent="0.25">
      <c r="A62" s="16"/>
      <c r="B62" s="16"/>
      <c r="C62" s="16"/>
      <c r="D62" s="16"/>
    </row>
    <row r="63" spans="1:47" ht="15" x14ac:dyDescent="0.25">
      <c r="A63" s="16"/>
      <c r="B63" s="16"/>
      <c r="C63" s="16"/>
      <c r="D63" s="16"/>
    </row>
    <row r="64" spans="1:47" ht="15" x14ac:dyDescent="0.25">
      <c r="A64" s="16"/>
      <c r="B64" s="16"/>
      <c r="C64" s="16"/>
      <c r="D64" s="16"/>
    </row>
    <row r="65" spans="1:4" ht="15" x14ac:dyDescent="0.25">
      <c r="A65" s="16"/>
      <c r="B65" s="16"/>
      <c r="C65" s="16"/>
      <c r="D65" s="16"/>
    </row>
    <row r="66" spans="1:4" ht="15" x14ac:dyDescent="0.25">
      <c r="A66" s="16"/>
      <c r="B66" s="16"/>
      <c r="C66" s="16"/>
      <c r="D66" s="16"/>
    </row>
    <row r="67" spans="1:4" ht="15" x14ac:dyDescent="0.25">
      <c r="A67" s="16"/>
      <c r="B67" s="16"/>
      <c r="C67" s="16"/>
      <c r="D67" s="16"/>
    </row>
  </sheetData>
  <pageMargins left="0.75" right="0.75" top="1" bottom="1" header="0.5" footer="0.5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FF33CC"/>
  </sheetPr>
  <dimension ref="A1:AU61"/>
  <sheetViews>
    <sheetView workbookViewId="0">
      <pane xSplit="1" ySplit="8" topLeftCell="B34" activePane="bottomRight" state="frozen"/>
      <selection activeCell="A73" sqref="A73"/>
      <selection pane="topRight" activeCell="A73" sqref="A73"/>
      <selection pane="bottomLeft" activeCell="A73" sqref="A73"/>
      <selection pane="bottomRight" sqref="A1:XFD60"/>
    </sheetView>
  </sheetViews>
  <sheetFormatPr defaultColWidth="8.7109375" defaultRowHeight="12.75" x14ac:dyDescent="0.2"/>
  <cols>
    <col min="1" max="1" width="66.140625" style="365" customWidth="1"/>
    <col min="2" max="4" width="8.7109375" style="365"/>
    <col min="5" max="5" width="9.85546875" style="365" customWidth="1"/>
    <col min="6" max="6" width="10.5703125" style="365" customWidth="1"/>
    <col min="7" max="7" width="8.7109375" style="365"/>
    <col min="8" max="8" width="8.7109375" style="365" customWidth="1"/>
    <col min="9" max="18" width="8.7109375" style="365"/>
    <col min="19" max="19" width="15.28515625" style="365" customWidth="1"/>
    <col min="20" max="31" width="8.7109375" style="365"/>
    <col min="32" max="32" width="15.28515625" style="365" customWidth="1"/>
    <col min="33" max="45" width="8.7109375" style="365"/>
    <col min="46" max="47" width="10.7109375" style="365" customWidth="1"/>
    <col min="48" max="16384" width="8.7109375" style="365"/>
  </cols>
  <sheetData>
    <row r="1" spans="1:47" ht="38.2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ht="12.75" customHeight="1" x14ac:dyDescent="0.2">
      <c r="A2" s="61" t="s">
        <v>160</v>
      </c>
      <c r="B2" s="62">
        <v>11700.83</v>
      </c>
      <c r="C2" s="54">
        <v>0</v>
      </c>
      <c r="D2" s="54">
        <v>2365.42</v>
      </c>
      <c r="E2" s="63"/>
      <c r="F2" s="64">
        <v>494.66183595302311</v>
      </c>
      <c r="G2" s="65">
        <v>10519.24</v>
      </c>
      <c r="H2" s="54">
        <v>11342.53</v>
      </c>
      <c r="I2" s="54">
        <v>10419.44</v>
      </c>
      <c r="J2" s="54">
        <v>11700.83</v>
      </c>
      <c r="K2" s="54">
        <v>0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43982.04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6190.33</v>
      </c>
      <c r="AH2" s="67">
        <v>6076.88</v>
      </c>
      <c r="AI2" s="67">
        <v>6915.85</v>
      </c>
      <c r="AJ2" s="67">
        <v>2365.42</v>
      </c>
      <c r="AK2" s="67">
        <v>10408.64</v>
      </c>
      <c r="AL2" s="67">
        <v>5802.73</v>
      </c>
      <c r="AM2" s="67">
        <v>6715.79</v>
      </c>
      <c r="AN2" s="67">
        <v>4814.4399999999996</v>
      </c>
      <c r="AO2" s="67">
        <v>5406.75</v>
      </c>
      <c r="AP2" s="67">
        <v>12094.72</v>
      </c>
      <c r="AQ2" s="67">
        <v>12330.19</v>
      </c>
      <c r="AR2" s="67">
        <v>7343.7</v>
      </c>
      <c r="AS2" s="68">
        <v>21548.48</v>
      </c>
      <c r="AT2" s="63"/>
      <c r="AU2" s="63">
        <v>204.10738947712321</v>
      </c>
    </row>
    <row r="3" spans="1:47" ht="12.75" customHeight="1" x14ac:dyDescent="0.2">
      <c r="A3" s="61" t="s">
        <v>161</v>
      </c>
      <c r="B3" s="62">
        <v>646.94000000000005</v>
      </c>
      <c r="C3" s="54">
        <v>0</v>
      </c>
      <c r="D3" s="54">
        <v>345.8</v>
      </c>
      <c r="E3" s="63"/>
      <c r="F3" s="64">
        <v>187.08502024291499</v>
      </c>
      <c r="G3" s="65">
        <v>586.39</v>
      </c>
      <c r="H3" s="54">
        <v>62.63</v>
      </c>
      <c r="I3" s="54">
        <v>1252.5999999999999</v>
      </c>
      <c r="J3" s="54">
        <v>646.94000000000005</v>
      </c>
      <c r="K3" s="56">
        <v>-324.02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2548.56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340.07</v>
      </c>
      <c r="AH3" s="67">
        <v>359.49</v>
      </c>
      <c r="AI3" s="67">
        <v>423.35</v>
      </c>
      <c r="AJ3" s="67">
        <v>345.8</v>
      </c>
      <c r="AK3" s="67">
        <v>326.12</v>
      </c>
      <c r="AL3" s="67">
        <v>364.36</v>
      </c>
      <c r="AM3" s="67">
        <v>368.99</v>
      </c>
      <c r="AN3" s="67">
        <v>390.05</v>
      </c>
      <c r="AO3" s="67">
        <v>42.18</v>
      </c>
      <c r="AP3" s="67">
        <v>800.69</v>
      </c>
      <c r="AQ3" s="67">
        <v>747.08</v>
      </c>
      <c r="AR3" s="67">
        <v>747.99</v>
      </c>
      <c r="AS3" s="68">
        <v>1468.71</v>
      </c>
      <c r="AT3" s="63"/>
      <c r="AU3" s="63">
        <v>173.52370447535591</v>
      </c>
    </row>
    <row r="4" spans="1:47" ht="12.75" customHeight="1" x14ac:dyDescent="0.2">
      <c r="A4" s="61" t="s">
        <v>162</v>
      </c>
      <c r="B4" s="62">
        <v>2242.04</v>
      </c>
      <c r="C4" s="54">
        <v>0</v>
      </c>
      <c r="D4" s="54">
        <v>4423.1099999999997</v>
      </c>
      <c r="E4" s="63"/>
      <c r="F4" s="64">
        <v>50.68922093278259</v>
      </c>
      <c r="G4" s="65">
        <v>360.67</v>
      </c>
      <c r="H4" s="54">
        <v>1026.25</v>
      </c>
      <c r="I4" s="54">
        <v>1358.41</v>
      </c>
      <c r="J4" s="54">
        <v>2242.04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4987.37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293.27</v>
      </c>
      <c r="AH4" s="67">
        <v>1759.85</v>
      </c>
      <c r="AI4" s="67">
        <v>49.79</v>
      </c>
      <c r="AJ4" s="67">
        <v>4423.1099999999997</v>
      </c>
      <c r="AK4" s="98">
        <v>-1873.01</v>
      </c>
      <c r="AL4" s="67">
        <v>2309.96</v>
      </c>
      <c r="AM4" s="67">
        <v>864.28</v>
      </c>
      <c r="AN4" s="67">
        <v>1136.8399999999999</v>
      </c>
      <c r="AO4" s="98">
        <v>-376.58</v>
      </c>
      <c r="AP4" s="67">
        <v>635.22</v>
      </c>
      <c r="AQ4" s="67">
        <v>897.56</v>
      </c>
      <c r="AR4" s="67">
        <v>1592.54</v>
      </c>
      <c r="AS4" s="68">
        <v>6526.02</v>
      </c>
      <c r="AT4" s="63"/>
      <c r="AU4" s="63">
        <v>76.42284271271005</v>
      </c>
    </row>
    <row r="5" spans="1:47" ht="12.75" customHeight="1" x14ac:dyDescent="0.2">
      <c r="A5" s="61" t="s">
        <v>163</v>
      </c>
      <c r="B5" s="62">
        <v>707</v>
      </c>
      <c r="C5" s="54">
        <v>0</v>
      </c>
      <c r="D5" s="54">
        <v>0</v>
      </c>
      <c r="E5" s="63"/>
      <c r="F5" s="64"/>
      <c r="G5" s="65">
        <v>0</v>
      </c>
      <c r="H5" s="54">
        <v>0</v>
      </c>
      <c r="I5" s="54">
        <v>2121</v>
      </c>
      <c r="J5" s="54">
        <v>707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2828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0</v>
      </c>
      <c r="AH5" s="67">
        <v>0</v>
      </c>
      <c r="AI5" s="67">
        <v>0</v>
      </c>
      <c r="AJ5" s="67">
        <v>0</v>
      </c>
      <c r="AK5" s="67">
        <v>0</v>
      </c>
      <c r="AL5" s="67">
        <v>0</v>
      </c>
      <c r="AM5" s="67">
        <v>0</v>
      </c>
      <c r="AN5" s="67">
        <v>0</v>
      </c>
      <c r="AO5" s="67">
        <v>0</v>
      </c>
      <c r="AP5" s="67">
        <v>0</v>
      </c>
      <c r="AQ5" s="67">
        <v>0</v>
      </c>
      <c r="AR5" s="67">
        <v>0</v>
      </c>
      <c r="AS5" s="68">
        <v>0</v>
      </c>
      <c r="AT5" s="63"/>
      <c r="AU5" s="63"/>
    </row>
    <row r="6" spans="1:47" ht="12.75" customHeight="1" x14ac:dyDescent="0.2">
      <c r="A6" s="61" t="s">
        <v>164</v>
      </c>
      <c r="B6" s="62">
        <v>191.22</v>
      </c>
      <c r="C6" s="54">
        <v>0</v>
      </c>
      <c r="D6" s="54">
        <v>99</v>
      </c>
      <c r="E6" s="63"/>
      <c r="F6" s="64">
        <v>193.15151515151516</v>
      </c>
      <c r="G6" s="97">
        <v>-98.34</v>
      </c>
      <c r="H6" s="54">
        <v>191.22</v>
      </c>
      <c r="I6" s="54">
        <v>191.22</v>
      </c>
      <c r="J6" s="54">
        <v>191.22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475.32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99</v>
      </c>
      <c r="AH6" s="67">
        <v>99</v>
      </c>
      <c r="AI6" s="67">
        <v>99</v>
      </c>
      <c r="AJ6" s="67">
        <v>99</v>
      </c>
      <c r="AK6" s="67">
        <v>99</v>
      </c>
      <c r="AL6" s="67">
        <v>99</v>
      </c>
      <c r="AM6" s="67">
        <v>99</v>
      </c>
      <c r="AN6" s="67">
        <v>99</v>
      </c>
      <c r="AO6" s="67">
        <v>99</v>
      </c>
      <c r="AP6" s="67">
        <v>96.52</v>
      </c>
      <c r="AQ6" s="67">
        <v>96.52</v>
      </c>
      <c r="AR6" s="67">
        <v>287.74</v>
      </c>
      <c r="AS6" s="68">
        <v>396</v>
      </c>
      <c r="AT6" s="63"/>
      <c r="AU6" s="63">
        <v>120.03030303030303</v>
      </c>
    </row>
    <row r="7" spans="1:47" ht="12.75" customHeight="1" x14ac:dyDescent="0.2">
      <c r="A7" s="61" t="s">
        <v>165</v>
      </c>
      <c r="B7" s="62">
        <v>1220.17</v>
      </c>
      <c r="C7" s="54">
        <v>0</v>
      </c>
      <c r="D7" s="54">
        <v>620.92999999999995</v>
      </c>
      <c r="E7" s="63"/>
      <c r="F7" s="64">
        <v>196.50685262428937</v>
      </c>
      <c r="G7" s="65">
        <v>1128.8</v>
      </c>
      <c r="H7" s="54">
        <v>1182.54</v>
      </c>
      <c r="I7" s="54">
        <v>1182.54</v>
      </c>
      <c r="J7" s="54">
        <v>1220.17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4714.05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611.37</v>
      </c>
      <c r="AH7" s="67">
        <v>640.49</v>
      </c>
      <c r="AI7" s="67">
        <v>669.59</v>
      </c>
      <c r="AJ7" s="67">
        <v>620.92999999999995</v>
      </c>
      <c r="AK7" s="67">
        <v>592.29999999999995</v>
      </c>
      <c r="AL7" s="67">
        <v>705.14</v>
      </c>
      <c r="AM7" s="67">
        <v>663.92</v>
      </c>
      <c r="AN7" s="67">
        <v>695.53</v>
      </c>
      <c r="AO7" s="67">
        <v>695.53</v>
      </c>
      <c r="AP7" s="67">
        <v>1272.98</v>
      </c>
      <c r="AQ7" s="67">
        <v>1285.8699999999999</v>
      </c>
      <c r="AR7" s="67">
        <v>1182.6600000000001</v>
      </c>
      <c r="AS7" s="68">
        <v>2542.38</v>
      </c>
      <c r="AT7" s="63"/>
      <c r="AU7" s="63">
        <v>185.41878082741368</v>
      </c>
    </row>
    <row r="8" spans="1:47" x14ac:dyDescent="0.2">
      <c r="A8" s="69" t="s">
        <v>166</v>
      </c>
      <c r="B8" s="70">
        <v>16708.2</v>
      </c>
      <c r="C8" s="71">
        <v>0</v>
      </c>
      <c r="D8" s="71">
        <v>7854.26</v>
      </c>
      <c r="E8" s="72"/>
      <c r="F8" s="73">
        <v>212.72786997120033</v>
      </c>
      <c r="G8" s="70">
        <v>12496.76</v>
      </c>
      <c r="H8" s="71">
        <v>13805.17</v>
      </c>
      <c r="I8" s="71">
        <v>16525.21</v>
      </c>
      <c r="J8" s="71">
        <v>16708.2</v>
      </c>
      <c r="K8" s="74">
        <v>-324.02</v>
      </c>
      <c r="L8" s="71">
        <v>0</v>
      </c>
      <c r="M8" s="71">
        <v>0</v>
      </c>
      <c r="N8" s="71">
        <v>0</v>
      </c>
      <c r="O8" s="71">
        <v>0</v>
      </c>
      <c r="P8" s="71">
        <v>0</v>
      </c>
      <c r="Q8" s="71">
        <v>0</v>
      </c>
      <c r="R8" s="71">
        <v>0</v>
      </c>
      <c r="S8" s="71">
        <v>59535.34</v>
      </c>
      <c r="T8" s="71">
        <v>0</v>
      </c>
      <c r="U8" s="71">
        <v>0</v>
      </c>
      <c r="V8" s="71">
        <v>0</v>
      </c>
      <c r="W8" s="71">
        <v>0</v>
      </c>
      <c r="X8" s="71">
        <v>0</v>
      </c>
      <c r="Y8" s="71">
        <v>0</v>
      </c>
      <c r="Z8" s="71">
        <v>0</v>
      </c>
      <c r="AA8" s="71">
        <v>0</v>
      </c>
      <c r="AB8" s="71">
        <v>0</v>
      </c>
      <c r="AC8" s="71">
        <v>0</v>
      </c>
      <c r="AD8" s="71">
        <v>0</v>
      </c>
      <c r="AE8" s="71">
        <v>0</v>
      </c>
      <c r="AF8" s="71">
        <v>0</v>
      </c>
      <c r="AG8" s="75">
        <v>7534.04</v>
      </c>
      <c r="AH8" s="75">
        <v>8935.7099999999991</v>
      </c>
      <c r="AI8" s="75">
        <v>8157.58</v>
      </c>
      <c r="AJ8" s="75">
        <v>7854.26</v>
      </c>
      <c r="AK8" s="75">
        <v>9553.0499999999993</v>
      </c>
      <c r="AL8" s="75">
        <v>9281.19</v>
      </c>
      <c r="AM8" s="75">
        <v>8711.98</v>
      </c>
      <c r="AN8" s="75">
        <v>7135.86</v>
      </c>
      <c r="AO8" s="75">
        <v>5866.88</v>
      </c>
      <c r="AP8" s="75">
        <v>14900.13</v>
      </c>
      <c r="AQ8" s="75">
        <v>15357.22</v>
      </c>
      <c r="AR8" s="75">
        <v>11154.63</v>
      </c>
      <c r="AS8" s="75">
        <v>32481.59</v>
      </c>
      <c r="AT8" s="72"/>
      <c r="AU8" s="72">
        <v>183.28948798380867</v>
      </c>
    </row>
    <row r="9" spans="1:47" ht="12.75" customHeight="1" x14ac:dyDescent="0.2">
      <c r="A9" s="61" t="s">
        <v>167</v>
      </c>
      <c r="B9" s="62"/>
      <c r="C9" s="54"/>
      <c r="D9" s="54"/>
      <c r="E9" s="63"/>
      <c r="F9" s="64"/>
      <c r="G9" s="65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66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66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8"/>
      <c r="AT9" s="63"/>
      <c r="AU9" s="63"/>
    </row>
    <row r="10" spans="1:47" ht="12.75" customHeight="1" x14ac:dyDescent="0.2">
      <c r="A10" s="61" t="s">
        <v>168</v>
      </c>
      <c r="B10" s="62"/>
      <c r="C10" s="54"/>
      <c r="D10" s="54"/>
      <c r="E10" s="63"/>
      <c r="F10" s="64"/>
      <c r="G10" s="65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66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66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8"/>
      <c r="AT10" s="63"/>
      <c r="AU10" s="63"/>
    </row>
    <row r="11" spans="1:47" ht="12.75" customHeight="1" x14ac:dyDescent="0.2">
      <c r="A11" s="61" t="s">
        <v>169</v>
      </c>
      <c r="B11" s="62">
        <v>130</v>
      </c>
      <c r="C11" s="54">
        <v>0</v>
      </c>
      <c r="D11" s="54">
        <v>509.92</v>
      </c>
      <c r="E11" s="63"/>
      <c r="F11" s="64">
        <v>25.494195167869471</v>
      </c>
      <c r="G11" s="65">
        <v>510.2</v>
      </c>
      <c r="H11" s="54">
        <v>859.64</v>
      </c>
      <c r="I11" s="54">
        <v>1413.61</v>
      </c>
      <c r="J11" s="54">
        <v>130</v>
      </c>
      <c r="K11" s="56">
        <v>-401.21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66">
        <v>2913.45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0</v>
      </c>
      <c r="AC11" s="54">
        <v>0</v>
      </c>
      <c r="AD11" s="54">
        <v>0</v>
      </c>
      <c r="AE11" s="54">
        <v>0</v>
      </c>
      <c r="AF11" s="66">
        <v>0</v>
      </c>
      <c r="AG11" s="67">
        <v>501</v>
      </c>
      <c r="AH11" s="67">
        <v>305.2</v>
      </c>
      <c r="AI11" s="67">
        <v>400.6</v>
      </c>
      <c r="AJ11" s="67">
        <v>509.92</v>
      </c>
      <c r="AK11" s="67">
        <v>2839.72</v>
      </c>
      <c r="AL11" s="98">
        <v>-259.7</v>
      </c>
      <c r="AM11" s="98">
        <v>-209.07</v>
      </c>
      <c r="AN11" s="67">
        <v>1579</v>
      </c>
      <c r="AO11" s="67">
        <v>559.86</v>
      </c>
      <c r="AP11" s="67">
        <v>719.68</v>
      </c>
      <c r="AQ11" s="67">
        <v>523.28</v>
      </c>
      <c r="AR11" s="98">
        <v>-1951.43</v>
      </c>
      <c r="AS11" s="68">
        <v>1716.72</v>
      </c>
      <c r="AT11" s="63"/>
      <c r="AU11" s="63">
        <v>169.71026142877113</v>
      </c>
    </row>
    <row r="12" spans="1:47" ht="12.75" customHeight="1" x14ac:dyDescent="0.2">
      <c r="A12" s="61" t="s">
        <v>50</v>
      </c>
      <c r="B12" s="62"/>
      <c r="C12" s="54"/>
      <c r="D12" s="54"/>
      <c r="E12" s="63"/>
      <c r="F12" s="64"/>
      <c r="G12" s="65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66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66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8"/>
      <c r="AT12" s="63"/>
      <c r="AU12" s="63"/>
    </row>
    <row r="13" spans="1:47" ht="12.75" customHeight="1" x14ac:dyDescent="0.2">
      <c r="A13" s="61" t="s">
        <v>170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47" ht="12.75" customHeight="1" x14ac:dyDescent="0.2">
      <c r="A14" s="61" t="s">
        <v>171</v>
      </c>
      <c r="B14" s="62">
        <v>0</v>
      </c>
      <c r="C14" s="54">
        <v>0</v>
      </c>
      <c r="D14" s="54">
        <v>0</v>
      </c>
      <c r="E14" s="63"/>
      <c r="F14" s="64"/>
      <c r="G14" s="65">
        <v>0</v>
      </c>
      <c r="H14" s="54">
        <v>0</v>
      </c>
      <c r="I14" s="54">
        <v>0</v>
      </c>
      <c r="J14" s="54">
        <v>0</v>
      </c>
      <c r="K14" s="54">
        <v>0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0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67">
        <v>25</v>
      </c>
      <c r="AH14" s="67">
        <v>25</v>
      </c>
      <c r="AI14" s="67">
        <v>0</v>
      </c>
      <c r="AJ14" s="67">
        <v>0</v>
      </c>
      <c r="AK14" s="67">
        <v>0</v>
      </c>
      <c r="AL14" s="67">
        <v>0</v>
      </c>
      <c r="AM14" s="67">
        <v>0</v>
      </c>
      <c r="AN14" s="67">
        <v>0</v>
      </c>
      <c r="AO14" s="67">
        <v>0</v>
      </c>
      <c r="AP14" s="67">
        <v>0</v>
      </c>
      <c r="AQ14" s="67">
        <v>0</v>
      </c>
      <c r="AR14" s="67">
        <v>0</v>
      </c>
      <c r="AS14" s="68">
        <v>50</v>
      </c>
      <c r="AT14" s="63"/>
      <c r="AU14" s="63">
        <v>0</v>
      </c>
    </row>
    <row r="15" spans="1:47" ht="12.75" customHeight="1" x14ac:dyDescent="0.2">
      <c r="A15" s="61" t="s">
        <v>172</v>
      </c>
      <c r="B15" s="62"/>
      <c r="C15" s="54"/>
      <c r="D15" s="54"/>
      <c r="E15" s="63"/>
      <c r="F15" s="64"/>
      <c r="G15" s="65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66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66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8"/>
      <c r="AT15" s="63"/>
      <c r="AU15" s="63"/>
    </row>
    <row r="16" spans="1:47" ht="12.75" customHeight="1" x14ac:dyDescent="0.2">
      <c r="A16" s="61" t="s">
        <v>173</v>
      </c>
      <c r="B16" s="62">
        <v>91.85</v>
      </c>
      <c r="C16" s="54">
        <v>0</v>
      </c>
      <c r="D16" s="54">
        <v>92.01</v>
      </c>
      <c r="E16" s="63"/>
      <c r="F16" s="64">
        <v>99.826105858058909</v>
      </c>
      <c r="G16" s="65">
        <v>91.85</v>
      </c>
      <c r="H16" s="54">
        <v>91.86</v>
      </c>
      <c r="I16" s="54">
        <v>91.85</v>
      </c>
      <c r="J16" s="54">
        <v>91.85</v>
      </c>
      <c r="K16" s="54"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66">
        <v>367.41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>
        <v>92.01</v>
      </c>
      <c r="AH16" s="67">
        <v>92.01</v>
      </c>
      <c r="AI16" s="67">
        <v>92.01</v>
      </c>
      <c r="AJ16" s="67">
        <v>92.01</v>
      </c>
      <c r="AK16" s="67">
        <v>92.02</v>
      </c>
      <c r="AL16" s="67">
        <v>92</v>
      </c>
      <c r="AM16" s="67">
        <v>92.01</v>
      </c>
      <c r="AN16" s="67">
        <v>92.02</v>
      </c>
      <c r="AO16" s="67">
        <v>92.01</v>
      </c>
      <c r="AP16" s="67">
        <v>92</v>
      </c>
      <c r="AQ16" s="67">
        <v>92.02</v>
      </c>
      <c r="AR16" s="67">
        <v>92.01</v>
      </c>
      <c r="AS16" s="68">
        <v>368.04</v>
      </c>
      <c r="AT16" s="63"/>
      <c r="AU16" s="63">
        <v>99.828822954026734</v>
      </c>
    </row>
    <row r="17" spans="1:47" ht="12.75" customHeight="1" x14ac:dyDescent="0.2">
      <c r="A17" s="61" t="s">
        <v>257</v>
      </c>
      <c r="B17" s="62">
        <v>422.1</v>
      </c>
      <c r="C17" s="54">
        <v>0</v>
      </c>
      <c r="D17" s="54">
        <v>395.85</v>
      </c>
      <c r="E17" s="63"/>
      <c r="F17" s="64">
        <v>106.63129973474801</v>
      </c>
      <c r="G17" s="65">
        <v>428.25</v>
      </c>
      <c r="H17" s="54">
        <v>428.25</v>
      </c>
      <c r="I17" s="54">
        <v>428</v>
      </c>
      <c r="J17" s="54">
        <v>422.1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1706.6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358.63</v>
      </c>
      <c r="AH17" s="67">
        <v>358.63</v>
      </c>
      <c r="AI17" s="67">
        <v>528.55999999999995</v>
      </c>
      <c r="AJ17" s="67">
        <v>395.85</v>
      </c>
      <c r="AK17" s="67">
        <v>411.94</v>
      </c>
      <c r="AL17" s="67">
        <v>411.41</v>
      </c>
      <c r="AM17" s="67">
        <v>411.41</v>
      </c>
      <c r="AN17" s="67">
        <v>410.54</v>
      </c>
      <c r="AO17" s="67">
        <v>411.1</v>
      </c>
      <c r="AP17" s="67">
        <v>421.4</v>
      </c>
      <c r="AQ17" s="67">
        <v>416.24</v>
      </c>
      <c r="AR17" s="67">
        <v>439.47</v>
      </c>
      <c r="AS17" s="68">
        <v>1641.67</v>
      </c>
      <c r="AT17" s="63"/>
      <c r="AU17" s="63">
        <v>103.95511887285508</v>
      </c>
    </row>
    <row r="18" spans="1:47" ht="12.75" customHeight="1" x14ac:dyDescent="0.2">
      <c r="A18" s="61" t="s">
        <v>109</v>
      </c>
      <c r="B18" s="62">
        <v>0</v>
      </c>
      <c r="C18" s="54">
        <v>0</v>
      </c>
      <c r="D18" s="54">
        <v>0</v>
      </c>
      <c r="E18" s="63"/>
      <c r="F18" s="64"/>
      <c r="G18" s="65">
        <v>0</v>
      </c>
      <c r="H18" s="54">
        <v>0</v>
      </c>
      <c r="I18" s="54">
        <v>0</v>
      </c>
      <c r="J18" s="54">
        <v>0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0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0</v>
      </c>
      <c r="AH18" s="67">
        <v>0</v>
      </c>
      <c r="AI18" s="67">
        <v>0</v>
      </c>
      <c r="AJ18" s="67">
        <v>0</v>
      </c>
      <c r="AK18" s="67">
        <v>0</v>
      </c>
      <c r="AL18" s="67">
        <v>0</v>
      </c>
      <c r="AM18" s="67">
        <v>0</v>
      </c>
      <c r="AN18" s="67">
        <v>0</v>
      </c>
      <c r="AO18" s="67">
        <v>0</v>
      </c>
      <c r="AP18" s="67">
        <v>0</v>
      </c>
      <c r="AQ18" s="67">
        <v>0</v>
      </c>
      <c r="AR18" s="67">
        <v>0</v>
      </c>
      <c r="AS18" s="68">
        <v>0</v>
      </c>
      <c r="AT18" s="63"/>
      <c r="AU18" s="63"/>
    </row>
    <row r="19" spans="1:47" ht="12.75" customHeight="1" x14ac:dyDescent="0.2">
      <c r="A19" s="61" t="s">
        <v>97</v>
      </c>
      <c r="B19" s="62">
        <v>17</v>
      </c>
      <c r="C19" s="54">
        <v>0</v>
      </c>
      <c r="D19" s="54">
        <v>17</v>
      </c>
      <c r="E19" s="63"/>
      <c r="F19" s="64">
        <v>100</v>
      </c>
      <c r="G19" s="65">
        <v>17</v>
      </c>
      <c r="H19" s="54">
        <v>17</v>
      </c>
      <c r="I19" s="54">
        <v>17</v>
      </c>
      <c r="J19" s="54">
        <v>17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68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0</v>
      </c>
      <c r="AH19" s="67">
        <v>0</v>
      </c>
      <c r="AI19" s="67">
        <v>24.3</v>
      </c>
      <c r="AJ19" s="67">
        <v>17</v>
      </c>
      <c r="AK19" s="67">
        <v>5.91</v>
      </c>
      <c r="AL19" s="67">
        <v>17</v>
      </c>
      <c r="AM19" s="67">
        <v>17</v>
      </c>
      <c r="AN19" s="67">
        <v>17</v>
      </c>
      <c r="AO19" s="67">
        <v>17</v>
      </c>
      <c r="AP19" s="67">
        <v>17</v>
      </c>
      <c r="AQ19" s="67">
        <v>17</v>
      </c>
      <c r="AR19" s="67">
        <v>17</v>
      </c>
      <c r="AS19" s="68">
        <v>41.3</v>
      </c>
      <c r="AT19" s="63"/>
      <c r="AU19" s="63">
        <v>164.64891041162227</v>
      </c>
    </row>
    <row r="20" spans="1:47" ht="12.75" customHeight="1" x14ac:dyDescent="0.2">
      <c r="A20" s="61" t="s">
        <v>69</v>
      </c>
      <c r="B20" s="62">
        <v>0</v>
      </c>
      <c r="C20" s="54">
        <v>0</v>
      </c>
      <c r="D20" s="54">
        <v>0</v>
      </c>
      <c r="E20" s="63"/>
      <c r="F20" s="64"/>
      <c r="G20" s="65">
        <v>1047</v>
      </c>
      <c r="H20" s="54">
        <v>0</v>
      </c>
      <c r="I20" s="54">
        <v>0</v>
      </c>
      <c r="J20" s="54">
        <v>0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66">
        <v>1047</v>
      </c>
      <c r="T20" s="54">
        <v>0</v>
      </c>
      <c r="U20" s="54">
        <v>0</v>
      </c>
      <c r="V20" s="54">
        <v>0</v>
      </c>
      <c r="W20" s="54">
        <v>0</v>
      </c>
      <c r="X20" s="54">
        <v>0</v>
      </c>
      <c r="Y20" s="54">
        <v>0</v>
      </c>
      <c r="Z20" s="54">
        <v>0</v>
      </c>
      <c r="AA20" s="54">
        <v>0</v>
      </c>
      <c r="AB20" s="54">
        <v>0</v>
      </c>
      <c r="AC20" s="54">
        <v>0</v>
      </c>
      <c r="AD20" s="54">
        <v>0</v>
      </c>
      <c r="AE20" s="54">
        <v>0</v>
      </c>
      <c r="AF20" s="66">
        <v>0</v>
      </c>
      <c r="AG20" s="67">
        <v>0</v>
      </c>
      <c r="AH20" s="67">
        <v>0</v>
      </c>
      <c r="AI20" s="67">
        <v>715</v>
      </c>
      <c r="AJ20" s="67">
        <v>0</v>
      </c>
      <c r="AK20" s="67">
        <v>0</v>
      </c>
      <c r="AL20" s="67">
        <v>2469.56</v>
      </c>
      <c r="AM20" s="67">
        <v>0</v>
      </c>
      <c r="AN20" s="67">
        <v>0</v>
      </c>
      <c r="AO20" s="67">
        <v>526.96</v>
      </c>
      <c r="AP20" s="67">
        <v>0</v>
      </c>
      <c r="AQ20" s="67">
        <v>0</v>
      </c>
      <c r="AR20" s="67">
        <v>0</v>
      </c>
      <c r="AS20" s="68">
        <v>715</v>
      </c>
      <c r="AT20" s="63"/>
      <c r="AU20" s="63">
        <v>146.43356643356643</v>
      </c>
    </row>
    <row r="21" spans="1:47" ht="12.75" customHeight="1" x14ac:dyDescent="0.2">
      <c r="A21" s="69" t="s">
        <v>70</v>
      </c>
      <c r="B21" s="70">
        <v>17</v>
      </c>
      <c r="C21" s="71">
        <v>0</v>
      </c>
      <c r="D21" s="71">
        <v>17</v>
      </c>
      <c r="E21" s="72"/>
      <c r="F21" s="73">
        <v>100</v>
      </c>
      <c r="G21" s="70">
        <v>1064</v>
      </c>
      <c r="H21" s="71">
        <v>17</v>
      </c>
      <c r="I21" s="71">
        <v>17</v>
      </c>
      <c r="J21" s="71">
        <v>17</v>
      </c>
      <c r="K21" s="71">
        <v>0</v>
      </c>
      <c r="L21" s="71">
        <v>0</v>
      </c>
      <c r="M21" s="71">
        <v>0</v>
      </c>
      <c r="N21" s="71">
        <v>0</v>
      </c>
      <c r="O21" s="71">
        <v>0</v>
      </c>
      <c r="P21" s="71">
        <v>0</v>
      </c>
      <c r="Q21" s="71">
        <v>0</v>
      </c>
      <c r="R21" s="71">
        <v>0</v>
      </c>
      <c r="S21" s="71">
        <v>1115</v>
      </c>
      <c r="T21" s="71">
        <v>0</v>
      </c>
      <c r="U21" s="71">
        <v>0</v>
      </c>
      <c r="V21" s="71">
        <v>0</v>
      </c>
      <c r="W21" s="71">
        <v>0</v>
      </c>
      <c r="X21" s="71">
        <v>0</v>
      </c>
      <c r="Y21" s="71">
        <v>0</v>
      </c>
      <c r="Z21" s="71">
        <v>0</v>
      </c>
      <c r="AA21" s="71">
        <v>0</v>
      </c>
      <c r="AB21" s="71">
        <v>0</v>
      </c>
      <c r="AC21" s="71">
        <v>0</v>
      </c>
      <c r="AD21" s="71">
        <v>0</v>
      </c>
      <c r="AE21" s="71">
        <v>0</v>
      </c>
      <c r="AF21" s="71">
        <v>0</v>
      </c>
      <c r="AG21" s="75">
        <v>0</v>
      </c>
      <c r="AH21" s="75">
        <v>0</v>
      </c>
      <c r="AI21" s="75">
        <v>739.3</v>
      </c>
      <c r="AJ21" s="75">
        <v>17</v>
      </c>
      <c r="AK21" s="75">
        <v>5.91</v>
      </c>
      <c r="AL21" s="75">
        <v>2486.56</v>
      </c>
      <c r="AM21" s="75">
        <v>17</v>
      </c>
      <c r="AN21" s="75">
        <v>17</v>
      </c>
      <c r="AO21" s="75">
        <v>543.96</v>
      </c>
      <c r="AP21" s="75">
        <v>17</v>
      </c>
      <c r="AQ21" s="75">
        <v>17</v>
      </c>
      <c r="AR21" s="75">
        <v>17</v>
      </c>
      <c r="AS21" s="75">
        <v>756.3</v>
      </c>
      <c r="AT21" s="72"/>
      <c r="AU21" s="72">
        <v>147.42826920534179</v>
      </c>
    </row>
    <row r="22" spans="1:47" ht="12.75" customHeight="1" x14ac:dyDescent="0.2">
      <c r="A22" s="61" t="s">
        <v>174</v>
      </c>
      <c r="B22" s="62">
        <v>0</v>
      </c>
      <c r="C22" s="54">
        <v>0</v>
      </c>
      <c r="D22" s="54">
        <v>0</v>
      </c>
      <c r="E22" s="63"/>
      <c r="F22" s="64"/>
      <c r="G22" s="65">
        <v>0</v>
      </c>
      <c r="H22" s="54">
        <v>0</v>
      </c>
      <c r="I22" s="54">
        <v>0</v>
      </c>
      <c r="J22" s="54">
        <v>0</v>
      </c>
      <c r="K22" s="54">
        <v>0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66">
        <v>0</v>
      </c>
      <c r="T22" s="54">
        <v>0</v>
      </c>
      <c r="U22" s="54">
        <v>0</v>
      </c>
      <c r="V22" s="54">
        <v>0</v>
      </c>
      <c r="W22" s="54">
        <v>0</v>
      </c>
      <c r="X22" s="54">
        <v>0</v>
      </c>
      <c r="Y22" s="54">
        <v>0</v>
      </c>
      <c r="Z22" s="54">
        <v>0</v>
      </c>
      <c r="AA22" s="54">
        <v>0</v>
      </c>
      <c r="AB22" s="54">
        <v>0</v>
      </c>
      <c r="AC22" s="54">
        <v>0</v>
      </c>
      <c r="AD22" s="54">
        <v>0</v>
      </c>
      <c r="AE22" s="54">
        <v>0</v>
      </c>
      <c r="AF22" s="66">
        <v>0</v>
      </c>
      <c r="AG22" s="67">
        <v>0</v>
      </c>
      <c r="AH22" s="67">
        <v>0</v>
      </c>
      <c r="AI22" s="67">
        <v>0</v>
      </c>
      <c r="AJ22" s="67">
        <v>0</v>
      </c>
      <c r="AK22" s="67">
        <v>0</v>
      </c>
      <c r="AL22" s="67">
        <v>0</v>
      </c>
      <c r="AM22" s="67">
        <v>0</v>
      </c>
      <c r="AN22" s="67">
        <v>0</v>
      </c>
      <c r="AO22" s="67">
        <v>0</v>
      </c>
      <c r="AP22" s="67">
        <v>0</v>
      </c>
      <c r="AQ22" s="67">
        <v>0</v>
      </c>
      <c r="AR22" s="67">
        <v>0</v>
      </c>
      <c r="AS22" s="68">
        <v>0</v>
      </c>
      <c r="AT22" s="63"/>
      <c r="AU22" s="63"/>
    </row>
    <row r="23" spans="1:47" ht="12.75" customHeight="1" x14ac:dyDescent="0.2">
      <c r="A23" s="61" t="s">
        <v>99</v>
      </c>
      <c r="B23" s="62">
        <v>224.77</v>
      </c>
      <c r="C23" s="54">
        <v>0</v>
      </c>
      <c r="D23" s="54">
        <v>156.06</v>
      </c>
      <c r="E23" s="63"/>
      <c r="F23" s="64">
        <v>144.02793797257465</v>
      </c>
      <c r="G23" s="65">
        <v>178.97</v>
      </c>
      <c r="H23" s="54">
        <v>0</v>
      </c>
      <c r="I23" s="54">
        <v>103.5</v>
      </c>
      <c r="J23" s="54">
        <v>224.77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507.24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0</v>
      </c>
      <c r="AH23" s="67">
        <v>264.20999999999998</v>
      </c>
      <c r="AI23" s="98">
        <v>-5.22</v>
      </c>
      <c r="AJ23" s="67">
        <v>156.06</v>
      </c>
      <c r="AK23" s="67">
        <v>126.61</v>
      </c>
      <c r="AL23" s="67">
        <v>115.72</v>
      </c>
      <c r="AM23" s="67">
        <v>137.88</v>
      </c>
      <c r="AN23" s="67">
        <v>111.64</v>
      </c>
      <c r="AO23" s="67">
        <v>0</v>
      </c>
      <c r="AP23" s="67">
        <v>0</v>
      </c>
      <c r="AQ23" s="67">
        <v>137.69999999999999</v>
      </c>
      <c r="AR23" s="67">
        <v>0</v>
      </c>
      <c r="AS23" s="68">
        <v>415.05</v>
      </c>
      <c r="AT23" s="63"/>
      <c r="AU23" s="63">
        <v>122.21178171304662</v>
      </c>
    </row>
    <row r="24" spans="1:47" ht="12.75" customHeight="1" x14ac:dyDescent="0.2">
      <c r="A24" s="61" t="s">
        <v>175</v>
      </c>
      <c r="B24" s="62"/>
      <c r="C24" s="54"/>
      <c r="D24" s="54"/>
      <c r="E24" s="63"/>
      <c r="F24" s="64"/>
      <c r="G24" s="65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66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66"/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8"/>
      <c r="AT24" s="63"/>
      <c r="AU24" s="63"/>
    </row>
    <row r="25" spans="1:47" ht="12.75" customHeight="1" x14ac:dyDescent="0.2">
      <c r="A25" s="61" t="s">
        <v>100</v>
      </c>
      <c r="B25" s="62">
        <v>64.510000000000005</v>
      </c>
      <c r="C25" s="54">
        <v>0</v>
      </c>
      <c r="D25" s="54">
        <v>211.19</v>
      </c>
      <c r="E25" s="63"/>
      <c r="F25" s="64">
        <v>30.545953880392062</v>
      </c>
      <c r="G25" s="65">
        <v>645.04999999999995</v>
      </c>
      <c r="H25" s="56">
        <v>-399.93</v>
      </c>
      <c r="I25" s="54">
        <v>341.86</v>
      </c>
      <c r="J25" s="54">
        <v>64.510000000000005</v>
      </c>
      <c r="K25" s="56">
        <v>-645.04999999999995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651.49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380.14</v>
      </c>
      <c r="AH25" s="67">
        <v>0</v>
      </c>
      <c r="AI25" s="67">
        <v>221.05</v>
      </c>
      <c r="AJ25" s="67">
        <v>211.19</v>
      </c>
      <c r="AK25" s="67">
        <v>343.2</v>
      </c>
      <c r="AL25" s="67">
        <v>0</v>
      </c>
      <c r="AM25" s="67">
        <v>420.06</v>
      </c>
      <c r="AN25" s="98">
        <v>-28</v>
      </c>
      <c r="AO25" s="67">
        <v>0</v>
      </c>
      <c r="AP25" s="67">
        <v>332.66</v>
      </c>
      <c r="AQ25" s="98">
        <v>-16.329999999999998</v>
      </c>
      <c r="AR25" s="67">
        <v>1198.3599999999999</v>
      </c>
      <c r="AS25" s="68">
        <v>812.38</v>
      </c>
      <c r="AT25" s="63"/>
      <c r="AU25" s="63">
        <v>80.195228833796989</v>
      </c>
    </row>
    <row r="26" spans="1:47" ht="12.75" customHeight="1" x14ac:dyDescent="0.2">
      <c r="A26" s="61" t="s">
        <v>101</v>
      </c>
      <c r="B26" s="62">
        <v>34.57</v>
      </c>
      <c r="C26" s="54">
        <v>0</v>
      </c>
      <c r="D26" s="54">
        <v>49.03</v>
      </c>
      <c r="E26" s="63"/>
      <c r="F26" s="64">
        <v>70.507852335304918</v>
      </c>
      <c r="G26" s="65">
        <v>34.33</v>
      </c>
      <c r="H26" s="54">
        <v>34.25</v>
      </c>
      <c r="I26" s="54">
        <v>34.25</v>
      </c>
      <c r="J26" s="54">
        <v>34.57</v>
      </c>
      <c r="K26" s="56">
        <v>-34.25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137.4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46.04</v>
      </c>
      <c r="AH26" s="67">
        <v>44.7</v>
      </c>
      <c r="AI26" s="67">
        <v>122.2</v>
      </c>
      <c r="AJ26" s="67">
        <v>49.03</v>
      </c>
      <c r="AK26" s="67">
        <v>37.299999999999997</v>
      </c>
      <c r="AL26" s="67">
        <v>37.25</v>
      </c>
      <c r="AM26" s="67">
        <v>0</v>
      </c>
      <c r="AN26" s="67">
        <v>0</v>
      </c>
      <c r="AO26" s="67">
        <v>73.040000000000006</v>
      </c>
      <c r="AP26" s="67">
        <v>39.33</v>
      </c>
      <c r="AQ26" s="67">
        <v>0</v>
      </c>
      <c r="AR26" s="67">
        <v>103.9</v>
      </c>
      <c r="AS26" s="68">
        <v>261.97000000000003</v>
      </c>
      <c r="AT26" s="63"/>
      <c r="AU26" s="63">
        <v>52.44875367408482</v>
      </c>
    </row>
    <row r="27" spans="1:47" ht="12.75" customHeight="1" x14ac:dyDescent="0.2">
      <c r="A27" s="61" t="s">
        <v>176</v>
      </c>
      <c r="B27" s="62">
        <v>0</v>
      </c>
      <c r="C27" s="54">
        <v>0</v>
      </c>
      <c r="D27" s="54">
        <v>0</v>
      </c>
      <c r="E27" s="63"/>
      <c r="F27" s="64"/>
      <c r="G27" s="65">
        <v>0</v>
      </c>
      <c r="H27" s="54">
        <v>0</v>
      </c>
      <c r="I27" s="54">
        <v>0</v>
      </c>
      <c r="J27" s="54">
        <v>0</v>
      </c>
      <c r="K27" s="54">
        <v>0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0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0</v>
      </c>
      <c r="AH27" s="67">
        <v>0</v>
      </c>
      <c r="AI27" s="67">
        <v>0</v>
      </c>
      <c r="AJ27" s="67">
        <v>0</v>
      </c>
      <c r="AK27" s="67">
        <v>0</v>
      </c>
      <c r="AL27" s="67">
        <v>0</v>
      </c>
      <c r="AM27" s="67">
        <v>0</v>
      </c>
      <c r="AN27" s="67">
        <v>0</v>
      </c>
      <c r="AO27" s="67">
        <v>0</v>
      </c>
      <c r="AP27" s="67">
        <v>0</v>
      </c>
      <c r="AQ27" s="67">
        <v>0</v>
      </c>
      <c r="AR27" s="67">
        <v>0</v>
      </c>
      <c r="AS27" s="68">
        <v>0</v>
      </c>
      <c r="AT27" s="63"/>
      <c r="AU27" s="63"/>
    </row>
    <row r="28" spans="1:47" ht="12.75" customHeight="1" x14ac:dyDescent="0.2">
      <c r="A28" s="61" t="s">
        <v>102</v>
      </c>
      <c r="B28" s="62">
        <v>103.98</v>
      </c>
      <c r="C28" s="54">
        <v>0</v>
      </c>
      <c r="D28" s="54">
        <v>103.58</v>
      </c>
      <c r="E28" s="63"/>
      <c r="F28" s="64">
        <v>100.38617493724658</v>
      </c>
      <c r="G28" s="65">
        <v>103.98</v>
      </c>
      <c r="H28" s="54">
        <v>95.94</v>
      </c>
      <c r="I28" s="54">
        <v>95.94</v>
      </c>
      <c r="J28" s="54">
        <v>103.98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399.84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95.94</v>
      </c>
      <c r="AH28" s="67">
        <v>95.94</v>
      </c>
      <c r="AI28" s="67">
        <v>95.94</v>
      </c>
      <c r="AJ28" s="67">
        <v>103.58</v>
      </c>
      <c r="AK28" s="67">
        <v>95.94</v>
      </c>
      <c r="AL28" s="67">
        <v>95.94</v>
      </c>
      <c r="AM28" s="67">
        <v>95.94</v>
      </c>
      <c r="AN28" s="67">
        <v>95.94</v>
      </c>
      <c r="AO28" s="67">
        <v>95.94</v>
      </c>
      <c r="AP28" s="67">
        <v>95.94</v>
      </c>
      <c r="AQ28" s="67">
        <v>103.58</v>
      </c>
      <c r="AR28" s="67">
        <v>95.94</v>
      </c>
      <c r="AS28" s="68">
        <v>391.4</v>
      </c>
      <c r="AT28" s="63"/>
      <c r="AU28" s="63">
        <v>102.15636177823198</v>
      </c>
    </row>
    <row r="29" spans="1:47" ht="12.75" customHeight="1" x14ac:dyDescent="0.2">
      <c r="A29" s="61" t="s">
        <v>75</v>
      </c>
      <c r="B29" s="62">
        <v>59.06</v>
      </c>
      <c r="C29" s="54">
        <v>0</v>
      </c>
      <c r="D29" s="54">
        <v>0</v>
      </c>
      <c r="E29" s="63"/>
      <c r="F29" s="64"/>
      <c r="G29" s="65">
        <v>0</v>
      </c>
      <c r="H29" s="54">
        <v>59.06</v>
      </c>
      <c r="I29" s="54">
        <v>59.06</v>
      </c>
      <c r="J29" s="54">
        <v>59.06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177.18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0</v>
      </c>
      <c r="AH29" s="67">
        <v>0</v>
      </c>
      <c r="AI29" s="67">
        <v>0</v>
      </c>
      <c r="AJ29" s="67">
        <v>0</v>
      </c>
      <c r="AK29" s="67">
        <v>0</v>
      </c>
      <c r="AL29" s="67">
        <v>120.71</v>
      </c>
      <c r="AM29" s="67">
        <v>120.71</v>
      </c>
      <c r="AN29" s="67">
        <v>120.71</v>
      </c>
      <c r="AO29" s="67">
        <v>120.71</v>
      </c>
      <c r="AP29" s="67">
        <v>120.71</v>
      </c>
      <c r="AQ29" s="67">
        <v>120.71</v>
      </c>
      <c r="AR29" s="67">
        <v>120.71</v>
      </c>
      <c r="AS29" s="68">
        <v>0</v>
      </c>
      <c r="AT29" s="63"/>
      <c r="AU29" s="63"/>
    </row>
    <row r="30" spans="1:47" ht="12.75" customHeight="1" x14ac:dyDescent="0.2">
      <c r="A30" s="61" t="s">
        <v>76</v>
      </c>
      <c r="B30" s="62">
        <v>2647.69</v>
      </c>
      <c r="C30" s="54">
        <v>0</v>
      </c>
      <c r="D30" s="54">
        <v>2419.33</v>
      </c>
      <c r="E30" s="63"/>
      <c r="F30" s="64">
        <v>109.43897690682958</v>
      </c>
      <c r="G30" s="65">
        <v>1917.8</v>
      </c>
      <c r="H30" s="54">
        <v>425.12</v>
      </c>
      <c r="I30" s="54">
        <v>450.11</v>
      </c>
      <c r="J30" s="54">
        <v>2647.69</v>
      </c>
      <c r="K30" s="56">
        <v>-425.12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5440.72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855.76</v>
      </c>
      <c r="AH30" s="67">
        <v>812.32</v>
      </c>
      <c r="AI30" s="67">
        <v>758.35</v>
      </c>
      <c r="AJ30" s="67">
        <v>2419.33</v>
      </c>
      <c r="AK30" s="67">
        <v>800.95</v>
      </c>
      <c r="AL30" s="67">
        <v>396.19</v>
      </c>
      <c r="AM30" s="67">
        <v>2063.16</v>
      </c>
      <c r="AN30" s="98">
        <v>-212.59</v>
      </c>
      <c r="AO30" s="67">
        <v>3295.37</v>
      </c>
      <c r="AP30" s="67">
        <v>396.2</v>
      </c>
      <c r="AQ30" s="67">
        <v>721.18</v>
      </c>
      <c r="AR30" s="67">
        <v>627.74</v>
      </c>
      <c r="AS30" s="68">
        <v>4845.76</v>
      </c>
      <c r="AT30" s="63"/>
      <c r="AU30" s="63">
        <v>112.2779502080169</v>
      </c>
    </row>
    <row r="31" spans="1:47" ht="12.75" customHeight="1" x14ac:dyDescent="0.2">
      <c r="A31" s="61" t="s">
        <v>77</v>
      </c>
      <c r="B31" s="62">
        <v>28.09</v>
      </c>
      <c r="C31" s="54">
        <v>0</v>
      </c>
      <c r="D31" s="54">
        <v>28.09</v>
      </c>
      <c r="E31" s="63"/>
      <c r="F31" s="64">
        <v>100</v>
      </c>
      <c r="G31" s="65">
        <v>28.09</v>
      </c>
      <c r="H31" s="54">
        <v>28.09</v>
      </c>
      <c r="I31" s="54">
        <v>28.09</v>
      </c>
      <c r="J31" s="54">
        <v>28.09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112.36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28.09</v>
      </c>
      <c r="AH31" s="67">
        <v>28.09</v>
      </c>
      <c r="AI31" s="67">
        <v>28.09</v>
      </c>
      <c r="AJ31" s="67">
        <v>28.09</v>
      </c>
      <c r="AK31" s="67">
        <v>28.09</v>
      </c>
      <c r="AL31" s="67">
        <v>28.09</v>
      </c>
      <c r="AM31" s="67">
        <v>28.09</v>
      </c>
      <c r="AN31" s="67">
        <v>28.09</v>
      </c>
      <c r="AO31" s="67">
        <v>28.09</v>
      </c>
      <c r="AP31" s="67">
        <v>28.09</v>
      </c>
      <c r="AQ31" s="67">
        <v>28.09</v>
      </c>
      <c r="AR31" s="67">
        <v>28.09</v>
      </c>
      <c r="AS31" s="68">
        <v>112.36</v>
      </c>
      <c r="AT31" s="63"/>
      <c r="AU31" s="63">
        <v>100</v>
      </c>
    </row>
    <row r="32" spans="1:47" ht="12.75" customHeight="1" x14ac:dyDescent="0.2">
      <c r="A32" s="69" t="s">
        <v>177</v>
      </c>
      <c r="B32" s="70">
        <v>3162.67</v>
      </c>
      <c r="C32" s="71">
        <v>0</v>
      </c>
      <c r="D32" s="71">
        <v>2967.28</v>
      </c>
      <c r="E32" s="72"/>
      <c r="F32" s="73">
        <v>106.58481841956269</v>
      </c>
      <c r="G32" s="70">
        <v>2908.22</v>
      </c>
      <c r="H32" s="71">
        <v>242.53</v>
      </c>
      <c r="I32" s="71">
        <v>1112.81</v>
      </c>
      <c r="J32" s="71">
        <v>3162.67</v>
      </c>
      <c r="K32" s="74">
        <v>-1104.42</v>
      </c>
      <c r="L32" s="71">
        <v>0</v>
      </c>
      <c r="M32" s="71">
        <v>0</v>
      </c>
      <c r="N32" s="71">
        <v>0</v>
      </c>
      <c r="O32" s="71">
        <v>0</v>
      </c>
      <c r="P32" s="71">
        <v>0</v>
      </c>
      <c r="Q32" s="71">
        <v>0</v>
      </c>
      <c r="R32" s="71">
        <v>0</v>
      </c>
      <c r="S32" s="71">
        <v>7426.23</v>
      </c>
      <c r="T32" s="71">
        <v>0</v>
      </c>
      <c r="U32" s="71">
        <v>0</v>
      </c>
      <c r="V32" s="71">
        <v>0</v>
      </c>
      <c r="W32" s="71">
        <v>0</v>
      </c>
      <c r="X32" s="71">
        <v>0</v>
      </c>
      <c r="Y32" s="71">
        <v>0</v>
      </c>
      <c r="Z32" s="71">
        <v>0</v>
      </c>
      <c r="AA32" s="71">
        <v>0</v>
      </c>
      <c r="AB32" s="71">
        <v>0</v>
      </c>
      <c r="AC32" s="71">
        <v>0</v>
      </c>
      <c r="AD32" s="71">
        <v>0</v>
      </c>
      <c r="AE32" s="71">
        <v>0</v>
      </c>
      <c r="AF32" s="71">
        <v>0</v>
      </c>
      <c r="AG32" s="75">
        <v>1405.97</v>
      </c>
      <c r="AH32" s="75">
        <v>1245.26</v>
      </c>
      <c r="AI32" s="75">
        <v>1220.4100000000001</v>
      </c>
      <c r="AJ32" s="75">
        <v>2967.28</v>
      </c>
      <c r="AK32" s="75">
        <v>1432.09</v>
      </c>
      <c r="AL32" s="75">
        <v>793.9</v>
      </c>
      <c r="AM32" s="75">
        <v>2865.84</v>
      </c>
      <c r="AN32" s="75">
        <v>115.79</v>
      </c>
      <c r="AO32" s="75">
        <v>3613.15</v>
      </c>
      <c r="AP32" s="75">
        <v>1012.93</v>
      </c>
      <c r="AQ32" s="75">
        <v>1094.93</v>
      </c>
      <c r="AR32" s="75">
        <v>2174.7399999999998</v>
      </c>
      <c r="AS32" s="75">
        <v>6838.92</v>
      </c>
      <c r="AT32" s="72"/>
      <c r="AU32" s="72">
        <v>108.58775947079363</v>
      </c>
    </row>
    <row r="33" spans="1:47" ht="12.75" customHeight="1" x14ac:dyDescent="0.2">
      <c r="A33" s="61" t="s">
        <v>178</v>
      </c>
      <c r="B33" s="62">
        <v>221.44</v>
      </c>
      <c r="C33" s="54"/>
      <c r="D33" s="54">
        <v>0</v>
      </c>
      <c r="E33" s="63"/>
      <c r="F33" s="64"/>
      <c r="G33" s="65">
        <v>484.9</v>
      </c>
      <c r="H33" s="54">
        <v>474.27</v>
      </c>
      <c r="I33" s="54">
        <v>0</v>
      </c>
      <c r="J33" s="54">
        <v>221.44</v>
      </c>
      <c r="K33" s="54">
        <v>0</v>
      </c>
      <c r="L33" s="54">
        <v>0</v>
      </c>
      <c r="M33" s="54">
        <v>0</v>
      </c>
      <c r="N33" s="54">
        <v>0</v>
      </c>
      <c r="O33" s="54">
        <v>0</v>
      </c>
      <c r="P33" s="54">
        <v>0</v>
      </c>
      <c r="Q33" s="54">
        <v>0</v>
      </c>
      <c r="R33" s="54">
        <v>0</v>
      </c>
      <c r="S33" s="66">
        <v>1180.6099999999999</v>
      </c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66"/>
      <c r="AG33" s="67">
        <v>0</v>
      </c>
      <c r="AH33" s="67">
        <v>0</v>
      </c>
      <c r="AI33" s="67">
        <v>0</v>
      </c>
      <c r="AJ33" s="67">
        <v>0</v>
      </c>
      <c r="AK33" s="67">
        <v>0</v>
      </c>
      <c r="AL33" s="67">
        <v>0</v>
      </c>
      <c r="AM33" s="67">
        <v>0</v>
      </c>
      <c r="AN33" s="67">
        <v>0</v>
      </c>
      <c r="AO33" s="67">
        <v>132.27000000000001</v>
      </c>
      <c r="AP33" s="67">
        <v>0</v>
      </c>
      <c r="AQ33" s="67">
        <v>0</v>
      </c>
      <c r="AR33" s="67">
        <v>0</v>
      </c>
      <c r="AS33" s="68">
        <v>0</v>
      </c>
      <c r="AT33" s="63"/>
      <c r="AU33" s="63"/>
    </row>
    <row r="34" spans="1:47" ht="12.75" customHeight="1" x14ac:dyDescent="0.2">
      <c r="A34" s="61" t="s">
        <v>179</v>
      </c>
      <c r="B34" s="62">
        <v>0</v>
      </c>
      <c r="C34" s="54">
        <v>0</v>
      </c>
      <c r="D34" s="54">
        <v>72.17</v>
      </c>
      <c r="E34" s="63"/>
      <c r="F34" s="64">
        <v>0</v>
      </c>
      <c r="G34" s="65">
        <v>0</v>
      </c>
      <c r="H34" s="54">
        <v>0</v>
      </c>
      <c r="I34" s="54">
        <v>288.68</v>
      </c>
      <c r="J34" s="54">
        <v>0</v>
      </c>
      <c r="K34" s="54">
        <v>0</v>
      </c>
      <c r="L34" s="54">
        <v>0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66">
        <v>288.68</v>
      </c>
      <c r="T34" s="54">
        <v>0</v>
      </c>
      <c r="U34" s="54">
        <v>0</v>
      </c>
      <c r="V34" s="54">
        <v>0</v>
      </c>
      <c r="W34" s="54">
        <v>0</v>
      </c>
      <c r="X34" s="54">
        <v>0</v>
      </c>
      <c r="Y34" s="54">
        <v>0</v>
      </c>
      <c r="Z34" s="54">
        <v>0</v>
      </c>
      <c r="AA34" s="54">
        <v>0</v>
      </c>
      <c r="AB34" s="54">
        <v>0</v>
      </c>
      <c r="AC34" s="54">
        <v>0</v>
      </c>
      <c r="AD34" s="54">
        <v>0</v>
      </c>
      <c r="AE34" s="54">
        <v>0</v>
      </c>
      <c r="AF34" s="66">
        <v>0</v>
      </c>
      <c r="AG34" s="67">
        <v>30.76</v>
      </c>
      <c r="AH34" s="67">
        <v>248.04</v>
      </c>
      <c r="AI34" s="67">
        <v>92.98</v>
      </c>
      <c r="AJ34" s="67">
        <v>72.17</v>
      </c>
      <c r="AK34" s="67">
        <v>41.95</v>
      </c>
      <c r="AL34" s="67">
        <v>43.51</v>
      </c>
      <c r="AM34" s="67">
        <v>1029.49</v>
      </c>
      <c r="AN34" s="67">
        <v>0</v>
      </c>
      <c r="AO34" s="67">
        <v>0</v>
      </c>
      <c r="AP34" s="67">
        <v>792.09</v>
      </c>
      <c r="AQ34" s="67">
        <v>510.52</v>
      </c>
      <c r="AR34" s="67">
        <v>640.42999999999995</v>
      </c>
      <c r="AS34" s="68">
        <v>443.95</v>
      </c>
      <c r="AT34" s="63"/>
      <c r="AU34" s="63">
        <v>65.025340691519318</v>
      </c>
    </row>
    <row r="35" spans="1:47" ht="12.75" customHeight="1" x14ac:dyDescent="0.2">
      <c r="A35" s="61" t="s">
        <v>180</v>
      </c>
      <c r="B35" s="62">
        <v>0</v>
      </c>
      <c r="C35" s="54">
        <v>0</v>
      </c>
      <c r="D35" s="54">
        <v>0</v>
      </c>
      <c r="E35" s="63"/>
      <c r="F35" s="64"/>
      <c r="G35" s="65">
        <v>0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0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0</v>
      </c>
      <c r="AH35" s="67">
        <v>0</v>
      </c>
      <c r="AI35" s="67">
        <v>0</v>
      </c>
      <c r="AJ35" s="67">
        <v>0</v>
      </c>
      <c r="AK35" s="67">
        <v>0</v>
      </c>
      <c r="AL35" s="67">
        <v>0</v>
      </c>
      <c r="AM35" s="67">
        <v>0</v>
      </c>
      <c r="AN35" s="67">
        <v>0</v>
      </c>
      <c r="AO35" s="67">
        <v>0</v>
      </c>
      <c r="AP35" s="67">
        <v>0</v>
      </c>
      <c r="AQ35" s="67">
        <v>0</v>
      </c>
      <c r="AR35" s="67">
        <v>0</v>
      </c>
      <c r="AS35" s="68">
        <v>0</v>
      </c>
      <c r="AT35" s="63"/>
      <c r="AU35" s="63"/>
    </row>
    <row r="36" spans="1:47" ht="12.75" customHeight="1" x14ac:dyDescent="0.2">
      <c r="A36" s="61" t="s">
        <v>181</v>
      </c>
      <c r="B36" s="62">
        <v>0</v>
      </c>
      <c r="C36" s="54">
        <v>0</v>
      </c>
      <c r="D36" s="54">
        <v>0</v>
      </c>
      <c r="E36" s="63"/>
      <c r="F36" s="64"/>
      <c r="G36" s="65">
        <v>0</v>
      </c>
      <c r="H36" s="54">
        <v>0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0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>
        <v>0</v>
      </c>
      <c r="AH36" s="67">
        <v>0</v>
      </c>
      <c r="AI36" s="67">
        <v>0</v>
      </c>
      <c r="AJ36" s="67">
        <v>0</v>
      </c>
      <c r="AK36" s="67">
        <v>0</v>
      </c>
      <c r="AL36" s="67">
        <v>0</v>
      </c>
      <c r="AM36" s="67">
        <v>0</v>
      </c>
      <c r="AN36" s="67">
        <v>0</v>
      </c>
      <c r="AO36" s="67">
        <v>0</v>
      </c>
      <c r="AP36" s="67">
        <v>0</v>
      </c>
      <c r="AQ36" s="67">
        <v>0</v>
      </c>
      <c r="AR36" s="67">
        <v>0</v>
      </c>
      <c r="AS36" s="68">
        <v>0</v>
      </c>
      <c r="AT36" s="63"/>
      <c r="AU36" s="63"/>
    </row>
    <row r="37" spans="1:47" ht="12.75" customHeight="1" x14ac:dyDescent="0.2">
      <c r="A37" s="61" t="s">
        <v>182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0</v>
      </c>
      <c r="AM37" s="67">
        <v>0</v>
      </c>
      <c r="AN37" s="67">
        <v>0</v>
      </c>
      <c r="AO37" s="67">
        <v>53.31</v>
      </c>
      <c r="AP37" s="67">
        <v>0</v>
      </c>
      <c r="AQ37" s="67">
        <v>0</v>
      </c>
      <c r="AR37" s="67">
        <v>0</v>
      </c>
      <c r="AS37" s="68">
        <v>0</v>
      </c>
      <c r="AT37" s="63"/>
      <c r="AU37" s="63"/>
    </row>
    <row r="38" spans="1:47" ht="12.75" customHeight="1" x14ac:dyDescent="0.2">
      <c r="A38" s="61" t="s">
        <v>183</v>
      </c>
      <c r="B38" s="62">
        <v>0</v>
      </c>
      <c r="C38" s="54"/>
      <c r="D38" s="54">
        <v>0</v>
      </c>
      <c r="E38" s="63"/>
      <c r="F38" s="64"/>
      <c r="G38" s="65">
        <v>826.94</v>
      </c>
      <c r="H38" s="54">
        <v>589.9</v>
      </c>
      <c r="I38" s="54">
        <v>1183.3800000000001</v>
      </c>
      <c r="J38" s="54">
        <v>0</v>
      </c>
      <c r="K38" s="56">
        <v>-2600.2199999999998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2600.2199999999998</v>
      </c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66"/>
      <c r="AG38" s="67">
        <v>0</v>
      </c>
      <c r="AH38" s="67">
        <v>0</v>
      </c>
      <c r="AI38" s="67">
        <v>0</v>
      </c>
      <c r="AJ38" s="67">
        <v>0</v>
      </c>
      <c r="AK38" s="67">
        <v>0</v>
      </c>
      <c r="AL38" s="67">
        <v>0</v>
      </c>
      <c r="AM38" s="67">
        <v>0</v>
      </c>
      <c r="AN38" s="67">
        <v>0</v>
      </c>
      <c r="AO38" s="67">
        <v>290.18</v>
      </c>
      <c r="AP38" s="67">
        <v>71.989999999999995</v>
      </c>
      <c r="AQ38" s="98">
        <v>-270.51</v>
      </c>
      <c r="AR38" s="67">
        <v>0</v>
      </c>
      <c r="AS38" s="68">
        <v>0</v>
      </c>
      <c r="AT38" s="63"/>
      <c r="AU38" s="63"/>
    </row>
    <row r="39" spans="1:47" ht="12.75" customHeight="1" x14ac:dyDescent="0.2">
      <c r="A39" s="61" t="s">
        <v>184</v>
      </c>
      <c r="B39" s="62">
        <v>0</v>
      </c>
      <c r="C39" s="54">
        <v>0</v>
      </c>
      <c r="D39" s="54">
        <v>0</v>
      </c>
      <c r="E39" s="63"/>
      <c r="F39" s="64"/>
      <c r="G39" s="65">
        <v>0</v>
      </c>
      <c r="H39" s="54">
        <v>0</v>
      </c>
      <c r="I39" s="54">
        <v>0</v>
      </c>
      <c r="J39" s="54">
        <v>0</v>
      </c>
      <c r="K39" s="54">
        <v>0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66">
        <v>0</v>
      </c>
      <c r="T39" s="54">
        <v>0</v>
      </c>
      <c r="U39" s="54">
        <v>0</v>
      </c>
      <c r="V39" s="54">
        <v>0</v>
      </c>
      <c r="W39" s="54">
        <v>0</v>
      </c>
      <c r="X39" s="54">
        <v>0</v>
      </c>
      <c r="Y39" s="54">
        <v>0</v>
      </c>
      <c r="Z39" s="54">
        <v>0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66">
        <v>0</v>
      </c>
      <c r="AG39" s="67">
        <v>0</v>
      </c>
      <c r="AH39" s="67">
        <v>0</v>
      </c>
      <c r="AI39" s="67">
        <v>0</v>
      </c>
      <c r="AJ39" s="67">
        <v>0</v>
      </c>
      <c r="AK39" s="67">
        <v>0</v>
      </c>
      <c r="AL39" s="67">
        <v>0</v>
      </c>
      <c r="AM39" s="67">
        <v>0</v>
      </c>
      <c r="AN39" s="67">
        <v>0</v>
      </c>
      <c r="AO39" s="67">
        <v>0</v>
      </c>
      <c r="AP39" s="67">
        <v>0</v>
      </c>
      <c r="AQ39" s="67">
        <v>0</v>
      </c>
      <c r="AR39" s="67">
        <v>0</v>
      </c>
      <c r="AS39" s="68">
        <v>0</v>
      </c>
      <c r="AT39" s="63"/>
      <c r="AU39" s="63"/>
    </row>
    <row r="40" spans="1:47" ht="12.75" customHeight="1" x14ac:dyDescent="0.2">
      <c r="A40" s="61" t="s">
        <v>185</v>
      </c>
      <c r="B40" s="62"/>
      <c r="C40" s="54"/>
      <c r="D40" s="54"/>
      <c r="E40" s="63"/>
      <c r="F40" s="64"/>
      <c r="G40" s="65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66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66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8"/>
      <c r="AT40" s="63"/>
      <c r="AU40" s="63"/>
    </row>
    <row r="41" spans="1:47" ht="12.75" customHeight="1" x14ac:dyDescent="0.2">
      <c r="A41" s="61" t="s">
        <v>186</v>
      </c>
      <c r="B41" s="62">
        <v>0</v>
      </c>
      <c r="C41" s="54">
        <v>0</v>
      </c>
      <c r="D41" s="54">
        <v>0</v>
      </c>
      <c r="E41" s="63"/>
      <c r="F41" s="64"/>
      <c r="G41" s="65">
        <v>0</v>
      </c>
      <c r="H41" s="54">
        <v>0</v>
      </c>
      <c r="I41" s="54">
        <v>0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66">
        <v>0</v>
      </c>
      <c r="T41" s="54">
        <v>0</v>
      </c>
      <c r="U41" s="54">
        <v>0</v>
      </c>
      <c r="V41" s="54">
        <v>0</v>
      </c>
      <c r="W41" s="54">
        <v>0</v>
      </c>
      <c r="X41" s="54">
        <v>0</v>
      </c>
      <c r="Y41" s="54">
        <v>0</v>
      </c>
      <c r="Z41" s="54">
        <v>0</v>
      </c>
      <c r="AA41" s="54">
        <v>0</v>
      </c>
      <c r="AB41" s="54">
        <v>0</v>
      </c>
      <c r="AC41" s="54">
        <v>0</v>
      </c>
      <c r="AD41" s="54">
        <v>0</v>
      </c>
      <c r="AE41" s="54">
        <v>0</v>
      </c>
      <c r="AF41" s="66">
        <v>0</v>
      </c>
      <c r="AG41" s="67">
        <v>0</v>
      </c>
      <c r="AH41" s="67">
        <v>0</v>
      </c>
      <c r="AI41" s="67">
        <v>0</v>
      </c>
      <c r="AJ41" s="67">
        <v>0</v>
      </c>
      <c r="AK41" s="67">
        <v>0</v>
      </c>
      <c r="AL41" s="67">
        <v>0</v>
      </c>
      <c r="AM41" s="67">
        <v>0</v>
      </c>
      <c r="AN41" s="67">
        <v>0</v>
      </c>
      <c r="AO41" s="67">
        <v>0</v>
      </c>
      <c r="AP41" s="67">
        <v>0</v>
      </c>
      <c r="AQ41" s="67">
        <v>0</v>
      </c>
      <c r="AR41" s="67">
        <v>0</v>
      </c>
      <c r="AS41" s="68">
        <v>0</v>
      </c>
      <c r="AT41" s="63"/>
      <c r="AU41" s="63"/>
    </row>
    <row r="42" spans="1:47" ht="12.75" customHeight="1" x14ac:dyDescent="0.2">
      <c r="A42" s="61" t="s">
        <v>187</v>
      </c>
      <c r="B42" s="62">
        <v>0</v>
      </c>
      <c r="C42" s="54">
        <v>0</v>
      </c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0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0</v>
      </c>
      <c r="AS42" s="68">
        <v>0</v>
      </c>
      <c r="AT42" s="63"/>
      <c r="AU42" s="63"/>
    </row>
    <row r="43" spans="1:47" ht="12.75" customHeight="1" x14ac:dyDescent="0.2">
      <c r="A43" s="61" t="s">
        <v>188</v>
      </c>
      <c r="B43" s="62"/>
      <c r="C43" s="54"/>
      <c r="D43" s="54"/>
      <c r="E43" s="63"/>
      <c r="F43" s="64"/>
      <c r="G43" s="65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66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66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8"/>
      <c r="AT43" s="63"/>
      <c r="AU43" s="63"/>
    </row>
    <row r="44" spans="1:47" ht="12.75" customHeight="1" x14ac:dyDescent="0.2">
      <c r="A44" s="61" t="s">
        <v>189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customHeight="1" x14ac:dyDescent="0.2">
      <c r="A45" s="61" t="s">
        <v>190</v>
      </c>
      <c r="B45" s="62">
        <v>0</v>
      </c>
      <c r="C45" s="54">
        <v>0</v>
      </c>
      <c r="D45" s="54">
        <v>0</v>
      </c>
      <c r="E45" s="63"/>
      <c r="F45" s="64"/>
      <c r="G45" s="65">
        <v>0</v>
      </c>
      <c r="H45" s="54">
        <v>499.67</v>
      </c>
      <c r="I45" s="54">
        <v>118.18</v>
      </c>
      <c r="J45" s="54">
        <v>0</v>
      </c>
      <c r="K45" s="54">
        <v>0</v>
      </c>
      <c r="L45" s="54">
        <v>0</v>
      </c>
      <c r="M45" s="54">
        <v>0</v>
      </c>
      <c r="N45" s="54">
        <v>0</v>
      </c>
      <c r="O45" s="54">
        <v>0</v>
      </c>
      <c r="P45" s="54">
        <v>0</v>
      </c>
      <c r="Q45" s="54">
        <v>0</v>
      </c>
      <c r="R45" s="54">
        <v>0</v>
      </c>
      <c r="S45" s="66">
        <v>617.85</v>
      </c>
      <c r="T45" s="54">
        <v>0</v>
      </c>
      <c r="U45" s="54">
        <v>0</v>
      </c>
      <c r="V45" s="54">
        <v>0</v>
      </c>
      <c r="W45" s="54">
        <v>0</v>
      </c>
      <c r="X45" s="54">
        <v>0</v>
      </c>
      <c r="Y45" s="54">
        <v>0</v>
      </c>
      <c r="Z45" s="54">
        <v>0</v>
      </c>
      <c r="AA45" s="54">
        <v>0</v>
      </c>
      <c r="AB45" s="54">
        <v>0</v>
      </c>
      <c r="AC45" s="54">
        <v>0</v>
      </c>
      <c r="AD45" s="54">
        <v>0</v>
      </c>
      <c r="AE45" s="54">
        <v>0</v>
      </c>
      <c r="AF45" s="66">
        <v>0</v>
      </c>
      <c r="AG45" s="67">
        <v>0</v>
      </c>
      <c r="AH45" s="67">
        <v>0</v>
      </c>
      <c r="AI45" s="67">
        <v>0</v>
      </c>
      <c r="AJ45" s="67">
        <v>0</v>
      </c>
      <c r="AK45" s="67">
        <v>0</v>
      </c>
      <c r="AL45" s="67">
        <v>0</v>
      </c>
      <c r="AM45" s="67">
        <v>0</v>
      </c>
      <c r="AN45" s="67">
        <v>0</v>
      </c>
      <c r="AO45" s="67">
        <v>285.37</v>
      </c>
      <c r="AP45" s="67">
        <v>0</v>
      </c>
      <c r="AQ45" s="67">
        <v>0</v>
      </c>
      <c r="AR45" s="67">
        <v>0</v>
      </c>
      <c r="AS45" s="68">
        <v>0</v>
      </c>
      <c r="AT45" s="63"/>
      <c r="AU45" s="63"/>
    </row>
    <row r="46" spans="1:47" ht="12.75" customHeight="1" x14ac:dyDescent="0.2">
      <c r="A46" s="61" t="s">
        <v>191</v>
      </c>
      <c r="B46" s="62"/>
      <c r="C46" s="54"/>
      <c r="D46" s="54"/>
      <c r="E46" s="63"/>
      <c r="F46" s="64"/>
      <c r="G46" s="65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66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66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8"/>
      <c r="AT46" s="63"/>
      <c r="AU46" s="63"/>
    </row>
    <row r="47" spans="1:47" ht="12.75" customHeight="1" x14ac:dyDescent="0.2">
      <c r="A47" s="69" t="s">
        <v>192</v>
      </c>
      <c r="B47" s="70">
        <v>221.44</v>
      </c>
      <c r="C47" s="71">
        <v>0</v>
      </c>
      <c r="D47" s="71">
        <v>72.17</v>
      </c>
      <c r="E47" s="72"/>
      <c r="F47" s="73">
        <v>306.83109325204379</v>
      </c>
      <c r="G47" s="70">
        <v>1311.84</v>
      </c>
      <c r="H47" s="71">
        <v>1563.84</v>
      </c>
      <c r="I47" s="71">
        <v>1590.24</v>
      </c>
      <c r="J47" s="71">
        <v>221.44</v>
      </c>
      <c r="K47" s="74">
        <v>-2600.2199999999998</v>
      </c>
      <c r="L47" s="71">
        <v>0</v>
      </c>
      <c r="M47" s="71">
        <v>0</v>
      </c>
      <c r="N47" s="71">
        <v>0</v>
      </c>
      <c r="O47" s="71">
        <v>0</v>
      </c>
      <c r="P47" s="71">
        <v>0</v>
      </c>
      <c r="Q47" s="71">
        <v>0</v>
      </c>
      <c r="R47" s="71">
        <v>0</v>
      </c>
      <c r="S47" s="71">
        <v>4687.3599999999997</v>
      </c>
      <c r="T47" s="71">
        <v>0</v>
      </c>
      <c r="U47" s="71">
        <v>0</v>
      </c>
      <c r="V47" s="71">
        <v>0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71">
        <v>0</v>
      </c>
      <c r="AE47" s="71">
        <v>0</v>
      </c>
      <c r="AF47" s="71">
        <v>0</v>
      </c>
      <c r="AG47" s="75">
        <v>30.76</v>
      </c>
      <c r="AH47" s="75">
        <v>248.04</v>
      </c>
      <c r="AI47" s="75">
        <v>92.98</v>
      </c>
      <c r="AJ47" s="75">
        <v>72.17</v>
      </c>
      <c r="AK47" s="75">
        <v>41.95</v>
      </c>
      <c r="AL47" s="75">
        <v>43.51</v>
      </c>
      <c r="AM47" s="75">
        <v>1029.49</v>
      </c>
      <c r="AN47" s="75">
        <v>0</v>
      </c>
      <c r="AO47" s="75">
        <v>761.13</v>
      </c>
      <c r="AP47" s="75">
        <v>864.08</v>
      </c>
      <c r="AQ47" s="75">
        <v>240.01</v>
      </c>
      <c r="AR47" s="75">
        <v>640.42999999999995</v>
      </c>
      <c r="AS47" s="75">
        <v>443.95</v>
      </c>
      <c r="AT47" s="72"/>
      <c r="AU47" s="72">
        <v>1055.8306115553553</v>
      </c>
    </row>
    <row r="48" spans="1:47" ht="12.75" customHeight="1" x14ac:dyDescent="0.2">
      <c r="A48" s="61" t="s">
        <v>193</v>
      </c>
      <c r="B48" s="62"/>
      <c r="C48" s="54"/>
      <c r="D48" s="54"/>
      <c r="E48" s="63"/>
      <c r="F48" s="64"/>
      <c r="G48" s="65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66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66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8"/>
      <c r="AT48" s="63"/>
      <c r="AU48" s="63"/>
    </row>
    <row r="49" spans="1:47" ht="12.75" customHeight="1" x14ac:dyDescent="0.2">
      <c r="A49" s="61" t="s">
        <v>194</v>
      </c>
      <c r="B49" s="62">
        <v>0</v>
      </c>
      <c r="C49" s="54">
        <v>0</v>
      </c>
      <c r="D49" s="54">
        <v>275</v>
      </c>
      <c r="E49" s="63"/>
      <c r="F49" s="64">
        <v>0</v>
      </c>
      <c r="G49" s="65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54">
        <v>0</v>
      </c>
      <c r="N49" s="54">
        <v>0</v>
      </c>
      <c r="O49" s="54">
        <v>0</v>
      </c>
      <c r="P49" s="54">
        <v>0</v>
      </c>
      <c r="Q49" s="54">
        <v>0</v>
      </c>
      <c r="R49" s="54">
        <v>0</v>
      </c>
      <c r="S49" s="66">
        <v>0</v>
      </c>
      <c r="T49" s="54">
        <v>0</v>
      </c>
      <c r="U49" s="54">
        <v>0</v>
      </c>
      <c r="V49" s="54">
        <v>0</v>
      </c>
      <c r="W49" s="54">
        <v>0</v>
      </c>
      <c r="X49" s="54">
        <v>0</v>
      </c>
      <c r="Y49" s="54">
        <v>0</v>
      </c>
      <c r="Z49" s="54">
        <v>0</v>
      </c>
      <c r="AA49" s="54">
        <v>0</v>
      </c>
      <c r="AB49" s="54">
        <v>0</v>
      </c>
      <c r="AC49" s="54">
        <v>0</v>
      </c>
      <c r="AD49" s="54">
        <v>0</v>
      </c>
      <c r="AE49" s="54">
        <v>0</v>
      </c>
      <c r="AF49" s="66">
        <v>0</v>
      </c>
      <c r="AG49" s="67">
        <v>0</v>
      </c>
      <c r="AH49" s="67">
        <v>275</v>
      </c>
      <c r="AI49" s="67">
        <v>275</v>
      </c>
      <c r="AJ49" s="67">
        <v>275</v>
      </c>
      <c r="AK49" s="67">
        <v>0</v>
      </c>
      <c r="AL49" s="67">
        <v>275</v>
      </c>
      <c r="AM49" s="67">
        <v>0</v>
      </c>
      <c r="AN49" s="67">
        <v>0</v>
      </c>
      <c r="AO49" s="67">
        <v>825</v>
      </c>
      <c r="AP49" s="67">
        <v>0</v>
      </c>
      <c r="AQ49" s="67">
        <v>550</v>
      </c>
      <c r="AR49" s="67">
        <v>0</v>
      </c>
      <c r="AS49" s="68">
        <v>825</v>
      </c>
      <c r="AT49" s="63"/>
      <c r="AU49" s="63">
        <v>0</v>
      </c>
    </row>
    <row r="50" spans="1:47" ht="12.75" customHeight="1" x14ac:dyDescent="0.2">
      <c r="A50" s="61" t="s">
        <v>82</v>
      </c>
      <c r="B50" s="62">
        <v>0</v>
      </c>
      <c r="C50" s="54">
        <v>0</v>
      </c>
      <c r="D50" s="54">
        <v>0</v>
      </c>
      <c r="E50" s="63"/>
      <c r="F50" s="64"/>
      <c r="G50" s="65">
        <v>0</v>
      </c>
      <c r="H50" s="54">
        <v>0</v>
      </c>
      <c r="I50" s="54">
        <v>0</v>
      </c>
      <c r="J50" s="54">
        <v>0</v>
      </c>
      <c r="K50" s="54">
        <v>0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66">
        <v>0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>
        <v>0</v>
      </c>
      <c r="AH50" s="67">
        <v>0</v>
      </c>
      <c r="AI50" s="67">
        <v>0</v>
      </c>
      <c r="AJ50" s="67">
        <v>0</v>
      </c>
      <c r="AK50" s="67">
        <v>0</v>
      </c>
      <c r="AL50" s="67">
        <v>0</v>
      </c>
      <c r="AM50" s="67">
        <v>0</v>
      </c>
      <c r="AN50" s="67">
        <v>0</v>
      </c>
      <c r="AO50" s="67">
        <v>0</v>
      </c>
      <c r="AP50" s="67">
        <v>0</v>
      </c>
      <c r="AQ50" s="67">
        <v>0</v>
      </c>
      <c r="AR50" s="67">
        <v>0</v>
      </c>
      <c r="AS50" s="68">
        <v>0</v>
      </c>
      <c r="AT50" s="63"/>
      <c r="AU50" s="63"/>
    </row>
    <row r="51" spans="1:47" ht="12.75" customHeight="1" x14ac:dyDescent="0.2">
      <c r="A51" s="61" t="s">
        <v>83</v>
      </c>
      <c r="B51" s="62"/>
      <c r="C51" s="54"/>
      <c r="D51" s="54"/>
      <c r="E51" s="63"/>
      <c r="F51" s="64"/>
      <c r="G51" s="65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66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66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8"/>
      <c r="AT51" s="63"/>
      <c r="AU51" s="63"/>
    </row>
    <row r="52" spans="1:47" ht="12.75" customHeight="1" x14ac:dyDescent="0.2">
      <c r="A52" s="61" t="s">
        <v>84</v>
      </c>
      <c r="B52" s="62">
        <v>0</v>
      </c>
      <c r="C52" s="54"/>
      <c r="D52" s="54">
        <v>0</v>
      </c>
      <c r="E52" s="63"/>
      <c r="F52" s="64"/>
      <c r="G52" s="65">
        <v>0</v>
      </c>
      <c r="H52" s="54">
        <v>0</v>
      </c>
      <c r="I52" s="54">
        <v>0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66">
        <v>0</v>
      </c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66"/>
      <c r="AG52" s="67">
        <v>0</v>
      </c>
      <c r="AH52" s="67">
        <v>0</v>
      </c>
      <c r="AI52" s="67">
        <v>0</v>
      </c>
      <c r="AJ52" s="67">
        <v>0</v>
      </c>
      <c r="AK52" s="67">
        <v>0</v>
      </c>
      <c r="AL52" s="67">
        <v>0</v>
      </c>
      <c r="AM52" s="67">
        <v>0</v>
      </c>
      <c r="AN52" s="67">
        <v>0</v>
      </c>
      <c r="AO52" s="67">
        <v>0</v>
      </c>
      <c r="AP52" s="67">
        <v>0</v>
      </c>
      <c r="AQ52" s="67">
        <v>0</v>
      </c>
      <c r="AR52" s="67">
        <v>0</v>
      </c>
      <c r="AS52" s="68">
        <v>0</v>
      </c>
      <c r="AT52" s="63"/>
      <c r="AU52" s="63"/>
    </row>
    <row r="53" spans="1:47" ht="12.75" customHeight="1" x14ac:dyDescent="0.2">
      <c r="A53" s="61" t="s">
        <v>195</v>
      </c>
      <c r="B53" s="62"/>
      <c r="C53" s="54"/>
      <c r="D53" s="54"/>
      <c r="E53" s="63"/>
      <c r="F53" s="64"/>
      <c r="G53" s="65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66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66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8"/>
      <c r="AT53" s="63"/>
      <c r="AU53" s="63"/>
    </row>
    <row r="54" spans="1:47" ht="12.75" customHeight="1" x14ac:dyDescent="0.2">
      <c r="A54" s="61" t="s">
        <v>86</v>
      </c>
      <c r="B54" s="62">
        <v>868.83</v>
      </c>
      <c r="C54" s="54">
        <v>0</v>
      </c>
      <c r="D54" s="56">
        <v>-48.75</v>
      </c>
      <c r="E54" s="63"/>
      <c r="F54" s="64">
        <v>-1782.2153846153847</v>
      </c>
      <c r="G54" s="65">
        <v>425.06</v>
      </c>
      <c r="H54" s="54">
        <v>1201.96</v>
      </c>
      <c r="I54" s="54">
        <v>718.9</v>
      </c>
      <c r="J54" s="54">
        <v>868.83</v>
      </c>
      <c r="K54" s="56">
        <v>-188.29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66">
        <v>3214.75</v>
      </c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>
        <v>1799.11</v>
      </c>
      <c r="AH54" s="67">
        <v>2324.64</v>
      </c>
      <c r="AI54" s="67">
        <v>869.68</v>
      </c>
      <c r="AJ54" s="98">
        <v>-48.75</v>
      </c>
      <c r="AK54" s="67">
        <v>1072.1300000000001</v>
      </c>
      <c r="AL54" s="67">
        <v>1270.46</v>
      </c>
      <c r="AM54" s="67">
        <v>52.65</v>
      </c>
      <c r="AN54" s="98">
        <v>-228.58</v>
      </c>
      <c r="AO54" s="67">
        <v>2061.1799999999998</v>
      </c>
      <c r="AP54" s="67">
        <v>867.41</v>
      </c>
      <c r="AQ54" s="67">
        <v>928.39</v>
      </c>
      <c r="AR54" s="67">
        <v>1312.93</v>
      </c>
      <c r="AS54" s="68">
        <v>4944.68</v>
      </c>
      <c r="AT54" s="63"/>
      <c r="AU54" s="63">
        <v>65.014318418987685</v>
      </c>
    </row>
    <row r="55" spans="1:47" ht="12.75" customHeight="1" x14ac:dyDescent="0.2">
      <c r="A55" s="61" t="s">
        <v>110</v>
      </c>
      <c r="B55" s="62"/>
      <c r="C55" s="54"/>
      <c r="D55" s="54"/>
      <c r="E55" s="63"/>
      <c r="F55" s="64"/>
      <c r="G55" s="65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66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66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8"/>
      <c r="AT55" s="63"/>
      <c r="AU55" s="63"/>
    </row>
    <row r="56" spans="1:47" ht="12.75" customHeight="1" x14ac:dyDescent="0.2">
      <c r="A56" s="61" t="s">
        <v>213</v>
      </c>
      <c r="B56" s="62">
        <v>0</v>
      </c>
      <c r="C56" s="54">
        <v>0</v>
      </c>
      <c r="D56" s="54">
        <v>0</v>
      </c>
      <c r="E56" s="63"/>
      <c r="F56" s="64"/>
      <c r="G56" s="65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66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66">
        <v>0</v>
      </c>
      <c r="AG56" s="67">
        <v>0</v>
      </c>
      <c r="AH56" s="67">
        <v>0</v>
      </c>
      <c r="AI56" s="67">
        <v>0</v>
      </c>
      <c r="AJ56" s="67">
        <v>0</v>
      </c>
      <c r="AK56" s="67">
        <v>0</v>
      </c>
      <c r="AL56" s="67">
        <v>0</v>
      </c>
      <c r="AM56" s="67">
        <v>0</v>
      </c>
      <c r="AN56" s="67">
        <v>0</v>
      </c>
      <c r="AO56" s="67">
        <v>74.91</v>
      </c>
      <c r="AP56" s="67">
        <v>0</v>
      </c>
      <c r="AQ56" s="67">
        <v>250</v>
      </c>
      <c r="AR56" s="67">
        <v>0</v>
      </c>
      <c r="AS56" s="68">
        <v>0</v>
      </c>
      <c r="AT56" s="63"/>
      <c r="AU56" s="63"/>
    </row>
    <row r="57" spans="1:47" ht="12.75" customHeight="1" x14ac:dyDescent="0.2">
      <c r="A57" s="61" t="s">
        <v>88</v>
      </c>
      <c r="B57" s="62">
        <v>0</v>
      </c>
      <c r="C57" s="54">
        <v>0</v>
      </c>
      <c r="D57" s="54">
        <v>0</v>
      </c>
      <c r="E57" s="63"/>
      <c r="F57" s="64"/>
      <c r="G57" s="65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66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66">
        <v>0</v>
      </c>
      <c r="AG57" s="67">
        <v>0</v>
      </c>
      <c r="AH57" s="67">
        <v>300</v>
      </c>
      <c r="AI57" s="67">
        <v>300</v>
      </c>
      <c r="AJ57" s="67">
        <v>0</v>
      </c>
      <c r="AK57" s="67">
        <v>0</v>
      </c>
      <c r="AL57" s="67">
        <v>0</v>
      </c>
      <c r="AM57" s="67">
        <v>0</v>
      </c>
      <c r="AN57" s="67">
        <v>0</v>
      </c>
      <c r="AO57" s="67">
        <v>0</v>
      </c>
      <c r="AP57" s="67">
        <v>0</v>
      </c>
      <c r="AQ57" s="67">
        <v>0</v>
      </c>
      <c r="AR57" s="67">
        <v>0</v>
      </c>
      <c r="AS57" s="68">
        <v>600</v>
      </c>
      <c r="AT57" s="63"/>
      <c r="AU57" s="63">
        <v>0</v>
      </c>
    </row>
    <row r="58" spans="1:47" ht="12.75" customHeight="1" x14ac:dyDescent="0.2">
      <c r="A58" s="61" t="s">
        <v>198</v>
      </c>
      <c r="B58" s="62">
        <v>117.2</v>
      </c>
      <c r="C58" s="54">
        <v>0</v>
      </c>
      <c r="D58" s="54">
        <v>0</v>
      </c>
      <c r="E58" s="63"/>
      <c r="F58" s="64"/>
      <c r="G58" s="65">
        <v>146.5</v>
      </c>
      <c r="H58" s="54">
        <v>523.29999999999995</v>
      </c>
      <c r="I58" s="54">
        <v>403.2</v>
      </c>
      <c r="J58" s="54">
        <v>117.2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1190.2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244.45</v>
      </c>
      <c r="AH58" s="67">
        <v>546.07000000000005</v>
      </c>
      <c r="AI58" s="67">
        <v>431.84</v>
      </c>
      <c r="AJ58" s="67">
        <v>0</v>
      </c>
      <c r="AK58" s="67">
        <v>297</v>
      </c>
      <c r="AL58" s="67">
        <v>33</v>
      </c>
      <c r="AM58" s="67">
        <v>0</v>
      </c>
      <c r="AN58" s="67">
        <v>346.3</v>
      </c>
      <c r="AO58" s="67">
        <v>506.84</v>
      </c>
      <c r="AP58" s="67">
        <v>0</v>
      </c>
      <c r="AQ58" s="67">
        <v>676.21</v>
      </c>
      <c r="AR58" s="67">
        <v>373.2</v>
      </c>
      <c r="AS58" s="68">
        <v>1222.3599999999999</v>
      </c>
      <c r="AT58" s="63"/>
      <c r="AU58" s="63">
        <v>97.369023855492657</v>
      </c>
    </row>
    <row r="59" spans="1:47" ht="12.75" customHeight="1" x14ac:dyDescent="0.2">
      <c r="A59" s="69" t="s">
        <v>89</v>
      </c>
      <c r="B59" s="70">
        <v>986.03</v>
      </c>
      <c r="C59" s="71">
        <v>0</v>
      </c>
      <c r="D59" s="71">
        <v>226.25</v>
      </c>
      <c r="E59" s="72"/>
      <c r="F59" s="73">
        <v>435.81436464088398</v>
      </c>
      <c r="G59" s="70">
        <v>571.55999999999995</v>
      </c>
      <c r="H59" s="71">
        <v>1725.26</v>
      </c>
      <c r="I59" s="71">
        <v>1122.0999999999999</v>
      </c>
      <c r="J59" s="71">
        <v>986.03</v>
      </c>
      <c r="K59" s="74">
        <v>-188.29</v>
      </c>
      <c r="L59" s="71">
        <v>0</v>
      </c>
      <c r="M59" s="71">
        <v>0</v>
      </c>
      <c r="N59" s="71">
        <v>0</v>
      </c>
      <c r="O59" s="71">
        <v>0</v>
      </c>
      <c r="P59" s="71">
        <v>0</v>
      </c>
      <c r="Q59" s="71">
        <v>0</v>
      </c>
      <c r="R59" s="71">
        <v>0</v>
      </c>
      <c r="S59" s="71">
        <v>4404.95</v>
      </c>
      <c r="T59" s="71">
        <v>0</v>
      </c>
      <c r="U59" s="71">
        <v>0</v>
      </c>
      <c r="V59" s="71">
        <v>0</v>
      </c>
      <c r="W59" s="71">
        <v>0</v>
      </c>
      <c r="X59" s="71">
        <v>0</v>
      </c>
      <c r="Y59" s="71">
        <v>0</v>
      </c>
      <c r="Z59" s="71">
        <v>0</v>
      </c>
      <c r="AA59" s="71">
        <v>0</v>
      </c>
      <c r="AB59" s="71">
        <v>0</v>
      </c>
      <c r="AC59" s="71">
        <v>0</v>
      </c>
      <c r="AD59" s="71">
        <v>0</v>
      </c>
      <c r="AE59" s="71">
        <v>0</v>
      </c>
      <c r="AF59" s="71">
        <v>0</v>
      </c>
      <c r="AG59" s="75">
        <v>2043.56</v>
      </c>
      <c r="AH59" s="75">
        <v>3445.71</v>
      </c>
      <c r="AI59" s="75">
        <v>1876.52</v>
      </c>
      <c r="AJ59" s="75">
        <v>226.25</v>
      </c>
      <c r="AK59" s="75">
        <v>1369.13</v>
      </c>
      <c r="AL59" s="75">
        <v>1578.46</v>
      </c>
      <c r="AM59" s="75">
        <v>52.65</v>
      </c>
      <c r="AN59" s="75">
        <v>117.72</v>
      </c>
      <c r="AO59" s="75">
        <v>3467.93</v>
      </c>
      <c r="AP59" s="75">
        <v>867.41</v>
      </c>
      <c r="AQ59" s="75">
        <v>2404.6</v>
      </c>
      <c r="AR59" s="75">
        <v>1686.13</v>
      </c>
      <c r="AS59" s="75">
        <v>7592.04</v>
      </c>
      <c r="AT59" s="72"/>
      <c r="AU59" s="72">
        <v>58.020637404439384</v>
      </c>
    </row>
    <row r="60" spans="1:47" ht="12.75" customHeight="1" x14ac:dyDescent="0.2">
      <c r="A60" s="77" t="s">
        <v>201</v>
      </c>
      <c r="B60" s="78">
        <v>21739.29</v>
      </c>
      <c r="C60" s="79">
        <v>0</v>
      </c>
      <c r="D60" s="79">
        <v>12134.74</v>
      </c>
      <c r="E60" s="80"/>
      <c r="F60" s="81">
        <v>179.14920303195618</v>
      </c>
      <c r="G60" s="78">
        <v>19382.68</v>
      </c>
      <c r="H60" s="79">
        <v>18733.55</v>
      </c>
      <c r="I60" s="79">
        <v>22300.82</v>
      </c>
      <c r="J60" s="79">
        <v>21739.29</v>
      </c>
      <c r="K60" s="82">
        <v>-4618.16</v>
      </c>
      <c r="L60" s="79">
        <v>0</v>
      </c>
      <c r="M60" s="79">
        <v>0</v>
      </c>
      <c r="N60" s="79">
        <v>0</v>
      </c>
      <c r="O60" s="79">
        <v>0</v>
      </c>
      <c r="P60" s="79">
        <v>0</v>
      </c>
      <c r="Q60" s="79">
        <v>0</v>
      </c>
      <c r="R60" s="79">
        <v>0</v>
      </c>
      <c r="S60" s="79">
        <v>82156.34</v>
      </c>
      <c r="T60" s="79">
        <v>0</v>
      </c>
      <c r="U60" s="79">
        <v>0</v>
      </c>
      <c r="V60" s="79">
        <v>0</v>
      </c>
      <c r="W60" s="79">
        <v>0</v>
      </c>
      <c r="X60" s="79">
        <v>0</v>
      </c>
      <c r="Y60" s="79">
        <v>0</v>
      </c>
      <c r="Z60" s="79">
        <v>0</v>
      </c>
      <c r="AA60" s="79">
        <v>0</v>
      </c>
      <c r="AB60" s="79">
        <v>0</v>
      </c>
      <c r="AC60" s="79">
        <v>0</v>
      </c>
      <c r="AD60" s="79">
        <v>0</v>
      </c>
      <c r="AE60" s="79">
        <v>0</v>
      </c>
      <c r="AF60" s="79">
        <v>0</v>
      </c>
      <c r="AG60" s="83">
        <v>11990.97</v>
      </c>
      <c r="AH60" s="83">
        <v>14655.56</v>
      </c>
      <c r="AI60" s="83">
        <v>13107.96</v>
      </c>
      <c r="AJ60" s="83">
        <v>12134.74</v>
      </c>
      <c r="AK60" s="83">
        <v>15745.81</v>
      </c>
      <c r="AL60" s="83">
        <v>14427.33</v>
      </c>
      <c r="AM60" s="83">
        <v>12971.31</v>
      </c>
      <c r="AN60" s="83">
        <v>9467.93</v>
      </c>
      <c r="AO60" s="83">
        <v>15316.02</v>
      </c>
      <c r="AP60" s="83">
        <v>18894.63</v>
      </c>
      <c r="AQ60" s="83">
        <v>20145.3</v>
      </c>
      <c r="AR60" s="83">
        <v>14252.98</v>
      </c>
      <c r="AS60" s="83">
        <v>51889.23</v>
      </c>
      <c r="AT60" s="80"/>
      <c r="AU60" s="80">
        <v>158.33023538796007</v>
      </c>
    </row>
    <row r="61" spans="1:47" ht="12.75" customHeight="1" x14ac:dyDescent="0.2"/>
  </sheetData>
  <pageMargins left="0.75" right="0.75" top="1" bottom="1" header="0.5" footer="0.5"/>
  <pageSetup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rgb="FF00B0F0"/>
  </sheetPr>
  <dimension ref="A1:AU90"/>
  <sheetViews>
    <sheetView workbookViewId="0">
      <pane xSplit="1" ySplit="1" topLeftCell="B2" activePane="bottomRight" state="frozen"/>
      <selection activeCell="A73" sqref="A73"/>
      <selection pane="topRight" activeCell="A73" sqref="A73"/>
      <selection pane="bottomLeft" activeCell="A73" sqref="A73"/>
      <selection pane="bottomRight" sqref="A1:AU65"/>
    </sheetView>
  </sheetViews>
  <sheetFormatPr defaultRowHeight="12.75" outlineLevelRow="1" outlineLevelCol="1" x14ac:dyDescent="0.2"/>
  <cols>
    <col min="1" max="1" width="66.42578125" customWidth="1"/>
    <col min="3" max="3" width="11.5703125" bestFit="1" customWidth="1"/>
    <col min="4" max="4" width="11.42578125" bestFit="1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0" width="9.42578125" hidden="1" customWidth="1" outlineLevel="1"/>
    <col min="31" max="31" width="9.5703125" hidden="1" customWidth="1" outlineLevel="1"/>
    <col min="32" max="32" width="15.42578125" customWidth="1" collapsed="1"/>
    <col min="33" max="44" width="9.42578125" hidden="1" customWidth="1" outlineLevel="1"/>
    <col min="45" max="45" width="10.42578125" customWidth="1" collapsed="1"/>
    <col min="46" max="47" width="10.5703125" customWidth="1"/>
  </cols>
  <sheetData>
    <row r="1" spans="1:47" ht="36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s="7" customFormat="1" x14ac:dyDescent="0.2">
      <c r="A2" s="61" t="s">
        <v>7</v>
      </c>
      <c r="B2" s="62">
        <v>408525.43</v>
      </c>
      <c r="C2" s="54">
        <v>0</v>
      </c>
      <c r="D2" s="54">
        <v>322015.90999999997</v>
      </c>
      <c r="E2" s="63"/>
      <c r="F2" s="64">
        <v>126.86498316185681</v>
      </c>
      <c r="G2" s="65">
        <v>544253.92000000004</v>
      </c>
      <c r="H2" s="54">
        <v>473848.72</v>
      </c>
      <c r="I2" s="54">
        <v>481568.35</v>
      </c>
      <c r="J2" s="54">
        <v>408525.43</v>
      </c>
      <c r="K2" s="54">
        <v>95307.03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1908196.42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533803.43000000005</v>
      </c>
      <c r="AH2" s="67">
        <v>475498.12</v>
      </c>
      <c r="AI2" s="67">
        <v>442888.19</v>
      </c>
      <c r="AJ2" s="67">
        <v>322015.90999999997</v>
      </c>
      <c r="AK2" s="67">
        <v>449895.52</v>
      </c>
      <c r="AL2" s="67">
        <v>551566.97</v>
      </c>
      <c r="AM2" s="67">
        <v>467475.83</v>
      </c>
      <c r="AN2" s="67">
        <v>472163.02</v>
      </c>
      <c r="AO2" s="67">
        <v>446436.43</v>
      </c>
      <c r="AP2" s="67">
        <v>488040.36</v>
      </c>
      <c r="AQ2" s="67">
        <v>545292.36</v>
      </c>
      <c r="AR2" s="67">
        <v>432327.38</v>
      </c>
      <c r="AS2" s="68">
        <v>1774205.65</v>
      </c>
      <c r="AT2" s="63"/>
      <c r="AU2" s="63">
        <v>107.55215552379737</v>
      </c>
    </row>
    <row r="3" spans="1:47" ht="12.75" hidden="1" customHeight="1" outlineLevel="1" x14ac:dyDescent="0.2">
      <c r="A3" s="61" t="s">
        <v>160</v>
      </c>
      <c r="B3" s="62">
        <v>125153.51</v>
      </c>
      <c r="C3" s="54">
        <v>0</v>
      </c>
      <c r="D3" s="54">
        <v>100295.73</v>
      </c>
      <c r="E3" s="63"/>
      <c r="F3" s="64">
        <v>124.78448484297387</v>
      </c>
      <c r="G3" s="65">
        <v>123420.36</v>
      </c>
      <c r="H3" s="54">
        <v>121512.59</v>
      </c>
      <c r="I3" s="54">
        <v>124137.15</v>
      </c>
      <c r="J3" s="54">
        <v>125153.51</v>
      </c>
      <c r="K3" s="54">
        <v>0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494223.61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110825</v>
      </c>
      <c r="AH3" s="67">
        <v>118469.75999999999</v>
      </c>
      <c r="AI3" s="67">
        <v>110665.81</v>
      </c>
      <c r="AJ3" s="67">
        <v>100295.73</v>
      </c>
      <c r="AK3" s="67">
        <v>103195.14</v>
      </c>
      <c r="AL3" s="67">
        <v>110078.72</v>
      </c>
      <c r="AM3" s="67">
        <v>113311.7</v>
      </c>
      <c r="AN3" s="67">
        <v>105423.9</v>
      </c>
      <c r="AO3" s="67">
        <v>116552.85</v>
      </c>
      <c r="AP3" s="67">
        <v>119109.09</v>
      </c>
      <c r="AQ3" s="67">
        <v>128600.65</v>
      </c>
      <c r="AR3" s="67">
        <v>127643.19</v>
      </c>
      <c r="AS3" s="68">
        <v>440256.3</v>
      </c>
      <c r="AT3" s="63"/>
      <c r="AU3" s="63">
        <v>112.25815735061599</v>
      </c>
    </row>
    <row r="4" spans="1:47" ht="12.75" hidden="1" customHeight="1" outlineLevel="1" x14ac:dyDescent="0.2">
      <c r="A4" s="61" t="s">
        <v>161</v>
      </c>
      <c r="B4" s="62">
        <v>7374.2</v>
      </c>
      <c r="C4" s="54">
        <v>0</v>
      </c>
      <c r="D4" s="54">
        <v>5502.12</v>
      </c>
      <c r="E4" s="63"/>
      <c r="F4" s="64">
        <v>134.02470320530995</v>
      </c>
      <c r="G4" s="65">
        <v>6942.03</v>
      </c>
      <c r="H4" s="54">
        <v>612.80999999999995</v>
      </c>
      <c r="I4" s="54">
        <v>15058.55</v>
      </c>
      <c r="J4" s="54">
        <v>7374.2</v>
      </c>
      <c r="K4" s="56">
        <v>-3784.25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29987.59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5357.34</v>
      </c>
      <c r="AH4" s="67">
        <v>6085.35</v>
      </c>
      <c r="AI4" s="67">
        <v>6844.19</v>
      </c>
      <c r="AJ4" s="67">
        <v>5502.12</v>
      </c>
      <c r="AK4" s="67">
        <v>5140.0600000000004</v>
      </c>
      <c r="AL4" s="67">
        <v>5175.93</v>
      </c>
      <c r="AM4" s="67">
        <v>6440.15</v>
      </c>
      <c r="AN4" s="67">
        <v>6008.99</v>
      </c>
      <c r="AO4" s="67">
        <v>783.12</v>
      </c>
      <c r="AP4" s="67">
        <v>8747.33</v>
      </c>
      <c r="AQ4" s="67">
        <v>8748.64</v>
      </c>
      <c r="AR4" s="67">
        <v>9388.69</v>
      </c>
      <c r="AS4" s="68">
        <v>23789</v>
      </c>
      <c r="AT4" s="63"/>
      <c r="AU4" s="63">
        <v>126.05653873639076</v>
      </c>
    </row>
    <row r="5" spans="1:47" ht="12.75" hidden="1" customHeight="1" outlineLevel="1" x14ac:dyDescent="0.2">
      <c r="A5" s="61" t="s">
        <v>162</v>
      </c>
      <c r="B5" s="62">
        <v>11342.12</v>
      </c>
      <c r="C5" s="54">
        <v>0</v>
      </c>
      <c r="D5" s="54">
        <v>20212.11</v>
      </c>
      <c r="E5" s="63"/>
      <c r="F5" s="64">
        <v>56.115467410379225</v>
      </c>
      <c r="G5" s="65">
        <v>12903.74</v>
      </c>
      <c r="H5" s="54">
        <v>13232.74</v>
      </c>
      <c r="I5" s="54">
        <v>5100.51</v>
      </c>
      <c r="J5" s="54">
        <v>11342.12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42579.11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8694.76</v>
      </c>
      <c r="AH5" s="67">
        <v>15855.14</v>
      </c>
      <c r="AI5" s="67">
        <v>7007.03</v>
      </c>
      <c r="AJ5" s="67">
        <v>20212.11</v>
      </c>
      <c r="AK5" s="67">
        <v>6877.31</v>
      </c>
      <c r="AL5" s="67">
        <v>7546.58</v>
      </c>
      <c r="AM5" s="67">
        <v>3397.87</v>
      </c>
      <c r="AN5" s="67">
        <v>15022.14</v>
      </c>
      <c r="AO5" s="67">
        <v>12189.08</v>
      </c>
      <c r="AP5" s="67">
        <v>14241.72</v>
      </c>
      <c r="AQ5" s="67">
        <v>11121.82</v>
      </c>
      <c r="AR5" s="67">
        <v>11896.62</v>
      </c>
      <c r="AS5" s="68">
        <v>51769.04</v>
      </c>
      <c r="AT5" s="63"/>
      <c r="AU5" s="63">
        <v>82.248212445121638</v>
      </c>
    </row>
    <row r="6" spans="1:47" ht="12.75" hidden="1" customHeight="1" outlineLevel="1" x14ac:dyDescent="0.2">
      <c r="A6" s="61" t="s">
        <v>163</v>
      </c>
      <c r="B6" s="62">
        <v>0</v>
      </c>
      <c r="C6" s="54">
        <v>0</v>
      </c>
      <c r="D6" s="54">
        <v>1000</v>
      </c>
      <c r="E6" s="63"/>
      <c r="F6" s="64">
        <v>0</v>
      </c>
      <c r="G6" s="65">
        <v>1000</v>
      </c>
      <c r="H6" s="54">
        <v>1000</v>
      </c>
      <c r="I6" s="56">
        <v>-2000</v>
      </c>
      <c r="J6" s="54">
        <v>0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0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1000</v>
      </c>
      <c r="AH6" s="67">
        <v>1000</v>
      </c>
      <c r="AI6" s="67">
        <v>1000</v>
      </c>
      <c r="AJ6" s="67">
        <v>1000</v>
      </c>
      <c r="AK6" s="67">
        <v>1000</v>
      </c>
      <c r="AL6" s="67">
        <v>1000</v>
      </c>
      <c r="AM6" s="67">
        <v>1000</v>
      </c>
      <c r="AN6" s="67">
        <v>1000</v>
      </c>
      <c r="AO6" s="67">
        <v>1000</v>
      </c>
      <c r="AP6" s="67">
        <v>1000</v>
      </c>
      <c r="AQ6" s="98">
        <v>-9984.86</v>
      </c>
      <c r="AR6" s="67">
        <v>0</v>
      </c>
      <c r="AS6" s="68">
        <v>4000</v>
      </c>
      <c r="AT6" s="63"/>
      <c r="AU6" s="63">
        <v>0</v>
      </c>
    </row>
    <row r="7" spans="1:47" ht="12.75" hidden="1" customHeight="1" outlineLevel="1" x14ac:dyDescent="0.2">
      <c r="A7" s="61" t="s">
        <v>164</v>
      </c>
      <c r="B7" s="62">
        <v>1228.1199999999999</v>
      </c>
      <c r="C7" s="54">
        <v>0</v>
      </c>
      <c r="D7" s="54">
        <v>1112.57</v>
      </c>
      <c r="E7" s="63"/>
      <c r="F7" s="64">
        <v>110.38586336140648</v>
      </c>
      <c r="G7" s="65">
        <v>1228.1199999999999</v>
      </c>
      <c r="H7" s="54">
        <v>1228.1199999999999</v>
      </c>
      <c r="I7" s="54">
        <v>1228.1199999999999</v>
      </c>
      <c r="J7" s="54">
        <v>1228.1199999999999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4912.4799999999996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0</v>
      </c>
      <c r="AH7" s="67">
        <v>2158.37</v>
      </c>
      <c r="AI7" s="67">
        <v>1204.8800000000001</v>
      </c>
      <c r="AJ7" s="67">
        <v>1112.57</v>
      </c>
      <c r="AK7" s="67">
        <v>1112.57</v>
      </c>
      <c r="AL7" s="67">
        <v>1112.57</v>
      </c>
      <c r="AM7" s="67">
        <v>1112.57</v>
      </c>
      <c r="AN7" s="67">
        <v>1112.57</v>
      </c>
      <c r="AO7" s="67">
        <v>1112.57</v>
      </c>
      <c r="AP7" s="67">
        <v>1112.57</v>
      </c>
      <c r="AQ7" s="67">
        <v>1112.57</v>
      </c>
      <c r="AR7" s="67">
        <v>1112.57</v>
      </c>
      <c r="AS7" s="68">
        <v>4475.82</v>
      </c>
      <c r="AT7" s="63"/>
      <c r="AU7" s="63">
        <v>109.75597767559911</v>
      </c>
    </row>
    <row r="8" spans="1:47" ht="12.75" hidden="1" customHeight="1" outlineLevel="1" x14ac:dyDescent="0.2">
      <c r="A8" s="61" t="s">
        <v>39</v>
      </c>
      <c r="B8" s="62">
        <v>0</v>
      </c>
      <c r="C8" s="54"/>
      <c r="D8" s="54">
        <v>0</v>
      </c>
      <c r="E8" s="63"/>
      <c r="F8" s="64"/>
      <c r="G8" s="65">
        <v>0</v>
      </c>
      <c r="H8" s="56">
        <v>-3500</v>
      </c>
      <c r="I8" s="54">
        <v>0</v>
      </c>
      <c r="J8" s="54">
        <v>0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76">
        <v>-3500</v>
      </c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66"/>
      <c r="AG8" s="67">
        <v>0</v>
      </c>
      <c r="AH8" s="67">
        <v>0</v>
      </c>
      <c r="AI8" s="67">
        <v>0</v>
      </c>
      <c r="AJ8" s="67">
        <v>0</v>
      </c>
      <c r="AK8" s="67">
        <v>0</v>
      </c>
      <c r="AL8" s="67">
        <v>0</v>
      </c>
      <c r="AM8" s="67">
        <v>10709.35</v>
      </c>
      <c r="AN8" s="67">
        <v>0</v>
      </c>
      <c r="AO8" s="67">
        <v>0</v>
      </c>
      <c r="AP8" s="67">
        <v>0</v>
      </c>
      <c r="AQ8" s="67">
        <v>0</v>
      </c>
      <c r="AR8" s="67">
        <v>5469.76</v>
      </c>
      <c r="AS8" s="68">
        <v>0</v>
      </c>
      <c r="AT8" s="63"/>
      <c r="AU8" s="63"/>
    </row>
    <row r="9" spans="1:47" ht="12.75" customHeight="1" collapsed="1" x14ac:dyDescent="0.2">
      <c r="A9" s="61" t="s">
        <v>165</v>
      </c>
      <c r="B9" s="62">
        <v>15960.55</v>
      </c>
      <c r="C9" s="54">
        <v>0</v>
      </c>
      <c r="D9" s="54">
        <v>13101.44</v>
      </c>
      <c r="E9" s="63"/>
      <c r="F9" s="64">
        <v>121.82286832592447</v>
      </c>
      <c r="G9" s="65">
        <v>14987.23</v>
      </c>
      <c r="H9" s="54">
        <v>14684.54</v>
      </c>
      <c r="I9" s="54">
        <v>15771.74</v>
      </c>
      <c r="J9" s="54">
        <v>15960.55</v>
      </c>
      <c r="K9" s="54">
        <v>0</v>
      </c>
      <c r="L9" s="54">
        <v>0</v>
      </c>
      <c r="M9" s="54">
        <v>0</v>
      </c>
      <c r="N9" s="54">
        <v>0</v>
      </c>
      <c r="O9" s="54">
        <v>0</v>
      </c>
      <c r="P9" s="54">
        <v>0</v>
      </c>
      <c r="Q9" s="54">
        <v>0</v>
      </c>
      <c r="R9" s="54">
        <v>0</v>
      </c>
      <c r="S9" s="66">
        <v>61404.06</v>
      </c>
      <c r="T9" s="54">
        <v>0</v>
      </c>
      <c r="U9" s="54">
        <v>0</v>
      </c>
      <c r="V9" s="54">
        <v>0</v>
      </c>
      <c r="W9" s="54">
        <v>0</v>
      </c>
      <c r="X9" s="54">
        <v>0</v>
      </c>
      <c r="Y9" s="54">
        <v>0</v>
      </c>
      <c r="Z9" s="54">
        <v>0</v>
      </c>
      <c r="AA9" s="54">
        <v>0</v>
      </c>
      <c r="AB9" s="54">
        <v>0</v>
      </c>
      <c r="AC9" s="54">
        <v>0</v>
      </c>
      <c r="AD9" s="54">
        <v>0</v>
      </c>
      <c r="AE9" s="54">
        <v>0</v>
      </c>
      <c r="AF9" s="66">
        <v>0</v>
      </c>
      <c r="AG9" s="67">
        <v>10809.92</v>
      </c>
      <c r="AH9" s="67">
        <v>11735.69</v>
      </c>
      <c r="AI9" s="67">
        <v>14861.15</v>
      </c>
      <c r="AJ9" s="67">
        <v>13101.44</v>
      </c>
      <c r="AK9" s="67">
        <v>11571.49</v>
      </c>
      <c r="AL9" s="67">
        <v>13917.98</v>
      </c>
      <c r="AM9" s="67">
        <v>13136.19</v>
      </c>
      <c r="AN9" s="67">
        <v>13300.68</v>
      </c>
      <c r="AO9" s="67">
        <v>10631.63</v>
      </c>
      <c r="AP9" s="67">
        <v>12587.96</v>
      </c>
      <c r="AQ9" s="67">
        <v>14179.45</v>
      </c>
      <c r="AR9" s="67">
        <v>15589.99</v>
      </c>
      <c r="AS9" s="68">
        <v>50508.2</v>
      </c>
      <c r="AT9" s="63"/>
      <c r="AU9" s="63">
        <v>121.57245754154771</v>
      </c>
    </row>
    <row r="10" spans="1:47" ht="12.75" customHeight="1" x14ac:dyDescent="0.2">
      <c r="A10" s="69" t="s">
        <v>166</v>
      </c>
      <c r="B10" s="70">
        <v>161058.5</v>
      </c>
      <c r="C10" s="71">
        <v>0</v>
      </c>
      <c r="D10" s="71">
        <v>141223.97</v>
      </c>
      <c r="E10" s="72"/>
      <c r="F10" s="73">
        <v>114.04473334094772</v>
      </c>
      <c r="G10" s="70">
        <v>160481.48000000001</v>
      </c>
      <c r="H10" s="71">
        <v>148770.79999999999</v>
      </c>
      <c r="I10" s="71">
        <v>159296.07</v>
      </c>
      <c r="J10" s="71">
        <v>161058.5</v>
      </c>
      <c r="K10" s="74">
        <v>-3784.25</v>
      </c>
      <c r="L10" s="71">
        <v>0</v>
      </c>
      <c r="M10" s="71">
        <v>0</v>
      </c>
      <c r="N10" s="71">
        <v>0</v>
      </c>
      <c r="O10" s="71">
        <v>0</v>
      </c>
      <c r="P10" s="71">
        <v>0</v>
      </c>
      <c r="Q10" s="71">
        <v>0</v>
      </c>
      <c r="R10" s="71">
        <v>0</v>
      </c>
      <c r="S10" s="71">
        <v>629606.85</v>
      </c>
      <c r="T10" s="71">
        <v>0</v>
      </c>
      <c r="U10" s="71">
        <v>0</v>
      </c>
      <c r="V10" s="71">
        <v>0</v>
      </c>
      <c r="W10" s="71">
        <v>0</v>
      </c>
      <c r="X10" s="71">
        <v>0</v>
      </c>
      <c r="Y10" s="71">
        <v>0</v>
      </c>
      <c r="Z10" s="71">
        <v>0</v>
      </c>
      <c r="AA10" s="71">
        <v>0</v>
      </c>
      <c r="AB10" s="71">
        <v>0</v>
      </c>
      <c r="AC10" s="71">
        <v>0</v>
      </c>
      <c r="AD10" s="71">
        <v>0</v>
      </c>
      <c r="AE10" s="71">
        <v>0</v>
      </c>
      <c r="AF10" s="71">
        <v>0</v>
      </c>
      <c r="AG10" s="75">
        <v>136687.01999999999</v>
      </c>
      <c r="AH10" s="75">
        <v>155304.31</v>
      </c>
      <c r="AI10" s="75">
        <v>141583.06</v>
      </c>
      <c r="AJ10" s="75">
        <v>141223.97</v>
      </c>
      <c r="AK10" s="75">
        <v>128896.57</v>
      </c>
      <c r="AL10" s="75">
        <v>138831.78</v>
      </c>
      <c r="AM10" s="75">
        <v>149107.82999999999</v>
      </c>
      <c r="AN10" s="75">
        <v>141868.28</v>
      </c>
      <c r="AO10" s="75">
        <v>142269.25</v>
      </c>
      <c r="AP10" s="75">
        <v>156798.67000000001</v>
      </c>
      <c r="AQ10" s="75">
        <v>153778.26999999999</v>
      </c>
      <c r="AR10" s="75">
        <v>171100.82</v>
      </c>
      <c r="AS10" s="75">
        <v>574798.36</v>
      </c>
      <c r="AT10" s="72"/>
      <c r="AU10" s="72">
        <v>109.53525511102711</v>
      </c>
    </row>
    <row r="11" spans="1:47" ht="12.75" customHeight="1" x14ac:dyDescent="0.2">
      <c r="A11" s="61" t="s">
        <v>167</v>
      </c>
      <c r="B11" s="62">
        <v>68981.5</v>
      </c>
      <c r="C11" s="54">
        <v>0</v>
      </c>
      <c r="D11" s="54">
        <v>21609.78</v>
      </c>
      <c r="E11" s="63"/>
      <c r="F11" s="64">
        <v>319.2142631715825</v>
      </c>
      <c r="G11" s="65">
        <v>59556.43</v>
      </c>
      <c r="H11" s="54">
        <v>58689.95</v>
      </c>
      <c r="I11" s="54">
        <v>98572.47</v>
      </c>
      <c r="J11" s="54">
        <v>68981.5</v>
      </c>
      <c r="K11" s="56">
        <v>-71419.8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66">
        <v>285800.34999999998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0</v>
      </c>
      <c r="AC11" s="54">
        <v>0</v>
      </c>
      <c r="AD11" s="54">
        <v>0</v>
      </c>
      <c r="AE11" s="54">
        <v>0</v>
      </c>
      <c r="AF11" s="66">
        <v>0</v>
      </c>
      <c r="AG11" s="67">
        <v>53207.85</v>
      </c>
      <c r="AH11" s="67">
        <v>47965.919999999998</v>
      </c>
      <c r="AI11" s="67">
        <v>22502.27</v>
      </c>
      <c r="AJ11" s="67">
        <v>21609.78</v>
      </c>
      <c r="AK11" s="67">
        <v>60985.64</v>
      </c>
      <c r="AL11" s="67">
        <v>102066.12</v>
      </c>
      <c r="AM11" s="67">
        <v>47570.43</v>
      </c>
      <c r="AN11" s="67">
        <v>41152.79</v>
      </c>
      <c r="AO11" s="67">
        <v>37331.11</v>
      </c>
      <c r="AP11" s="67">
        <v>52604.95</v>
      </c>
      <c r="AQ11" s="67">
        <v>86074.23</v>
      </c>
      <c r="AR11" s="67">
        <v>75189.570000000007</v>
      </c>
      <c r="AS11" s="68">
        <v>145285.82</v>
      </c>
      <c r="AT11" s="63"/>
      <c r="AU11" s="63">
        <v>196.7159286432771</v>
      </c>
    </row>
    <row r="12" spans="1:47" ht="12.75" customHeight="1" x14ac:dyDescent="0.2">
      <c r="A12" s="61" t="s">
        <v>168</v>
      </c>
      <c r="B12" s="62">
        <v>6251.89</v>
      </c>
      <c r="C12" s="54">
        <v>0</v>
      </c>
      <c r="D12" s="54">
        <v>6665.59</v>
      </c>
      <c r="E12" s="63"/>
      <c r="F12" s="64">
        <v>93.79349764987046</v>
      </c>
      <c r="G12" s="65">
        <v>12189.51</v>
      </c>
      <c r="H12" s="54">
        <v>13608.26</v>
      </c>
      <c r="I12" s="54">
        <v>13133.05</v>
      </c>
      <c r="J12" s="54">
        <v>6251.89</v>
      </c>
      <c r="K12" s="56">
        <v>-2828.3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66">
        <v>45182.71</v>
      </c>
      <c r="T12" s="54">
        <v>0</v>
      </c>
      <c r="U12" s="54">
        <v>0</v>
      </c>
      <c r="V12" s="54">
        <v>0</v>
      </c>
      <c r="W12" s="54">
        <v>0</v>
      </c>
      <c r="X12" s="54">
        <v>0</v>
      </c>
      <c r="Y12" s="54">
        <v>0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66">
        <v>0</v>
      </c>
      <c r="AG12" s="67">
        <v>13497.04</v>
      </c>
      <c r="AH12" s="67">
        <v>12811.87</v>
      </c>
      <c r="AI12" s="67">
        <v>14655.8</v>
      </c>
      <c r="AJ12" s="67">
        <v>6665.59</v>
      </c>
      <c r="AK12" s="67">
        <v>14981.8</v>
      </c>
      <c r="AL12" s="67">
        <v>11775.98</v>
      </c>
      <c r="AM12" s="98">
        <v>-18924.07</v>
      </c>
      <c r="AN12" s="67">
        <v>10715.78</v>
      </c>
      <c r="AO12" s="67">
        <v>22820.26</v>
      </c>
      <c r="AP12" s="67">
        <v>15205.4</v>
      </c>
      <c r="AQ12" s="67">
        <v>16345.6</v>
      </c>
      <c r="AR12" s="98">
        <v>-2148.44</v>
      </c>
      <c r="AS12" s="68">
        <v>47630.3</v>
      </c>
      <c r="AT12" s="63"/>
      <c r="AU12" s="63">
        <v>94.861275280651185</v>
      </c>
    </row>
    <row r="13" spans="1:47" ht="12.75" customHeight="1" x14ac:dyDescent="0.2">
      <c r="A13" s="61" t="s">
        <v>169</v>
      </c>
      <c r="B13" s="62">
        <v>8484.4599999999991</v>
      </c>
      <c r="C13" s="54">
        <v>0</v>
      </c>
      <c r="D13" s="54">
        <v>3686.56</v>
      </c>
      <c r="E13" s="63"/>
      <c r="F13" s="64">
        <v>230.14571850180113</v>
      </c>
      <c r="G13" s="65">
        <v>17491.759999999998</v>
      </c>
      <c r="H13" s="54">
        <v>22313.1</v>
      </c>
      <c r="I13" s="54">
        <v>7891.76</v>
      </c>
      <c r="J13" s="54">
        <v>8484.4599999999991</v>
      </c>
      <c r="K13" s="56">
        <v>-10221.280000000001</v>
      </c>
      <c r="L13" s="54">
        <v>0</v>
      </c>
      <c r="M13" s="54">
        <v>0</v>
      </c>
      <c r="N13" s="54">
        <v>0</v>
      </c>
      <c r="O13" s="54">
        <v>0</v>
      </c>
      <c r="P13" s="54">
        <v>0</v>
      </c>
      <c r="Q13" s="54">
        <v>0</v>
      </c>
      <c r="R13" s="54">
        <v>0</v>
      </c>
      <c r="S13" s="66">
        <v>56181.08</v>
      </c>
      <c r="T13" s="54">
        <v>0</v>
      </c>
      <c r="U13" s="54">
        <v>0</v>
      </c>
      <c r="V13" s="54">
        <v>0</v>
      </c>
      <c r="W13" s="54">
        <v>0</v>
      </c>
      <c r="X13" s="54">
        <v>0</v>
      </c>
      <c r="Y13" s="54">
        <v>0</v>
      </c>
      <c r="Z13" s="54">
        <v>0</v>
      </c>
      <c r="AA13" s="54">
        <v>0</v>
      </c>
      <c r="AB13" s="54">
        <v>0</v>
      </c>
      <c r="AC13" s="54">
        <v>0</v>
      </c>
      <c r="AD13" s="54">
        <v>0</v>
      </c>
      <c r="AE13" s="54">
        <v>0</v>
      </c>
      <c r="AF13" s="66">
        <v>0</v>
      </c>
      <c r="AG13" s="67">
        <v>9714.84</v>
      </c>
      <c r="AH13" s="67">
        <v>32064.04</v>
      </c>
      <c r="AI13" s="67">
        <v>10852.37</v>
      </c>
      <c r="AJ13" s="67">
        <v>3686.56</v>
      </c>
      <c r="AK13" s="67">
        <v>9580.85</v>
      </c>
      <c r="AL13" s="67">
        <v>13653.9</v>
      </c>
      <c r="AM13" s="98">
        <v>-4779.8599999999997</v>
      </c>
      <c r="AN13" s="67">
        <v>7497.57</v>
      </c>
      <c r="AO13" s="67">
        <v>18536.98</v>
      </c>
      <c r="AP13" s="98">
        <v>-8187.85</v>
      </c>
      <c r="AQ13" s="67">
        <v>12642.04</v>
      </c>
      <c r="AR13" s="67">
        <v>10836.95</v>
      </c>
      <c r="AS13" s="68">
        <v>56317.81</v>
      </c>
      <c r="AT13" s="63"/>
      <c r="AU13" s="63">
        <v>99.757217121901576</v>
      </c>
    </row>
    <row r="14" spans="1:47" ht="12.75" customHeight="1" x14ac:dyDescent="0.2">
      <c r="A14" s="61" t="s">
        <v>50</v>
      </c>
      <c r="B14" s="62">
        <v>120.15</v>
      </c>
      <c r="C14" s="54">
        <v>0</v>
      </c>
      <c r="D14" s="54">
        <v>66.61</v>
      </c>
      <c r="E14" s="63"/>
      <c r="F14" s="64">
        <v>180.37832157333733</v>
      </c>
      <c r="G14" s="65">
        <v>656.52</v>
      </c>
      <c r="H14" s="54">
        <v>610.48</v>
      </c>
      <c r="I14" s="54">
        <v>293.8</v>
      </c>
      <c r="J14" s="54">
        <v>120.15</v>
      </c>
      <c r="K14" s="54">
        <v>0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1680.95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67">
        <v>0</v>
      </c>
      <c r="AH14" s="67">
        <v>0</v>
      </c>
      <c r="AI14" s="67">
        <v>22.86</v>
      </c>
      <c r="AJ14" s="67">
        <v>66.61</v>
      </c>
      <c r="AK14" s="67">
        <v>111.72</v>
      </c>
      <c r="AL14" s="67">
        <v>0</v>
      </c>
      <c r="AM14" s="67">
        <v>561.35</v>
      </c>
      <c r="AN14" s="67">
        <v>184.63</v>
      </c>
      <c r="AO14" s="67">
        <v>493.76</v>
      </c>
      <c r="AP14" s="67">
        <v>1238.4000000000001</v>
      </c>
      <c r="AQ14" s="67">
        <v>276.19</v>
      </c>
      <c r="AR14" s="67">
        <v>260.67</v>
      </c>
      <c r="AS14" s="68">
        <v>89.47</v>
      </c>
      <c r="AT14" s="63"/>
      <c r="AU14" s="63">
        <v>1878.786185313513</v>
      </c>
    </row>
    <row r="15" spans="1:47" ht="12.75" customHeight="1" x14ac:dyDescent="0.2">
      <c r="A15" s="61" t="s">
        <v>170</v>
      </c>
      <c r="B15" s="62">
        <v>17588.5</v>
      </c>
      <c r="C15" s="54">
        <v>0</v>
      </c>
      <c r="D15" s="54">
        <v>9063.8700000000008</v>
      </c>
      <c r="E15" s="63"/>
      <c r="F15" s="64">
        <v>194.05066489259002</v>
      </c>
      <c r="G15" s="97">
        <v>-337.81</v>
      </c>
      <c r="H15" s="54">
        <v>541.23</v>
      </c>
      <c r="I15" s="54">
        <v>134.4</v>
      </c>
      <c r="J15" s="54">
        <v>17588.5</v>
      </c>
      <c r="K15" s="56">
        <v>-447.23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66">
        <v>17926.32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66">
        <v>0</v>
      </c>
      <c r="AG15" s="67">
        <v>9722.91</v>
      </c>
      <c r="AH15" s="67">
        <v>1026.32</v>
      </c>
      <c r="AI15" s="67">
        <v>3014.98</v>
      </c>
      <c r="AJ15" s="67">
        <v>9063.8700000000008</v>
      </c>
      <c r="AK15" s="67">
        <v>2939.7</v>
      </c>
      <c r="AL15" s="67">
        <v>8519.33</v>
      </c>
      <c r="AM15" s="98">
        <v>-510.53</v>
      </c>
      <c r="AN15" s="67">
        <v>853.65</v>
      </c>
      <c r="AO15" s="67">
        <v>2262.9699999999998</v>
      </c>
      <c r="AP15" s="67">
        <v>1336.52</v>
      </c>
      <c r="AQ15" s="67">
        <v>4649.3999999999996</v>
      </c>
      <c r="AR15" s="67">
        <v>6795.78</v>
      </c>
      <c r="AS15" s="68">
        <v>22828.080000000002</v>
      </c>
      <c r="AT15" s="63"/>
      <c r="AU15" s="63">
        <v>78.527497713342512</v>
      </c>
    </row>
    <row r="16" spans="1:47" ht="12.75" customHeight="1" x14ac:dyDescent="0.2">
      <c r="A16" s="61" t="s">
        <v>171</v>
      </c>
      <c r="B16" s="62">
        <v>17650.669999999998</v>
      </c>
      <c r="C16" s="54">
        <v>0</v>
      </c>
      <c r="D16" s="54">
        <v>5899.46</v>
      </c>
      <c r="E16" s="63"/>
      <c r="F16" s="64">
        <v>299.19128191393787</v>
      </c>
      <c r="G16" s="65">
        <v>29875.119999999999</v>
      </c>
      <c r="H16" s="54">
        <v>32113.360000000001</v>
      </c>
      <c r="I16" s="54">
        <v>15021.68</v>
      </c>
      <c r="J16" s="54">
        <v>17650.669999999998</v>
      </c>
      <c r="K16" s="56">
        <v>-4071.39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66">
        <v>94660.83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>
        <v>13552.08</v>
      </c>
      <c r="AH16" s="67">
        <v>12298.43</v>
      </c>
      <c r="AI16" s="67">
        <v>17196.830000000002</v>
      </c>
      <c r="AJ16" s="67">
        <v>5899.46</v>
      </c>
      <c r="AK16" s="67">
        <v>21176.78</v>
      </c>
      <c r="AL16" s="67">
        <v>17429.57</v>
      </c>
      <c r="AM16" s="67">
        <v>21084.78</v>
      </c>
      <c r="AN16" s="67">
        <v>39133.019999999997</v>
      </c>
      <c r="AO16" s="67">
        <v>15923.22</v>
      </c>
      <c r="AP16" s="67">
        <v>30134.98</v>
      </c>
      <c r="AQ16" s="67">
        <v>32746.57</v>
      </c>
      <c r="AR16" s="67">
        <v>33235.01</v>
      </c>
      <c r="AS16" s="68">
        <v>48946.8</v>
      </c>
      <c r="AT16" s="63"/>
      <c r="AU16" s="63">
        <v>193.39533942974822</v>
      </c>
    </row>
    <row r="17" spans="1:47" ht="12.75" customHeight="1" x14ac:dyDescent="0.2">
      <c r="A17" s="61" t="s">
        <v>172</v>
      </c>
      <c r="B17" s="62">
        <v>0</v>
      </c>
      <c r="C17" s="54">
        <v>0</v>
      </c>
      <c r="D17" s="54">
        <v>450.04</v>
      </c>
      <c r="E17" s="63"/>
      <c r="F17" s="64">
        <v>0</v>
      </c>
      <c r="G17" s="65">
        <v>0</v>
      </c>
      <c r="H17" s="54">
        <v>1315.33</v>
      </c>
      <c r="I17" s="54">
        <v>542.33000000000004</v>
      </c>
      <c r="J17" s="54">
        <v>0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1857.66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345.58</v>
      </c>
      <c r="AH17" s="67">
        <v>759.01</v>
      </c>
      <c r="AI17" s="67">
        <v>498.3</v>
      </c>
      <c r="AJ17" s="67">
        <v>450.04</v>
      </c>
      <c r="AK17" s="67">
        <v>0</v>
      </c>
      <c r="AL17" s="67">
        <v>510.77</v>
      </c>
      <c r="AM17" s="67">
        <v>411.58</v>
      </c>
      <c r="AN17" s="67">
        <v>325.14999999999998</v>
      </c>
      <c r="AO17" s="67">
        <v>1280.3599999999999</v>
      </c>
      <c r="AP17" s="67">
        <v>0</v>
      </c>
      <c r="AQ17" s="67">
        <v>0</v>
      </c>
      <c r="AR17" s="67">
        <v>2180.67</v>
      </c>
      <c r="AS17" s="68">
        <v>2052.9299999999998</v>
      </c>
      <c r="AT17" s="63"/>
      <c r="AU17" s="63">
        <v>90.488229019011854</v>
      </c>
    </row>
    <row r="18" spans="1:47" ht="12.75" customHeight="1" x14ac:dyDescent="0.2">
      <c r="A18" s="61" t="s">
        <v>173</v>
      </c>
      <c r="B18" s="62">
        <v>4165.07</v>
      </c>
      <c r="C18" s="54">
        <v>0</v>
      </c>
      <c r="D18" s="54">
        <v>5282.51</v>
      </c>
      <c r="E18" s="63"/>
      <c r="F18" s="64">
        <v>78.846419599773597</v>
      </c>
      <c r="G18" s="65">
        <v>4300.16</v>
      </c>
      <c r="H18" s="54">
        <v>4300.2299999999996</v>
      </c>
      <c r="I18" s="54">
        <v>4281.26</v>
      </c>
      <c r="J18" s="54">
        <v>4165.07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17046.72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5076.8500000000004</v>
      </c>
      <c r="AH18" s="67">
        <v>5076.93</v>
      </c>
      <c r="AI18" s="67">
        <v>4074.06</v>
      </c>
      <c r="AJ18" s="67">
        <v>5282.51</v>
      </c>
      <c r="AK18" s="67">
        <v>5869.9</v>
      </c>
      <c r="AL18" s="67">
        <v>4589.8100000000004</v>
      </c>
      <c r="AM18" s="67">
        <v>4467.6099999999997</v>
      </c>
      <c r="AN18" s="67">
        <v>4467.57</v>
      </c>
      <c r="AO18" s="67">
        <v>4043.35</v>
      </c>
      <c r="AP18" s="67">
        <v>4286.08</v>
      </c>
      <c r="AQ18" s="67">
        <v>4164.71</v>
      </c>
      <c r="AR18" s="67">
        <v>4551.6899999999996</v>
      </c>
      <c r="AS18" s="68">
        <v>19510.349999999999</v>
      </c>
      <c r="AT18" s="63"/>
      <c r="AU18" s="63">
        <v>87.372702181150004</v>
      </c>
    </row>
    <row r="19" spans="1:47" ht="12.75" hidden="1" customHeight="1" outlineLevel="1" x14ac:dyDescent="0.2">
      <c r="A19" s="61" t="s">
        <v>258</v>
      </c>
      <c r="B19" s="62">
        <v>9543.7099999999991</v>
      </c>
      <c r="C19" s="54">
        <v>0</v>
      </c>
      <c r="D19" s="54">
        <v>8952.32</v>
      </c>
      <c r="E19" s="63"/>
      <c r="F19" s="64">
        <v>106.60599710466114</v>
      </c>
      <c r="G19" s="65">
        <v>9682.82</v>
      </c>
      <c r="H19" s="54">
        <v>9682.82</v>
      </c>
      <c r="I19" s="54">
        <v>9696.1</v>
      </c>
      <c r="J19" s="54">
        <v>9543.7099999999991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38605.449999999997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8539.82</v>
      </c>
      <c r="AH19" s="67">
        <v>8539.82</v>
      </c>
      <c r="AI19" s="67">
        <v>11950.87</v>
      </c>
      <c r="AJ19" s="67">
        <v>8952.32</v>
      </c>
      <c r="AK19" s="67">
        <v>9313.94</v>
      </c>
      <c r="AL19" s="67">
        <v>9301.94</v>
      </c>
      <c r="AM19" s="67">
        <v>9301.91</v>
      </c>
      <c r="AN19" s="67">
        <v>9282.32</v>
      </c>
      <c r="AO19" s="67">
        <v>9294.89</v>
      </c>
      <c r="AP19" s="67">
        <v>9527.94</v>
      </c>
      <c r="AQ19" s="67">
        <v>9411.15</v>
      </c>
      <c r="AR19" s="67">
        <v>9936.36</v>
      </c>
      <c r="AS19" s="68">
        <v>37982.83</v>
      </c>
      <c r="AT19" s="63"/>
      <c r="AU19" s="63">
        <v>101.63921435027353</v>
      </c>
    </row>
    <row r="20" spans="1:47" ht="12.75" hidden="1" customHeight="1" outlineLevel="1" x14ac:dyDescent="0.2">
      <c r="A20" s="61" t="s">
        <v>109</v>
      </c>
      <c r="B20" s="62">
        <v>4172.3599999999997</v>
      </c>
      <c r="C20" s="54">
        <v>0</v>
      </c>
      <c r="D20" s="54">
        <v>0</v>
      </c>
      <c r="E20" s="63"/>
      <c r="F20" s="64"/>
      <c r="G20" s="65">
        <v>3699.79</v>
      </c>
      <c r="H20" s="56">
        <v>-5678.5</v>
      </c>
      <c r="I20" s="54">
        <v>4893.6400000000003</v>
      </c>
      <c r="J20" s="54">
        <v>4172.3599999999997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66">
        <v>7087.29</v>
      </c>
      <c r="T20" s="54">
        <v>0</v>
      </c>
      <c r="U20" s="54">
        <v>0</v>
      </c>
      <c r="V20" s="54">
        <v>0</v>
      </c>
      <c r="W20" s="54">
        <v>0</v>
      </c>
      <c r="X20" s="54">
        <v>0</v>
      </c>
      <c r="Y20" s="54">
        <v>0</v>
      </c>
      <c r="Z20" s="54">
        <v>0</v>
      </c>
      <c r="AA20" s="54">
        <v>0</v>
      </c>
      <c r="AB20" s="54">
        <v>0</v>
      </c>
      <c r="AC20" s="54">
        <v>0</v>
      </c>
      <c r="AD20" s="54">
        <v>0</v>
      </c>
      <c r="AE20" s="54">
        <v>0</v>
      </c>
      <c r="AF20" s="66">
        <v>0</v>
      </c>
      <c r="AG20" s="67">
        <v>2150</v>
      </c>
      <c r="AH20" s="67">
        <v>405.81</v>
      </c>
      <c r="AI20" s="67">
        <v>44.18</v>
      </c>
      <c r="AJ20" s="67">
        <v>0</v>
      </c>
      <c r="AK20" s="67">
        <v>0</v>
      </c>
      <c r="AL20" s="67">
        <v>5092.93</v>
      </c>
      <c r="AM20" s="67">
        <v>2465.4</v>
      </c>
      <c r="AN20" s="67">
        <v>0</v>
      </c>
      <c r="AO20" s="67">
        <v>500</v>
      </c>
      <c r="AP20" s="98">
        <v>-25</v>
      </c>
      <c r="AQ20" s="67">
        <v>7818.5</v>
      </c>
      <c r="AR20" s="67">
        <v>11315</v>
      </c>
      <c r="AS20" s="68">
        <v>2599.9899999999998</v>
      </c>
      <c r="AT20" s="63"/>
      <c r="AU20" s="63">
        <v>272.58912534278977</v>
      </c>
    </row>
    <row r="21" spans="1:47" ht="12.75" hidden="1" customHeight="1" outlineLevel="1" x14ac:dyDescent="0.2">
      <c r="A21" s="61" t="s">
        <v>97</v>
      </c>
      <c r="B21" s="62">
        <v>344</v>
      </c>
      <c r="C21" s="54">
        <v>0</v>
      </c>
      <c r="D21" s="54">
        <v>1336.67</v>
      </c>
      <c r="E21" s="63"/>
      <c r="F21" s="64">
        <v>25.735596669334988</v>
      </c>
      <c r="G21" s="65">
        <v>344</v>
      </c>
      <c r="H21" s="54">
        <v>344</v>
      </c>
      <c r="I21" s="54">
        <v>344</v>
      </c>
      <c r="J21" s="54">
        <v>344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66">
        <v>1376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4">
        <v>0</v>
      </c>
      <c r="AB21" s="54">
        <v>0</v>
      </c>
      <c r="AC21" s="54">
        <v>0</v>
      </c>
      <c r="AD21" s="54">
        <v>0</v>
      </c>
      <c r="AE21" s="54">
        <v>0</v>
      </c>
      <c r="AF21" s="66">
        <v>0</v>
      </c>
      <c r="AG21" s="67">
        <v>1128.67</v>
      </c>
      <c r="AH21" s="67">
        <v>1128.67</v>
      </c>
      <c r="AI21" s="67">
        <v>1484.44</v>
      </c>
      <c r="AJ21" s="67">
        <v>1336.67</v>
      </c>
      <c r="AK21" s="67">
        <v>1112.32</v>
      </c>
      <c r="AL21" s="67">
        <v>1336.67</v>
      </c>
      <c r="AM21" s="67">
        <v>344</v>
      </c>
      <c r="AN21" s="67">
        <v>344</v>
      </c>
      <c r="AO21" s="67">
        <v>344</v>
      </c>
      <c r="AP21" s="67">
        <v>344</v>
      </c>
      <c r="AQ21" s="67">
        <v>344</v>
      </c>
      <c r="AR21" s="67">
        <v>344</v>
      </c>
      <c r="AS21" s="68">
        <v>5078.45</v>
      </c>
      <c r="AT21" s="63"/>
      <c r="AU21" s="63">
        <v>27.094881312211403</v>
      </c>
    </row>
    <row r="22" spans="1:47" ht="12.75" customHeight="1" collapsed="1" x14ac:dyDescent="0.2">
      <c r="A22" s="61" t="s">
        <v>69</v>
      </c>
      <c r="B22" s="62">
        <v>12839.64</v>
      </c>
      <c r="C22" s="54">
        <v>0</v>
      </c>
      <c r="D22" s="54">
        <v>656.59</v>
      </c>
      <c r="E22" s="63"/>
      <c r="F22" s="64">
        <v>1955.5034344111241</v>
      </c>
      <c r="G22" s="65">
        <v>23081.66</v>
      </c>
      <c r="H22" s="54">
        <v>5630.38</v>
      </c>
      <c r="I22" s="54">
        <v>4186.82</v>
      </c>
      <c r="J22" s="54">
        <v>12839.64</v>
      </c>
      <c r="K22" s="56">
        <v>-5010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66">
        <v>45738.5</v>
      </c>
      <c r="T22" s="54">
        <v>0</v>
      </c>
      <c r="U22" s="54">
        <v>0</v>
      </c>
      <c r="V22" s="54">
        <v>0</v>
      </c>
      <c r="W22" s="54">
        <v>0</v>
      </c>
      <c r="X22" s="54">
        <v>0</v>
      </c>
      <c r="Y22" s="54">
        <v>0</v>
      </c>
      <c r="Z22" s="54">
        <v>0</v>
      </c>
      <c r="AA22" s="54">
        <v>0</v>
      </c>
      <c r="AB22" s="54">
        <v>0</v>
      </c>
      <c r="AC22" s="54">
        <v>0</v>
      </c>
      <c r="AD22" s="54">
        <v>0</v>
      </c>
      <c r="AE22" s="54">
        <v>0</v>
      </c>
      <c r="AF22" s="66">
        <v>0</v>
      </c>
      <c r="AG22" s="67">
        <v>11940.51</v>
      </c>
      <c r="AH22" s="67">
        <v>3475</v>
      </c>
      <c r="AI22" s="67">
        <v>5661</v>
      </c>
      <c r="AJ22" s="67">
        <v>656.59</v>
      </c>
      <c r="AK22" s="67">
        <v>3338.66</v>
      </c>
      <c r="AL22" s="67">
        <v>1897.54</v>
      </c>
      <c r="AM22" s="67">
        <v>1264.96</v>
      </c>
      <c r="AN22" s="67">
        <v>7956</v>
      </c>
      <c r="AO22" s="67">
        <v>8398.43</v>
      </c>
      <c r="AP22" s="67">
        <v>10389.86</v>
      </c>
      <c r="AQ22" s="67">
        <v>8281.82</v>
      </c>
      <c r="AR22" s="67">
        <v>17632.990000000002</v>
      </c>
      <c r="AS22" s="68">
        <v>21733.1</v>
      </c>
      <c r="AT22" s="63"/>
      <c r="AU22" s="63">
        <v>210.45548035024916</v>
      </c>
    </row>
    <row r="23" spans="1:47" ht="12.75" hidden="1" customHeight="1" outlineLevel="1" x14ac:dyDescent="0.2">
      <c r="A23" s="69" t="s">
        <v>70</v>
      </c>
      <c r="B23" s="70">
        <v>17356</v>
      </c>
      <c r="C23" s="71">
        <v>0</v>
      </c>
      <c r="D23" s="71">
        <v>1993.26</v>
      </c>
      <c r="E23" s="72"/>
      <c r="F23" s="73">
        <v>870.73437484322164</v>
      </c>
      <c r="G23" s="70">
        <v>27125.45</v>
      </c>
      <c r="H23" s="71">
        <v>295.88</v>
      </c>
      <c r="I23" s="71">
        <v>9424.4599999999991</v>
      </c>
      <c r="J23" s="71">
        <v>17356</v>
      </c>
      <c r="K23" s="74">
        <v>-5010</v>
      </c>
      <c r="L23" s="71">
        <v>0</v>
      </c>
      <c r="M23" s="71">
        <v>0</v>
      </c>
      <c r="N23" s="71">
        <v>0</v>
      </c>
      <c r="O23" s="71">
        <v>0</v>
      </c>
      <c r="P23" s="71">
        <v>0</v>
      </c>
      <c r="Q23" s="71">
        <v>0</v>
      </c>
      <c r="R23" s="71">
        <v>0</v>
      </c>
      <c r="S23" s="71">
        <v>54201.79</v>
      </c>
      <c r="T23" s="71">
        <v>0</v>
      </c>
      <c r="U23" s="71">
        <v>0</v>
      </c>
      <c r="V23" s="71">
        <v>0</v>
      </c>
      <c r="W23" s="71">
        <v>0</v>
      </c>
      <c r="X23" s="71">
        <v>0</v>
      </c>
      <c r="Y23" s="71">
        <v>0</v>
      </c>
      <c r="Z23" s="71">
        <v>0</v>
      </c>
      <c r="AA23" s="71">
        <v>0</v>
      </c>
      <c r="AB23" s="71">
        <v>0</v>
      </c>
      <c r="AC23" s="71">
        <v>0</v>
      </c>
      <c r="AD23" s="71">
        <v>0</v>
      </c>
      <c r="AE23" s="71">
        <v>0</v>
      </c>
      <c r="AF23" s="71">
        <v>0</v>
      </c>
      <c r="AG23" s="75">
        <v>15219.18</v>
      </c>
      <c r="AH23" s="75">
        <v>5009.4799999999996</v>
      </c>
      <c r="AI23" s="75">
        <v>7189.62</v>
      </c>
      <c r="AJ23" s="75">
        <v>1993.26</v>
      </c>
      <c r="AK23" s="75">
        <v>4450.9799999999996</v>
      </c>
      <c r="AL23" s="75">
        <v>8327.14</v>
      </c>
      <c r="AM23" s="75">
        <v>4074.36</v>
      </c>
      <c r="AN23" s="75">
        <v>8300</v>
      </c>
      <c r="AO23" s="75">
        <v>9242.43</v>
      </c>
      <c r="AP23" s="75">
        <v>10708.86</v>
      </c>
      <c r="AQ23" s="75">
        <v>16444.32</v>
      </c>
      <c r="AR23" s="75">
        <v>29291.99</v>
      </c>
      <c r="AS23" s="75">
        <v>29411.54</v>
      </c>
      <c r="AT23" s="72"/>
      <c r="AU23" s="72">
        <v>184.28749395645383</v>
      </c>
    </row>
    <row r="24" spans="1:47" ht="12.75" hidden="1" customHeight="1" outlineLevel="1" x14ac:dyDescent="0.2">
      <c r="A24" s="61" t="s">
        <v>174</v>
      </c>
      <c r="B24" s="62">
        <v>0</v>
      </c>
      <c r="C24" s="54">
        <v>0</v>
      </c>
      <c r="D24" s="54">
        <v>0</v>
      </c>
      <c r="E24" s="63"/>
      <c r="F24" s="64"/>
      <c r="G24" s="65">
        <v>0</v>
      </c>
      <c r="H24" s="54">
        <v>0</v>
      </c>
      <c r="I24" s="54">
        <v>0</v>
      </c>
      <c r="J24" s="54">
        <v>0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0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0</v>
      </c>
      <c r="AH24" s="67">
        <v>0</v>
      </c>
      <c r="AI24" s="67">
        <v>0</v>
      </c>
      <c r="AJ24" s="67">
        <v>0</v>
      </c>
      <c r="AK24" s="67">
        <v>0</v>
      </c>
      <c r="AL24" s="67">
        <v>0</v>
      </c>
      <c r="AM24" s="67">
        <v>0</v>
      </c>
      <c r="AN24" s="67">
        <v>0</v>
      </c>
      <c r="AO24" s="67">
        <v>0</v>
      </c>
      <c r="AP24" s="67">
        <v>0</v>
      </c>
      <c r="AQ24" s="67">
        <v>0</v>
      </c>
      <c r="AR24" s="67">
        <v>0</v>
      </c>
      <c r="AS24" s="68">
        <v>0</v>
      </c>
      <c r="AT24" s="63"/>
      <c r="AU24" s="63"/>
    </row>
    <row r="25" spans="1:47" ht="12.75" hidden="1" customHeight="1" outlineLevel="1" x14ac:dyDescent="0.2">
      <c r="A25" s="61" t="s">
        <v>99</v>
      </c>
      <c r="B25" s="62">
        <v>3745.41</v>
      </c>
      <c r="C25" s="54">
        <v>0</v>
      </c>
      <c r="D25" s="54">
        <v>4469.18</v>
      </c>
      <c r="E25" s="63"/>
      <c r="F25" s="64">
        <v>83.805306566305234</v>
      </c>
      <c r="G25" s="65">
        <v>7128.42</v>
      </c>
      <c r="H25" s="54">
        <v>7330.31</v>
      </c>
      <c r="I25" s="54">
        <v>3552.49</v>
      </c>
      <c r="J25" s="54">
        <v>3745.41</v>
      </c>
      <c r="K25" s="56">
        <v>-3677.16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21756.63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4043.85</v>
      </c>
      <c r="AH25" s="67">
        <v>4202.9399999999996</v>
      </c>
      <c r="AI25" s="67">
        <v>2482.44</v>
      </c>
      <c r="AJ25" s="67">
        <v>4469.18</v>
      </c>
      <c r="AK25" s="67">
        <v>6787.26</v>
      </c>
      <c r="AL25" s="67">
        <v>0</v>
      </c>
      <c r="AM25" s="67">
        <v>0</v>
      </c>
      <c r="AN25" s="67">
        <v>13370.27</v>
      </c>
      <c r="AO25" s="67">
        <v>5910.29</v>
      </c>
      <c r="AP25" s="67">
        <v>0</v>
      </c>
      <c r="AQ25" s="67">
        <v>7050.25</v>
      </c>
      <c r="AR25" s="67">
        <v>0</v>
      </c>
      <c r="AS25" s="68">
        <v>15198.41</v>
      </c>
      <c r="AT25" s="63"/>
      <c r="AU25" s="63">
        <v>143.15069800064612</v>
      </c>
    </row>
    <row r="26" spans="1:47" ht="12.75" hidden="1" customHeight="1" outlineLevel="1" x14ac:dyDescent="0.2">
      <c r="A26" s="61" t="s">
        <v>175</v>
      </c>
      <c r="B26" s="62">
        <v>0</v>
      </c>
      <c r="C26" s="54">
        <v>0</v>
      </c>
      <c r="D26" s="54">
        <v>0</v>
      </c>
      <c r="E26" s="63"/>
      <c r="F26" s="64"/>
      <c r="G26" s="65">
        <v>0</v>
      </c>
      <c r="H26" s="54">
        <v>0</v>
      </c>
      <c r="I26" s="54">
        <v>0</v>
      </c>
      <c r="J26" s="54">
        <v>0</v>
      </c>
      <c r="K26" s="54">
        <v>0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0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0</v>
      </c>
      <c r="AH26" s="67">
        <v>0</v>
      </c>
      <c r="AI26" s="67">
        <v>0</v>
      </c>
      <c r="AJ26" s="67">
        <v>0</v>
      </c>
      <c r="AK26" s="67">
        <v>0</v>
      </c>
      <c r="AL26" s="67">
        <v>0</v>
      </c>
      <c r="AM26" s="67">
        <v>0</v>
      </c>
      <c r="AN26" s="67">
        <v>0</v>
      </c>
      <c r="AO26" s="67">
        <v>0</v>
      </c>
      <c r="AP26" s="67">
        <v>0</v>
      </c>
      <c r="AQ26" s="67">
        <v>0</v>
      </c>
      <c r="AR26" s="67">
        <v>0</v>
      </c>
      <c r="AS26" s="68">
        <v>0</v>
      </c>
      <c r="AT26" s="63"/>
      <c r="AU26" s="63"/>
    </row>
    <row r="27" spans="1:47" ht="12.75" hidden="1" customHeight="1" outlineLevel="1" x14ac:dyDescent="0.2">
      <c r="A27" s="61" t="s">
        <v>100</v>
      </c>
      <c r="B27" s="62">
        <v>1900.78</v>
      </c>
      <c r="C27" s="54">
        <v>0</v>
      </c>
      <c r="D27" s="54">
        <v>2721.17</v>
      </c>
      <c r="E27" s="63"/>
      <c r="F27" s="64">
        <v>69.851571199153312</v>
      </c>
      <c r="G27" s="65">
        <v>10523.6</v>
      </c>
      <c r="H27" s="54">
        <v>2684.11</v>
      </c>
      <c r="I27" s="54">
        <v>1896.92</v>
      </c>
      <c r="J27" s="54">
        <v>1900.78</v>
      </c>
      <c r="K27" s="56">
        <v>-3703.16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17005.41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3052.27</v>
      </c>
      <c r="AH27" s="67">
        <v>1756.5</v>
      </c>
      <c r="AI27" s="67">
        <v>607.79999999999995</v>
      </c>
      <c r="AJ27" s="67">
        <v>2721.17</v>
      </c>
      <c r="AK27" s="67">
        <v>2621.52</v>
      </c>
      <c r="AL27" s="67">
        <v>1888.42</v>
      </c>
      <c r="AM27" s="67">
        <v>1331.49</v>
      </c>
      <c r="AN27" s="67">
        <v>2781.11</v>
      </c>
      <c r="AO27" s="67">
        <v>2016.25</v>
      </c>
      <c r="AP27" s="67">
        <v>3315.55</v>
      </c>
      <c r="AQ27" s="67">
        <v>2339.09</v>
      </c>
      <c r="AR27" s="98">
        <v>-7143.73</v>
      </c>
      <c r="AS27" s="68">
        <v>8137.74</v>
      </c>
      <c r="AT27" s="63"/>
      <c r="AU27" s="63">
        <v>208.96968937321665</v>
      </c>
    </row>
    <row r="28" spans="1:47" ht="12.75" hidden="1" customHeight="1" outlineLevel="1" x14ac:dyDescent="0.2">
      <c r="A28" s="61" t="s">
        <v>101</v>
      </c>
      <c r="B28" s="62">
        <v>180.9</v>
      </c>
      <c r="C28" s="54">
        <v>0</v>
      </c>
      <c r="D28" s="54">
        <v>173.12</v>
      </c>
      <c r="E28" s="63"/>
      <c r="F28" s="64">
        <v>104.49399260628466</v>
      </c>
      <c r="G28" s="65">
        <v>134.82</v>
      </c>
      <c r="H28" s="54">
        <v>134.63999999999999</v>
      </c>
      <c r="I28" s="54">
        <v>89.19</v>
      </c>
      <c r="J28" s="54">
        <v>180.9</v>
      </c>
      <c r="K28" s="56">
        <v>-89.19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539.54999999999995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122.77</v>
      </c>
      <c r="AH28" s="67">
        <v>119.2</v>
      </c>
      <c r="AI28" s="67">
        <v>219.69</v>
      </c>
      <c r="AJ28" s="67">
        <v>173.12</v>
      </c>
      <c r="AK28" s="67">
        <v>156.22</v>
      </c>
      <c r="AL28" s="67">
        <v>142.41999999999999</v>
      </c>
      <c r="AM28" s="67">
        <v>50</v>
      </c>
      <c r="AN28" s="67">
        <v>45.45</v>
      </c>
      <c r="AO28" s="67">
        <v>235.63</v>
      </c>
      <c r="AP28" s="67">
        <v>147.86000000000001</v>
      </c>
      <c r="AQ28" s="67">
        <v>45.45</v>
      </c>
      <c r="AR28" s="67">
        <v>315.95999999999998</v>
      </c>
      <c r="AS28" s="68">
        <v>634.78</v>
      </c>
      <c r="AT28" s="63"/>
      <c r="AU28" s="63">
        <v>84.997952046378273</v>
      </c>
    </row>
    <row r="29" spans="1:47" ht="12.75" hidden="1" customHeight="1" outlineLevel="1" x14ac:dyDescent="0.2">
      <c r="A29" s="61" t="s">
        <v>176</v>
      </c>
      <c r="B29" s="62">
        <v>61.24</v>
      </c>
      <c r="C29" s="54">
        <v>0</v>
      </c>
      <c r="D29" s="54">
        <v>0</v>
      </c>
      <c r="E29" s="63"/>
      <c r="F29" s="64"/>
      <c r="G29" s="65">
        <v>70.8</v>
      </c>
      <c r="H29" s="54">
        <v>59.95</v>
      </c>
      <c r="I29" s="54">
        <v>57.82</v>
      </c>
      <c r="J29" s="54">
        <v>61.24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249.81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68.33</v>
      </c>
      <c r="AH29" s="67">
        <v>68.33</v>
      </c>
      <c r="AI29" s="67">
        <v>50</v>
      </c>
      <c r="AJ29" s="67">
        <v>0</v>
      </c>
      <c r="AK29" s="67">
        <v>44.96</v>
      </c>
      <c r="AL29" s="67">
        <v>44.96</v>
      </c>
      <c r="AM29" s="67">
        <v>161.58000000000001</v>
      </c>
      <c r="AN29" s="67">
        <v>117.73</v>
      </c>
      <c r="AO29" s="67">
        <v>0</v>
      </c>
      <c r="AP29" s="67">
        <v>0</v>
      </c>
      <c r="AQ29" s="67">
        <v>146.30000000000001</v>
      </c>
      <c r="AR29" s="67">
        <v>76.75</v>
      </c>
      <c r="AS29" s="68">
        <v>186.66</v>
      </c>
      <c r="AT29" s="63"/>
      <c r="AU29" s="63">
        <v>133.83156541305047</v>
      </c>
    </row>
    <row r="30" spans="1:47" ht="12.75" hidden="1" customHeight="1" outlineLevel="1" x14ac:dyDescent="0.2">
      <c r="A30" s="61" t="s">
        <v>102</v>
      </c>
      <c r="B30" s="62">
        <v>3004.44</v>
      </c>
      <c r="C30" s="54">
        <v>0</v>
      </c>
      <c r="D30" s="54">
        <v>3004.44</v>
      </c>
      <c r="E30" s="63"/>
      <c r="F30" s="64">
        <v>100</v>
      </c>
      <c r="G30" s="65">
        <v>3004.44</v>
      </c>
      <c r="H30" s="54">
        <v>3004.44</v>
      </c>
      <c r="I30" s="54">
        <v>3004.44</v>
      </c>
      <c r="J30" s="54">
        <v>3004.44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12017.76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2721</v>
      </c>
      <c r="AH30" s="67">
        <v>3004.44</v>
      </c>
      <c r="AI30" s="67">
        <v>3004.44</v>
      </c>
      <c r="AJ30" s="67">
        <v>3004.44</v>
      </c>
      <c r="AK30" s="67">
        <v>3004.44</v>
      </c>
      <c r="AL30" s="67">
        <v>4657.4399999999996</v>
      </c>
      <c r="AM30" s="67">
        <v>1351.44</v>
      </c>
      <c r="AN30" s="67">
        <v>3004.44</v>
      </c>
      <c r="AO30" s="67">
        <v>3004.44</v>
      </c>
      <c r="AP30" s="67">
        <v>3004.44</v>
      </c>
      <c r="AQ30" s="67">
        <v>3004.44</v>
      </c>
      <c r="AR30" s="67">
        <v>3004.44</v>
      </c>
      <c r="AS30" s="68">
        <v>11734.32</v>
      </c>
      <c r="AT30" s="63"/>
      <c r="AU30" s="63">
        <v>102.41547869838219</v>
      </c>
    </row>
    <row r="31" spans="1:47" ht="12.75" hidden="1" customHeight="1" outlineLevel="1" x14ac:dyDescent="0.2">
      <c r="A31" s="61" t="s">
        <v>75</v>
      </c>
      <c r="B31" s="62">
        <v>0</v>
      </c>
      <c r="C31" s="54">
        <v>0</v>
      </c>
      <c r="D31" s="54">
        <v>0</v>
      </c>
      <c r="E31" s="63"/>
      <c r="F31" s="64"/>
      <c r="G31" s="65">
        <v>0</v>
      </c>
      <c r="H31" s="54">
        <v>0</v>
      </c>
      <c r="I31" s="54">
        <v>0</v>
      </c>
      <c r="J31" s="54">
        <v>0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0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0</v>
      </c>
      <c r="AH31" s="67">
        <v>0</v>
      </c>
      <c r="AI31" s="67">
        <v>0</v>
      </c>
      <c r="AJ31" s="67">
        <v>0</v>
      </c>
      <c r="AK31" s="67">
        <v>0</v>
      </c>
      <c r="AL31" s="67">
        <v>0</v>
      </c>
      <c r="AM31" s="67">
        <v>0</v>
      </c>
      <c r="AN31" s="67">
        <v>0</v>
      </c>
      <c r="AO31" s="67">
        <v>0</v>
      </c>
      <c r="AP31" s="67">
        <v>0</v>
      </c>
      <c r="AQ31" s="67">
        <v>0</v>
      </c>
      <c r="AR31" s="67">
        <v>0</v>
      </c>
      <c r="AS31" s="68">
        <v>0</v>
      </c>
      <c r="AT31" s="63"/>
      <c r="AU31" s="63"/>
    </row>
    <row r="32" spans="1:47" ht="12.75" hidden="1" customHeight="1" outlineLevel="1" x14ac:dyDescent="0.2">
      <c r="A32" s="61" t="s">
        <v>76</v>
      </c>
      <c r="B32" s="62">
        <v>206.56</v>
      </c>
      <c r="C32" s="54">
        <v>0</v>
      </c>
      <c r="D32" s="54">
        <v>1006.97</v>
      </c>
      <c r="E32" s="63"/>
      <c r="F32" s="64">
        <v>20.513024221178387</v>
      </c>
      <c r="G32" s="65">
        <v>1744.84</v>
      </c>
      <c r="H32" s="54">
        <v>2142.42</v>
      </c>
      <c r="I32" s="54">
        <v>2244.09</v>
      </c>
      <c r="J32" s="54">
        <v>206.56</v>
      </c>
      <c r="K32" s="56">
        <v>-936.1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66">
        <v>6337.91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66">
        <v>0</v>
      </c>
      <c r="AG32" s="67">
        <v>1000.04</v>
      </c>
      <c r="AH32" s="67">
        <v>1087.24</v>
      </c>
      <c r="AI32" s="67">
        <v>11.81</v>
      </c>
      <c r="AJ32" s="67">
        <v>1006.97</v>
      </c>
      <c r="AK32" s="67">
        <v>1006.97</v>
      </c>
      <c r="AL32" s="67">
        <v>7923.66</v>
      </c>
      <c r="AM32" s="98">
        <v>-1849.1</v>
      </c>
      <c r="AN32" s="67">
        <v>872.42</v>
      </c>
      <c r="AO32" s="67">
        <v>1082.47</v>
      </c>
      <c r="AP32" s="67">
        <v>824.98</v>
      </c>
      <c r="AQ32" s="67">
        <v>872.42</v>
      </c>
      <c r="AR32" s="67">
        <v>5177.53</v>
      </c>
      <c r="AS32" s="68">
        <v>3106.06</v>
      </c>
      <c r="AT32" s="63"/>
      <c r="AU32" s="63">
        <v>204.04982518045369</v>
      </c>
    </row>
    <row r="33" spans="1:47" ht="12.75" customHeight="1" collapsed="1" x14ac:dyDescent="0.2">
      <c r="A33" s="61" t="s">
        <v>77</v>
      </c>
      <c r="B33" s="62"/>
      <c r="C33" s="54"/>
      <c r="D33" s="54"/>
      <c r="E33" s="63"/>
      <c r="F33" s="64"/>
      <c r="G33" s="65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66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66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8"/>
      <c r="AT33" s="63"/>
      <c r="AU33" s="63"/>
    </row>
    <row r="34" spans="1:47" ht="12.75" hidden="1" customHeight="1" outlineLevel="1" x14ac:dyDescent="0.2">
      <c r="A34" s="69" t="s">
        <v>177</v>
      </c>
      <c r="B34" s="70">
        <v>9099.33</v>
      </c>
      <c r="C34" s="71">
        <v>0</v>
      </c>
      <c r="D34" s="71">
        <v>11374.88</v>
      </c>
      <c r="E34" s="72"/>
      <c r="F34" s="73">
        <v>79.994953792919134</v>
      </c>
      <c r="G34" s="70">
        <v>22606.92</v>
      </c>
      <c r="H34" s="71">
        <v>15355.87</v>
      </c>
      <c r="I34" s="71">
        <v>10844.95</v>
      </c>
      <c r="J34" s="71">
        <v>9099.33</v>
      </c>
      <c r="K34" s="74">
        <v>-8405.61</v>
      </c>
      <c r="L34" s="71">
        <v>0</v>
      </c>
      <c r="M34" s="71">
        <v>0</v>
      </c>
      <c r="N34" s="71">
        <v>0</v>
      </c>
      <c r="O34" s="71">
        <v>0</v>
      </c>
      <c r="P34" s="71">
        <v>0</v>
      </c>
      <c r="Q34" s="71">
        <v>0</v>
      </c>
      <c r="R34" s="71">
        <v>0</v>
      </c>
      <c r="S34" s="71">
        <v>57907.07</v>
      </c>
      <c r="T34" s="71">
        <v>0</v>
      </c>
      <c r="U34" s="71">
        <v>0</v>
      </c>
      <c r="V34" s="71">
        <v>0</v>
      </c>
      <c r="W34" s="71">
        <v>0</v>
      </c>
      <c r="X34" s="71">
        <v>0</v>
      </c>
      <c r="Y34" s="71">
        <v>0</v>
      </c>
      <c r="Z34" s="71">
        <v>0</v>
      </c>
      <c r="AA34" s="71">
        <v>0</v>
      </c>
      <c r="AB34" s="71">
        <v>0</v>
      </c>
      <c r="AC34" s="71">
        <v>0</v>
      </c>
      <c r="AD34" s="71">
        <v>0</v>
      </c>
      <c r="AE34" s="71">
        <v>0</v>
      </c>
      <c r="AF34" s="71">
        <v>0</v>
      </c>
      <c r="AG34" s="75">
        <v>11008.26</v>
      </c>
      <c r="AH34" s="75">
        <v>10238.65</v>
      </c>
      <c r="AI34" s="75">
        <v>6376.18</v>
      </c>
      <c r="AJ34" s="75">
        <v>11374.88</v>
      </c>
      <c r="AK34" s="75">
        <v>13621.37</v>
      </c>
      <c r="AL34" s="75">
        <v>14656.9</v>
      </c>
      <c r="AM34" s="75">
        <v>1045.4100000000001</v>
      </c>
      <c r="AN34" s="75">
        <v>20191.419999999998</v>
      </c>
      <c r="AO34" s="75">
        <v>12249.08</v>
      </c>
      <c r="AP34" s="75">
        <v>7292.83</v>
      </c>
      <c r="AQ34" s="75">
        <v>13457.95</v>
      </c>
      <c r="AR34" s="75">
        <v>1430.95</v>
      </c>
      <c r="AS34" s="75">
        <v>38997.97</v>
      </c>
      <c r="AT34" s="72"/>
      <c r="AU34" s="72">
        <v>148.48739562597746</v>
      </c>
    </row>
    <row r="35" spans="1:47" ht="12.75" hidden="1" customHeight="1" outlineLevel="1" x14ac:dyDescent="0.2">
      <c r="A35" s="61" t="s">
        <v>178</v>
      </c>
      <c r="B35" s="62">
        <v>0</v>
      </c>
      <c r="C35" s="54"/>
      <c r="D35" s="54">
        <v>0</v>
      </c>
      <c r="E35" s="63"/>
      <c r="F35" s="64"/>
      <c r="G35" s="65">
        <v>0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0</v>
      </c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66"/>
      <c r="AG35" s="67">
        <v>0</v>
      </c>
      <c r="AH35" s="67">
        <v>0</v>
      </c>
      <c r="AI35" s="67">
        <v>0</v>
      </c>
      <c r="AJ35" s="67">
        <v>0</v>
      </c>
      <c r="AK35" s="67">
        <v>0</v>
      </c>
      <c r="AL35" s="67">
        <v>0</v>
      </c>
      <c r="AM35" s="67">
        <v>0</v>
      </c>
      <c r="AN35" s="67">
        <v>0</v>
      </c>
      <c r="AO35" s="67">
        <v>0</v>
      </c>
      <c r="AP35" s="67">
        <v>0</v>
      </c>
      <c r="AQ35" s="67">
        <v>0</v>
      </c>
      <c r="AR35" s="67">
        <v>0</v>
      </c>
      <c r="AS35" s="68">
        <v>0</v>
      </c>
      <c r="AT35" s="63"/>
      <c r="AU35" s="63"/>
    </row>
    <row r="36" spans="1:47" ht="12.75" hidden="1" customHeight="1" outlineLevel="1" x14ac:dyDescent="0.2">
      <c r="A36" s="61" t="s">
        <v>179</v>
      </c>
      <c r="B36" s="62">
        <v>1002.71</v>
      </c>
      <c r="C36" s="54">
        <v>0</v>
      </c>
      <c r="D36" s="54">
        <v>0</v>
      </c>
      <c r="E36" s="63"/>
      <c r="F36" s="64"/>
      <c r="G36" s="65">
        <v>684.02</v>
      </c>
      <c r="H36" s="54">
        <v>583.94000000000005</v>
      </c>
      <c r="I36" s="54">
        <v>817.38</v>
      </c>
      <c r="J36" s="54">
        <v>1002.71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3088.05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>
        <v>0</v>
      </c>
      <c r="AH36" s="67">
        <v>0</v>
      </c>
      <c r="AI36" s="67">
        <v>0</v>
      </c>
      <c r="AJ36" s="67">
        <v>0</v>
      </c>
      <c r="AK36" s="67">
        <v>0</v>
      </c>
      <c r="AL36" s="67">
        <v>0</v>
      </c>
      <c r="AM36" s="67">
        <v>0</v>
      </c>
      <c r="AN36" s="67">
        <v>0</v>
      </c>
      <c r="AO36" s="67">
        <v>0</v>
      </c>
      <c r="AP36" s="67">
        <v>0</v>
      </c>
      <c r="AQ36" s="67">
        <v>0</v>
      </c>
      <c r="AR36" s="67">
        <v>0</v>
      </c>
      <c r="AS36" s="68">
        <v>0</v>
      </c>
      <c r="AT36" s="63"/>
      <c r="AU36" s="63"/>
    </row>
    <row r="37" spans="1:47" ht="12.75" hidden="1" customHeight="1" outlineLevel="1" x14ac:dyDescent="0.2">
      <c r="A37" s="61" t="s">
        <v>180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291.91000000000003</v>
      </c>
      <c r="AM37" s="67">
        <v>0</v>
      </c>
      <c r="AN37" s="67">
        <v>0</v>
      </c>
      <c r="AO37" s="67">
        <v>0</v>
      </c>
      <c r="AP37" s="67">
        <v>0</v>
      </c>
      <c r="AQ37" s="67">
        <v>0</v>
      </c>
      <c r="AR37" s="67">
        <v>0</v>
      </c>
      <c r="AS37" s="68">
        <v>0</v>
      </c>
      <c r="AT37" s="63"/>
      <c r="AU37" s="63"/>
    </row>
    <row r="38" spans="1:47" ht="12.75" hidden="1" customHeight="1" outlineLevel="1" x14ac:dyDescent="0.2">
      <c r="A38" s="61" t="s">
        <v>181</v>
      </c>
      <c r="B38" s="62"/>
      <c r="C38" s="54"/>
      <c r="D38" s="54"/>
      <c r="E38" s="63"/>
      <c r="F38" s="64"/>
      <c r="G38" s="65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66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66"/>
      <c r="AG38" s="67"/>
      <c r="AH38" s="67"/>
      <c r="AI38" s="67"/>
      <c r="AJ38" s="67"/>
      <c r="AK38" s="67"/>
      <c r="AL38" s="67"/>
      <c r="AM38" s="67"/>
      <c r="AN38" s="67"/>
      <c r="AO38" s="67"/>
      <c r="AP38" s="67"/>
      <c r="AQ38" s="67"/>
      <c r="AR38" s="67"/>
      <c r="AS38" s="68"/>
      <c r="AT38" s="63"/>
      <c r="AU38" s="63"/>
    </row>
    <row r="39" spans="1:47" ht="12.75" hidden="1" customHeight="1" outlineLevel="1" x14ac:dyDescent="0.2">
      <c r="A39" s="61" t="s">
        <v>182</v>
      </c>
      <c r="B39" s="62">
        <v>0</v>
      </c>
      <c r="C39" s="54">
        <v>0</v>
      </c>
      <c r="D39" s="54">
        <v>0</v>
      </c>
      <c r="E39" s="63"/>
      <c r="F39" s="64"/>
      <c r="G39" s="65">
        <v>0</v>
      </c>
      <c r="H39" s="54">
        <v>0</v>
      </c>
      <c r="I39" s="54">
        <v>0</v>
      </c>
      <c r="J39" s="54">
        <v>0</v>
      </c>
      <c r="K39" s="54">
        <v>0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66">
        <v>0</v>
      </c>
      <c r="T39" s="54">
        <v>0</v>
      </c>
      <c r="U39" s="54">
        <v>0</v>
      </c>
      <c r="V39" s="54">
        <v>0</v>
      </c>
      <c r="W39" s="54">
        <v>0</v>
      </c>
      <c r="X39" s="54">
        <v>0</v>
      </c>
      <c r="Y39" s="54">
        <v>0</v>
      </c>
      <c r="Z39" s="54">
        <v>0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66">
        <v>0</v>
      </c>
      <c r="AG39" s="67">
        <v>0</v>
      </c>
      <c r="AH39" s="67">
        <v>0</v>
      </c>
      <c r="AI39" s="67">
        <v>0</v>
      </c>
      <c r="AJ39" s="67">
        <v>0</v>
      </c>
      <c r="AK39" s="67">
        <v>0</v>
      </c>
      <c r="AL39" s="67">
        <v>0</v>
      </c>
      <c r="AM39" s="67">
        <v>0</v>
      </c>
      <c r="AN39" s="67">
        <v>0</v>
      </c>
      <c r="AO39" s="67">
        <v>0</v>
      </c>
      <c r="AP39" s="67">
        <v>0</v>
      </c>
      <c r="AQ39" s="67">
        <v>190.49</v>
      </c>
      <c r="AR39" s="67">
        <v>0</v>
      </c>
      <c r="AS39" s="68">
        <v>0</v>
      </c>
      <c r="AT39" s="63"/>
      <c r="AU39" s="63"/>
    </row>
    <row r="40" spans="1:47" ht="12.75" hidden="1" customHeight="1" outlineLevel="1" x14ac:dyDescent="0.2">
      <c r="A40" s="61" t="s">
        <v>183</v>
      </c>
      <c r="B40" s="62"/>
      <c r="C40" s="54"/>
      <c r="D40" s="54"/>
      <c r="E40" s="63"/>
      <c r="F40" s="64"/>
      <c r="G40" s="65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66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66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8"/>
      <c r="AT40" s="63"/>
      <c r="AU40" s="63"/>
    </row>
    <row r="41" spans="1:47" ht="12.75" hidden="1" customHeight="1" outlineLevel="1" x14ac:dyDescent="0.2">
      <c r="A41" s="61" t="s">
        <v>184</v>
      </c>
      <c r="B41" s="62">
        <v>0</v>
      </c>
      <c r="C41" s="54"/>
      <c r="D41" s="54">
        <v>0</v>
      </c>
      <c r="E41" s="63"/>
      <c r="F41" s="64"/>
      <c r="G41" s="65">
        <v>0</v>
      </c>
      <c r="H41" s="54">
        <v>0</v>
      </c>
      <c r="I41" s="54">
        <v>0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66">
        <v>0</v>
      </c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66"/>
      <c r="AG41" s="67">
        <v>0</v>
      </c>
      <c r="AH41" s="67">
        <v>0</v>
      </c>
      <c r="AI41" s="67">
        <v>0</v>
      </c>
      <c r="AJ41" s="67">
        <v>0</v>
      </c>
      <c r="AK41" s="67">
        <v>0</v>
      </c>
      <c r="AL41" s="67">
        <v>0</v>
      </c>
      <c r="AM41" s="67">
        <v>0</v>
      </c>
      <c r="AN41" s="67">
        <v>0</v>
      </c>
      <c r="AO41" s="67">
        <v>0</v>
      </c>
      <c r="AP41" s="67">
        <v>0</v>
      </c>
      <c r="AQ41" s="67">
        <v>0</v>
      </c>
      <c r="AR41" s="67">
        <v>0</v>
      </c>
      <c r="AS41" s="68">
        <v>0</v>
      </c>
      <c r="AT41" s="63"/>
      <c r="AU41" s="63"/>
    </row>
    <row r="42" spans="1:47" ht="12.75" hidden="1" customHeight="1" outlineLevel="1" x14ac:dyDescent="0.2">
      <c r="A42" s="61" t="s">
        <v>185</v>
      </c>
      <c r="B42" s="62"/>
      <c r="C42" s="54"/>
      <c r="D42" s="54"/>
      <c r="E42" s="63"/>
      <c r="F42" s="64"/>
      <c r="G42" s="65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66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66"/>
      <c r="AG42" s="67"/>
      <c r="AH42" s="67"/>
      <c r="AI42" s="67"/>
      <c r="AJ42" s="67"/>
      <c r="AK42" s="67"/>
      <c r="AL42" s="67"/>
      <c r="AM42" s="67"/>
      <c r="AN42" s="67"/>
      <c r="AO42" s="67"/>
      <c r="AP42" s="67"/>
      <c r="AQ42" s="67"/>
      <c r="AR42" s="67"/>
      <c r="AS42" s="68"/>
      <c r="AT42" s="63"/>
      <c r="AU42" s="63"/>
    </row>
    <row r="43" spans="1:47" ht="12.75" hidden="1" customHeight="1" outlineLevel="1" x14ac:dyDescent="0.2">
      <c r="A43" s="61" t="s">
        <v>186</v>
      </c>
      <c r="B43" s="62">
        <v>0</v>
      </c>
      <c r="C43" s="54"/>
      <c r="D43" s="54">
        <v>101.69</v>
      </c>
      <c r="E43" s="63"/>
      <c r="F43" s="64">
        <v>0</v>
      </c>
      <c r="G43" s="65">
        <v>585.09</v>
      </c>
      <c r="H43" s="54">
        <v>397.23</v>
      </c>
      <c r="I43" s="54">
        <v>0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66">
        <v>982.32</v>
      </c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66"/>
      <c r="AG43" s="67">
        <v>64.69</v>
      </c>
      <c r="AH43" s="67">
        <v>0</v>
      </c>
      <c r="AI43" s="67">
        <v>0</v>
      </c>
      <c r="AJ43" s="67">
        <v>101.69</v>
      </c>
      <c r="AK43" s="67">
        <v>0</v>
      </c>
      <c r="AL43" s="67">
        <v>0</v>
      </c>
      <c r="AM43" s="67">
        <v>0</v>
      </c>
      <c r="AN43" s="67">
        <v>0</v>
      </c>
      <c r="AO43" s="67">
        <v>766.36</v>
      </c>
      <c r="AP43" s="67">
        <v>0</v>
      </c>
      <c r="AQ43" s="67">
        <v>0</v>
      </c>
      <c r="AR43" s="67">
        <v>307.66000000000003</v>
      </c>
      <c r="AS43" s="68">
        <v>166.38</v>
      </c>
      <c r="AT43" s="63"/>
      <c r="AU43" s="63">
        <v>590.40750090155063</v>
      </c>
    </row>
    <row r="44" spans="1:47" ht="12.75" hidden="1" customHeight="1" outlineLevel="1" x14ac:dyDescent="0.2">
      <c r="A44" s="61" t="s">
        <v>187</v>
      </c>
      <c r="B44" s="62">
        <v>0</v>
      </c>
      <c r="C44" s="54">
        <v>0</v>
      </c>
      <c r="D44" s="54">
        <v>0</v>
      </c>
      <c r="E44" s="63"/>
      <c r="F44" s="64"/>
      <c r="G44" s="65">
        <v>0</v>
      </c>
      <c r="H44" s="54">
        <v>0</v>
      </c>
      <c r="I44" s="54">
        <v>0</v>
      </c>
      <c r="J44" s="54">
        <v>0</v>
      </c>
      <c r="K44" s="54">
        <v>0</v>
      </c>
      <c r="L44" s="54">
        <v>0</v>
      </c>
      <c r="M44" s="54">
        <v>0</v>
      </c>
      <c r="N44" s="54">
        <v>0</v>
      </c>
      <c r="O44" s="54">
        <v>0</v>
      </c>
      <c r="P44" s="54">
        <v>0</v>
      </c>
      <c r="Q44" s="54">
        <v>0</v>
      </c>
      <c r="R44" s="54">
        <v>0</v>
      </c>
      <c r="S44" s="66">
        <v>0</v>
      </c>
      <c r="T44" s="54">
        <v>0</v>
      </c>
      <c r="U44" s="54">
        <v>0</v>
      </c>
      <c r="V44" s="54">
        <v>0</v>
      </c>
      <c r="W44" s="54">
        <v>0</v>
      </c>
      <c r="X44" s="54">
        <v>0</v>
      </c>
      <c r="Y44" s="54">
        <v>0</v>
      </c>
      <c r="Z44" s="54">
        <v>0</v>
      </c>
      <c r="AA44" s="54">
        <v>0</v>
      </c>
      <c r="AB44" s="54">
        <v>0</v>
      </c>
      <c r="AC44" s="54">
        <v>0</v>
      </c>
      <c r="AD44" s="54">
        <v>0</v>
      </c>
      <c r="AE44" s="54">
        <v>0</v>
      </c>
      <c r="AF44" s="66">
        <v>0</v>
      </c>
      <c r="AG44" s="67">
        <v>0</v>
      </c>
      <c r="AH44" s="67">
        <v>0</v>
      </c>
      <c r="AI44" s="67">
        <v>0</v>
      </c>
      <c r="AJ44" s="67">
        <v>0</v>
      </c>
      <c r="AK44" s="67">
        <v>0</v>
      </c>
      <c r="AL44" s="67">
        <v>0</v>
      </c>
      <c r="AM44" s="67">
        <v>0</v>
      </c>
      <c r="AN44" s="67">
        <v>0</v>
      </c>
      <c r="AO44" s="67">
        <v>0</v>
      </c>
      <c r="AP44" s="67">
        <v>0</v>
      </c>
      <c r="AQ44" s="67">
        <v>0</v>
      </c>
      <c r="AR44" s="67">
        <v>199.68</v>
      </c>
      <c r="AS44" s="68">
        <v>0</v>
      </c>
      <c r="AT44" s="63"/>
      <c r="AU44" s="63"/>
    </row>
    <row r="45" spans="1:47" ht="12.75" hidden="1" customHeight="1" outlineLevel="1" x14ac:dyDescent="0.2">
      <c r="A45" s="61" t="s">
        <v>188</v>
      </c>
      <c r="B45" s="62"/>
      <c r="C45" s="54"/>
      <c r="D45" s="54"/>
      <c r="E45" s="63"/>
      <c r="F45" s="64"/>
      <c r="G45" s="65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66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66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8"/>
      <c r="AT45" s="63"/>
      <c r="AU45" s="63"/>
    </row>
    <row r="46" spans="1:47" ht="12.75" hidden="1" customHeight="1" outlineLevel="1" x14ac:dyDescent="0.2">
      <c r="A46" s="61" t="s">
        <v>189</v>
      </c>
      <c r="B46" s="62"/>
      <c r="C46" s="54"/>
      <c r="D46" s="54"/>
      <c r="E46" s="63"/>
      <c r="F46" s="64"/>
      <c r="G46" s="65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66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66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8"/>
      <c r="AT46" s="63"/>
      <c r="AU46" s="63"/>
    </row>
    <row r="47" spans="1:47" ht="12.75" hidden="1" customHeight="1" outlineLevel="1" x14ac:dyDescent="0.2">
      <c r="A47" s="61" t="s">
        <v>190</v>
      </c>
      <c r="B47" s="62">
        <v>0</v>
      </c>
      <c r="C47" s="54">
        <v>0</v>
      </c>
      <c r="D47" s="54">
        <v>0</v>
      </c>
      <c r="E47" s="63"/>
      <c r="F47" s="64"/>
      <c r="G47" s="65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54">
        <v>0</v>
      </c>
      <c r="N47" s="54">
        <v>0</v>
      </c>
      <c r="O47" s="54">
        <v>0</v>
      </c>
      <c r="P47" s="54">
        <v>0</v>
      </c>
      <c r="Q47" s="54">
        <v>0</v>
      </c>
      <c r="R47" s="54">
        <v>0</v>
      </c>
      <c r="S47" s="66">
        <v>0</v>
      </c>
      <c r="T47" s="54">
        <v>0</v>
      </c>
      <c r="U47" s="54">
        <v>0</v>
      </c>
      <c r="V47" s="54">
        <v>0</v>
      </c>
      <c r="W47" s="54">
        <v>0</v>
      </c>
      <c r="X47" s="54">
        <v>0</v>
      </c>
      <c r="Y47" s="54">
        <v>0</v>
      </c>
      <c r="Z47" s="54">
        <v>0</v>
      </c>
      <c r="AA47" s="54">
        <v>0</v>
      </c>
      <c r="AB47" s="54">
        <v>0</v>
      </c>
      <c r="AC47" s="54">
        <v>0</v>
      </c>
      <c r="AD47" s="54">
        <v>0</v>
      </c>
      <c r="AE47" s="54">
        <v>0</v>
      </c>
      <c r="AF47" s="66">
        <v>0</v>
      </c>
      <c r="AG47" s="67">
        <v>0</v>
      </c>
      <c r="AH47" s="67">
        <v>0</v>
      </c>
      <c r="AI47" s="67">
        <v>0</v>
      </c>
      <c r="AJ47" s="67">
        <v>0</v>
      </c>
      <c r="AK47" s="67">
        <v>0</v>
      </c>
      <c r="AL47" s="67">
        <v>0</v>
      </c>
      <c r="AM47" s="67">
        <v>314.56</v>
      </c>
      <c r="AN47" s="67">
        <v>0</v>
      </c>
      <c r="AO47" s="67">
        <v>0</v>
      </c>
      <c r="AP47" s="67">
        <v>19.43</v>
      </c>
      <c r="AQ47" s="67">
        <v>117.95</v>
      </c>
      <c r="AR47" s="67">
        <v>0</v>
      </c>
      <c r="AS47" s="68">
        <v>0</v>
      </c>
      <c r="AT47" s="63"/>
      <c r="AU47" s="63"/>
    </row>
    <row r="48" spans="1:47" ht="12.75" customHeight="1" collapsed="1" x14ac:dyDescent="0.2">
      <c r="A48" s="61" t="s">
        <v>191</v>
      </c>
      <c r="B48" s="62"/>
      <c r="C48" s="54"/>
      <c r="D48" s="54"/>
      <c r="E48" s="63"/>
      <c r="F48" s="64"/>
      <c r="G48" s="65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66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66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8"/>
      <c r="AT48" s="63"/>
      <c r="AU48" s="63"/>
    </row>
    <row r="49" spans="1:47" ht="12.75" customHeight="1" outlineLevel="1" x14ac:dyDescent="0.2">
      <c r="A49" s="69" t="s">
        <v>192</v>
      </c>
      <c r="B49" s="70">
        <v>1002.71</v>
      </c>
      <c r="C49" s="71">
        <v>0</v>
      </c>
      <c r="D49" s="71">
        <v>101.69</v>
      </c>
      <c r="E49" s="72"/>
      <c r="F49" s="73">
        <v>986.0458255482348</v>
      </c>
      <c r="G49" s="70">
        <v>1269.1099999999999</v>
      </c>
      <c r="H49" s="71">
        <v>981.17</v>
      </c>
      <c r="I49" s="71">
        <v>817.38</v>
      </c>
      <c r="J49" s="71">
        <v>1002.71</v>
      </c>
      <c r="K49" s="71">
        <v>0</v>
      </c>
      <c r="L49" s="71">
        <v>0</v>
      </c>
      <c r="M49" s="71">
        <v>0</v>
      </c>
      <c r="N49" s="71">
        <v>0</v>
      </c>
      <c r="O49" s="71">
        <v>0</v>
      </c>
      <c r="P49" s="71">
        <v>0</v>
      </c>
      <c r="Q49" s="71">
        <v>0</v>
      </c>
      <c r="R49" s="71">
        <v>0</v>
      </c>
      <c r="S49" s="71">
        <v>4070.37</v>
      </c>
      <c r="T49" s="71">
        <v>0</v>
      </c>
      <c r="U49" s="71">
        <v>0</v>
      </c>
      <c r="V49" s="71">
        <v>0</v>
      </c>
      <c r="W49" s="71">
        <v>0</v>
      </c>
      <c r="X49" s="71">
        <v>0</v>
      </c>
      <c r="Y49" s="71">
        <v>0</v>
      </c>
      <c r="Z49" s="71">
        <v>0</v>
      </c>
      <c r="AA49" s="71">
        <v>0</v>
      </c>
      <c r="AB49" s="71">
        <v>0</v>
      </c>
      <c r="AC49" s="71">
        <v>0</v>
      </c>
      <c r="AD49" s="71">
        <v>0</v>
      </c>
      <c r="AE49" s="71">
        <v>0</v>
      </c>
      <c r="AF49" s="71">
        <v>0</v>
      </c>
      <c r="AG49" s="75">
        <v>64.69</v>
      </c>
      <c r="AH49" s="75">
        <v>0</v>
      </c>
      <c r="AI49" s="75">
        <v>0</v>
      </c>
      <c r="AJ49" s="75">
        <v>101.69</v>
      </c>
      <c r="AK49" s="75">
        <v>0</v>
      </c>
      <c r="AL49" s="75">
        <v>291.91000000000003</v>
      </c>
      <c r="AM49" s="75">
        <v>314.56</v>
      </c>
      <c r="AN49" s="75">
        <v>0</v>
      </c>
      <c r="AO49" s="75">
        <v>766.36</v>
      </c>
      <c r="AP49" s="75">
        <v>19.43</v>
      </c>
      <c r="AQ49" s="75">
        <v>308.44</v>
      </c>
      <c r="AR49" s="75">
        <v>507.34</v>
      </c>
      <c r="AS49" s="75">
        <v>166.38</v>
      </c>
      <c r="AT49" s="72"/>
      <c r="AU49" s="72">
        <v>2446.4298593580961</v>
      </c>
    </row>
    <row r="50" spans="1:47" ht="12.75" customHeight="1" outlineLevel="1" x14ac:dyDescent="0.2">
      <c r="A50" s="61" t="s">
        <v>193</v>
      </c>
      <c r="B50" s="62">
        <v>4163.24</v>
      </c>
      <c r="C50" s="54">
        <v>0</v>
      </c>
      <c r="D50" s="54">
        <v>5157.55</v>
      </c>
      <c r="E50" s="63"/>
      <c r="F50" s="64">
        <v>80.721272697307825</v>
      </c>
      <c r="G50" s="65">
        <v>850.44</v>
      </c>
      <c r="H50" s="54">
        <v>786.78</v>
      </c>
      <c r="I50" s="54">
        <v>850.44</v>
      </c>
      <c r="J50" s="54">
        <v>4163.24</v>
      </c>
      <c r="K50" s="56">
        <v>-226.8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66">
        <v>6650.9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>
        <v>1795.56</v>
      </c>
      <c r="AH50" s="67">
        <v>2666.55</v>
      </c>
      <c r="AI50" s="67">
        <v>1520.55</v>
      </c>
      <c r="AJ50" s="67">
        <v>5157.55</v>
      </c>
      <c r="AK50" s="67">
        <v>1365.55</v>
      </c>
      <c r="AL50" s="67">
        <v>2015.55</v>
      </c>
      <c r="AM50" s="67">
        <v>1703.96</v>
      </c>
      <c r="AN50" s="67">
        <v>1616.68</v>
      </c>
      <c r="AO50" s="67">
        <v>1828.3</v>
      </c>
      <c r="AP50" s="67">
        <v>1365.55</v>
      </c>
      <c r="AQ50" s="67">
        <v>1397.26</v>
      </c>
      <c r="AR50" s="67">
        <v>2154.64</v>
      </c>
      <c r="AS50" s="68">
        <v>11140.21</v>
      </c>
      <c r="AT50" s="63"/>
      <c r="AU50" s="63">
        <v>59.701747094534127</v>
      </c>
    </row>
    <row r="51" spans="1:47" ht="12.75" customHeight="1" outlineLevel="1" x14ac:dyDescent="0.2">
      <c r="A51" s="61" t="s">
        <v>194</v>
      </c>
      <c r="B51" s="62">
        <v>0</v>
      </c>
      <c r="C51" s="54">
        <v>0</v>
      </c>
      <c r="D51" s="54">
        <v>0</v>
      </c>
      <c r="E51" s="63"/>
      <c r="F51" s="64"/>
      <c r="G51" s="65">
        <v>0</v>
      </c>
      <c r="H51" s="54">
        <v>0</v>
      </c>
      <c r="I51" s="54">
        <v>0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66">
        <v>0</v>
      </c>
      <c r="T51" s="54">
        <v>0</v>
      </c>
      <c r="U51" s="54">
        <v>0</v>
      </c>
      <c r="V51" s="54">
        <v>0</v>
      </c>
      <c r="W51" s="54">
        <v>0</v>
      </c>
      <c r="X51" s="54">
        <v>0</v>
      </c>
      <c r="Y51" s="54">
        <v>0</v>
      </c>
      <c r="Z51" s="54">
        <v>0</v>
      </c>
      <c r="AA51" s="54">
        <v>0</v>
      </c>
      <c r="AB51" s="54">
        <v>0</v>
      </c>
      <c r="AC51" s="54">
        <v>0</v>
      </c>
      <c r="AD51" s="54">
        <v>0</v>
      </c>
      <c r="AE51" s="54">
        <v>0</v>
      </c>
      <c r="AF51" s="66">
        <v>0</v>
      </c>
      <c r="AG51" s="67">
        <v>0</v>
      </c>
      <c r="AH51" s="67">
        <v>0</v>
      </c>
      <c r="AI51" s="67">
        <v>0</v>
      </c>
      <c r="AJ51" s="67">
        <v>0</v>
      </c>
      <c r="AK51" s="67">
        <v>0</v>
      </c>
      <c r="AL51" s="67">
        <v>0</v>
      </c>
      <c r="AM51" s="67">
        <v>0</v>
      </c>
      <c r="AN51" s="67">
        <v>0</v>
      </c>
      <c r="AO51" s="67">
        <v>0</v>
      </c>
      <c r="AP51" s="67">
        <v>0</v>
      </c>
      <c r="AQ51" s="67">
        <v>0</v>
      </c>
      <c r="AR51" s="67">
        <v>0</v>
      </c>
      <c r="AS51" s="68">
        <v>0</v>
      </c>
      <c r="AT51" s="63"/>
      <c r="AU51" s="63"/>
    </row>
    <row r="52" spans="1:47" ht="12.75" customHeight="1" outlineLevel="1" x14ac:dyDescent="0.2">
      <c r="A52" s="61" t="s">
        <v>82</v>
      </c>
      <c r="B52" s="62">
        <v>0</v>
      </c>
      <c r="C52" s="54">
        <v>0</v>
      </c>
      <c r="D52" s="54">
        <v>0</v>
      </c>
      <c r="E52" s="63"/>
      <c r="F52" s="64"/>
      <c r="G52" s="65">
        <v>0</v>
      </c>
      <c r="H52" s="54">
        <v>0</v>
      </c>
      <c r="I52" s="54">
        <v>0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66">
        <v>0</v>
      </c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66">
        <v>0</v>
      </c>
      <c r="AG52" s="67">
        <v>0</v>
      </c>
      <c r="AH52" s="67">
        <v>0</v>
      </c>
      <c r="AI52" s="67">
        <v>0</v>
      </c>
      <c r="AJ52" s="67">
        <v>0</v>
      </c>
      <c r="AK52" s="67">
        <v>0</v>
      </c>
      <c r="AL52" s="67">
        <v>0</v>
      </c>
      <c r="AM52" s="67">
        <v>0</v>
      </c>
      <c r="AN52" s="67">
        <v>0</v>
      </c>
      <c r="AO52" s="67">
        <v>0</v>
      </c>
      <c r="AP52" s="67">
        <v>0</v>
      </c>
      <c r="AQ52" s="67">
        <v>0</v>
      </c>
      <c r="AR52" s="67">
        <v>0</v>
      </c>
      <c r="AS52" s="68">
        <v>0</v>
      </c>
      <c r="AT52" s="63"/>
      <c r="AU52" s="63"/>
    </row>
    <row r="53" spans="1:47" ht="12.75" customHeight="1" outlineLevel="1" x14ac:dyDescent="0.2">
      <c r="A53" s="61" t="s">
        <v>83</v>
      </c>
      <c r="B53" s="62">
        <v>148.76</v>
      </c>
      <c r="C53" s="54">
        <v>0</v>
      </c>
      <c r="D53" s="54">
        <v>0</v>
      </c>
      <c r="E53" s="63"/>
      <c r="F53" s="64"/>
      <c r="G53" s="65">
        <v>148.76</v>
      </c>
      <c r="H53" s="54">
        <v>148.76</v>
      </c>
      <c r="I53" s="54">
        <v>148.76</v>
      </c>
      <c r="J53" s="54">
        <v>148.76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66">
        <v>595.04</v>
      </c>
      <c r="T53" s="54">
        <v>0</v>
      </c>
      <c r="U53" s="54">
        <v>0</v>
      </c>
      <c r="V53" s="54">
        <v>0</v>
      </c>
      <c r="W53" s="54">
        <v>0</v>
      </c>
      <c r="X53" s="54">
        <v>0</v>
      </c>
      <c r="Y53" s="54">
        <v>0</v>
      </c>
      <c r="Z53" s="54">
        <v>0</v>
      </c>
      <c r="AA53" s="54">
        <v>0</v>
      </c>
      <c r="AB53" s="54">
        <v>0</v>
      </c>
      <c r="AC53" s="54">
        <v>0</v>
      </c>
      <c r="AD53" s="54">
        <v>0</v>
      </c>
      <c r="AE53" s="54">
        <v>0</v>
      </c>
      <c r="AF53" s="66">
        <v>0</v>
      </c>
      <c r="AG53" s="67">
        <v>1800</v>
      </c>
      <c r="AH53" s="67">
        <v>0</v>
      </c>
      <c r="AI53" s="67">
        <v>0</v>
      </c>
      <c r="AJ53" s="67">
        <v>0</v>
      </c>
      <c r="AK53" s="67">
        <v>0</v>
      </c>
      <c r="AL53" s="67">
        <v>0</v>
      </c>
      <c r="AM53" s="67">
        <v>0</v>
      </c>
      <c r="AN53" s="67">
        <v>0</v>
      </c>
      <c r="AO53" s="67">
        <v>0</v>
      </c>
      <c r="AP53" s="67">
        <v>0</v>
      </c>
      <c r="AQ53" s="67">
        <v>148.76</v>
      </c>
      <c r="AR53" s="67">
        <v>148.76</v>
      </c>
      <c r="AS53" s="68">
        <v>1800</v>
      </c>
      <c r="AT53" s="63"/>
      <c r="AU53" s="63">
        <v>33.05777777777778</v>
      </c>
    </row>
    <row r="54" spans="1:47" ht="12.75" customHeight="1" outlineLevel="1" x14ac:dyDescent="0.2">
      <c r="A54" s="61" t="s">
        <v>84</v>
      </c>
      <c r="B54" s="62"/>
      <c r="C54" s="54">
        <v>0</v>
      </c>
      <c r="D54" s="54"/>
      <c r="E54" s="63"/>
      <c r="F54" s="64"/>
      <c r="G54" s="65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66"/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8"/>
      <c r="AT54" s="63"/>
      <c r="AU54" s="63"/>
    </row>
    <row r="55" spans="1:47" ht="12.75" customHeight="1" outlineLevel="1" x14ac:dyDescent="0.2">
      <c r="A55" s="61" t="s">
        <v>195</v>
      </c>
      <c r="B55" s="62">
        <v>0</v>
      </c>
      <c r="C55" s="54">
        <v>0</v>
      </c>
      <c r="D55" s="54">
        <v>0</v>
      </c>
      <c r="E55" s="63"/>
      <c r="F55" s="64"/>
      <c r="G55" s="65">
        <v>0</v>
      </c>
      <c r="H55" s="54">
        <v>41.25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66">
        <v>41.25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66">
        <v>0</v>
      </c>
      <c r="AG55" s="67">
        <v>0</v>
      </c>
      <c r="AH55" s="67">
        <v>0</v>
      </c>
      <c r="AI55" s="67">
        <v>0</v>
      </c>
      <c r="AJ55" s="67">
        <v>0</v>
      </c>
      <c r="AK55" s="67">
        <v>0</v>
      </c>
      <c r="AL55" s="67">
        <v>0</v>
      </c>
      <c r="AM55" s="67">
        <v>0</v>
      </c>
      <c r="AN55" s="67">
        <v>0</v>
      </c>
      <c r="AO55" s="67">
        <v>0</v>
      </c>
      <c r="AP55" s="67">
        <v>0</v>
      </c>
      <c r="AQ55" s="67">
        <v>0</v>
      </c>
      <c r="AR55" s="67">
        <v>0</v>
      </c>
      <c r="AS55" s="68">
        <v>0</v>
      </c>
      <c r="AT55" s="63"/>
      <c r="AU55" s="63"/>
    </row>
    <row r="56" spans="1:47" ht="12.75" customHeight="1" outlineLevel="1" x14ac:dyDescent="0.2">
      <c r="A56" s="61" t="s">
        <v>86</v>
      </c>
      <c r="B56" s="62">
        <v>75.84</v>
      </c>
      <c r="C56" s="54">
        <v>0</v>
      </c>
      <c r="D56" s="54">
        <v>169.5</v>
      </c>
      <c r="E56" s="63"/>
      <c r="F56" s="64">
        <v>44.743362831858406</v>
      </c>
      <c r="G56" s="65">
        <v>0</v>
      </c>
      <c r="H56" s="54">
        <v>43.32</v>
      </c>
      <c r="I56" s="54">
        <v>257.02999999999997</v>
      </c>
      <c r="J56" s="54">
        <v>75.84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66">
        <v>376.19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66">
        <v>0</v>
      </c>
      <c r="AG56" s="67">
        <v>0</v>
      </c>
      <c r="AH56" s="67">
        <v>1984.13</v>
      </c>
      <c r="AI56" s="67">
        <v>594.5</v>
      </c>
      <c r="AJ56" s="67">
        <v>169.5</v>
      </c>
      <c r="AK56" s="67">
        <v>108.92</v>
      </c>
      <c r="AL56" s="67">
        <v>0</v>
      </c>
      <c r="AM56" s="67">
        <v>199.22</v>
      </c>
      <c r="AN56" s="67">
        <v>1195.78</v>
      </c>
      <c r="AO56" s="67">
        <v>0</v>
      </c>
      <c r="AP56" s="98">
        <v>-28.24</v>
      </c>
      <c r="AQ56" s="67">
        <v>287.25</v>
      </c>
      <c r="AR56" s="67">
        <v>597.51</v>
      </c>
      <c r="AS56" s="68">
        <v>2748.13</v>
      </c>
      <c r="AT56" s="63"/>
      <c r="AU56" s="63">
        <v>13.688944846131733</v>
      </c>
    </row>
    <row r="57" spans="1:47" ht="12.75" customHeight="1" outlineLevel="1" x14ac:dyDescent="0.2">
      <c r="A57" s="61" t="s">
        <v>110</v>
      </c>
      <c r="B57" s="62"/>
      <c r="C57" s="54"/>
      <c r="D57" s="54"/>
      <c r="E57" s="63"/>
      <c r="F57" s="64"/>
      <c r="G57" s="65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66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66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8"/>
      <c r="AT57" s="63"/>
      <c r="AU57" s="63"/>
    </row>
    <row r="58" spans="1:47" ht="12.75" customHeight="1" outlineLevel="1" x14ac:dyDescent="0.2">
      <c r="A58" s="61" t="s">
        <v>196</v>
      </c>
      <c r="B58" s="62">
        <v>1000</v>
      </c>
      <c r="C58" s="54">
        <v>0</v>
      </c>
      <c r="D58" s="54">
        <v>400</v>
      </c>
      <c r="E58" s="63"/>
      <c r="F58" s="64">
        <v>250</v>
      </c>
      <c r="G58" s="65">
        <v>0</v>
      </c>
      <c r="H58" s="54">
        <v>220</v>
      </c>
      <c r="I58" s="54">
        <v>0</v>
      </c>
      <c r="J58" s="54">
        <v>1000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1220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86.27</v>
      </c>
      <c r="AH58" s="67">
        <v>0</v>
      </c>
      <c r="AI58" s="67">
        <v>0</v>
      </c>
      <c r="AJ58" s="67">
        <v>400</v>
      </c>
      <c r="AK58" s="67">
        <v>450</v>
      </c>
      <c r="AL58" s="67">
        <v>0</v>
      </c>
      <c r="AM58" s="67">
        <v>0</v>
      </c>
      <c r="AN58" s="67">
        <v>0</v>
      </c>
      <c r="AO58" s="67">
        <v>0</v>
      </c>
      <c r="AP58" s="67">
        <v>0</v>
      </c>
      <c r="AQ58" s="67">
        <v>375</v>
      </c>
      <c r="AR58" s="67">
        <v>0</v>
      </c>
      <c r="AS58" s="68">
        <v>486.27</v>
      </c>
      <c r="AT58" s="63"/>
      <c r="AU58" s="63">
        <v>250.889423571267</v>
      </c>
    </row>
    <row r="59" spans="1:47" ht="12.75" customHeight="1" outlineLevel="1" x14ac:dyDescent="0.2">
      <c r="A59" s="61" t="s">
        <v>197</v>
      </c>
      <c r="B59" s="62">
        <v>7397.59</v>
      </c>
      <c r="C59" s="54">
        <v>0</v>
      </c>
      <c r="D59" s="54">
        <v>0</v>
      </c>
      <c r="E59" s="63"/>
      <c r="F59" s="64"/>
      <c r="G59" s="65">
        <v>0</v>
      </c>
      <c r="H59" s="54">
        <v>0</v>
      </c>
      <c r="I59" s="54">
        <v>0</v>
      </c>
      <c r="J59" s="54">
        <v>7397.59</v>
      </c>
      <c r="K59" s="56">
        <v>-7397.59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66">
        <v>7397.59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66">
        <v>0</v>
      </c>
      <c r="AG59" s="67">
        <v>0</v>
      </c>
      <c r="AH59" s="67">
        <v>0</v>
      </c>
      <c r="AI59" s="67">
        <v>0</v>
      </c>
      <c r="AJ59" s="67">
        <v>0</v>
      </c>
      <c r="AK59" s="67">
        <v>0</v>
      </c>
      <c r="AL59" s="67">
        <v>0</v>
      </c>
      <c r="AM59" s="67">
        <v>0</v>
      </c>
      <c r="AN59" s="67">
        <v>0</v>
      </c>
      <c r="AO59" s="67">
        <v>0</v>
      </c>
      <c r="AP59" s="67">
        <v>0</v>
      </c>
      <c r="AQ59" s="67">
        <v>0</v>
      </c>
      <c r="AR59" s="67">
        <v>0</v>
      </c>
      <c r="AS59" s="68">
        <v>0</v>
      </c>
      <c r="AT59" s="63"/>
      <c r="AU59" s="63"/>
    </row>
    <row r="60" spans="1:47" ht="12.75" customHeight="1" outlineLevel="1" x14ac:dyDescent="0.2">
      <c r="A60" s="61" t="s">
        <v>90</v>
      </c>
      <c r="B60" s="62">
        <v>0</v>
      </c>
      <c r="C60" s="54">
        <v>0</v>
      </c>
      <c r="D60" s="54">
        <v>0</v>
      </c>
      <c r="E60" s="63"/>
      <c r="F60" s="64"/>
      <c r="G60" s="65">
        <v>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66">
        <v>0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>
        <v>0</v>
      </c>
      <c r="AE60" s="54">
        <v>0</v>
      </c>
      <c r="AF60" s="66">
        <v>0</v>
      </c>
      <c r="AG60" s="67">
        <v>0</v>
      </c>
      <c r="AH60" s="67">
        <v>0</v>
      </c>
      <c r="AI60" s="67">
        <v>0</v>
      </c>
      <c r="AJ60" s="67">
        <v>0</v>
      </c>
      <c r="AK60" s="67">
        <v>0</v>
      </c>
      <c r="AL60" s="67">
        <v>0</v>
      </c>
      <c r="AM60" s="67">
        <v>170.27</v>
      </c>
      <c r="AN60" s="67">
        <v>181.82</v>
      </c>
      <c r="AO60" s="67">
        <v>0</v>
      </c>
      <c r="AP60" s="67">
        <v>0</v>
      </c>
      <c r="AQ60" s="67">
        <v>0</v>
      </c>
      <c r="AR60" s="67">
        <v>0</v>
      </c>
      <c r="AS60" s="68">
        <v>0</v>
      </c>
      <c r="AT60" s="63"/>
      <c r="AU60" s="63"/>
    </row>
    <row r="61" spans="1:47" ht="12.75" customHeight="1" outlineLevel="1" x14ac:dyDescent="0.2">
      <c r="A61" s="61" t="s">
        <v>199</v>
      </c>
      <c r="B61" s="62">
        <v>0</v>
      </c>
      <c r="C61" s="54">
        <v>0</v>
      </c>
      <c r="D61" s="54">
        <v>0</v>
      </c>
      <c r="E61" s="63"/>
      <c r="F61" s="64"/>
      <c r="G61" s="65">
        <v>0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66">
        <v>0</v>
      </c>
      <c r="T61" s="54">
        <v>0</v>
      </c>
      <c r="U61" s="54">
        <v>0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0</v>
      </c>
      <c r="AB61" s="54">
        <v>0</v>
      </c>
      <c r="AC61" s="54">
        <v>0</v>
      </c>
      <c r="AD61" s="54">
        <v>0</v>
      </c>
      <c r="AE61" s="54">
        <v>0</v>
      </c>
      <c r="AF61" s="66">
        <v>0</v>
      </c>
      <c r="AG61" s="67">
        <v>0</v>
      </c>
      <c r="AH61" s="67">
        <v>0</v>
      </c>
      <c r="AI61" s="67">
        <v>0</v>
      </c>
      <c r="AJ61" s="67">
        <v>0</v>
      </c>
      <c r="AK61" s="67">
        <v>0</v>
      </c>
      <c r="AL61" s="67">
        <v>0</v>
      </c>
      <c r="AM61" s="67">
        <v>0</v>
      </c>
      <c r="AN61" s="67">
        <v>0</v>
      </c>
      <c r="AO61" s="67">
        <v>0</v>
      </c>
      <c r="AP61" s="67">
        <v>0</v>
      </c>
      <c r="AQ61" s="67">
        <v>0</v>
      </c>
      <c r="AR61" s="67">
        <v>0</v>
      </c>
      <c r="AS61" s="68">
        <v>0</v>
      </c>
      <c r="AT61" s="63"/>
      <c r="AU61" s="63"/>
    </row>
    <row r="62" spans="1:47" ht="12.75" customHeight="1" x14ac:dyDescent="0.2">
      <c r="A62" s="61" t="s">
        <v>200</v>
      </c>
      <c r="B62" s="62"/>
      <c r="C62" s="54"/>
      <c r="D62" s="54"/>
      <c r="E62" s="63"/>
      <c r="F62" s="64"/>
      <c r="G62" s="65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66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66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8"/>
      <c r="AT62" s="63"/>
      <c r="AU62" s="63"/>
    </row>
    <row r="63" spans="1:47" ht="12.75" customHeight="1" x14ac:dyDescent="0.2">
      <c r="A63" s="69" t="s">
        <v>89</v>
      </c>
      <c r="B63" s="70">
        <v>12785.43</v>
      </c>
      <c r="C63" s="71">
        <v>0</v>
      </c>
      <c r="D63" s="71">
        <v>5727.05</v>
      </c>
      <c r="E63" s="72"/>
      <c r="F63" s="73">
        <v>223.24634846910712</v>
      </c>
      <c r="G63" s="70">
        <v>999.2</v>
      </c>
      <c r="H63" s="71">
        <v>1240.1099999999999</v>
      </c>
      <c r="I63" s="71">
        <v>1256.23</v>
      </c>
      <c r="J63" s="71">
        <v>12785.43</v>
      </c>
      <c r="K63" s="74">
        <v>-7624.39</v>
      </c>
      <c r="L63" s="71">
        <v>0</v>
      </c>
      <c r="M63" s="71">
        <v>0</v>
      </c>
      <c r="N63" s="71">
        <v>0</v>
      </c>
      <c r="O63" s="71">
        <v>0</v>
      </c>
      <c r="P63" s="71">
        <v>0</v>
      </c>
      <c r="Q63" s="71">
        <v>0</v>
      </c>
      <c r="R63" s="71">
        <v>0</v>
      </c>
      <c r="S63" s="71">
        <v>16280.97</v>
      </c>
      <c r="T63" s="71">
        <v>0</v>
      </c>
      <c r="U63" s="71">
        <v>0</v>
      </c>
      <c r="V63" s="71">
        <v>0</v>
      </c>
      <c r="W63" s="71">
        <v>0</v>
      </c>
      <c r="X63" s="71">
        <v>0</v>
      </c>
      <c r="Y63" s="71">
        <v>0</v>
      </c>
      <c r="Z63" s="71">
        <v>0</v>
      </c>
      <c r="AA63" s="71">
        <v>0</v>
      </c>
      <c r="AB63" s="71">
        <v>0</v>
      </c>
      <c r="AC63" s="71">
        <v>0</v>
      </c>
      <c r="AD63" s="71">
        <v>0</v>
      </c>
      <c r="AE63" s="71">
        <v>0</v>
      </c>
      <c r="AF63" s="71">
        <v>0</v>
      </c>
      <c r="AG63" s="75">
        <v>3681.83</v>
      </c>
      <c r="AH63" s="75">
        <v>4650.68</v>
      </c>
      <c r="AI63" s="75">
        <v>2115.0500000000002</v>
      </c>
      <c r="AJ63" s="75">
        <v>5727.05</v>
      </c>
      <c r="AK63" s="75">
        <v>1924.47</v>
      </c>
      <c r="AL63" s="75">
        <v>2015.55</v>
      </c>
      <c r="AM63" s="75">
        <v>2073.4499999999998</v>
      </c>
      <c r="AN63" s="75">
        <v>2994.28</v>
      </c>
      <c r="AO63" s="75">
        <v>1828.3</v>
      </c>
      <c r="AP63" s="75">
        <v>1337.31</v>
      </c>
      <c r="AQ63" s="75">
        <v>2208.27</v>
      </c>
      <c r="AR63" s="75">
        <v>2900.91</v>
      </c>
      <c r="AS63" s="75">
        <v>16174.61</v>
      </c>
      <c r="AT63" s="72"/>
      <c r="AU63" s="72">
        <v>100.65757381476277</v>
      </c>
    </row>
    <row r="64" spans="1:47" ht="12.75" customHeight="1" x14ac:dyDescent="0.2">
      <c r="A64" s="77" t="s">
        <v>201</v>
      </c>
      <c r="B64" s="78">
        <v>334087.92</v>
      </c>
      <c r="C64" s="79">
        <v>0</v>
      </c>
      <c r="D64" s="79">
        <v>222097.59</v>
      </c>
      <c r="E64" s="80"/>
      <c r="F64" s="81">
        <v>150.42392850818416</v>
      </c>
      <c r="G64" s="78">
        <v>345896.67</v>
      </c>
      <c r="H64" s="79">
        <v>309818.59000000003</v>
      </c>
      <c r="I64" s="79">
        <v>331205.94</v>
      </c>
      <c r="J64" s="79">
        <v>334087.92</v>
      </c>
      <c r="K64" s="82">
        <v>-113812.25</v>
      </c>
      <c r="L64" s="79">
        <v>0</v>
      </c>
      <c r="M64" s="79">
        <v>0</v>
      </c>
      <c r="N64" s="79">
        <v>0</v>
      </c>
      <c r="O64" s="79">
        <v>0</v>
      </c>
      <c r="P64" s="79">
        <v>0</v>
      </c>
      <c r="Q64" s="79">
        <v>0</v>
      </c>
      <c r="R64" s="79">
        <v>0</v>
      </c>
      <c r="S64" s="79">
        <v>1321009.1200000001</v>
      </c>
      <c r="T64" s="79">
        <v>0</v>
      </c>
      <c r="U64" s="79">
        <v>0</v>
      </c>
      <c r="V64" s="79">
        <v>0</v>
      </c>
      <c r="W64" s="79">
        <v>0</v>
      </c>
      <c r="X64" s="79">
        <v>0</v>
      </c>
      <c r="Y64" s="79">
        <v>0</v>
      </c>
      <c r="Z64" s="79">
        <v>0</v>
      </c>
      <c r="AA64" s="79">
        <v>0</v>
      </c>
      <c r="AB64" s="79">
        <v>0</v>
      </c>
      <c r="AC64" s="79">
        <v>0</v>
      </c>
      <c r="AD64" s="79">
        <v>0</v>
      </c>
      <c r="AE64" s="79">
        <v>0</v>
      </c>
      <c r="AF64" s="79">
        <v>0</v>
      </c>
      <c r="AG64" s="83">
        <v>280317.95</v>
      </c>
      <c r="AH64" s="83">
        <v>295745.46000000002</v>
      </c>
      <c r="AI64" s="83">
        <v>242032.25</v>
      </c>
      <c r="AJ64" s="83">
        <v>222097.59</v>
      </c>
      <c r="AK64" s="83">
        <v>273853.71999999997</v>
      </c>
      <c r="AL64" s="83">
        <v>331970.7</v>
      </c>
      <c r="AM64" s="83">
        <v>215798.81</v>
      </c>
      <c r="AN64" s="83">
        <v>286966.46000000002</v>
      </c>
      <c r="AO64" s="83">
        <v>278342.32</v>
      </c>
      <c r="AP64" s="83">
        <v>282303.52</v>
      </c>
      <c r="AQ64" s="83">
        <v>352507.14</v>
      </c>
      <c r="AR64" s="83">
        <v>346070.27</v>
      </c>
      <c r="AS64" s="83">
        <v>1040193.25</v>
      </c>
      <c r="AT64" s="80"/>
      <c r="AU64" s="80">
        <v>126.99650954281813</v>
      </c>
    </row>
    <row r="65" spans="1:47" x14ac:dyDescent="0.2">
      <c r="A65" s="84" t="s">
        <v>8</v>
      </c>
      <c r="B65" s="85">
        <v>74437.509999999995</v>
      </c>
      <c r="C65" s="86">
        <v>0</v>
      </c>
      <c r="D65" s="86">
        <v>99918.32</v>
      </c>
      <c r="E65" s="87"/>
      <c r="F65" s="88">
        <v>74.498360260660903</v>
      </c>
      <c r="G65" s="85">
        <v>198357.25</v>
      </c>
      <c r="H65" s="86">
        <v>164030.13</v>
      </c>
      <c r="I65" s="86">
        <v>150362.41</v>
      </c>
      <c r="J65" s="86">
        <v>74437.509999999995</v>
      </c>
      <c r="K65" s="86">
        <v>209119.28</v>
      </c>
      <c r="L65" s="86">
        <v>0</v>
      </c>
      <c r="M65" s="86">
        <v>0</v>
      </c>
      <c r="N65" s="86">
        <v>0</v>
      </c>
      <c r="O65" s="86">
        <v>0</v>
      </c>
      <c r="P65" s="86">
        <v>0</v>
      </c>
      <c r="Q65" s="86">
        <v>0</v>
      </c>
      <c r="R65" s="86">
        <v>0</v>
      </c>
      <c r="S65" s="86">
        <v>587187.30000000005</v>
      </c>
      <c r="T65" s="86">
        <v>0</v>
      </c>
      <c r="U65" s="86">
        <v>0</v>
      </c>
      <c r="V65" s="86">
        <v>0</v>
      </c>
      <c r="W65" s="86">
        <v>0</v>
      </c>
      <c r="X65" s="86">
        <v>0</v>
      </c>
      <c r="Y65" s="86">
        <v>0</v>
      </c>
      <c r="Z65" s="86">
        <v>0</v>
      </c>
      <c r="AA65" s="86">
        <v>0</v>
      </c>
      <c r="AB65" s="86">
        <v>0</v>
      </c>
      <c r="AC65" s="86">
        <v>0</v>
      </c>
      <c r="AD65" s="86">
        <v>0</v>
      </c>
      <c r="AE65" s="86">
        <v>0</v>
      </c>
      <c r="AF65" s="86">
        <v>0</v>
      </c>
      <c r="AG65" s="90">
        <v>253485.48</v>
      </c>
      <c r="AH65" s="90">
        <v>179752.66</v>
      </c>
      <c r="AI65" s="90">
        <v>200855.94</v>
      </c>
      <c r="AJ65" s="90">
        <v>99918.32</v>
      </c>
      <c r="AK65" s="90">
        <v>176041.8</v>
      </c>
      <c r="AL65" s="90">
        <v>219596.27</v>
      </c>
      <c r="AM65" s="90">
        <v>251677.02</v>
      </c>
      <c r="AN65" s="90">
        <v>185196.56</v>
      </c>
      <c r="AO65" s="90">
        <v>168094.11</v>
      </c>
      <c r="AP65" s="90">
        <v>205736.84</v>
      </c>
      <c r="AQ65" s="90">
        <v>192785.22</v>
      </c>
      <c r="AR65" s="90">
        <v>86257.11</v>
      </c>
      <c r="AS65" s="90">
        <v>734012.4</v>
      </c>
      <c r="AT65" s="87"/>
      <c r="AU65" s="87">
        <v>79.996918308192065</v>
      </c>
    </row>
    <row r="66" spans="1:47" x14ac:dyDescent="0.2">
      <c r="S66" s="26"/>
      <c r="AS66" s="26"/>
    </row>
    <row r="67" spans="1:47" x14ac:dyDescent="0.2">
      <c r="S67" s="497"/>
      <c r="AS67" s="497"/>
    </row>
    <row r="68" spans="1:47" x14ac:dyDescent="0.2">
      <c r="S68" s="365"/>
    </row>
    <row r="69" spans="1:47" ht="15" x14ac:dyDescent="0.25">
      <c r="A69" s="16"/>
      <c r="B69" s="16"/>
      <c r="C69" s="16"/>
      <c r="D69" s="16"/>
    </row>
    <row r="70" spans="1:47" ht="15" x14ac:dyDescent="0.25">
      <c r="A70" s="16"/>
      <c r="B70" s="16"/>
      <c r="C70" s="16"/>
      <c r="D70" s="16"/>
      <c r="AE70" s="365" t="s">
        <v>465</v>
      </c>
      <c r="AF70" s="26">
        <f>SUM(T2:AE2)</f>
        <v>0</v>
      </c>
    </row>
    <row r="71" spans="1:47" ht="15" x14ac:dyDescent="0.25">
      <c r="A71" s="16"/>
      <c r="B71" s="405"/>
      <c r="C71" s="16"/>
      <c r="D71" s="16"/>
      <c r="AE71" s="365"/>
      <c r="AF71" s="26">
        <f>SUM(T9:AE16)</f>
        <v>0</v>
      </c>
    </row>
    <row r="72" spans="1:47" ht="15" x14ac:dyDescent="0.25">
      <c r="A72" s="16"/>
      <c r="B72" s="16"/>
      <c r="C72" s="16"/>
      <c r="D72" s="16"/>
      <c r="AE72" s="365" t="s">
        <v>303</v>
      </c>
      <c r="AF72" s="26">
        <f>+AF70-AF71</f>
        <v>0</v>
      </c>
    </row>
    <row r="73" spans="1:47" ht="15" x14ac:dyDescent="0.25">
      <c r="A73" s="16"/>
      <c r="B73" s="25"/>
      <c r="C73" s="17"/>
      <c r="D73" s="25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365" t="s">
        <v>466</v>
      </c>
      <c r="AF73" s="482">
        <f>+SUM(T17:AE18)+SUM(T22:AE22)+SUM(T33:AE33)+SUM(T48:AE48)+SUM(T62:AE62)</f>
        <v>0</v>
      </c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26"/>
    </row>
    <row r="74" spans="1:47" ht="15" x14ac:dyDescent="0.25">
      <c r="A74" s="16"/>
      <c r="B74" s="16"/>
      <c r="C74" s="16"/>
      <c r="D74" s="16"/>
      <c r="AE74" s="365"/>
      <c r="AF74" s="365"/>
    </row>
    <row r="75" spans="1:47" ht="15" x14ac:dyDescent="0.25">
      <c r="A75" s="16"/>
      <c r="B75" s="16"/>
      <c r="C75" s="16"/>
      <c r="D75" s="16"/>
      <c r="AE75" s="365" t="s">
        <v>419</v>
      </c>
      <c r="AF75" s="18">
        <f>+AF72-AF73</f>
        <v>0</v>
      </c>
    </row>
    <row r="76" spans="1:47" ht="15" x14ac:dyDescent="0.25">
      <c r="A76" s="16"/>
      <c r="B76" s="16"/>
      <c r="C76" s="16"/>
      <c r="D76" s="16"/>
      <c r="AE76" s="365"/>
      <c r="AF76" s="482">
        <f>+AF75-SUM(T64:AE64)</f>
        <v>0</v>
      </c>
    </row>
    <row r="77" spans="1:47" ht="15.75" thickBot="1" x14ac:dyDescent="0.3">
      <c r="A77" s="16"/>
      <c r="B77" s="16"/>
      <c r="C77" s="16"/>
      <c r="D77" s="16"/>
    </row>
    <row r="78" spans="1:47" x14ac:dyDescent="0.2">
      <c r="D78" s="543" t="s">
        <v>545</v>
      </c>
      <c r="E78" s="544"/>
      <c r="F78" s="442"/>
      <c r="G78" s="442"/>
      <c r="H78" s="442"/>
      <c r="I78" s="442"/>
      <c r="J78" s="442"/>
      <c r="K78" s="442"/>
      <c r="L78" s="442"/>
      <c r="M78" s="442"/>
      <c r="N78" s="442"/>
      <c r="O78" s="442"/>
      <c r="P78" s="442"/>
      <c r="Q78" s="442"/>
      <c r="R78" s="442"/>
      <c r="S78" s="543" t="s">
        <v>540</v>
      </c>
      <c r="T78" s="538"/>
      <c r="V78" s="543" t="s">
        <v>539</v>
      </c>
      <c r="W78" s="538"/>
      <c r="Y78" s="543" t="s">
        <v>538</v>
      </c>
      <c r="Z78" s="538"/>
      <c r="AB78" s="543" t="s">
        <v>271</v>
      </c>
      <c r="AC78" s="538"/>
      <c r="AE78" s="543" t="s">
        <v>482</v>
      </c>
      <c r="AF78" s="538"/>
      <c r="AT78" s="543" t="s">
        <v>546</v>
      </c>
      <c r="AU78" s="538"/>
    </row>
    <row r="79" spans="1:47" x14ac:dyDescent="0.2">
      <c r="C79" t="s">
        <v>286</v>
      </c>
      <c r="D79" s="539">
        <v>11614894</v>
      </c>
      <c r="E79" s="540">
        <f>+D79/D79</f>
        <v>1</v>
      </c>
      <c r="F79" s="365"/>
      <c r="G79" s="365"/>
      <c r="H79" s="365"/>
      <c r="I79" s="365"/>
      <c r="J79" s="365"/>
      <c r="K79" s="365"/>
      <c r="L79" s="365"/>
      <c r="M79" s="365"/>
      <c r="N79" s="365"/>
      <c r="O79" s="365"/>
      <c r="P79" s="365"/>
      <c r="Q79" s="94">
        <v>1</v>
      </c>
      <c r="S79" s="539">
        <f>+S2</f>
        <v>1908196.42</v>
      </c>
      <c r="T79" s="540">
        <f>+S79/S79</f>
        <v>1</v>
      </c>
      <c r="V79" s="539">
        <v>3875221</v>
      </c>
      <c r="W79" s="540">
        <v>1</v>
      </c>
      <c r="Y79" s="539">
        <v>1964609</v>
      </c>
      <c r="Z79" s="540">
        <v>1</v>
      </c>
      <c r="AB79" s="539">
        <v>1582895</v>
      </c>
      <c r="AC79" s="540">
        <v>1</v>
      </c>
      <c r="AE79" s="539">
        <f>+D79-S79-V79-Y79-AB79</f>
        <v>2283972.58</v>
      </c>
      <c r="AF79" s="540">
        <f>+AE79/AE79</f>
        <v>1</v>
      </c>
      <c r="AT79" s="539">
        <f>+V79+AE79</f>
        <v>6159193.5800000001</v>
      </c>
      <c r="AU79" s="540">
        <f>+AT79/AT79</f>
        <v>1</v>
      </c>
    </row>
    <row r="80" spans="1:47" x14ac:dyDescent="0.2">
      <c r="C80" t="s">
        <v>541</v>
      </c>
      <c r="D80" s="539">
        <v>3935066</v>
      </c>
      <c r="E80" s="540">
        <f>+D80/D79</f>
        <v>0.33879482671128985</v>
      </c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94">
        <v>0.33879482671128985</v>
      </c>
      <c r="S80" s="539">
        <f>+S9</f>
        <v>61404.06</v>
      </c>
      <c r="T80" s="547">
        <f>+S80/S79</f>
        <v>3.2179108689450321E-2</v>
      </c>
      <c r="V80" s="539">
        <v>1312141</v>
      </c>
      <c r="W80" s="540">
        <v>0.33859772126544524</v>
      </c>
      <c r="Y80" s="539">
        <v>621202</v>
      </c>
      <c r="Z80" s="540">
        <v>0.31619625075523933</v>
      </c>
      <c r="AB80" s="539">
        <v>594953</v>
      </c>
      <c r="AC80" s="545">
        <v>0.37586384441166343</v>
      </c>
      <c r="AE80" s="539">
        <f>+D80-S80-V80-Y80-AB80</f>
        <v>1345365.94</v>
      </c>
      <c r="AF80" s="540">
        <f>+AE80/AE79</f>
        <v>0.58904644993592692</v>
      </c>
      <c r="AT80" s="539">
        <f>+V80+AE80</f>
        <v>2657506.94</v>
      </c>
      <c r="AU80" s="540">
        <f>+AT80/AT79</f>
        <v>0.43146994902537222</v>
      </c>
    </row>
    <row r="81" spans="3:47" x14ac:dyDescent="0.2">
      <c r="C81" t="s">
        <v>542</v>
      </c>
      <c r="D81" s="539">
        <v>3156479</v>
      </c>
      <c r="E81" s="540">
        <f>+D81/D79</f>
        <v>0.27176132644860984</v>
      </c>
      <c r="F81" s="365"/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94">
        <v>0.27176132644860984</v>
      </c>
      <c r="S81" s="539">
        <f>+S10+S11+S12+S13+S14+S15+S16</f>
        <v>1131039.0899999999</v>
      </c>
      <c r="T81" s="540">
        <f>+S81/S79</f>
        <v>0.59272676447008521</v>
      </c>
      <c r="V81" s="539">
        <v>1122568</v>
      </c>
      <c r="W81" s="540">
        <v>0.28967844672600607</v>
      </c>
      <c r="Y81" s="539">
        <v>660435</v>
      </c>
      <c r="Z81" s="545">
        <v>0.33616612771294441</v>
      </c>
      <c r="AB81" s="539">
        <v>370206</v>
      </c>
      <c r="AC81" s="547">
        <v>0.23387906336175174</v>
      </c>
      <c r="AE81" s="539">
        <f>+D81-S81-V81-Y81-AB81</f>
        <v>-127769.08999999985</v>
      </c>
      <c r="AF81" s="540">
        <f>+AE81/AE79</f>
        <v>-5.5941604167594625E-2</v>
      </c>
      <c r="AT81" s="539">
        <f>+V81+AE81</f>
        <v>994798.91000000015</v>
      </c>
      <c r="AU81" s="540">
        <f>+AT81/AT79</f>
        <v>0.16151447378278377</v>
      </c>
    </row>
    <row r="82" spans="3:47" x14ac:dyDescent="0.2">
      <c r="C82" t="s">
        <v>543</v>
      </c>
      <c r="D82" s="539">
        <v>1266278</v>
      </c>
      <c r="E82" s="540">
        <f>+D82/D79</f>
        <v>0.10902191617073734</v>
      </c>
      <c r="F82" s="365"/>
      <c r="G82" s="365"/>
      <c r="H82" s="365"/>
      <c r="I82" s="365"/>
      <c r="J82" s="365"/>
      <c r="K82" s="365"/>
      <c r="L82" s="365"/>
      <c r="M82" s="365"/>
      <c r="N82" s="365"/>
      <c r="O82" s="365"/>
      <c r="P82" s="365"/>
      <c r="Q82" s="94">
        <v>0.10902191617073734</v>
      </c>
      <c r="S82" s="539">
        <f>+S17+S18+S22+S33+S48+S62</f>
        <v>64642.880000000005</v>
      </c>
      <c r="T82" s="547">
        <f>+S82/S79</f>
        <v>3.3876428716913751E-2</v>
      </c>
      <c r="V82" s="539">
        <v>548495</v>
      </c>
      <c r="W82" s="545">
        <v>0.14153902448402297</v>
      </c>
      <c r="Y82" s="539">
        <v>204540</v>
      </c>
      <c r="Z82" s="540">
        <v>0.10411231955060778</v>
      </c>
      <c r="AB82" s="539">
        <v>142097</v>
      </c>
      <c r="AC82" s="547">
        <v>8.9770325890220132E-2</v>
      </c>
      <c r="AE82" s="539">
        <f>+D82-S82-V82-Y82-AB82</f>
        <v>306503.12000000011</v>
      </c>
      <c r="AF82" s="540">
        <f>+AE82/AE79</f>
        <v>0.13419737289490583</v>
      </c>
      <c r="AT82" s="539">
        <f>+V82+AE82</f>
        <v>854998.12000000011</v>
      </c>
      <c r="AU82" s="540">
        <f>+AT82/AT79</f>
        <v>0.13881656890543781</v>
      </c>
    </row>
    <row r="83" spans="3:47" ht="13.5" thickBot="1" x14ac:dyDescent="0.25">
      <c r="C83" t="s">
        <v>544</v>
      </c>
      <c r="D83" s="541">
        <v>3257071</v>
      </c>
      <c r="E83" s="542">
        <f>+D83/D79</f>
        <v>0.280421930669363</v>
      </c>
      <c r="F83" s="365"/>
      <c r="G83" s="365"/>
      <c r="H83" s="365"/>
      <c r="I83" s="365"/>
      <c r="J83" s="365"/>
      <c r="K83" s="365"/>
      <c r="L83" s="365"/>
      <c r="M83" s="365"/>
      <c r="N83" s="365"/>
      <c r="O83" s="365"/>
      <c r="P83" s="365"/>
      <c r="Q83" s="94">
        <v>0.280421930669363</v>
      </c>
      <c r="S83" s="541">
        <f>+S79-S80-S81-S82</f>
        <v>651110.39</v>
      </c>
      <c r="T83" s="542">
        <f>+S83/S79</f>
        <v>0.34121769812355063</v>
      </c>
      <c r="V83" s="541">
        <v>892017</v>
      </c>
      <c r="W83" s="542">
        <v>0.23018480752452569</v>
      </c>
      <c r="Y83" s="541">
        <v>478432</v>
      </c>
      <c r="Z83" s="546">
        <v>0.24352530198120848</v>
      </c>
      <c r="AB83" s="541">
        <v>475639</v>
      </c>
      <c r="AC83" s="542">
        <v>0.30048676633636467</v>
      </c>
      <c r="AE83" s="541">
        <f>+D83-S83-V83-Y83-AB83</f>
        <v>759872.60999999987</v>
      </c>
      <c r="AF83" s="542">
        <f>+AE83/AE79</f>
        <v>0.33269778133676187</v>
      </c>
      <c r="AT83" s="541">
        <f>+V83+AE83</f>
        <v>1651889.6099999999</v>
      </c>
      <c r="AU83" s="542">
        <f>+AT83/AT79</f>
        <v>0.26819900828640619</v>
      </c>
    </row>
    <row r="87" spans="3:47" x14ac:dyDescent="0.2">
      <c r="S87" s="26">
        <f>+'Mngt-Perth Micro '!S2+'Mngt-Brisbane Micro '!S2+'Mngt-Melbourne Micro '!S2+'Mngt-Sydney Micro '!S2</f>
        <v>5554646.7200000007</v>
      </c>
    </row>
    <row r="88" spans="3:47" x14ac:dyDescent="0.2">
      <c r="S88">
        <f>+'Mngt-Microbiology '!S2</f>
        <v>5689864.7199999997</v>
      </c>
    </row>
    <row r="89" spans="3:47" x14ac:dyDescent="0.2">
      <c r="S89" s="26">
        <f>+S88-S87</f>
        <v>135217.99999999907</v>
      </c>
    </row>
    <row r="90" spans="3:47" x14ac:dyDescent="0.2">
      <c r="S90">
        <f>+'Mngt-Consulting Micro SC '!S2</f>
        <v>135218</v>
      </c>
    </row>
  </sheetData>
  <hyperlinks>
    <hyperlink ref="AF73" r:id="rId1" display="+@sum(T17:AE18)+@sum(T22:AE22)+@sum(T33:AE33)+@sum(T48:AE48)+@sum(T62:AE62)"/>
    <hyperlink ref="AF76" r:id="rId2" display="+AF75-@sum(T64:AE64)"/>
  </hyperlinks>
  <pageMargins left="0.75" right="0.75" top="1" bottom="1" header="0.5" footer="0.5"/>
  <pageSetup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rgb="FF00B0F0"/>
  </sheetPr>
  <dimension ref="A1:AU84"/>
  <sheetViews>
    <sheetView workbookViewId="0">
      <pane xSplit="1" ySplit="1" topLeftCell="B2" activePane="bottomRight" state="frozen"/>
      <selection activeCell="A73" sqref="A73"/>
      <selection pane="topRight" activeCell="A73" sqref="A73"/>
      <selection pane="bottomLeft" activeCell="A73" sqref="A73"/>
      <selection pane="bottomRight" sqref="A1:AU65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10.42578125" customWidth="1" collapsed="1"/>
    <col min="46" max="47" width="10.5703125" customWidth="1"/>
  </cols>
  <sheetData>
    <row r="1" spans="1:47" ht="36.7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s="203" customFormat="1" x14ac:dyDescent="0.2">
      <c r="A2" s="61" t="s">
        <v>7</v>
      </c>
      <c r="B2" s="62">
        <v>525237.55000000005</v>
      </c>
      <c r="C2" s="54">
        <v>0</v>
      </c>
      <c r="D2" s="54">
        <v>329344.84000000003</v>
      </c>
      <c r="E2" s="63"/>
      <c r="F2" s="64">
        <v>159.47951393439169</v>
      </c>
      <c r="G2" s="65">
        <v>624131.69999999995</v>
      </c>
      <c r="H2" s="54">
        <v>554464.75</v>
      </c>
      <c r="I2" s="54">
        <v>525805.91</v>
      </c>
      <c r="J2" s="54">
        <v>525237.55000000005</v>
      </c>
      <c r="K2" s="54">
        <v>65156.26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2229639.91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468773.37</v>
      </c>
      <c r="AH2" s="67">
        <v>549482.64</v>
      </c>
      <c r="AI2" s="67">
        <v>470301.97</v>
      </c>
      <c r="AJ2" s="67">
        <v>329344.84000000003</v>
      </c>
      <c r="AK2" s="67">
        <v>404272.66</v>
      </c>
      <c r="AL2" s="67">
        <v>433538.71</v>
      </c>
      <c r="AM2" s="67">
        <v>416048.92</v>
      </c>
      <c r="AN2" s="67">
        <v>477746.42</v>
      </c>
      <c r="AO2" s="67">
        <v>510960.52</v>
      </c>
      <c r="AP2" s="67">
        <v>483210.96</v>
      </c>
      <c r="AQ2" s="67">
        <v>575960.68000000005</v>
      </c>
      <c r="AR2" s="67">
        <v>500439.71</v>
      </c>
      <c r="AS2" s="68">
        <v>1817902.82</v>
      </c>
      <c r="AT2" s="63"/>
      <c r="AU2" s="63">
        <v>122.64901541876699</v>
      </c>
    </row>
    <row r="3" spans="1:47" ht="12.75" hidden="1" customHeight="1" outlineLevel="1" x14ac:dyDescent="0.2">
      <c r="A3" s="61" t="s">
        <v>160</v>
      </c>
      <c r="B3" s="62">
        <v>125772.88</v>
      </c>
      <c r="C3" s="54">
        <v>0</v>
      </c>
      <c r="D3" s="54">
        <v>108790.1</v>
      </c>
      <c r="E3" s="63"/>
      <c r="F3" s="64">
        <v>115.61059324331902</v>
      </c>
      <c r="G3" s="65">
        <v>135917.38</v>
      </c>
      <c r="H3" s="54">
        <v>148590.39000000001</v>
      </c>
      <c r="I3" s="54">
        <v>141956.82999999999</v>
      </c>
      <c r="J3" s="54">
        <v>125772.88</v>
      </c>
      <c r="K3" s="54">
        <v>0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552237.48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119270.54</v>
      </c>
      <c r="AH3" s="67">
        <v>135400.94</v>
      </c>
      <c r="AI3" s="67">
        <v>151421.10999999999</v>
      </c>
      <c r="AJ3" s="67">
        <v>108790.1</v>
      </c>
      <c r="AK3" s="67">
        <v>118697.22</v>
      </c>
      <c r="AL3" s="67">
        <v>132183.03</v>
      </c>
      <c r="AM3" s="67">
        <v>122636.12</v>
      </c>
      <c r="AN3" s="67">
        <v>127179.46</v>
      </c>
      <c r="AO3" s="67">
        <v>124667.43</v>
      </c>
      <c r="AP3" s="67">
        <v>136432.91</v>
      </c>
      <c r="AQ3" s="67">
        <v>159229.24</v>
      </c>
      <c r="AR3" s="67">
        <v>147818.74</v>
      </c>
      <c r="AS3" s="68">
        <v>514882.69</v>
      </c>
      <c r="AT3" s="63"/>
      <c r="AU3" s="63">
        <v>107.25500987419096</v>
      </c>
    </row>
    <row r="4" spans="1:47" ht="12.75" hidden="1" customHeight="1" outlineLevel="1" x14ac:dyDescent="0.2">
      <c r="A4" s="61" t="s">
        <v>161</v>
      </c>
      <c r="B4" s="62">
        <v>7547.55</v>
      </c>
      <c r="C4" s="54">
        <v>0</v>
      </c>
      <c r="D4" s="54">
        <v>7434.07</v>
      </c>
      <c r="E4" s="63"/>
      <c r="F4" s="64">
        <v>101.52648549179655</v>
      </c>
      <c r="G4" s="65">
        <v>7116.51</v>
      </c>
      <c r="H4" s="54">
        <v>1237.51</v>
      </c>
      <c r="I4" s="54">
        <v>16121.76</v>
      </c>
      <c r="J4" s="54">
        <v>7547.55</v>
      </c>
      <c r="K4" s="56">
        <v>-4177.12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32023.33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8016.65</v>
      </c>
      <c r="AH4" s="67">
        <v>8342.02</v>
      </c>
      <c r="AI4" s="67">
        <v>10239.41</v>
      </c>
      <c r="AJ4" s="67">
        <v>7434.07</v>
      </c>
      <c r="AK4" s="67">
        <v>7547.21</v>
      </c>
      <c r="AL4" s="67">
        <v>7979.07</v>
      </c>
      <c r="AM4" s="67">
        <v>7650.79</v>
      </c>
      <c r="AN4" s="67">
        <v>8229.68</v>
      </c>
      <c r="AO4" s="67">
        <v>1498.7</v>
      </c>
      <c r="AP4" s="67">
        <v>11298.82</v>
      </c>
      <c r="AQ4" s="67">
        <v>11747.23</v>
      </c>
      <c r="AR4" s="67">
        <v>11095.63</v>
      </c>
      <c r="AS4" s="68">
        <v>34032.15</v>
      </c>
      <c r="AT4" s="63"/>
      <c r="AU4" s="63">
        <v>94.097287417926879</v>
      </c>
    </row>
    <row r="5" spans="1:47" ht="12.75" hidden="1" customHeight="1" outlineLevel="1" x14ac:dyDescent="0.2">
      <c r="A5" s="61" t="s">
        <v>162</v>
      </c>
      <c r="B5" s="62">
        <v>11696.6</v>
      </c>
      <c r="C5" s="54">
        <v>0</v>
      </c>
      <c r="D5" s="54">
        <v>21489.59</v>
      </c>
      <c r="E5" s="63"/>
      <c r="F5" s="64">
        <v>54.429144529979396</v>
      </c>
      <c r="G5" s="65">
        <v>11073.48</v>
      </c>
      <c r="H5" s="54">
        <v>11198.42</v>
      </c>
      <c r="I5" s="54">
        <v>13509.18</v>
      </c>
      <c r="J5" s="54">
        <v>11696.6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47477.68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10027.73</v>
      </c>
      <c r="AH5" s="67">
        <v>15263.64</v>
      </c>
      <c r="AI5" s="67">
        <v>3732.4</v>
      </c>
      <c r="AJ5" s="67">
        <v>21489.59</v>
      </c>
      <c r="AK5" s="67">
        <v>5917.13</v>
      </c>
      <c r="AL5" s="67">
        <v>10875.08</v>
      </c>
      <c r="AM5" s="67">
        <v>11184.14</v>
      </c>
      <c r="AN5" s="67">
        <v>11331.47</v>
      </c>
      <c r="AO5" s="67">
        <v>13977.13</v>
      </c>
      <c r="AP5" s="67">
        <v>15717.46</v>
      </c>
      <c r="AQ5" s="67">
        <v>10470.450000000001</v>
      </c>
      <c r="AR5" s="67">
        <v>14085.58</v>
      </c>
      <c r="AS5" s="68">
        <v>50513.36</v>
      </c>
      <c r="AT5" s="63"/>
      <c r="AU5" s="63">
        <v>93.990342356952695</v>
      </c>
    </row>
    <row r="6" spans="1:47" ht="12.75" hidden="1" customHeight="1" outlineLevel="1" x14ac:dyDescent="0.2">
      <c r="A6" s="61" t="s">
        <v>163</v>
      </c>
      <c r="B6" s="62">
        <v>0</v>
      </c>
      <c r="C6" s="54">
        <v>0</v>
      </c>
      <c r="D6" s="54">
        <v>950</v>
      </c>
      <c r="E6" s="63"/>
      <c r="F6" s="64">
        <v>0</v>
      </c>
      <c r="G6" s="65">
        <v>950</v>
      </c>
      <c r="H6" s="54">
        <v>950</v>
      </c>
      <c r="I6" s="56">
        <v>-1900</v>
      </c>
      <c r="J6" s="54">
        <v>0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0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950</v>
      </c>
      <c r="AH6" s="67">
        <v>950</v>
      </c>
      <c r="AI6" s="67">
        <v>950</v>
      </c>
      <c r="AJ6" s="67">
        <v>950</v>
      </c>
      <c r="AK6" s="67">
        <v>950</v>
      </c>
      <c r="AL6" s="67">
        <v>950</v>
      </c>
      <c r="AM6" s="67">
        <v>950</v>
      </c>
      <c r="AN6" s="67">
        <v>950</v>
      </c>
      <c r="AO6" s="67">
        <v>950</v>
      </c>
      <c r="AP6" s="67">
        <v>950</v>
      </c>
      <c r="AQ6" s="98">
        <v>-9485.6</v>
      </c>
      <c r="AR6" s="67">
        <v>0</v>
      </c>
      <c r="AS6" s="68">
        <v>3800</v>
      </c>
      <c r="AT6" s="63"/>
      <c r="AU6" s="63">
        <v>0</v>
      </c>
    </row>
    <row r="7" spans="1:47" ht="12.75" hidden="1" customHeight="1" outlineLevel="1" x14ac:dyDescent="0.2">
      <c r="A7" s="61" t="s">
        <v>164</v>
      </c>
      <c r="B7" s="62">
        <v>1131.74</v>
      </c>
      <c r="C7" s="54">
        <v>0</v>
      </c>
      <c r="D7" s="54">
        <v>1243.3499999999999</v>
      </c>
      <c r="E7" s="63"/>
      <c r="F7" s="64">
        <v>91.023444725942014</v>
      </c>
      <c r="G7" s="65">
        <v>1241.01</v>
      </c>
      <c r="H7" s="54">
        <v>1131.74</v>
      </c>
      <c r="I7" s="54">
        <v>1131.74</v>
      </c>
      <c r="J7" s="54">
        <v>1131.74</v>
      </c>
      <c r="K7" s="56">
        <v>-917.27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4636.2299999999996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95.8</v>
      </c>
      <c r="AH7" s="67">
        <v>95.8</v>
      </c>
      <c r="AI7" s="67">
        <v>324.77</v>
      </c>
      <c r="AJ7" s="67">
        <v>1243.3499999999999</v>
      </c>
      <c r="AK7" s="67">
        <v>1243.3499999999999</v>
      </c>
      <c r="AL7" s="67">
        <v>1243.3499999999999</v>
      </c>
      <c r="AM7" s="67">
        <v>1243.3499999999999</v>
      </c>
      <c r="AN7" s="67">
        <v>1243.3499999999999</v>
      </c>
      <c r="AO7" s="67">
        <v>1243.3499999999999</v>
      </c>
      <c r="AP7" s="67">
        <v>1906.77</v>
      </c>
      <c r="AQ7" s="67">
        <v>1906.76</v>
      </c>
      <c r="AR7" s="67">
        <v>1906.77</v>
      </c>
      <c r="AS7" s="68">
        <v>1759.72</v>
      </c>
      <c r="AT7" s="63"/>
      <c r="AU7" s="63">
        <v>263.46407382992749</v>
      </c>
    </row>
    <row r="8" spans="1:47" s="365" customFormat="1" ht="12.75" hidden="1" customHeight="1" outlineLevel="1" x14ac:dyDescent="0.2">
      <c r="A8" s="61" t="s">
        <v>165</v>
      </c>
      <c r="B8" s="62">
        <v>12050.72</v>
      </c>
      <c r="C8" s="54">
        <v>0</v>
      </c>
      <c r="D8" s="54">
        <v>11990.38</v>
      </c>
      <c r="E8" s="63"/>
      <c r="F8" s="64">
        <v>100.50323676147045</v>
      </c>
      <c r="G8" s="65">
        <v>12135.13</v>
      </c>
      <c r="H8" s="54">
        <v>12590.08</v>
      </c>
      <c r="I8" s="54">
        <v>12751</v>
      </c>
      <c r="J8" s="54">
        <v>12050.72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66">
        <v>49526.93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66">
        <v>0</v>
      </c>
      <c r="AG8" s="67">
        <v>10835.04</v>
      </c>
      <c r="AH8" s="67">
        <v>11774.15</v>
      </c>
      <c r="AI8" s="67">
        <v>14368</v>
      </c>
      <c r="AJ8" s="67">
        <v>11990.38</v>
      </c>
      <c r="AK8" s="67">
        <v>10703.94</v>
      </c>
      <c r="AL8" s="67">
        <v>12244.64</v>
      </c>
      <c r="AM8" s="67">
        <v>10833.73</v>
      </c>
      <c r="AN8" s="67">
        <v>12120.31</v>
      </c>
      <c r="AO8" s="67">
        <v>11803.48</v>
      </c>
      <c r="AP8" s="67">
        <v>12273.25</v>
      </c>
      <c r="AQ8" s="67">
        <v>14973.21</v>
      </c>
      <c r="AR8" s="67">
        <v>12920.46</v>
      </c>
      <c r="AS8" s="68">
        <v>48967.57</v>
      </c>
      <c r="AT8" s="63"/>
      <c r="AU8" s="63">
        <v>101.14230704117031</v>
      </c>
    </row>
    <row r="9" spans="1:47" ht="12.75" hidden="1" customHeight="1" outlineLevel="1" x14ac:dyDescent="0.2">
      <c r="A9" s="61" t="s">
        <v>39</v>
      </c>
      <c r="B9" s="62">
        <v>0</v>
      </c>
      <c r="C9" s="54">
        <v>0</v>
      </c>
      <c r="D9" s="54">
        <v>0</v>
      </c>
      <c r="E9" s="63"/>
      <c r="F9" s="64"/>
      <c r="G9" s="65">
        <v>0</v>
      </c>
      <c r="H9" s="54">
        <v>0</v>
      </c>
      <c r="I9" s="54">
        <v>0</v>
      </c>
      <c r="J9" s="54">
        <v>0</v>
      </c>
      <c r="K9" s="54">
        <v>0</v>
      </c>
      <c r="L9" s="54">
        <v>0</v>
      </c>
      <c r="M9" s="54">
        <v>0</v>
      </c>
      <c r="N9" s="54">
        <v>0</v>
      </c>
      <c r="O9" s="54">
        <v>0</v>
      </c>
      <c r="P9" s="54">
        <v>0</v>
      </c>
      <c r="Q9" s="54">
        <v>0</v>
      </c>
      <c r="R9" s="54">
        <v>0</v>
      </c>
      <c r="S9" s="66">
        <v>0</v>
      </c>
      <c r="T9" s="54">
        <v>0</v>
      </c>
      <c r="U9" s="54">
        <v>0</v>
      </c>
      <c r="V9" s="54">
        <v>0</v>
      </c>
      <c r="W9" s="54">
        <v>0</v>
      </c>
      <c r="X9" s="54">
        <v>0</v>
      </c>
      <c r="Y9" s="54">
        <v>0</v>
      </c>
      <c r="Z9" s="54">
        <v>0</v>
      </c>
      <c r="AA9" s="54">
        <v>0</v>
      </c>
      <c r="AB9" s="54">
        <v>0</v>
      </c>
      <c r="AC9" s="54">
        <v>0</v>
      </c>
      <c r="AD9" s="54">
        <v>0</v>
      </c>
      <c r="AE9" s="54">
        <v>0</v>
      </c>
      <c r="AF9" s="66">
        <v>0</v>
      </c>
      <c r="AG9" s="67">
        <v>0</v>
      </c>
      <c r="AH9" s="67">
        <v>0</v>
      </c>
      <c r="AI9" s="67">
        <v>0</v>
      </c>
      <c r="AJ9" s="67">
        <v>0</v>
      </c>
      <c r="AK9" s="67">
        <v>0</v>
      </c>
      <c r="AL9" s="67">
        <v>0</v>
      </c>
      <c r="AM9" s="67">
        <v>0</v>
      </c>
      <c r="AN9" s="67">
        <v>53488.43</v>
      </c>
      <c r="AO9" s="67">
        <v>3225.1</v>
      </c>
      <c r="AP9" s="67">
        <v>3920.26</v>
      </c>
      <c r="AQ9" s="67">
        <v>0</v>
      </c>
      <c r="AR9" s="67">
        <v>0</v>
      </c>
      <c r="AS9" s="68">
        <v>0</v>
      </c>
      <c r="AT9" s="63"/>
      <c r="AU9" s="63"/>
    </row>
    <row r="10" spans="1:47" ht="12.75" customHeight="1" collapsed="1" x14ac:dyDescent="0.2">
      <c r="A10" s="69" t="s">
        <v>166</v>
      </c>
      <c r="B10" s="70">
        <v>158199.49</v>
      </c>
      <c r="C10" s="71">
        <v>0</v>
      </c>
      <c r="D10" s="71">
        <v>151897.49</v>
      </c>
      <c r="E10" s="72"/>
      <c r="F10" s="73">
        <v>104.14885064921086</v>
      </c>
      <c r="G10" s="70">
        <v>168433.51</v>
      </c>
      <c r="H10" s="71">
        <v>175698.14</v>
      </c>
      <c r="I10" s="71">
        <v>183570.51</v>
      </c>
      <c r="J10" s="71">
        <v>158199.49</v>
      </c>
      <c r="K10" s="74">
        <v>-5094.3900000000003</v>
      </c>
      <c r="L10" s="71">
        <v>0</v>
      </c>
      <c r="M10" s="71">
        <v>0</v>
      </c>
      <c r="N10" s="71">
        <v>0</v>
      </c>
      <c r="O10" s="71">
        <v>0</v>
      </c>
      <c r="P10" s="71">
        <v>0</v>
      </c>
      <c r="Q10" s="71">
        <v>0</v>
      </c>
      <c r="R10" s="71">
        <v>0</v>
      </c>
      <c r="S10" s="71">
        <v>685901.65</v>
      </c>
      <c r="T10" s="71">
        <v>0</v>
      </c>
      <c r="U10" s="71">
        <v>0</v>
      </c>
      <c r="V10" s="71">
        <v>0</v>
      </c>
      <c r="W10" s="71">
        <v>0</v>
      </c>
      <c r="X10" s="71">
        <v>0</v>
      </c>
      <c r="Y10" s="71">
        <v>0</v>
      </c>
      <c r="Z10" s="71">
        <v>0</v>
      </c>
      <c r="AA10" s="71">
        <v>0</v>
      </c>
      <c r="AB10" s="71">
        <v>0</v>
      </c>
      <c r="AC10" s="71">
        <v>0</v>
      </c>
      <c r="AD10" s="71">
        <v>0</v>
      </c>
      <c r="AE10" s="71">
        <v>0</v>
      </c>
      <c r="AF10" s="71">
        <v>0</v>
      </c>
      <c r="AG10" s="75">
        <v>149195.76</v>
      </c>
      <c r="AH10" s="75">
        <v>171826.55</v>
      </c>
      <c r="AI10" s="75">
        <v>181035.69</v>
      </c>
      <c r="AJ10" s="75">
        <v>151897.49</v>
      </c>
      <c r="AK10" s="75">
        <v>145058.85</v>
      </c>
      <c r="AL10" s="75">
        <v>165475.17000000001</v>
      </c>
      <c r="AM10" s="75">
        <v>154498.13</v>
      </c>
      <c r="AN10" s="75">
        <v>214542.7</v>
      </c>
      <c r="AO10" s="75">
        <v>157365.19</v>
      </c>
      <c r="AP10" s="75">
        <v>182499.47</v>
      </c>
      <c r="AQ10" s="75">
        <v>188841.29</v>
      </c>
      <c r="AR10" s="75">
        <v>187827.18</v>
      </c>
      <c r="AS10" s="75">
        <v>653955.49</v>
      </c>
      <c r="AT10" s="72"/>
      <c r="AU10" s="72">
        <v>104.88506641331202</v>
      </c>
    </row>
    <row r="11" spans="1:47" ht="12.75" customHeight="1" x14ac:dyDescent="0.2">
      <c r="A11" s="61" t="s">
        <v>167</v>
      </c>
      <c r="B11" s="62">
        <v>80547.58</v>
      </c>
      <c r="C11" s="54">
        <v>0</v>
      </c>
      <c r="D11" s="54">
        <v>76724.28</v>
      </c>
      <c r="E11" s="63"/>
      <c r="F11" s="64">
        <v>104.98316830082993</v>
      </c>
      <c r="G11" s="65">
        <v>84880.45</v>
      </c>
      <c r="H11" s="54">
        <v>64422.239999999998</v>
      </c>
      <c r="I11" s="54">
        <v>123274.64</v>
      </c>
      <c r="J11" s="54">
        <v>80547.58</v>
      </c>
      <c r="K11" s="56">
        <v>-85030.76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66">
        <v>353124.91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0</v>
      </c>
      <c r="AC11" s="54">
        <v>0</v>
      </c>
      <c r="AD11" s="54">
        <v>0</v>
      </c>
      <c r="AE11" s="54">
        <v>0</v>
      </c>
      <c r="AF11" s="66">
        <v>0</v>
      </c>
      <c r="AG11" s="67">
        <v>65497.19</v>
      </c>
      <c r="AH11" s="67">
        <v>75492.160000000003</v>
      </c>
      <c r="AI11" s="67">
        <v>94598.37</v>
      </c>
      <c r="AJ11" s="67">
        <v>76724.28</v>
      </c>
      <c r="AK11" s="67">
        <v>89043.83</v>
      </c>
      <c r="AL11" s="67">
        <v>138435.38</v>
      </c>
      <c r="AM11" s="67">
        <v>113654.95</v>
      </c>
      <c r="AN11" s="67">
        <v>88556.77</v>
      </c>
      <c r="AO11" s="67">
        <v>79413.48</v>
      </c>
      <c r="AP11" s="67">
        <v>78653.600000000006</v>
      </c>
      <c r="AQ11" s="67">
        <v>76540.55</v>
      </c>
      <c r="AR11" s="98">
        <v>-37080.300000000003</v>
      </c>
      <c r="AS11" s="68">
        <v>312312</v>
      </c>
      <c r="AT11" s="63"/>
      <c r="AU11" s="63">
        <v>113.06799290453137</v>
      </c>
    </row>
    <row r="12" spans="1:47" ht="12.75" customHeight="1" x14ac:dyDescent="0.2">
      <c r="A12" s="61" t="s">
        <v>168</v>
      </c>
      <c r="B12" s="62">
        <v>14262.98</v>
      </c>
      <c r="C12" s="54">
        <v>0</v>
      </c>
      <c r="D12" s="54">
        <v>21458.76</v>
      </c>
      <c r="E12" s="63"/>
      <c r="F12" s="64">
        <v>66.466934715705847</v>
      </c>
      <c r="G12" s="65">
        <v>11498.88</v>
      </c>
      <c r="H12" s="54">
        <v>8507.6</v>
      </c>
      <c r="I12" s="54">
        <v>29212.23</v>
      </c>
      <c r="J12" s="54">
        <v>14262.98</v>
      </c>
      <c r="K12" s="56">
        <v>-2793.31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66">
        <v>63481.69</v>
      </c>
      <c r="T12" s="54">
        <v>0</v>
      </c>
      <c r="U12" s="54">
        <v>0</v>
      </c>
      <c r="V12" s="54">
        <v>0</v>
      </c>
      <c r="W12" s="54">
        <v>0</v>
      </c>
      <c r="X12" s="54">
        <v>0</v>
      </c>
      <c r="Y12" s="54">
        <v>0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66">
        <v>0</v>
      </c>
      <c r="AG12" s="67">
        <v>10362.39</v>
      </c>
      <c r="AH12" s="67">
        <v>12006.86</v>
      </c>
      <c r="AI12" s="67">
        <v>20463.75</v>
      </c>
      <c r="AJ12" s="67">
        <v>21458.76</v>
      </c>
      <c r="AK12" s="67">
        <v>8303.86</v>
      </c>
      <c r="AL12" s="67">
        <v>3937.76</v>
      </c>
      <c r="AM12" s="67">
        <v>4443.58</v>
      </c>
      <c r="AN12" s="67">
        <v>11011.43</v>
      </c>
      <c r="AO12" s="67">
        <v>12819.75</v>
      </c>
      <c r="AP12" s="67">
        <v>11326.3</v>
      </c>
      <c r="AQ12" s="67">
        <v>20488.580000000002</v>
      </c>
      <c r="AR12" s="98">
        <v>-6944.61</v>
      </c>
      <c r="AS12" s="68">
        <v>64291.76</v>
      </c>
      <c r="AT12" s="63"/>
      <c r="AU12" s="63">
        <v>98.740009606207707</v>
      </c>
    </row>
    <row r="13" spans="1:47" ht="12.75" customHeight="1" x14ac:dyDescent="0.2">
      <c r="A13" s="61" t="s">
        <v>169</v>
      </c>
      <c r="B13" s="62">
        <v>24883.65</v>
      </c>
      <c r="C13" s="54">
        <v>0</v>
      </c>
      <c r="D13" s="54">
        <v>15802.52</v>
      </c>
      <c r="E13" s="63"/>
      <c r="F13" s="64">
        <v>157.4663408114655</v>
      </c>
      <c r="G13" s="65">
        <v>15412.12</v>
      </c>
      <c r="H13" s="54">
        <v>19695.490000000002</v>
      </c>
      <c r="I13" s="54">
        <v>1784.87</v>
      </c>
      <c r="J13" s="54">
        <v>24883.65</v>
      </c>
      <c r="K13" s="56">
        <v>-16164.93</v>
      </c>
      <c r="L13" s="54">
        <v>0</v>
      </c>
      <c r="M13" s="54">
        <v>0</v>
      </c>
      <c r="N13" s="54">
        <v>0</v>
      </c>
      <c r="O13" s="54">
        <v>0</v>
      </c>
      <c r="P13" s="54">
        <v>0</v>
      </c>
      <c r="Q13" s="54">
        <v>0</v>
      </c>
      <c r="R13" s="54">
        <v>0</v>
      </c>
      <c r="S13" s="66">
        <v>61776.13</v>
      </c>
      <c r="T13" s="54">
        <v>0</v>
      </c>
      <c r="U13" s="54">
        <v>0</v>
      </c>
      <c r="V13" s="54">
        <v>0</v>
      </c>
      <c r="W13" s="54">
        <v>0</v>
      </c>
      <c r="X13" s="54">
        <v>0</v>
      </c>
      <c r="Y13" s="54">
        <v>0</v>
      </c>
      <c r="Z13" s="54">
        <v>0</v>
      </c>
      <c r="AA13" s="54">
        <v>0</v>
      </c>
      <c r="AB13" s="54">
        <v>0</v>
      </c>
      <c r="AC13" s="54">
        <v>0</v>
      </c>
      <c r="AD13" s="54">
        <v>0</v>
      </c>
      <c r="AE13" s="54">
        <v>0</v>
      </c>
      <c r="AF13" s="66">
        <v>0</v>
      </c>
      <c r="AG13" s="67">
        <v>27085.919999999998</v>
      </c>
      <c r="AH13" s="67">
        <v>3137.82</v>
      </c>
      <c r="AI13" s="67">
        <v>31927.22</v>
      </c>
      <c r="AJ13" s="67">
        <v>15802.52</v>
      </c>
      <c r="AK13" s="67">
        <v>10832.55</v>
      </c>
      <c r="AL13" s="67">
        <v>15850.83</v>
      </c>
      <c r="AM13" s="67">
        <v>3359.92</v>
      </c>
      <c r="AN13" s="67">
        <v>7980.54</v>
      </c>
      <c r="AO13" s="67">
        <v>42797.06</v>
      </c>
      <c r="AP13" s="67">
        <v>14037.69</v>
      </c>
      <c r="AQ13" s="67">
        <v>5096.57</v>
      </c>
      <c r="AR13" s="98">
        <v>-8744.64</v>
      </c>
      <c r="AS13" s="68">
        <v>77953.48</v>
      </c>
      <c r="AT13" s="63"/>
      <c r="AU13" s="63">
        <v>79.247430647098753</v>
      </c>
    </row>
    <row r="14" spans="1:47" ht="12.75" customHeight="1" x14ac:dyDescent="0.2">
      <c r="A14" s="61" t="s">
        <v>50</v>
      </c>
      <c r="B14" s="62">
        <v>49</v>
      </c>
      <c r="C14" s="54">
        <v>0</v>
      </c>
      <c r="D14" s="54">
        <v>426.95</v>
      </c>
      <c r="E14" s="63"/>
      <c r="F14" s="64">
        <v>11.476753718233985</v>
      </c>
      <c r="G14" s="65">
        <v>0</v>
      </c>
      <c r="H14" s="54">
        <v>46.04</v>
      </c>
      <c r="I14" s="54">
        <v>0</v>
      </c>
      <c r="J14" s="54">
        <v>49</v>
      </c>
      <c r="K14" s="54">
        <v>0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95.04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67">
        <v>193.76</v>
      </c>
      <c r="AH14" s="67">
        <v>737.63</v>
      </c>
      <c r="AI14" s="67">
        <v>560.64</v>
      </c>
      <c r="AJ14" s="67">
        <v>426.95</v>
      </c>
      <c r="AK14" s="67">
        <v>2261.34</v>
      </c>
      <c r="AL14" s="67">
        <v>0</v>
      </c>
      <c r="AM14" s="67">
        <v>0</v>
      </c>
      <c r="AN14" s="67">
        <v>113.55</v>
      </c>
      <c r="AO14" s="67">
        <v>49.68</v>
      </c>
      <c r="AP14" s="67">
        <v>0</v>
      </c>
      <c r="AQ14" s="67">
        <v>158.55000000000001</v>
      </c>
      <c r="AR14" s="67">
        <v>0</v>
      </c>
      <c r="AS14" s="68">
        <v>1918.98</v>
      </c>
      <c r="AT14" s="63"/>
      <c r="AU14" s="63">
        <v>4.9526310852640467</v>
      </c>
    </row>
    <row r="15" spans="1:47" ht="12.75" customHeight="1" x14ac:dyDescent="0.2">
      <c r="A15" s="61" t="s">
        <v>170</v>
      </c>
      <c r="B15" s="62">
        <v>12083.83</v>
      </c>
      <c r="C15" s="54">
        <v>0</v>
      </c>
      <c r="D15" s="54">
        <v>7618.8</v>
      </c>
      <c r="E15" s="63"/>
      <c r="F15" s="64">
        <v>158.60542342626135</v>
      </c>
      <c r="G15" s="65">
        <v>4812.51</v>
      </c>
      <c r="H15" s="54">
        <v>2919.24</v>
      </c>
      <c r="I15" s="54">
        <v>2760.2</v>
      </c>
      <c r="J15" s="54">
        <v>12083.83</v>
      </c>
      <c r="K15" s="56">
        <v>-12800.04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66">
        <v>22575.78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66">
        <v>0</v>
      </c>
      <c r="AG15" s="67">
        <v>28742.18</v>
      </c>
      <c r="AH15" s="98">
        <v>-19333.02</v>
      </c>
      <c r="AI15" s="67">
        <v>15634</v>
      </c>
      <c r="AJ15" s="67">
        <v>7618.8</v>
      </c>
      <c r="AK15" s="67">
        <v>18793.599999999999</v>
      </c>
      <c r="AL15" s="67">
        <v>22608.639999999999</v>
      </c>
      <c r="AM15" s="67">
        <v>2789</v>
      </c>
      <c r="AN15" s="67">
        <v>3376.36</v>
      </c>
      <c r="AO15" s="67">
        <v>5896.95</v>
      </c>
      <c r="AP15" s="67">
        <v>2636.96</v>
      </c>
      <c r="AQ15" s="67">
        <v>27467.4</v>
      </c>
      <c r="AR15" s="67">
        <v>14227.38</v>
      </c>
      <c r="AS15" s="68">
        <v>32661.96</v>
      </c>
      <c r="AT15" s="63"/>
      <c r="AU15" s="63">
        <v>69.119489461134606</v>
      </c>
    </row>
    <row r="16" spans="1:47" ht="12.75" customHeight="1" x14ac:dyDescent="0.2">
      <c r="A16" s="61" t="s">
        <v>171</v>
      </c>
      <c r="B16" s="62">
        <v>14749.97</v>
      </c>
      <c r="C16" s="54">
        <v>0</v>
      </c>
      <c r="D16" s="54">
        <v>39924.76</v>
      </c>
      <c r="E16" s="63"/>
      <c r="F16" s="64">
        <v>36.944417449221987</v>
      </c>
      <c r="G16" s="65">
        <v>33014.11</v>
      </c>
      <c r="H16" s="54">
        <v>30058.52</v>
      </c>
      <c r="I16" s="54">
        <v>16013.58</v>
      </c>
      <c r="J16" s="54">
        <v>14749.97</v>
      </c>
      <c r="K16" s="56">
        <v>-57328.65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66">
        <v>93836.18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>
        <v>21807.11</v>
      </c>
      <c r="AH16" s="67">
        <v>30957.48</v>
      </c>
      <c r="AI16" s="67">
        <v>13011.79</v>
      </c>
      <c r="AJ16" s="67">
        <v>39924.76</v>
      </c>
      <c r="AK16" s="67">
        <v>26429.84</v>
      </c>
      <c r="AL16" s="67">
        <v>21394.44</v>
      </c>
      <c r="AM16" s="67">
        <v>23746.09</v>
      </c>
      <c r="AN16" s="67">
        <v>55297.19</v>
      </c>
      <c r="AO16" s="67">
        <v>20814.849999999999</v>
      </c>
      <c r="AP16" s="67">
        <v>32123.65</v>
      </c>
      <c r="AQ16" s="67">
        <v>53290.15</v>
      </c>
      <c r="AR16" s="67">
        <v>46853</v>
      </c>
      <c r="AS16" s="68">
        <v>105701.14</v>
      </c>
      <c r="AT16" s="63"/>
      <c r="AU16" s="63">
        <v>88.774993344442649</v>
      </c>
    </row>
    <row r="17" spans="1:47" ht="12.75" customHeight="1" x14ac:dyDescent="0.2">
      <c r="A17" s="61" t="s">
        <v>172</v>
      </c>
      <c r="B17" s="62">
        <v>0</v>
      </c>
      <c r="C17" s="54">
        <v>0</v>
      </c>
      <c r="D17" s="54">
        <v>0</v>
      </c>
      <c r="E17" s="63"/>
      <c r="F17" s="64"/>
      <c r="G17" s="65">
        <v>0</v>
      </c>
      <c r="H17" s="54">
        <v>0</v>
      </c>
      <c r="I17" s="54">
        <v>0</v>
      </c>
      <c r="J17" s="54">
        <v>0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0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0</v>
      </c>
      <c r="AH17" s="67">
        <v>0</v>
      </c>
      <c r="AI17" s="67">
        <v>0</v>
      </c>
      <c r="AJ17" s="67">
        <v>0</v>
      </c>
      <c r="AK17" s="67">
        <v>0</v>
      </c>
      <c r="AL17" s="67">
        <v>0</v>
      </c>
      <c r="AM17" s="67">
        <v>0</v>
      </c>
      <c r="AN17" s="67">
        <v>0</v>
      </c>
      <c r="AO17" s="67">
        <v>0</v>
      </c>
      <c r="AP17" s="67">
        <v>0</v>
      </c>
      <c r="AQ17" s="67">
        <v>0</v>
      </c>
      <c r="AR17" s="67">
        <v>0</v>
      </c>
      <c r="AS17" s="68">
        <v>0</v>
      </c>
      <c r="AT17" s="63"/>
      <c r="AU17" s="63"/>
    </row>
    <row r="18" spans="1:47" ht="12.75" customHeight="1" x14ac:dyDescent="0.2">
      <c r="A18" s="61" t="s">
        <v>173</v>
      </c>
      <c r="B18" s="62">
        <v>18271.87</v>
      </c>
      <c r="C18" s="54">
        <v>0</v>
      </c>
      <c r="D18" s="54">
        <v>20022.05</v>
      </c>
      <c r="E18" s="63"/>
      <c r="F18" s="64">
        <v>91.258737242190492</v>
      </c>
      <c r="G18" s="65">
        <v>18777.04</v>
      </c>
      <c r="H18" s="54">
        <v>18394.61</v>
      </c>
      <c r="I18" s="54">
        <v>18299.05</v>
      </c>
      <c r="J18" s="54">
        <v>18271.87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73742.570000000007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22833.89</v>
      </c>
      <c r="AH18" s="67">
        <v>22103.3</v>
      </c>
      <c r="AI18" s="67">
        <v>20083.150000000001</v>
      </c>
      <c r="AJ18" s="67">
        <v>20022.05</v>
      </c>
      <c r="AK18" s="67">
        <v>20830.5</v>
      </c>
      <c r="AL18" s="67">
        <v>25833.41</v>
      </c>
      <c r="AM18" s="67">
        <v>21019.72</v>
      </c>
      <c r="AN18" s="67">
        <v>20973.78</v>
      </c>
      <c r="AO18" s="67">
        <v>19408.96</v>
      </c>
      <c r="AP18" s="67">
        <v>19261.57</v>
      </c>
      <c r="AQ18" s="67">
        <v>19261.57</v>
      </c>
      <c r="AR18" s="67">
        <v>19126.099999999999</v>
      </c>
      <c r="AS18" s="68">
        <v>85042.39</v>
      </c>
      <c r="AT18" s="63"/>
      <c r="AU18" s="63">
        <v>86.712720562063225</v>
      </c>
    </row>
    <row r="19" spans="1:47" ht="12.75" customHeight="1" x14ac:dyDescent="0.2">
      <c r="A19" s="61" t="s">
        <v>257</v>
      </c>
      <c r="B19" s="62">
        <v>11656.32</v>
      </c>
      <c r="C19" s="54">
        <v>0</v>
      </c>
      <c r="D19" s="54">
        <v>10931.52</v>
      </c>
      <c r="E19" s="63"/>
      <c r="F19" s="64">
        <v>106.63036796346711</v>
      </c>
      <c r="G19" s="65">
        <v>11826.23</v>
      </c>
      <c r="H19" s="54">
        <v>11826.23</v>
      </c>
      <c r="I19" s="54">
        <v>11819.25</v>
      </c>
      <c r="J19" s="54">
        <v>11656.32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47128.03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10806.47</v>
      </c>
      <c r="AH19" s="67">
        <v>10806.47</v>
      </c>
      <c r="AI19" s="67">
        <v>14596.35</v>
      </c>
      <c r="AJ19" s="67">
        <v>10931.52</v>
      </c>
      <c r="AK19" s="67">
        <v>11375.7</v>
      </c>
      <c r="AL19" s="67">
        <v>11361.04</v>
      </c>
      <c r="AM19" s="67">
        <v>11313</v>
      </c>
      <c r="AN19" s="67">
        <v>11326.72</v>
      </c>
      <c r="AO19" s="67">
        <v>11352.43</v>
      </c>
      <c r="AP19" s="67">
        <v>11637.06</v>
      </c>
      <c r="AQ19" s="67">
        <v>11494.42</v>
      </c>
      <c r="AR19" s="67">
        <v>12135.89</v>
      </c>
      <c r="AS19" s="68">
        <v>47140.81</v>
      </c>
      <c r="AT19" s="63"/>
      <c r="AU19" s="63">
        <v>99.972889731848056</v>
      </c>
    </row>
    <row r="20" spans="1:47" ht="12.75" hidden="1" customHeight="1" outlineLevel="1" x14ac:dyDescent="0.2">
      <c r="A20" s="61" t="s">
        <v>109</v>
      </c>
      <c r="B20" s="62">
        <v>713.28</v>
      </c>
      <c r="C20" s="54">
        <v>0</v>
      </c>
      <c r="D20" s="54">
        <v>0</v>
      </c>
      <c r="E20" s="63"/>
      <c r="F20" s="64"/>
      <c r="G20" s="65">
        <v>0</v>
      </c>
      <c r="H20" s="54">
        <v>3615</v>
      </c>
      <c r="I20" s="54">
        <v>6450.95</v>
      </c>
      <c r="J20" s="54">
        <v>713.28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66">
        <v>10779.23</v>
      </c>
      <c r="T20" s="54">
        <v>0</v>
      </c>
      <c r="U20" s="54">
        <v>0</v>
      </c>
      <c r="V20" s="54">
        <v>0</v>
      </c>
      <c r="W20" s="54">
        <v>0</v>
      </c>
      <c r="X20" s="54">
        <v>0</v>
      </c>
      <c r="Y20" s="54">
        <v>0</v>
      </c>
      <c r="Z20" s="54">
        <v>0</v>
      </c>
      <c r="AA20" s="54">
        <v>0</v>
      </c>
      <c r="AB20" s="54">
        <v>0</v>
      </c>
      <c r="AC20" s="54">
        <v>0</v>
      </c>
      <c r="AD20" s="54">
        <v>0</v>
      </c>
      <c r="AE20" s="54">
        <v>0</v>
      </c>
      <c r="AF20" s="66">
        <v>0</v>
      </c>
      <c r="AG20" s="67">
        <v>1903.43</v>
      </c>
      <c r="AH20" s="67">
        <v>525</v>
      </c>
      <c r="AI20" s="67">
        <v>1531.79</v>
      </c>
      <c r="AJ20" s="67">
        <v>0</v>
      </c>
      <c r="AK20" s="67">
        <v>170</v>
      </c>
      <c r="AL20" s="67">
        <v>9051.99</v>
      </c>
      <c r="AM20" s="67">
        <v>260.44</v>
      </c>
      <c r="AN20" s="67">
        <v>890</v>
      </c>
      <c r="AO20" s="67">
        <v>4430</v>
      </c>
      <c r="AP20" s="67">
        <v>145</v>
      </c>
      <c r="AQ20" s="67">
        <v>1960</v>
      </c>
      <c r="AR20" s="67">
        <v>1025.67</v>
      </c>
      <c r="AS20" s="68">
        <v>3960.22</v>
      </c>
      <c r="AT20" s="63"/>
      <c r="AU20" s="63">
        <v>272.18765624131993</v>
      </c>
    </row>
    <row r="21" spans="1:47" ht="12.75" hidden="1" customHeight="1" outlineLevel="1" x14ac:dyDescent="0.2">
      <c r="A21" s="61" t="s">
        <v>97</v>
      </c>
      <c r="B21" s="62">
        <v>410</v>
      </c>
      <c r="C21" s="54">
        <v>0</v>
      </c>
      <c r="D21" s="54">
        <v>1402.67</v>
      </c>
      <c r="E21" s="63"/>
      <c r="F21" s="64">
        <v>29.229968559960646</v>
      </c>
      <c r="G21" s="65">
        <v>410</v>
      </c>
      <c r="H21" s="54">
        <v>410</v>
      </c>
      <c r="I21" s="54">
        <v>410</v>
      </c>
      <c r="J21" s="54">
        <v>410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66">
        <v>1640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4">
        <v>0</v>
      </c>
      <c r="AB21" s="54">
        <v>0</v>
      </c>
      <c r="AC21" s="54">
        <v>0</v>
      </c>
      <c r="AD21" s="54">
        <v>0</v>
      </c>
      <c r="AE21" s="54">
        <v>0</v>
      </c>
      <c r="AF21" s="66">
        <v>0</v>
      </c>
      <c r="AG21" s="67">
        <v>1333.67</v>
      </c>
      <c r="AH21" s="67">
        <v>1333.67</v>
      </c>
      <c r="AI21" s="67">
        <v>2923.79</v>
      </c>
      <c r="AJ21" s="67">
        <v>1402.67</v>
      </c>
      <c r="AK21" s="67">
        <v>1855.28</v>
      </c>
      <c r="AL21" s="67">
        <v>1812.67</v>
      </c>
      <c r="AM21" s="67">
        <v>490.91</v>
      </c>
      <c r="AN21" s="98">
        <v>-80.91</v>
      </c>
      <c r="AO21" s="67">
        <v>410</v>
      </c>
      <c r="AP21" s="67">
        <v>410</v>
      </c>
      <c r="AQ21" s="67">
        <v>410</v>
      </c>
      <c r="AR21" s="67">
        <v>1210</v>
      </c>
      <c r="AS21" s="68">
        <v>6993.8</v>
      </c>
      <c r="AT21" s="63"/>
      <c r="AU21" s="63">
        <v>23.449340844748207</v>
      </c>
    </row>
    <row r="22" spans="1:47" ht="12.75" hidden="1" customHeight="1" outlineLevel="1" x14ac:dyDescent="0.2">
      <c r="A22" s="61" t="s">
        <v>69</v>
      </c>
      <c r="B22" s="62">
        <v>5447.52</v>
      </c>
      <c r="C22" s="54">
        <v>0</v>
      </c>
      <c r="D22" s="54">
        <v>1029</v>
      </c>
      <c r="E22" s="63"/>
      <c r="F22" s="64">
        <v>529.39941690962098</v>
      </c>
      <c r="G22" s="65">
        <v>9305</v>
      </c>
      <c r="H22" s="54">
        <v>8806.2800000000007</v>
      </c>
      <c r="I22" s="54">
        <v>5234.78</v>
      </c>
      <c r="J22" s="54">
        <v>5447.52</v>
      </c>
      <c r="K22" s="54">
        <v>0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66">
        <v>28793.58</v>
      </c>
      <c r="T22" s="54">
        <v>0</v>
      </c>
      <c r="U22" s="54">
        <v>0</v>
      </c>
      <c r="V22" s="54">
        <v>0</v>
      </c>
      <c r="W22" s="54">
        <v>0</v>
      </c>
      <c r="X22" s="54">
        <v>0</v>
      </c>
      <c r="Y22" s="54">
        <v>0</v>
      </c>
      <c r="Z22" s="54">
        <v>0</v>
      </c>
      <c r="AA22" s="54">
        <v>0</v>
      </c>
      <c r="AB22" s="54">
        <v>0</v>
      </c>
      <c r="AC22" s="54">
        <v>0</v>
      </c>
      <c r="AD22" s="54">
        <v>0</v>
      </c>
      <c r="AE22" s="54">
        <v>0</v>
      </c>
      <c r="AF22" s="66">
        <v>0</v>
      </c>
      <c r="AG22" s="67">
        <v>530</v>
      </c>
      <c r="AH22" s="67">
        <v>6116</v>
      </c>
      <c r="AI22" s="67">
        <v>5555.19</v>
      </c>
      <c r="AJ22" s="67">
        <v>1029</v>
      </c>
      <c r="AK22" s="67">
        <v>1881.86</v>
      </c>
      <c r="AL22" s="67">
        <v>1156.82</v>
      </c>
      <c r="AM22" s="67">
        <v>3417.68</v>
      </c>
      <c r="AN22" s="98">
        <v>-2820.5</v>
      </c>
      <c r="AO22" s="67">
        <v>4359.55</v>
      </c>
      <c r="AP22" s="67">
        <v>4289.55</v>
      </c>
      <c r="AQ22" s="67">
        <v>14081</v>
      </c>
      <c r="AR22" s="67">
        <v>5236.1000000000004</v>
      </c>
      <c r="AS22" s="68">
        <v>13230.19</v>
      </c>
      <c r="AT22" s="63"/>
      <c r="AU22" s="63">
        <v>217.63542322521445</v>
      </c>
    </row>
    <row r="23" spans="1:47" ht="12.75" customHeight="1" collapsed="1" x14ac:dyDescent="0.2">
      <c r="A23" s="69" t="s">
        <v>70</v>
      </c>
      <c r="B23" s="70">
        <v>6570.8</v>
      </c>
      <c r="C23" s="71">
        <v>0</v>
      </c>
      <c r="D23" s="71">
        <v>2431.67</v>
      </c>
      <c r="E23" s="72"/>
      <c r="F23" s="73">
        <v>270.21758709035356</v>
      </c>
      <c r="G23" s="70">
        <v>9715</v>
      </c>
      <c r="H23" s="71">
        <v>12831.28</v>
      </c>
      <c r="I23" s="71">
        <v>12095.73</v>
      </c>
      <c r="J23" s="71">
        <v>6570.8</v>
      </c>
      <c r="K23" s="71">
        <v>0</v>
      </c>
      <c r="L23" s="71">
        <v>0</v>
      </c>
      <c r="M23" s="71">
        <v>0</v>
      </c>
      <c r="N23" s="71">
        <v>0</v>
      </c>
      <c r="O23" s="71">
        <v>0</v>
      </c>
      <c r="P23" s="71">
        <v>0</v>
      </c>
      <c r="Q23" s="71">
        <v>0</v>
      </c>
      <c r="R23" s="71">
        <v>0</v>
      </c>
      <c r="S23" s="71">
        <v>41212.81</v>
      </c>
      <c r="T23" s="71">
        <v>0</v>
      </c>
      <c r="U23" s="71">
        <v>0</v>
      </c>
      <c r="V23" s="71">
        <v>0</v>
      </c>
      <c r="W23" s="71">
        <v>0</v>
      </c>
      <c r="X23" s="71">
        <v>0</v>
      </c>
      <c r="Y23" s="71">
        <v>0</v>
      </c>
      <c r="Z23" s="71">
        <v>0</v>
      </c>
      <c r="AA23" s="71">
        <v>0</v>
      </c>
      <c r="AB23" s="71">
        <v>0</v>
      </c>
      <c r="AC23" s="71">
        <v>0</v>
      </c>
      <c r="AD23" s="71">
        <v>0</v>
      </c>
      <c r="AE23" s="71">
        <v>0</v>
      </c>
      <c r="AF23" s="71">
        <v>0</v>
      </c>
      <c r="AG23" s="75">
        <v>3767.1</v>
      </c>
      <c r="AH23" s="75">
        <v>7974.67</v>
      </c>
      <c r="AI23" s="75">
        <v>10010.77</v>
      </c>
      <c r="AJ23" s="75">
        <v>2431.67</v>
      </c>
      <c r="AK23" s="75">
        <v>3907.14</v>
      </c>
      <c r="AL23" s="75">
        <v>12021.48</v>
      </c>
      <c r="AM23" s="75">
        <v>4169.03</v>
      </c>
      <c r="AN23" s="134">
        <v>-2011.41</v>
      </c>
      <c r="AO23" s="75">
        <v>9199.5499999999993</v>
      </c>
      <c r="AP23" s="75">
        <v>4844.55</v>
      </c>
      <c r="AQ23" s="75">
        <v>16451</v>
      </c>
      <c r="AR23" s="75">
        <v>7471.77</v>
      </c>
      <c r="AS23" s="75">
        <v>24184.21</v>
      </c>
      <c r="AT23" s="72"/>
      <c r="AU23" s="72">
        <v>170.41205811560519</v>
      </c>
    </row>
    <row r="24" spans="1:47" ht="12.75" hidden="1" customHeight="1" outlineLevel="1" x14ac:dyDescent="0.2">
      <c r="A24" s="61" t="s">
        <v>174</v>
      </c>
      <c r="B24" s="62">
        <v>0</v>
      </c>
      <c r="C24" s="54">
        <v>0</v>
      </c>
      <c r="D24" s="54">
        <v>0</v>
      </c>
      <c r="E24" s="63"/>
      <c r="F24" s="64"/>
      <c r="G24" s="65">
        <v>0</v>
      </c>
      <c r="H24" s="54">
        <v>214.21</v>
      </c>
      <c r="I24" s="54">
        <v>0</v>
      </c>
      <c r="J24" s="54">
        <v>0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214.21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0</v>
      </c>
      <c r="AH24" s="67">
        <v>159</v>
      </c>
      <c r="AI24" s="98">
        <v>-522.79999999999995</v>
      </c>
      <c r="AJ24" s="67">
        <v>0</v>
      </c>
      <c r="AK24" s="67">
        <v>207.39</v>
      </c>
      <c r="AL24" s="67">
        <v>0</v>
      </c>
      <c r="AM24" s="67">
        <v>0</v>
      </c>
      <c r="AN24" s="67">
        <v>210.1</v>
      </c>
      <c r="AO24" s="67">
        <v>0</v>
      </c>
      <c r="AP24" s="67">
        <v>0</v>
      </c>
      <c r="AQ24" s="67">
        <v>214.21</v>
      </c>
      <c r="AR24" s="67">
        <v>0</v>
      </c>
      <c r="AS24" s="99">
        <v>-363.8</v>
      </c>
      <c r="AT24" s="63"/>
      <c r="AU24" s="63">
        <v>-58.881253435953823</v>
      </c>
    </row>
    <row r="25" spans="1:47" ht="12.75" hidden="1" customHeight="1" outlineLevel="1" x14ac:dyDescent="0.2">
      <c r="A25" s="61" t="s">
        <v>99</v>
      </c>
      <c r="B25" s="62">
        <v>0</v>
      </c>
      <c r="C25" s="54">
        <v>0</v>
      </c>
      <c r="D25" s="54">
        <v>2169.46</v>
      </c>
      <c r="E25" s="63"/>
      <c r="F25" s="64">
        <v>0</v>
      </c>
      <c r="G25" s="65">
        <v>0</v>
      </c>
      <c r="H25" s="54">
        <v>0</v>
      </c>
      <c r="I25" s="54">
        <v>0</v>
      </c>
      <c r="J25" s="54">
        <v>0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0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1303.74</v>
      </c>
      <c r="AH25" s="67">
        <v>1337.29</v>
      </c>
      <c r="AI25" s="67">
        <v>1871.42</v>
      </c>
      <c r="AJ25" s="67">
        <v>2169.46</v>
      </c>
      <c r="AK25" s="67">
        <v>3452.14</v>
      </c>
      <c r="AL25" s="67">
        <v>9219.2999999999993</v>
      </c>
      <c r="AM25" s="98">
        <v>-467.53</v>
      </c>
      <c r="AN25" s="98">
        <v>-3543.5</v>
      </c>
      <c r="AO25" s="67">
        <v>0</v>
      </c>
      <c r="AP25" s="67">
        <v>0</v>
      </c>
      <c r="AQ25" s="67">
        <v>0</v>
      </c>
      <c r="AR25" s="67">
        <v>0</v>
      </c>
      <c r="AS25" s="68">
        <v>6681.91</v>
      </c>
      <c r="AT25" s="63"/>
      <c r="AU25" s="63">
        <v>0</v>
      </c>
    </row>
    <row r="26" spans="1:47" ht="12.75" hidden="1" customHeight="1" outlineLevel="1" x14ac:dyDescent="0.2">
      <c r="A26" s="61" t="s">
        <v>175</v>
      </c>
      <c r="B26" s="62">
        <v>278.32</v>
      </c>
      <c r="C26" s="54">
        <v>0</v>
      </c>
      <c r="D26" s="54">
        <v>0</v>
      </c>
      <c r="E26" s="63"/>
      <c r="F26" s="64"/>
      <c r="G26" s="65">
        <v>0</v>
      </c>
      <c r="H26" s="54">
        <v>323.44</v>
      </c>
      <c r="I26" s="54">
        <v>0</v>
      </c>
      <c r="J26" s="54">
        <v>278.32</v>
      </c>
      <c r="K26" s="54">
        <v>0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601.76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0</v>
      </c>
      <c r="AH26" s="67">
        <v>223.99</v>
      </c>
      <c r="AI26" s="67">
        <v>24.75</v>
      </c>
      <c r="AJ26" s="67">
        <v>0</v>
      </c>
      <c r="AK26" s="67">
        <v>268.68</v>
      </c>
      <c r="AL26" s="67">
        <v>0</v>
      </c>
      <c r="AM26" s="67">
        <v>257.91000000000003</v>
      </c>
      <c r="AN26" s="67">
        <v>10.32</v>
      </c>
      <c r="AO26" s="67">
        <v>303.22000000000003</v>
      </c>
      <c r="AP26" s="67">
        <v>0</v>
      </c>
      <c r="AQ26" s="67">
        <v>326.64999999999998</v>
      </c>
      <c r="AR26" s="67">
        <v>0</v>
      </c>
      <c r="AS26" s="68">
        <v>248.74</v>
      </c>
      <c r="AT26" s="63"/>
      <c r="AU26" s="63">
        <v>241.92329339872958</v>
      </c>
    </row>
    <row r="27" spans="1:47" ht="12.75" hidden="1" customHeight="1" outlineLevel="1" x14ac:dyDescent="0.2">
      <c r="A27" s="61" t="s">
        <v>100</v>
      </c>
      <c r="B27" s="62">
        <v>3075.11</v>
      </c>
      <c r="C27" s="54">
        <v>0</v>
      </c>
      <c r="D27" s="54">
        <v>6602.75</v>
      </c>
      <c r="E27" s="63"/>
      <c r="F27" s="64">
        <v>46.573170269963271</v>
      </c>
      <c r="G27" s="97">
        <v>-2858</v>
      </c>
      <c r="H27" s="54">
        <v>4267.01</v>
      </c>
      <c r="I27" s="54">
        <v>3817.11</v>
      </c>
      <c r="J27" s="54">
        <v>3075.11</v>
      </c>
      <c r="K27" s="56">
        <v>-2123.52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8301.23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3913.91</v>
      </c>
      <c r="AH27" s="67">
        <v>3897.87</v>
      </c>
      <c r="AI27" s="67">
        <v>8965.16</v>
      </c>
      <c r="AJ27" s="67">
        <v>6602.75</v>
      </c>
      <c r="AK27" s="67">
        <v>5374.14</v>
      </c>
      <c r="AL27" s="67">
        <v>8173.99</v>
      </c>
      <c r="AM27" s="67">
        <v>43487.23</v>
      </c>
      <c r="AN27" s="67">
        <v>2584.6999999999998</v>
      </c>
      <c r="AO27" s="98">
        <v>-16707.75</v>
      </c>
      <c r="AP27" s="67">
        <v>47884.67</v>
      </c>
      <c r="AQ27" s="67">
        <v>42172.4</v>
      </c>
      <c r="AR27" s="67">
        <v>36122.43</v>
      </c>
      <c r="AS27" s="68">
        <v>23379.69</v>
      </c>
      <c r="AT27" s="63"/>
      <c r="AU27" s="63">
        <v>35.506159405877497</v>
      </c>
    </row>
    <row r="28" spans="1:47" ht="12.75" hidden="1" customHeight="1" outlineLevel="1" x14ac:dyDescent="0.2">
      <c r="A28" s="61" t="s">
        <v>101</v>
      </c>
      <c r="B28" s="62">
        <v>40.43</v>
      </c>
      <c r="C28" s="54">
        <v>0</v>
      </c>
      <c r="D28" s="54">
        <v>69.86</v>
      </c>
      <c r="E28" s="63"/>
      <c r="F28" s="64">
        <v>57.87288863441168</v>
      </c>
      <c r="G28" s="65">
        <v>77.650000000000006</v>
      </c>
      <c r="H28" s="54">
        <v>40.07</v>
      </c>
      <c r="I28" s="54">
        <v>65.069999999999993</v>
      </c>
      <c r="J28" s="54">
        <v>40.43</v>
      </c>
      <c r="K28" s="56">
        <v>-40.07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223.22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67.17</v>
      </c>
      <c r="AH28" s="67">
        <v>65.58</v>
      </c>
      <c r="AI28" s="67">
        <v>70.36</v>
      </c>
      <c r="AJ28" s="67">
        <v>69.86</v>
      </c>
      <c r="AK28" s="67">
        <v>56.13</v>
      </c>
      <c r="AL28" s="67">
        <v>43.57</v>
      </c>
      <c r="AM28" s="67">
        <v>12.5</v>
      </c>
      <c r="AN28" s="67">
        <v>0</v>
      </c>
      <c r="AO28" s="67">
        <v>85.44</v>
      </c>
      <c r="AP28" s="67">
        <v>46.01</v>
      </c>
      <c r="AQ28" s="67">
        <v>0</v>
      </c>
      <c r="AR28" s="67">
        <v>171.52</v>
      </c>
      <c r="AS28" s="68">
        <v>272.97000000000003</v>
      </c>
      <c r="AT28" s="63"/>
      <c r="AU28" s="63">
        <v>81.774553980290875</v>
      </c>
    </row>
    <row r="29" spans="1:47" ht="12.75" hidden="1" customHeight="1" outlineLevel="1" x14ac:dyDescent="0.2">
      <c r="A29" s="61" t="s">
        <v>176</v>
      </c>
      <c r="B29" s="62">
        <v>61.32</v>
      </c>
      <c r="C29" s="54">
        <v>0</v>
      </c>
      <c r="D29" s="54">
        <v>0</v>
      </c>
      <c r="E29" s="63"/>
      <c r="F29" s="64"/>
      <c r="G29" s="65">
        <v>70.8</v>
      </c>
      <c r="H29" s="54">
        <v>59.99</v>
      </c>
      <c r="I29" s="54">
        <v>57.82</v>
      </c>
      <c r="J29" s="54">
        <v>61.32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249.93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68.33</v>
      </c>
      <c r="AH29" s="67">
        <v>68.34</v>
      </c>
      <c r="AI29" s="67">
        <v>100</v>
      </c>
      <c r="AJ29" s="67">
        <v>0</v>
      </c>
      <c r="AK29" s="67">
        <v>44.96</v>
      </c>
      <c r="AL29" s="67">
        <v>44.96</v>
      </c>
      <c r="AM29" s="67">
        <v>161.58000000000001</v>
      </c>
      <c r="AN29" s="67">
        <v>117.73</v>
      </c>
      <c r="AO29" s="67">
        <v>0</v>
      </c>
      <c r="AP29" s="67">
        <v>0</v>
      </c>
      <c r="AQ29" s="67">
        <v>146.30000000000001</v>
      </c>
      <c r="AR29" s="67">
        <v>76.75</v>
      </c>
      <c r="AS29" s="68">
        <v>236.67</v>
      </c>
      <c r="AT29" s="63"/>
      <c r="AU29" s="63">
        <v>105.60273798960579</v>
      </c>
    </row>
    <row r="30" spans="1:47" ht="12.75" hidden="1" customHeight="1" outlineLevel="1" x14ac:dyDescent="0.2">
      <c r="A30" s="61" t="s">
        <v>102</v>
      </c>
      <c r="B30" s="62">
        <v>0</v>
      </c>
      <c r="C30" s="54">
        <v>0</v>
      </c>
      <c r="D30" s="54">
        <v>0</v>
      </c>
      <c r="E30" s="63"/>
      <c r="F30" s="64"/>
      <c r="G30" s="65">
        <v>0</v>
      </c>
      <c r="H30" s="54">
        <v>0</v>
      </c>
      <c r="I30" s="54">
        <v>0</v>
      </c>
      <c r="J30" s="54">
        <v>0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0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0</v>
      </c>
      <c r="AH30" s="67">
        <v>0</v>
      </c>
      <c r="AI30" s="67">
        <v>0</v>
      </c>
      <c r="AJ30" s="67">
        <v>0</v>
      </c>
      <c r="AK30" s="67">
        <v>0</v>
      </c>
      <c r="AL30" s="67">
        <v>0</v>
      </c>
      <c r="AM30" s="67">
        <v>0</v>
      </c>
      <c r="AN30" s="67">
        <v>0</v>
      </c>
      <c r="AO30" s="67">
        <v>0</v>
      </c>
      <c r="AP30" s="67">
        <v>0</v>
      </c>
      <c r="AQ30" s="67">
        <v>0</v>
      </c>
      <c r="AR30" s="67">
        <v>0</v>
      </c>
      <c r="AS30" s="68">
        <v>0</v>
      </c>
      <c r="AT30" s="63"/>
      <c r="AU30" s="63"/>
    </row>
    <row r="31" spans="1:47" ht="12.75" hidden="1" customHeight="1" outlineLevel="1" x14ac:dyDescent="0.2">
      <c r="A31" s="61" t="s">
        <v>75</v>
      </c>
      <c r="B31" s="62">
        <v>681.47</v>
      </c>
      <c r="C31" s="54">
        <v>0</v>
      </c>
      <c r="D31" s="54">
        <v>0</v>
      </c>
      <c r="E31" s="63"/>
      <c r="F31" s="64"/>
      <c r="G31" s="65">
        <v>0</v>
      </c>
      <c r="H31" s="54">
        <v>0</v>
      </c>
      <c r="I31" s="54">
        <v>0</v>
      </c>
      <c r="J31" s="54">
        <v>681.47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681.47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0</v>
      </c>
      <c r="AH31" s="67">
        <v>0</v>
      </c>
      <c r="AI31" s="67">
        <v>0</v>
      </c>
      <c r="AJ31" s="67">
        <v>0</v>
      </c>
      <c r="AK31" s="67">
        <v>0</v>
      </c>
      <c r="AL31" s="67">
        <v>850.46</v>
      </c>
      <c r="AM31" s="67">
        <v>5102.76</v>
      </c>
      <c r="AN31" s="67">
        <v>0</v>
      </c>
      <c r="AO31" s="67">
        <v>0</v>
      </c>
      <c r="AP31" s="67">
        <v>0</v>
      </c>
      <c r="AQ31" s="67">
        <v>0</v>
      </c>
      <c r="AR31" s="67">
        <v>0</v>
      </c>
      <c r="AS31" s="68">
        <v>0</v>
      </c>
      <c r="AT31" s="63"/>
      <c r="AU31" s="63"/>
    </row>
    <row r="32" spans="1:47" ht="12.75" hidden="1" customHeight="1" outlineLevel="1" x14ac:dyDescent="0.2">
      <c r="A32" s="61" t="s">
        <v>76</v>
      </c>
      <c r="B32" s="62">
        <v>616.51</v>
      </c>
      <c r="C32" s="54">
        <v>0</v>
      </c>
      <c r="D32" s="54">
        <v>1199.0899999999999</v>
      </c>
      <c r="E32" s="63"/>
      <c r="F32" s="64">
        <v>51.414822907371423</v>
      </c>
      <c r="G32" s="65">
        <v>1708.02</v>
      </c>
      <c r="H32" s="54">
        <v>663.66</v>
      </c>
      <c r="I32" s="54">
        <v>3400.82</v>
      </c>
      <c r="J32" s="54">
        <v>616.51</v>
      </c>
      <c r="K32" s="56">
        <v>-663.66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66">
        <v>6389.01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66">
        <v>0</v>
      </c>
      <c r="AG32" s="67">
        <v>1040.78</v>
      </c>
      <c r="AH32" s="67">
        <v>1044.46</v>
      </c>
      <c r="AI32" s="67">
        <v>1623.21</v>
      </c>
      <c r="AJ32" s="67">
        <v>1199.0899999999999</v>
      </c>
      <c r="AK32" s="67">
        <v>3562.72</v>
      </c>
      <c r="AL32" s="67">
        <v>7143.28</v>
      </c>
      <c r="AM32" s="67">
        <v>811.49</v>
      </c>
      <c r="AN32" s="98">
        <v>-1091.3800000000001</v>
      </c>
      <c r="AO32" s="67">
        <v>2748.88</v>
      </c>
      <c r="AP32" s="67">
        <v>1276.78</v>
      </c>
      <c r="AQ32" s="67">
        <v>932.51</v>
      </c>
      <c r="AR32" s="67">
        <v>2886.52</v>
      </c>
      <c r="AS32" s="68">
        <v>4907.54</v>
      </c>
      <c r="AT32" s="63"/>
      <c r="AU32" s="63">
        <v>130.18762964744047</v>
      </c>
    </row>
    <row r="33" spans="1:47" ht="12.75" hidden="1" customHeight="1" outlineLevel="1" x14ac:dyDescent="0.2">
      <c r="A33" s="61" t="s">
        <v>77</v>
      </c>
      <c r="B33" s="62">
        <v>983</v>
      </c>
      <c r="C33" s="54">
        <v>0</v>
      </c>
      <c r="D33" s="54">
        <v>983</v>
      </c>
      <c r="E33" s="63"/>
      <c r="F33" s="64">
        <v>100</v>
      </c>
      <c r="G33" s="65">
        <v>983</v>
      </c>
      <c r="H33" s="54">
        <v>983</v>
      </c>
      <c r="I33" s="54">
        <v>983</v>
      </c>
      <c r="J33" s="54">
        <v>983</v>
      </c>
      <c r="K33" s="54">
        <v>0</v>
      </c>
      <c r="L33" s="54">
        <v>0</v>
      </c>
      <c r="M33" s="54">
        <v>0</v>
      </c>
      <c r="N33" s="54">
        <v>0</v>
      </c>
      <c r="O33" s="54">
        <v>0</v>
      </c>
      <c r="P33" s="54">
        <v>0</v>
      </c>
      <c r="Q33" s="54">
        <v>0</v>
      </c>
      <c r="R33" s="54">
        <v>0</v>
      </c>
      <c r="S33" s="66">
        <v>3932</v>
      </c>
      <c r="T33" s="54">
        <v>0</v>
      </c>
      <c r="U33" s="54">
        <v>0</v>
      </c>
      <c r="V33" s="54">
        <v>0</v>
      </c>
      <c r="W33" s="54">
        <v>0</v>
      </c>
      <c r="X33" s="54">
        <v>0</v>
      </c>
      <c r="Y33" s="54">
        <v>0</v>
      </c>
      <c r="Z33" s="54">
        <v>0</v>
      </c>
      <c r="AA33" s="54">
        <v>0</v>
      </c>
      <c r="AB33" s="54">
        <v>0</v>
      </c>
      <c r="AC33" s="54">
        <v>0</v>
      </c>
      <c r="AD33" s="54">
        <v>0</v>
      </c>
      <c r="AE33" s="54">
        <v>0</v>
      </c>
      <c r="AF33" s="66">
        <v>0</v>
      </c>
      <c r="AG33" s="67">
        <v>808.33</v>
      </c>
      <c r="AH33" s="67">
        <v>808.33</v>
      </c>
      <c r="AI33" s="67">
        <v>983</v>
      </c>
      <c r="AJ33" s="67">
        <v>983</v>
      </c>
      <c r="AK33" s="67">
        <v>983</v>
      </c>
      <c r="AL33" s="67">
        <v>983</v>
      </c>
      <c r="AM33" s="67">
        <v>983</v>
      </c>
      <c r="AN33" s="67">
        <v>983</v>
      </c>
      <c r="AO33" s="67">
        <v>983</v>
      </c>
      <c r="AP33" s="67">
        <v>983</v>
      </c>
      <c r="AQ33" s="67">
        <v>983</v>
      </c>
      <c r="AR33" s="67">
        <v>983</v>
      </c>
      <c r="AS33" s="68">
        <v>3582.66</v>
      </c>
      <c r="AT33" s="63"/>
      <c r="AU33" s="63">
        <v>109.75085550959344</v>
      </c>
    </row>
    <row r="34" spans="1:47" ht="12.75" customHeight="1" collapsed="1" x14ac:dyDescent="0.2">
      <c r="A34" s="69" t="s">
        <v>177</v>
      </c>
      <c r="B34" s="70">
        <v>5736.16</v>
      </c>
      <c r="C34" s="71">
        <v>0</v>
      </c>
      <c r="D34" s="71">
        <v>11024.16</v>
      </c>
      <c r="E34" s="72"/>
      <c r="F34" s="73">
        <v>52.032626522111435</v>
      </c>
      <c r="G34" s="133">
        <v>-18.53</v>
      </c>
      <c r="H34" s="71">
        <v>6551.38</v>
      </c>
      <c r="I34" s="71">
        <v>8323.82</v>
      </c>
      <c r="J34" s="71">
        <v>5736.16</v>
      </c>
      <c r="K34" s="74">
        <v>-2827.25</v>
      </c>
      <c r="L34" s="71">
        <v>0</v>
      </c>
      <c r="M34" s="71">
        <v>0</v>
      </c>
      <c r="N34" s="71">
        <v>0</v>
      </c>
      <c r="O34" s="71">
        <v>0</v>
      </c>
      <c r="P34" s="71">
        <v>0</v>
      </c>
      <c r="Q34" s="71">
        <v>0</v>
      </c>
      <c r="R34" s="71">
        <v>0</v>
      </c>
      <c r="S34" s="71">
        <v>20592.830000000002</v>
      </c>
      <c r="T34" s="71">
        <v>0</v>
      </c>
      <c r="U34" s="71">
        <v>0</v>
      </c>
      <c r="V34" s="71">
        <v>0</v>
      </c>
      <c r="W34" s="71">
        <v>0</v>
      </c>
      <c r="X34" s="71">
        <v>0</v>
      </c>
      <c r="Y34" s="71">
        <v>0</v>
      </c>
      <c r="Z34" s="71">
        <v>0</v>
      </c>
      <c r="AA34" s="71">
        <v>0</v>
      </c>
      <c r="AB34" s="71">
        <v>0</v>
      </c>
      <c r="AC34" s="71">
        <v>0</v>
      </c>
      <c r="AD34" s="71">
        <v>0</v>
      </c>
      <c r="AE34" s="71">
        <v>0</v>
      </c>
      <c r="AF34" s="71">
        <v>0</v>
      </c>
      <c r="AG34" s="75">
        <v>7202.26</v>
      </c>
      <c r="AH34" s="75">
        <v>7604.86</v>
      </c>
      <c r="AI34" s="75">
        <v>13115.1</v>
      </c>
      <c r="AJ34" s="75">
        <v>11024.16</v>
      </c>
      <c r="AK34" s="75">
        <v>13949.16</v>
      </c>
      <c r="AL34" s="75">
        <v>26458.560000000001</v>
      </c>
      <c r="AM34" s="75">
        <v>50348.94</v>
      </c>
      <c r="AN34" s="134">
        <v>-729.03</v>
      </c>
      <c r="AO34" s="134">
        <v>-12587.21</v>
      </c>
      <c r="AP34" s="75">
        <v>50190.46</v>
      </c>
      <c r="AQ34" s="75">
        <v>44775.07</v>
      </c>
      <c r="AR34" s="75">
        <v>40240.22</v>
      </c>
      <c r="AS34" s="75">
        <v>38946.379999999997</v>
      </c>
      <c r="AT34" s="72"/>
      <c r="AU34" s="72">
        <v>52.874824309730457</v>
      </c>
    </row>
    <row r="35" spans="1:47" ht="12.75" hidden="1" customHeight="1" outlineLevel="1" x14ac:dyDescent="0.2">
      <c r="A35" s="61" t="s">
        <v>178</v>
      </c>
      <c r="B35" s="62">
        <v>0</v>
      </c>
      <c r="C35" s="54">
        <v>0</v>
      </c>
      <c r="D35" s="54">
        <v>0</v>
      </c>
      <c r="E35" s="63"/>
      <c r="F35" s="64"/>
      <c r="G35" s="65">
        <v>0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0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0</v>
      </c>
      <c r="AH35" s="67">
        <v>0</v>
      </c>
      <c r="AI35" s="67">
        <v>0</v>
      </c>
      <c r="AJ35" s="67">
        <v>0</v>
      </c>
      <c r="AK35" s="67">
        <v>0</v>
      </c>
      <c r="AL35" s="67">
        <v>0</v>
      </c>
      <c r="AM35" s="67">
        <v>0</v>
      </c>
      <c r="AN35" s="67">
        <v>0</v>
      </c>
      <c r="AO35" s="67">
        <v>0</v>
      </c>
      <c r="AP35" s="67">
        <v>0</v>
      </c>
      <c r="AQ35" s="67">
        <v>0</v>
      </c>
      <c r="AR35" s="67">
        <v>0</v>
      </c>
      <c r="AS35" s="68">
        <v>0</v>
      </c>
      <c r="AT35" s="63"/>
      <c r="AU35" s="63"/>
    </row>
    <row r="36" spans="1:47" ht="12.75" hidden="1" customHeight="1" outlineLevel="1" x14ac:dyDescent="0.2">
      <c r="A36" s="61" t="s">
        <v>179</v>
      </c>
      <c r="B36" s="62">
        <v>1370.01</v>
      </c>
      <c r="C36" s="54">
        <v>0</v>
      </c>
      <c r="D36" s="54">
        <v>127</v>
      </c>
      <c r="E36" s="63"/>
      <c r="F36" s="64">
        <v>1078.748031496063</v>
      </c>
      <c r="G36" s="65">
        <v>828.57</v>
      </c>
      <c r="H36" s="54">
        <v>1118.0999999999999</v>
      </c>
      <c r="I36" s="54">
        <v>1001.8</v>
      </c>
      <c r="J36" s="54">
        <v>1370.01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4318.4799999999996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>
        <v>127</v>
      </c>
      <c r="AH36" s="67">
        <v>127</v>
      </c>
      <c r="AI36" s="67">
        <v>127</v>
      </c>
      <c r="AJ36" s="67">
        <v>127</v>
      </c>
      <c r="AK36" s="67">
        <v>127</v>
      </c>
      <c r="AL36" s="67">
        <v>127</v>
      </c>
      <c r="AM36" s="67">
        <v>127</v>
      </c>
      <c r="AN36" s="67">
        <v>127</v>
      </c>
      <c r="AO36" s="67">
        <v>211.67</v>
      </c>
      <c r="AP36" s="67">
        <v>211.67</v>
      </c>
      <c r="AQ36" s="67">
        <v>211.67</v>
      </c>
      <c r="AR36" s="67">
        <v>211.67</v>
      </c>
      <c r="AS36" s="68">
        <v>508</v>
      </c>
      <c r="AT36" s="63"/>
      <c r="AU36" s="63">
        <v>850.09448818897636</v>
      </c>
    </row>
    <row r="37" spans="1:47" ht="12.75" hidden="1" customHeight="1" outlineLevel="1" x14ac:dyDescent="0.2">
      <c r="A37" s="61" t="s">
        <v>180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0</v>
      </c>
      <c r="AM37" s="67">
        <v>0</v>
      </c>
      <c r="AN37" s="67">
        <v>0</v>
      </c>
      <c r="AO37" s="67">
        <v>0</v>
      </c>
      <c r="AP37" s="67">
        <v>0</v>
      </c>
      <c r="AQ37" s="67">
        <v>0</v>
      </c>
      <c r="AR37" s="67">
        <v>0</v>
      </c>
      <c r="AS37" s="68">
        <v>0</v>
      </c>
      <c r="AT37" s="63"/>
      <c r="AU37" s="63"/>
    </row>
    <row r="38" spans="1:47" ht="12.75" hidden="1" customHeight="1" outlineLevel="1" x14ac:dyDescent="0.2">
      <c r="A38" s="61" t="s">
        <v>181</v>
      </c>
      <c r="B38" s="62">
        <v>0</v>
      </c>
      <c r="C38" s="54">
        <v>0</v>
      </c>
      <c r="D38" s="54">
        <v>0</v>
      </c>
      <c r="E38" s="63"/>
      <c r="F38" s="64"/>
      <c r="G38" s="65">
        <v>0</v>
      </c>
      <c r="H38" s="54">
        <v>0</v>
      </c>
      <c r="I38" s="54">
        <v>0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0</v>
      </c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0</v>
      </c>
      <c r="Z38" s="54">
        <v>0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66">
        <v>0</v>
      </c>
      <c r="AG38" s="67">
        <v>0</v>
      </c>
      <c r="AH38" s="67">
        <v>0</v>
      </c>
      <c r="AI38" s="67">
        <v>0</v>
      </c>
      <c r="AJ38" s="67">
        <v>0</v>
      </c>
      <c r="AK38" s="67">
        <v>0</v>
      </c>
      <c r="AL38" s="67">
        <v>0</v>
      </c>
      <c r="AM38" s="67">
        <v>0</v>
      </c>
      <c r="AN38" s="67">
        <v>0</v>
      </c>
      <c r="AO38" s="67">
        <v>0</v>
      </c>
      <c r="AP38" s="67">
        <v>0</v>
      </c>
      <c r="AQ38" s="67">
        <v>0</v>
      </c>
      <c r="AR38" s="67">
        <v>0</v>
      </c>
      <c r="AS38" s="68">
        <v>0</v>
      </c>
      <c r="AT38" s="63"/>
      <c r="AU38" s="63"/>
    </row>
    <row r="39" spans="1:47" ht="12.75" hidden="1" customHeight="1" outlineLevel="1" x14ac:dyDescent="0.2">
      <c r="A39" s="61" t="s">
        <v>182</v>
      </c>
      <c r="B39" s="62">
        <v>0</v>
      </c>
      <c r="C39" s="54">
        <v>0</v>
      </c>
      <c r="D39" s="54">
        <v>0</v>
      </c>
      <c r="E39" s="63"/>
      <c r="F39" s="64"/>
      <c r="G39" s="65">
        <v>0</v>
      </c>
      <c r="H39" s="54">
        <v>0</v>
      </c>
      <c r="I39" s="54">
        <v>0</v>
      </c>
      <c r="J39" s="54">
        <v>0</v>
      </c>
      <c r="K39" s="54">
        <v>0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66">
        <v>0</v>
      </c>
      <c r="T39" s="54">
        <v>0</v>
      </c>
      <c r="U39" s="54">
        <v>0</v>
      </c>
      <c r="V39" s="54">
        <v>0</v>
      </c>
      <c r="W39" s="54">
        <v>0</v>
      </c>
      <c r="X39" s="54">
        <v>0</v>
      </c>
      <c r="Y39" s="54">
        <v>0</v>
      </c>
      <c r="Z39" s="54">
        <v>0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66">
        <v>0</v>
      </c>
      <c r="AG39" s="67">
        <v>0</v>
      </c>
      <c r="AH39" s="67">
        <v>0</v>
      </c>
      <c r="AI39" s="67">
        <v>0</v>
      </c>
      <c r="AJ39" s="67">
        <v>0</v>
      </c>
      <c r="AK39" s="67">
        <v>0</v>
      </c>
      <c r="AL39" s="67">
        <v>0</v>
      </c>
      <c r="AM39" s="67">
        <v>0</v>
      </c>
      <c r="AN39" s="67">
        <v>0</v>
      </c>
      <c r="AO39" s="67">
        <v>0</v>
      </c>
      <c r="AP39" s="67">
        <v>0</v>
      </c>
      <c r="AQ39" s="67">
        <v>0</v>
      </c>
      <c r="AR39" s="67">
        <v>0</v>
      </c>
      <c r="AS39" s="68">
        <v>0</v>
      </c>
      <c r="AT39" s="63"/>
      <c r="AU39" s="63"/>
    </row>
    <row r="40" spans="1:47" ht="12.75" hidden="1" customHeight="1" outlineLevel="1" x14ac:dyDescent="0.2">
      <c r="A40" s="61" t="s">
        <v>183</v>
      </c>
      <c r="B40" s="62">
        <v>0</v>
      </c>
      <c r="C40" s="54">
        <v>0</v>
      </c>
      <c r="D40" s="54">
        <v>0</v>
      </c>
      <c r="E40" s="63"/>
      <c r="F40" s="64"/>
      <c r="G40" s="65">
        <v>0</v>
      </c>
      <c r="H40" s="54">
        <v>0</v>
      </c>
      <c r="I40" s="54">
        <v>0</v>
      </c>
      <c r="J40" s="54">
        <v>0</v>
      </c>
      <c r="K40" s="54">
        <v>0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66">
        <v>0</v>
      </c>
      <c r="T40" s="54">
        <v>0</v>
      </c>
      <c r="U40" s="54">
        <v>0</v>
      </c>
      <c r="V40" s="54">
        <v>0</v>
      </c>
      <c r="W40" s="54">
        <v>0</v>
      </c>
      <c r="X40" s="54">
        <v>0</v>
      </c>
      <c r="Y40" s="54">
        <v>0</v>
      </c>
      <c r="Z40" s="54">
        <v>0</v>
      </c>
      <c r="AA40" s="54">
        <v>0</v>
      </c>
      <c r="AB40" s="54">
        <v>0</v>
      </c>
      <c r="AC40" s="54">
        <v>0</v>
      </c>
      <c r="AD40" s="54">
        <v>0</v>
      </c>
      <c r="AE40" s="54">
        <v>0</v>
      </c>
      <c r="AF40" s="66">
        <v>0</v>
      </c>
      <c r="AG40" s="67">
        <v>0</v>
      </c>
      <c r="AH40" s="67">
        <v>0</v>
      </c>
      <c r="AI40" s="67">
        <v>0</v>
      </c>
      <c r="AJ40" s="67">
        <v>0</v>
      </c>
      <c r="AK40" s="67">
        <v>0</v>
      </c>
      <c r="AL40" s="67">
        <v>0</v>
      </c>
      <c r="AM40" s="67">
        <v>0</v>
      </c>
      <c r="AN40" s="67">
        <v>0</v>
      </c>
      <c r="AO40" s="67">
        <v>659.64</v>
      </c>
      <c r="AP40" s="98">
        <v>-297.49</v>
      </c>
      <c r="AQ40" s="98">
        <v>-270.51</v>
      </c>
      <c r="AR40" s="67">
        <v>0</v>
      </c>
      <c r="AS40" s="68">
        <v>0</v>
      </c>
      <c r="AT40" s="63"/>
      <c r="AU40" s="63"/>
    </row>
    <row r="41" spans="1:47" ht="12.75" hidden="1" customHeight="1" outlineLevel="1" x14ac:dyDescent="0.2">
      <c r="A41" s="61" t="s">
        <v>184</v>
      </c>
      <c r="B41" s="62">
        <v>0</v>
      </c>
      <c r="C41" s="54">
        <v>0</v>
      </c>
      <c r="D41" s="54">
        <v>0</v>
      </c>
      <c r="E41" s="63"/>
      <c r="F41" s="64"/>
      <c r="G41" s="65">
        <v>0</v>
      </c>
      <c r="H41" s="54">
        <v>0</v>
      </c>
      <c r="I41" s="54">
        <v>0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66">
        <v>0</v>
      </c>
      <c r="T41" s="54">
        <v>0</v>
      </c>
      <c r="U41" s="54">
        <v>0</v>
      </c>
      <c r="V41" s="54">
        <v>0</v>
      </c>
      <c r="W41" s="54">
        <v>0</v>
      </c>
      <c r="X41" s="54">
        <v>0</v>
      </c>
      <c r="Y41" s="54">
        <v>0</v>
      </c>
      <c r="Z41" s="54">
        <v>0</v>
      </c>
      <c r="AA41" s="54">
        <v>0</v>
      </c>
      <c r="AB41" s="54">
        <v>0</v>
      </c>
      <c r="AC41" s="54">
        <v>0</v>
      </c>
      <c r="AD41" s="54">
        <v>0</v>
      </c>
      <c r="AE41" s="54">
        <v>0</v>
      </c>
      <c r="AF41" s="66">
        <v>0</v>
      </c>
      <c r="AG41" s="67">
        <v>0</v>
      </c>
      <c r="AH41" s="67">
        <v>0</v>
      </c>
      <c r="AI41" s="67">
        <v>0</v>
      </c>
      <c r="AJ41" s="67">
        <v>0</v>
      </c>
      <c r="AK41" s="67">
        <v>0</v>
      </c>
      <c r="AL41" s="67">
        <v>0</v>
      </c>
      <c r="AM41" s="67">
        <v>0</v>
      </c>
      <c r="AN41" s="67">
        <v>0</v>
      </c>
      <c r="AO41" s="67">
        <v>0</v>
      </c>
      <c r="AP41" s="67">
        <v>0</v>
      </c>
      <c r="AQ41" s="67">
        <v>0</v>
      </c>
      <c r="AR41" s="67">
        <v>0</v>
      </c>
      <c r="AS41" s="68">
        <v>0</v>
      </c>
      <c r="AT41" s="63"/>
      <c r="AU41" s="63"/>
    </row>
    <row r="42" spans="1:47" ht="12.75" hidden="1" customHeight="1" outlineLevel="1" x14ac:dyDescent="0.2">
      <c r="A42" s="61" t="s">
        <v>185</v>
      </c>
      <c r="B42" s="62">
        <v>0</v>
      </c>
      <c r="C42" s="54">
        <v>0</v>
      </c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0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0</v>
      </c>
      <c r="AS42" s="68">
        <v>0</v>
      </c>
      <c r="AT42" s="63"/>
      <c r="AU42" s="63"/>
    </row>
    <row r="43" spans="1:47" ht="12.75" hidden="1" customHeight="1" outlineLevel="1" x14ac:dyDescent="0.2">
      <c r="A43" s="61" t="s">
        <v>186</v>
      </c>
      <c r="B43" s="62">
        <v>0</v>
      </c>
      <c r="C43" s="54">
        <v>0</v>
      </c>
      <c r="D43" s="54">
        <v>0</v>
      </c>
      <c r="E43" s="63"/>
      <c r="F43" s="64"/>
      <c r="G43" s="65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66">
        <v>0</v>
      </c>
      <c r="T43" s="54">
        <v>0</v>
      </c>
      <c r="U43" s="54">
        <v>0</v>
      </c>
      <c r="V43" s="54">
        <v>0</v>
      </c>
      <c r="W43" s="54">
        <v>0</v>
      </c>
      <c r="X43" s="54">
        <v>0</v>
      </c>
      <c r="Y43" s="54">
        <v>0</v>
      </c>
      <c r="Z43" s="54">
        <v>0</v>
      </c>
      <c r="AA43" s="54">
        <v>0</v>
      </c>
      <c r="AB43" s="54">
        <v>0</v>
      </c>
      <c r="AC43" s="54">
        <v>0</v>
      </c>
      <c r="AD43" s="54">
        <v>0</v>
      </c>
      <c r="AE43" s="54">
        <v>0</v>
      </c>
      <c r="AF43" s="66">
        <v>0</v>
      </c>
      <c r="AG43" s="67">
        <v>0</v>
      </c>
      <c r="AH43" s="67">
        <v>0</v>
      </c>
      <c r="AI43" s="67">
        <v>0</v>
      </c>
      <c r="AJ43" s="67">
        <v>0</v>
      </c>
      <c r="AK43" s="67">
        <v>0</v>
      </c>
      <c r="AL43" s="67">
        <v>0</v>
      </c>
      <c r="AM43" s="67">
        <v>0</v>
      </c>
      <c r="AN43" s="67">
        <v>0</v>
      </c>
      <c r="AO43" s="67">
        <v>0</v>
      </c>
      <c r="AP43" s="67">
        <v>0</v>
      </c>
      <c r="AQ43" s="67">
        <v>0</v>
      </c>
      <c r="AR43" s="67">
        <v>0</v>
      </c>
      <c r="AS43" s="68">
        <v>0</v>
      </c>
      <c r="AT43" s="63"/>
      <c r="AU43" s="63"/>
    </row>
    <row r="44" spans="1:47" ht="12.75" hidden="1" customHeight="1" outlineLevel="1" x14ac:dyDescent="0.2">
      <c r="A44" s="61" t="s">
        <v>187</v>
      </c>
      <c r="B44" s="62">
        <v>0</v>
      </c>
      <c r="C44" s="54">
        <v>0</v>
      </c>
      <c r="D44" s="54">
        <v>0</v>
      </c>
      <c r="E44" s="63"/>
      <c r="F44" s="64"/>
      <c r="G44" s="65">
        <v>0</v>
      </c>
      <c r="H44" s="54">
        <v>0</v>
      </c>
      <c r="I44" s="54">
        <v>0</v>
      </c>
      <c r="J44" s="54">
        <v>0</v>
      </c>
      <c r="K44" s="54">
        <v>0</v>
      </c>
      <c r="L44" s="54">
        <v>0</v>
      </c>
      <c r="M44" s="54">
        <v>0</v>
      </c>
      <c r="N44" s="54">
        <v>0</v>
      </c>
      <c r="O44" s="54">
        <v>0</v>
      </c>
      <c r="P44" s="54">
        <v>0</v>
      </c>
      <c r="Q44" s="54">
        <v>0</v>
      </c>
      <c r="R44" s="54">
        <v>0</v>
      </c>
      <c r="S44" s="66">
        <v>0</v>
      </c>
      <c r="T44" s="54">
        <v>0</v>
      </c>
      <c r="U44" s="54">
        <v>0</v>
      </c>
      <c r="V44" s="54">
        <v>0</v>
      </c>
      <c r="W44" s="54">
        <v>0</v>
      </c>
      <c r="X44" s="54">
        <v>0</v>
      </c>
      <c r="Y44" s="54">
        <v>0</v>
      </c>
      <c r="Z44" s="54">
        <v>0</v>
      </c>
      <c r="AA44" s="54">
        <v>0</v>
      </c>
      <c r="AB44" s="54">
        <v>0</v>
      </c>
      <c r="AC44" s="54">
        <v>0</v>
      </c>
      <c r="AD44" s="54">
        <v>0</v>
      </c>
      <c r="AE44" s="54">
        <v>0</v>
      </c>
      <c r="AF44" s="66">
        <v>0</v>
      </c>
      <c r="AG44" s="67">
        <v>0</v>
      </c>
      <c r="AH44" s="67">
        <v>0</v>
      </c>
      <c r="AI44" s="67">
        <v>0</v>
      </c>
      <c r="AJ44" s="67">
        <v>0</v>
      </c>
      <c r="AK44" s="67">
        <v>0</v>
      </c>
      <c r="AL44" s="67">
        <v>0</v>
      </c>
      <c r="AM44" s="67">
        <v>0</v>
      </c>
      <c r="AN44" s="67">
        <v>0</v>
      </c>
      <c r="AO44" s="67">
        <v>0</v>
      </c>
      <c r="AP44" s="67">
        <v>0</v>
      </c>
      <c r="AQ44" s="67">
        <v>0</v>
      </c>
      <c r="AR44" s="67">
        <v>0</v>
      </c>
      <c r="AS44" s="68">
        <v>0</v>
      </c>
      <c r="AT44" s="63"/>
      <c r="AU44" s="63"/>
    </row>
    <row r="45" spans="1:47" ht="12.75" hidden="1" customHeight="1" outlineLevel="1" x14ac:dyDescent="0.2">
      <c r="A45" s="61" t="s">
        <v>188</v>
      </c>
      <c r="B45" s="62"/>
      <c r="C45" s="54">
        <v>0</v>
      </c>
      <c r="D45" s="54"/>
      <c r="E45" s="63"/>
      <c r="F45" s="64"/>
      <c r="G45" s="65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66"/>
      <c r="T45" s="54">
        <v>0</v>
      </c>
      <c r="U45" s="54">
        <v>0</v>
      </c>
      <c r="V45" s="54">
        <v>0</v>
      </c>
      <c r="W45" s="54">
        <v>0</v>
      </c>
      <c r="X45" s="54">
        <v>0</v>
      </c>
      <c r="Y45" s="54">
        <v>0</v>
      </c>
      <c r="Z45" s="54">
        <v>0</v>
      </c>
      <c r="AA45" s="54">
        <v>0</v>
      </c>
      <c r="AB45" s="54">
        <v>0</v>
      </c>
      <c r="AC45" s="54">
        <v>0</v>
      </c>
      <c r="AD45" s="54">
        <v>0</v>
      </c>
      <c r="AE45" s="54">
        <v>0</v>
      </c>
      <c r="AF45" s="66">
        <v>0</v>
      </c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8"/>
      <c r="AT45" s="63"/>
      <c r="AU45" s="63"/>
    </row>
    <row r="46" spans="1:47" ht="12.75" hidden="1" customHeight="1" outlineLevel="1" x14ac:dyDescent="0.2">
      <c r="A46" s="61" t="s">
        <v>189</v>
      </c>
      <c r="B46" s="62"/>
      <c r="C46" s="54">
        <v>0</v>
      </c>
      <c r="D46" s="54"/>
      <c r="E46" s="63"/>
      <c r="F46" s="64"/>
      <c r="G46" s="65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66"/>
      <c r="T46" s="54">
        <v>0</v>
      </c>
      <c r="U46" s="54">
        <v>0</v>
      </c>
      <c r="V46" s="54">
        <v>0</v>
      </c>
      <c r="W46" s="54">
        <v>0</v>
      </c>
      <c r="X46" s="54">
        <v>0</v>
      </c>
      <c r="Y46" s="54">
        <v>0</v>
      </c>
      <c r="Z46" s="54">
        <v>0</v>
      </c>
      <c r="AA46" s="54">
        <v>0</v>
      </c>
      <c r="AB46" s="54">
        <v>0</v>
      </c>
      <c r="AC46" s="54">
        <v>0</v>
      </c>
      <c r="AD46" s="54">
        <v>0</v>
      </c>
      <c r="AE46" s="54">
        <v>0</v>
      </c>
      <c r="AF46" s="66">
        <v>0</v>
      </c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8"/>
      <c r="AT46" s="63"/>
      <c r="AU46" s="63"/>
    </row>
    <row r="47" spans="1:47" ht="12.75" hidden="1" customHeight="1" outlineLevel="1" x14ac:dyDescent="0.2">
      <c r="A47" s="61" t="s">
        <v>190</v>
      </c>
      <c r="B47" s="62">
        <v>0</v>
      </c>
      <c r="C47" s="54">
        <v>0</v>
      </c>
      <c r="D47" s="54">
        <v>18.23</v>
      </c>
      <c r="E47" s="63"/>
      <c r="F47" s="64">
        <v>0</v>
      </c>
      <c r="G47" s="65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54">
        <v>0</v>
      </c>
      <c r="N47" s="54">
        <v>0</v>
      </c>
      <c r="O47" s="54">
        <v>0</v>
      </c>
      <c r="P47" s="54">
        <v>0</v>
      </c>
      <c r="Q47" s="54">
        <v>0</v>
      </c>
      <c r="R47" s="54">
        <v>0</v>
      </c>
      <c r="S47" s="66">
        <v>0</v>
      </c>
      <c r="T47" s="54">
        <v>0</v>
      </c>
      <c r="U47" s="54">
        <v>0</v>
      </c>
      <c r="V47" s="54">
        <v>0</v>
      </c>
      <c r="W47" s="54">
        <v>0</v>
      </c>
      <c r="X47" s="54">
        <v>0</v>
      </c>
      <c r="Y47" s="54">
        <v>0</v>
      </c>
      <c r="Z47" s="54">
        <v>0</v>
      </c>
      <c r="AA47" s="54">
        <v>0</v>
      </c>
      <c r="AB47" s="54">
        <v>0</v>
      </c>
      <c r="AC47" s="54">
        <v>0</v>
      </c>
      <c r="AD47" s="54">
        <v>0</v>
      </c>
      <c r="AE47" s="54">
        <v>0</v>
      </c>
      <c r="AF47" s="66">
        <v>0</v>
      </c>
      <c r="AG47" s="67">
        <v>0</v>
      </c>
      <c r="AH47" s="67">
        <v>0</v>
      </c>
      <c r="AI47" s="67">
        <v>0</v>
      </c>
      <c r="AJ47" s="67">
        <v>18.23</v>
      </c>
      <c r="AK47" s="67">
        <v>0</v>
      </c>
      <c r="AL47" s="67">
        <v>0</v>
      </c>
      <c r="AM47" s="67">
        <v>0</v>
      </c>
      <c r="AN47" s="67">
        <v>0</v>
      </c>
      <c r="AO47" s="67">
        <v>0</v>
      </c>
      <c r="AP47" s="67">
        <v>0</v>
      </c>
      <c r="AQ47" s="67">
        <v>0</v>
      </c>
      <c r="AR47" s="67">
        <v>0</v>
      </c>
      <c r="AS47" s="68">
        <v>18.23</v>
      </c>
      <c r="AT47" s="63"/>
      <c r="AU47" s="63">
        <v>0</v>
      </c>
    </row>
    <row r="48" spans="1:47" ht="12.75" hidden="1" customHeight="1" outlineLevel="1" x14ac:dyDescent="0.2">
      <c r="A48" s="61" t="s">
        <v>191</v>
      </c>
      <c r="B48" s="62">
        <v>0</v>
      </c>
      <c r="C48" s="54">
        <v>0</v>
      </c>
      <c r="D48" s="54">
        <v>0</v>
      </c>
      <c r="E48" s="63"/>
      <c r="F48" s="64"/>
      <c r="G48" s="65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54">
        <v>0</v>
      </c>
      <c r="N48" s="54">
        <v>0</v>
      </c>
      <c r="O48" s="54">
        <v>0</v>
      </c>
      <c r="P48" s="54">
        <v>0</v>
      </c>
      <c r="Q48" s="54">
        <v>0</v>
      </c>
      <c r="R48" s="54">
        <v>0</v>
      </c>
      <c r="S48" s="66">
        <v>0</v>
      </c>
      <c r="T48" s="54">
        <v>0</v>
      </c>
      <c r="U48" s="54">
        <v>0</v>
      </c>
      <c r="V48" s="54">
        <v>0</v>
      </c>
      <c r="W48" s="54">
        <v>0</v>
      </c>
      <c r="X48" s="54">
        <v>0</v>
      </c>
      <c r="Y48" s="54">
        <v>0</v>
      </c>
      <c r="Z48" s="54">
        <v>0</v>
      </c>
      <c r="AA48" s="54">
        <v>0</v>
      </c>
      <c r="AB48" s="54">
        <v>0</v>
      </c>
      <c r="AC48" s="54">
        <v>0</v>
      </c>
      <c r="AD48" s="54">
        <v>0</v>
      </c>
      <c r="AE48" s="54">
        <v>0</v>
      </c>
      <c r="AF48" s="66">
        <v>0</v>
      </c>
      <c r="AG48" s="67">
        <v>0</v>
      </c>
      <c r="AH48" s="67">
        <v>0</v>
      </c>
      <c r="AI48" s="67">
        <v>0</v>
      </c>
      <c r="AJ48" s="67">
        <v>0</v>
      </c>
      <c r="AK48" s="67">
        <v>0</v>
      </c>
      <c r="AL48" s="67">
        <v>0</v>
      </c>
      <c r="AM48" s="67">
        <v>0</v>
      </c>
      <c r="AN48" s="67">
        <v>0</v>
      </c>
      <c r="AO48" s="67">
        <v>0</v>
      </c>
      <c r="AP48" s="67">
        <v>0</v>
      </c>
      <c r="AQ48" s="67">
        <v>0</v>
      </c>
      <c r="AR48" s="67">
        <v>0</v>
      </c>
      <c r="AS48" s="68">
        <v>0</v>
      </c>
      <c r="AT48" s="63"/>
      <c r="AU48" s="63"/>
    </row>
    <row r="49" spans="1:47" ht="12.75" customHeight="1" collapsed="1" x14ac:dyDescent="0.2">
      <c r="A49" s="69" t="s">
        <v>192</v>
      </c>
      <c r="B49" s="70">
        <v>1370.01</v>
      </c>
      <c r="C49" s="71">
        <v>0</v>
      </c>
      <c r="D49" s="71">
        <v>145.22999999999999</v>
      </c>
      <c r="E49" s="72"/>
      <c r="F49" s="73">
        <v>943.33815327411696</v>
      </c>
      <c r="G49" s="70">
        <v>828.57</v>
      </c>
      <c r="H49" s="71">
        <v>1118.0999999999999</v>
      </c>
      <c r="I49" s="71">
        <v>1001.8</v>
      </c>
      <c r="J49" s="71">
        <v>1370.01</v>
      </c>
      <c r="K49" s="71">
        <v>0</v>
      </c>
      <c r="L49" s="71">
        <v>0</v>
      </c>
      <c r="M49" s="71">
        <v>0</v>
      </c>
      <c r="N49" s="71">
        <v>0</v>
      </c>
      <c r="O49" s="71">
        <v>0</v>
      </c>
      <c r="P49" s="71">
        <v>0</v>
      </c>
      <c r="Q49" s="71">
        <v>0</v>
      </c>
      <c r="R49" s="71">
        <v>0</v>
      </c>
      <c r="S49" s="71">
        <v>4318.4799999999996</v>
      </c>
      <c r="T49" s="71">
        <v>0</v>
      </c>
      <c r="U49" s="71">
        <v>0</v>
      </c>
      <c r="V49" s="71">
        <v>0</v>
      </c>
      <c r="W49" s="71">
        <v>0</v>
      </c>
      <c r="X49" s="71">
        <v>0</v>
      </c>
      <c r="Y49" s="71">
        <v>0</v>
      </c>
      <c r="Z49" s="71">
        <v>0</v>
      </c>
      <c r="AA49" s="71">
        <v>0</v>
      </c>
      <c r="AB49" s="71">
        <v>0</v>
      </c>
      <c r="AC49" s="71">
        <v>0</v>
      </c>
      <c r="AD49" s="71">
        <v>0</v>
      </c>
      <c r="AE49" s="71">
        <v>0</v>
      </c>
      <c r="AF49" s="71">
        <v>0</v>
      </c>
      <c r="AG49" s="75">
        <v>127</v>
      </c>
      <c r="AH49" s="75">
        <v>127</v>
      </c>
      <c r="AI49" s="75">
        <v>127</v>
      </c>
      <c r="AJ49" s="75">
        <v>145.22999999999999</v>
      </c>
      <c r="AK49" s="75">
        <v>127</v>
      </c>
      <c r="AL49" s="75">
        <v>127</v>
      </c>
      <c r="AM49" s="75">
        <v>127</v>
      </c>
      <c r="AN49" s="75">
        <v>127</v>
      </c>
      <c r="AO49" s="75">
        <v>871.31</v>
      </c>
      <c r="AP49" s="134">
        <v>-85.82</v>
      </c>
      <c r="AQ49" s="134">
        <v>-58.84</v>
      </c>
      <c r="AR49" s="75">
        <v>211.67</v>
      </c>
      <c r="AS49" s="75">
        <v>526.23</v>
      </c>
      <c r="AT49" s="72"/>
      <c r="AU49" s="72">
        <v>820.64496512931612</v>
      </c>
    </row>
    <row r="50" spans="1:47" ht="12.75" hidden="1" customHeight="1" outlineLevel="1" x14ac:dyDescent="0.2">
      <c r="A50" s="61" t="s">
        <v>193</v>
      </c>
      <c r="B50" s="62">
        <v>8649.92</v>
      </c>
      <c r="C50" s="54">
        <v>0</v>
      </c>
      <c r="D50" s="54">
        <v>10886.84</v>
      </c>
      <c r="E50" s="63"/>
      <c r="F50" s="64">
        <v>79.452990950542116</v>
      </c>
      <c r="G50" s="65">
        <v>1396.04</v>
      </c>
      <c r="H50" s="54">
        <v>890.42</v>
      </c>
      <c r="I50" s="54">
        <v>1094.52</v>
      </c>
      <c r="J50" s="54">
        <v>8649.92</v>
      </c>
      <c r="K50" s="56">
        <v>-113.4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66">
        <v>12030.9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>
        <v>1010.25</v>
      </c>
      <c r="AH50" s="67">
        <v>8316.85</v>
      </c>
      <c r="AI50" s="67">
        <v>3339.58</v>
      </c>
      <c r="AJ50" s="67">
        <v>10886.84</v>
      </c>
      <c r="AK50" s="67">
        <v>1161.25</v>
      </c>
      <c r="AL50" s="67">
        <v>5190.2299999999996</v>
      </c>
      <c r="AM50" s="98">
        <v>-697.65</v>
      </c>
      <c r="AN50" s="67">
        <v>2044.51</v>
      </c>
      <c r="AO50" s="67">
        <v>4131.5600000000004</v>
      </c>
      <c r="AP50" s="67">
        <v>1456.58</v>
      </c>
      <c r="AQ50" s="67">
        <v>3901.22</v>
      </c>
      <c r="AR50" s="67">
        <v>2263.3200000000002</v>
      </c>
      <c r="AS50" s="68">
        <v>23553.52</v>
      </c>
      <c r="AT50" s="63"/>
      <c r="AU50" s="63">
        <v>51.078989467391708</v>
      </c>
    </row>
    <row r="51" spans="1:47" ht="12.75" hidden="1" customHeight="1" outlineLevel="1" x14ac:dyDescent="0.2">
      <c r="A51" s="61" t="s">
        <v>194</v>
      </c>
      <c r="B51" s="62">
        <v>0</v>
      </c>
      <c r="C51" s="54">
        <v>0</v>
      </c>
      <c r="D51" s="54">
        <v>0</v>
      </c>
      <c r="E51" s="63"/>
      <c r="F51" s="64"/>
      <c r="G51" s="65">
        <v>0</v>
      </c>
      <c r="H51" s="54">
        <v>0</v>
      </c>
      <c r="I51" s="54">
        <v>0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66">
        <v>0</v>
      </c>
      <c r="T51" s="54">
        <v>0</v>
      </c>
      <c r="U51" s="54">
        <v>0</v>
      </c>
      <c r="V51" s="54">
        <v>0</v>
      </c>
      <c r="W51" s="54">
        <v>0</v>
      </c>
      <c r="X51" s="54">
        <v>0</v>
      </c>
      <c r="Y51" s="54">
        <v>0</v>
      </c>
      <c r="Z51" s="54">
        <v>0</v>
      </c>
      <c r="AA51" s="54">
        <v>0</v>
      </c>
      <c r="AB51" s="54">
        <v>0</v>
      </c>
      <c r="AC51" s="54">
        <v>0</v>
      </c>
      <c r="AD51" s="54">
        <v>0</v>
      </c>
      <c r="AE51" s="54">
        <v>0</v>
      </c>
      <c r="AF51" s="66">
        <v>0</v>
      </c>
      <c r="AG51" s="67">
        <v>0</v>
      </c>
      <c r="AH51" s="67">
        <v>0</v>
      </c>
      <c r="AI51" s="67">
        <v>0</v>
      </c>
      <c r="AJ51" s="67">
        <v>0</v>
      </c>
      <c r="AK51" s="67">
        <v>0</v>
      </c>
      <c r="AL51" s="67">
        <v>0</v>
      </c>
      <c r="AM51" s="67">
        <v>0</v>
      </c>
      <c r="AN51" s="67">
        <v>0</v>
      </c>
      <c r="AO51" s="67">
        <v>0</v>
      </c>
      <c r="AP51" s="67">
        <v>1640</v>
      </c>
      <c r="AQ51" s="67">
        <v>142.07</v>
      </c>
      <c r="AR51" s="67">
        <v>0</v>
      </c>
      <c r="AS51" s="68">
        <v>0</v>
      </c>
      <c r="AT51" s="63"/>
      <c r="AU51" s="63"/>
    </row>
    <row r="52" spans="1:47" ht="12.75" hidden="1" customHeight="1" outlineLevel="1" x14ac:dyDescent="0.2">
      <c r="A52" s="61" t="s">
        <v>82</v>
      </c>
      <c r="B52" s="62"/>
      <c r="C52" s="54">
        <v>0</v>
      </c>
      <c r="D52" s="54"/>
      <c r="E52" s="63"/>
      <c r="F52" s="64"/>
      <c r="G52" s="65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66"/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66">
        <v>0</v>
      </c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8"/>
      <c r="AT52" s="63"/>
      <c r="AU52" s="63"/>
    </row>
    <row r="53" spans="1:47" ht="12.75" hidden="1" customHeight="1" outlineLevel="1" x14ac:dyDescent="0.2">
      <c r="A53" s="61" t="s">
        <v>83</v>
      </c>
      <c r="B53" s="62">
        <v>148.76</v>
      </c>
      <c r="C53" s="54">
        <v>0</v>
      </c>
      <c r="D53" s="54">
        <v>0</v>
      </c>
      <c r="E53" s="63"/>
      <c r="F53" s="64"/>
      <c r="G53" s="65">
        <v>148.76</v>
      </c>
      <c r="H53" s="54">
        <v>148.76</v>
      </c>
      <c r="I53" s="54">
        <v>148.76</v>
      </c>
      <c r="J53" s="54">
        <v>148.76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66">
        <v>595.04</v>
      </c>
      <c r="T53" s="54">
        <v>0</v>
      </c>
      <c r="U53" s="54">
        <v>0</v>
      </c>
      <c r="V53" s="54">
        <v>0</v>
      </c>
      <c r="W53" s="54">
        <v>0</v>
      </c>
      <c r="X53" s="54">
        <v>0</v>
      </c>
      <c r="Y53" s="54">
        <v>0</v>
      </c>
      <c r="Z53" s="54">
        <v>0</v>
      </c>
      <c r="AA53" s="54">
        <v>0</v>
      </c>
      <c r="AB53" s="54">
        <v>0</v>
      </c>
      <c r="AC53" s="54">
        <v>0</v>
      </c>
      <c r="AD53" s="54">
        <v>0</v>
      </c>
      <c r="AE53" s="54">
        <v>0</v>
      </c>
      <c r="AF53" s="66">
        <v>0</v>
      </c>
      <c r="AG53" s="67">
        <v>1800</v>
      </c>
      <c r="AH53" s="67">
        <v>0</v>
      </c>
      <c r="AI53" s="67">
        <v>0</v>
      </c>
      <c r="AJ53" s="67">
        <v>0</v>
      </c>
      <c r="AK53" s="67">
        <v>0</v>
      </c>
      <c r="AL53" s="67">
        <v>0</v>
      </c>
      <c r="AM53" s="67">
        <v>0</v>
      </c>
      <c r="AN53" s="67">
        <v>0</v>
      </c>
      <c r="AO53" s="67">
        <v>0</v>
      </c>
      <c r="AP53" s="67">
        <v>0</v>
      </c>
      <c r="AQ53" s="67">
        <v>148.76</v>
      </c>
      <c r="AR53" s="67">
        <v>76.66</v>
      </c>
      <c r="AS53" s="68">
        <v>1800</v>
      </c>
      <c r="AT53" s="63"/>
      <c r="AU53" s="63">
        <v>33.05777777777778</v>
      </c>
    </row>
    <row r="54" spans="1:47" ht="12.75" hidden="1" customHeight="1" outlineLevel="1" x14ac:dyDescent="0.2">
      <c r="A54" s="61" t="s">
        <v>84</v>
      </c>
      <c r="B54" s="62">
        <v>0</v>
      </c>
      <c r="C54" s="54">
        <v>0</v>
      </c>
      <c r="D54" s="54">
        <v>0</v>
      </c>
      <c r="E54" s="63"/>
      <c r="F54" s="64"/>
      <c r="G54" s="65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66">
        <v>0</v>
      </c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>
        <v>0</v>
      </c>
      <c r="AH54" s="67">
        <v>0</v>
      </c>
      <c r="AI54" s="67">
        <v>0</v>
      </c>
      <c r="AJ54" s="67">
        <v>0</v>
      </c>
      <c r="AK54" s="67">
        <v>0</v>
      </c>
      <c r="AL54" s="67">
        <v>0</v>
      </c>
      <c r="AM54" s="67">
        <v>0</v>
      </c>
      <c r="AN54" s="67">
        <v>0</v>
      </c>
      <c r="AO54" s="67">
        <v>0</v>
      </c>
      <c r="AP54" s="67">
        <v>0</v>
      </c>
      <c r="AQ54" s="67">
        <v>0</v>
      </c>
      <c r="AR54" s="67">
        <v>0</v>
      </c>
      <c r="AS54" s="68">
        <v>0</v>
      </c>
      <c r="AT54" s="63"/>
      <c r="AU54" s="63"/>
    </row>
    <row r="55" spans="1:47" ht="12.75" hidden="1" customHeight="1" outlineLevel="1" x14ac:dyDescent="0.2">
      <c r="A55" s="61" t="s">
        <v>195</v>
      </c>
      <c r="B55" s="62"/>
      <c r="C55" s="54"/>
      <c r="D55" s="54"/>
      <c r="E55" s="63"/>
      <c r="F55" s="64"/>
      <c r="G55" s="65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66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66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8"/>
      <c r="AT55" s="63"/>
      <c r="AU55" s="63"/>
    </row>
    <row r="56" spans="1:47" ht="12.75" hidden="1" customHeight="1" outlineLevel="1" x14ac:dyDescent="0.2">
      <c r="A56" s="61" t="s">
        <v>86</v>
      </c>
      <c r="B56" s="62">
        <v>0</v>
      </c>
      <c r="C56" s="54">
        <v>0</v>
      </c>
      <c r="D56" s="54">
        <v>7.2</v>
      </c>
      <c r="E56" s="63"/>
      <c r="F56" s="64">
        <v>0</v>
      </c>
      <c r="G56" s="65">
        <v>1082.5</v>
      </c>
      <c r="H56" s="54">
        <v>0</v>
      </c>
      <c r="I56" s="54">
        <v>36.11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66">
        <v>1118.6099999999999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66">
        <v>0</v>
      </c>
      <c r="AG56" s="67">
        <v>0</v>
      </c>
      <c r="AH56" s="67">
        <v>543.5</v>
      </c>
      <c r="AI56" s="67">
        <v>99.36</v>
      </c>
      <c r="AJ56" s="67">
        <v>7.2</v>
      </c>
      <c r="AK56" s="67">
        <v>299.5</v>
      </c>
      <c r="AL56" s="67">
        <v>0</v>
      </c>
      <c r="AM56" s="67">
        <v>0</v>
      </c>
      <c r="AN56" s="67">
        <v>432.67</v>
      </c>
      <c r="AO56" s="67">
        <v>43.11</v>
      </c>
      <c r="AP56" s="67">
        <v>115.32</v>
      </c>
      <c r="AQ56" s="67">
        <v>0</v>
      </c>
      <c r="AR56" s="67">
        <v>0</v>
      </c>
      <c r="AS56" s="68">
        <v>650.05999999999995</v>
      </c>
      <c r="AT56" s="63"/>
      <c r="AU56" s="63">
        <v>172.07796203427375</v>
      </c>
    </row>
    <row r="57" spans="1:47" ht="12.75" hidden="1" customHeight="1" outlineLevel="1" x14ac:dyDescent="0.2">
      <c r="A57" s="61" t="s">
        <v>110</v>
      </c>
      <c r="B57" s="62"/>
      <c r="C57" s="54"/>
      <c r="D57" s="54"/>
      <c r="E57" s="63"/>
      <c r="F57" s="64"/>
      <c r="G57" s="65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66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66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8"/>
      <c r="AT57" s="63"/>
      <c r="AU57" s="63"/>
    </row>
    <row r="58" spans="1:47" ht="12.75" hidden="1" customHeight="1" outlineLevel="1" x14ac:dyDescent="0.2">
      <c r="A58" s="61" t="s">
        <v>196</v>
      </c>
      <c r="B58" s="62">
        <v>0</v>
      </c>
      <c r="C58" s="54">
        <v>0</v>
      </c>
      <c r="D58" s="54">
        <v>0</v>
      </c>
      <c r="E58" s="63"/>
      <c r="F58" s="64"/>
      <c r="G58" s="65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0</v>
      </c>
      <c r="AI58" s="67">
        <v>0</v>
      </c>
      <c r="AJ58" s="67">
        <v>0</v>
      </c>
      <c r="AK58" s="67">
        <v>0</v>
      </c>
      <c r="AL58" s="67">
        <v>0</v>
      </c>
      <c r="AM58" s="67">
        <v>0</v>
      </c>
      <c r="AN58" s="67">
        <v>0</v>
      </c>
      <c r="AO58" s="67">
        <v>0</v>
      </c>
      <c r="AP58" s="67">
        <v>0</v>
      </c>
      <c r="AQ58" s="67">
        <v>0</v>
      </c>
      <c r="AR58" s="67">
        <v>0</v>
      </c>
      <c r="AS58" s="68">
        <v>0</v>
      </c>
      <c r="AT58" s="63"/>
      <c r="AU58" s="63"/>
    </row>
    <row r="59" spans="1:47" ht="12.75" hidden="1" customHeight="1" outlineLevel="1" x14ac:dyDescent="0.2">
      <c r="A59" s="61" t="s">
        <v>197</v>
      </c>
      <c r="B59" s="62">
        <v>0</v>
      </c>
      <c r="C59" s="54">
        <v>0</v>
      </c>
      <c r="D59" s="54">
        <v>0</v>
      </c>
      <c r="E59" s="63"/>
      <c r="F59" s="64"/>
      <c r="G59" s="65">
        <v>0</v>
      </c>
      <c r="H59" s="54">
        <v>3793.64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66">
        <v>3793.64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66">
        <v>0</v>
      </c>
      <c r="AG59" s="67">
        <v>0</v>
      </c>
      <c r="AH59" s="67">
        <v>0</v>
      </c>
      <c r="AI59" s="67">
        <v>0</v>
      </c>
      <c r="AJ59" s="67">
        <v>0</v>
      </c>
      <c r="AK59" s="67">
        <v>0</v>
      </c>
      <c r="AL59" s="67">
        <v>0</v>
      </c>
      <c r="AM59" s="67">
        <v>0</v>
      </c>
      <c r="AN59" s="67">
        <v>0</v>
      </c>
      <c r="AO59" s="67">
        <v>0</v>
      </c>
      <c r="AP59" s="67">
        <v>0</v>
      </c>
      <c r="AQ59" s="67">
        <v>0</v>
      </c>
      <c r="AR59" s="67">
        <v>0</v>
      </c>
      <c r="AS59" s="68">
        <v>0</v>
      </c>
      <c r="AT59" s="63"/>
      <c r="AU59" s="63"/>
    </row>
    <row r="60" spans="1:47" ht="12.75" hidden="1" customHeight="1" outlineLevel="1" x14ac:dyDescent="0.2">
      <c r="A60" s="61" t="s">
        <v>198</v>
      </c>
      <c r="B60" s="62">
        <v>263.58999999999997</v>
      </c>
      <c r="C60" s="54">
        <v>0</v>
      </c>
      <c r="D60" s="54">
        <v>0</v>
      </c>
      <c r="E60" s="63"/>
      <c r="F60" s="64"/>
      <c r="G60" s="65">
        <v>65</v>
      </c>
      <c r="H60" s="54">
        <v>0</v>
      </c>
      <c r="I60" s="54">
        <v>0</v>
      </c>
      <c r="J60" s="54">
        <v>263.58999999999997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66">
        <v>328.59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>
        <v>0</v>
      </c>
      <c r="AE60" s="54">
        <v>0</v>
      </c>
      <c r="AF60" s="66">
        <v>0</v>
      </c>
      <c r="AG60" s="67">
        <v>0</v>
      </c>
      <c r="AH60" s="67">
        <v>0</v>
      </c>
      <c r="AI60" s="67">
        <v>0</v>
      </c>
      <c r="AJ60" s="67">
        <v>0</v>
      </c>
      <c r="AK60" s="67">
        <v>165.96</v>
      </c>
      <c r="AL60" s="67">
        <v>0</v>
      </c>
      <c r="AM60" s="67">
        <v>0</v>
      </c>
      <c r="AN60" s="67">
        <v>0</v>
      </c>
      <c r="AO60" s="67">
        <v>0</v>
      </c>
      <c r="AP60" s="67">
        <v>0</v>
      </c>
      <c r="AQ60" s="67">
        <v>0</v>
      </c>
      <c r="AR60" s="67">
        <v>0</v>
      </c>
      <c r="AS60" s="68">
        <v>0</v>
      </c>
      <c r="AT60" s="63"/>
      <c r="AU60" s="63"/>
    </row>
    <row r="61" spans="1:47" ht="12.75" hidden="1" customHeight="1" outlineLevel="1" x14ac:dyDescent="0.2">
      <c r="A61" s="61" t="s">
        <v>199</v>
      </c>
      <c r="B61" s="62">
        <v>0</v>
      </c>
      <c r="C61" s="54">
        <v>0</v>
      </c>
      <c r="D61" s="54">
        <v>0</v>
      </c>
      <c r="E61" s="63"/>
      <c r="F61" s="64"/>
      <c r="G61" s="65">
        <v>0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66">
        <v>0</v>
      </c>
      <c r="T61" s="54">
        <v>0</v>
      </c>
      <c r="U61" s="54">
        <v>0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0</v>
      </c>
      <c r="AB61" s="54">
        <v>0</v>
      </c>
      <c r="AC61" s="54">
        <v>0</v>
      </c>
      <c r="AD61" s="54">
        <v>0</v>
      </c>
      <c r="AE61" s="54">
        <v>0</v>
      </c>
      <c r="AF61" s="66">
        <v>0</v>
      </c>
      <c r="AG61" s="67">
        <v>0</v>
      </c>
      <c r="AH61" s="67">
        <v>0</v>
      </c>
      <c r="AI61" s="67">
        <v>0</v>
      </c>
      <c r="AJ61" s="67">
        <v>0</v>
      </c>
      <c r="AK61" s="67">
        <v>0</v>
      </c>
      <c r="AL61" s="67">
        <v>0</v>
      </c>
      <c r="AM61" s="67">
        <v>0</v>
      </c>
      <c r="AN61" s="67">
        <v>0</v>
      </c>
      <c r="AO61" s="67">
        <v>0</v>
      </c>
      <c r="AP61" s="98">
        <v>-21373.200000000001</v>
      </c>
      <c r="AQ61" s="67">
        <v>0</v>
      </c>
      <c r="AR61" s="67">
        <v>0</v>
      </c>
      <c r="AS61" s="68">
        <v>0</v>
      </c>
      <c r="AT61" s="63"/>
      <c r="AU61" s="63"/>
    </row>
    <row r="62" spans="1:47" ht="12.75" hidden="1" customHeight="1" outlineLevel="1" x14ac:dyDescent="0.2">
      <c r="A62" s="61" t="s">
        <v>200</v>
      </c>
      <c r="B62" s="62"/>
      <c r="C62" s="54"/>
      <c r="D62" s="54"/>
      <c r="E62" s="63"/>
      <c r="F62" s="64"/>
      <c r="G62" s="65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66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66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8"/>
      <c r="AT62" s="63"/>
      <c r="AU62" s="63"/>
    </row>
    <row r="63" spans="1:47" ht="12.75" customHeight="1" collapsed="1" x14ac:dyDescent="0.2">
      <c r="A63" s="69" t="s">
        <v>89</v>
      </c>
      <c r="B63" s="70">
        <v>9062.27</v>
      </c>
      <c r="C63" s="71">
        <v>0</v>
      </c>
      <c r="D63" s="71">
        <v>10894.04</v>
      </c>
      <c r="E63" s="72"/>
      <c r="F63" s="73">
        <v>83.185576700654664</v>
      </c>
      <c r="G63" s="70">
        <v>2692.3</v>
      </c>
      <c r="H63" s="71">
        <v>4832.82</v>
      </c>
      <c r="I63" s="71">
        <v>1279.3900000000001</v>
      </c>
      <c r="J63" s="71">
        <v>9062.27</v>
      </c>
      <c r="K63" s="74">
        <v>-113.4</v>
      </c>
      <c r="L63" s="71">
        <v>0</v>
      </c>
      <c r="M63" s="71">
        <v>0</v>
      </c>
      <c r="N63" s="71">
        <v>0</v>
      </c>
      <c r="O63" s="71">
        <v>0</v>
      </c>
      <c r="P63" s="71">
        <v>0</v>
      </c>
      <c r="Q63" s="71">
        <v>0</v>
      </c>
      <c r="R63" s="71">
        <v>0</v>
      </c>
      <c r="S63" s="71">
        <v>17866.78</v>
      </c>
      <c r="T63" s="71">
        <v>0</v>
      </c>
      <c r="U63" s="71">
        <v>0</v>
      </c>
      <c r="V63" s="71">
        <v>0</v>
      </c>
      <c r="W63" s="71">
        <v>0</v>
      </c>
      <c r="X63" s="71">
        <v>0</v>
      </c>
      <c r="Y63" s="71">
        <v>0</v>
      </c>
      <c r="Z63" s="71">
        <v>0</v>
      </c>
      <c r="AA63" s="71">
        <v>0</v>
      </c>
      <c r="AB63" s="71">
        <v>0</v>
      </c>
      <c r="AC63" s="71">
        <v>0</v>
      </c>
      <c r="AD63" s="71">
        <v>0</v>
      </c>
      <c r="AE63" s="71">
        <v>0</v>
      </c>
      <c r="AF63" s="71">
        <v>0</v>
      </c>
      <c r="AG63" s="75">
        <v>2810.25</v>
      </c>
      <c r="AH63" s="75">
        <v>8860.35</v>
      </c>
      <c r="AI63" s="75">
        <v>3438.94</v>
      </c>
      <c r="AJ63" s="75">
        <v>10894.04</v>
      </c>
      <c r="AK63" s="75">
        <v>1626.71</v>
      </c>
      <c r="AL63" s="75">
        <v>5190.2299999999996</v>
      </c>
      <c r="AM63" s="134">
        <v>-697.65</v>
      </c>
      <c r="AN63" s="75">
        <v>2477.1799999999998</v>
      </c>
      <c r="AO63" s="75">
        <v>4174.67</v>
      </c>
      <c r="AP63" s="134">
        <v>-18161.3</v>
      </c>
      <c r="AQ63" s="75">
        <v>4192.05</v>
      </c>
      <c r="AR63" s="75">
        <v>2339.98</v>
      </c>
      <c r="AS63" s="75">
        <v>26003.58</v>
      </c>
      <c r="AT63" s="72"/>
      <c r="AU63" s="72">
        <v>68.708923925090318</v>
      </c>
    </row>
    <row r="64" spans="1:47" ht="12.75" customHeight="1" x14ac:dyDescent="0.2">
      <c r="A64" s="77" t="s">
        <v>201</v>
      </c>
      <c r="B64" s="78">
        <v>357443.93</v>
      </c>
      <c r="C64" s="79">
        <v>0</v>
      </c>
      <c r="D64" s="79">
        <v>369302.23</v>
      </c>
      <c r="E64" s="80"/>
      <c r="F64" s="81">
        <v>96.788998539218142</v>
      </c>
      <c r="G64" s="78">
        <v>361872.19</v>
      </c>
      <c r="H64" s="79">
        <v>356901.69</v>
      </c>
      <c r="I64" s="79">
        <v>409435.07</v>
      </c>
      <c r="J64" s="79">
        <v>357443.93</v>
      </c>
      <c r="K64" s="82">
        <v>-182152.73</v>
      </c>
      <c r="L64" s="79">
        <v>0</v>
      </c>
      <c r="M64" s="79">
        <v>0</v>
      </c>
      <c r="N64" s="79">
        <v>0</v>
      </c>
      <c r="O64" s="79">
        <v>0</v>
      </c>
      <c r="P64" s="79">
        <v>0</v>
      </c>
      <c r="Q64" s="79">
        <v>0</v>
      </c>
      <c r="R64" s="79">
        <v>0</v>
      </c>
      <c r="S64" s="79">
        <v>1485652.88</v>
      </c>
      <c r="T64" s="79">
        <v>0</v>
      </c>
      <c r="U64" s="79">
        <v>0</v>
      </c>
      <c r="V64" s="79">
        <v>0</v>
      </c>
      <c r="W64" s="79">
        <v>0</v>
      </c>
      <c r="X64" s="79">
        <v>0</v>
      </c>
      <c r="Y64" s="79">
        <v>0</v>
      </c>
      <c r="Z64" s="79">
        <v>0</v>
      </c>
      <c r="AA64" s="79">
        <v>0</v>
      </c>
      <c r="AB64" s="79">
        <v>0</v>
      </c>
      <c r="AC64" s="79">
        <v>0</v>
      </c>
      <c r="AD64" s="79">
        <v>0</v>
      </c>
      <c r="AE64" s="79">
        <v>0</v>
      </c>
      <c r="AF64" s="79">
        <v>0</v>
      </c>
      <c r="AG64" s="83">
        <v>350431.28</v>
      </c>
      <c r="AH64" s="83">
        <v>332302.13</v>
      </c>
      <c r="AI64" s="83">
        <v>418602.77</v>
      </c>
      <c r="AJ64" s="83">
        <v>369302.23</v>
      </c>
      <c r="AK64" s="83">
        <v>352540.08</v>
      </c>
      <c r="AL64" s="83">
        <v>448693.94</v>
      </c>
      <c r="AM64" s="83">
        <v>388771.71</v>
      </c>
      <c r="AN64" s="83">
        <v>413042.78</v>
      </c>
      <c r="AO64" s="83">
        <v>351576.67</v>
      </c>
      <c r="AP64" s="83">
        <v>388964.19</v>
      </c>
      <c r="AQ64" s="83">
        <v>467998.36</v>
      </c>
      <c r="AR64" s="83">
        <v>277663.64</v>
      </c>
      <c r="AS64" s="83">
        <v>1470638.41</v>
      </c>
      <c r="AT64" s="80"/>
      <c r="AU64" s="80">
        <v>101.02094912644094</v>
      </c>
    </row>
    <row r="65" spans="1:47" ht="12.75" customHeight="1" x14ac:dyDescent="0.2">
      <c r="A65" s="84" t="s">
        <v>8</v>
      </c>
      <c r="B65" s="85">
        <v>167793.62</v>
      </c>
      <c r="C65" s="86">
        <v>0</v>
      </c>
      <c r="D65" s="89">
        <v>-39957.39</v>
      </c>
      <c r="E65" s="87"/>
      <c r="F65" s="88">
        <v>-419.93138190457387</v>
      </c>
      <c r="G65" s="85">
        <v>262259.51</v>
      </c>
      <c r="H65" s="86">
        <v>197563.06</v>
      </c>
      <c r="I65" s="86">
        <v>116370.84</v>
      </c>
      <c r="J65" s="86">
        <v>167793.62</v>
      </c>
      <c r="K65" s="86">
        <v>247308.99</v>
      </c>
      <c r="L65" s="86">
        <v>0</v>
      </c>
      <c r="M65" s="86">
        <v>0</v>
      </c>
      <c r="N65" s="86">
        <v>0</v>
      </c>
      <c r="O65" s="86">
        <v>0</v>
      </c>
      <c r="P65" s="86">
        <v>0</v>
      </c>
      <c r="Q65" s="86">
        <v>0</v>
      </c>
      <c r="R65" s="86">
        <v>0</v>
      </c>
      <c r="S65" s="86">
        <v>743987.03</v>
      </c>
      <c r="T65" s="86">
        <v>0</v>
      </c>
      <c r="U65" s="86">
        <v>0</v>
      </c>
      <c r="V65" s="86">
        <v>0</v>
      </c>
      <c r="W65" s="86">
        <v>0</v>
      </c>
      <c r="X65" s="86">
        <v>0</v>
      </c>
      <c r="Y65" s="86">
        <v>0</v>
      </c>
      <c r="Z65" s="86">
        <v>0</v>
      </c>
      <c r="AA65" s="86">
        <v>0</v>
      </c>
      <c r="AB65" s="86">
        <v>0</v>
      </c>
      <c r="AC65" s="86">
        <v>0</v>
      </c>
      <c r="AD65" s="86">
        <v>0</v>
      </c>
      <c r="AE65" s="86">
        <v>0</v>
      </c>
      <c r="AF65" s="86">
        <v>0</v>
      </c>
      <c r="AG65" s="90">
        <v>118342.09</v>
      </c>
      <c r="AH65" s="90">
        <v>217180.51</v>
      </c>
      <c r="AI65" s="90">
        <v>51699.199999999997</v>
      </c>
      <c r="AJ65" s="136">
        <v>-39957.39</v>
      </c>
      <c r="AK65" s="90">
        <v>51732.58</v>
      </c>
      <c r="AL65" s="136">
        <v>-15155.23</v>
      </c>
      <c r="AM65" s="90">
        <v>27277.21</v>
      </c>
      <c r="AN65" s="90">
        <v>64703.64</v>
      </c>
      <c r="AO65" s="90">
        <v>159383.85</v>
      </c>
      <c r="AP65" s="90">
        <v>94246.77</v>
      </c>
      <c r="AQ65" s="90">
        <v>107962.32</v>
      </c>
      <c r="AR65" s="90">
        <v>222776.07</v>
      </c>
      <c r="AS65" s="90">
        <v>347264.41</v>
      </c>
      <c r="AT65" s="87"/>
      <c r="AU65" s="87">
        <v>214.2422340371707</v>
      </c>
    </row>
    <row r="66" spans="1:47" x14ac:dyDescent="0.2">
      <c r="G66" s="365"/>
      <c r="H66" s="365"/>
      <c r="I66" s="365"/>
      <c r="J66" s="365"/>
      <c r="K66" s="365"/>
      <c r="L66" s="365"/>
      <c r="M66" s="365"/>
      <c r="N66" s="365"/>
      <c r="O66" s="365"/>
      <c r="S66" s="630"/>
      <c r="T66" s="630"/>
      <c r="U66" s="630"/>
      <c r="V66" s="630"/>
      <c r="W66" s="630"/>
      <c r="X66" s="630"/>
      <c r="Y66" s="630"/>
      <c r="Z66" s="630"/>
      <c r="AA66" s="630"/>
      <c r="AB66" s="630"/>
      <c r="AC66" s="630"/>
      <c r="AD66" s="630"/>
      <c r="AE66" s="630"/>
      <c r="AF66" s="630"/>
      <c r="AG66" s="630"/>
      <c r="AH66" s="630"/>
      <c r="AI66" s="630"/>
      <c r="AJ66" s="630"/>
      <c r="AK66" s="630"/>
      <c r="AL66" s="630"/>
      <c r="AM66" s="630"/>
      <c r="AN66" s="630"/>
      <c r="AO66" s="630"/>
      <c r="AP66" s="630"/>
      <c r="AQ66" s="630"/>
      <c r="AR66" s="630"/>
      <c r="AS66" s="630"/>
    </row>
    <row r="67" spans="1:47" x14ac:dyDescent="0.2">
      <c r="S67" s="497"/>
      <c r="AS67" s="497"/>
    </row>
    <row r="68" spans="1:47" x14ac:dyDescent="0.2">
      <c r="S68" s="26"/>
      <c r="AS68" s="26"/>
    </row>
    <row r="69" spans="1:47" x14ac:dyDescent="0.2">
      <c r="AS69" s="365"/>
    </row>
    <row r="70" spans="1:47" ht="15" x14ac:dyDescent="0.25">
      <c r="A70" s="16"/>
      <c r="B70" s="24"/>
      <c r="C70" s="24"/>
      <c r="D70" s="20"/>
      <c r="S70" s="26"/>
      <c r="AS70" s="26"/>
    </row>
    <row r="71" spans="1:47" ht="15" x14ac:dyDescent="0.25">
      <c r="A71" s="16"/>
      <c r="B71" s="24"/>
      <c r="C71" s="24"/>
      <c r="D71" s="20"/>
      <c r="AE71" s="365"/>
      <c r="AF71" s="26"/>
      <c r="AG71" s="365"/>
      <c r="AH71" s="365"/>
      <c r="AI71" s="365"/>
      <c r="AJ71" s="365"/>
      <c r="AK71" s="365"/>
      <c r="AL71" s="365"/>
      <c r="AM71" s="365"/>
      <c r="AN71" s="365"/>
      <c r="AO71" s="365"/>
      <c r="AP71" s="365"/>
      <c r="AQ71" s="365"/>
      <c r="AR71" s="26"/>
    </row>
    <row r="72" spans="1:47" ht="15" x14ac:dyDescent="0.25">
      <c r="A72" s="16"/>
      <c r="B72" s="24"/>
      <c r="C72" s="24"/>
      <c r="D72" s="20"/>
      <c r="AE72" s="365"/>
      <c r="AF72" s="26"/>
      <c r="AG72" s="365"/>
      <c r="AH72" s="365"/>
      <c r="AI72" s="365"/>
      <c r="AJ72" s="365"/>
      <c r="AK72" s="365"/>
      <c r="AL72" s="365"/>
      <c r="AM72" s="365"/>
      <c r="AN72" s="365"/>
      <c r="AO72" s="365"/>
      <c r="AP72" s="365"/>
      <c r="AQ72" s="365"/>
      <c r="AR72" s="26"/>
    </row>
    <row r="73" spans="1:47" ht="15" x14ac:dyDescent="0.25">
      <c r="A73" s="16"/>
      <c r="B73" s="16"/>
      <c r="C73" s="16"/>
      <c r="D73" s="16"/>
      <c r="AE73" s="365"/>
      <c r="AF73" s="26"/>
      <c r="AG73" s="365"/>
      <c r="AH73" s="365"/>
      <c r="AI73" s="365"/>
      <c r="AJ73" s="365"/>
      <c r="AK73" s="365"/>
      <c r="AL73" s="365"/>
      <c r="AM73" s="365"/>
      <c r="AN73" s="365"/>
      <c r="AO73" s="365"/>
      <c r="AP73" s="365"/>
      <c r="AQ73" s="365"/>
      <c r="AR73" s="26"/>
    </row>
    <row r="74" spans="1:47" ht="15" x14ac:dyDescent="0.25">
      <c r="A74" s="16"/>
      <c r="B74" s="25"/>
      <c r="C74" s="17"/>
      <c r="D74" s="25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365"/>
      <c r="AF74" s="482"/>
      <c r="AG74" s="365"/>
      <c r="AH74" s="365"/>
      <c r="AI74" s="365"/>
      <c r="AJ74" s="365"/>
      <c r="AK74" s="365"/>
      <c r="AL74" s="365"/>
      <c r="AM74" s="365"/>
      <c r="AN74" s="365"/>
      <c r="AO74" s="365"/>
      <c r="AP74" s="365"/>
      <c r="AQ74" s="365"/>
      <c r="AR74" s="26"/>
    </row>
    <row r="75" spans="1:47" ht="15" x14ac:dyDescent="0.25">
      <c r="A75" s="16"/>
      <c r="B75" s="16"/>
      <c r="C75" s="16"/>
      <c r="D75" s="16"/>
      <c r="AE75" s="365"/>
      <c r="AF75" s="365"/>
      <c r="AG75" s="365"/>
      <c r="AH75" s="365"/>
      <c r="AI75" s="365"/>
      <c r="AJ75" s="365"/>
      <c r="AK75" s="365"/>
      <c r="AL75" s="365"/>
      <c r="AM75" s="365"/>
      <c r="AN75" s="365"/>
      <c r="AO75" s="365"/>
      <c r="AP75" s="365"/>
      <c r="AQ75" s="365"/>
      <c r="AR75" s="365"/>
    </row>
    <row r="76" spans="1:47" ht="15" x14ac:dyDescent="0.25">
      <c r="A76" s="16"/>
      <c r="B76" s="16"/>
      <c r="C76" s="16"/>
      <c r="D76" s="16"/>
      <c r="AE76" s="365" t="s">
        <v>419</v>
      </c>
      <c r="AF76" s="18">
        <f>+AF73-AF74</f>
        <v>0</v>
      </c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26"/>
    </row>
    <row r="77" spans="1:47" ht="15" x14ac:dyDescent="0.25">
      <c r="A77" s="16"/>
      <c r="B77" s="16"/>
      <c r="C77" s="16"/>
      <c r="D77" s="16"/>
      <c r="AF77" s="482">
        <f>+AF76-SUM(T65:AE65)</f>
        <v>0</v>
      </c>
    </row>
    <row r="78" spans="1:47" ht="15" x14ac:dyDescent="0.25">
      <c r="A78" s="16"/>
      <c r="B78" s="16"/>
      <c r="C78" s="16"/>
      <c r="D78" s="16"/>
    </row>
    <row r="79" spans="1:47" x14ac:dyDescent="0.2">
      <c r="S79" s="442" t="s">
        <v>539</v>
      </c>
      <c r="AS79" s="365" t="e">
        <f>+AS70/AS68</f>
        <v>#DIV/0!</v>
      </c>
    </row>
    <row r="80" spans="1:47" x14ac:dyDescent="0.2">
      <c r="S80" s="26">
        <f>+S2</f>
        <v>2229639.91</v>
      </c>
      <c r="T80" s="94">
        <f>+S80/S80</f>
        <v>1</v>
      </c>
    </row>
    <row r="81" spans="19:20" x14ac:dyDescent="0.2">
      <c r="S81" s="26">
        <f>+S10</f>
        <v>685901.65</v>
      </c>
      <c r="T81" s="94">
        <f>+S81/S80</f>
        <v>0.30762888972506774</v>
      </c>
    </row>
    <row r="82" spans="19:20" x14ac:dyDescent="0.2">
      <c r="S82" s="26">
        <f>+S11+S12+S13+S14+S15+S16+S17</f>
        <v>594889.73</v>
      </c>
      <c r="T82" s="94">
        <f>+S82/S80</f>
        <v>0.26680977826594426</v>
      </c>
    </row>
    <row r="83" spans="19:20" x14ac:dyDescent="0.2">
      <c r="S83" s="26">
        <f>+S18+S19+S23+S34+S49+S63</f>
        <v>204861.5</v>
      </c>
      <c r="T83" s="94">
        <f>+S83/S80</f>
        <v>9.1880980009906618E-2</v>
      </c>
    </row>
    <row r="84" spans="19:20" x14ac:dyDescent="0.2">
      <c r="S84" s="26">
        <f>+S80-S81-S82-S83</f>
        <v>743987.03000000026</v>
      </c>
      <c r="T84" s="94">
        <f>+S84/S80</f>
        <v>0.33368035199908141</v>
      </c>
    </row>
  </sheetData>
  <hyperlinks>
    <hyperlink ref="AF77" r:id="rId1" display="+AF75-@sum(T64:AE64)"/>
  </hyperlinks>
  <pageMargins left="0.75" right="0.75" top="1" bottom="1" header="0.5" footer="0.5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rgb="FF00B0F0"/>
  </sheetPr>
  <dimension ref="A1:AU88"/>
  <sheetViews>
    <sheetView workbookViewId="0">
      <pane xSplit="1" ySplit="1" topLeftCell="B10" activePane="bottomRight" state="frozen"/>
      <selection activeCell="A73" sqref="A73"/>
      <selection pane="topRight" activeCell="A73" sqref="A73"/>
      <selection pane="bottomLeft" activeCell="A73" sqref="A73"/>
      <selection pane="bottomRight" sqref="A1:AU65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10" customWidth="1" collapsed="1"/>
    <col min="46" max="47" width="10.5703125" customWidth="1"/>
  </cols>
  <sheetData>
    <row r="1" spans="1:47" ht="36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s="365" customFormat="1" ht="12.75" customHeight="1" collapsed="1" x14ac:dyDescent="0.2">
      <c r="A2" s="61" t="s">
        <v>7</v>
      </c>
      <c r="B2" s="62">
        <v>152344.21</v>
      </c>
      <c r="C2" s="54">
        <v>0</v>
      </c>
      <c r="D2" s="54">
        <v>176395.13</v>
      </c>
      <c r="E2" s="63"/>
      <c r="F2" s="64">
        <v>86.365315187556476</v>
      </c>
      <c r="G2" s="65">
        <v>164662.1</v>
      </c>
      <c r="H2" s="54">
        <v>181547.18</v>
      </c>
      <c r="I2" s="54">
        <v>175781.38</v>
      </c>
      <c r="J2" s="54">
        <v>152344.21</v>
      </c>
      <c r="K2" s="54">
        <v>14184.29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674334.87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159627.01999999999</v>
      </c>
      <c r="AH2" s="67">
        <v>242978.53</v>
      </c>
      <c r="AI2" s="67">
        <v>192205.11</v>
      </c>
      <c r="AJ2" s="67">
        <v>176395.13</v>
      </c>
      <c r="AK2" s="67">
        <v>202934.05</v>
      </c>
      <c r="AL2" s="67">
        <v>186031.04</v>
      </c>
      <c r="AM2" s="67">
        <v>191805.66</v>
      </c>
      <c r="AN2" s="67">
        <v>188489.34</v>
      </c>
      <c r="AO2" s="67">
        <v>168443.78</v>
      </c>
      <c r="AP2" s="67">
        <v>216060.3</v>
      </c>
      <c r="AQ2" s="67">
        <v>183124.61</v>
      </c>
      <c r="AR2" s="67">
        <v>199990.54</v>
      </c>
      <c r="AS2" s="68">
        <v>771205.79</v>
      </c>
      <c r="AT2" s="63"/>
      <c r="AU2" s="63">
        <v>87.439031026984381</v>
      </c>
    </row>
    <row r="3" spans="1:47" ht="12.75" hidden="1" customHeight="1" outlineLevel="1" x14ac:dyDescent="0.2">
      <c r="A3" s="61" t="s">
        <v>160</v>
      </c>
      <c r="B3" s="62">
        <v>46760.4</v>
      </c>
      <c r="C3" s="54">
        <v>0</v>
      </c>
      <c r="D3" s="54">
        <v>49210.15</v>
      </c>
      <c r="E3" s="63"/>
      <c r="F3" s="64">
        <v>95.021860327595022</v>
      </c>
      <c r="G3" s="65">
        <v>57843.22</v>
      </c>
      <c r="H3" s="54">
        <v>55793.440000000002</v>
      </c>
      <c r="I3" s="54">
        <v>54286.44</v>
      </c>
      <c r="J3" s="54">
        <v>46760.4</v>
      </c>
      <c r="K3" s="54">
        <v>0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214683.5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43942.64</v>
      </c>
      <c r="AH3" s="67">
        <v>53019.62</v>
      </c>
      <c r="AI3" s="67">
        <v>56951.63</v>
      </c>
      <c r="AJ3" s="67">
        <v>49210.15</v>
      </c>
      <c r="AK3" s="67">
        <v>63792.14</v>
      </c>
      <c r="AL3" s="67">
        <v>56020.05</v>
      </c>
      <c r="AM3" s="67">
        <v>56041.41</v>
      </c>
      <c r="AN3" s="67">
        <v>55694.16</v>
      </c>
      <c r="AO3" s="67">
        <v>53179.55</v>
      </c>
      <c r="AP3" s="67">
        <v>57616.4</v>
      </c>
      <c r="AQ3" s="67">
        <v>64929.13</v>
      </c>
      <c r="AR3" s="67">
        <v>60940.639999999999</v>
      </c>
      <c r="AS3" s="68">
        <v>203124.04</v>
      </c>
      <c r="AT3" s="63"/>
      <c r="AU3" s="63">
        <v>105.69083797269884</v>
      </c>
    </row>
    <row r="4" spans="1:47" ht="12.75" hidden="1" customHeight="1" outlineLevel="1" x14ac:dyDescent="0.2">
      <c r="A4" s="61" t="s">
        <v>161</v>
      </c>
      <c r="B4" s="62">
        <v>3765.97</v>
      </c>
      <c r="C4" s="54">
        <v>0</v>
      </c>
      <c r="D4" s="54">
        <v>3823.56</v>
      </c>
      <c r="E4" s="63"/>
      <c r="F4" s="64">
        <v>98.493812049503603</v>
      </c>
      <c r="G4" s="65">
        <v>4162.55</v>
      </c>
      <c r="H4" s="54">
        <v>1125.25</v>
      </c>
      <c r="I4" s="54">
        <v>7758.53</v>
      </c>
      <c r="J4" s="54">
        <v>3765.97</v>
      </c>
      <c r="K4" s="56">
        <v>-1572.66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16812.3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3363.27</v>
      </c>
      <c r="AH4" s="67">
        <v>3671.79</v>
      </c>
      <c r="AI4" s="67">
        <v>4377.8900000000003</v>
      </c>
      <c r="AJ4" s="67">
        <v>3823.56</v>
      </c>
      <c r="AK4" s="67">
        <v>4166.24</v>
      </c>
      <c r="AL4" s="67">
        <v>3597.22</v>
      </c>
      <c r="AM4" s="67">
        <v>3859.41</v>
      </c>
      <c r="AN4" s="67">
        <v>4021.85</v>
      </c>
      <c r="AO4" s="67">
        <v>1006.02</v>
      </c>
      <c r="AP4" s="67">
        <v>5040</v>
      </c>
      <c r="AQ4" s="67">
        <v>5049.9399999999996</v>
      </c>
      <c r="AR4" s="67">
        <v>5204</v>
      </c>
      <c r="AS4" s="68">
        <v>15236.51</v>
      </c>
      <c r="AT4" s="63"/>
      <c r="AU4" s="63">
        <v>110.34219778676351</v>
      </c>
    </row>
    <row r="5" spans="1:47" ht="12.75" hidden="1" customHeight="1" outlineLevel="1" x14ac:dyDescent="0.2">
      <c r="A5" s="61" t="s">
        <v>162</v>
      </c>
      <c r="B5" s="62">
        <v>2680.22</v>
      </c>
      <c r="C5" s="54">
        <v>0</v>
      </c>
      <c r="D5" s="54">
        <v>9347.15</v>
      </c>
      <c r="E5" s="63"/>
      <c r="F5" s="64">
        <v>28.674194808043094</v>
      </c>
      <c r="G5" s="65">
        <v>4984.93</v>
      </c>
      <c r="H5" s="54">
        <v>4020.24</v>
      </c>
      <c r="I5" s="54">
        <v>6534.21</v>
      </c>
      <c r="J5" s="54">
        <v>2680.22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18219.599999999999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6969.41</v>
      </c>
      <c r="AH5" s="67">
        <v>6369.74</v>
      </c>
      <c r="AI5" s="67">
        <v>4140.16</v>
      </c>
      <c r="AJ5" s="67">
        <v>9347.15</v>
      </c>
      <c r="AK5" s="67">
        <v>4265.74</v>
      </c>
      <c r="AL5" s="67">
        <v>5244.23</v>
      </c>
      <c r="AM5" s="67">
        <v>5356.54</v>
      </c>
      <c r="AN5" s="67">
        <v>5345.6</v>
      </c>
      <c r="AO5" s="67">
        <v>5424.77</v>
      </c>
      <c r="AP5" s="67">
        <v>7120.71</v>
      </c>
      <c r="AQ5" s="67">
        <v>3702.28</v>
      </c>
      <c r="AR5" s="67">
        <v>5553.84</v>
      </c>
      <c r="AS5" s="68">
        <v>26826.46</v>
      </c>
      <c r="AT5" s="63"/>
      <c r="AU5" s="63">
        <v>67.916527189946052</v>
      </c>
    </row>
    <row r="6" spans="1:47" ht="12.75" hidden="1" customHeight="1" outlineLevel="1" x14ac:dyDescent="0.2">
      <c r="A6" s="61" t="s">
        <v>163</v>
      </c>
      <c r="B6" s="62">
        <v>0</v>
      </c>
      <c r="C6" s="54">
        <v>0</v>
      </c>
      <c r="D6" s="54">
        <v>683.44</v>
      </c>
      <c r="E6" s="63"/>
      <c r="F6" s="64">
        <v>0</v>
      </c>
      <c r="G6" s="65">
        <v>683.44</v>
      </c>
      <c r="H6" s="54">
        <v>683.44</v>
      </c>
      <c r="I6" s="56">
        <v>-1366.88</v>
      </c>
      <c r="J6" s="54">
        <v>0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0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675</v>
      </c>
      <c r="AH6" s="67">
        <v>675</v>
      </c>
      <c r="AI6" s="67">
        <v>675</v>
      </c>
      <c r="AJ6" s="67">
        <v>683.44</v>
      </c>
      <c r="AK6" s="67">
        <v>683.44</v>
      </c>
      <c r="AL6" s="67">
        <v>683.44</v>
      </c>
      <c r="AM6" s="67">
        <v>683.44</v>
      </c>
      <c r="AN6" s="67">
        <v>683.44</v>
      </c>
      <c r="AO6" s="67">
        <v>683.44</v>
      </c>
      <c r="AP6" s="67">
        <v>683.44</v>
      </c>
      <c r="AQ6" s="98">
        <v>-6824.04</v>
      </c>
      <c r="AR6" s="67">
        <v>0</v>
      </c>
      <c r="AS6" s="68">
        <v>2708.44</v>
      </c>
      <c r="AT6" s="63"/>
      <c r="AU6" s="63">
        <v>0</v>
      </c>
    </row>
    <row r="7" spans="1:47" ht="12.75" hidden="1" customHeight="1" outlineLevel="1" x14ac:dyDescent="0.2">
      <c r="A7" s="61" t="s">
        <v>164</v>
      </c>
      <c r="B7" s="62">
        <v>619.26</v>
      </c>
      <c r="C7" s="54">
        <v>0</v>
      </c>
      <c r="D7" s="54">
        <v>445.48</v>
      </c>
      <c r="E7" s="63"/>
      <c r="F7" s="64">
        <v>139.00960761425878</v>
      </c>
      <c r="G7" s="97">
        <v>-717.17</v>
      </c>
      <c r="H7" s="54">
        <v>619.26</v>
      </c>
      <c r="I7" s="54">
        <v>619.26</v>
      </c>
      <c r="J7" s="54">
        <v>619.26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1140.6099999999999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445.48</v>
      </c>
      <c r="AH7" s="67">
        <v>445.48</v>
      </c>
      <c r="AI7" s="67">
        <v>445.48</v>
      </c>
      <c r="AJ7" s="67">
        <v>445.48</v>
      </c>
      <c r="AK7" s="67">
        <v>445.48</v>
      </c>
      <c r="AL7" s="67">
        <v>445.48</v>
      </c>
      <c r="AM7" s="67">
        <v>445.48</v>
      </c>
      <c r="AN7" s="67">
        <v>445.48</v>
      </c>
      <c r="AO7" s="67">
        <v>445.48</v>
      </c>
      <c r="AP7" s="67">
        <v>445.48</v>
      </c>
      <c r="AQ7" s="67">
        <v>445.47</v>
      </c>
      <c r="AR7" s="67">
        <v>1064.74</v>
      </c>
      <c r="AS7" s="68">
        <v>1781.92</v>
      </c>
      <c r="AT7" s="63"/>
      <c r="AU7" s="63">
        <v>64.01016880668044</v>
      </c>
    </row>
    <row r="8" spans="1:47" ht="12.75" hidden="1" customHeight="1" outlineLevel="1" x14ac:dyDescent="0.2">
      <c r="A8" s="61" t="s">
        <v>165</v>
      </c>
      <c r="B8" s="62">
        <v>5049.9399999999996</v>
      </c>
      <c r="C8" s="54">
        <v>0</v>
      </c>
      <c r="D8" s="54">
        <v>4489.59</v>
      </c>
      <c r="E8" s="63"/>
      <c r="F8" s="64">
        <v>112.48109515568237</v>
      </c>
      <c r="G8" s="65">
        <v>5359.86</v>
      </c>
      <c r="H8" s="54">
        <v>5560.04</v>
      </c>
      <c r="I8" s="54">
        <v>5610.11</v>
      </c>
      <c r="J8" s="54">
        <v>5049.9399999999996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66">
        <v>21579.95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66">
        <v>0</v>
      </c>
      <c r="AG8" s="67">
        <v>3925.35</v>
      </c>
      <c r="AH8" s="67">
        <v>4208.62</v>
      </c>
      <c r="AI8" s="67">
        <v>5050.7700000000004</v>
      </c>
      <c r="AJ8" s="67">
        <v>4489.59</v>
      </c>
      <c r="AK8" s="67">
        <v>5572.62</v>
      </c>
      <c r="AL8" s="67">
        <v>4535.8500000000004</v>
      </c>
      <c r="AM8" s="67">
        <v>4741.58</v>
      </c>
      <c r="AN8" s="67">
        <v>5050.99</v>
      </c>
      <c r="AO8" s="67">
        <v>4931.37</v>
      </c>
      <c r="AP8" s="67">
        <v>5333</v>
      </c>
      <c r="AQ8" s="67">
        <v>5911.04</v>
      </c>
      <c r="AR8" s="67">
        <v>5706.96</v>
      </c>
      <c r="AS8" s="68">
        <v>17674.330000000002</v>
      </c>
      <c r="AT8" s="63"/>
      <c r="AU8" s="63">
        <v>122.09769762135255</v>
      </c>
    </row>
    <row r="9" spans="1:47" s="365" customFormat="1" hidden="1" outlineLevel="1" x14ac:dyDescent="0.2">
      <c r="A9" s="61" t="s">
        <v>39</v>
      </c>
      <c r="B9" s="62">
        <v>0</v>
      </c>
      <c r="C9" s="54"/>
      <c r="D9" s="54">
        <v>3884.31</v>
      </c>
      <c r="E9" s="63"/>
      <c r="F9" s="64">
        <v>0</v>
      </c>
      <c r="G9" s="65">
        <v>130.15</v>
      </c>
      <c r="H9" s="56">
        <v>-130.15</v>
      </c>
      <c r="I9" s="54">
        <v>0</v>
      </c>
      <c r="J9" s="54">
        <v>0</v>
      </c>
      <c r="K9" s="54">
        <v>0</v>
      </c>
      <c r="L9" s="54">
        <v>0</v>
      </c>
      <c r="M9" s="54">
        <v>0</v>
      </c>
      <c r="N9" s="54">
        <v>0</v>
      </c>
      <c r="O9" s="54">
        <v>0</v>
      </c>
      <c r="P9" s="54">
        <v>0</v>
      </c>
      <c r="Q9" s="54">
        <v>0</v>
      </c>
      <c r="R9" s="54">
        <v>0</v>
      </c>
      <c r="S9" s="66">
        <v>0</v>
      </c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66"/>
      <c r="AG9" s="67">
        <v>949.06</v>
      </c>
      <c r="AH9" s="67">
        <v>3217.44</v>
      </c>
      <c r="AI9" s="67">
        <v>5043.8999999999996</v>
      </c>
      <c r="AJ9" s="67">
        <v>3884.31</v>
      </c>
      <c r="AK9" s="67">
        <v>9279.64</v>
      </c>
      <c r="AL9" s="67">
        <v>3477.19</v>
      </c>
      <c r="AM9" s="67">
        <v>32084.25</v>
      </c>
      <c r="AN9" s="98">
        <v>-26581.98</v>
      </c>
      <c r="AO9" s="67">
        <v>4087.96</v>
      </c>
      <c r="AP9" s="67">
        <v>1794.9</v>
      </c>
      <c r="AQ9" s="67">
        <v>0</v>
      </c>
      <c r="AR9" s="67">
        <v>736.58</v>
      </c>
      <c r="AS9" s="68">
        <v>13094.71</v>
      </c>
      <c r="AT9" s="63"/>
      <c r="AU9" s="63">
        <v>0</v>
      </c>
    </row>
    <row r="10" spans="1:47" ht="12.75" customHeight="1" collapsed="1" x14ac:dyDescent="0.2">
      <c r="A10" s="69" t="s">
        <v>166</v>
      </c>
      <c r="B10" s="70">
        <v>58875.79</v>
      </c>
      <c r="C10" s="71">
        <v>0</v>
      </c>
      <c r="D10" s="71">
        <v>71883.679999999993</v>
      </c>
      <c r="E10" s="72"/>
      <c r="F10" s="73">
        <v>81.904251423967168</v>
      </c>
      <c r="G10" s="70">
        <v>72446.98</v>
      </c>
      <c r="H10" s="71">
        <v>67671.520000000004</v>
      </c>
      <c r="I10" s="71">
        <v>73441.67</v>
      </c>
      <c r="J10" s="71">
        <v>58875.79</v>
      </c>
      <c r="K10" s="74">
        <v>-1572.66</v>
      </c>
      <c r="L10" s="71">
        <v>0</v>
      </c>
      <c r="M10" s="71">
        <v>0</v>
      </c>
      <c r="N10" s="71">
        <v>0</v>
      </c>
      <c r="O10" s="71">
        <v>0</v>
      </c>
      <c r="P10" s="71">
        <v>0</v>
      </c>
      <c r="Q10" s="71">
        <v>0</v>
      </c>
      <c r="R10" s="71">
        <v>0</v>
      </c>
      <c r="S10" s="71">
        <v>272435.96000000002</v>
      </c>
      <c r="T10" s="71">
        <v>0</v>
      </c>
      <c r="U10" s="71">
        <v>0</v>
      </c>
      <c r="V10" s="71">
        <v>0</v>
      </c>
      <c r="W10" s="71">
        <v>0</v>
      </c>
      <c r="X10" s="71">
        <v>0</v>
      </c>
      <c r="Y10" s="71">
        <v>0</v>
      </c>
      <c r="Z10" s="71">
        <v>0</v>
      </c>
      <c r="AA10" s="71">
        <v>0</v>
      </c>
      <c r="AB10" s="71">
        <v>0</v>
      </c>
      <c r="AC10" s="71">
        <v>0</v>
      </c>
      <c r="AD10" s="71">
        <v>0</v>
      </c>
      <c r="AE10" s="71">
        <v>0</v>
      </c>
      <c r="AF10" s="71">
        <v>0</v>
      </c>
      <c r="AG10" s="75">
        <v>60270.21</v>
      </c>
      <c r="AH10" s="75">
        <v>71607.69</v>
      </c>
      <c r="AI10" s="75">
        <v>76684.83</v>
      </c>
      <c r="AJ10" s="75">
        <v>71883.679999999993</v>
      </c>
      <c r="AK10" s="75">
        <v>88205.3</v>
      </c>
      <c r="AL10" s="75">
        <v>74003.460000000006</v>
      </c>
      <c r="AM10" s="75">
        <v>103212.11</v>
      </c>
      <c r="AN10" s="75">
        <v>44659.54</v>
      </c>
      <c r="AO10" s="75">
        <v>69758.59</v>
      </c>
      <c r="AP10" s="75">
        <v>78033.929999999993</v>
      </c>
      <c r="AQ10" s="75">
        <v>73213.820000000007</v>
      </c>
      <c r="AR10" s="75">
        <v>79206.759999999995</v>
      </c>
      <c r="AS10" s="75">
        <v>280446.40999999997</v>
      </c>
      <c r="AT10" s="72"/>
      <c r="AU10" s="72">
        <v>97.143678893946259</v>
      </c>
    </row>
    <row r="11" spans="1:47" ht="12.75" customHeight="1" x14ac:dyDescent="0.2">
      <c r="A11" s="61" t="s">
        <v>167</v>
      </c>
      <c r="B11" s="62">
        <v>16382.63</v>
      </c>
      <c r="C11" s="54">
        <v>0</v>
      </c>
      <c r="D11" s="54">
        <v>19998.919999999998</v>
      </c>
      <c r="E11" s="63"/>
      <c r="F11" s="64">
        <v>81.917573548971646</v>
      </c>
      <c r="G11" s="65">
        <v>28345.67</v>
      </c>
      <c r="H11" s="54">
        <v>20771.04</v>
      </c>
      <c r="I11" s="54">
        <v>32721.53</v>
      </c>
      <c r="J11" s="54">
        <v>16382.63</v>
      </c>
      <c r="K11" s="56">
        <v>-21110.33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66">
        <v>98220.87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0</v>
      </c>
      <c r="AC11" s="54">
        <v>0</v>
      </c>
      <c r="AD11" s="54">
        <v>0</v>
      </c>
      <c r="AE11" s="54">
        <v>0</v>
      </c>
      <c r="AF11" s="66">
        <v>0</v>
      </c>
      <c r="AG11" s="67">
        <v>38182.870000000003</v>
      </c>
      <c r="AH11" s="67">
        <v>15381.12</v>
      </c>
      <c r="AI11" s="67">
        <v>28745.93</v>
      </c>
      <c r="AJ11" s="67">
        <v>19998.919999999998</v>
      </c>
      <c r="AK11" s="67">
        <v>36109.15</v>
      </c>
      <c r="AL11" s="67">
        <v>44974.720000000001</v>
      </c>
      <c r="AM11" s="98">
        <v>-3436.46</v>
      </c>
      <c r="AN11" s="67">
        <v>37683.35</v>
      </c>
      <c r="AO11" s="67">
        <v>3782.96</v>
      </c>
      <c r="AP11" s="67">
        <v>36622.57</v>
      </c>
      <c r="AQ11" s="67">
        <v>45203.57</v>
      </c>
      <c r="AR11" s="67">
        <v>37412.120000000003</v>
      </c>
      <c r="AS11" s="68">
        <v>102308.84</v>
      </c>
      <c r="AT11" s="63"/>
      <c r="AU11" s="63">
        <v>96.004284673738852</v>
      </c>
    </row>
    <row r="12" spans="1:47" ht="12.75" customHeight="1" x14ac:dyDescent="0.2">
      <c r="A12" s="61" t="s">
        <v>168</v>
      </c>
      <c r="B12" s="62">
        <v>2057.4899999999998</v>
      </c>
      <c r="C12" s="54">
        <v>0</v>
      </c>
      <c r="D12" s="54">
        <v>2308.37</v>
      </c>
      <c r="E12" s="63"/>
      <c r="F12" s="64">
        <v>89.131724983429862</v>
      </c>
      <c r="G12" s="65">
        <v>3921.51</v>
      </c>
      <c r="H12" s="54">
        <v>5009.16</v>
      </c>
      <c r="I12" s="54">
        <v>3889.59</v>
      </c>
      <c r="J12" s="54">
        <v>2057.4899999999998</v>
      </c>
      <c r="K12" s="56">
        <v>-112.95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66">
        <v>14877.75</v>
      </c>
      <c r="T12" s="54">
        <v>0</v>
      </c>
      <c r="U12" s="54">
        <v>0</v>
      </c>
      <c r="V12" s="54">
        <v>0</v>
      </c>
      <c r="W12" s="54">
        <v>0</v>
      </c>
      <c r="X12" s="54">
        <v>0</v>
      </c>
      <c r="Y12" s="54">
        <v>0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66">
        <v>0</v>
      </c>
      <c r="AG12" s="67">
        <v>11884.61</v>
      </c>
      <c r="AH12" s="67">
        <v>3458.82</v>
      </c>
      <c r="AI12" s="67">
        <v>8357.7900000000009</v>
      </c>
      <c r="AJ12" s="67">
        <v>2308.37</v>
      </c>
      <c r="AK12" s="67">
        <v>4006.91</v>
      </c>
      <c r="AL12" s="67">
        <v>4664.99</v>
      </c>
      <c r="AM12" s="98">
        <v>-5805.18</v>
      </c>
      <c r="AN12" s="67">
        <v>3561.1</v>
      </c>
      <c r="AO12" s="67">
        <v>9208.27</v>
      </c>
      <c r="AP12" s="67">
        <v>3742.8</v>
      </c>
      <c r="AQ12" s="67">
        <v>6157.85</v>
      </c>
      <c r="AR12" s="98">
        <v>-9317.1</v>
      </c>
      <c r="AS12" s="68">
        <v>26009.59</v>
      </c>
      <c r="AT12" s="63"/>
      <c r="AU12" s="63">
        <v>57.201017009495345</v>
      </c>
    </row>
    <row r="13" spans="1:47" ht="12.75" customHeight="1" x14ac:dyDescent="0.2">
      <c r="A13" s="61" t="s">
        <v>169</v>
      </c>
      <c r="B13" s="62">
        <v>12320.72</v>
      </c>
      <c r="C13" s="54">
        <v>0</v>
      </c>
      <c r="D13" s="54">
        <v>9993.5400000000009</v>
      </c>
      <c r="E13" s="63"/>
      <c r="F13" s="64">
        <v>123.2868433007723</v>
      </c>
      <c r="G13" s="65">
        <v>7231.68</v>
      </c>
      <c r="H13" s="54">
        <v>12424.92</v>
      </c>
      <c r="I13" s="54">
        <v>5224.3900000000003</v>
      </c>
      <c r="J13" s="54">
        <v>12320.72</v>
      </c>
      <c r="K13" s="56">
        <v>-3041.78</v>
      </c>
      <c r="L13" s="54">
        <v>0</v>
      </c>
      <c r="M13" s="54">
        <v>0</v>
      </c>
      <c r="N13" s="54">
        <v>0</v>
      </c>
      <c r="O13" s="54">
        <v>0</v>
      </c>
      <c r="P13" s="54">
        <v>0</v>
      </c>
      <c r="Q13" s="54">
        <v>0</v>
      </c>
      <c r="R13" s="54">
        <v>0</v>
      </c>
      <c r="S13" s="66">
        <v>37201.71</v>
      </c>
      <c r="T13" s="54">
        <v>0</v>
      </c>
      <c r="U13" s="54">
        <v>0</v>
      </c>
      <c r="V13" s="54">
        <v>0</v>
      </c>
      <c r="W13" s="54">
        <v>0</v>
      </c>
      <c r="X13" s="54">
        <v>0</v>
      </c>
      <c r="Y13" s="54">
        <v>0</v>
      </c>
      <c r="Z13" s="54">
        <v>0</v>
      </c>
      <c r="AA13" s="54">
        <v>0</v>
      </c>
      <c r="AB13" s="54">
        <v>0</v>
      </c>
      <c r="AC13" s="54">
        <v>0</v>
      </c>
      <c r="AD13" s="54">
        <v>0</v>
      </c>
      <c r="AE13" s="54">
        <v>0</v>
      </c>
      <c r="AF13" s="66">
        <v>0</v>
      </c>
      <c r="AG13" s="67">
        <v>2468.31</v>
      </c>
      <c r="AH13" s="67">
        <v>10492.35</v>
      </c>
      <c r="AI13" s="67">
        <v>10392.65</v>
      </c>
      <c r="AJ13" s="67">
        <v>9993.5400000000009</v>
      </c>
      <c r="AK13" s="67">
        <v>10367.120000000001</v>
      </c>
      <c r="AL13" s="67">
        <v>8870.56</v>
      </c>
      <c r="AM13" s="67">
        <v>10045.030000000001</v>
      </c>
      <c r="AN13" s="67">
        <v>13979.87</v>
      </c>
      <c r="AO13" s="67">
        <v>10708.68</v>
      </c>
      <c r="AP13" s="67">
        <v>14474.07</v>
      </c>
      <c r="AQ13" s="67">
        <v>8365.7999999999993</v>
      </c>
      <c r="AR13" s="67">
        <v>4467.33</v>
      </c>
      <c r="AS13" s="68">
        <v>33346.85</v>
      </c>
      <c r="AT13" s="63"/>
      <c r="AU13" s="63">
        <v>111.559892463606</v>
      </c>
    </row>
    <row r="14" spans="1:47" ht="12.75" customHeight="1" x14ac:dyDescent="0.2">
      <c r="A14" s="61" t="s">
        <v>50</v>
      </c>
      <c r="B14" s="62">
        <v>212.51</v>
      </c>
      <c r="C14" s="54">
        <v>0</v>
      </c>
      <c r="D14" s="54">
        <v>360.46</v>
      </c>
      <c r="E14" s="63"/>
      <c r="F14" s="64">
        <v>58.955223880597018</v>
      </c>
      <c r="G14" s="65">
        <v>0</v>
      </c>
      <c r="H14" s="54">
        <v>418.43</v>
      </c>
      <c r="I14" s="54">
        <v>0</v>
      </c>
      <c r="J14" s="54">
        <v>212.51</v>
      </c>
      <c r="K14" s="54">
        <v>0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630.94000000000005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67">
        <v>0</v>
      </c>
      <c r="AH14" s="67">
        <v>337.01</v>
      </c>
      <c r="AI14" s="67">
        <v>18.16</v>
      </c>
      <c r="AJ14" s="67">
        <v>360.46</v>
      </c>
      <c r="AK14" s="67">
        <v>18.16</v>
      </c>
      <c r="AL14" s="67">
        <v>0</v>
      </c>
      <c r="AM14" s="67">
        <v>0</v>
      </c>
      <c r="AN14" s="67">
        <v>0</v>
      </c>
      <c r="AO14" s="67">
        <v>0</v>
      </c>
      <c r="AP14" s="67">
        <v>0</v>
      </c>
      <c r="AQ14" s="67">
        <v>103.8</v>
      </c>
      <c r="AR14" s="67">
        <v>122.11</v>
      </c>
      <c r="AS14" s="68">
        <v>715.63</v>
      </c>
      <c r="AT14" s="63"/>
      <c r="AU14" s="63">
        <v>88.165672204910365</v>
      </c>
    </row>
    <row r="15" spans="1:47" ht="12.75" customHeight="1" x14ac:dyDescent="0.2">
      <c r="A15" s="61" t="s">
        <v>170</v>
      </c>
      <c r="B15" s="62">
        <v>17964.05</v>
      </c>
      <c r="C15" s="54">
        <v>0</v>
      </c>
      <c r="D15" s="54">
        <v>0</v>
      </c>
      <c r="E15" s="63"/>
      <c r="F15" s="64"/>
      <c r="G15" s="65">
        <v>8662.48</v>
      </c>
      <c r="H15" s="54">
        <v>1676.2</v>
      </c>
      <c r="I15" s="54">
        <v>4585.8599999999997</v>
      </c>
      <c r="J15" s="54">
        <v>17964.05</v>
      </c>
      <c r="K15" s="56">
        <v>-8090.03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66">
        <v>32888.589999999997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66">
        <v>0</v>
      </c>
      <c r="AG15" s="67">
        <v>152.5</v>
      </c>
      <c r="AH15" s="67">
        <v>645</v>
      </c>
      <c r="AI15" s="67">
        <v>371</v>
      </c>
      <c r="AJ15" s="67">
        <v>0</v>
      </c>
      <c r="AK15" s="67">
        <v>0</v>
      </c>
      <c r="AL15" s="67">
        <v>3042.2</v>
      </c>
      <c r="AM15" s="98">
        <v>-303.2</v>
      </c>
      <c r="AN15" s="67">
        <v>80</v>
      </c>
      <c r="AO15" s="67">
        <v>2534</v>
      </c>
      <c r="AP15" s="67">
        <v>1161.0999999999999</v>
      </c>
      <c r="AQ15" s="67">
        <v>2956.46</v>
      </c>
      <c r="AR15" s="67">
        <v>9364.36</v>
      </c>
      <c r="AS15" s="68">
        <v>1168.5</v>
      </c>
      <c r="AT15" s="63"/>
      <c r="AU15" s="63">
        <v>2814.5990586221651</v>
      </c>
    </row>
    <row r="16" spans="1:47" ht="12.75" customHeight="1" x14ac:dyDescent="0.2">
      <c r="A16" s="61" t="s">
        <v>171</v>
      </c>
      <c r="B16" s="62">
        <v>22560.11</v>
      </c>
      <c r="C16" s="54">
        <v>0</v>
      </c>
      <c r="D16" s="54">
        <v>26971.74</v>
      </c>
      <c r="E16" s="63"/>
      <c r="F16" s="64">
        <v>83.643509836591932</v>
      </c>
      <c r="G16" s="65">
        <v>14018.13</v>
      </c>
      <c r="H16" s="54">
        <v>12561.73</v>
      </c>
      <c r="I16" s="54">
        <v>18445.48</v>
      </c>
      <c r="J16" s="54">
        <v>22560.11</v>
      </c>
      <c r="K16" s="56">
        <v>-7500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66">
        <v>67585.45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>
        <v>23084.57</v>
      </c>
      <c r="AH16" s="67">
        <v>29367</v>
      </c>
      <c r="AI16" s="67">
        <v>29759.24</v>
      </c>
      <c r="AJ16" s="67">
        <v>26971.74</v>
      </c>
      <c r="AK16" s="67">
        <v>20850.080000000002</v>
      </c>
      <c r="AL16" s="67">
        <v>12834.28</v>
      </c>
      <c r="AM16" s="67">
        <v>28290.71</v>
      </c>
      <c r="AN16" s="67">
        <v>38855.040000000001</v>
      </c>
      <c r="AO16" s="67">
        <v>19262.18</v>
      </c>
      <c r="AP16" s="67">
        <v>40189.93</v>
      </c>
      <c r="AQ16" s="67">
        <v>21172.86</v>
      </c>
      <c r="AR16" s="67">
        <v>24525.55</v>
      </c>
      <c r="AS16" s="68">
        <v>109182.55</v>
      </c>
      <c r="AT16" s="63"/>
      <c r="AU16" s="63">
        <v>61.901329470689227</v>
      </c>
    </row>
    <row r="17" spans="1:47" ht="12.75" customHeight="1" x14ac:dyDescent="0.2">
      <c r="A17" s="61" t="s">
        <v>172</v>
      </c>
      <c r="B17" s="62">
        <v>315.29000000000002</v>
      </c>
      <c r="C17" s="54">
        <v>0</v>
      </c>
      <c r="D17" s="54">
        <v>1911.91</v>
      </c>
      <c r="E17" s="63"/>
      <c r="F17" s="64">
        <v>16.490839003928009</v>
      </c>
      <c r="G17" s="65">
        <v>2735</v>
      </c>
      <c r="H17" s="54">
        <v>6664.36</v>
      </c>
      <c r="I17" s="54">
        <v>2943.52</v>
      </c>
      <c r="J17" s="54">
        <v>315.29000000000002</v>
      </c>
      <c r="K17" s="56">
        <v>-7598.4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12658.17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966.71</v>
      </c>
      <c r="AH17" s="67">
        <v>1173.6099999999999</v>
      </c>
      <c r="AI17" s="67">
        <v>2676.43</v>
      </c>
      <c r="AJ17" s="67">
        <v>1911.91</v>
      </c>
      <c r="AK17" s="67">
        <v>1045.72</v>
      </c>
      <c r="AL17" s="67">
        <v>18455.36</v>
      </c>
      <c r="AM17" s="98">
        <v>-18455.36</v>
      </c>
      <c r="AN17" s="67">
        <v>0</v>
      </c>
      <c r="AO17" s="67">
        <v>2890.84</v>
      </c>
      <c r="AP17" s="67">
        <v>9364.85</v>
      </c>
      <c r="AQ17" s="98">
        <v>-8021.88</v>
      </c>
      <c r="AR17" s="67">
        <v>604.37</v>
      </c>
      <c r="AS17" s="68">
        <v>6728.66</v>
      </c>
      <c r="AT17" s="63"/>
      <c r="AU17" s="63">
        <v>188.12319243356032</v>
      </c>
    </row>
    <row r="18" spans="1:47" ht="12.75" customHeight="1" x14ac:dyDescent="0.2">
      <c r="A18" s="61" t="s">
        <v>173</v>
      </c>
      <c r="B18" s="62">
        <v>2362.6</v>
      </c>
      <c r="C18" s="54">
        <v>0</v>
      </c>
      <c r="D18" s="54">
        <v>3480.38</v>
      </c>
      <c r="E18" s="63"/>
      <c r="F18" s="64">
        <v>67.883392043397563</v>
      </c>
      <c r="G18" s="65">
        <v>3027.6</v>
      </c>
      <c r="H18" s="54">
        <v>3027.7</v>
      </c>
      <c r="I18" s="54">
        <v>2981.6</v>
      </c>
      <c r="J18" s="54">
        <v>2362.6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11399.5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3548.52</v>
      </c>
      <c r="AH18" s="67">
        <v>3345.01</v>
      </c>
      <c r="AI18" s="67">
        <v>3750.71</v>
      </c>
      <c r="AJ18" s="67">
        <v>3480.38</v>
      </c>
      <c r="AK18" s="67">
        <v>3480.17</v>
      </c>
      <c r="AL18" s="67">
        <v>3480.22</v>
      </c>
      <c r="AM18" s="67">
        <v>3480.35</v>
      </c>
      <c r="AN18" s="67">
        <v>3480.21</v>
      </c>
      <c r="AO18" s="67">
        <v>3480.29</v>
      </c>
      <c r="AP18" s="67">
        <v>3521.4</v>
      </c>
      <c r="AQ18" s="67">
        <v>3596.45</v>
      </c>
      <c r="AR18" s="67">
        <v>3022.69</v>
      </c>
      <c r="AS18" s="68">
        <v>14124.62</v>
      </c>
      <c r="AT18" s="63"/>
      <c r="AU18" s="63">
        <v>80.706596000458774</v>
      </c>
    </row>
    <row r="19" spans="1:47" ht="12.75" customHeight="1" x14ac:dyDescent="0.2">
      <c r="A19" s="61" t="s">
        <v>258</v>
      </c>
      <c r="B19" s="62">
        <v>4380.99</v>
      </c>
      <c r="C19" s="54">
        <v>0</v>
      </c>
      <c r="D19" s="54">
        <v>4108.57</v>
      </c>
      <c r="E19" s="63"/>
      <c r="F19" s="64">
        <v>106.63053081729166</v>
      </c>
      <c r="G19" s="65">
        <v>4444.8500000000004</v>
      </c>
      <c r="H19" s="54">
        <v>4444.8500000000004</v>
      </c>
      <c r="I19" s="54">
        <v>4442.22</v>
      </c>
      <c r="J19" s="54">
        <v>4380.99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17712.91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4518.7</v>
      </c>
      <c r="AH19" s="67">
        <v>4518.7</v>
      </c>
      <c r="AI19" s="67">
        <v>5485.99</v>
      </c>
      <c r="AJ19" s="67">
        <v>4108.57</v>
      </c>
      <c r="AK19" s="67">
        <v>4275.5200000000004</v>
      </c>
      <c r="AL19" s="67">
        <v>4270.01</v>
      </c>
      <c r="AM19" s="67">
        <v>4269.99</v>
      </c>
      <c r="AN19" s="67">
        <v>4261</v>
      </c>
      <c r="AO19" s="67">
        <v>4266.7700000000004</v>
      </c>
      <c r="AP19" s="67">
        <v>4373.75</v>
      </c>
      <c r="AQ19" s="67">
        <v>4320.1400000000003</v>
      </c>
      <c r="AR19" s="67">
        <v>4561.2299999999996</v>
      </c>
      <c r="AS19" s="68">
        <v>18631.96</v>
      </c>
      <c r="AT19" s="63"/>
      <c r="AU19" s="63">
        <v>95.067346645226806</v>
      </c>
    </row>
    <row r="20" spans="1:47" ht="12.75" hidden="1" customHeight="1" outlineLevel="1" x14ac:dyDescent="0.2">
      <c r="A20" s="61" t="s">
        <v>109</v>
      </c>
      <c r="B20" s="62">
        <v>548.17999999999995</v>
      </c>
      <c r="C20" s="54">
        <v>0</v>
      </c>
      <c r="D20" s="54">
        <v>4080</v>
      </c>
      <c r="E20" s="63"/>
      <c r="F20" s="64">
        <v>13.43578431372549</v>
      </c>
      <c r="G20" s="65">
        <v>0</v>
      </c>
      <c r="H20" s="54">
        <v>50.01</v>
      </c>
      <c r="I20" s="54">
        <v>0</v>
      </c>
      <c r="J20" s="54">
        <v>548.17999999999995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66">
        <v>598.19000000000005</v>
      </c>
      <c r="T20" s="54">
        <v>0</v>
      </c>
      <c r="U20" s="54">
        <v>0</v>
      </c>
      <c r="V20" s="54">
        <v>0</v>
      </c>
      <c r="W20" s="54">
        <v>0</v>
      </c>
      <c r="X20" s="54">
        <v>0</v>
      </c>
      <c r="Y20" s="54">
        <v>0</v>
      </c>
      <c r="Z20" s="54">
        <v>0</v>
      </c>
      <c r="AA20" s="54">
        <v>0</v>
      </c>
      <c r="AB20" s="54">
        <v>0</v>
      </c>
      <c r="AC20" s="54">
        <v>0</v>
      </c>
      <c r="AD20" s="54">
        <v>0</v>
      </c>
      <c r="AE20" s="54">
        <v>0</v>
      </c>
      <c r="AF20" s="66">
        <v>0</v>
      </c>
      <c r="AG20" s="67">
        <v>2565</v>
      </c>
      <c r="AH20" s="67">
        <v>0</v>
      </c>
      <c r="AI20" s="67">
        <v>0</v>
      </c>
      <c r="AJ20" s="67">
        <v>4080</v>
      </c>
      <c r="AK20" s="67">
        <v>120.45</v>
      </c>
      <c r="AL20" s="67">
        <v>750</v>
      </c>
      <c r="AM20" s="67">
        <v>1700</v>
      </c>
      <c r="AN20" s="67">
        <v>2450</v>
      </c>
      <c r="AO20" s="67">
        <v>3666</v>
      </c>
      <c r="AP20" s="67">
        <v>0</v>
      </c>
      <c r="AQ20" s="67">
        <v>1070</v>
      </c>
      <c r="AR20" s="67">
        <v>0</v>
      </c>
      <c r="AS20" s="68">
        <v>6645</v>
      </c>
      <c r="AT20" s="63"/>
      <c r="AU20" s="63">
        <v>9.0021068472535735</v>
      </c>
    </row>
    <row r="21" spans="1:47" ht="12.75" hidden="1" customHeight="1" outlineLevel="1" x14ac:dyDescent="0.2">
      <c r="A21" s="61" t="s">
        <v>97</v>
      </c>
      <c r="B21" s="62">
        <v>181</v>
      </c>
      <c r="C21" s="54">
        <v>0</v>
      </c>
      <c r="D21" s="54">
        <v>776.58</v>
      </c>
      <c r="E21" s="63"/>
      <c r="F21" s="64">
        <v>23.307321847073062</v>
      </c>
      <c r="G21" s="65">
        <v>181</v>
      </c>
      <c r="H21" s="54">
        <v>181</v>
      </c>
      <c r="I21" s="54">
        <v>181</v>
      </c>
      <c r="J21" s="54">
        <v>181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66">
        <v>724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4">
        <v>0</v>
      </c>
      <c r="AB21" s="54">
        <v>0</v>
      </c>
      <c r="AC21" s="54">
        <v>0</v>
      </c>
      <c r="AD21" s="54">
        <v>0</v>
      </c>
      <c r="AE21" s="54">
        <v>0</v>
      </c>
      <c r="AF21" s="66">
        <v>0</v>
      </c>
      <c r="AG21" s="67">
        <v>595.58000000000004</v>
      </c>
      <c r="AH21" s="67">
        <v>595.58000000000004</v>
      </c>
      <c r="AI21" s="67">
        <v>854.33</v>
      </c>
      <c r="AJ21" s="67">
        <v>776.58</v>
      </c>
      <c r="AK21" s="67">
        <v>658.56</v>
      </c>
      <c r="AL21" s="67">
        <v>776.58</v>
      </c>
      <c r="AM21" s="67">
        <v>181</v>
      </c>
      <c r="AN21" s="67">
        <v>181</v>
      </c>
      <c r="AO21" s="67">
        <v>181</v>
      </c>
      <c r="AP21" s="67">
        <v>181</v>
      </c>
      <c r="AQ21" s="67">
        <v>181</v>
      </c>
      <c r="AR21" s="67">
        <v>181</v>
      </c>
      <c r="AS21" s="68">
        <v>2822.07</v>
      </c>
      <c r="AT21" s="63"/>
      <c r="AU21" s="63">
        <v>25.654927057089299</v>
      </c>
    </row>
    <row r="22" spans="1:47" ht="12.75" hidden="1" customHeight="1" outlineLevel="1" x14ac:dyDescent="0.2">
      <c r="A22" s="61" t="s">
        <v>69</v>
      </c>
      <c r="B22" s="62">
        <v>1655.59</v>
      </c>
      <c r="C22" s="54">
        <v>0</v>
      </c>
      <c r="D22" s="54">
        <v>728</v>
      </c>
      <c r="E22" s="63"/>
      <c r="F22" s="64">
        <v>227.41620879120879</v>
      </c>
      <c r="G22" s="65">
        <v>5544.05</v>
      </c>
      <c r="H22" s="54">
        <v>6179.59</v>
      </c>
      <c r="I22" s="54">
        <v>2187.59</v>
      </c>
      <c r="J22" s="54">
        <v>1655.59</v>
      </c>
      <c r="K22" s="54">
        <v>0</v>
      </c>
      <c r="L22" s="54">
        <v>0</v>
      </c>
      <c r="M22" s="54">
        <v>0</v>
      </c>
      <c r="N22" s="54">
        <v>0</v>
      </c>
      <c r="O22" s="54">
        <v>0</v>
      </c>
      <c r="P22" s="54">
        <v>0</v>
      </c>
      <c r="Q22" s="54">
        <v>0</v>
      </c>
      <c r="R22" s="54">
        <v>0</v>
      </c>
      <c r="S22" s="66">
        <v>15566.82</v>
      </c>
      <c r="T22" s="54">
        <v>0</v>
      </c>
      <c r="U22" s="54">
        <v>0</v>
      </c>
      <c r="V22" s="54">
        <v>0</v>
      </c>
      <c r="W22" s="54">
        <v>0</v>
      </c>
      <c r="X22" s="54">
        <v>0</v>
      </c>
      <c r="Y22" s="54">
        <v>0</v>
      </c>
      <c r="Z22" s="54">
        <v>0</v>
      </c>
      <c r="AA22" s="54">
        <v>0</v>
      </c>
      <c r="AB22" s="54">
        <v>0</v>
      </c>
      <c r="AC22" s="54">
        <v>0</v>
      </c>
      <c r="AD22" s="54">
        <v>0</v>
      </c>
      <c r="AE22" s="54">
        <v>0</v>
      </c>
      <c r="AF22" s="66">
        <v>0</v>
      </c>
      <c r="AG22" s="67">
        <v>1121</v>
      </c>
      <c r="AH22" s="67">
        <v>6336.17</v>
      </c>
      <c r="AI22" s="67">
        <v>1058.5</v>
      </c>
      <c r="AJ22" s="67">
        <v>728</v>
      </c>
      <c r="AK22" s="67">
        <v>3719</v>
      </c>
      <c r="AL22" s="67">
        <v>4882.3999999999996</v>
      </c>
      <c r="AM22" s="67">
        <v>15397.77</v>
      </c>
      <c r="AN22" s="98">
        <v>-13412.33</v>
      </c>
      <c r="AO22" s="67">
        <v>7958.11</v>
      </c>
      <c r="AP22" s="67">
        <v>510</v>
      </c>
      <c r="AQ22" s="67">
        <v>4401.28</v>
      </c>
      <c r="AR22" s="67">
        <v>6687.84</v>
      </c>
      <c r="AS22" s="68">
        <v>9243.67</v>
      </c>
      <c r="AT22" s="63"/>
      <c r="AU22" s="63">
        <v>168.40518971360942</v>
      </c>
    </row>
    <row r="23" spans="1:47" ht="12.75" customHeight="1" collapsed="1" x14ac:dyDescent="0.2">
      <c r="A23" s="69" t="s">
        <v>70</v>
      </c>
      <c r="B23" s="70">
        <v>2384.77</v>
      </c>
      <c r="C23" s="71">
        <v>0</v>
      </c>
      <c r="D23" s="71">
        <v>5584.58</v>
      </c>
      <c r="E23" s="72"/>
      <c r="F23" s="73">
        <v>42.702763681422773</v>
      </c>
      <c r="G23" s="70">
        <v>5725.05</v>
      </c>
      <c r="H23" s="71">
        <v>6410.6</v>
      </c>
      <c r="I23" s="71">
        <v>2368.59</v>
      </c>
      <c r="J23" s="71">
        <v>2384.77</v>
      </c>
      <c r="K23" s="71">
        <v>0</v>
      </c>
      <c r="L23" s="71">
        <v>0</v>
      </c>
      <c r="M23" s="71">
        <v>0</v>
      </c>
      <c r="N23" s="71">
        <v>0</v>
      </c>
      <c r="O23" s="71">
        <v>0</v>
      </c>
      <c r="P23" s="71">
        <v>0</v>
      </c>
      <c r="Q23" s="71">
        <v>0</v>
      </c>
      <c r="R23" s="71">
        <v>0</v>
      </c>
      <c r="S23" s="71">
        <v>16889.009999999998</v>
      </c>
      <c r="T23" s="71">
        <v>0</v>
      </c>
      <c r="U23" s="71">
        <v>0</v>
      </c>
      <c r="V23" s="71">
        <v>0</v>
      </c>
      <c r="W23" s="71">
        <v>0</v>
      </c>
      <c r="X23" s="71">
        <v>0</v>
      </c>
      <c r="Y23" s="71">
        <v>0</v>
      </c>
      <c r="Z23" s="71">
        <v>0</v>
      </c>
      <c r="AA23" s="71">
        <v>0</v>
      </c>
      <c r="AB23" s="71">
        <v>0</v>
      </c>
      <c r="AC23" s="71">
        <v>0</v>
      </c>
      <c r="AD23" s="71">
        <v>0</v>
      </c>
      <c r="AE23" s="71">
        <v>0</v>
      </c>
      <c r="AF23" s="71">
        <v>0</v>
      </c>
      <c r="AG23" s="75">
        <v>4281.58</v>
      </c>
      <c r="AH23" s="75">
        <v>6931.75</v>
      </c>
      <c r="AI23" s="75">
        <v>1912.83</v>
      </c>
      <c r="AJ23" s="75">
        <v>5584.58</v>
      </c>
      <c r="AK23" s="75">
        <v>4498.01</v>
      </c>
      <c r="AL23" s="75">
        <v>6408.98</v>
      </c>
      <c r="AM23" s="75">
        <v>17278.77</v>
      </c>
      <c r="AN23" s="134">
        <v>-10781.33</v>
      </c>
      <c r="AO23" s="75">
        <v>11805.11</v>
      </c>
      <c r="AP23" s="75">
        <v>691</v>
      </c>
      <c r="AQ23" s="75">
        <v>5652.28</v>
      </c>
      <c r="AR23" s="75">
        <v>6868.84</v>
      </c>
      <c r="AS23" s="75">
        <v>18710.740000000002</v>
      </c>
      <c r="AT23" s="72"/>
      <c r="AU23" s="72">
        <v>90.263720194925483</v>
      </c>
    </row>
    <row r="24" spans="1:47" ht="12.75" hidden="1" customHeight="1" outlineLevel="1" x14ac:dyDescent="0.2">
      <c r="A24" s="61" t="s">
        <v>174</v>
      </c>
      <c r="B24" s="62">
        <v>0</v>
      </c>
      <c r="C24" s="54">
        <v>0</v>
      </c>
      <c r="D24" s="54">
        <v>0</v>
      </c>
      <c r="E24" s="63"/>
      <c r="F24" s="64"/>
      <c r="G24" s="65">
        <v>0</v>
      </c>
      <c r="H24" s="54">
        <v>0</v>
      </c>
      <c r="I24" s="54">
        <v>0</v>
      </c>
      <c r="J24" s="54">
        <v>0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0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0</v>
      </c>
      <c r="AH24" s="67">
        <v>0</v>
      </c>
      <c r="AI24" s="67">
        <v>0</v>
      </c>
      <c r="AJ24" s="67">
        <v>0</v>
      </c>
      <c r="AK24" s="67">
        <v>0</v>
      </c>
      <c r="AL24" s="67">
        <v>0</v>
      </c>
      <c r="AM24" s="67">
        <v>0</v>
      </c>
      <c r="AN24" s="67">
        <v>0</v>
      </c>
      <c r="AO24" s="67">
        <v>0</v>
      </c>
      <c r="AP24" s="67">
        <v>0</v>
      </c>
      <c r="AQ24" s="67">
        <v>0</v>
      </c>
      <c r="AR24" s="67">
        <v>0</v>
      </c>
      <c r="AS24" s="68">
        <v>0</v>
      </c>
      <c r="AT24" s="63"/>
      <c r="AU24" s="63"/>
    </row>
    <row r="25" spans="1:47" ht="12.75" hidden="1" customHeight="1" outlineLevel="1" x14ac:dyDescent="0.2">
      <c r="A25" s="61" t="s">
        <v>99</v>
      </c>
      <c r="B25" s="62">
        <v>2922.01</v>
      </c>
      <c r="C25" s="54">
        <v>0</v>
      </c>
      <c r="D25" s="54">
        <v>2028.72</v>
      </c>
      <c r="E25" s="63"/>
      <c r="F25" s="64">
        <v>144.03219764186284</v>
      </c>
      <c r="G25" s="65">
        <v>2326.63</v>
      </c>
      <c r="H25" s="54">
        <v>0</v>
      </c>
      <c r="I25" s="54">
        <v>1345.5</v>
      </c>
      <c r="J25" s="54">
        <v>2922.01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6594.14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0</v>
      </c>
      <c r="AH25" s="67">
        <v>3434.78</v>
      </c>
      <c r="AI25" s="98">
        <v>-67.819999999999993</v>
      </c>
      <c r="AJ25" s="67">
        <v>2028.72</v>
      </c>
      <c r="AK25" s="67">
        <v>1645.87</v>
      </c>
      <c r="AL25" s="67">
        <v>1504.35</v>
      </c>
      <c r="AM25" s="67">
        <v>1792.49</v>
      </c>
      <c r="AN25" s="67">
        <v>1451.33</v>
      </c>
      <c r="AO25" s="67">
        <v>0</v>
      </c>
      <c r="AP25" s="67">
        <v>0</v>
      </c>
      <c r="AQ25" s="67">
        <v>1790.07</v>
      </c>
      <c r="AR25" s="67">
        <v>0</v>
      </c>
      <c r="AS25" s="68">
        <v>5395.68</v>
      </c>
      <c r="AT25" s="63"/>
      <c r="AU25" s="63">
        <v>122.21147288200932</v>
      </c>
    </row>
    <row r="26" spans="1:47" ht="12.75" hidden="1" customHeight="1" outlineLevel="1" x14ac:dyDescent="0.2">
      <c r="A26" s="61" t="s">
        <v>175</v>
      </c>
      <c r="B26" s="62"/>
      <c r="C26" s="54"/>
      <c r="D26" s="54"/>
      <c r="E26" s="63"/>
      <c r="F26" s="64"/>
      <c r="G26" s="65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66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66"/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8"/>
      <c r="AT26" s="63"/>
      <c r="AU26" s="63"/>
    </row>
    <row r="27" spans="1:47" ht="12.75" hidden="1" customHeight="1" outlineLevel="1" x14ac:dyDescent="0.2">
      <c r="A27" s="61" t="s">
        <v>100</v>
      </c>
      <c r="B27" s="62">
        <v>580.54</v>
      </c>
      <c r="C27" s="54">
        <v>0</v>
      </c>
      <c r="D27" s="54">
        <v>543.04999999999995</v>
      </c>
      <c r="E27" s="63"/>
      <c r="F27" s="64">
        <v>106.90360003682902</v>
      </c>
      <c r="G27" s="65">
        <v>0</v>
      </c>
      <c r="H27" s="54">
        <v>1044.98</v>
      </c>
      <c r="I27" s="54">
        <v>464.44</v>
      </c>
      <c r="J27" s="54">
        <v>580.54</v>
      </c>
      <c r="K27" s="54">
        <v>0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2089.96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977.49</v>
      </c>
      <c r="AH27" s="67">
        <v>0</v>
      </c>
      <c r="AI27" s="67">
        <v>568.41</v>
      </c>
      <c r="AJ27" s="67">
        <v>543.04999999999995</v>
      </c>
      <c r="AK27" s="67">
        <v>882.5</v>
      </c>
      <c r="AL27" s="67">
        <v>0</v>
      </c>
      <c r="AM27" s="67">
        <v>980.13</v>
      </c>
      <c r="AN27" s="67">
        <v>28</v>
      </c>
      <c r="AO27" s="67">
        <v>0</v>
      </c>
      <c r="AP27" s="67">
        <v>855.39</v>
      </c>
      <c r="AQ27" s="67">
        <v>72.900000000000006</v>
      </c>
      <c r="AR27" s="67">
        <v>1008.13</v>
      </c>
      <c r="AS27" s="68">
        <v>2088.9499999999998</v>
      </c>
      <c r="AT27" s="63"/>
      <c r="AU27" s="63">
        <v>100.04834964934537</v>
      </c>
    </row>
    <row r="28" spans="1:47" ht="12.75" hidden="1" customHeight="1" outlineLevel="1" x14ac:dyDescent="0.2">
      <c r="A28" s="61" t="s">
        <v>101</v>
      </c>
      <c r="B28" s="62">
        <v>34.57</v>
      </c>
      <c r="C28" s="54">
        <v>0</v>
      </c>
      <c r="D28" s="54">
        <v>49.03</v>
      </c>
      <c r="E28" s="63"/>
      <c r="F28" s="64">
        <v>70.507852335304918</v>
      </c>
      <c r="G28" s="65">
        <v>34.33</v>
      </c>
      <c r="H28" s="54">
        <v>34.25</v>
      </c>
      <c r="I28" s="54">
        <v>34.25</v>
      </c>
      <c r="J28" s="54">
        <v>34.57</v>
      </c>
      <c r="K28" s="56">
        <v>-34.25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137.4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46.04</v>
      </c>
      <c r="AH28" s="67">
        <v>44.7</v>
      </c>
      <c r="AI28" s="67">
        <v>49.47</v>
      </c>
      <c r="AJ28" s="67">
        <v>49.03</v>
      </c>
      <c r="AK28" s="67">
        <v>37.299999999999997</v>
      </c>
      <c r="AL28" s="67">
        <v>37.25</v>
      </c>
      <c r="AM28" s="67">
        <v>0</v>
      </c>
      <c r="AN28" s="67">
        <v>0</v>
      </c>
      <c r="AO28" s="67">
        <v>73.040000000000006</v>
      </c>
      <c r="AP28" s="67">
        <v>39.33</v>
      </c>
      <c r="AQ28" s="67">
        <v>0</v>
      </c>
      <c r="AR28" s="67">
        <v>103.9</v>
      </c>
      <c r="AS28" s="68">
        <v>189.24</v>
      </c>
      <c r="AT28" s="63"/>
      <c r="AU28" s="63">
        <v>72.606214331008246</v>
      </c>
    </row>
    <row r="29" spans="1:47" ht="12.75" hidden="1" customHeight="1" outlineLevel="1" x14ac:dyDescent="0.2">
      <c r="A29" s="61" t="s">
        <v>176</v>
      </c>
      <c r="B29" s="62">
        <v>51.12</v>
      </c>
      <c r="C29" s="54">
        <v>0</v>
      </c>
      <c r="D29" s="54">
        <v>0</v>
      </c>
      <c r="E29" s="63"/>
      <c r="F29" s="64"/>
      <c r="G29" s="65">
        <v>59.1</v>
      </c>
      <c r="H29" s="54">
        <v>50.04</v>
      </c>
      <c r="I29" s="54">
        <v>48.26</v>
      </c>
      <c r="J29" s="54">
        <v>51.12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208.52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67.47</v>
      </c>
      <c r="AH29" s="67">
        <v>67.47</v>
      </c>
      <c r="AI29" s="67">
        <v>112.45</v>
      </c>
      <c r="AJ29" s="67">
        <v>0</v>
      </c>
      <c r="AK29" s="67">
        <v>37.53</v>
      </c>
      <c r="AL29" s="67">
        <v>37.53</v>
      </c>
      <c r="AM29" s="67">
        <v>134.88</v>
      </c>
      <c r="AN29" s="67">
        <v>98.18</v>
      </c>
      <c r="AO29" s="67">
        <v>0</v>
      </c>
      <c r="AP29" s="67">
        <v>0</v>
      </c>
      <c r="AQ29" s="67">
        <v>122.11</v>
      </c>
      <c r="AR29" s="67">
        <v>64.06</v>
      </c>
      <c r="AS29" s="68">
        <v>247.39</v>
      </c>
      <c r="AT29" s="63"/>
      <c r="AU29" s="63">
        <v>84.287966368891219</v>
      </c>
    </row>
    <row r="30" spans="1:47" ht="12.75" hidden="1" customHeight="1" outlineLevel="1" x14ac:dyDescent="0.2">
      <c r="A30" s="61" t="s">
        <v>102</v>
      </c>
      <c r="B30" s="62">
        <v>1341.77</v>
      </c>
      <c r="C30" s="54">
        <v>0</v>
      </c>
      <c r="D30" s="54">
        <v>1336.68</v>
      </c>
      <c r="E30" s="63"/>
      <c r="F30" s="64">
        <v>100.38079420654158</v>
      </c>
      <c r="G30" s="65">
        <v>1341.76</v>
      </c>
      <c r="H30" s="54">
        <v>1237.3</v>
      </c>
      <c r="I30" s="54">
        <v>1237.3</v>
      </c>
      <c r="J30" s="54">
        <v>1341.77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5158.13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1237.3</v>
      </c>
      <c r="AH30" s="67">
        <v>1237.3</v>
      </c>
      <c r="AI30" s="67">
        <v>1237.3</v>
      </c>
      <c r="AJ30" s="67">
        <v>1336.68</v>
      </c>
      <c r="AK30" s="67">
        <v>1237.3</v>
      </c>
      <c r="AL30" s="67">
        <v>1237.3</v>
      </c>
      <c r="AM30" s="67">
        <v>1237.3</v>
      </c>
      <c r="AN30" s="67">
        <v>1237.3</v>
      </c>
      <c r="AO30" s="67">
        <v>1237.3</v>
      </c>
      <c r="AP30" s="67">
        <v>1237.3</v>
      </c>
      <c r="AQ30" s="67">
        <v>1336.67</v>
      </c>
      <c r="AR30" s="67">
        <v>1237.3</v>
      </c>
      <c r="AS30" s="68">
        <v>5048.58</v>
      </c>
      <c r="AT30" s="63"/>
      <c r="AU30" s="63">
        <v>102.16991708559635</v>
      </c>
    </row>
    <row r="31" spans="1:47" ht="12.75" hidden="1" customHeight="1" outlineLevel="1" x14ac:dyDescent="0.2">
      <c r="A31" s="61" t="s">
        <v>75</v>
      </c>
      <c r="B31" s="62"/>
      <c r="C31" s="54">
        <v>0</v>
      </c>
      <c r="D31" s="54"/>
      <c r="E31" s="63"/>
      <c r="F31" s="64"/>
      <c r="G31" s="65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66"/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8"/>
      <c r="AT31" s="63"/>
      <c r="AU31" s="63"/>
    </row>
    <row r="32" spans="1:47" ht="12.75" hidden="1" customHeight="1" outlineLevel="1" x14ac:dyDescent="0.2">
      <c r="A32" s="61" t="s">
        <v>76</v>
      </c>
      <c r="B32" s="62">
        <v>1738.54</v>
      </c>
      <c r="C32" s="54">
        <v>0</v>
      </c>
      <c r="D32" s="54">
        <v>1625.7</v>
      </c>
      <c r="E32" s="63"/>
      <c r="F32" s="64">
        <v>106.94101002645014</v>
      </c>
      <c r="G32" s="65">
        <v>2337.85</v>
      </c>
      <c r="H32" s="54">
        <v>1093.1500000000001</v>
      </c>
      <c r="I32" s="54">
        <v>2929.01</v>
      </c>
      <c r="J32" s="54">
        <v>1738.54</v>
      </c>
      <c r="K32" s="56">
        <v>-1093.1600000000001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66">
        <v>8098.55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66">
        <v>0</v>
      </c>
      <c r="AG32" s="67">
        <v>1625.7</v>
      </c>
      <c r="AH32" s="67">
        <v>1625.7</v>
      </c>
      <c r="AI32" s="67">
        <v>1700.29</v>
      </c>
      <c r="AJ32" s="67">
        <v>1625.7</v>
      </c>
      <c r="AK32" s="67">
        <v>1957.52</v>
      </c>
      <c r="AL32" s="67">
        <v>1561.01</v>
      </c>
      <c r="AM32" s="67">
        <v>1837.12</v>
      </c>
      <c r="AN32" s="67">
        <v>844.74</v>
      </c>
      <c r="AO32" s="67">
        <v>1794.27</v>
      </c>
      <c r="AP32" s="67">
        <v>1639.25</v>
      </c>
      <c r="AQ32" s="67">
        <v>2409.8000000000002</v>
      </c>
      <c r="AR32" s="67">
        <v>1931.58</v>
      </c>
      <c r="AS32" s="68">
        <v>6577.39</v>
      </c>
      <c r="AT32" s="63"/>
      <c r="AU32" s="63">
        <v>123.12710664868588</v>
      </c>
    </row>
    <row r="33" spans="1:47" ht="12.75" hidden="1" customHeight="1" outlineLevel="1" x14ac:dyDescent="0.2">
      <c r="A33" s="61" t="s">
        <v>77</v>
      </c>
      <c r="B33" s="62">
        <v>353.93</v>
      </c>
      <c r="C33" s="54"/>
      <c r="D33" s="54">
        <v>353.93</v>
      </c>
      <c r="E33" s="63"/>
      <c r="F33" s="64">
        <v>100</v>
      </c>
      <c r="G33" s="65">
        <v>353.93</v>
      </c>
      <c r="H33" s="54">
        <v>353.93</v>
      </c>
      <c r="I33" s="54">
        <v>353.93</v>
      </c>
      <c r="J33" s="54">
        <v>353.93</v>
      </c>
      <c r="K33" s="54">
        <v>0</v>
      </c>
      <c r="L33" s="54">
        <v>0</v>
      </c>
      <c r="M33" s="54">
        <v>0</v>
      </c>
      <c r="N33" s="54">
        <v>0</v>
      </c>
      <c r="O33" s="54">
        <v>0</v>
      </c>
      <c r="P33" s="54">
        <v>0</v>
      </c>
      <c r="Q33" s="54">
        <v>0</v>
      </c>
      <c r="R33" s="54">
        <v>0</v>
      </c>
      <c r="S33" s="66">
        <v>1415.72</v>
      </c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66"/>
      <c r="AG33" s="67">
        <v>353.93</v>
      </c>
      <c r="AH33" s="67">
        <v>353.93</v>
      </c>
      <c r="AI33" s="67">
        <v>353.93</v>
      </c>
      <c r="AJ33" s="67">
        <v>353.93</v>
      </c>
      <c r="AK33" s="67">
        <v>353.93</v>
      </c>
      <c r="AL33" s="67">
        <v>353.93</v>
      </c>
      <c r="AM33" s="67">
        <v>353.93</v>
      </c>
      <c r="AN33" s="67">
        <v>353.93</v>
      </c>
      <c r="AO33" s="67">
        <v>353.93</v>
      </c>
      <c r="AP33" s="67">
        <v>353.93</v>
      </c>
      <c r="AQ33" s="67">
        <v>353.93</v>
      </c>
      <c r="AR33" s="67">
        <v>353.93</v>
      </c>
      <c r="AS33" s="68">
        <v>1415.72</v>
      </c>
      <c r="AT33" s="63"/>
      <c r="AU33" s="63">
        <v>100</v>
      </c>
    </row>
    <row r="34" spans="1:47" ht="12.75" customHeight="1" collapsed="1" x14ac:dyDescent="0.2">
      <c r="A34" s="69" t="s">
        <v>177</v>
      </c>
      <c r="B34" s="70">
        <v>7022.48</v>
      </c>
      <c r="C34" s="71">
        <v>0</v>
      </c>
      <c r="D34" s="71">
        <v>5937.11</v>
      </c>
      <c r="E34" s="72"/>
      <c r="F34" s="73">
        <v>118.28111657018313</v>
      </c>
      <c r="G34" s="70">
        <v>6453.6</v>
      </c>
      <c r="H34" s="71">
        <v>3813.65</v>
      </c>
      <c r="I34" s="71">
        <v>6412.69</v>
      </c>
      <c r="J34" s="71">
        <v>7022.48</v>
      </c>
      <c r="K34" s="74">
        <v>-1127.4100000000001</v>
      </c>
      <c r="L34" s="71">
        <v>0</v>
      </c>
      <c r="M34" s="71">
        <v>0</v>
      </c>
      <c r="N34" s="71">
        <v>0</v>
      </c>
      <c r="O34" s="71">
        <v>0</v>
      </c>
      <c r="P34" s="71">
        <v>0</v>
      </c>
      <c r="Q34" s="71">
        <v>0</v>
      </c>
      <c r="R34" s="71">
        <v>0</v>
      </c>
      <c r="S34" s="71">
        <v>23702.42</v>
      </c>
      <c r="T34" s="71">
        <v>0</v>
      </c>
      <c r="U34" s="71">
        <v>0</v>
      </c>
      <c r="V34" s="71">
        <v>0</v>
      </c>
      <c r="W34" s="71">
        <v>0</v>
      </c>
      <c r="X34" s="71">
        <v>0</v>
      </c>
      <c r="Y34" s="71">
        <v>0</v>
      </c>
      <c r="Z34" s="71">
        <v>0</v>
      </c>
      <c r="AA34" s="71">
        <v>0</v>
      </c>
      <c r="AB34" s="71">
        <v>0</v>
      </c>
      <c r="AC34" s="71">
        <v>0</v>
      </c>
      <c r="AD34" s="71">
        <v>0</v>
      </c>
      <c r="AE34" s="71">
        <v>0</v>
      </c>
      <c r="AF34" s="71">
        <v>0</v>
      </c>
      <c r="AG34" s="75">
        <v>4307.93</v>
      </c>
      <c r="AH34" s="75">
        <v>6763.88</v>
      </c>
      <c r="AI34" s="75">
        <v>3954.03</v>
      </c>
      <c r="AJ34" s="75">
        <v>5937.11</v>
      </c>
      <c r="AK34" s="75">
        <v>6151.95</v>
      </c>
      <c r="AL34" s="75">
        <v>4731.37</v>
      </c>
      <c r="AM34" s="75">
        <v>6335.85</v>
      </c>
      <c r="AN34" s="75">
        <v>4013.48</v>
      </c>
      <c r="AO34" s="75">
        <v>3458.54</v>
      </c>
      <c r="AP34" s="75">
        <v>4125.2</v>
      </c>
      <c r="AQ34" s="75">
        <v>6085.48</v>
      </c>
      <c r="AR34" s="75">
        <v>4698.8999999999996</v>
      </c>
      <c r="AS34" s="75">
        <v>20962.95</v>
      </c>
      <c r="AT34" s="72"/>
      <c r="AU34" s="72">
        <v>113.06815119055285</v>
      </c>
    </row>
    <row r="35" spans="1:47" ht="12.75" hidden="1" customHeight="1" outlineLevel="1" x14ac:dyDescent="0.2">
      <c r="A35" s="61" t="s">
        <v>178</v>
      </c>
      <c r="B35" s="62">
        <v>0</v>
      </c>
      <c r="C35" s="54">
        <v>0</v>
      </c>
      <c r="D35" s="54">
        <v>0</v>
      </c>
      <c r="E35" s="63"/>
      <c r="F35" s="64"/>
      <c r="G35" s="65">
        <v>0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0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0</v>
      </c>
      <c r="AH35" s="67">
        <v>0</v>
      </c>
      <c r="AI35" s="67">
        <v>0</v>
      </c>
      <c r="AJ35" s="67">
        <v>0</v>
      </c>
      <c r="AK35" s="67">
        <v>0</v>
      </c>
      <c r="AL35" s="67">
        <v>0</v>
      </c>
      <c r="AM35" s="67">
        <v>0</v>
      </c>
      <c r="AN35" s="67">
        <v>0</v>
      </c>
      <c r="AO35" s="67">
        <v>0</v>
      </c>
      <c r="AP35" s="67">
        <v>0</v>
      </c>
      <c r="AQ35" s="67">
        <v>0</v>
      </c>
      <c r="AR35" s="67">
        <v>0</v>
      </c>
      <c r="AS35" s="68">
        <v>0</v>
      </c>
      <c r="AT35" s="63"/>
      <c r="AU35" s="63"/>
    </row>
    <row r="36" spans="1:47" ht="12.75" hidden="1" customHeight="1" outlineLevel="1" x14ac:dyDescent="0.2">
      <c r="A36" s="61" t="s">
        <v>179</v>
      </c>
      <c r="B36" s="62">
        <v>833.74</v>
      </c>
      <c r="C36" s="54">
        <v>0</v>
      </c>
      <c r="D36" s="54">
        <v>72.95</v>
      </c>
      <c r="E36" s="63"/>
      <c r="F36" s="64">
        <v>1142.8923920493489</v>
      </c>
      <c r="G36" s="65">
        <v>1.99</v>
      </c>
      <c r="H36" s="54">
        <v>911.08</v>
      </c>
      <c r="I36" s="54">
        <v>82.07</v>
      </c>
      <c r="J36" s="54">
        <v>833.74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1828.88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>
        <v>0</v>
      </c>
      <c r="AH36" s="67">
        <v>45.48</v>
      </c>
      <c r="AI36" s="67">
        <v>0</v>
      </c>
      <c r="AJ36" s="67">
        <v>72.95</v>
      </c>
      <c r="AK36" s="67">
        <v>46.01</v>
      </c>
      <c r="AL36" s="67">
        <v>18.18</v>
      </c>
      <c r="AM36" s="67">
        <v>0</v>
      </c>
      <c r="AN36" s="67">
        <v>7500</v>
      </c>
      <c r="AO36" s="98">
        <v>-5867.35</v>
      </c>
      <c r="AP36" s="67">
        <v>218.04</v>
      </c>
      <c r="AQ36" s="67">
        <v>454.55</v>
      </c>
      <c r="AR36" s="67">
        <v>0</v>
      </c>
      <c r="AS36" s="68">
        <v>118.43</v>
      </c>
      <c r="AT36" s="63"/>
      <c r="AU36" s="63">
        <v>1544.2708773114921</v>
      </c>
    </row>
    <row r="37" spans="1:47" ht="12.75" hidden="1" customHeight="1" outlineLevel="1" x14ac:dyDescent="0.2">
      <c r="A37" s="61" t="s">
        <v>180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0</v>
      </c>
      <c r="AM37" s="67">
        <v>0</v>
      </c>
      <c r="AN37" s="67">
        <v>0</v>
      </c>
      <c r="AO37" s="67">
        <v>0</v>
      </c>
      <c r="AP37" s="67">
        <v>0</v>
      </c>
      <c r="AQ37" s="67">
        <v>0</v>
      </c>
      <c r="AR37" s="67">
        <v>0</v>
      </c>
      <c r="AS37" s="68">
        <v>0</v>
      </c>
      <c r="AT37" s="63"/>
      <c r="AU37" s="63"/>
    </row>
    <row r="38" spans="1:47" ht="12.75" hidden="1" customHeight="1" outlineLevel="1" x14ac:dyDescent="0.2">
      <c r="A38" s="61" t="s">
        <v>181</v>
      </c>
      <c r="B38" s="62"/>
      <c r="C38" s="54"/>
      <c r="D38" s="54"/>
      <c r="E38" s="63"/>
      <c r="F38" s="64"/>
      <c r="G38" s="65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66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66"/>
      <c r="AG38" s="67"/>
      <c r="AH38" s="67"/>
      <c r="AI38" s="67"/>
      <c r="AJ38" s="67"/>
      <c r="AK38" s="67"/>
      <c r="AL38" s="67"/>
      <c r="AM38" s="67"/>
      <c r="AN38" s="67"/>
      <c r="AO38" s="67"/>
      <c r="AP38" s="67"/>
      <c r="AQ38" s="67"/>
      <c r="AR38" s="67"/>
      <c r="AS38" s="68"/>
      <c r="AT38" s="63"/>
      <c r="AU38" s="63"/>
    </row>
    <row r="39" spans="1:47" ht="12.75" hidden="1" customHeight="1" outlineLevel="1" x14ac:dyDescent="0.2">
      <c r="A39" s="61" t="s">
        <v>182</v>
      </c>
      <c r="B39" s="62">
        <v>0</v>
      </c>
      <c r="C39" s="54">
        <v>0</v>
      </c>
      <c r="D39" s="54">
        <v>0</v>
      </c>
      <c r="E39" s="63"/>
      <c r="F39" s="64"/>
      <c r="G39" s="65">
        <v>0</v>
      </c>
      <c r="H39" s="54">
        <v>0</v>
      </c>
      <c r="I39" s="54">
        <v>0</v>
      </c>
      <c r="J39" s="54">
        <v>0</v>
      </c>
      <c r="K39" s="54">
        <v>0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66">
        <v>0</v>
      </c>
      <c r="T39" s="54">
        <v>0</v>
      </c>
      <c r="U39" s="54">
        <v>0</v>
      </c>
      <c r="V39" s="54">
        <v>0</v>
      </c>
      <c r="W39" s="54">
        <v>0</v>
      </c>
      <c r="X39" s="54">
        <v>0</v>
      </c>
      <c r="Y39" s="54">
        <v>0</v>
      </c>
      <c r="Z39" s="54">
        <v>0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66">
        <v>0</v>
      </c>
      <c r="AG39" s="67">
        <v>0</v>
      </c>
      <c r="AH39" s="67">
        <v>0</v>
      </c>
      <c r="AI39" s="67">
        <v>0</v>
      </c>
      <c r="AJ39" s="67">
        <v>0</v>
      </c>
      <c r="AK39" s="67">
        <v>0</v>
      </c>
      <c r="AL39" s="67">
        <v>0</v>
      </c>
      <c r="AM39" s="67">
        <v>0</v>
      </c>
      <c r="AN39" s="67">
        <v>0</v>
      </c>
      <c r="AO39" s="67">
        <v>0</v>
      </c>
      <c r="AP39" s="67">
        <v>0</v>
      </c>
      <c r="AQ39" s="67">
        <v>0</v>
      </c>
      <c r="AR39" s="67">
        <v>0</v>
      </c>
      <c r="AS39" s="68">
        <v>0</v>
      </c>
      <c r="AT39" s="63"/>
      <c r="AU39" s="63"/>
    </row>
    <row r="40" spans="1:47" ht="12.75" hidden="1" customHeight="1" outlineLevel="1" x14ac:dyDescent="0.2">
      <c r="A40" s="61" t="s">
        <v>183</v>
      </c>
      <c r="B40" s="62"/>
      <c r="C40" s="54"/>
      <c r="D40" s="54"/>
      <c r="E40" s="63"/>
      <c r="F40" s="64"/>
      <c r="G40" s="65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66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66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8"/>
      <c r="AT40" s="63"/>
      <c r="AU40" s="63"/>
    </row>
    <row r="41" spans="1:47" ht="12.75" hidden="1" customHeight="1" outlineLevel="1" x14ac:dyDescent="0.2">
      <c r="A41" s="61" t="s">
        <v>184</v>
      </c>
      <c r="B41" s="62">
        <v>0</v>
      </c>
      <c r="C41" s="54"/>
      <c r="D41" s="54">
        <v>0</v>
      </c>
      <c r="E41" s="63"/>
      <c r="F41" s="64"/>
      <c r="G41" s="65">
        <v>0</v>
      </c>
      <c r="H41" s="54">
        <v>0</v>
      </c>
      <c r="I41" s="54">
        <v>0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66">
        <v>0</v>
      </c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66"/>
      <c r="AG41" s="67">
        <v>0</v>
      </c>
      <c r="AH41" s="67">
        <v>0</v>
      </c>
      <c r="AI41" s="67">
        <v>0</v>
      </c>
      <c r="AJ41" s="67">
        <v>0</v>
      </c>
      <c r="AK41" s="67">
        <v>0</v>
      </c>
      <c r="AL41" s="67">
        <v>0</v>
      </c>
      <c r="AM41" s="67">
        <v>0</v>
      </c>
      <c r="AN41" s="67">
        <v>0</v>
      </c>
      <c r="AO41" s="67">
        <v>0</v>
      </c>
      <c r="AP41" s="67">
        <v>0</v>
      </c>
      <c r="AQ41" s="67">
        <v>0</v>
      </c>
      <c r="AR41" s="67">
        <v>0</v>
      </c>
      <c r="AS41" s="68">
        <v>0</v>
      </c>
      <c r="AT41" s="63"/>
      <c r="AU41" s="63"/>
    </row>
    <row r="42" spans="1:47" ht="12.75" hidden="1" customHeight="1" outlineLevel="1" x14ac:dyDescent="0.2">
      <c r="A42" s="61" t="s">
        <v>185</v>
      </c>
      <c r="B42" s="62"/>
      <c r="C42" s="54"/>
      <c r="D42" s="54"/>
      <c r="E42" s="63"/>
      <c r="F42" s="64"/>
      <c r="G42" s="65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66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66"/>
      <c r="AG42" s="67"/>
      <c r="AH42" s="67"/>
      <c r="AI42" s="67"/>
      <c r="AJ42" s="67"/>
      <c r="AK42" s="67"/>
      <c r="AL42" s="67"/>
      <c r="AM42" s="67"/>
      <c r="AN42" s="67"/>
      <c r="AO42" s="67"/>
      <c r="AP42" s="67"/>
      <c r="AQ42" s="67"/>
      <c r="AR42" s="67"/>
      <c r="AS42" s="68"/>
      <c r="AT42" s="63"/>
      <c r="AU42" s="63"/>
    </row>
    <row r="43" spans="1:47" ht="12.75" hidden="1" customHeight="1" outlineLevel="1" x14ac:dyDescent="0.2">
      <c r="A43" s="61" t="s">
        <v>186</v>
      </c>
      <c r="B43" s="62">
        <v>0</v>
      </c>
      <c r="C43" s="54"/>
      <c r="D43" s="54">
        <v>0</v>
      </c>
      <c r="E43" s="63"/>
      <c r="F43" s="64"/>
      <c r="G43" s="65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66">
        <v>0</v>
      </c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66"/>
      <c r="AG43" s="67">
        <v>0</v>
      </c>
      <c r="AH43" s="67">
        <v>0</v>
      </c>
      <c r="AI43" s="67">
        <v>0</v>
      </c>
      <c r="AJ43" s="67">
        <v>0</v>
      </c>
      <c r="AK43" s="67">
        <v>0</v>
      </c>
      <c r="AL43" s="67">
        <v>0</v>
      </c>
      <c r="AM43" s="67">
        <v>0</v>
      </c>
      <c r="AN43" s="67">
        <v>0</v>
      </c>
      <c r="AO43" s="67">
        <v>0</v>
      </c>
      <c r="AP43" s="67">
        <v>0</v>
      </c>
      <c r="AQ43" s="67">
        <v>0</v>
      </c>
      <c r="AR43" s="67">
        <v>0</v>
      </c>
      <c r="AS43" s="68">
        <v>0</v>
      </c>
      <c r="AT43" s="63"/>
      <c r="AU43" s="63"/>
    </row>
    <row r="44" spans="1:47" ht="12.75" hidden="1" customHeight="1" outlineLevel="1" x14ac:dyDescent="0.2">
      <c r="A44" s="61" t="s">
        <v>187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61" t="s">
        <v>188</v>
      </c>
      <c r="B45" s="62"/>
      <c r="C45" s="54"/>
      <c r="D45" s="54"/>
      <c r="E45" s="63"/>
      <c r="F45" s="64"/>
      <c r="G45" s="65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66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66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8"/>
      <c r="AT45" s="63"/>
      <c r="AU45" s="63"/>
    </row>
    <row r="46" spans="1:47" ht="12.75" hidden="1" customHeight="1" outlineLevel="1" x14ac:dyDescent="0.2">
      <c r="A46" s="61" t="s">
        <v>189</v>
      </c>
      <c r="B46" s="62"/>
      <c r="C46" s="54"/>
      <c r="D46" s="54"/>
      <c r="E46" s="63"/>
      <c r="F46" s="64"/>
      <c r="G46" s="65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66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66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8"/>
      <c r="AT46" s="63"/>
      <c r="AU46" s="63"/>
    </row>
    <row r="47" spans="1:47" ht="12.75" hidden="1" customHeight="1" outlineLevel="1" x14ac:dyDescent="0.2">
      <c r="A47" s="61" t="s">
        <v>190</v>
      </c>
      <c r="B47" s="62">
        <v>0</v>
      </c>
      <c r="C47" s="54">
        <v>0</v>
      </c>
      <c r="D47" s="54">
        <v>0</v>
      </c>
      <c r="E47" s="63"/>
      <c r="F47" s="64"/>
      <c r="G47" s="65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54">
        <v>0</v>
      </c>
      <c r="N47" s="54">
        <v>0</v>
      </c>
      <c r="O47" s="54">
        <v>0</v>
      </c>
      <c r="P47" s="54">
        <v>0</v>
      </c>
      <c r="Q47" s="54">
        <v>0</v>
      </c>
      <c r="R47" s="54">
        <v>0</v>
      </c>
      <c r="S47" s="66">
        <v>0</v>
      </c>
      <c r="T47" s="54">
        <v>0</v>
      </c>
      <c r="U47" s="54">
        <v>0</v>
      </c>
      <c r="V47" s="54">
        <v>0</v>
      </c>
      <c r="W47" s="54">
        <v>0</v>
      </c>
      <c r="X47" s="54">
        <v>0</v>
      </c>
      <c r="Y47" s="54">
        <v>0</v>
      </c>
      <c r="Z47" s="54">
        <v>0</v>
      </c>
      <c r="AA47" s="54">
        <v>0</v>
      </c>
      <c r="AB47" s="54">
        <v>0</v>
      </c>
      <c r="AC47" s="54">
        <v>0</v>
      </c>
      <c r="AD47" s="54">
        <v>0</v>
      </c>
      <c r="AE47" s="54">
        <v>0</v>
      </c>
      <c r="AF47" s="66">
        <v>0</v>
      </c>
      <c r="AG47" s="67">
        <v>0</v>
      </c>
      <c r="AH47" s="67">
        <v>0</v>
      </c>
      <c r="AI47" s="67">
        <v>0</v>
      </c>
      <c r="AJ47" s="67">
        <v>0</v>
      </c>
      <c r="AK47" s="67">
        <v>0</v>
      </c>
      <c r="AL47" s="67">
        <v>0</v>
      </c>
      <c r="AM47" s="67">
        <v>292.89</v>
      </c>
      <c r="AN47" s="67">
        <v>0</v>
      </c>
      <c r="AO47" s="67">
        <v>0</v>
      </c>
      <c r="AP47" s="67">
        <v>0</v>
      </c>
      <c r="AQ47" s="67">
        <v>0</v>
      </c>
      <c r="AR47" s="67">
        <v>0</v>
      </c>
      <c r="AS47" s="68">
        <v>0</v>
      </c>
      <c r="AT47" s="63"/>
      <c r="AU47" s="63"/>
    </row>
    <row r="48" spans="1:47" ht="12.75" hidden="1" customHeight="1" outlineLevel="1" x14ac:dyDescent="0.2">
      <c r="A48" s="61" t="s">
        <v>191</v>
      </c>
      <c r="B48" s="62"/>
      <c r="C48" s="54"/>
      <c r="D48" s="54"/>
      <c r="E48" s="63"/>
      <c r="F48" s="64"/>
      <c r="G48" s="65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66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66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8"/>
      <c r="AT48" s="63"/>
      <c r="AU48" s="63"/>
    </row>
    <row r="49" spans="1:47" ht="12.75" customHeight="1" collapsed="1" x14ac:dyDescent="0.2">
      <c r="A49" s="69" t="s">
        <v>192</v>
      </c>
      <c r="B49" s="70">
        <v>833.74</v>
      </c>
      <c r="C49" s="71">
        <v>0</v>
      </c>
      <c r="D49" s="71">
        <v>72.95</v>
      </c>
      <c r="E49" s="72"/>
      <c r="F49" s="73">
        <v>1142.8923920493489</v>
      </c>
      <c r="G49" s="70">
        <v>1.99</v>
      </c>
      <c r="H49" s="71">
        <v>911.08</v>
      </c>
      <c r="I49" s="71">
        <v>82.07</v>
      </c>
      <c r="J49" s="71">
        <v>833.74</v>
      </c>
      <c r="K49" s="71">
        <v>0</v>
      </c>
      <c r="L49" s="71">
        <v>0</v>
      </c>
      <c r="M49" s="71">
        <v>0</v>
      </c>
      <c r="N49" s="71">
        <v>0</v>
      </c>
      <c r="O49" s="71">
        <v>0</v>
      </c>
      <c r="P49" s="71">
        <v>0</v>
      </c>
      <c r="Q49" s="71">
        <v>0</v>
      </c>
      <c r="R49" s="71">
        <v>0</v>
      </c>
      <c r="S49" s="71">
        <v>1828.88</v>
      </c>
      <c r="T49" s="71">
        <v>0</v>
      </c>
      <c r="U49" s="71">
        <v>0</v>
      </c>
      <c r="V49" s="71">
        <v>0</v>
      </c>
      <c r="W49" s="71">
        <v>0</v>
      </c>
      <c r="X49" s="71">
        <v>0</v>
      </c>
      <c r="Y49" s="71">
        <v>0</v>
      </c>
      <c r="Z49" s="71">
        <v>0</v>
      </c>
      <c r="AA49" s="71">
        <v>0</v>
      </c>
      <c r="AB49" s="71">
        <v>0</v>
      </c>
      <c r="AC49" s="71">
        <v>0</v>
      </c>
      <c r="AD49" s="71">
        <v>0</v>
      </c>
      <c r="AE49" s="71">
        <v>0</v>
      </c>
      <c r="AF49" s="71">
        <v>0</v>
      </c>
      <c r="AG49" s="75">
        <v>0</v>
      </c>
      <c r="AH49" s="75">
        <v>45.48</v>
      </c>
      <c r="AI49" s="75">
        <v>0</v>
      </c>
      <c r="AJ49" s="75">
        <v>72.95</v>
      </c>
      <c r="AK49" s="75">
        <v>46.01</v>
      </c>
      <c r="AL49" s="75">
        <v>18.18</v>
      </c>
      <c r="AM49" s="75">
        <v>292.89</v>
      </c>
      <c r="AN49" s="75">
        <v>7500</v>
      </c>
      <c r="AO49" s="134">
        <v>-5867.35</v>
      </c>
      <c r="AP49" s="75">
        <v>218.04</v>
      </c>
      <c r="AQ49" s="75">
        <v>454.55</v>
      </c>
      <c r="AR49" s="75">
        <v>0</v>
      </c>
      <c r="AS49" s="75">
        <v>118.43</v>
      </c>
      <c r="AT49" s="72"/>
      <c r="AU49" s="72">
        <v>1544.2708773114921</v>
      </c>
    </row>
    <row r="50" spans="1:47" ht="12.75" hidden="1" customHeight="1" outlineLevel="1" x14ac:dyDescent="0.2">
      <c r="A50" s="61" t="s">
        <v>193</v>
      </c>
      <c r="B50" s="62">
        <v>3109.64</v>
      </c>
      <c r="C50" s="54">
        <v>0</v>
      </c>
      <c r="D50" s="54">
        <v>9218.5</v>
      </c>
      <c r="E50" s="63"/>
      <c r="F50" s="64">
        <v>33.732602918045238</v>
      </c>
      <c r="G50" s="65">
        <v>938.84</v>
      </c>
      <c r="H50" s="54">
        <v>899.14</v>
      </c>
      <c r="I50" s="54">
        <v>7998.72</v>
      </c>
      <c r="J50" s="54">
        <v>3109.64</v>
      </c>
      <c r="K50" s="56">
        <v>-37.799999999999997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66">
        <v>12946.34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>
        <v>860.61</v>
      </c>
      <c r="AH50" s="67">
        <v>8480.73</v>
      </c>
      <c r="AI50" s="67">
        <v>1412.82</v>
      </c>
      <c r="AJ50" s="67">
        <v>9218.5</v>
      </c>
      <c r="AK50" s="67">
        <v>1412.82</v>
      </c>
      <c r="AL50" s="67">
        <v>5410.06</v>
      </c>
      <c r="AM50" s="67">
        <v>777.07</v>
      </c>
      <c r="AN50" s="67">
        <v>1427.35</v>
      </c>
      <c r="AO50" s="67">
        <v>1797.07</v>
      </c>
      <c r="AP50" s="67">
        <v>1412.82</v>
      </c>
      <c r="AQ50" s="67">
        <v>898.06</v>
      </c>
      <c r="AR50" s="67">
        <v>5524.45</v>
      </c>
      <c r="AS50" s="68">
        <v>19972.66</v>
      </c>
      <c r="AT50" s="63"/>
      <c r="AU50" s="63">
        <v>64.820309362899081</v>
      </c>
    </row>
    <row r="51" spans="1:47" ht="12.75" hidden="1" customHeight="1" outlineLevel="1" x14ac:dyDescent="0.2">
      <c r="A51" s="61" t="s">
        <v>194</v>
      </c>
      <c r="B51" s="62">
        <v>0</v>
      </c>
      <c r="C51" s="54">
        <v>0</v>
      </c>
      <c r="D51" s="54">
        <v>0</v>
      </c>
      <c r="E51" s="63"/>
      <c r="F51" s="64"/>
      <c r="G51" s="65">
        <v>0</v>
      </c>
      <c r="H51" s="54">
        <v>0</v>
      </c>
      <c r="I51" s="54">
        <v>0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66">
        <v>0</v>
      </c>
      <c r="T51" s="54">
        <v>0</v>
      </c>
      <c r="U51" s="54">
        <v>0</v>
      </c>
      <c r="V51" s="54">
        <v>0</v>
      </c>
      <c r="W51" s="54">
        <v>0</v>
      </c>
      <c r="X51" s="54">
        <v>0</v>
      </c>
      <c r="Y51" s="54">
        <v>0</v>
      </c>
      <c r="Z51" s="54">
        <v>0</v>
      </c>
      <c r="AA51" s="54">
        <v>0</v>
      </c>
      <c r="AB51" s="54">
        <v>0</v>
      </c>
      <c r="AC51" s="54">
        <v>0</v>
      </c>
      <c r="AD51" s="54">
        <v>0</v>
      </c>
      <c r="AE51" s="54">
        <v>0</v>
      </c>
      <c r="AF51" s="66">
        <v>0</v>
      </c>
      <c r="AG51" s="67">
        <v>0</v>
      </c>
      <c r="AH51" s="67">
        <v>0</v>
      </c>
      <c r="AI51" s="67">
        <v>0</v>
      </c>
      <c r="AJ51" s="67">
        <v>0</v>
      </c>
      <c r="AK51" s="67">
        <v>0</v>
      </c>
      <c r="AL51" s="67">
        <v>0</v>
      </c>
      <c r="AM51" s="67">
        <v>0</v>
      </c>
      <c r="AN51" s="67">
        <v>0</v>
      </c>
      <c r="AO51" s="67">
        <v>0</v>
      </c>
      <c r="AP51" s="67">
        <v>0</v>
      </c>
      <c r="AQ51" s="67">
        <v>0</v>
      </c>
      <c r="AR51" s="67">
        <v>900</v>
      </c>
      <c r="AS51" s="68">
        <v>0</v>
      </c>
      <c r="AT51" s="63"/>
      <c r="AU51" s="63"/>
    </row>
    <row r="52" spans="1:47" ht="12.75" hidden="1" customHeight="1" outlineLevel="1" x14ac:dyDescent="0.2">
      <c r="A52" s="61" t="s">
        <v>82</v>
      </c>
      <c r="B52" s="62">
        <v>0</v>
      </c>
      <c r="C52" s="54">
        <v>0</v>
      </c>
      <c r="D52" s="54">
        <v>0</v>
      </c>
      <c r="E52" s="63"/>
      <c r="F52" s="64"/>
      <c r="G52" s="65">
        <v>0</v>
      </c>
      <c r="H52" s="54">
        <v>0</v>
      </c>
      <c r="I52" s="54">
        <v>0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66">
        <v>0</v>
      </c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66">
        <v>0</v>
      </c>
      <c r="AG52" s="67">
        <v>0</v>
      </c>
      <c r="AH52" s="67">
        <v>0</v>
      </c>
      <c r="AI52" s="67">
        <v>0</v>
      </c>
      <c r="AJ52" s="67">
        <v>0</v>
      </c>
      <c r="AK52" s="67">
        <v>0</v>
      </c>
      <c r="AL52" s="67">
        <v>0</v>
      </c>
      <c r="AM52" s="67">
        <v>0</v>
      </c>
      <c r="AN52" s="67">
        <v>0</v>
      </c>
      <c r="AO52" s="67">
        <v>0</v>
      </c>
      <c r="AP52" s="67">
        <v>0</v>
      </c>
      <c r="AQ52" s="67">
        <v>0</v>
      </c>
      <c r="AR52" s="67">
        <v>0</v>
      </c>
      <c r="AS52" s="68">
        <v>0</v>
      </c>
      <c r="AT52" s="63"/>
      <c r="AU52" s="63"/>
    </row>
    <row r="53" spans="1:47" ht="12.75" hidden="1" customHeight="1" outlineLevel="1" x14ac:dyDescent="0.2">
      <c r="A53" s="61" t="s">
        <v>83</v>
      </c>
      <c r="B53" s="62">
        <v>0</v>
      </c>
      <c r="C53" s="54">
        <v>0</v>
      </c>
      <c r="D53" s="54">
        <v>0</v>
      </c>
      <c r="E53" s="63"/>
      <c r="F53" s="64"/>
      <c r="G53" s="65">
        <v>0</v>
      </c>
      <c r="H53" s="54">
        <v>0</v>
      </c>
      <c r="I53" s="54">
        <v>0</v>
      </c>
      <c r="J53" s="54">
        <v>0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66">
        <v>0</v>
      </c>
      <c r="T53" s="54">
        <v>0</v>
      </c>
      <c r="U53" s="54">
        <v>0</v>
      </c>
      <c r="V53" s="54">
        <v>0</v>
      </c>
      <c r="W53" s="54">
        <v>0</v>
      </c>
      <c r="X53" s="54">
        <v>0</v>
      </c>
      <c r="Y53" s="54">
        <v>0</v>
      </c>
      <c r="Z53" s="54">
        <v>0</v>
      </c>
      <c r="AA53" s="54">
        <v>0</v>
      </c>
      <c r="AB53" s="54">
        <v>0</v>
      </c>
      <c r="AC53" s="54">
        <v>0</v>
      </c>
      <c r="AD53" s="54">
        <v>0</v>
      </c>
      <c r="AE53" s="54">
        <v>0</v>
      </c>
      <c r="AF53" s="66">
        <v>0</v>
      </c>
      <c r="AG53" s="67">
        <v>0</v>
      </c>
      <c r="AH53" s="67">
        <v>0</v>
      </c>
      <c r="AI53" s="67">
        <v>0</v>
      </c>
      <c r="AJ53" s="67">
        <v>0</v>
      </c>
      <c r="AK53" s="67">
        <v>0</v>
      </c>
      <c r="AL53" s="67">
        <v>0</v>
      </c>
      <c r="AM53" s="67">
        <v>0</v>
      </c>
      <c r="AN53" s="67">
        <v>0</v>
      </c>
      <c r="AO53" s="67">
        <v>0</v>
      </c>
      <c r="AP53" s="67">
        <v>0</v>
      </c>
      <c r="AQ53" s="67">
        <v>0</v>
      </c>
      <c r="AR53" s="67">
        <v>0</v>
      </c>
      <c r="AS53" s="68">
        <v>0</v>
      </c>
      <c r="AT53" s="63"/>
      <c r="AU53" s="63"/>
    </row>
    <row r="54" spans="1:47" ht="12.75" hidden="1" customHeight="1" outlineLevel="1" x14ac:dyDescent="0.2">
      <c r="A54" s="61" t="s">
        <v>84</v>
      </c>
      <c r="B54" s="62"/>
      <c r="C54" s="54"/>
      <c r="D54" s="54"/>
      <c r="E54" s="63"/>
      <c r="F54" s="64"/>
      <c r="G54" s="65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66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66"/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8"/>
      <c r="AT54" s="63"/>
      <c r="AU54" s="63"/>
    </row>
    <row r="55" spans="1:47" ht="12.75" hidden="1" customHeight="1" outlineLevel="1" x14ac:dyDescent="0.2">
      <c r="A55" s="61" t="s">
        <v>195</v>
      </c>
      <c r="B55" s="62"/>
      <c r="C55" s="54"/>
      <c r="D55" s="54"/>
      <c r="E55" s="63"/>
      <c r="F55" s="64"/>
      <c r="G55" s="65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66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66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8"/>
      <c r="AT55" s="63"/>
      <c r="AU55" s="63"/>
    </row>
    <row r="56" spans="1:47" ht="12.75" hidden="1" customHeight="1" outlineLevel="1" x14ac:dyDescent="0.2">
      <c r="A56" s="61" t="s">
        <v>86</v>
      </c>
      <c r="B56" s="62">
        <v>0</v>
      </c>
      <c r="C56" s="54">
        <v>0</v>
      </c>
      <c r="D56" s="54">
        <v>0</v>
      </c>
      <c r="E56" s="63"/>
      <c r="F56" s="64"/>
      <c r="G56" s="65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66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66">
        <v>0</v>
      </c>
      <c r="AG56" s="67">
        <v>0</v>
      </c>
      <c r="AH56" s="67">
        <v>0</v>
      </c>
      <c r="AI56" s="67">
        <v>0</v>
      </c>
      <c r="AJ56" s="67">
        <v>0</v>
      </c>
      <c r="AK56" s="67">
        <v>108.97</v>
      </c>
      <c r="AL56" s="67">
        <v>0</v>
      </c>
      <c r="AM56" s="67">
        <v>0</v>
      </c>
      <c r="AN56" s="67">
        <v>0</v>
      </c>
      <c r="AO56" s="67">
        <v>0</v>
      </c>
      <c r="AP56" s="67">
        <v>179.8</v>
      </c>
      <c r="AQ56" s="67">
        <v>0</v>
      </c>
      <c r="AR56" s="67">
        <v>201.59</v>
      </c>
      <c r="AS56" s="68">
        <v>0</v>
      </c>
      <c r="AT56" s="63"/>
      <c r="AU56" s="63"/>
    </row>
    <row r="57" spans="1:47" ht="12.75" hidden="1" customHeight="1" outlineLevel="1" x14ac:dyDescent="0.2">
      <c r="A57" s="61" t="s">
        <v>110</v>
      </c>
      <c r="B57" s="62"/>
      <c r="C57" s="54"/>
      <c r="D57" s="54"/>
      <c r="E57" s="63"/>
      <c r="F57" s="64"/>
      <c r="G57" s="65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66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66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8"/>
      <c r="AT57" s="63"/>
      <c r="AU57" s="63"/>
    </row>
    <row r="58" spans="1:47" ht="12.75" hidden="1" customHeight="1" outlineLevel="1" x14ac:dyDescent="0.2">
      <c r="A58" s="61" t="s">
        <v>196</v>
      </c>
      <c r="B58" s="62">
        <v>0</v>
      </c>
      <c r="C58" s="54">
        <v>0</v>
      </c>
      <c r="D58" s="54">
        <v>0</v>
      </c>
      <c r="E58" s="63"/>
      <c r="F58" s="64"/>
      <c r="G58" s="65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0</v>
      </c>
      <c r="AI58" s="67">
        <v>0</v>
      </c>
      <c r="AJ58" s="67">
        <v>0</v>
      </c>
      <c r="AK58" s="67">
        <v>0</v>
      </c>
      <c r="AL58" s="67">
        <v>168.91</v>
      </c>
      <c r="AM58" s="67">
        <v>0</v>
      </c>
      <c r="AN58" s="67">
        <v>0</v>
      </c>
      <c r="AO58" s="67">
        <v>0</v>
      </c>
      <c r="AP58" s="67">
        <v>0</v>
      </c>
      <c r="AQ58" s="67">
        <v>0</v>
      </c>
      <c r="AR58" s="67">
        <v>0</v>
      </c>
      <c r="AS58" s="68">
        <v>0</v>
      </c>
      <c r="AT58" s="63"/>
      <c r="AU58" s="63"/>
    </row>
    <row r="59" spans="1:47" ht="12.75" hidden="1" customHeight="1" outlineLevel="1" x14ac:dyDescent="0.2">
      <c r="A59" s="61" t="s">
        <v>197</v>
      </c>
      <c r="B59" s="62">
        <v>0</v>
      </c>
      <c r="C59" s="54">
        <v>0</v>
      </c>
      <c r="D59" s="54">
        <v>0</v>
      </c>
      <c r="E59" s="63"/>
      <c r="F59" s="64"/>
      <c r="G59" s="65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66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66">
        <v>0</v>
      </c>
      <c r="AG59" s="67">
        <v>0</v>
      </c>
      <c r="AH59" s="67">
        <v>0</v>
      </c>
      <c r="AI59" s="67">
        <v>0</v>
      </c>
      <c r="AJ59" s="67">
        <v>0</v>
      </c>
      <c r="AK59" s="67">
        <v>0</v>
      </c>
      <c r="AL59" s="67">
        <v>0</v>
      </c>
      <c r="AM59" s="67">
        <v>0</v>
      </c>
      <c r="AN59" s="67">
        <v>0</v>
      </c>
      <c r="AO59" s="67">
        <v>0</v>
      </c>
      <c r="AP59" s="67">
        <v>1921.24</v>
      </c>
      <c r="AQ59" s="67">
        <v>0</v>
      </c>
      <c r="AR59" s="67">
        <v>0</v>
      </c>
      <c r="AS59" s="68">
        <v>0</v>
      </c>
      <c r="AT59" s="63"/>
      <c r="AU59" s="63"/>
    </row>
    <row r="60" spans="1:47" ht="12.75" hidden="1" customHeight="1" outlineLevel="1" x14ac:dyDescent="0.2">
      <c r="A60" s="61" t="s">
        <v>198</v>
      </c>
      <c r="B60" s="62">
        <v>0</v>
      </c>
      <c r="C60" s="54">
        <v>0</v>
      </c>
      <c r="D60" s="54">
        <v>0</v>
      </c>
      <c r="E60" s="63"/>
      <c r="F60" s="64"/>
      <c r="G60" s="65">
        <v>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66">
        <v>0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>
        <v>0</v>
      </c>
      <c r="AE60" s="54">
        <v>0</v>
      </c>
      <c r="AF60" s="66">
        <v>0</v>
      </c>
      <c r="AG60" s="67">
        <v>0</v>
      </c>
      <c r="AH60" s="67">
        <v>276.02</v>
      </c>
      <c r="AI60" s="67">
        <v>0</v>
      </c>
      <c r="AJ60" s="67">
        <v>0</v>
      </c>
      <c r="AK60" s="67">
        <v>149.99</v>
      </c>
      <c r="AL60" s="67">
        <v>62.7</v>
      </c>
      <c r="AM60" s="67">
        <v>0</v>
      </c>
      <c r="AN60" s="67">
        <v>0</v>
      </c>
      <c r="AO60" s="67">
        <v>0</v>
      </c>
      <c r="AP60" s="67">
        <v>252.1</v>
      </c>
      <c r="AQ60" s="67">
        <v>0</v>
      </c>
      <c r="AR60" s="67">
        <v>338.25</v>
      </c>
      <c r="AS60" s="68">
        <v>276.02</v>
      </c>
      <c r="AT60" s="63"/>
      <c r="AU60" s="63">
        <v>0</v>
      </c>
    </row>
    <row r="61" spans="1:47" ht="12.75" hidden="1" customHeight="1" outlineLevel="1" x14ac:dyDescent="0.2">
      <c r="A61" s="61" t="s">
        <v>199</v>
      </c>
      <c r="B61" s="62"/>
      <c r="C61" s="54"/>
      <c r="D61" s="54"/>
      <c r="E61" s="63"/>
      <c r="F61" s="64"/>
      <c r="G61" s="65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66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66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8"/>
      <c r="AT61" s="63"/>
      <c r="AU61" s="63"/>
    </row>
    <row r="62" spans="1:47" ht="12.75" hidden="1" customHeight="1" outlineLevel="1" x14ac:dyDescent="0.2">
      <c r="A62" s="61" t="s">
        <v>200</v>
      </c>
      <c r="B62" s="62"/>
      <c r="C62" s="54"/>
      <c r="D62" s="54"/>
      <c r="E62" s="63"/>
      <c r="F62" s="64"/>
      <c r="G62" s="65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66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66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8"/>
      <c r="AT62" s="63"/>
      <c r="AU62" s="63"/>
    </row>
    <row r="63" spans="1:47" ht="12.75" customHeight="1" collapsed="1" x14ac:dyDescent="0.2">
      <c r="A63" s="69" t="s">
        <v>89</v>
      </c>
      <c r="B63" s="70">
        <v>3109.64</v>
      </c>
      <c r="C63" s="71">
        <v>0</v>
      </c>
      <c r="D63" s="71">
        <v>9218.5</v>
      </c>
      <c r="E63" s="72"/>
      <c r="F63" s="73">
        <v>33.732602918045238</v>
      </c>
      <c r="G63" s="70">
        <v>938.84</v>
      </c>
      <c r="H63" s="71">
        <v>899.14</v>
      </c>
      <c r="I63" s="71">
        <v>7998.72</v>
      </c>
      <c r="J63" s="71">
        <v>3109.64</v>
      </c>
      <c r="K63" s="74">
        <v>-37.799999999999997</v>
      </c>
      <c r="L63" s="71">
        <v>0</v>
      </c>
      <c r="M63" s="71">
        <v>0</v>
      </c>
      <c r="N63" s="71">
        <v>0</v>
      </c>
      <c r="O63" s="71">
        <v>0</v>
      </c>
      <c r="P63" s="71">
        <v>0</v>
      </c>
      <c r="Q63" s="71">
        <v>0</v>
      </c>
      <c r="R63" s="71">
        <v>0</v>
      </c>
      <c r="S63" s="71">
        <v>12946.34</v>
      </c>
      <c r="T63" s="71">
        <v>0</v>
      </c>
      <c r="U63" s="71">
        <v>0</v>
      </c>
      <c r="V63" s="71">
        <v>0</v>
      </c>
      <c r="W63" s="71">
        <v>0</v>
      </c>
      <c r="X63" s="71">
        <v>0</v>
      </c>
      <c r="Y63" s="71">
        <v>0</v>
      </c>
      <c r="Z63" s="71">
        <v>0</v>
      </c>
      <c r="AA63" s="71">
        <v>0</v>
      </c>
      <c r="AB63" s="71">
        <v>0</v>
      </c>
      <c r="AC63" s="71">
        <v>0</v>
      </c>
      <c r="AD63" s="71">
        <v>0</v>
      </c>
      <c r="AE63" s="71">
        <v>0</v>
      </c>
      <c r="AF63" s="71">
        <v>0</v>
      </c>
      <c r="AG63" s="75">
        <v>860.61</v>
      </c>
      <c r="AH63" s="75">
        <v>8756.75</v>
      </c>
      <c r="AI63" s="75">
        <v>1412.82</v>
      </c>
      <c r="AJ63" s="75">
        <v>9218.5</v>
      </c>
      <c r="AK63" s="75">
        <v>1671.78</v>
      </c>
      <c r="AL63" s="75">
        <v>5641.67</v>
      </c>
      <c r="AM63" s="75">
        <v>777.07</v>
      </c>
      <c r="AN63" s="75">
        <v>1427.35</v>
      </c>
      <c r="AO63" s="75">
        <v>1797.07</v>
      </c>
      <c r="AP63" s="75">
        <v>3765.96</v>
      </c>
      <c r="AQ63" s="75">
        <v>898.06</v>
      </c>
      <c r="AR63" s="75">
        <v>6964.29</v>
      </c>
      <c r="AS63" s="75">
        <v>20248.68</v>
      </c>
      <c r="AT63" s="72"/>
      <c r="AU63" s="72">
        <v>63.93671093621905</v>
      </c>
    </row>
    <row r="64" spans="1:47" ht="12.75" customHeight="1" x14ac:dyDescent="0.2">
      <c r="A64" s="77" t="s">
        <v>201</v>
      </c>
      <c r="B64" s="78">
        <v>150782.81</v>
      </c>
      <c r="C64" s="79">
        <v>0</v>
      </c>
      <c r="D64" s="79">
        <v>161830.71</v>
      </c>
      <c r="E64" s="80"/>
      <c r="F64" s="81">
        <v>93.173174609442171</v>
      </c>
      <c r="G64" s="78">
        <v>157953.38</v>
      </c>
      <c r="H64" s="79">
        <v>146704.38</v>
      </c>
      <c r="I64" s="79">
        <v>165537.93</v>
      </c>
      <c r="J64" s="79">
        <v>150782.81</v>
      </c>
      <c r="K64" s="82">
        <v>-50191.360000000001</v>
      </c>
      <c r="L64" s="79">
        <v>0</v>
      </c>
      <c r="M64" s="79">
        <v>0</v>
      </c>
      <c r="N64" s="79">
        <v>0</v>
      </c>
      <c r="O64" s="79">
        <v>0</v>
      </c>
      <c r="P64" s="79">
        <v>0</v>
      </c>
      <c r="Q64" s="79">
        <v>0</v>
      </c>
      <c r="R64" s="79">
        <v>0</v>
      </c>
      <c r="S64" s="79">
        <v>620978.5</v>
      </c>
      <c r="T64" s="79">
        <v>0</v>
      </c>
      <c r="U64" s="79">
        <v>0</v>
      </c>
      <c r="V64" s="79">
        <v>0</v>
      </c>
      <c r="W64" s="79">
        <v>0</v>
      </c>
      <c r="X64" s="79">
        <v>0</v>
      </c>
      <c r="Y64" s="79">
        <v>0</v>
      </c>
      <c r="Z64" s="79">
        <v>0</v>
      </c>
      <c r="AA64" s="79">
        <v>0</v>
      </c>
      <c r="AB64" s="79">
        <v>0</v>
      </c>
      <c r="AC64" s="79">
        <v>0</v>
      </c>
      <c r="AD64" s="79">
        <v>0</v>
      </c>
      <c r="AE64" s="79">
        <v>0</v>
      </c>
      <c r="AF64" s="79">
        <v>0</v>
      </c>
      <c r="AG64" s="83">
        <v>154527.12</v>
      </c>
      <c r="AH64" s="83">
        <v>162824.17000000001</v>
      </c>
      <c r="AI64" s="83">
        <v>173522.41</v>
      </c>
      <c r="AJ64" s="83">
        <v>161830.71</v>
      </c>
      <c r="AK64" s="83">
        <v>180725.88</v>
      </c>
      <c r="AL64" s="83">
        <v>191396</v>
      </c>
      <c r="AM64" s="83">
        <v>145982.57</v>
      </c>
      <c r="AN64" s="83">
        <v>148719.60999999999</v>
      </c>
      <c r="AO64" s="83">
        <v>137085.95000000001</v>
      </c>
      <c r="AP64" s="83">
        <v>200284.6</v>
      </c>
      <c r="AQ64" s="83">
        <v>170159.24</v>
      </c>
      <c r="AR64" s="83">
        <v>172501.45</v>
      </c>
      <c r="AS64" s="83">
        <v>652704.41</v>
      </c>
      <c r="AT64" s="80"/>
      <c r="AU64" s="80">
        <v>95.139314287764662</v>
      </c>
    </row>
    <row r="65" spans="1:47" ht="12.75" customHeight="1" x14ac:dyDescent="0.2">
      <c r="A65" s="84" t="s">
        <v>8</v>
      </c>
      <c r="B65" s="85">
        <v>1561.4</v>
      </c>
      <c r="C65" s="86">
        <v>0</v>
      </c>
      <c r="D65" s="86">
        <v>14564.42</v>
      </c>
      <c r="E65" s="87"/>
      <c r="F65" s="88">
        <v>10.720646616892399</v>
      </c>
      <c r="G65" s="85">
        <v>6708.72</v>
      </c>
      <c r="H65" s="86">
        <v>34842.800000000003</v>
      </c>
      <c r="I65" s="86">
        <v>10243.450000000001</v>
      </c>
      <c r="J65" s="86">
        <v>1561.4</v>
      </c>
      <c r="K65" s="86">
        <v>64375.65</v>
      </c>
      <c r="L65" s="86">
        <v>0</v>
      </c>
      <c r="M65" s="86">
        <v>0</v>
      </c>
      <c r="N65" s="86">
        <v>0</v>
      </c>
      <c r="O65" s="86">
        <v>0</v>
      </c>
      <c r="P65" s="86">
        <v>0</v>
      </c>
      <c r="Q65" s="86">
        <v>0</v>
      </c>
      <c r="R65" s="86">
        <v>0</v>
      </c>
      <c r="S65" s="86">
        <v>53356.37</v>
      </c>
      <c r="T65" s="86">
        <v>0</v>
      </c>
      <c r="U65" s="86">
        <v>0</v>
      </c>
      <c r="V65" s="86">
        <v>0</v>
      </c>
      <c r="W65" s="86">
        <v>0</v>
      </c>
      <c r="X65" s="86">
        <v>0</v>
      </c>
      <c r="Y65" s="86">
        <v>0</v>
      </c>
      <c r="Z65" s="86">
        <v>0</v>
      </c>
      <c r="AA65" s="86">
        <v>0</v>
      </c>
      <c r="AB65" s="86">
        <v>0</v>
      </c>
      <c r="AC65" s="86">
        <v>0</v>
      </c>
      <c r="AD65" s="86">
        <v>0</v>
      </c>
      <c r="AE65" s="86">
        <v>0</v>
      </c>
      <c r="AF65" s="86">
        <v>0</v>
      </c>
      <c r="AG65" s="90">
        <v>5099.8999999999996</v>
      </c>
      <c r="AH65" s="90">
        <v>80154.36</v>
      </c>
      <c r="AI65" s="90">
        <v>18682.7</v>
      </c>
      <c r="AJ65" s="90">
        <v>14564.42</v>
      </c>
      <c r="AK65" s="90">
        <v>22208.17</v>
      </c>
      <c r="AL65" s="136">
        <v>-5364.96</v>
      </c>
      <c r="AM65" s="90">
        <v>45823.09</v>
      </c>
      <c r="AN65" s="90">
        <v>39769.730000000003</v>
      </c>
      <c r="AO65" s="90">
        <v>31357.83</v>
      </c>
      <c r="AP65" s="90">
        <v>15775.7</v>
      </c>
      <c r="AQ65" s="90">
        <v>12965.37</v>
      </c>
      <c r="AR65" s="90">
        <v>27489.09</v>
      </c>
      <c r="AS65" s="90">
        <v>118501.38</v>
      </c>
      <c r="AT65" s="87"/>
      <c r="AU65" s="87">
        <v>45.025948221024933</v>
      </c>
    </row>
    <row r="66" spans="1:47" x14ac:dyDescent="0.2">
      <c r="G66" s="365"/>
      <c r="H66" s="365"/>
      <c r="I66" s="365"/>
      <c r="J66" s="365"/>
      <c r="K66" s="365"/>
      <c r="L66" s="365"/>
      <c r="M66" s="365"/>
      <c r="N66" s="365"/>
      <c r="O66" s="365"/>
      <c r="S66" s="630"/>
      <c r="T66" s="630"/>
      <c r="U66" s="630"/>
      <c r="V66" s="630"/>
      <c r="W66" s="630"/>
      <c r="X66" s="630"/>
      <c r="Y66" s="630"/>
      <c r="Z66" s="630"/>
      <c r="AA66" s="630"/>
      <c r="AB66" s="630"/>
      <c r="AC66" s="630"/>
      <c r="AD66" s="630"/>
      <c r="AE66" s="630"/>
      <c r="AF66" s="630"/>
      <c r="AG66" s="630"/>
      <c r="AH66" s="630"/>
      <c r="AI66" s="630"/>
      <c r="AJ66" s="630"/>
      <c r="AK66" s="630"/>
      <c r="AL66" s="630"/>
      <c r="AM66" s="630"/>
      <c r="AN66" s="630"/>
      <c r="AO66" s="630"/>
      <c r="AP66" s="630"/>
      <c r="AQ66" s="630"/>
      <c r="AR66" s="630"/>
      <c r="AS66" s="630"/>
    </row>
    <row r="67" spans="1:47" x14ac:dyDescent="0.2">
      <c r="S67" s="26"/>
      <c r="AS67" s="26"/>
    </row>
    <row r="68" spans="1:47" x14ac:dyDescent="0.2">
      <c r="S68" s="497"/>
      <c r="AS68" s="497"/>
    </row>
    <row r="69" spans="1:47" ht="15" x14ac:dyDescent="0.25">
      <c r="A69" s="16"/>
      <c r="B69" s="16"/>
      <c r="C69" s="16"/>
      <c r="D69" s="16"/>
    </row>
    <row r="70" spans="1:47" ht="15" x14ac:dyDescent="0.25">
      <c r="A70" s="16"/>
      <c r="B70" s="16"/>
      <c r="C70" s="16"/>
      <c r="D70" s="16"/>
      <c r="AE70" s="365" t="s">
        <v>465</v>
      </c>
      <c r="AF70" s="26">
        <f>SUM(T2:AE2)</f>
        <v>0</v>
      </c>
    </row>
    <row r="71" spans="1:47" ht="15" x14ac:dyDescent="0.25">
      <c r="A71" s="16"/>
      <c r="B71" s="16"/>
      <c r="C71" s="16"/>
      <c r="D71" s="16"/>
      <c r="AE71" s="365"/>
      <c r="AF71" s="26">
        <f>SUM(T10:AE17)</f>
        <v>0</v>
      </c>
    </row>
    <row r="72" spans="1:47" ht="15" x14ac:dyDescent="0.25">
      <c r="A72" s="16"/>
      <c r="B72" s="16"/>
      <c r="C72" s="16"/>
      <c r="D72" s="16"/>
      <c r="AE72" s="365" t="s">
        <v>303</v>
      </c>
      <c r="AF72" s="26">
        <f>+AF70-AF71</f>
        <v>0</v>
      </c>
    </row>
    <row r="73" spans="1:47" ht="15" x14ac:dyDescent="0.25">
      <c r="A73" s="16"/>
      <c r="B73" s="25"/>
      <c r="C73" s="17"/>
      <c r="D73" s="25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365" t="s">
        <v>466</v>
      </c>
      <c r="AF73" s="482">
        <f>+SUM(T18:AE19)+SUM(T23:AE23)+SUM(T34:AE34)+SUM(T49:AE49)+SUM(T63:AE63)</f>
        <v>0</v>
      </c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</row>
    <row r="74" spans="1:47" ht="15" x14ac:dyDescent="0.25">
      <c r="A74" s="16"/>
      <c r="B74" s="16"/>
      <c r="C74" s="16"/>
      <c r="D74" s="16"/>
      <c r="AE74" s="365"/>
      <c r="AF74" s="365"/>
    </row>
    <row r="75" spans="1:47" ht="15" x14ac:dyDescent="0.25">
      <c r="A75" s="16"/>
      <c r="B75" s="16"/>
      <c r="C75" s="16"/>
      <c r="D75" s="16"/>
      <c r="AE75" s="365" t="s">
        <v>419</v>
      </c>
      <c r="AF75" s="18">
        <f>+AF72-AF73</f>
        <v>0</v>
      </c>
    </row>
    <row r="76" spans="1:47" ht="15" x14ac:dyDescent="0.25">
      <c r="A76" s="16"/>
      <c r="B76" s="16"/>
      <c r="C76" s="16"/>
      <c r="D76" s="16"/>
      <c r="AE76" s="365"/>
      <c r="AF76" s="482">
        <f>+AF75-SUM(T65:AE65)</f>
        <v>0</v>
      </c>
    </row>
    <row r="77" spans="1:47" ht="15" x14ac:dyDescent="0.25">
      <c r="A77" s="16"/>
      <c r="B77" s="16"/>
      <c r="C77" s="16"/>
      <c r="D77" s="16"/>
    </row>
    <row r="79" spans="1:47" x14ac:dyDescent="0.2">
      <c r="S79" s="442" t="s">
        <v>538</v>
      </c>
    </row>
    <row r="80" spans="1:47" x14ac:dyDescent="0.2">
      <c r="S80" s="26">
        <f>+S2</f>
        <v>674334.87</v>
      </c>
      <c r="T80" s="94">
        <f>+S80/S80</f>
        <v>1</v>
      </c>
    </row>
    <row r="81" spans="6:46" x14ac:dyDescent="0.2">
      <c r="S81" s="26">
        <f>+S10</f>
        <v>272435.96000000002</v>
      </c>
      <c r="T81" s="94">
        <f>+S81/S80</f>
        <v>0.40400692907961294</v>
      </c>
    </row>
    <row r="82" spans="6:46" x14ac:dyDescent="0.2">
      <c r="S82" s="26">
        <f>+S11+S12+S13+S14+S15+S16+S17</f>
        <v>264063.48</v>
      </c>
      <c r="T82" s="94">
        <f>+S82/S80</f>
        <v>0.39159102064527673</v>
      </c>
    </row>
    <row r="83" spans="6:46" x14ac:dyDescent="0.2">
      <c r="S83" s="26">
        <f>+S18+S19+S23+S34+S49+S63</f>
        <v>84479.06</v>
      </c>
      <c r="T83" s="94">
        <f>+S83/S80</f>
        <v>0.12527760873466323</v>
      </c>
    </row>
    <row r="84" spans="6:46" x14ac:dyDescent="0.2">
      <c r="S84" s="26">
        <f>+S80-S81-S82-S83</f>
        <v>53356.369999999995</v>
      </c>
      <c r="T84" s="94">
        <f>+S84/S80</f>
        <v>7.9124441540447107E-2</v>
      </c>
    </row>
    <row r="85" spans="6:46" x14ac:dyDescent="0.2">
      <c r="S85" s="442" t="s">
        <v>701</v>
      </c>
      <c r="T85" s="442"/>
      <c r="U85" s="442"/>
      <c r="V85" s="442"/>
      <c r="W85" s="442"/>
      <c r="X85" s="442"/>
      <c r="Y85" s="442"/>
      <c r="Z85" s="442"/>
      <c r="AA85" s="442"/>
      <c r="AB85" s="442"/>
      <c r="AC85" s="442"/>
      <c r="AD85" s="442"/>
      <c r="AE85" s="442"/>
      <c r="AF85" s="442"/>
      <c r="AG85" s="442"/>
      <c r="AH85" s="442"/>
      <c r="AI85" s="442"/>
      <c r="AJ85" s="442"/>
      <c r="AK85" s="442"/>
      <c r="AL85" s="442"/>
      <c r="AM85" s="442"/>
      <c r="AN85" s="442"/>
      <c r="AO85" s="442"/>
      <c r="AP85" s="442"/>
      <c r="AQ85" s="442"/>
      <c r="AR85" s="442"/>
      <c r="AS85" s="442" t="s">
        <v>599</v>
      </c>
      <c r="AT85" s="365"/>
    </row>
    <row r="86" spans="6:46" x14ac:dyDescent="0.2">
      <c r="F86" t="s">
        <v>538</v>
      </c>
      <c r="S86" s="26">
        <f>+S2+'Mngt-Bris Milk Testing '!S2+'Mngt-Bris Chem External'!S2</f>
        <v>837153.26</v>
      </c>
      <c r="AS86" s="26">
        <f>+AS2+'Mngt-Bris Milk Testing '!AS2+'Mngt-Bris Chem External'!AS2</f>
        <v>917089.32000000007</v>
      </c>
      <c r="AT86" s="365" t="s">
        <v>286</v>
      </c>
    </row>
    <row r="87" spans="6:46" x14ac:dyDescent="0.2">
      <c r="S87" s="26">
        <f>+S65+'Mngt-Bris Milk Testing '!S61+'Mngt-Bris Chem External'!S63</f>
        <v>79329.150000000009</v>
      </c>
      <c r="AS87" s="26">
        <f>+AS65+'Mngt-Bris Milk Testing '!AS61+'Mngt-Bris Chem External'!AS63</f>
        <v>149523.13</v>
      </c>
      <c r="AT87" s="365" t="s">
        <v>702</v>
      </c>
    </row>
    <row r="88" spans="6:46" x14ac:dyDescent="0.2">
      <c r="S88" s="94">
        <f>+S87/S86</f>
        <v>9.4760605722302285E-2</v>
      </c>
      <c r="AS88" s="94">
        <f>+AS87/AS86</f>
        <v>0.16304096748177155</v>
      </c>
      <c r="AT88" s="365" t="s">
        <v>703</v>
      </c>
    </row>
  </sheetData>
  <hyperlinks>
    <hyperlink ref="AF73" r:id="rId1" display="+@sum(T17:AE18)+@sum(T22:AE22)+@sum(T33:AE33)+@sum(T48:AE48)+@sum(T62:AE62)"/>
    <hyperlink ref="AF76" r:id="rId2" display="+AF75-@sum(T64:AE64)"/>
  </hyperlinks>
  <pageMargins left="0.75" right="0.75" top="1" bottom="1" header="0.5" footer="0.5"/>
  <pageSetup orientation="portrait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B0F0"/>
    <pageSetUpPr fitToPage="1"/>
  </sheetPr>
  <dimension ref="A1:AU88"/>
  <sheetViews>
    <sheetView workbookViewId="0">
      <pane xSplit="1" ySplit="1" topLeftCell="B2" activePane="bottomRight" state="frozen"/>
      <selection activeCell="A73" sqref="A73"/>
      <selection pane="topRight" activeCell="A73" sqref="A73"/>
      <selection pane="bottomLeft" activeCell="A73" sqref="A73"/>
      <selection pane="bottomRight" sqref="A1:AU64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10" customWidth="1" collapsed="1"/>
    <col min="46" max="47" width="10.5703125" customWidth="1"/>
  </cols>
  <sheetData>
    <row r="1" spans="1:47" ht="30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s="7" customFormat="1" x14ac:dyDescent="0.2">
      <c r="A2" s="61" t="s">
        <v>7</v>
      </c>
      <c r="B2" s="62">
        <v>158378.78</v>
      </c>
      <c r="C2" s="54">
        <v>0</v>
      </c>
      <c r="D2" s="54">
        <v>140495.64000000001</v>
      </c>
      <c r="E2" s="63"/>
      <c r="F2" s="64">
        <v>112.72860851767358</v>
      </c>
      <c r="G2" s="65">
        <v>206322.55</v>
      </c>
      <c r="H2" s="54">
        <v>161279.24</v>
      </c>
      <c r="I2" s="54">
        <v>216494.95</v>
      </c>
      <c r="J2" s="54">
        <v>158378.78</v>
      </c>
      <c r="K2" s="54">
        <v>34320.449999999997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742475.52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147407.12</v>
      </c>
      <c r="AH2" s="67">
        <v>151320.68</v>
      </c>
      <c r="AI2" s="67">
        <v>162804.12</v>
      </c>
      <c r="AJ2" s="67">
        <v>140495.64000000001</v>
      </c>
      <c r="AK2" s="67">
        <v>136777.15</v>
      </c>
      <c r="AL2" s="67">
        <v>141112.57</v>
      </c>
      <c r="AM2" s="67">
        <v>140409.09</v>
      </c>
      <c r="AN2" s="67">
        <v>148544.38</v>
      </c>
      <c r="AO2" s="67">
        <v>137448.26</v>
      </c>
      <c r="AP2" s="67">
        <v>174141.43</v>
      </c>
      <c r="AQ2" s="67">
        <v>183066.73</v>
      </c>
      <c r="AR2" s="67">
        <v>164970.22</v>
      </c>
      <c r="AS2" s="68">
        <v>602027.56000000006</v>
      </c>
      <c r="AT2" s="63"/>
      <c r="AU2" s="63">
        <v>123.32915788772195</v>
      </c>
    </row>
    <row r="3" spans="1:47" ht="12.75" hidden="1" customHeight="1" outlineLevel="1" x14ac:dyDescent="0.2">
      <c r="A3" s="61" t="s">
        <v>160</v>
      </c>
      <c r="B3" s="62">
        <v>39834.61</v>
      </c>
      <c r="C3" s="54">
        <v>0</v>
      </c>
      <c r="D3" s="54">
        <v>46126.45</v>
      </c>
      <c r="E3" s="63"/>
      <c r="F3" s="64">
        <v>86.359583275972895</v>
      </c>
      <c r="G3" s="65">
        <v>45825.01</v>
      </c>
      <c r="H3" s="54">
        <v>47904.23</v>
      </c>
      <c r="I3" s="54">
        <v>50090.77</v>
      </c>
      <c r="J3" s="54">
        <v>39834.61</v>
      </c>
      <c r="K3" s="54">
        <v>0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183654.62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45436.76</v>
      </c>
      <c r="AH3" s="67">
        <v>54110.8</v>
      </c>
      <c r="AI3" s="67">
        <v>54289.599999999999</v>
      </c>
      <c r="AJ3" s="67">
        <v>46126.45</v>
      </c>
      <c r="AK3" s="67">
        <v>33646.199999999997</v>
      </c>
      <c r="AL3" s="67">
        <v>45060.98</v>
      </c>
      <c r="AM3" s="67">
        <v>42614.82</v>
      </c>
      <c r="AN3" s="67">
        <v>47134.05</v>
      </c>
      <c r="AO3" s="67">
        <v>46839.3</v>
      </c>
      <c r="AP3" s="67">
        <v>40670.199999999997</v>
      </c>
      <c r="AQ3" s="67">
        <v>55850.86</v>
      </c>
      <c r="AR3" s="67">
        <v>51562.97</v>
      </c>
      <c r="AS3" s="68">
        <v>199963.61</v>
      </c>
      <c r="AT3" s="63"/>
      <c r="AU3" s="63">
        <v>91.84402101962452</v>
      </c>
    </row>
    <row r="4" spans="1:47" ht="12.75" hidden="1" customHeight="1" outlineLevel="1" x14ac:dyDescent="0.2">
      <c r="A4" s="61" t="s">
        <v>161</v>
      </c>
      <c r="B4" s="62">
        <v>4034.49</v>
      </c>
      <c r="C4" s="54">
        <v>0</v>
      </c>
      <c r="D4" s="54">
        <v>4009.95</v>
      </c>
      <c r="E4" s="63"/>
      <c r="F4" s="64">
        <v>100.61197770545768</v>
      </c>
      <c r="G4" s="65">
        <v>4138.88</v>
      </c>
      <c r="H4" s="54">
        <v>1255.1500000000001</v>
      </c>
      <c r="I4" s="54">
        <v>7695.04</v>
      </c>
      <c r="J4" s="54">
        <v>4034.49</v>
      </c>
      <c r="K4" s="56">
        <v>-1401.82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17123.560000000001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4108.04</v>
      </c>
      <c r="AH4" s="67">
        <v>4324.8999999999996</v>
      </c>
      <c r="AI4" s="67">
        <v>4896.91</v>
      </c>
      <c r="AJ4" s="67">
        <v>4009.95</v>
      </c>
      <c r="AK4" s="67">
        <v>2890.98</v>
      </c>
      <c r="AL4" s="67">
        <v>3868.93</v>
      </c>
      <c r="AM4" s="67">
        <v>3603.91</v>
      </c>
      <c r="AN4" s="67">
        <v>3896.46</v>
      </c>
      <c r="AO4" s="67">
        <v>1260.3599999999999</v>
      </c>
      <c r="AP4" s="67">
        <v>4698.13</v>
      </c>
      <c r="AQ4" s="67">
        <v>5327.85</v>
      </c>
      <c r="AR4" s="67">
        <v>5432.28</v>
      </c>
      <c r="AS4" s="68">
        <v>17339.8</v>
      </c>
      <c r="AT4" s="63"/>
      <c r="AU4" s="63">
        <v>98.75292679269657</v>
      </c>
    </row>
    <row r="5" spans="1:47" ht="12.75" hidden="1" customHeight="1" outlineLevel="1" x14ac:dyDescent="0.2">
      <c r="A5" s="61" t="s">
        <v>162</v>
      </c>
      <c r="B5" s="62">
        <v>4068</v>
      </c>
      <c r="C5" s="54">
        <v>0</v>
      </c>
      <c r="D5" s="54">
        <v>8876.9599999999991</v>
      </c>
      <c r="E5" s="63"/>
      <c r="F5" s="64">
        <v>45.826499161875233</v>
      </c>
      <c r="G5" s="65">
        <v>10611.64</v>
      </c>
      <c r="H5" s="54">
        <v>4224.17</v>
      </c>
      <c r="I5" s="54">
        <v>3646.32</v>
      </c>
      <c r="J5" s="54">
        <v>4068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22550.13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9327.27</v>
      </c>
      <c r="AH5" s="67">
        <v>10213.9</v>
      </c>
      <c r="AI5" s="67">
        <v>3727.56</v>
      </c>
      <c r="AJ5" s="67">
        <v>8876.9599999999991</v>
      </c>
      <c r="AK5" s="67">
        <v>3411.46</v>
      </c>
      <c r="AL5" s="67">
        <v>5664.55</v>
      </c>
      <c r="AM5" s="67">
        <v>5697.25</v>
      </c>
      <c r="AN5" s="67">
        <v>4966.26</v>
      </c>
      <c r="AO5" s="67">
        <v>5632.87</v>
      </c>
      <c r="AP5" s="67">
        <v>5329.96</v>
      </c>
      <c r="AQ5" s="67">
        <v>3593.07</v>
      </c>
      <c r="AR5" s="67">
        <v>4497.53</v>
      </c>
      <c r="AS5" s="68">
        <v>32145.69</v>
      </c>
      <c r="AT5" s="63"/>
      <c r="AU5" s="63">
        <v>70.149777466279303</v>
      </c>
    </row>
    <row r="6" spans="1:47" ht="12.75" hidden="1" customHeight="1" outlineLevel="1" x14ac:dyDescent="0.2">
      <c r="A6" s="61" t="s">
        <v>163</v>
      </c>
      <c r="B6" s="62">
        <v>0</v>
      </c>
      <c r="C6" s="54">
        <v>0</v>
      </c>
      <c r="D6" s="54">
        <v>950</v>
      </c>
      <c r="E6" s="63"/>
      <c r="F6" s="64">
        <v>0</v>
      </c>
      <c r="G6" s="65">
        <v>950</v>
      </c>
      <c r="H6" s="54">
        <v>950</v>
      </c>
      <c r="I6" s="56">
        <v>-1900</v>
      </c>
      <c r="J6" s="54">
        <v>0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0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950</v>
      </c>
      <c r="AH6" s="67">
        <v>950</v>
      </c>
      <c r="AI6" s="67">
        <v>950</v>
      </c>
      <c r="AJ6" s="67">
        <v>950</v>
      </c>
      <c r="AK6" s="67">
        <v>950</v>
      </c>
      <c r="AL6" s="67">
        <v>950</v>
      </c>
      <c r="AM6" s="67">
        <v>950</v>
      </c>
      <c r="AN6" s="67">
        <v>950</v>
      </c>
      <c r="AO6" s="67">
        <v>950</v>
      </c>
      <c r="AP6" s="67">
        <v>950</v>
      </c>
      <c r="AQ6" s="98">
        <v>-9485.6</v>
      </c>
      <c r="AR6" s="67">
        <v>0</v>
      </c>
      <c r="AS6" s="68">
        <v>3800</v>
      </c>
      <c r="AT6" s="63"/>
      <c r="AU6" s="63">
        <v>0</v>
      </c>
    </row>
    <row r="7" spans="1:47" s="365" customFormat="1" ht="12.75" hidden="1" customHeight="1" outlineLevel="1" x14ac:dyDescent="0.2">
      <c r="A7" s="61" t="s">
        <v>164</v>
      </c>
      <c r="B7" s="62">
        <v>277.85000000000002</v>
      </c>
      <c r="C7" s="54">
        <v>0</v>
      </c>
      <c r="D7" s="54">
        <v>0</v>
      </c>
      <c r="E7" s="63"/>
      <c r="F7" s="64"/>
      <c r="G7" s="65">
        <v>0</v>
      </c>
      <c r="H7" s="54">
        <v>277.85000000000002</v>
      </c>
      <c r="I7" s="54">
        <v>1078.0999999999999</v>
      </c>
      <c r="J7" s="54">
        <v>277.85000000000002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1633.8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0</v>
      </c>
      <c r="AH7" s="67">
        <v>0</v>
      </c>
      <c r="AI7" s="67">
        <v>0</v>
      </c>
      <c r="AJ7" s="67">
        <v>0</v>
      </c>
      <c r="AK7" s="67">
        <v>0</v>
      </c>
      <c r="AL7" s="67">
        <v>383.89</v>
      </c>
      <c r="AM7" s="67">
        <v>383.89</v>
      </c>
      <c r="AN7" s="67">
        <v>383.89</v>
      </c>
      <c r="AO7" s="67">
        <v>383.89</v>
      </c>
      <c r="AP7" s="67">
        <v>383.89</v>
      </c>
      <c r="AQ7" s="67">
        <v>383.89</v>
      </c>
      <c r="AR7" s="67">
        <v>383.89</v>
      </c>
      <c r="AS7" s="68">
        <v>0</v>
      </c>
      <c r="AT7" s="63"/>
      <c r="AU7" s="63"/>
    </row>
    <row r="8" spans="1:47" ht="12.75" hidden="1" customHeight="1" outlineLevel="1" x14ac:dyDescent="0.2">
      <c r="A8" s="61" t="s">
        <v>165</v>
      </c>
      <c r="B8" s="62">
        <v>3952.07</v>
      </c>
      <c r="C8" s="54">
        <v>0</v>
      </c>
      <c r="D8" s="54">
        <v>4518.6499999999996</v>
      </c>
      <c r="E8" s="63"/>
      <c r="F8" s="64">
        <v>87.461299281865152</v>
      </c>
      <c r="G8" s="65">
        <v>4560.72</v>
      </c>
      <c r="H8" s="54">
        <v>4437.82</v>
      </c>
      <c r="I8" s="54">
        <v>4492.37</v>
      </c>
      <c r="J8" s="54">
        <v>3952.07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66">
        <v>17442.98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66">
        <v>0</v>
      </c>
      <c r="AG8" s="67">
        <v>4427.8999999999996</v>
      </c>
      <c r="AH8" s="67">
        <v>4803.62</v>
      </c>
      <c r="AI8" s="67">
        <v>5015.8</v>
      </c>
      <c r="AJ8" s="67">
        <v>4518.6499999999996</v>
      </c>
      <c r="AK8" s="67">
        <v>2894.24</v>
      </c>
      <c r="AL8" s="67">
        <v>4255.72</v>
      </c>
      <c r="AM8" s="67">
        <v>3665.74</v>
      </c>
      <c r="AN8" s="67">
        <v>4154.58</v>
      </c>
      <c r="AO8" s="67">
        <v>4293.91</v>
      </c>
      <c r="AP8" s="67">
        <v>3942.51</v>
      </c>
      <c r="AQ8" s="67">
        <v>5071.42</v>
      </c>
      <c r="AR8" s="67">
        <v>4868.8900000000003</v>
      </c>
      <c r="AS8" s="68">
        <v>18765.97</v>
      </c>
      <c r="AT8" s="63"/>
      <c r="AU8" s="63">
        <v>92.950058003929456</v>
      </c>
    </row>
    <row r="9" spans="1:47" ht="12.75" customHeight="1" collapsed="1" x14ac:dyDescent="0.2">
      <c r="A9" s="69" t="s">
        <v>166</v>
      </c>
      <c r="B9" s="70">
        <v>52167.02</v>
      </c>
      <c r="C9" s="71">
        <v>0</v>
      </c>
      <c r="D9" s="71">
        <v>64482.01</v>
      </c>
      <c r="E9" s="72"/>
      <c r="F9" s="73">
        <v>80.901665441260278</v>
      </c>
      <c r="G9" s="70">
        <v>66086.25</v>
      </c>
      <c r="H9" s="71">
        <v>59049.22</v>
      </c>
      <c r="I9" s="71">
        <v>65102.6</v>
      </c>
      <c r="J9" s="71">
        <v>52167.02</v>
      </c>
      <c r="K9" s="74">
        <v>-1401.82</v>
      </c>
      <c r="L9" s="71">
        <v>0</v>
      </c>
      <c r="M9" s="71">
        <v>0</v>
      </c>
      <c r="N9" s="71">
        <v>0</v>
      </c>
      <c r="O9" s="71">
        <v>0</v>
      </c>
      <c r="P9" s="71">
        <v>0</v>
      </c>
      <c r="Q9" s="71">
        <v>0</v>
      </c>
      <c r="R9" s="71">
        <v>0</v>
      </c>
      <c r="S9" s="71">
        <v>242405.09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0</v>
      </c>
      <c r="AA9" s="71">
        <v>0</v>
      </c>
      <c r="AB9" s="71">
        <v>0</v>
      </c>
      <c r="AC9" s="71">
        <v>0</v>
      </c>
      <c r="AD9" s="71">
        <v>0</v>
      </c>
      <c r="AE9" s="71">
        <v>0</v>
      </c>
      <c r="AF9" s="71">
        <v>0</v>
      </c>
      <c r="AG9" s="75">
        <v>64249.97</v>
      </c>
      <c r="AH9" s="75">
        <v>74403.22</v>
      </c>
      <c r="AI9" s="75">
        <v>68879.87</v>
      </c>
      <c r="AJ9" s="75">
        <v>64482.01</v>
      </c>
      <c r="AK9" s="75">
        <v>43792.88</v>
      </c>
      <c r="AL9" s="75">
        <v>60184.07</v>
      </c>
      <c r="AM9" s="75">
        <v>56915.61</v>
      </c>
      <c r="AN9" s="75">
        <v>61485.24</v>
      </c>
      <c r="AO9" s="75">
        <v>59360.33</v>
      </c>
      <c r="AP9" s="75">
        <v>55974.69</v>
      </c>
      <c r="AQ9" s="75">
        <v>60741.49</v>
      </c>
      <c r="AR9" s="75">
        <v>66745.56</v>
      </c>
      <c r="AS9" s="75">
        <v>272015.07</v>
      </c>
      <c r="AT9" s="72"/>
      <c r="AU9" s="72">
        <v>89.114581041410688</v>
      </c>
    </row>
    <row r="10" spans="1:47" ht="12.75" customHeight="1" x14ac:dyDescent="0.2">
      <c r="A10" s="61" t="s">
        <v>167</v>
      </c>
      <c r="B10" s="62">
        <v>23127.86</v>
      </c>
      <c r="C10" s="54">
        <v>0</v>
      </c>
      <c r="D10" s="54">
        <v>6157.31</v>
      </c>
      <c r="E10" s="63"/>
      <c r="F10" s="64">
        <v>375.61629997515149</v>
      </c>
      <c r="G10" s="65">
        <v>37627.07</v>
      </c>
      <c r="H10" s="54">
        <v>18288.919999999998</v>
      </c>
      <c r="I10" s="54">
        <v>14965.72</v>
      </c>
      <c r="J10" s="54">
        <v>23127.86</v>
      </c>
      <c r="K10" s="56">
        <v>-20610.830000000002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66">
        <v>94009.57</v>
      </c>
      <c r="T10" s="54">
        <v>0</v>
      </c>
      <c r="U10" s="54">
        <v>0</v>
      </c>
      <c r="V10" s="54">
        <v>0</v>
      </c>
      <c r="W10" s="54">
        <v>0</v>
      </c>
      <c r="X10" s="54">
        <v>0</v>
      </c>
      <c r="Y10" s="54">
        <v>0</v>
      </c>
      <c r="Z10" s="54">
        <v>0</v>
      </c>
      <c r="AA10" s="54">
        <v>0</v>
      </c>
      <c r="AB10" s="54">
        <v>0</v>
      </c>
      <c r="AC10" s="54">
        <v>0</v>
      </c>
      <c r="AD10" s="54">
        <v>0</v>
      </c>
      <c r="AE10" s="54">
        <v>0</v>
      </c>
      <c r="AF10" s="66">
        <v>0</v>
      </c>
      <c r="AG10" s="67">
        <v>26676.45</v>
      </c>
      <c r="AH10" s="67">
        <v>16232.82</v>
      </c>
      <c r="AI10" s="67">
        <v>12721.71</v>
      </c>
      <c r="AJ10" s="67">
        <v>6157.31</v>
      </c>
      <c r="AK10" s="67">
        <v>23627.23</v>
      </c>
      <c r="AL10" s="67">
        <v>29856.63</v>
      </c>
      <c r="AM10" s="67">
        <v>25521.599999999999</v>
      </c>
      <c r="AN10" s="67">
        <v>10673.45</v>
      </c>
      <c r="AO10" s="67">
        <v>28177.040000000001</v>
      </c>
      <c r="AP10" s="67">
        <v>8302.43</v>
      </c>
      <c r="AQ10" s="67">
        <v>22746.45</v>
      </c>
      <c r="AR10" s="67">
        <v>16028.7</v>
      </c>
      <c r="AS10" s="68">
        <v>61788.29</v>
      </c>
      <c r="AT10" s="63"/>
      <c r="AU10" s="63">
        <v>152.14787462155047</v>
      </c>
    </row>
    <row r="11" spans="1:47" ht="12.75" customHeight="1" x14ac:dyDescent="0.2">
      <c r="A11" s="61" t="s">
        <v>168</v>
      </c>
      <c r="B11" s="62">
        <v>1871.41</v>
      </c>
      <c r="C11" s="54">
        <v>0</v>
      </c>
      <c r="D11" s="56">
        <v>-629.29</v>
      </c>
      <c r="E11" s="63"/>
      <c r="F11" s="64">
        <v>-297.38435379554738</v>
      </c>
      <c r="G11" s="65">
        <v>2303.3000000000002</v>
      </c>
      <c r="H11" s="54">
        <v>5783.23</v>
      </c>
      <c r="I11" s="54">
        <v>2732.6</v>
      </c>
      <c r="J11" s="54">
        <v>1871.41</v>
      </c>
      <c r="K11" s="54">
        <v>191.51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66">
        <v>12690.54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0</v>
      </c>
      <c r="AC11" s="54">
        <v>0</v>
      </c>
      <c r="AD11" s="54">
        <v>0</v>
      </c>
      <c r="AE11" s="54">
        <v>0</v>
      </c>
      <c r="AF11" s="66">
        <v>0</v>
      </c>
      <c r="AG11" s="67">
        <v>2682.12</v>
      </c>
      <c r="AH11" s="67">
        <v>3364.88</v>
      </c>
      <c r="AI11" s="67">
        <v>7921.47</v>
      </c>
      <c r="AJ11" s="98">
        <v>-629.29</v>
      </c>
      <c r="AK11" s="67">
        <v>2777.81</v>
      </c>
      <c r="AL11" s="67">
        <v>6163.92</v>
      </c>
      <c r="AM11" s="98">
        <v>-6093.66</v>
      </c>
      <c r="AN11" s="67">
        <v>1970.23</v>
      </c>
      <c r="AO11" s="67">
        <v>5368.31</v>
      </c>
      <c r="AP11" s="67">
        <v>2307.04</v>
      </c>
      <c r="AQ11" s="67">
        <v>5105.29</v>
      </c>
      <c r="AR11" s="98">
        <v>-2714.52</v>
      </c>
      <c r="AS11" s="68">
        <v>13339.18</v>
      </c>
      <c r="AT11" s="63"/>
      <c r="AU11" s="63">
        <v>95.137332279795316</v>
      </c>
    </row>
    <row r="12" spans="1:47" ht="12.75" customHeight="1" x14ac:dyDescent="0.2">
      <c r="A12" s="61" t="s">
        <v>169</v>
      </c>
      <c r="B12" s="62">
        <v>4160.57</v>
      </c>
      <c r="C12" s="54">
        <v>0</v>
      </c>
      <c r="D12" s="54">
        <v>4364.28</v>
      </c>
      <c r="E12" s="63"/>
      <c r="F12" s="64">
        <v>95.33233431402202</v>
      </c>
      <c r="G12" s="65">
        <v>4299.41</v>
      </c>
      <c r="H12" s="54">
        <v>2945.26</v>
      </c>
      <c r="I12" s="56">
        <v>-768.36</v>
      </c>
      <c r="J12" s="54">
        <v>4160.57</v>
      </c>
      <c r="K12" s="56">
        <v>-3002.1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66">
        <v>10636.88</v>
      </c>
      <c r="T12" s="54">
        <v>0</v>
      </c>
      <c r="U12" s="54">
        <v>0</v>
      </c>
      <c r="V12" s="54">
        <v>0</v>
      </c>
      <c r="W12" s="54">
        <v>0</v>
      </c>
      <c r="X12" s="54">
        <v>0</v>
      </c>
      <c r="Y12" s="54">
        <v>0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66">
        <v>0</v>
      </c>
      <c r="AG12" s="67">
        <v>2714.53</v>
      </c>
      <c r="AH12" s="67">
        <v>3801.96</v>
      </c>
      <c r="AI12" s="67">
        <v>4664.1499999999996</v>
      </c>
      <c r="AJ12" s="67">
        <v>4364.28</v>
      </c>
      <c r="AK12" s="67">
        <v>794.42</v>
      </c>
      <c r="AL12" s="67">
        <v>9027.1</v>
      </c>
      <c r="AM12" s="98">
        <v>-1031.05</v>
      </c>
      <c r="AN12" s="67">
        <v>1434.39</v>
      </c>
      <c r="AO12" s="67">
        <v>6487</v>
      </c>
      <c r="AP12" s="67">
        <v>3996.75</v>
      </c>
      <c r="AQ12" s="67">
        <v>923.25</v>
      </c>
      <c r="AR12" s="98">
        <v>-2413.4299999999998</v>
      </c>
      <c r="AS12" s="68">
        <v>15544.92</v>
      </c>
      <c r="AT12" s="63"/>
      <c r="AU12" s="63">
        <v>68.426727188046002</v>
      </c>
    </row>
    <row r="13" spans="1:47" ht="12.75" customHeight="1" x14ac:dyDescent="0.2">
      <c r="A13" s="61" t="s">
        <v>50</v>
      </c>
      <c r="B13" s="62">
        <v>0</v>
      </c>
      <c r="C13" s="54">
        <v>0</v>
      </c>
      <c r="D13" s="54">
        <v>718.27</v>
      </c>
      <c r="E13" s="63"/>
      <c r="F13" s="64">
        <v>0</v>
      </c>
      <c r="G13" s="65">
        <v>0</v>
      </c>
      <c r="H13" s="54">
        <v>0</v>
      </c>
      <c r="I13" s="54">
        <v>0</v>
      </c>
      <c r="J13" s="54">
        <v>0</v>
      </c>
      <c r="K13" s="54">
        <v>0</v>
      </c>
      <c r="L13" s="54">
        <v>0</v>
      </c>
      <c r="M13" s="54">
        <v>0</v>
      </c>
      <c r="N13" s="54">
        <v>0</v>
      </c>
      <c r="O13" s="54">
        <v>0</v>
      </c>
      <c r="P13" s="54">
        <v>0</v>
      </c>
      <c r="Q13" s="54">
        <v>0</v>
      </c>
      <c r="R13" s="54">
        <v>0</v>
      </c>
      <c r="S13" s="66">
        <v>0</v>
      </c>
      <c r="T13" s="54">
        <v>0</v>
      </c>
      <c r="U13" s="54">
        <v>0</v>
      </c>
      <c r="V13" s="54">
        <v>0</v>
      </c>
      <c r="W13" s="54">
        <v>0</v>
      </c>
      <c r="X13" s="54">
        <v>0</v>
      </c>
      <c r="Y13" s="54">
        <v>0</v>
      </c>
      <c r="Z13" s="54">
        <v>0</v>
      </c>
      <c r="AA13" s="54">
        <v>0</v>
      </c>
      <c r="AB13" s="54">
        <v>0</v>
      </c>
      <c r="AC13" s="54">
        <v>0</v>
      </c>
      <c r="AD13" s="54">
        <v>0</v>
      </c>
      <c r="AE13" s="54">
        <v>0</v>
      </c>
      <c r="AF13" s="66">
        <v>0</v>
      </c>
      <c r="AG13" s="67">
        <v>0</v>
      </c>
      <c r="AH13" s="67">
        <v>0</v>
      </c>
      <c r="AI13" s="67">
        <v>0</v>
      </c>
      <c r="AJ13" s="67">
        <v>718.27</v>
      </c>
      <c r="AK13" s="67">
        <v>0</v>
      </c>
      <c r="AL13" s="67">
        <v>49.28</v>
      </c>
      <c r="AM13" s="67">
        <v>0</v>
      </c>
      <c r="AN13" s="67">
        <v>0</v>
      </c>
      <c r="AO13" s="67">
        <v>0</v>
      </c>
      <c r="AP13" s="67">
        <v>0</v>
      </c>
      <c r="AQ13" s="67">
        <v>0</v>
      </c>
      <c r="AR13" s="67">
        <v>0</v>
      </c>
      <c r="AS13" s="68">
        <v>718.27</v>
      </c>
      <c r="AT13" s="63"/>
      <c r="AU13" s="63">
        <v>0</v>
      </c>
    </row>
    <row r="14" spans="1:47" ht="12.75" customHeight="1" x14ac:dyDescent="0.2">
      <c r="A14" s="61" t="s">
        <v>170</v>
      </c>
      <c r="B14" s="96">
        <v>-687.41</v>
      </c>
      <c r="C14" s="54">
        <v>0</v>
      </c>
      <c r="D14" s="54">
        <v>1182.95</v>
      </c>
      <c r="E14" s="63"/>
      <c r="F14" s="64">
        <v>-58.109810220212182</v>
      </c>
      <c r="G14" s="65">
        <v>8915.2999999999993</v>
      </c>
      <c r="H14" s="54">
        <v>3045</v>
      </c>
      <c r="I14" s="54">
        <v>13212.49</v>
      </c>
      <c r="J14" s="56">
        <v>-687.41</v>
      </c>
      <c r="K14" s="56">
        <v>-1300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24485.38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67">
        <v>3807.32</v>
      </c>
      <c r="AH14" s="67">
        <v>7030.66</v>
      </c>
      <c r="AI14" s="67">
        <v>4839.21</v>
      </c>
      <c r="AJ14" s="67">
        <v>1182.95</v>
      </c>
      <c r="AK14" s="67">
        <v>6624.1</v>
      </c>
      <c r="AL14" s="67">
        <v>2090</v>
      </c>
      <c r="AM14" s="98">
        <v>-800</v>
      </c>
      <c r="AN14" s="67">
        <v>2908.68</v>
      </c>
      <c r="AO14" s="67">
        <v>4575</v>
      </c>
      <c r="AP14" s="67">
        <v>348</v>
      </c>
      <c r="AQ14" s="67">
        <v>5927.6</v>
      </c>
      <c r="AR14" s="67">
        <v>16954.16</v>
      </c>
      <c r="AS14" s="68">
        <v>16860.14</v>
      </c>
      <c r="AT14" s="63"/>
      <c r="AU14" s="63">
        <v>145.22643346971023</v>
      </c>
    </row>
    <row r="15" spans="1:47" ht="12.75" customHeight="1" x14ac:dyDescent="0.2">
      <c r="A15" s="61" t="s">
        <v>171</v>
      </c>
      <c r="B15" s="62">
        <v>12347</v>
      </c>
      <c r="C15" s="54">
        <v>0</v>
      </c>
      <c r="D15" s="54">
        <v>11104.17</v>
      </c>
      <c r="E15" s="63"/>
      <c r="F15" s="64">
        <v>111.19246193096828</v>
      </c>
      <c r="G15" s="65">
        <v>17882.37</v>
      </c>
      <c r="H15" s="54">
        <v>9240.8799999999992</v>
      </c>
      <c r="I15" s="54">
        <v>11027.85</v>
      </c>
      <c r="J15" s="54">
        <v>12347</v>
      </c>
      <c r="K15" s="54">
        <v>0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66">
        <v>50498.1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66">
        <v>0</v>
      </c>
      <c r="AG15" s="67">
        <v>10111.82</v>
      </c>
      <c r="AH15" s="67">
        <v>11826.38</v>
      </c>
      <c r="AI15" s="67">
        <v>12151.04</v>
      </c>
      <c r="AJ15" s="67">
        <v>11104.17</v>
      </c>
      <c r="AK15" s="67">
        <v>11649.14</v>
      </c>
      <c r="AL15" s="67">
        <v>8054.08</v>
      </c>
      <c r="AM15" s="67">
        <v>45894.63</v>
      </c>
      <c r="AN15" s="98">
        <v>-19958.599999999999</v>
      </c>
      <c r="AO15" s="67">
        <v>8479.3799999999992</v>
      </c>
      <c r="AP15" s="67">
        <v>11542.1</v>
      </c>
      <c r="AQ15" s="98">
        <v>-1015.88</v>
      </c>
      <c r="AR15" s="67">
        <v>23352.33</v>
      </c>
      <c r="AS15" s="68">
        <v>45193.41</v>
      </c>
      <c r="AT15" s="63"/>
      <c r="AU15" s="63">
        <v>111.73775114557631</v>
      </c>
    </row>
    <row r="16" spans="1:47" ht="12.75" customHeight="1" x14ac:dyDescent="0.2">
      <c r="A16" s="61" t="s">
        <v>172</v>
      </c>
      <c r="B16" s="62">
        <v>0</v>
      </c>
      <c r="C16" s="54">
        <v>0</v>
      </c>
      <c r="D16" s="54">
        <v>0</v>
      </c>
      <c r="E16" s="63"/>
      <c r="F16" s="64"/>
      <c r="G16" s="65">
        <v>0</v>
      </c>
      <c r="H16" s="54">
        <v>0</v>
      </c>
      <c r="I16" s="54">
        <v>0</v>
      </c>
      <c r="J16" s="54">
        <v>0</v>
      </c>
      <c r="K16" s="54"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66">
        <v>0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>
        <v>0</v>
      </c>
      <c r="AH16" s="67">
        <v>0</v>
      </c>
      <c r="AI16" s="67">
        <v>0</v>
      </c>
      <c r="AJ16" s="67">
        <v>0</v>
      </c>
      <c r="AK16" s="67">
        <v>0</v>
      </c>
      <c r="AL16" s="67">
        <v>0</v>
      </c>
      <c r="AM16" s="67">
        <v>0</v>
      </c>
      <c r="AN16" s="67">
        <v>0</v>
      </c>
      <c r="AO16" s="67">
        <v>0</v>
      </c>
      <c r="AP16" s="67">
        <v>0</v>
      </c>
      <c r="AQ16" s="67">
        <v>0</v>
      </c>
      <c r="AR16" s="67">
        <v>0</v>
      </c>
      <c r="AS16" s="68">
        <v>0</v>
      </c>
      <c r="AT16" s="63"/>
      <c r="AU16" s="63"/>
    </row>
    <row r="17" spans="1:47" ht="12.75" customHeight="1" x14ac:dyDescent="0.2">
      <c r="A17" s="61" t="s">
        <v>173</v>
      </c>
      <c r="B17" s="62">
        <v>2011.39</v>
      </c>
      <c r="C17" s="54">
        <v>0</v>
      </c>
      <c r="D17" s="54">
        <v>2008.52</v>
      </c>
      <c r="E17" s="63"/>
      <c r="F17" s="64">
        <v>100.14289128313385</v>
      </c>
      <c r="G17" s="65">
        <v>1962.7</v>
      </c>
      <c r="H17" s="54">
        <v>2132.31</v>
      </c>
      <c r="I17" s="54">
        <v>2048.83</v>
      </c>
      <c r="J17" s="54">
        <v>2011.39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8155.23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2008.49</v>
      </c>
      <c r="AH17" s="67">
        <v>2008.52</v>
      </c>
      <c r="AI17" s="67">
        <v>2008.48</v>
      </c>
      <c r="AJ17" s="67">
        <v>2008.52</v>
      </c>
      <c r="AK17" s="67">
        <v>2008.49</v>
      </c>
      <c r="AL17" s="67">
        <v>2008.5</v>
      </c>
      <c r="AM17" s="67">
        <v>2008.51</v>
      </c>
      <c r="AN17" s="67">
        <v>1962.66</v>
      </c>
      <c r="AO17" s="67">
        <v>1962.62</v>
      </c>
      <c r="AP17" s="67">
        <v>1962.65</v>
      </c>
      <c r="AQ17" s="67">
        <v>1962.65</v>
      </c>
      <c r="AR17" s="67">
        <v>1962.66</v>
      </c>
      <c r="AS17" s="68">
        <v>8034.01</v>
      </c>
      <c r="AT17" s="63"/>
      <c r="AU17" s="63">
        <v>101.50883556281359</v>
      </c>
    </row>
    <row r="18" spans="1:47" ht="12.75" customHeight="1" x14ac:dyDescent="0.2">
      <c r="A18" s="61" t="s">
        <v>257</v>
      </c>
      <c r="B18" s="62">
        <v>4586.55</v>
      </c>
      <c r="C18" s="54">
        <v>0</v>
      </c>
      <c r="D18" s="54">
        <v>4301.3500000000004</v>
      </c>
      <c r="E18" s="63"/>
      <c r="F18" s="64">
        <v>106.63047647831495</v>
      </c>
      <c r="G18" s="65">
        <v>4653.41</v>
      </c>
      <c r="H18" s="54">
        <v>4653.41</v>
      </c>
      <c r="I18" s="54">
        <v>4650.66</v>
      </c>
      <c r="J18" s="54">
        <v>4586.55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18544.03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3308.12</v>
      </c>
      <c r="AH18" s="67">
        <v>3308.12</v>
      </c>
      <c r="AI18" s="67">
        <v>5743.39</v>
      </c>
      <c r="AJ18" s="67">
        <v>4301.3500000000004</v>
      </c>
      <c r="AK18" s="67">
        <v>4476.13</v>
      </c>
      <c r="AL18" s="67">
        <v>4470.3599999999997</v>
      </c>
      <c r="AM18" s="67">
        <v>4470.3500000000004</v>
      </c>
      <c r="AN18" s="67">
        <v>4460.93</v>
      </c>
      <c r="AO18" s="67">
        <v>4466.97</v>
      </c>
      <c r="AP18" s="67">
        <v>4578.97</v>
      </c>
      <c r="AQ18" s="67">
        <v>4522.8500000000004</v>
      </c>
      <c r="AR18" s="67">
        <v>4775.25</v>
      </c>
      <c r="AS18" s="68">
        <v>16660.98</v>
      </c>
      <c r="AT18" s="63"/>
      <c r="AU18" s="63">
        <v>111.3021562957281</v>
      </c>
    </row>
    <row r="19" spans="1:47" ht="12.75" hidden="1" customHeight="1" outlineLevel="1" x14ac:dyDescent="0.2">
      <c r="A19" s="61" t="s">
        <v>109</v>
      </c>
      <c r="B19" s="62">
        <v>0</v>
      </c>
      <c r="C19" s="54">
        <v>0</v>
      </c>
      <c r="D19" s="54">
        <v>0</v>
      </c>
      <c r="E19" s="63"/>
      <c r="F19" s="64"/>
      <c r="G19" s="65">
        <v>335</v>
      </c>
      <c r="H19" s="54">
        <v>0</v>
      </c>
      <c r="I19" s="54">
        <v>0</v>
      </c>
      <c r="J19" s="54">
        <v>0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335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1650</v>
      </c>
      <c r="AH19" s="67">
        <v>0</v>
      </c>
      <c r="AI19" s="67">
        <v>0</v>
      </c>
      <c r="AJ19" s="67">
        <v>0</v>
      </c>
      <c r="AK19" s="67">
        <v>0</v>
      </c>
      <c r="AL19" s="67">
        <v>2457.37</v>
      </c>
      <c r="AM19" s="98">
        <v>-2457.37</v>
      </c>
      <c r="AN19" s="67">
        <v>0</v>
      </c>
      <c r="AO19" s="67">
        <v>0</v>
      </c>
      <c r="AP19" s="67">
        <v>0</v>
      </c>
      <c r="AQ19" s="67">
        <v>0</v>
      </c>
      <c r="AR19" s="67">
        <v>0</v>
      </c>
      <c r="AS19" s="68">
        <v>1650</v>
      </c>
      <c r="AT19" s="63"/>
      <c r="AU19" s="63">
        <v>20.303030303030305</v>
      </c>
    </row>
    <row r="20" spans="1:47" ht="12.75" hidden="1" customHeight="1" outlineLevel="1" x14ac:dyDescent="0.2">
      <c r="A20" s="61" t="s">
        <v>97</v>
      </c>
      <c r="B20" s="62">
        <v>558.09</v>
      </c>
      <c r="C20" s="54">
        <v>0</v>
      </c>
      <c r="D20" s="54">
        <v>924.26</v>
      </c>
      <c r="E20" s="63"/>
      <c r="F20" s="64">
        <v>60.38235994200766</v>
      </c>
      <c r="G20" s="65">
        <v>892.64</v>
      </c>
      <c r="H20" s="54">
        <v>189</v>
      </c>
      <c r="I20" s="54">
        <v>927.18</v>
      </c>
      <c r="J20" s="54">
        <v>558.09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66">
        <v>2566.91</v>
      </c>
      <c r="T20" s="54">
        <v>0</v>
      </c>
      <c r="U20" s="54">
        <v>0</v>
      </c>
      <c r="V20" s="54">
        <v>0</v>
      </c>
      <c r="W20" s="54">
        <v>0</v>
      </c>
      <c r="X20" s="54">
        <v>0</v>
      </c>
      <c r="Y20" s="54">
        <v>0</v>
      </c>
      <c r="Z20" s="54">
        <v>0</v>
      </c>
      <c r="AA20" s="54">
        <v>0</v>
      </c>
      <c r="AB20" s="54">
        <v>0</v>
      </c>
      <c r="AC20" s="54">
        <v>0</v>
      </c>
      <c r="AD20" s="54">
        <v>0</v>
      </c>
      <c r="AE20" s="54">
        <v>0</v>
      </c>
      <c r="AF20" s="66">
        <v>0</v>
      </c>
      <c r="AG20" s="67">
        <v>809.26</v>
      </c>
      <c r="AH20" s="67">
        <v>809.26</v>
      </c>
      <c r="AI20" s="67">
        <v>1005.45</v>
      </c>
      <c r="AJ20" s="67">
        <v>924.26</v>
      </c>
      <c r="AK20" s="67">
        <v>814.64</v>
      </c>
      <c r="AL20" s="67">
        <v>586.08000000000004</v>
      </c>
      <c r="AM20" s="67">
        <v>1353.55</v>
      </c>
      <c r="AN20" s="98">
        <v>-235.55</v>
      </c>
      <c r="AO20" s="67">
        <v>892.64</v>
      </c>
      <c r="AP20" s="67">
        <v>189</v>
      </c>
      <c r="AQ20" s="67">
        <v>189</v>
      </c>
      <c r="AR20" s="67">
        <v>929</v>
      </c>
      <c r="AS20" s="68">
        <v>3548.23</v>
      </c>
      <c r="AT20" s="63"/>
      <c r="AU20" s="63">
        <v>72.34339374843232</v>
      </c>
    </row>
    <row r="21" spans="1:47" ht="12.75" hidden="1" customHeight="1" outlineLevel="1" x14ac:dyDescent="0.2">
      <c r="A21" s="61" t="s">
        <v>69</v>
      </c>
      <c r="B21" s="62">
        <v>2817.55</v>
      </c>
      <c r="C21" s="54">
        <v>0</v>
      </c>
      <c r="D21" s="54">
        <v>536</v>
      </c>
      <c r="E21" s="63"/>
      <c r="F21" s="64">
        <v>525.66231343283584</v>
      </c>
      <c r="G21" s="65">
        <v>7003.91</v>
      </c>
      <c r="H21" s="54">
        <v>838.91</v>
      </c>
      <c r="I21" s="54">
        <v>3762.08</v>
      </c>
      <c r="J21" s="54">
        <v>2817.55</v>
      </c>
      <c r="K21" s="56">
        <v>-1281.5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66">
        <v>14422.45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4">
        <v>0</v>
      </c>
      <c r="AB21" s="54">
        <v>0</v>
      </c>
      <c r="AC21" s="54">
        <v>0</v>
      </c>
      <c r="AD21" s="54">
        <v>0</v>
      </c>
      <c r="AE21" s="54">
        <v>0</v>
      </c>
      <c r="AF21" s="66">
        <v>0</v>
      </c>
      <c r="AG21" s="67">
        <v>1479</v>
      </c>
      <c r="AH21" s="67">
        <v>125</v>
      </c>
      <c r="AI21" s="67">
        <v>538.5</v>
      </c>
      <c r="AJ21" s="67">
        <v>536</v>
      </c>
      <c r="AK21" s="67">
        <v>2052.17</v>
      </c>
      <c r="AL21" s="67">
        <v>1837.5</v>
      </c>
      <c r="AM21" s="67">
        <v>2719.5</v>
      </c>
      <c r="AN21" s="98">
        <v>-222.7</v>
      </c>
      <c r="AO21" s="67">
        <v>3207.55</v>
      </c>
      <c r="AP21" s="67">
        <v>1331.07</v>
      </c>
      <c r="AQ21" s="67">
        <v>4099.91</v>
      </c>
      <c r="AR21" s="67">
        <v>785.42</v>
      </c>
      <c r="AS21" s="68">
        <v>2678.5</v>
      </c>
      <c r="AT21" s="63"/>
      <c r="AU21" s="63">
        <v>538.45249206645508</v>
      </c>
    </row>
    <row r="22" spans="1:47" ht="12.75" customHeight="1" collapsed="1" x14ac:dyDescent="0.2">
      <c r="A22" s="69" t="s">
        <v>70</v>
      </c>
      <c r="B22" s="70">
        <v>3375.64</v>
      </c>
      <c r="C22" s="71">
        <v>0</v>
      </c>
      <c r="D22" s="71">
        <v>1460.26</v>
      </c>
      <c r="E22" s="72"/>
      <c r="F22" s="73">
        <v>231.16705244271569</v>
      </c>
      <c r="G22" s="70">
        <v>8231.5499999999993</v>
      </c>
      <c r="H22" s="71">
        <v>1027.9100000000001</v>
      </c>
      <c r="I22" s="71">
        <v>4689.26</v>
      </c>
      <c r="J22" s="71">
        <v>3375.64</v>
      </c>
      <c r="K22" s="74">
        <v>-1281.5</v>
      </c>
      <c r="L22" s="71">
        <v>0</v>
      </c>
      <c r="M22" s="71">
        <v>0</v>
      </c>
      <c r="N22" s="71">
        <v>0</v>
      </c>
      <c r="O22" s="71">
        <v>0</v>
      </c>
      <c r="P22" s="71">
        <v>0</v>
      </c>
      <c r="Q22" s="71">
        <v>0</v>
      </c>
      <c r="R22" s="71">
        <v>0</v>
      </c>
      <c r="S22" s="71">
        <v>17324.36</v>
      </c>
      <c r="T22" s="71">
        <v>0</v>
      </c>
      <c r="U22" s="71">
        <v>0</v>
      </c>
      <c r="V22" s="71">
        <v>0</v>
      </c>
      <c r="W22" s="71">
        <v>0</v>
      </c>
      <c r="X22" s="71">
        <v>0</v>
      </c>
      <c r="Y22" s="71">
        <v>0</v>
      </c>
      <c r="Z22" s="71">
        <v>0</v>
      </c>
      <c r="AA22" s="71">
        <v>0</v>
      </c>
      <c r="AB22" s="71">
        <v>0</v>
      </c>
      <c r="AC22" s="71">
        <v>0</v>
      </c>
      <c r="AD22" s="71">
        <v>0</v>
      </c>
      <c r="AE22" s="71">
        <v>0</v>
      </c>
      <c r="AF22" s="71">
        <v>0</v>
      </c>
      <c r="AG22" s="75">
        <v>3938.26</v>
      </c>
      <c r="AH22" s="75">
        <v>934.26</v>
      </c>
      <c r="AI22" s="75">
        <v>1543.95</v>
      </c>
      <c r="AJ22" s="75">
        <v>1460.26</v>
      </c>
      <c r="AK22" s="75">
        <v>2866.81</v>
      </c>
      <c r="AL22" s="75">
        <v>4880.95</v>
      </c>
      <c r="AM22" s="75">
        <v>1615.68</v>
      </c>
      <c r="AN22" s="134">
        <v>-458.25</v>
      </c>
      <c r="AO22" s="75">
        <v>4100.1899999999996</v>
      </c>
      <c r="AP22" s="75">
        <v>1520.07</v>
      </c>
      <c r="AQ22" s="75">
        <v>4288.91</v>
      </c>
      <c r="AR22" s="75">
        <v>1714.42</v>
      </c>
      <c r="AS22" s="75">
        <v>7876.73</v>
      </c>
      <c r="AT22" s="72"/>
      <c r="AU22" s="72">
        <v>219.94355525706735</v>
      </c>
    </row>
    <row r="23" spans="1:47" ht="12.75" hidden="1" customHeight="1" outlineLevel="1" x14ac:dyDescent="0.2">
      <c r="A23" s="61" t="s">
        <v>174</v>
      </c>
      <c r="B23" s="62">
        <v>0</v>
      </c>
      <c r="C23" s="54">
        <v>0</v>
      </c>
      <c r="D23" s="54">
        <v>0</v>
      </c>
      <c r="E23" s="63"/>
      <c r="F23" s="64"/>
      <c r="G23" s="65">
        <v>0</v>
      </c>
      <c r="H23" s="54">
        <v>0</v>
      </c>
      <c r="I23" s="54">
        <v>0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0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0</v>
      </c>
      <c r="AH23" s="67">
        <v>0</v>
      </c>
      <c r="AI23" s="67">
        <v>0</v>
      </c>
      <c r="AJ23" s="67">
        <v>0</v>
      </c>
      <c r="AK23" s="67">
        <v>0</v>
      </c>
      <c r="AL23" s="67">
        <v>0</v>
      </c>
      <c r="AM23" s="67">
        <v>0</v>
      </c>
      <c r="AN23" s="67">
        <v>0</v>
      </c>
      <c r="AO23" s="67">
        <v>0</v>
      </c>
      <c r="AP23" s="67">
        <v>0</v>
      </c>
      <c r="AQ23" s="67">
        <v>0</v>
      </c>
      <c r="AR23" s="67">
        <v>0</v>
      </c>
      <c r="AS23" s="68">
        <v>0</v>
      </c>
      <c r="AT23" s="63"/>
      <c r="AU23" s="63"/>
    </row>
    <row r="24" spans="1:47" ht="12.75" hidden="1" customHeight="1" outlineLevel="1" x14ac:dyDescent="0.2">
      <c r="A24" s="61" t="s">
        <v>99</v>
      </c>
      <c r="B24" s="62">
        <v>1971.22</v>
      </c>
      <c r="C24" s="54">
        <v>0</v>
      </c>
      <c r="D24" s="54">
        <v>1798.94</v>
      </c>
      <c r="E24" s="63"/>
      <c r="F24" s="64">
        <v>109.57675075322135</v>
      </c>
      <c r="G24" s="65">
        <v>2627.95</v>
      </c>
      <c r="H24" s="54">
        <v>1467.3</v>
      </c>
      <c r="I24" s="54">
        <v>2790.84</v>
      </c>
      <c r="J24" s="54">
        <v>1971.22</v>
      </c>
      <c r="K24" s="56">
        <v>-1467.3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8857.31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1383.65</v>
      </c>
      <c r="AH24" s="67">
        <v>1313.75</v>
      </c>
      <c r="AI24" s="98">
        <v>-812.88</v>
      </c>
      <c r="AJ24" s="67">
        <v>1798.94</v>
      </c>
      <c r="AK24" s="67">
        <v>1743.02</v>
      </c>
      <c r="AL24" s="67">
        <v>1666.99</v>
      </c>
      <c r="AM24" s="67">
        <v>0.01</v>
      </c>
      <c r="AN24" s="67">
        <v>3062.18</v>
      </c>
      <c r="AO24" s="67">
        <v>1330.01</v>
      </c>
      <c r="AP24" s="67">
        <v>1232.68</v>
      </c>
      <c r="AQ24" s="67">
        <v>1354.27</v>
      </c>
      <c r="AR24" s="67">
        <v>0</v>
      </c>
      <c r="AS24" s="68">
        <v>3683.46</v>
      </c>
      <c r="AT24" s="63"/>
      <c r="AU24" s="63">
        <v>240.46168548049931</v>
      </c>
    </row>
    <row r="25" spans="1:47" ht="12.75" hidden="1" customHeight="1" outlineLevel="1" x14ac:dyDescent="0.2">
      <c r="A25" s="61" t="s">
        <v>175</v>
      </c>
      <c r="B25" s="62">
        <v>0</v>
      </c>
      <c r="C25" s="54">
        <v>0</v>
      </c>
      <c r="D25" s="54">
        <v>0</v>
      </c>
      <c r="E25" s="63"/>
      <c r="F25" s="64"/>
      <c r="G25" s="65">
        <v>0</v>
      </c>
      <c r="H25" s="54">
        <v>0</v>
      </c>
      <c r="I25" s="54">
        <v>26.08</v>
      </c>
      <c r="J25" s="54">
        <v>0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26.08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0</v>
      </c>
      <c r="AH25" s="67">
        <v>0</v>
      </c>
      <c r="AI25" s="67">
        <v>26.32</v>
      </c>
      <c r="AJ25" s="67">
        <v>0</v>
      </c>
      <c r="AK25" s="67">
        <v>0</v>
      </c>
      <c r="AL25" s="67">
        <v>0</v>
      </c>
      <c r="AM25" s="67">
        <v>27.68</v>
      </c>
      <c r="AN25" s="67">
        <v>0</v>
      </c>
      <c r="AO25" s="67">
        <v>0</v>
      </c>
      <c r="AP25" s="67">
        <v>0</v>
      </c>
      <c r="AQ25" s="67">
        <v>29.36</v>
      </c>
      <c r="AR25" s="67">
        <v>32.18</v>
      </c>
      <c r="AS25" s="68">
        <v>26.32</v>
      </c>
      <c r="AT25" s="63"/>
      <c r="AU25" s="63">
        <v>99.088145896656542</v>
      </c>
    </row>
    <row r="26" spans="1:47" ht="12.75" hidden="1" customHeight="1" outlineLevel="1" x14ac:dyDescent="0.2">
      <c r="A26" s="61" t="s">
        <v>100</v>
      </c>
      <c r="B26" s="62">
        <v>762.99</v>
      </c>
      <c r="C26" s="54">
        <v>0</v>
      </c>
      <c r="D26" s="54">
        <v>2453.66</v>
      </c>
      <c r="E26" s="63"/>
      <c r="F26" s="64">
        <v>31.095995370181686</v>
      </c>
      <c r="G26" s="65">
        <v>4567.03</v>
      </c>
      <c r="H26" s="54">
        <v>4101.42</v>
      </c>
      <c r="I26" s="54">
        <v>2918.6</v>
      </c>
      <c r="J26" s="54">
        <v>762.99</v>
      </c>
      <c r="K26" s="56">
        <v>-6027.86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12350.04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1685.67</v>
      </c>
      <c r="AH26" s="67">
        <v>1654.53</v>
      </c>
      <c r="AI26" s="67">
        <v>2559.0700000000002</v>
      </c>
      <c r="AJ26" s="67">
        <v>2453.66</v>
      </c>
      <c r="AK26" s="67">
        <v>1590.91</v>
      </c>
      <c r="AL26" s="67">
        <v>1648.17</v>
      </c>
      <c r="AM26" s="67">
        <v>414.05</v>
      </c>
      <c r="AN26" s="67">
        <v>1547.88</v>
      </c>
      <c r="AO26" s="67">
        <v>2628.63</v>
      </c>
      <c r="AP26" s="98">
        <v>-1533.53</v>
      </c>
      <c r="AQ26" s="67">
        <v>609.41</v>
      </c>
      <c r="AR26" s="67">
        <v>3646.9</v>
      </c>
      <c r="AS26" s="68">
        <v>8352.93</v>
      </c>
      <c r="AT26" s="63"/>
      <c r="AU26" s="63">
        <v>147.85278938049282</v>
      </c>
    </row>
    <row r="27" spans="1:47" ht="12.75" hidden="1" customHeight="1" outlineLevel="1" x14ac:dyDescent="0.2">
      <c r="A27" s="61" t="s">
        <v>101</v>
      </c>
      <c r="B27" s="62">
        <v>34.57</v>
      </c>
      <c r="C27" s="54">
        <v>0</v>
      </c>
      <c r="D27" s="54">
        <v>49.03</v>
      </c>
      <c r="E27" s="63"/>
      <c r="F27" s="64">
        <v>70.507852335304918</v>
      </c>
      <c r="G27" s="65">
        <v>34.33</v>
      </c>
      <c r="H27" s="54">
        <v>34.25</v>
      </c>
      <c r="I27" s="54">
        <v>34.25</v>
      </c>
      <c r="J27" s="54">
        <v>34.57</v>
      </c>
      <c r="K27" s="56">
        <v>-34.25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137.4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46.04</v>
      </c>
      <c r="AH27" s="67">
        <v>44.7</v>
      </c>
      <c r="AI27" s="67">
        <v>49.47</v>
      </c>
      <c r="AJ27" s="67">
        <v>49.03</v>
      </c>
      <c r="AK27" s="67">
        <v>37.299999999999997</v>
      </c>
      <c r="AL27" s="67">
        <v>37.25</v>
      </c>
      <c r="AM27" s="67">
        <v>0</v>
      </c>
      <c r="AN27" s="67">
        <v>0</v>
      </c>
      <c r="AO27" s="67">
        <v>73.040000000000006</v>
      </c>
      <c r="AP27" s="67">
        <v>39.33</v>
      </c>
      <c r="AQ27" s="67">
        <v>0</v>
      </c>
      <c r="AR27" s="67">
        <v>103.9</v>
      </c>
      <c r="AS27" s="68">
        <v>189.24</v>
      </c>
      <c r="AT27" s="63"/>
      <c r="AU27" s="63">
        <v>72.606214331008246</v>
      </c>
    </row>
    <row r="28" spans="1:47" ht="12.75" hidden="1" customHeight="1" outlineLevel="1" x14ac:dyDescent="0.2">
      <c r="A28" s="61" t="s">
        <v>176</v>
      </c>
      <c r="B28" s="62">
        <v>22.26</v>
      </c>
      <c r="C28" s="54">
        <v>0</v>
      </c>
      <c r="D28" s="54">
        <v>0</v>
      </c>
      <c r="E28" s="63"/>
      <c r="F28" s="64"/>
      <c r="G28" s="65">
        <v>25.74</v>
      </c>
      <c r="H28" s="54">
        <v>21.79</v>
      </c>
      <c r="I28" s="54">
        <v>21.02</v>
      </c>
      <c r="J28" s="54">
        <v>22.26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90.81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76.510000000000005</v>
      </c>
      <c r="AH28" s="67">
        <v>76.510000000000005</v>
      </c>
      <c r="AI28" s="67">
        <v>68.180000000000007</v>
      </c>
      <c r="AJ28" s="67">
        <v>0</v>
      </c>
      <c r="AK28" s="67">
        <v>16.350000000000001</v>
      </c>
      <c r="AL28" s="67">
        <v>16.350000000000001</v>
      </c>
      <c r="AM28" s="67">
        <v>58.74</v>
      </c>
      <c r="AN28" s="67">
        <v>42.8</v>
      </c>
      <c r="AO28" s="67">
        <v>0</v>
      </c>
      <c r="AP28" s="67">
        <v>0</v>
      </c>
      <c r="AQ28" s="67">
        <v>53.19</v>
      </c>
      <c r="AR28" s="67">
        <v>27.9</v>
      </c>
      <c r="AS28" s="68">
        <v>221.2</v>
      </c>
      <c r="AT28" s="63"/>
      <c r="AU28" s="63">
        <v>41.053345388788429</v>
      </c>
    </row>
    <row r="29" spans="1:47" ht="12.75" hidden="1" customHeight="1" outlineLevel="1" x14ac:dyDescent="0.2">
      <c r="A29" s="61" t="s">
        <v>102</v>
      </c>
      <c r="B29" s="62">
        <v>734.5</v>
      </c>
      <c r="C29" s="54">
        <v>0</v>
      </c>
      <c r="D29" s="54">
        <v>734.5</v>
      </c>
      <c r="E29" s="63"/>
      <c r="F29" s="64">
        <v>100</v>
      </c>
      <c r="G29" s="65">
        <v>734.5</v>
      </c>
      <c r="H29" s="54">
        <v>734.5</v>
      </c>
      <c r="I29" s="54">
        <v>734.5</v>
      </c>
      <c r="J29" s="54">
        <v>734.5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2938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734.5</v>
      </c>
      <c r="AH29" s="67">
        <v>734.5</v>
      </c>
      <c r="AI29" s="67">
        <v>734.5</v>
      </c>
      <c r="AJ29" s="67">
        <v>734.5</v>
      </c>
      <c r="AK29" s="67">
        <v>734.5</v>
      </c>
      <c r="AL29" s="67">
        <v>734.5</v>
      </c>
      <c r="AM29" s="67">
        <v>734.5</v>
      </c>
      <c r="AN29" s="67">
        <v>734.5</v>
      </c>
      <c r="AO29" s="67">
        <v>734.5</v>
      </c>
      <c r="AP29" s="67">
        <v>734.5</v>
      </c>
      <c r="AQ29" s="67">
        <v>734.5</v>
      </c>
      <c r="AR29" s="67">
        <v>734.5</v>
      </c>
      <c r="AS29" s="68">
        <v>2938</v>
      </c>
      <c r="AT29" s="63"/>
      <c r="AU29" s="63">
        <v>100</v>
      </c>
    </row>
    <row r="30" spans="1:47" ht="12.75" hidden="1" customHeight="1" outlineLevel="1" x14ac:dyDescent="0.2">
      <c r="A30" s="61" t="s">
        <v>75</v>
      </c>
      <c r="B30" s="62">
        <v>0</v>
      </c>
      <c r="C30" s="54">
        <v>0</v>
      </c>
      <c r="D30" s="54">
        <v>0</v>
      </c>
      <c r="E30" s="63"/>
      <c r="F30" s="64"/>
      <c r="G30" s="65">
        <v>172.25</v>
      </c>
      <c r="H30" s="54">
        <v>0</v>
      </c>
      <c r="I30" s="54">
        <v>0</v>
      </c>
      <c r="J30" s="54">
        <v>0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172.25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0</v>
      </c>
      <c r="AH30" s="67">
        <v>0</v>
      </c>
      <c r="AI30" s="67">
        <v>0</v>
      </c>
      <c r="AJ30" s="67">
        <v>0</v>
      </c>
      <c r="AK30" s="67">
        <v>0</v>
      </c>
      <c r="AL30" s="67">
        <v>0</v>
      </c>
      <c r="AM30" s="67">
        <v>0</v>
      </c>
      <c r="AN30" s="67">
        <v>0</v>
      </c>
      <c r="AO30" s="67">
        <v>0</v>
      </c>
      <c r="AP30" s="67">
        <v>0</v>
      </c>
      <c r="AQ30" s="67">
        <v>0</v>
      </c>
      <c r="AR30" s="67">
        <v>0</v>
      </c>
      <c r="AS30" s="68">
        <v>0</v>
      </c>
      <c r="AT30" s="63"/>
      <c r="AU30" s="63"/>
    </row>
    <row r="31" spans="1:47" ht="12.75" hidden="1" customHeight="1" outlineLevel="1" x14ac:dyDescent="0.2">
      <c r="A31" s="61" t="s">
        <v>76</v>
      </c>
      <c r="B31" s="62">
        <v>377.25</v>
      </c>
      <c r="C31" s="54">
        <v>0</v>
      </c>
      <c r="D31" s="54">
        <v>1123.5899999999999</v>
      </c>
      <c r="E31" s="63"/>
      <c r="F31" s="64">
        <v>33.575414519531144</v>
      </c>
      <c r="G31" s="65">
        <v>1637.02</v>
      </c>
      <c r="H31" s="54">
        <v>818.51</v>
      </c>
      <c r="I31" s="54">
        <v>2028.38</v>
      </c>
      <c r="J31" s="54">
        <v>377.25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4861.16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1223.95</v>
      </c>
      <c r="AH31" s="67">
        <v>1223.95</v>
      </c>
      <c r="AI31" s="67">
        <v>1272.3699999999999</v>
      </c>
      <c r="AJ31" s="67">
        <v>1123.5899999999999</v>
      </c>
      <c r="AK31" s="67">
        <v>1668.7</v>
      </c>
      <c r="AL31" s="67">
        <v>1162.92</v>
      </c>
      <c r="AM31" s="98">
        <v>-7.47</v>
      </c>
      <c r="AN31" s="67">
        <v>1486.49</v>
      </c>
      <c r="AO31" s="67">
        <v>4513.22</v>
      </c>
      <c r="AP31" s="67">
        <v>1277.53</v>
      </c>
      <c r="AQ31" s="67">
        <v>818.5</v>
      </c>
      <c r="AR31" s="67">
        <v>1072.5</v>
      </c>
      <c r="AS31" s="68">
        <v>4843.8599999999997</v>
      </c>
      <c r="AT31" s="63"/>
      <c r="AU31" s="63">
        <v>100.35715317948909</v>
      </c>
    </row>
    <row r="32" spans="1:47" ht="12.75" hidden="1" customHeight="1" outlineLevel="1" x14ac:dyDescent="0.2">
      <c r="A32" s="61" t="s">
        <v>77</v>
      </c>
      <c r="B32" s="62"/>
      <c r="C32" s="54"/>
      <c r="D32" s="54"/>
      <c r="E32" s="63"/>
      <c r="F32" s="64"/>
      <c r="G32" s="65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66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66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8"/>
      <c r="AT32" s="63"/>
      <c r="AU32" s="63"/>
    </row>
    <row r="33" spans="1:47" ht="12.75" customHeight="1" collapsed="1" x14ac:dyDescent="0.2">
      <c r="A33" s="69" t="s">
        <v>177</v>
      </c>
      <c r="B33" s="70">
        <v>3902.79</v>
      </c>
      <c r="C33" s="71">
        <v>0</v>
      </c>
      <c r="D33" s="71">
        <v>6159.72</v>
      </c>
      <c r="E33" s="72"/>
      <c r="F33" s="73">
        <v>63.359860513140205</v>
      </c>
      <c r="G33" s="70">
        <v>9798.82</v>
      </c>
      <c r="H33" s="71">
        <v>7177.77</v>
      </c>
      <c r="I33" s="71">
        <v>8553.67</v>
      </c>
      <c r="J33" s="71">
        <v>3902.79</v>
      </c>
      <c r="K33" s="74">
        <v>-7529.41</v>
      </c>
      <c r="L33" s="71">
        <v>0</v>
      </c>
      <c r="M33" s="71">
        <v>0</v>
      </c>
      <c r="N33" s="71">
        <v>0</v>
      </c>
      <c r="O33" s="71">
        <v>0</v>
      </c>
      <c r="P33" s="71">
        <v>0</v>
      </c>
      <c r="Q33" s="71">
        <v>0</v>
      </c>
      <c r="R33" s="71">
        <v>0</v>
      </c>
      <c r="S33" s="71">
        <v>29433.05</v>
      </c>
      <c r="T33" s="71">
        <v>0</v>
      </c>
      <c r="U33" s="71">
        <v>0</v>
      </c>
      <c r="V33" s="71">
        <v>0</v>
      </c>
      <c r="W33" s="71">
        <v>0</v>
      </c>
      <c r="X33" s="71">
        <v>0</v>
      </c>
      <c r="Y33" s="71">
        <v>0</v>
      </c>
      <c r="Z33" s="71">
        <v>0</v>
      </c>
      <c r="AA33" s="71">
        <v>0</v>
      </c>
      <c r="AB33" s="71">
        <v>0</v>
      </c>
      <c r="AC33" s="71">
        <v>0</v>
      </c>
      <c r="AD33" s="71">
        <v>0</v>
      </c>
      <c r="AE33" s="71">
        <v>0</v>
      </c>
      <c r="AF33" s="71">
        <v>0</v>
      </c>
      <c r="AG33" s="75">
        <v>5150.32</v>
      </c>
      <c r="AH33" s="75">
        <v>5047.9399999999996</v>
      </c>
      <c r="AI33" s="75">
        <v>3897.03</v>
      </c>
      <c r="AJ33" s="75">
        <v>6159.72</v>
      </c>
      <c r="AK33" s="75">
        <v>5790.78</v>
      </c>
      <c r="AL33" s="75">
        <v>5266.18</v>
      </c>
      <c r="AM33" s="75">
        <v>1227.51</v>
      </c>
      <c r="AN33" s="75">
        <v>6873.85</v>
      </c>
      <c r="AO33" s="75">
        <v>9279.4</v>
      </c>
      <c r="AP33" s="75">
        <v>1750.51</v>
      </c>
      <c r="AQ33" s="75">
        <v>3599.23</v>
      </c>
      <c r="AR33" s="75">
        <v>5617.88</v>
      </c>
      <c r="AS33" s="75">
        <v>20255.009999999998</v>
      </c>
      <c r="AT33" s="72"/>
      <c r="AU33" s="72">
        <v>145.31244368677181</v>
      </c>
    </row>
    <row r="34" spans="1:47" ht="12.75" hidden="1" customHeight="1" outlineLevel="1" x14ac:dyDescent="0.2">
      <c r="A34" s="61" t="s">
        <v>178</v>
      </c>
      <c r="B34" s="62">
        <v>0</v>
      </c>
      <c r="C34" s="54"/>
      <c r="D34" s="54">
        <v>0</v>
      </c>
      <c r="E34" s="63"/>
      <c r="F34" s="64"/>
      <c r="G34" s="65">
        <v>0</v>
      </c>
      <c r="H34" s="54">
        <v>0</v>
      </c>
      <c r="I34" s="54">
        <v>0</v>
      </c>
      <c r="J34" s="54">
        <v>0</v>
      </c>
      <c r="K34" s="54">
        <v>0</v>
      </c>
      <c r="L34" s="54">
        <v>0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66">
        <v>0</v>
      </c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66"/>
      <c r="AG34" s="67">
        <v>0</v>
      </c>
      <c r="AH34" s="67">
        <v>0</v>
      </c>
      <c r="AI34" s="67">
        <v>0</v>
      </c>
      <c r="AJ34" s="67">
        <v>0</v>
      </c>
      <c r="AK34" s="67">
        <v>0</v>
      </c>
      <c r="AL34" s="67">
        <v>0</v>
      </c>
      <c r="AM34" s="67">
        <v>0</v>
      </c>
      <c r="AN34" s="67">
        <v>0</v>
      </c>
      <c r="AO34" s="67">
        <v>0</v>
      </c>
      <c r="AP34" s="67">
        <v>0</v>
      </c>
      <c r="AQ34" s="67">
        <v>0</v>
      </c>
      <c r="AR34" s="67">
        <v>0</v>
      </c>
      <c r="AS34" s="68">
        <v>0</v>
      </c>
      <c r="AT34" s="63"/>
      <c r="AU34" s="63"/>
    </row>
    <row r="35" spans="1:47" ht="12.75" hidden="1" customHeight="1" outlineLevel="1" x14ac:dyDescent="0.2">
      <c r="A35" s="61" t="s">
        <v>179</v>
      </c>
      <c r="B35" s="62">
        <v>372.73</v>
      </c>
      <c r="C35" s="54">
        <v>0</v>
      </c>
      <c r="D35" s="54">
        <v>41</v>
      </c>
      <c r="E35" s="63"/>
      <c r="F35" s="64">
        <v>909.09756097560978</v>
      </c>
      <c r="G35" s="65">
        <v>372.73</v>
      </c>
      <c r="H35" s="54">
        <v>372.73</v>
      </c>
      <c r="I35" s="54">
        <v>372.73</v>
      </c>
      <c r="J35" s="54">
        <v>372.73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1490.92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41</v>
      </c>
      <c r="AH35" s="67">
        <v>41</v>
      </c>
      <c r="AI35" s="67">
        <v>41</v>
      </c>
      <c r="AJ35" s="67">
        <v>41</v>
      </c>
      <c r="AK35" s="67">
        <v>41</v>
      </c>
      <c r="AL35" s="67">
        <v>41</v>
      </c>
      <c r="AM35" s="67">
        <v>41</v>
      </c>
      <c r="AN35" s="67">
        <v>41</v>
      </c>
      <c r="AO35" s="67">
        <v>372.73</v>
      </c>
      <c r="AP35" s="67">
        <v>372.73</v>
      </c>
      <c r="AQ35" s="67">
        <v>372.73</v>
      </c>
      <c r="AR35" s="67">
        <v>372.73</v>
      </c>
      <c r="AS35" s="68">
        <v>164</v>
      </c>
      <c r="AT35" s="63"/>
      <c r="AU35" s="63">
        <v>909.09756097560978</v>
      </c>
    </row>
    <row r="36" spans="1:47" ht="12.75" hidden="1" customHeight="1" outlineLevel="1" x14ac:dyDescent="0.2">
      <c r="A36" s="61" t="s">
        <v>180</v>
      </c>
      <c r="B36" s="62">
        <v>0</v>
      </c>
      <c r="C36" s="54">
        <v>0</v>
      </c>
      <c r="D36" s="54">
        <v>0</v>
      </c>
      <c r="E36" s="63"/>
      <c r="F36" s="64"/>
      <c r="G36" s="65">
        <v>0</v>
      </c>
      <c r="H36" s="54">
        <v>0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0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>
        <v>0</v>
      </c>
      <c r="AH36" s="67">
        <v>0</v>
      </c>
      <c r="AI36" s="67">
        <v>0</v>
      </c>
      <c r="AJ36" s="67">
        <v>0</v>
      </c>
      <c r="AK36" s="67">
        <v>0</v>
      </c>
      <c r="AL36" s="67">
        <v>0</v>
      </c>
      <c r="AM36" s="67">
        <v>0</v>
      </c>
      <c r="AN36" s="67">
        <v>620.99</v>
      </c>
      <c r="AO36" s="98">
        <v>-620.99</v>
      </c>
      <c r="AP36" s="67">
        <v>0</v>
      </c>
      <c r="AQ36" s="67">
        <v>0</v>
      </c>
      <c r="AR36" s="67">
        <v>710</v>
      </c>
      <c r="AS36" s="68">
        <v>0</v>
      </c>
      <c r="AT36" s="63"/>
      <c r="AU36" s="63"/>
    </row>
    <row r="37" spans="1:47" ht="12.75" hidden="1" customHeight="1" outlineLevel="1" x14ac:dyDescent="0.2">
      <c r="A37" s="61" t="s">
        <v>181</v>
      </c>
      <c r="B37" s="62">
        <v>0</v>
      </c>
      <c r="C37" s="54"/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66"/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0</v>
      </c>
      <c r="AM37" s="67">
        <v>0</v>
      </c>
      <c r="AN37" s="67">
        <v>0</v>
      </c>
      <c r="AO37" s="67">
        <v>0</v>
      </c>
      <c r="AP37" s="67">
        <v>0</v>
      </c>
      <c r="AQ37" s="67">
        <v>0</v>
      </c>
      <c r="AR37" s="67">
        <v>0</v>
      </c>
      <c r="AS37" s="68">
        <v>0</v>
      </c>
      <c r="AT37" s="63"/>
      <c r="AU37" s="63"/>
    </row>
    <row r="38" spans="1:47" ht="12.75" hidden="1" customHeight="1" outlineLevel="1" x14ac:dyDescent="0.2">
      <c r="A38" s="61" t="s">
        <v>182</v>
      </c>
      <c r="B38" s="62">
        <v>0</v>
      </c>
      <c r="C38" s="54">
        <v>0</v>
      </c>
      <c r="D38" s="54">
        <v>0</v>
      </c>
      <c r="E38" s="63"/>
      <c r="F38" s="64"/>
      <c r="G38" s="65">
        <v>0</v>
      </c>
      <c r="H38" s="54">
        <v>0</v>
      </c>
      <c r="I38" s="54">
        <v>0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0</v>
      </c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0</v>
      </c>
      <c r="Z38" s="54">
        <v>0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66">
        <v>0</v>
      </c>
      <c r="AG38" s="67">
        <v>0</v>
      </c>
      <c r="AH38" s="67">
        <v>0</v>
      </c>
      <c r="AI38" s="67">
        <v>0</v>
      </c>
      <c r="AJ38" s="67">
        <v>0</v>
      </c>
      <c r="AK38" s="67">
        <v>0</v>
      </c>
      <c r="AL38" s="67">
        <v>0</v>
      </c>
      <c r="AM38" s="67">
        <v>0</v>
      </c>
      <c r="AN38" s="67">
        <v>0</v>
      </c>
      <c r="AO38" s="67">
        <v>0</v>
      </c>
      <c r="AP38" s="67">
        <v>0</v>
      </c>
      <c r="AQ38" s="67">
        <v>0</v>
      </c>
      <c r="AR38" s="67">
        <v>636.79999999999995</v>
      </c>
      <c r="AS38" s="68">
        <v>0</v>
      </c>
      <c r="AT38" s="63"/>
      <c r="AU38" s="63"/>
    </row>
    <row r="39" spans="1:47" ht="12.75" hidden="1" customHeight="1" outlineLevel="1" x14ac:dyDescent="0.2">
      <c r="A39" s="61" t="s">
        <v>183</v>
      </c>
      <c r="B39" s="62">
        <v>0</v>
      </c>
      <c r="C39" s="54"/>
      <c r="D39" s="54">
        <v>0</v>
      </c>
      <c r="E39" s="63"/>
      <c r="F39" s="64"/>
      <c r="G39" s="65">
        <v>0</v>
      </c>
      <c r="H39" s="54">
        <v>0</v>
      </c>
      <c r="I39" s="54">
        <v>0</v>
      </c>
      <c r="J39" s="54">
        <v>0</v>
      </c>
      <c r="K39" s="54">
        <v>0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66">
        <v>0</v>
      </c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66"/>
      <c r="AG39" s="67">
        <v>0</v>
      </c>
      <c r="AH39" s="67">
        <v>0</v>
      </c>
      <c r="AI39" s="67">
        <v>0</v>
      </c>
      <c r="AJ39" s="67">
        <v>0</v>
      </c>
      <c r="AK39" s="67">
        <v>0</v>
      </c>
      <c r="AL39" s="67">
        <v>0</v>
      </c>
      <c r="AM39" s="67">
        <v>0</v>
      </c>
      <c r="AN39" s="67">
        <v>0</v>
      </c>
      <c r="AO39" s="67">
        <v>3401.98</v>
      </c>
      <c r="AP39" s="98">
        <v>-2943.78</v>
      </c>
      <c r="AQ39" s="67">
        <v>710</v>
      </c>
      <c r="AR39" s="98">
        <v>-710</v>
      </c>
      <c r="AS39" s="68">
        <v>0</v>
      </c>
      <c r="AT39" s="63"/>
      <c r="AU39" s="63"/>
    </row>
    <row r="40" spans="1:47" ht="12.75" hidden="1" customHeight="1" outlineLevel="1" x14ac:dyDescent="0.2">
      <c r="A40" s="61" t="s">
        <v>184</v>
      </c>
      <c r="B40" s="62">
        <v>0</v>
      </c>
      <c r="C40" s="54">
        <v>0</v>
      </c>
      <c r="D40" s="54">
        <v>0</v>
      </c>
      <c r="E40" s="63"/>
      <c r="F40" s="64"/>
      <c r="G40" s="65">
        <v>0</v>
      </c>
      <c r="H40" s="54">
        <v>0</v>
      </c>
      <c r="I40" s="54">
        <v>0</v>
      </c>
      <c r="J40" s="54">
        <v>0</v>
      </c>
      <c r="K40" s="54">
        <v>0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66">
        <v>0</v>
      </c>
      <c r="T40" s="54">
        <v>0</v>
      </c>
      <c r="U40" s="54">
        <v>0</v>
      </c>
      <c r="V40" s="54">
        <v>0</v>
      </c>
      <c r="W40" s="54">
        <v>0</v>
      </c>
      <c r="X40" s="54">
        <v>0</v>
      </c>
      <c r="Y40" s="54">
        <v>0</v>
      </c>
      <c r="Z40" s="54">
        <v>0</v>
      </c>
      <c r="AA40" s="54">
        <v>0</v>
      </c>
      <c r="AB40" s="54">
        <v>0</v>
      </c>
      <c r="AC40" s="54">
        <v>0</v>
      </c>
      <c r="AD40" s="54">
        <v>0</v>
      </c>
      <c r="AE40" s="54">
        <v>0</v>
      </c>
      <c r="AF40" s="66">
        <v>0</v>
      </c>
      <c r="AG40" s="67">
        <v>0</v>
      </c>
      <c r="AH40" s="67">
        <v>0</v>
      </c>
      <c r="AI40" s="67">
        <v>0</v>
      </c>
      <c r="AJ40" s="67">
        <v>0</v>
      </c>
      <c r="AK40" s="67">
        <v>0</v>
      </c>
      <c r="AL40" s="67">
        <v>0</v>
      </c>
      <c r="AM40" s="67">
        <v>0</v>
      </c>
      <c r="AN40" s="67">
        <v>0</v>
      </c>
      <c r="AO40" s="67">
        <v>0</v>
      </c>
      <c r="AP40" s="67">
        <v>0</v>
      </c>
      <c r="AQ40" s="67">
        <v>0</v>
      </c>
      <c r="AR40" s="67">
        <v>0</v>
      </c>
      <c r="AS40" s="68">
        <v>0</v>
      </c>
      <c r="AT40" s="63"/>
      <c r="AU40" s="63"/>
    </row>
    <row r="41" spans="1:47" ht="12.75" hidden="1" customHeight="1" outlineLevel="1" x14ac:dyDescent="0.2">
      <c r="A41" s="61" t="s">
        <v>185</v>
      </c>
      <c r="B41" s="62"/>
      <c r="C41" s="54"/>
      <c r="D41" s="54"/>
      <c r="E41" s="63"/>
      <c r="F41" s="64"/>
      <c r="G41" s="65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66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66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8"/>
      <c r="AT41" s="63"/>
      <c r="AU41" s="63"/>
    </row>
    <row r="42" spans="1:47" ht="12.75" hidden="1" customHeight="1" outlineLevel="1" x14ac:dyDescent="0.2">
      <c r="A42" s="61" t="s">
        <v>186</v>
      </c>
      <c r="B42" s="62">
        <v>0</v>
      </c>
      <c r="C42" s="54">
        <v>0</v>
      </c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0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0</v>
      </c>
      <c r="AS42" s="68">
        <v>0</v>
      </c>
      <c r="AT42" s="63"/>
      <c r="AU42" s="63"/>
    </row>
    <row r="43" spans="1:47" ht="12.75" hidden="1" customHeight="1" outlineLevel="1" x14ac:dyDescent="0.2">
      <c r="A43" s="61" t="s">
        <v>187</v>
      </c>
      <c r="B43" s="62"/>
      <c r="C43" s="54">
        <v>0</v>
      </c>
      <c r="D43" s="54"/>
      <c r="E43" s="63"/>
      <c r="F43" s="64"/>
      <c r="G43" s="65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66"/>
      <c r="T43" s="54">
        <v>0</v>
      </c>
      <c r="U43" s="54">
        <v>0</v>
      </c>
      <c r="V43" s="54">
        <v>0</v>
      </c>
      <c r="W43" s="54">
        <v>0</v>
      </c>
      <c r="X43" s="54">
        <v>0</v>
      </c>
      <c r="Y43" s="54">
        <v>0</v>
      </c>
      <c r="Z43" s="54">
        <v>0</v>
      </c>
      <c r="AA43" s="54">
        <v>0</v>
      </c>
      <c r="AB43" s="54">
        <v>0</v>
      </c>
      <c r="AC43" s="54">
        <v>0</v>
      </c>
      <c r="AD43" s="54">
        <v>0</v>
      </c>
      <c r="AE43" s="54">
        <v>0</v>
      </c>
      <c r="AF43" s="66">
        <v>0</v>
      </c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8"/>
      <c r="AT43" s="63"/>
      <c r="AU43" s="63"/>
    </row>
    <row r="44" spans="1:47" ht="12.75" hidden="1" customHeight="1" outlineLevel="1" x14ac:dyDescent="0.2">
      <c r="A44" s="61" t="s">
        <v>188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61" t="s">
        <v>189</v>
      </c>
      <c r="B45" s="62"/>
      <c r="C45" s="54"/>
      <c r="D45" s="54"/>
      <c r="E45" s="63"/>
      <c r="F45" s="64"/>
      <c r="G45" s="65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66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66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8"/>
      <c r="AT45" s="63"/>
      <c r="AU45" s="63"/>
    </row>
    <row r="46" spans="1:47" ht="12.75" hidden="1" customHeight="1" outlineLevel="1" x14ac:dyDescent="0.2">
      <c r="A46" s="61" t="s">
        <v>190</v>
      </c>
      <c r="B46" s="62">
        <v>0</v>
      </c>
      <c r="C46" s="54">
        <v>0</v>
      </c>
      <c r="D46" s="54">
        <v>0</v>
      </c>
      <c r="E46" s="63"/>
      <c r="F46" s="64"/>
      <c r="G46" s="65">
        <v>0</v>
      </c>
      <c r="H46" s="54">
        <v>0</v>
      </c>
      <c r="I46" s="54">
        <v>0</v>
      </c>
      <c r="J46" s="54">
        <v>0</v>
      </c>
      <c r="K46" s="54">
        <v>0</v>
      </c>
      <c r="L46" s="54">
        <v>0</v>
      </c>
      <c r="M46" s="54">
        <v>0</v>
      </c>
      <c r="N46" s="54">
        <v>0</v>
      </c>
      <c r="O46" s="54">
        <v>0</v>
      </c>
      <c r="P46" s="54">
        <v>0</v>
      </c>
      <c r="Q46" s="54">
        <v>0</v>
      </c>
      <c r="R46" s="54">
        <v>0</v>
      </c>
      <c r="S46" s="66">
        <v>0</v>
      </c>
      <c r="T46" s="54">
        <v>0</v>
      </c>
      <c r="U46" s="54">
        <v>0</v>
      </c>
      <c r="V46" s="54">
        <v>0</v>
      </c>
      <c r="W46" s="54">
        <v>0</v>
      </c>
      <c r="X46" s="54">
        <v>0</v>
      </c>
      <c r="Y46" s="54">
        <v>0</v>
      </c>
      <c r="Z46" s="54">
        <v>0</v>
      </c>
      <c r="AA46" s="54">
        <v>0</v>
      </c>
      <c r="AB46" s="54">
        <v>0</v>
      </c>
      <c r="AC46" s="54">
        <v>0</v>
      </c>
      <c r="AD46" s="54">
        <v>0</v>
      </c>
      <c r="AE46" s="54">
        <v>0</v>
      </c>
      <c r="AF46" s="66">
        <v>0</v>
      </c>
      <c r="AG46" s="67">
        <v>0</v>
      </c>
      <c r="AH46" s="67">
        <v>0</v>
      </c>
      <c r="AI46" s="67">
        <v>0</v>
      </c>
      <c r="AJ46" s="67">
        <v>0</v>
      </c>
      <c r="AK46" s="67">
        <v>0</v>
      </c>
      <c r="AL46" s="67">
        <v>0</v>
      </c>
      <c r="AM46" s="67">
        <v>0</v>
      </c>
      <c r="AN46" s="67">
        <v>0</v>
      </c>
      <c r="AO46" s="67">
        <v>0</v>
      </c>
      <c r="AP46" s="67">
        <v>0</v>
      </c>
      <c r="AQ46" s="67">
        <v>0</v>
      </c>
      <c r="AR46" s="67">
        <v>0</v>
      </c>
      <c r="AS46" s="68">
        <v>0</v>
      </c>
      <c r="AT46" s="63"/>
      <c r="AU46" s="63"/>
    </row>
    <row r="47" spans="1:47" ht="12.75" hidden="1" customHeight="1" outlineLevel="1" x14ac:dyDescent="0.2">
      <c r="A47" s="61" t="s">
        <v>191</v>
      </c>
      <c r="B47" s="62">
        <v>0</v>
      </c>
      <c r="C47" s="54"/>
      <c r="D47" s="54">
        <v>0</v>
      </c>
      <c r="E47" s="63"/>
      <c r="F47" s="64"/>
      <c r="G47" s="65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54">
        <v>0</v>
      </c>
      <c r="N47" s="54">
        <v>0</v>
      </c>
      <c r="O47" s="54">
        <v>0</v>
      </c>
      <c r="P47" s="54">
        <v>0</v>
      </c>
      <c r="Q47" s="54">
        <v>0</v>
      </c>
      <c r="R47" s="54">
        <v>0</v>
      </c>
      <c r="S47" s="66">
        <v>0</v>
      </c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66"/>
      <c r="AG47" s="67">
        <v>0</v>
      </c>
      <c r="AH47" s="67">
        <v>0</v>
      </c>
      <c r="AI47" s="67">
        <v>0</v>
      </c>
      <c r="AJ47" s="67">
        <v>0</v>
      </c>
      <c r="AK47" s="67">
        <v>0</v>
      </c>
      <c r="AL47" s="67">
        <v>0</v>
      </c>
      <c r="AM47" s="67">
        <v>0</v>
      </c>
      <c r="AN47" s="67">
        <v>0</v>
      </c>
      <c r="AO47" s="67">
        <v>0</v>
      </c>
      <c r="AP47" s="67">
        <v>0</v>
      </c>
      <c r="AQ47" s="67">
        <v>0</v>
      </c>
      <c r="AR47" s="67">
        <v>0</v>
      </c>
      <c r="AS47" s="68">
        <v>0</v>
      </c>
      <c r="AT47" s="63"/>
      <c r="AU47" s="63"/>
    </row>
    <row r="48" spans="1:47" ht="12.75" customHeight="1" collapsed="1" x14ac:dyDescent="0.2">
      <c r="A48" s="69" t="s">
        <v>192</v>
      </c>
      <c r="B48" s="70">
        <v>372.73</v>
      </c>
      <c r="C48" s="71">
        <v>0</v>
      </c>
      <c r="D48" s="71">
        <v>41</v>
      </c>
      <c r="E48" s="72"/>
      <c r="F48" s="73">
        <v>909.09756097560978</v>
      </c>
      <c r="G48" s="70">
        <v>372.73</v>
      </c>
      <c r="H48" s="71">
        <v>372.73</v>
      </c>
      <c r="I48" s="71">
        <v>372.73</v>
      </c>
      <c r="J48" s="71">
        <v>372.73</v>
      </c>
      <c r="K48" s="71">
        <v>0</v>
      </c>
      <c r="L48" s="71">
        <v>0</v>
      </c>
      <c r="M48" s="71">
        <v>0</v>
      </c>
      <c r="N48" s="71">
        <v>0</v>
      </c>
      <c r="O48" s="71">
        <v>0</v>
      </c>
      <c r="P48" s="71">
        <v>0</v>
      </c>
      <c r="Q48" s="71">
        <v>0</v>
      </c>
      <c r="R48" s="71">
        <v>0</v>
      </c>
      <c r="S48" s="71">
        <v>1490.92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71">
        <v>0</v>
      </c>
      <c r="AE48" s="71">
        <v>0</v>
      </c>
      <c r="AF48" s="71">
        <v>0</v>
      </c>
      <c r="AG48" s="75">
        <v>41</v>
      </c>
      <c r="AH48" s="75">
        <v>41</v>
      </c>
      <c r="AI48" s="75">
        <v>41</v>
      </c>
      <c r="AJ48" s="75">
        <v>41</v>
      </c>
      <c r="AK48" s="75">
        <v>41</v>
      </c>
      <c r="AL48" s="75">
        <v>41</v>
      </c>
      <c r="AM48" s="75">
        <v>41</v>
      </c>
      <c r="AN48" s="75">
        <v>661.99</v>
      </c>
      <c r="AO48" s="75">
        <v>3153.72</v>
      </c>
      <c r="AP48" s="134">
        <v>-2571.0500000000002</v>
      </c>
      <c r="AQ48" s="75">
        <v>1082.73</v>
      </c>
      <c r="AR48" s="75">
        <v>1009.53</v>
      </c>
      <c r="AS48" s="75">
        <v>164</v>
      </c>
      <c r="AT48" s="72"/>
      <c r="AU48" s="72">
        <v>909.09756097560978</v>
      </c>
    </row>
    <row r="49" spans="1:47" ht="12" hidden="1" customHeight="1" outlineLevel="1" x14ac:dyDescent="0.2">
      <c r="A49" s="61" t="s">
        <v>193</v>
      </c>
      <c r="B49" s="62">
        <v>1877.94</v>
      </c>
      <c r="C49" s="54">
        <v>0</v>
      </c>
      <c r="D49" s="54">
        <v>1248.6400000000001</v>
      </c>
      <c r="E49" s="63"/>
      <c r="F49" s="64">
        <v>150.39883393131728</v>
      </c>
      <c r="G49" s="65">
        <v>775.54</v>
      </c>
      <c r="H49" s="54">
        <v>855.54</v>
      </c>
      <c r="I49" s="54">
        <v>775.54</v>
      </c>
      <c r="J49" s="54">
        <v>1877.94</v>
      </c>
      <c r="K49" s="54">
        <v>0</v>
      </c>
      <c r="L49" s="54">
        <v>0</v>
      </c>
      <c r="M49" s="54">
        <v>0</v>
      </c>
      <c r="N49" s="54">
        <v>0</v>
      </c>
      <c r="O49" s="54">
        <v>0</v>
      </c>
      <c r="P49" s="54">
        <v>0</v>
      </c>
      <c r="Q49" s="54">
        <v>0</v>
      </c>
      <c r="R49" s="54">
        <v>0</v>
      </c>
      <c r="S49" s="66">
        <v>4284.5600000000004</v>
      </c>
      <c r="T49" s="54">
        <v>0</v>
      </c>
      <c r="U49" s="54">
        <v>0</v>
      </c>
      <c r="V49" s="54">
        <v>0</v>
      </c>
      <c r="W49" s="54">
        <v>0</v>
      </c>
      <c r="X49" s="54">
        <v>0</v>
      </c>
      <c r="Y49" s="54">
        <v>0</v>
      </c>
      <c r="Z49" s="54">
        <v>0</v>
      </c>
      <c r="AA49" s="54">
        <v>0</v>
      </c>
      <c r="AB49" s="54">
        <v>0</v>
      </c>
      <c r="AC49" s="54">
        <v>0</v>
      </c>
      <c r="AD49" s="54">
        <v>0</v>
      </c>
      <c r="AE49" s="54">
        <v>0</v>
      </c>
      <c r="AF49" s="66">
        <v>0</v>
      </c>
      <c r="AG49" s="67">
        <v>913.05</v>
      </c>
      <c r="AH49" s="67">
        <v>2352.88</v>
      </c>
      <c r="AI49" s="67">
        <v>1248.6400000000001</v>
      </c>
      <c r="AJ49" s="67">
        <v>1248.6400000000001</v>
      </c>
      <c r="AK49" s="67">
        <v>1248.6400000000001</v>
      </c>
      <c r="AL49" s="67">
        <v>2282.64</v>
      </c>
      <c r="AM49" s="67">
        <v>2232.56</v>
      </c>
      <c r="AN49" s="67">
        <v>4411.67</v>
      </c>
      <c r="AO49" s="67">
        <v>1340.89</v>
      </c>
      <c r="AP49" s="67">
        <v>1248.6400000000001</v>
      </c>
      <c r="AQ49" s="67">
        <v>630.20000000000005</v>
      </c>
      <c r="AR49" s="67">
        <v>1363.13</v>
      </c>
      <c r="AS49" s="68">
        <v>5763.21</v>
      </c>
      <c r="AT49" s="63"/>
      <c r="AU49" s="63">
        <v>74.343291325493951</v>
      </c>
    </row>
    <row r="50" spans="1:47" ht="12.75" hidden="1" customHeight="1" outlineLevel="1" x14ac:dyDescent="0.2">
      <c r="A50" s="61" t="s">
        <v>194</v>
      </c>
      <c r="B50" s="62">
        <v>0</v>
      </c>
      <c r="C50" s="54">
        <v>0</v>
      </c>
      <c r="D50" s="54">
        <v>0</v>
      </c>
      <c r="E50" s="63"/>
      <c r="F50" s="64"/>
      <c r="G50" s="65">
        <v>0</v>
      </c>
      <c r="H50" s="54">
        <v>0</v>
      </c>
      <c r="I50" s="54">
        <v>0</v>
      </c>
      <c r="J50" s="54">
        <v>0</v>
      </c>
      <c r="K50" s="54">
        <v>0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66">
        <v>0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>
        <v>0</v>
      </c>
      <c r="AH50" s="67">
        <v>0</v>
      </c>
      <c r="AI50" s="67">
        <v>0</v>
      </c>
      <c r="AJ50" s="67">
        <v>0</v>
      </c>
      <c r="AK50" s="67">
        <v>0</v>
      </c>
      <c r="AL50" s="67">
        <v>0</v>
      </c>
      <c r="AM50" s="67">
        <v>0</v>
      </c>
      <c r="AN50" s="67">
        <v>0</v>
      </c>
      <c r="AO50" s="67">
        <v>0</v>
      </c>
      <c r="AP50" s="67">
        <v>0</v>
      </c>
      <c r="AQ50" s="67">
        <v>0</v>
      </c>
      <c r="AR50" s="67">
        <v>0</v>
      </c>
      <c r="AS50" s="68">
        <v>0</v>
      </c>
      <c r="AT50" s="63"/>
      <c r="AU50" s="63"/>
    </row>
    <row r="51" spans="1:47" ht="12.75" hidden="1" customHeight="1" outlineLevel="1" x14ac:dyDescent="0.2">
      <c r="A51" s="61" t="s">
        <v>82</v>
      </c>
      <c r="B51" s="62">
        <v>0</v>
      </c>
      <c r="C51" s="54">
        <v>0</v>
      </c>
      <c r="D51" s="54">
        <v>0</v>
      </c>
      <c r="E51" s="63"/>
      <c r="F51" s="64"/>
      <c r="G51" s="65">
        <v>0</v>
      </c>
      <c r="H51" s="54">
        <v>0</v>
      </c>
      <c r="I51" s="54">
        <v>0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66">
        <v>0</v>
      </c>
      <c r="T51" s="54">
        <v>0</v>
      </c>
      <c r="U51" s="54">
        <v>0</v>
      </c>
      <c r="V51" s="54">
        <v>0</v>
      </c>
      <c r="W51" s="54">
        <v>0</v>
      </c>
      <c r="X51" s="54">
        <v>0</v>
      </c>
      <c r="Y51" s="54">
        <v>0</v>
      </c>
      <c r="Z51" s="54">
        <v>0</v>
      </c>
      <c r="AA51" s="54">
        <v>0</v>
      </c>
      <c r="AB51" s="54">
        <v>0</v>
      </c>
      <c r="AC51" s="54">
        <v>0</v>
      </c>
      <c r="AD51" s="54">
        <v>0</v>
      </c>
      <c r="AE51" s="54">
        <v>0</v>
      </c>
      <c r="AF51" s="66">
        <v>0</v>
      </c>
      <c r="AG51" s="67">
        <v>0</v>
      </c>
      <c r="AH51" s="67">
        <v>0</v>
      </c>
      <c r="AI51" s="67">
        <v>0</v>
      </c>
      <c r="AJ51" s="67">
        <v>0</v>
      </c>
      <c r="AK51" s="67">
        <v>0</v>
      </c>
      <c r="AL51" s="67">
        <v>0</v>
      </c>
      <c r="AM51" s="67">
        <v>0</v>
      </c>
      <c r="AN51" s="67">
        <v>0</v>
      </c>
      <c r="AO51" s="67">
        <v>0</v>
      </c>
      <c r="AP51" s="67">
        <v>0</v>
      </c>
      <c r="AQ51" s="67">
        <v>0</v>
      </c>
      <c r="AR51" s="67">
        <v>0</v>
      </c>
      <c r="AS51" s="68">
        <v>0</v>
      </c>
      <c r="AT51" s="63"/>
      <c r="AU51" s="63"/>
    </row>
    <row r="52" spans="1:47" ht="12.75" hidden="1" customHeight="1" outlineLevel="1" x14ac:dyDescent="0.2">
      <c r="A52" s="61" t="s">
        <v>83</v>
      </c>
      <c r="B52" s="62">
        <v>0</v>
      </c>
      <c r="C52" s="54">
        <v>0</v>
      </c>
      <c r="D52" s="54">
        <v>0</v>
      </c>
      <c r="E52" s="63"/>
      <c r="F52" s="64"/>
      <c r="G52" s="65">
        <v>0</v>
      </c>
      <c r="H52" s="54">
        <v>0</v>
      </c>
      <c r="I52" s="54">
        <v>0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66">
        <v>0</v>
      </c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66">
        <v>0</v>
      </c>
      <c r="AG52" s="67">
        <v>0</v>
      </c>
      <c r="AH52" s="67">
        <v>0</v>
      </c>
      <c r="AI52" s="67">
        <v>0</v>
      </c>
      <c r="AJ52" s="67">
        <v>0</v>
      </c>
      <c r="AK52" s="67">
        <v>0</v>
      </c>
      <c r="AL52" s="67">
        <v>0</v>
      </c>
      <c r="AM52" s="67">
        <v>0</v>
      </c>
      <c r="AN52" s="67">
        <v>0</v>
      </c>
      <c r="AO52" s="67">
        <v>0</v>
      </c>
      <c r="AP52" s="67">
        <v>0</v>
      </c>
      <c r="AQ52" s="67">
        <v>0</v>
      </c>
      <c r="AR52" s="67">
        <v>0</v>
      </c>
      <c r="AS52" s="68">
        <v>0</v>
      </c>
      <c r="AT52" s="63"/>
      <c r="AU52" s="63"/>
    </row>
    <row r="53" spans="1:47" ht="12.75" hidden="1" customHeight="1" outlineLevel="1" x14ac:dyDescent="0.2">
      <c r="A53" s="61" t="s">
        <v>84</v>
      </c>
      <c r="B53" s="62">
        <v>0</v>
      </c>
      <c r="C53" s="54">
        <v>0</v>
      </c>
      <c r="D53" s="54">
        <v>0</v>
      </c>
      <c r="E53" s="63"/>
      <c r="F53" s="64"/>
      <c r="G53" s="65">
        <v>0</v>
      </c>
      <c r="H53" s="54">
        <v>0</v>
      </c>
      <c r="I53" s="54">
        <v>0</v>
      </c>
      <c r="J53" s="54">
        <v>0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66">
        <v>0</v>
      </c>
      <c r="T53" s="54">
        <v>0</v>
      </c>
      <c r="U53" s="54">
        <v>0</v>
      </c>
      <c r="V53" s="54">
        <v>0</v>
      </c>
      <c r="W53" s="54">
        <v>0</v>
      </c>
      <c r="X53" s="54">
        <v>0</v>
      </c>
      <c r="Y53" s="54">
        <v>0</v>
      </c>
      <c r="Z53" s="54">
        <v>0</v>
      </c>
      <c r="AA53" s="54">
        <v>0</v>
      </c>
      <c r="AB53" s="54">
        <v>0</v>
      </c>
      <c r="AC53" s="54">
        <v>0</v>
      </c>
      <c r="AD53" s="54">
        <v>0</v>
      </c>
      <c r="AE53" s="54">
        <v>0</v>
      </c>
      <c r="AF53" s="66">
        <v>0</v>
      </c>
      <c r="AG53" s="67">
        <v>0</v>
      </c>
      <c r="AH53" s="67">
        <v>0</v>
      </c>
      <c r="AI53" s="67">
        <v>0</v>
      </c>
      <c r="AJ53" s="67">
        <v>0</v>
      </c>
      <c r="AK53" s="67">
        <v>0</v>
      </c>
      <c r="AL53" s="67">
        <v>0</v>
      </c>
      <c r="AM53" s="67">
        <v>0</v>
      </c>
      <c r="AN53" s="67">
        <v>0</v>
      </c>
      <c r="AO53" s="67">
        <v>0</v>
      </c>
      <c r="AP53" s="67">
        <v>0</v>
      </c>
      <c r="AQ53" s="67">
        <v>0</v>
      </c>
      <c r="AR53" s="67">
        <v>0</v>
      </c>
      <c r="AS53" s="68">
        <v>0</v>
      </c>
      <c r="AT53" s="63"/>
      <c r="AU53" s="63"/>
    </row>
    <row r="54" spans="1:47" ht="12.75" hidden="1" customHeight="1" outlineLevel="1" x14ac:dyDescent="0.2">
      <c r="A54" s="61" t="s">
        <v>195</v>
      </c>
      <c r="B54" s="62"/>
      <c r="C54" s="54"/>
      <c r="D54" s="54"/>
      <c r="E54" s="63"/>
      <c r="F54" s="64"/>
      <c r="G54" s="65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66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66"/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8"/>
      <c r="AT54" s="63"/>
      <c r="AU54" s="63"/>
    </row>
    <row r="55" spans="1:47" ht="12.75" hidden="1" customHeight="1" outlineLevel="1" x14ac:dyDescent="0.2">
      <c r="A55" s="61" t="s">
        <v>86</v>
      </c>
      <c r="B55" s="62">
        <v>0</v>
      </c>
      <c r="C55" s="54">
        <v>0</v>
      </c>
      <c r="D55" s="54">
        <v>0</v>
      </c>
      <c r="E55" s="63"/>
      <c r="F55" s="64"/>
      <c r="G55" s="65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66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66">
        <v>0</v>
      </c>
      <c r="AG55" s="67">
        <v>0</v>
      </c>
      <c r="AH55" s="67">
        <v>0</v>
      </c>
      <c r="AI55" s="67">
        <v>0</v>
      </c>
      <c r="AJ55" s="67">
        <v>0</v>
      </c>
      <c r="AK55" s="67">
        <v>0</v>
      </c>
      <c r="AL55" s="67">
        <v>0</v>
      </c>
      <c r="AM55" s="67">
        <v>0</v>
      </c>
      <c r="AN55" s="67">
        <v>0</v>
      </c>
      <c r="AO55" s="67">
        <v>0</v>
      </c>
      <c r="AP55" s="67">
        <v>0</v>
      </c>
      <c r="AQ55" s="67">
        <v>0</v>
      </c>
      <c r="AR55" s="67">
        <v>0</v>
      </c>
      <c r="AS55" s="68">
        <v>0</v>
      </c>
      <c r="AT55" s="63"/>
      <c r="AU55" s="63"/>
    </row>
    <row r="56" spans="1:47" ht="12.75" hidden="1" customHeight="1" outlineLevel="1" x14ac:dyDescent="0.2">
      <c r="A56" s="61" t="s">
        <v>110</v>
      </c>
      <c r="B56" s="62"/>
      <c r="C56" s="54"/>
      <c r="D56" s="54"/>
      <c r="E56" s="63"/>
      <c r="F56" s="64"/>
      <c r="G56" s="65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66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66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8"/>
      <c r="AT56" s="63"/>
      <c r="AU56" s="63"/>
    </row>
    <row r="57" spans="1:47" ht="12.75" hidden="1" customHeight="1" outlineLevel="1" x14ac:dyDescent="0.2">
      <c r="A57" s="61" t="s">
        <v>196</v>
      </c>
      <c r="B57" s="62">
        <v>0</v>
      </c>
      <c r="C57" s="54">
        <v>0</v>
      </c>
      <c r="D57" s="54">
        <v>0</v>
      </c>
      <c r="E57" s="63"/>
      <c r="F57" s="64"/>
      <c r="G57" s="65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66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66">
        <v>0</v>
      </c>
      <c r="AG57" s="67">
        <v>0</v>
      </c>
      <c r="AH57" s="67">
        <v>0</v>
      </c>
      <c r="AI57" s="67">
        <v>0</v>
      </c>
      <c r="AJ57" s="67">
        <v>0</v>
      </c>
      <c r="AK57" s="67">
        <v>0</v>
      </c>
      <c r="AL57" s="67">
        <v>0</v>
      </c>
      <c r="AM57" s="67">
        <v>0</v>
      </c>
      <c r="AN57" s="67">
        <v>0</v>
      </c>
      <c r="AO57" s="67">
        <v>0</v>
      </c>
      <c r="AP57" s="67">
        <v>0</v>
      </c>
      <c r="AQ57" s="67">
        <v>0</v>
      </c>
      <c r="AR57" s="67">
        <v>0</v>
      </c>
      <c r="AS57" s="68">
        <v>0</v>
      </c>
      <c r="AT57" s="63"/>
      <c r="AU57" s="63"/>
    </row>
    <row r="58" spans="1:47" ht="12.75" hidden="1" customHeight="1" outlineLevel="1" x14ac:dyDescent="0.2">
      <c r="A58" s="61" t="s">
        <v>197</v>
      </c>
      <c r="B58" s="62">
        <v>0</v>
      </c>
      <c r="C58" s="54">
        <v>0</v>
      </c>
      <c r="D58" s="54">
        <v>0</v>
      </c>
      <c r="E58" s="63"/>
      <c r="F58" s="64"/>
      <c r="G58" s="65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0</v>
      </c>
      <c r="AI58" s="67">
        <v>0</v>
      </c>
      <c r="AJ58" s="67">
        <v>0</v>
      </c>
      <c r="AK58" s="67">
        <v>0</v>
      </c>
      <c r="AL58" s="67">
        <v>0</v>
      </c>
      <c r="AM58" s="67">
        <v>0</v>
      </c>
      <c r="AN58" s="67">
        <v>0</v>
      </c>
      <c r="AO58" s="67">
        <v>0</v>
      </c>
      <c r="AP58" s="67">
        <v>0</v>
      </c>
      <c r="AQ58" s="67">
        <v>0</v>
      </c>
      <c r="AR58" s="67">
        <v>0</v>
      </c>
      <c r="AS58" s="68">
        <v>0</v>
      </c>
      <c r="AT58" s="63"/>
      <c r="AU58" s="63"/>
    </row>
    <row r="59" spans="1:47" ht="12.75" hidden="1" customHeight="1" outlineLevel="1" x14ac:dyDescent="0.2">
      <c r="A59" s="61" t="s">
        <v>198</v>
      </c>
      <c r="B59" s="62">
        <v>0</v>
      </c>
      <c r="C59" s="54">
        <v>0</v>
      </c>
      <c r="D59" s="54">
        <v>0</v>
      </c>
      <c r="E59" s="63"/>
      <c r="F59" s="64"/>
      <c r="G59" s="65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66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66">
        <v>0</v>
      </c>
      <c r="AG59" s="67">
        <v>0</v>
      </c>
      <c r="AH59" s="67">
        <v>0</v>
      </c>
      <c r="AI59" s="67">
        <v>0</v>
      </c>
      <c r="AJ59" s="67">
        <v>0</v>
      </c>
      <c r="AK59" s="67">
        <v>0</v>
      </c>
      <c r="AL59" s="67">
        <v>0</v>
      </c>
      <c r="AM59" s="67">
        <v>0</v>
      </c>
      <c r="AN59" s="67">
        <v>0</v>
      </c>
      <c r="AO59" s="67">
        <v>0</v>
      </c>
      <c r="AP59" s="67">
        <v>0</v>
      </c>
      <c r="AQ59" s="67">
        <v>0</v>
      </c>
      <c r="AR59" s="67">
        <v>0</v>
      </c>
      <c r="AS59" s="68">
        <v>0</v>
      </c>
      <c r="AT59" s="63"/>
      <c r="AU59" s="63"/>
    </row>
    <row r="60" spans="1:47" ht="12.75" hidden="1" customHeight="1" outlineLevel="1" x14ac:dyDescent="0.2">
      <c r="A60" s="61" t="s">
        <v>199</v>
      </c>
      <c r="B60" s="62"/>
      <c r="C60" s="54"/>
      <c r="D60" s="54"/>
      <c r="E60" s="63"/>
      <c r="F60" s="64"/>
      <c r="G60" s="65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66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66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8"/>
      <c r="AT60" s="63"/>
      <c r="AU60" s="63"/>
    </row>
    <row r="61" spans="1:47" ht="12.75" hidden="1" customHeight="1" outlineLevel="1" x14ac:dyDescent="0.2">
      <c r="A61" s="61" t="s">
        <v>200</v>
      </c>
      <c r="B61" s="62"/>
      <c r="C61" s="54"/>
      <c r="D61" s="54"/>
      <c r="E61" s="63"/>
      <c r="F61" s="64"/>
      <c r="G61" s="65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66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66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8"/>
      <c r="AT61" s="63"/>
      <c r="AU61" s="63"/>
    </row>
    <row r="62" spans="1:47" ht="12.75" customHeight="1" collapsed="1" x14ac:dyDescent="0.2">
      <c r="A62" s="69" t="s">
        <v>89</v>
      </c>
      <c r="B62" s="70">
        <v>1877.94</v>
      </c>
      <c r="C62" s="71">
        <v>0</v>
      </c>
      <c r="D62" s="71">
        <v>1248.6400000000001</v>
      </c>
      <c r="E62" s="72"/>
      <c r="F62" s="73">
        <v>150.39883393131728</v>
      </c>
      <c r="G62" s="70">
        <v>775.54</v>
      </c>
      <c r="H62" s="71">
        <v>855.54</v>
      </c>
      <c r="I62" s="71">
        <v>775.54</v>
      </c>
      <c r="J62" s="71">
        <v>1877.94</v>
      </c>
      <c r="K62" s="71">
        <v>0</v>
      </c>
      <c r="L62" s="71">
        <v>0</v>
      </c>
      <c r="M62" s="71">
        <v>0</v>
      </c>
      <c r="N62" s="71">
        <v>0</v>
      </c>
      <c r="O62" s="71">
        <v>0</v>
      </c>
      <c r="P62" s="71">
        <v>0</v>
      </c>
      <c r="Q62" s="71">
        <v>0</v>
      </c>
      <c r="R62" s="71">
        <v>0</v>
      </c>
      <c r="S62" s="71">
        <v>4284.5600000000004</v>
      </c>
      <c r="T62" s="71">
        <v>0</v>
      </c>
      <c r="U62" s="71">
        <v>0</v>
      </c>
      <c r="V62" s="71">
        <v>0</v>
      </c>
      <c r="W62" s="71">
        <v>0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71">
        <v>0</v>
      </c>
      <c r="AE62" s="71">
        <v>0</v>
      </c>
      <c r="AF62" s="71">
        <v>0</v>
      </c>
      <c r="AG62" s="75">
        <v>913.05</v>
      </c>
      <c r="AH62" s="75">
        <v>2352.88</v>
      </c>
      <c r="AI62" s="75">
        <v>1248.6400000000001</v>
      </c>
      <c r="AJ62" s="75">
        <v>1248.6400000000001</v>
      </c>
      <c r="AK62" s="75">
        <v>1248.6400000000001</v>
      </c>
      <c r="AL62" s="75">
        <v>2282.64</v>
      </c>
      <c r="AM62" s="75">
        <v>2232.56</v>
      </c>
      <c r="AN62" s="75">
        <v>4411.67</v>
      </c>
      <c r="AO62" s="75">
        <v>1340.89</v>
      </c>
      <c r="AP62" s="75">
        <v>1248.6400000000001</v>
      </c>
      <c r="AQ62" s="75">
        <v>630.20000000000005</v>
      </c>
      <c r="AR62" s="75">
        <v>1363.13</v>
      </c>
      <c r="AS62" s="75">
        <v>5763.21</v>
      </c>
      <c r="AT62" s="72"/>
      <c r="AU62" s="72">
        <v>74.343291325493951</v>
      </c>
    </row>
    <row r="63" spans="1:47" ht="12.75" customHeight="1" x14ac:dyDescent="0.2">
      <c r="A63" s="77" t="s">
        <v>201</v>
      </c>
      <c r="B63" s="78">
        <v>109113.49</v>
      </c>
      <c r="C63" s="79">
        <v>0</v>
      </c>
      <c r="D63" s="79">
        <v>102599.19</v>
      </c>
      <c r="E63" s="80"/>
      <c r="F63" s="81">
        <v>106.34927039872342</v>
      </c>
      <c r="G63" s="78">
        <v>162908.45000000001</v>
      </c>
      <c r="H63" s="79">
        <v>114572.18</v>
      </c>
      <c r="I63" s="79">
        <v>127363.59</v>
      </c>
      <c r="J63" s="79">
        <v>109113.49</v>
      </c>
      <c r="K63" s="82">
        <v>-34934.15</v>
      </c>
      <c r="L63" s="79">
        <v>0</v>
      </c>
      <c r="M63" s="79">
        <v>0</v>
      </c>
      <c r="N63" s="79">
        <v>0</v>
      </c>
      <c r="O63" s="79">
        <v>0</v>
      </c>
      <c r="P63" s="79">
        <v>0</v>
      </c>
      <c r="Q63" s="79">
        <v>0</v>
      </c>
      <c r="R63" s="79">
        <v>0</v>
      </c>
      <c r="S63" s="79">
        <v>513957.71</v>
      </c>
      <c r="T63" s="79">
        <v>0</v>
      </c>
      <c r="U63" s="79">
        <v>0</v>
      </c>
      <c r="V63" s="79">
        <v>0</v>
      </c>
      <c r="W63" s="79">
        <v>0</v>
      </c>
      <c r="X63" s="79">
        <v>0</v>
      </c>
      <c r="Y63" s="79">
        <v>0</v>
      </c>
      <c r="Z63" s="79">
        <v>0</v>
      </c>
      <c r="AA63" s="79">
        <v>0</v>
      </c>
      <c r="AB63" s="79">
        <v>0</v>
      </c>
      <c r="AC63" s="79">
        <v>0</v>
      </c>
      <c r="AD63" s="79">
        <v>0</v>
      </c>
      <c r="AE63" s="79">
        <v>0</v>
      </c>
      <c r="AF63" s="79">
        <v>0</v>
      </c>
      <c r="AG63" s="83">
        <v>125601.45</v>
      </c>
      <c r="AH63" s="83">
        <v>130352.64</v>
      </c>
      <c r="AI63" s="83">
        <v>125659.94</v>
      </c>
      <c r="AJ63" s="83">
        <v>102599.19</v>
      </c>
      <c r="AK63" s="83">
        <v>105697.43</v>
      </c>
      <c r="AL63" s="83">
        <v>134374.71</v>
      </c>
      <c r="AM63" s="83">
        <v>132002.74</v>
      </c>
      <c r="AN63" s="83">
        <v>76426.240000000005</v>
      </c>
      <c r="AO63" s="83">
        <v>136750.85</v>
      </c>
      <c r="AP63" s="83">
        <v>90960.8</v>
      </c>
      <c r="AQ63" s="83">
        <v>110514.77</v>
      </c>
      <c r="AR63" s="83">
        <v>134395.67000000001</v>
      </c>
      <c r="AS63" s="83">
        <v>484213.22</v>
      </c>
      <c r="AT63" s="80"/>
      <c r="AU63" s="80">
        <v>106.14284963140824</v>
      </c>
    </row>
    <row r="64" spans="1:47" ht="12.75" customHeight="1" x14ac:dyDescent="0.2">
      <c r="A64" s="84" t="s">
        <v>8</v>
      </c>
      <c r="B64" s="85">
        <v>49265.29</v>
      </c>
      <c r="C64" s="86">
        <v>0</v>
      </c>
      <c r="D64" s="86">
        <v>37896.449999999997</v>
      </c>
      <c r="E64" s="87"/>
      <c r="F64" s="88">
        <v>129.99974931688851</v>
      </c>
      <c r="G64" s="85">
        <v>43414.1</v>
      </c>
      <c r="H64" s="86">
        <v>46707.06</v>
      </c>
      <c r="I64" s="86">
        <v>89131.36</v>
      </c>
      <c r="J64" s="86">
        <v>49265.29</v>
      </c>
      <c r="K64" s="86">
        <v>69254.600000000006</v>
      </c>
      <c r="L64" s="86">
        <v>0</v>
      </c>
      <c r="M64" s="86">
        <v>0</v>
      </c>
      <c r="N64" s="86">
        <v>0</v>
      </c>
      <c r="O64" s="86">
        <v>0</v>
      </c>
      <c r="P64" s="86">
        <v>0</v>
      </c>
      <c r="Q64" s="86">
        <v>0</v>
      </c>
      <c r="R64" s="86">
        <v>0</v>
      </c>
      <c r="S64" s="86">
        <v>228517.81</v>
      </c>
      <c r="T64" s="86">
        <v>0</v>
      </c>
      <c r="U64" s="86">
        <v>0</v>
      </c>
      <c r="V64" s="86">
        <v>0</v>
      </c>
      <c r="W64" s="86">
        <v>0</v>
      </c>
      <c r="X64" s="86">
        <v>0</v>
      </c>
      <c r="Y64" s="86">
        <v>0</v>
      </c>
      <c r="Z64" s="86">
        <v>0</v>
      </c>
      <c r="AA64" s="86">
        <v>0</v>
      </c>
      <c r="AB64" s="86">
        <v>0</v>
      </c>
      <c r="AC64" s="86">
        <v>0</v>
      </c>
      <c r="AD64" s="86">
        <v>0</v>
      </c>
      <c r="AE64" s="86">
        <v>0</v>
      </c>
      <c r="AF64" s="86">
        <v>0</v>
      </c>
      <c r="AG64" s="90">
        <v>21805.67</v>
      </c>
      <c r="AH64" s="90">
        <v>20968.04</v>
      </c>
      <c r="AI64" s="90">
        <v>37144.18</v>
      </c>
      <c r="AJ64" s="90">
        <v>37896.449999999997</v>
      </c>
      <c r="AK64" s="90">
        <v>31079.72</v>
      </c>
      <c r="AL64" s="90">
        <v>6737.86</v>
      </c>
      <c r="AM64" s="90">
        <v>8406.35</v>
      </c>
      <c r="AN64" s="90">
        <v>72118.14</v>
      </c>
      <c r="AO64" s="90">
        <v>697.41</v>
      </c>
      <c r="AP64" s="90">
        <v>83180.63</v>
      </c>
      <c r="AQ64" s="90">
        <v>72551.960000000006</v>
      </c>
      <c r="AR64" s="90">
        <v>30574.55</v>
      </c>
      <c r="AS64" s="90">
        <v>117814.34</v>
      </c>
      <c r="AT64" s="87"/>
      <c r="AU64" s="87">
        <v>193.9643425409844</v>
      </c>
    </row>
    <row r="65" spans="1:45" ht="16.5" customHeight="1" x14ac:dyDescent="0.2"/>
    <row r="66" spans="1:45" x14ac:dyDescent="0.2">
      <c r="S66" s="26"/>
    </row>
    <row r="67" spans="1:45" ht="15" x14ac:dyDescent="0.25">
      <c r="A67" s="16"/>
      <c r="B67" s="19"/>
      <c r="C67" s="19"/>
      <c r="D67" s="20"/>
      <c r="S67" s="26">
        <f>+S10+S11+S12</f>
        <v>117336.99000000002</v>
      </c>
      <c r="AS67" s="26">
        <f>+AS10+AS11+AS12</f>
        <v>90672.39</v>
      </c>
    </row>
    <row r="68" spans="1:45" ht="15" x14ac:dyDescent="0.25">
      <c r="A68" s="16"/>
      <c r="B68" s="19"/>
      <c r="C68" s="19"/>
      <c r="D68" s="20"/>
      <c r="S68" s="497">
        <f>+S67/S2</f>
        <v>0.15803482652195727</v>
      </c>
      <c r="AS68" s="497">
        <f>+AS67/AS2</f>
        <v>0.15061169292648327</v>
      </c>
    </row>
    <row r="69" spans="1:45" ht="15" x14ac:dyDescent="0.25">
      <c r="A69" s="16"/>
      <c r="B69" s="19"/>
      <c r="C69" s="19"/>
      <c r="D69" s="20"/>
      <c r="AE69" s="365" t="s">
        <v>465</v>
      </c>
      <c r="AF69" s="26">
        <f>SUM(T2:AE2)</f>
        <v>0</v>
      </c>
    </row>
    <row r="70" spans="1:45" ht="15" x14ac:dyDescent="0.25">
      <c r="A70" s="16"/>
      <c r="B70" s="16"/>
      <c r="C70" s="16"/>
      <c r="D70" s="16"/>
      <c r="AE70" s="365"/>
      <c r="AF70" s="26">
        <f>SUM(T9:AE16)</f>
        <v>0</v>
      </c>
    </row>
    <row r="71" spans="1:45" ht="15" x14ac:dyDescent="0.25">
      <c r="A71" s="16"/>
      <c r="B71" s="25"/>
      <c r="C71" s="17"/>
      <c r="D71" s="25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365" t="s">
        <v>303</v>
      </c>
      <c r="AF71" s="26">
        <f>+AF69-AF70</f>
        <v>0</v>
      </c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</row>
    <row r="72" spans="1:45" ht="15" x14ac:dyDescent="0.25">
      <c r="A72" s="16"/>
      <c r="B72" s="16"/>
      <c r="C72" s="16"/>
      <c r="D72" s="16"/>
      <c r="AE72" s="365" t="s">
        <v>466</v>
      </c>
      <c r="AF72" s="482">
        <f>+SUM(T17:AE18)+SUM(T22:AE22)+SUM(T33:AE33)+SUM(T48:AE48)+SUM(T62:AE62)</f>
        <v>0</v>
      </c>
    </row>
    <row r="73" spans="1:45" ht="15" x14ac:dyDescent="0.25">
      <c r="A73" s="16"/>
      <c r="B73" s="16"/>
      <c r="C73" s="16"/>
      <c r="D73" s="16"/>
      <c r="AE73" s="365"/>
      <c r="AF73" s="365"/>
    </row>
    <row r="74" spans="1:45" ht="15" x14ac:dyDescent="0.25">
      <c r="A74" s="16"/>
      <c r="B74" s="16"/>
      <c r="C74" s="16"/>
      <c r="D74" s="16"/>
      <c r="AE74" s="365" t="s">
        <v>419</v>
      </c>
      <c r="AF74" s="18">
        <f>+AF71-AF72</f>
        <v>0</v>
      </c>
    </row>
    <row r="75" spans="1:45" ht="15" x14ac:dyDescent="0.25">
      <c r="A75" s="16"/>
      <c r="B75" s="16"/>
      <c r="C75" s="16"/>
      <c r="D75" s="16"/>
      <c r="AE75" s="365"/>
      <c r="AF75" s="482">
        <f>+AF74-SUM(T64:AE64)</f>
        <v>0</v>
      </c>
    </row>
    <row r="77" spans="1:45" x14ac:dyDescent="0.2">
      <c r="S77" s="442" t="s">
        <v>271</v>
      </c>
    </row>
    <row r="78" spans="1:45" x14ac:dyDescent="0.2">
      <c r="S78" s="26">
        <f>+S2</f>
        <v>742475.52</v>
      </c>
      <c r="T78" s="94">
        <f>+S78/S78</f>
        <v>1</v>
      </c>
    </row>
    <row r="79" spans="1:45" x14ac:dyDescent="0.2">
      <c r="S79" s="26">
        <f>+S9</f>
        <v>242405.09</v>
      </c>
      <c r="T79" s="94">
        <f>+S79/S78</f>
        <v>0.32648226570486794</v>
      </c>
    </row>
    <row r="80" spans="1:45" x14ac:dyDescent="0.2">
      <c r="S80" s="26">
        <f>+S10+S11+S12+S13+S14+S15+S16</f>
        <v>192320.47000000003</v>
      </c>
      <c r="T80" s="94">
        <f>+S80/S78</f>
        <v>0.25902600802245984</v>
      </c>
    </row>
    <row r="81" spans="6:46" x14ac:dyDescent="0.2">
      <c r="S81" s="26">
        <f>+S17+S18+S22+S33+S48+S62</f>
        <v>79232.149999999994</v>
      </c>
      <c r="T81" s="94">
        <f>+S81/S78</f>
        <v>0.10671348464121752</v>
      </c>
    </row>
    <row r="82" spans="6:46" x14ac:dyDescent="0.2">
      <c r="S82" s="26">
        <f>+S78-S79-S80-S81</f>
        <v>228517.81000000003</v>
      </c>
      <c r="T82" s="94">
        <f>+S82/S78</f>
        <v>0.30777824163145479</v>
      </c>
    </row>
    <row r="85" spans="6:46" x14ac:dyDescent="0.2">
      <c r="S85" s="442" t="s">
        <v>701</v>
      </c>
      <c r="T85" s="442"/>
      <c r="U85" s="442"/>
      <c r="V85" s="442"/>
      <c r="W85" s="442"/>
      <c r="X85" s="442"/>
      <c r="Y85" s="442"/>
      <c r="Z85" s="442"/>
      <c r="AA85" s="442"/>
      <c r="AB85" s="442"/>
      <c r="AC85" s="442"/>
      <c r="AD85" s="442"/>
      <c r="AE85" s="442"/>
      <c r="AF85" s="442"/>
      <c r="AG85" s="442"/>
      <c r="AH85" s="442"/>
      <c r="AI85" s="442"/>
      <c r="AJ85" s="442"/>
      <c r="AK85" s="442"/>
      <c r="AL85" s="442"/>
      <c r="AM85" s="442"/>
      <c r="AN85" s="442"/>
      <c r="AO85" s="442"/>
      <c r="AP85" s="442"/>
      <c r="AQ85" s="442"/>
      <c r="AR85" s="442"/>
      <c r="AS85" s="442" t="s">
        <v>599</v>
      </c>
    </row>
    <row r="86" spans="6:46" x14ac:dyDescent="0.2">
      <c r="F86" s="365" t="s">
        <v>271</v>
      </c>
      <c r="G86" s="365"/>
      <c r="H86" s="365"/>
      <c r="I86" s="365"/>
      <c r="J86" s="365"/>
      <c r="K86" s="365"/>
      <c r="L86" s="365"/>
      <c r="M86" s="365"/>
      <c r="N86" s="365"/>
      <c r="O86" s="365"/>
      <c r="P86" s="365"/>
      <c r="Q86" s="365"/>
      <c r="R86" s="365"/>
      <c r="S86" s="26">
        <f>+S2+'Mngt-Perth Chem External'!S2</f>
        <v>908017.72</v>
      </c>
      <c r="T86" s="365"/>
      <c r="U86" s="365"/>
      <c r="V86" s="365"/>
      <c r="W86" s="365"/>
      <c r="X86" s="365"/>
      <c r="Y86" s="365"/>
      <c r="Z86" s="365"/>
      <c r="AA86" s="365"/>
      <c r="AB86" s="365"/>
      <c r="AC86" s="365"/>
      <c r="AD86" s="365"/>
      <c r="AE86" s="365"/>
      <c r="AF86" s="365"/>
      <c r="AG86" s="365"/>
      <c r="AH86" s="365"/>
      <c r="AI86" s="365"/>
      <c r="AJ86" s="365"/>
      <c r="AK86" s="365"/>
      <c r="AL86" s="365"/>
      <c r="AM86" s="365"/>
      <c r="AN86" s="365"/>
      <c r="AO86" s="365"/>
      <c r="AP86" s="365"/>
      <c r="AQ86" s="365"/>
      <c r="AR86" s="365"/>
      <c r="AS86" s="26">
        <f>+AS2+'Mngt-Perth Chem External'!AS2</f>
        <v>766551.39</v>
      </c>
      <c r="AT86" t="s">
        <v>286</v>
      </c>
    </row>
    <row r="87" spans="6:46" x14ac:dyDescent="0.2">
      <c r="F87" s="365"/>
      <c r="G87" s="365"/>
      <c r="H87" s="365"/>
      <c r="I87" s="365"/>
      <c r="J87" s="365"/>
      <c r="K87" s="365"/>
      <c r="L87" s="365"/>
      <c r="M87" s="365"/>
      <c r="N87" s="365"/>
      <c r="O87" s="365"/>
      <c r="P87" s="365"/>
      <c r="Q87" s="365"/>
      <c r="R87" s="365"/>
      <c r="S87" s="26">
        <f>+S64+'Mngt-Perth Chem External'!S63</f>
        <v>337449.85</v>
      </c>
      <c r="T87" s="365"/>
      <c r="U87" s="365"/>
      <c r="V87" s="365"/>
      <c r="W87" s="365"/>
      <c r="X87" s="365"/>
      <c r="Y87" s="365"/>
      <c r="Z87" s="365"/>
      <c r="AA87" s="365"/>
      <c r="AB87" s="365"/>
      <c r="AC87" s="365"/>
      <c r="AD87" s="365"/>
      <c r="AE87" s="365"/>
      <c r="AF87" s="365"/>
      <c r="AG87" s="365"/>
      <c r="AH87" s="365"/>
      <c r="AI87" s="365"/>
      <c r="AJ87" s="365"/>
      <c r="AK87" s="365"/>
      <c r="AL87" s="365"/>
      <c r="AM87" s="365"/>
      <c r="AN87" s="365"/>
      <c r="AO87" s="365"/>
      <c r="AP87" s="365"/>
      <c r="AQ87" s="365"/>
      <c r="AR87" s="365"/>
      <c r="AS87" s="26">
        <f>+AS64+'Mngt-Perth Chem External'!AS63</f>
        <v>228248.27</v>
      </c>
      <c r="AT87" t="s">
        <v>702</v>
      </c>
    </row>
    <row r="88" spans="6:46" x14ac:dyDescent="0.2">
      <c r="F88" s="365"/>
      <c r="G88" s="365"/>
      <c r="H88" s="365"/>
      <c r="I88" s="365"/>
      <c r="J88" s="365"/>
      <c r="K88" s="365"/>
      <c r="L88" s="365"/>
      <c r="M88" s="365"/>
      <c r="N88" s="365"/>
      <c r="O88" s="365"/>
      <c r="P88" s="365"/>
      <c r="Q88" s="365"/>
      <c r="R88" s="365"/>
      <c r="S88" s="94">
        <f>+S87/S86</f>
        <v>0.37163355138047305</v>
      </c>
      <c r="T88" s="365"/>
      <c r="U88" s="365"/>
      <c r="V88" s="365"/>
      <c r="W88" s="365"/>
      <c r="X88" s="365"/>
      <c r="Y88" s="365"/>
      <c r="Z88" s="365"/>
      <c r="AA88" s="365"/>
      <c r="AB88" s="365"/>
      <c r="AC88" s="365"/>
      <c r="AD88" s="365"/>
      <c r="AE88" s="365"/>
      <c r="AF88" s="365"/>
      <c r="AG88" s="365"/>
      <c r="AH88" s="365"/>
      <c r="AI88" s="365"/>
      <c r="AJ88" s="365"/>
      <c r="AK88" s="365"/>
      <c r="AL88" s="365"/>
      <c r="AM88" s="365"/>
      <c r="AN88" s="365"/>
      <c r="AO88" s="365"/>
      <c r="AP88" s="365"/>
      <c r="AQ88" s="365"/>
      <c r="AR88" s="365"/>
      <c r="AS88" s="94">
        <f>+AS87/AS86</f>
        <v>0.29775990622102971</v>
      </c>
      <c r="AT88" t="s">
        <v>703</v>
      </c>
    </row>
  </sheetData>
  <hyperlinks>
    <hyperlink ref="AF72" r:id="rId1" display="+@sum(T17:AE18)+@sum(T22:AE22)+@sum(T33:AE33)+@sum(T48:AE48)+@sum(T62:AE62)"/>
    <hyperlink ref="AF75" r:id="rId2" display="+AF75-@sum(T64:AE64)"/>
  </hyperlinks>
  <pageMargins left="0.75" right="0.75" top="1" bottom="1" header="0.5" footer="0.5"/>
  <pageSetup scale="70" orientation="landscape"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9" tint="-0.249977111117893"/>
  </sheetPr>
  <dimension ref="A1:AU76"/>
  <sheetViews>
    <sheetView showWhiteSpace="0" zoomScaleNormal="100" workbookViewId="0">
      <pane xSplit="1" ySplit="1" topLeftCell="B2" activePane="bottomRight" state="frozen"/>
      <selection activeCell="A73" sqref="A73"/>
      <selection pane="topRight" activeCell="A73" sqref="A73"/>
      <selection pane="bottomLeft" activeCell="A73" sqref="A73"/>
      <selection pane="bottomRight" sqref="A1:AU64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10.42578125" customWidth="1" collapsed="1"/>
    <col min="46" max="47" width="10.5703125" customWidth="1"/>
  </cols>
  <sheetData>
    <row r="1" spans="1:47" ht="35.2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s="203" customFormat="1" x14ac:dyDescent="0.2">
      <c r="A2" s="61" t="s">
        <v>7</v>
      </c>
      <c r="B2" s="62">
        <v>81098.16</v>
      </c>
      <c r="C2" s="54">
        <v>0</v>
      </c>
      <c r="D2" s="54">
        <v>72545.03</v>
      </c>
      <c r="E2" s="63"/>
      <c r="F2" s="64">
        <v>111.79009781924412</v>
      </c>
      <c r="G2" s="65">
        <v>102607.4</v>
      </c>
      <c r="H2" s="54">
        <v>124760.84</v>
      </c>
      <c r="I2" s="54">
        <v>91735.72</v>
      </c>
      <c r="J2" s="54">
        <v>81098.16</v>
      </c>
      <c r="K2" s="54">
        <v>8427.66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400202.12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136956.4</v>
      </c>
      <c r="AH2" s="67">
        <v>96438.87</v>
      </c>
      <c r="AI2" s="67">
        <v>123965.99</v>
      </c>
      <c r="AJ2" s="67">
        <v>72545.03</v>
      </c>
      <c r="AK2" s="67">
        <v>108060.08</v>
      </c>
      <c r="AL2" s="67">
        <v>115326.8</v>
      </c>
      <c r="AM2" s="67">
        <v>124813.09</v>
      </c>
      <c r="AN2" s="67">
        <v>132782.60999999999</v>
      </c>
      <c r="AO2" s="67">
        <v>132490.10999999999</v>
      </c>
      <c r="AP2" s="67">
        <v>116047.03</v>
      </c>
      <c r="AQ2" s="67">
        <v>127972.13</v>
      </c>
      <c r="AR2" s="67">
        <v>145507.78</v>
      </c>
      <c r="AS2" s="68">
        <v>429906.29</v>
      </c>
      <c r="AT2" s="63"/>
      <c r="AU2" s="63">
        <v>93.090547709827646</v>
      </c>
    </row>
    <row r="3" spans="1:47" ht="12.75" hidden="1" customHeight="1" outlineLevel="1" x14ac:dyDescent="0.2">
      <c r="A3" s="61" t="s">
        <v>160</v>
      </c>
      <c r="B3" s="62">
        <v>57005.54</v>
      </c>
      <c r="C3" s="54">
        <v>0</v>
      </c>
      <c r="D3" s="54">
        <v>48353.919999999998</v>
      </c>
      <c r="E3" s="63"/>
      <c r="F3" s="64">
        <v>117.89228256985163</v>
      </c>
      <c r="G3" s="65">
        <v>68136.95</v>
      </c>
      <c r="H3" s="54">
        <v>75381.25</v>
      </c>
      <c r="I3" s="54">
        <v>73292.92</v>
      </c>
      <c r="J3" s="54">
        <v>57005.54</v>
      </c>
      <c r="K3" s="54">
        <v>0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273816.65999999997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77635.070000000007</v>
      </c>
      <c r="AH3" s="67">
        <v>69835.98</v>
      </c>
      <c r="AI3" s="67">
        <v>71566.2</v>
      </c>
      <c r="AJ3" s="67">
        <v>48353.919999999998</v>
      </c>
      <c r="AK3" s="67">
        <v>54134.12</v>
      </c>
      <c r="AL3" s="67">
        <v>77120.990000000005</v>
      </c>
      <c r="AM3" s="67">
        <v>72748.81</v>
      </c>
      <c r="AN3" s="67">
        <v>62811.67</v>
      </c>
      <c r="AO3" s="67">
        <v>65022.44</v>
      </c>
      <c r="AP3" s="67">
        <v>64528.61</v>
      </c>
      <c r="AQ3" s="67">
        <v>67181.02</v>
      </c>
      <c r="AR3" s="67">
        <v>70754.03</v>
      </c>
      <c r="AS3" s="68">
        <v>267391.17</v>
      </c>
      <c r="AT3" s="63"/>
      <c r="AU3" s="63">
        <v>102.40302998786385</v>
      </c>
    </row>
    <row r="4" spans="1:47" ht="12.75" hidden="1" customHeight="1" outlineLevel="1" x14ac:dyDescent="0.2">
      <c r="A4" s="61" t="s">
        <v>161</v>
      </c>
      <c r="B4" s="62">
        <v>3810.21</v>
      </c>
      <c r="C4" s="54">
        <v>0</v>
      </c>
      <c r="D4" s="54">
        <v>2995.76</v>
      </c>
      <c r="E4" s="63"/>
      <c r="F4" s="64">
        <v>127.18675728362753</v>
      </c>
      <c r="G4" s="65">
        <v>3795.14</v>
      </c>
      <c r="H4" s="54">
        <v>446.1</v>
      </c>
      <c r="I4" s="54">
        <v>8853.2800000000007</v>
      </c>
      <c r="J4" s="54">
        <v>3810.21</v>
      </c>
      <c r="K4" s="56">
        <v>-1997.52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16904.73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4130.09</v>
      </c>
      <c r="AH4" s="67">
        <v>3319.26</v>
      </c>
      <c r="AI4" s="67">
        <v>4016</v>
      </c>
      <c r="AJ4" s="67">
        <v>2995.76</v>
      </c>
      <c r="AK4" s="67">
        <v>2891.25</v>
      </c>
      <c r="AL4" s="67">
        <v>3420.06</v>
      </c>
      <c r="AM4" s="67">
        <v>3368.73</v>
      </c>
      <c r="AN4" s="67">
        <v>3412.02</v>
      </c>
      <c r="AO4" s="67">
        <v>408.24</v>
      </c>
      <c r="AP4" s="67">
        <v>4898.84</v>
      </c>
      <c r="AQ4" s="67">
        <v>5641.31</v>
      </c>
      <c r="AR4" s="67">
        <v>4859.76</v>
      </c>
      <c r="AS4" s="68">
        <v>14461.11</v>
      </c>
      <c r="AT4" s="63"/>
      <c r="AU4" s="63">
        <v>116.89787298485386</v>
      </c>
    </row>
    <row r="5" spans="1:47" ht="12.75" hidden="1" customHeight="1" outlineLevel="1" x14ac:dyDescent="0.2">
      <c r="A5" s="61" t="s">
        <v>162</v>
      </c>
      <c r="B5" s="62">
        <v>5131.6499999999996</v>
      </c>
      <c r="C5" s="54">
        <v>0</v>
      </c>
      <c r="D5" s="54">
        <v>17522.599999999999</v>
      </c>
      <c r="E5" s="63"/>
      <c r="F5" s="64">
        <v>29.285893645920126</v>
      </c>
      <c r="G5" s="65">
        <v>8639.8799999999992</v>
      </c>
      <c r="H5" s="54">
        <v>5633.9</v>
      </c>
      <c r="I5" s="54">
        <v>6129.07</v>
      </c>
      <c r="J5" s="54">
        <v>5131.6499999999996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25534.5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13041.56</v>
      </c>
      <c r="AH5" s="67">
        <v>7957.57</v>
      </c>
      <c r="AI5" s="67">
        <v>1345.63</v>
      </c>
      <c r="AJ5" s="67">
        <v>17522.599999999999</v>
      </c>
      <c r="AK5" s="67">
        <v>11558.38</v>
      </c>
      <c r="AL5" s="67">
        <v>5010.8900000000003</v>
      </c>
      <c r="AM5" s="67">
        <v>7643.73</v>
      </c>
      <c r="AN5" s="67">
        <v>7161.41</v>
      </c>
      <c r="AO5" s="67">
        <v>6234.04</v>
      </c>
      <c r="AP5" s="67">
        <v>11851.99</v>
      </c>
      <c r="AQ5" s="67">
        <v>4908.38</v>
      </c>
      <c r="AR5" s="67">
        <v>8256.83</v>
      </c>
      <c r="AS5" s="68">
        <v>39867.360000000001</v>
      </c>
      <c r="AT5" s="63"/>
      <c r="AU5" s="63">
        <v>64.048635274570472</v>
      </c>
    </row>
    <row r="6" spans="1:47" s="365" customFormat="1" ht="12.75" hidden="1" customHeight="1" outlineLevel="1" x14ac:dyDescent="0.2">
      <c r="A6" s="61" t="s">
        <v>163</v>
      </c>
      <c r="B6" s="62">
        <v>0</v>
      </c>
      <c r="C6" s="54">
        <v>0</v>
      </c>
      <c r="D6" s="54">
        <v>791.67</v>
      </c>
      <c r="E6" s="63"/>
      <c r="F6" s="64">
        <v>0</v>
      </c>
      <c r="G6" s="65">
        <v>791.67</v>
      </c>
      <c r="H6" s="54">
        <v>791.67</v>
      </c>
      <c r="I6" s="56">
        <v>-1583.34</v>
      </c>
      <c r="J6" s="54">
        <v>0</v>
      </c>
      <c r="K6" s="54">
        <v>0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66">
        <v>0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>
        <v>792</v>
      </c>
      <c r="AH6" s="67">
        <v>792</v>
      </c>
      <c r="AI6" s="67">
        <v>792</v>
      </c>
      <c r="AJ6" s="67">
        <v>791.67</v>
      </c>
      <c r="AK6" s="67">
        <v>791.67</v>
      </c>
      <c r="AL6" s="67">
        <v>791.67</v>
      </c>
      <c r="AM6" s="67">
        <v>791.67</v>
      </c>
      <c r="AN6" s="67">
        <v>791.67</v>
      </c>
      <c r="AO6" s="67">
        <v>791.67</v>
      </c>
      <c r="AP6" s="67">
        <v>791.67</v>
      </c>
      <c r="AQ6" s="98">
        <v>-7904.7</v>
      </c>
      <c r="AR6" s="67">
        <v>0</v>
      </c>
      <c r="AS6" s="68">
        <v>3167.67</v>
      </c>
      <c r="AT6" s="63"/>
      <c r="AU6" s="63">
        <v>0</v>
      </c>
    </row>
    <row r="7" spans="1:47" ht="12.75" hidden="1" customHeight="1" outlineLevel="1" x14ac:dyDescent="0.2">
      <c r="A7" s="61" t="s">
        <v>164</v>
      </c>
      <c r="B7" s="62">
        <v>1111.1500000000001</v>
      </c>
      <c r="C7" s="54">
        <v>0</v>
      </c>
      <c r="D7" s="54">
        <v>1006.6</v>
      </c>
      <c r="E7" s="63"/>
      <c r="F7" s="64">
        <v>110.38644943373734</v>
      </c>
      <c r="G7" s="65">
        <v>1111.1500000000001</v>
      </c>
      <c r="H7" s="54">
        <v>1111.1500000000001</v>
      </c>
      <c r="I7" s="54">
        <v>1111.1500000000001</v>
      </c>
      <c r="J7" s="54">
        <v>1111.1500000000001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4444.6000000000004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0</v>
      </c>
      <c r="AH7" s="67">
        <v>1952.82</v>
      </c>
      <c r="AI7" s="67">
        <v>1067</v>
      </c>
      <c r="AJ7" s="67">
        <v>1006.6</v>
      </c>
      <c r="AK7" s="67">
        <v>1006.6</v>
      </c>
      <c r="AL7" s="67">
        <v>1006.6</v>
      </c>
      <c r="AM7" s="67">
        <v>1006.6</v>
      </c>
      <c r="AN7" s="67">
        <v>1006.6</v>
      </c>
      <c r="AO7" s="67">
        <v>1006.6</v>
      </c>
      <c r="AP7" s="67">
        <v>1006.6</v>
      </c>
      <c r="AQ7" s="67">
        <v>1006.6</v>
      </c>
      <c r="AR7" s="67">
        <v>1006.6</v>
      </c>
      <c r="AS7" s="68">
        <v>4026.42</v>
      </c>
      <c r="AT7" s="63"/>
      <c r="AU7" s="63">
        <v>110.38590112308205</v>
      </c>
    </row>
    <row r="8" spans="1:47" ht="12.75" hidden="1" customHeight="1" outlineLevel="1" x14ac:dyDescent="0.2">
      <c r="A8" s="61" t="s">
        <v>165</v>
      </c>
      <c r="B8" s="62">
        <v>7225.35</v>
      </c>
      <c r="C8" s="54">
        <v>0</v>
      </c>
      <c r="D8" s="54">
        <v>6330.7</v>
      </c>
      <c r="E8" s="63"/>
      <c r="F8" s="64">
        <v>114.13192853870819</v>
      </c>
      <c r="G8" s="65">
        <v>7321.73</v>
      </c>
      <c r="H8" s="54">
        <v>8791.64</v>
      </c>
      <c r="I8" s="54">
        <v>7759.84</v>
      </c>
      <c r="J8" s="54">
        <v>7225.35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66">
        <v>31098.560000000001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66">
        <v>0</v>
      </c>
      <c r="AG8" s="67">
        <v>8145.89</v>
      </c>
      <c r="AH8" s="67">
        <v>6790.49</v>
      </c>
      <c r="AI8" s="67">
        <v>7333.67</v>
      </c>
      <c r="AJ8" s="67">
        <v>6330.7</v>
      </c>
      <c r="AK8" s="67">
        <v>6017.85</v>
      </c>
      <c r="AL8" s="67">
        <v>7375.3</v>
      </c>
      <c r="AM8" s="67">
        <v>8080.37</v>
      </c>
      <c r="AN8" s="67">
        <v>6350.73</v>
      </c>
      <c r="AO8" s="67">
        <v>5963.79</v>
      </c>
      <c r="AP8" s="67">
        <v>6520.41</v>
      </c>
      <c r="AQ8" s="67">
        <v>7085.17</v>
      </c>
      <c r="AR8" s="67">
        <v>7095.3</v>
      </c>
      <c r="AS8" s="68">
        <v>28600.75</v>
      </c>
      <c r="AT8" s="63"/>
      <c r="AU8" s="63">
        <v>108.73337237659851</v>
      </c>
    </row>
    <row r="9" spans="1:47" ht="12.75" customHeight="1" collapsed="1" x14ac:dyDescent="0.2">
      <c r="A9" s="69" t="s">
        <v>166</v>
      </c>
      <c r="B9" s="70">
        <v>74283.899999999994</v>
      </c>
      <c r="C9" s="71">
        <v>0</v>
      </c>
      <c r="D9" s="71">
        <v>77001.25</v>
      </c>
      <c r="E9" s="72"/>
      <c r="F9" s="73">
        <v>96.47103131442671</v>
      </c>
      <c r="G9" s="70">
        <v>89796.52</v>
      </c>
      <c r="H9" s="71">
        <v>92155.71</v>
      </c>
      <c r="I9" s="71">
        <v>95562.92</v>
      </c>
      <c r="J9" s="71">
        <v>74283.899999999994</v>
      </c>
      <c r="K9" s="74">
        <v>-1997.52</v>
      </c>
      <c r="L9" s="71">
        <v>0</v>
      </c>
      <c r="M9" s="71">
        <v>0</v>
      </c>
      <c r="N9" s="71">
        <v>0</v>
      </c>
      <c r="O9" s="71">
        <v>0</v>
      </c>
      <c r="P9" s="71">
        <v>0</v>
      </c>
      <c r="Q9" s="71">
        <v>0</v>
      </c>
      <c r="R9" s="71">
        <v>0</v>
      </c>
      <c r="S9" s="71">
        <v>351799.05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0</v>
      </c>
      <c r="AA9" s="71">
        <v>0</v>
      </c>
      <c r="AB9" s="71">
        <v>0</v>
      </c>
      <c r="AC9" s="71">
        <v>0</v>
      </c>
      <c r="AD9" s="71">
        <v>0</v>
      </c>
      <c r="AE9" s="71">
        <v>0</v>
      </c>
      <c r="AF9" s="71">
        <v>0</v>
      </c>
      <c r="AG9" s="75">
        <v>103744.61</v>
      </c>
      <c r="AH9" s="75">
        <v>90648.12</v>
      </c>
      <c r="AI9" s="75">
        <v>86120.5</v>
      </c>
      <c r="AJ9" s="75">
        <v>77001.25</v>
      </c>
      <c r="AK9" s="75">
        <v>76399.87</v>
      </c>
      <c r="AL9" s="75">
        <v>94725.51</v>
      </c>
      <c r="AM9" s="75">
        <v>93639.91</v>
      </c>
      <c r="AN9" s="75">
        <v>81534.100000000006</v>
      </c>
      <c r="AO9" s="75">
        <v>79426.78</v>
      </c>
      <c r="AP9" s="75">
        <v>89598.12</v>
      </c>
      <c r="AQ9" s="75">
        <v>77917.78</v>
      </c>
      <c r="AR9" s="75">
        <v>91972.52</v>
      </c>
      <c r="AS9" s="75">
        <v>357514.48</v>
      </c>
      <c r="AT9" s="72"/>
      <c r="AU9" s="72">
        <v>98.401343072873573</v>
      </c>
    </row>
    <row r="10" spans="1:47" ht="12.75" customHeight="1" x14ac:dyDescent="0.2">
      <c r="A10" s="61" t="s">
        <v>167</v>
      </c>
      <c r="B10" s="62">
        <v>3904.19</v>
      </c>
      <c r="C10" s="54">
        <v>0</v>
      </c>
      <c r="D10" s="54">
        <v>12466.63</v>
      </c>
      <c r="E10" s="63"/>
      <c r="F10" s="64">
        <v>31.317124194750306</v>
      </c>
      <c r="G10" s="65">
        <v>10241.48</v>
      </c>
      <c r="H10" s="54">
        <v>8922.91</v>
      </c>
      <c r="I10" s="54">
        <v>18523.89</v>
      </c>
      <c r="J10" s="54">
        <v>3904.19</v>
      </c>
      <c r="K10" s="56">
        <v>-9509.7800000000007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66">
        <v>41592.47</v>
      </c>
      <c r="T10" s="54">
        <v>0</v>
      </c>
      <c r="U10" s="54">
        <v>0</v>
      </c>
      <c r="V10" s="54">
        <v>0</v>
      </c>
      <c r="W10" s="54">
        <v>0</v>
      </c>
      <c r="X10" s="54">
        <v>0</v>
      </c>
      <c r="Y10" s="54">
        <v>0</v>
      </c>
      <c r="Z10" s="54">
        <v>0</v>
      </c>
      <c r="AA10" s="54">
        <v>0</v>
      </c>
      <c r="AB10" s="54">
        <v>0</v>
      </c>
      <c r="AC10" s="54">
        <v>0</v>
      </c>
      <c r="AD10" s="54">
        <v>0</v>
      </c>
      <c r="AE10" s="54">
        <v>0</v>
      </c>
      <c r="AF10" s="66">
        <v>0</v>
      </c>
      <c r="AG10" s="67">
        <v>14026.02</v>
      </c>
      <c r="AH10" s="67">
        <v>7009.02</v>
      </c>
      <c r="AI10" s="98">
        <v>-1881.97</v>
      </c>
      <c r="AJ10" s="67">
        <v>12466.63</v>
      </c>
      <c r="AK10" s="67">
        <v>1991.91</v>
      </c>
      <c r="AL10" s="67">
        <v>14431.89</v>
      </c>
      <c r="AM10" s="67">
        <v>10942.77</v>
      </c>
      <c r="AN10" s="67">
        <v>4587.2299999999996</v>
      </c>
      <c r="AO10" s="67">
        <v>18911.669999999998</v>
      </c>
      <c r="AP10" s="67">
        <v>6898.54</v>
      </c>
      <c r="AQ10" s="67">
        <v>10382.620000000001</v>
      </c>
      <c r="AR10" s="67">
        <v>15830.75</v>
      </c>
      <c r="AS10" s="68">
        <v>31619.7</v>
      </c>
      <c r="AT10" s="63"/>
      <c r="AU10" s="63">
        <v>131.5397363036335</v>
      </c>
    </row>
    <row r="11" spans="1:47" ht="12.75" customHeight="1" x14ac:dyDescent="0.2">
      <c r="A11" s="61" t="s">
        <v>168</v>
      </c>
      <c r="B11" s="62">
        <v>2018.35</v>
      </c>
      <c r="C11" s="54">
        <v>0</v>
      </c>
      <c r="D11" s="54">
        <v>3323.1</v>
      </c>
      <c r="E11" s="63"/>
      <c r="F11" s="64">
        <v>60.736962474797629</v>
      </c>
      <c r="G11" s="65">
        <v>793.47</v>
      </c>
      <c r="H11" s="54">
        <v>3787.12</v>
      </c>
      <c r="I11" s="54">
        <v>11027.06</v>
      </c>
      <c r="J11" s="54">
        <v>2018.35</v>
      </c>
      <c r="K11" s="54">
        <v>0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66">
        <v>17626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0</v>
      </c>
      <c r="AC11" s="54">
        <v>0</v>
      </c>
      <c r="AD11" s="54">
        <v>0</v>
      </c>
      <c r="AE11" s="54">
        <v>0</v>
      </c>
      <c r="AF11" s="66">
        <v>0</v>
      </c>
      <c r="AG11" s="67">
        <v>4766.66</v>
      </c>
      <c r="AH11" s="67">
        <v>5704.53</v>
      </c>
      <c r="AI11" s="67">
        <v>3654.72</v>
      </c>
      <c r="AJ11" s="67">
        <v>3323.1</v>
      </c>
      <c r="AK11" s="67">
        <v>3254.1</v>
      </c>
      <c r="AL11" s="67">
        <v>2946.19</v>
      </c>
      <c r="AM11" s="98">
        <v>-3196.59</v>
      </c>
      <c r="AN11" s="67">
        <v>2401.61</v>
      </c>
      <c r="AO11" s="67">
        <v>4574.17</v>
      </c>
      <c r="AP11" s="67">
        <v>1483.2</v>
      </c>
      <c r="AQ11" s="67">
        <v>3680.5</v>
      </c>
      <c r="AR11" s="98">
        <v>-14718.23</v>
      </c>
      <c r="AS11" s="68">
        <v>17449.009999999998</v>
      </c>
      <c r="AT11" s="63"/>
      <c r="AU11" s="63">
        <v>101.01432688731337</v>
      </c>
    </row>
    <row r="12" spans="1:47" ht="12.75" customHeight="1" x14ac:dyDescent="0.2">
      <c r="A12" s="61" t="s">
        <v>169</v>
      </c>
      <c r="B12" s="62">
        <v>3536.02</v>
      </c>
      <c r="C12" s="54">
        <v>0</v>
      </c>
      <c r="D12" s="54">
        <v>3849.98</v>
      </c>
      <c r="E12" s="63"/>
      <c r="F12" s="64">
        <v>91.845152442350354</v>
      </c>
      <c r="G12" s="65">
        <v>4315.08</v>
      </c>
      <c r="H12" s="54">
        <v>4158.37</v>
      </c>
      <c r="I12" s="54">
        <v>6138.07</v>
      </c>
      <c r="J12" s="54">
        <v>3536.02</v>
      </c>
      <c r="K12" s="54">
        <v>0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66">
        <v>18147.54</v>
      </c>
      <c r="T12" s="54">
        <v>0</v>
      </c>
      <c r="U12" s="54">
        <v>0</v>
      </c>
      <c r="V12" s="54">
        <v>0</v>
      </c>
      <c r="W12" s="54">
        <v>0</v>
      </c>
      <c r="X12" s="54">
        <v>0</v>
      </c>
      <c r="Y12" s="54">
        <v>0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66">
        <v>0</v>
      </c>
      <c r="AG12" s="67">
        <v>5570.54</v>
      </c>
      <c r="AH12" s="67">
        <v>3666.42</v>
      </c>
      <c r="AI12" s="67">
        <v>6487.25</v>
      </c>
      <c r="AJ12" s="67">
        <v>3849.98</v>
      </c>
      <c r="AK12" s="67">
        <v>14436.14</v>
      </c>
      <c r="AL12" s="67">
        <v>7511.73</v>
      </c>
      <c r="AM12" s="67">
        <v>308.27</v>
      </c>
      <c r="AN12" s="67">
        <v>10214.09</v>
      </c>
      <c r="AO12" s="67">
        <v>6560.35</v>
      </c>
      <c r="AP12" s="67">
        <v>4656.2</v>
      </c>
      <c r="AQ12" s="67">
        <v>9392.11</v>
      </c>
      <c r="AR12" s="67">
        <v>1456.43</v>
      </c>
      <c r="AS12" s="68">
        <v>19574.189999999999</v>
      </c>
      <c r="AT12" s="63"/>
      <c r="AU12" s="63">
        <v>92.711575804669309</v>
      </c>
    </row>
    <row r="13" spans="1:47" ht="12.75" customHeight="1" x14ac:dyDescent="0.2">
      <c r="A13" s="61" t="s">
        <v>50</v>
      </c>
      <c r="B13" s="62">
        <v>0</v>
      </c>
      <c r="C13" s="54">
        <v>0</v>
      </c>
      <c r="D13" s="54">
        <v>0</v>
      </c>
      <c r="E13" s="63"/>
      <c r="F13" s="64"/>
      <c r="G13" s="65">
        <v>0</v>
      </c>
      <c r="H13" s="54">
        <v>0</v>
      </c>
      <c r="I13" s="54">
        <v>0</v>
      </c>
      <c r="J13" s="54">
        <v>0</v>
      </c>
      <c r="K13" s="54">
        <v>0</v>
      </c>
      <c r="L13" s="54">
        <v>0</v>
      </c>
      <c r="M13" s="54">
        <v>0</v>
      </c>
      <c r="N13" s="54">
        <v>0</v>
      </c>
      <c r="O13" s="54">
        <v>0</v>
      </c>
      <c r="P13" s="54">
        <v>0</v>
      </c>
      <c r="Q13" s="54">
        <v>0</v>
      </c>
      <c r="R13" s="54">
        <v>0</v>
      </c>
      <c r="S13" s="66">
        <v>0</v>
      </c>
      <c r="T13" s="54">
        <v>0</v>
      </c>
      <c r="U13" s="54">
        <v>0</v>
      </c>
      <c r="V13" s="54">
        <v>0</v>
      </c>
      <c r="W13" s="54">
        <v>0</v>
      </c>
      <c r="X13" s="54">
        <v>0</v>
      </c>
      <c r="Y13" s="54">
        <v>0</v>
      </c>
      <c r="Z13" s="54">
        <v>0</v>
      </c>
      <c r="AA13" s="54">
        <v>0</v>
      </c>
      <c r="AB13" s="54">
        <v>0</v>
      </c>
      <c r="AC13" s="54">
        <v>0</v>
      </c>
      <c r="AD13" s="54">
        <v>0</v>
      </c>
      <c r="AE13" s="54">
        <v>0</v>
      </c>
      <c r="AF13" s="66">
        <v>0</v>
      </c>
      <c r="AG13" s="67">
        <v>0</v>
      </c>
      <c r="AH13" s="67">
        <v>0</v>
      </c>
      <c r="AI13" s="67">
        <v>44.2</v>
      </c>
      <c r="AJ13" s="67">
        <v>0</v>
      </c>
      <c r="AK13" s="67">
        <v>12.16</v>
      </c>
      <c r="AL13" s="67">
        <v>0</v>
      </c>
      <c r="AM13" s="67">
        <v>92.25</v>
      </c>
      <c r="AN13" s="67">
        <v>12.82</v>
      </c>
      <c r="AO13" s="67">
        <v>0</v>
      </c>
      <c r="AP13" s="67">
        <v>0</v>
      </c>
      <c r="AQ13" s="67">
        <v>0</v>
      </c>
      <c r="AR13" s="67">
        <v>15.45</v>
      </c>
      <c r="AS13" s="68">
        <v>44.2</v>
      </c>
      <c r="AT13" s="63"/>
      <c r="AU13" s="63">
        <v>0</v>
      </c>
    </row>
    <row r="14" spans="1:47" ht="12.75" customHeight="1" x14ac:dyDescent="0.2">
      <c r="A14" s="61" t="s">
        <v>170</v>
      </c>
      <c r="B14" s="96">
        <v>-4718.01</v>
      </c>
      <c r="C14" s="54">
        <v>0</v>
      </c>
      <c r="D14" s="54">
        <v>16282.85</v>
      </c>
      <c r="E14" s="63"/>
      <c r="F14" s="64">
        <v>-28.97533294232889</v>
      </c>
      <c r="G14" s="65">
        <v>11671.06</v>
      </c>
      <c r="H14" s="54">
        <v>58785.16</v>
      </c>
      <c r="I14" s="54">
        <v>24989.599999999999</v>
      </c>
      <c r="J14" s="56">
        <v>-4718.01</v>
      </c>
      <c r="K14" s="56">
        <v>-10828.13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90727.81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67">
        <v>25276.84</v>
      </c>
      <c r="AH14" s="67">
        <v>25450.98</v>
      </c>
      <c r="AI14" s="67">
        <v>18820.39</v>
      </c>
      <c r="AJ14" s="67">
        <v>16282.85</v>
      </c>
      <c r="AK14" s="67">
        <v>22195.31</v>
      </c>
      <c r="AL14" s="67">
        <v>21222.07</v>
      </c>
      <c r="AM14" s="67">
        <v>19013.509999999998</v>
      </c>
      <c r="AN14" s="67">
        <v>17185.55</v>
      </c>
      <c r="AO14" s="67">
        <v>18361.61</v>
      </c>
      <c r="AP14" s="67">
        <v>34360.89</v>
      </c>
      <c r="AQ14" s="67">
        <v>23340.61</v>
      </c>
      <c r="AR14" s="67">
        <v>33259.21</v>
      </c>
      <c r="AS14" s="68">
        <v>85831.06</v>
      </c>
      <c r="AT14" s="63"/>
      <c r="AU14" s="63">
        <v>105.70510255844447</v>
      </c>
    </row>
    <row r="15" spans="1:47" ht="12.75" customHeight="1" x14ac:dyDescent="0.2">
      <c r="A15" s="61" t="s">
        <v>171</v>
      </c>
      <c r="B15" s="62">
        <v>1168.57</v>
      </c>
      <c r="C15" s="54">
        <v>0</v>
      </c>
      <c r="D15" s="54">
        <v>5107.21</v>
      </c>
      <c r="E15" s="63"/>
      <c r="F15" s="64">
        <v>22.880790098703596</v>
      </c>
      <c r="G15" s="65">
        <v>1767.95</v>
      </c>
      <c r="H15" s="54">
        <v>2986.78</v>
      </c>
      <c r="I15" s="54">
        <v>3110.23</v>
      </c>
      <c r="J15" s="54">
        <v>1168.57</v>
      </c>
      <c r="K15" s="54">
        <v>564.33000000000004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66">
        <v>9033.5300000000007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66">
        <v>0</v>
      </c>
      <c r="AG15" s="67">
        <v>4350.46</v>
      </c>
      <c r="AH15" s="67">
        <v>7099.2</v>
      </c>
      <c r="AI15" s="67">
        <v>5515.39</v>
      </c>
      <c r="AJ15" s="67">
        <v>5107.21</v>
      </c>
      <c r="AK15" s="67">
        <v>5409.48</v>
      </c>
      <c r="AL15" s="67">
        <v>959.64</v>
      </c>
      <c r="AM15" s="67">
        <v>0</v>
      </c>
      <c r="AN15" s="67">
        <v>2880.46</v>
      </c>
      <c r="AO15" s="67">
        <v>254.35</v>
      </c>
      <c r="AP15" s="67">
        <v>1371.18</v>
      </c>
      <c r="AQ15" s="67">
        <v>1909.48</v>
      </c>
      <c r="AR15" s="67">
        <v>3217.05</v>
      </c>
      <c r="AS15" s="68">
        <v>22072.26</v>
      </c>
      <c r="AT15" s="63"/>
      <c r="AU15" s="63">
        <v>40.927073167858659</v>
      </c>
    </row>
    <row r="16" spans="1:47" ht="12.75" customHeight="1" x14ac:dyDescent="0.2">
      <c r="A16" s="61" t="s">
        <v>172</v>
      </c>
      <c r="B16" s="62">
        <v>0</v>
      </c>
      <c r="C16" s="54">
        <v>0</v>
      </c>
      <c r="D16" s="54">
        <v>215.1</v>
      </c>
      <c r="E16" s="63"/>
      <c r="F16" s="64">
        <v>0</v>
      </c>
      <c r="G16" s="65">
        <v>0</v>
      </c>
      <c r="H16" s="54">
        <v>628.70000000000005</v>
      </c>
      <c r="I16" s="54">
        <v>259.22000000000003</v>
      </c>
      <c r="J16" s="54">
        <v>0</v>
      </c>
      <c r="K16" s="54"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66">
        <v>887.92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>
        <v>165.18</v>
      </c>
      <c r="AH16" s="67">
        <v>362.79</v>
      </c>
      <c r="AI16" s="67">
        <v>238.18</v>
      </c>
      <c r="AJ16" s="67">
        <v>215.1</v>
      </c>
      <c r="AK16" s="67">
        <v>0</v>
      </c>
      <c r="AL16" s="67">
        <v>244.14</v>
      </c>
      <c r="AM16" s="67">
        <v>196.72</v>
      </c>
      <c r="AN16" s="67">
        <v>155.41999999999999</v>
      </c>
      <c r="AO16" s="67">
        <v>611.98</v>
      </c>
      <c r="AP16" s="67">
        <v>0</v>
      </c>
      <c r="AQ16" s="67">
        <v>0</v>
      </c>
      <c r="AR16" s="67">
        <v>1042.3</v>
      </c>
      <c r="AS16" s="68">
        <v>981.25</v>
      </c>
      <c r="AT16" s="63"/>
      <c r="AU16" s="63">
        <v>90.48866242038217</v>
      </c>
    </row>
    <row r="17" spans="1:47" ht="12.75" customHeight="1" x14ac:dyDescent="0.2">
      <c r="A17" s="61" t="s">
        <v>173</v>
      </c>
      <c r="B17" s="62">
        <v>9709.68</v>
      </c>
      <c r="C17" s="54">
        <v>0</v>
      </c>
      <c r="D17" s="54">
        <v>17057.810000000001</v>
      </c>
      <c r="E17" s="63"/>
      <c r="F17" s="64">
        <v>56.922195756665126</v>
      </c>
      <c r="G17" s="65">
        <v>9929.26</v>
      </c>
      <c r="H17" s="54">
        <v>9709.73</v>
      </c>
      <c r="I17" s="54">
        <v>9709.61</v>
      </c>
      <c r="J17" s="54">
        <v>9709.68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39058.28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15417.24</v>
      </c>
      <c r="AH17" s="67">
        <v>15417.3</v>
      </c>
      <c r="AI17" s="67">
        <v>14237.37</v>
      </c>
      <c r="AJ17" s="67">
        <v>17057.810000000001</v>
      </c>
      <c r="AK17" s="67">
        <v>15240.88</v>
      </c>
      <c r="AL17" s="67">
        <v>11250.21</v>
      </c>
      <c r="AM17" s="67">
        <v>9985.69</v>
      </c>
      <c r="AN17" s="67">
        <v>9985.74</v>
      </c>
      <c r="AO17" s="67">
        <v>9691.52</v>
      </c>
      <c r="AP17" s="67">
        <v>9691.5499999999993</v>
      </c>
      <c r="AQ17" s="67">
        <v>9691.6</v>
      </c>
      <c r="AR17" s="67">
        <v>11885.65</v>
      </c>
      <c r="AS17" s="68">
        <v>62129.72</v>
      </c>
      <c r="AT17" s="63"/>
      <c r="AU17" s="63">
        <v>62.86569455004787</v>
      </c>
    </row>
    <row r="18" spans="1:47" ht="12.75" customHeight="1" x14ac:dyDescent="0.2">
      <c r="A18" s="61" t="s">
        <v>257</v>
      </c>
      <c r="B18" s="62">
        <v>6354.07</v>
      </c>
      <c r="C18" s="54">
        <v>0</v>
      </c>
      <c r="D18" s="54">
        <v>5958.97</v>
      </c>
      <c r="E18" s="63"/>
      <c r="F18" s="64">
        <v>106.63034047830413</v>
      </c>
      <c r="G18" s="65">
        <v>6446.69</v>
      </c>
      <c r="H18" s="54">
        <v>6446.69</v>
      </c>
      <c r="I18" s="54">
        <v>6442.88</v>
      </c>
      <c r="J18" s="54">
        <v>6354.07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25690.33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5860.66</v>
      </c>
      <c r="AH18" s="67">
        <v>5860.66</v>
      </c>
      <c r="AI18" s="67">
        <v>7956.74</v>
      </c>
      <c r="AJ18" s="67">
        <v>5958.97</v>
      </c>
      <c r="AK18" s="67">
        <v>6201.1</v>
      </c>
      <c r="AL18" s="67">
        <v>6193.11</v>
      </c>
      <c r="AM18" s="67">
        <v>6193.08</v>
      </c>
      <c r="AN18" s="67">
        <v>6180.05</v>
      </c>
      <c r="AO18" s="67">
        <v>6188.41</v>
      </c>
      <c r="AP18" s="67">
        <v>6342.4</v>
      </c>
      <c r="AQ18" s="67">
        <v>6265.81</v>
      </c>
      <c r="AR18" s="67">
        <v>6615.49</v>
      </c>
      <c r="AS18" s="68">
        <v>25637.03</v>
      </c>
      <c r="AT18" s="63"/>
      <c r="AU18" s="63">
        <v>100.20790239743059</v>
      </c>
    </row>
    <row r="19" spans="1:47" ht="12.75" hidden="1" customHeight="1" outlineLevel="1" x14ac:dyDescent="0.2">
      <c r="A19" s="61" t="s">
        <v>109</v>
      </c>
      <c r="B19" s="62">
        <v>753.15</v>
      </c>
      <c r="C19" s="54">
        <v>0</v>
      </c>
      <c r="D19" s="54">
        <v>0</v>
      </c>
      <c r="E19" s="63"/>
      <c r="F19" s="64"/>
      <c r="G19" s="65">
        <v>753.15</v>
      </c>
      <c r="H19" s="54">
        <v>1355.15</v>
      </c>
      <c r="I19" s="54">
        <v>753.15</v>
      </c>
      <c r="J19" s="54">
        <v>753.15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3614.6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0</v>
      </c>
      <c r="AH19" s="67">
        <v>436.36</v>
      </c>
      <c r="AI19" s="67">
        <v>2750</v>
      </c>
      <c r="AJ19" s="67">
        <v>0</v>
      </c>
      <c r="AK19" s="67">
        <v>629</v>
      </c>
      <c r="AL19" s="67">
        <v>3153.74</v>
      </c>
      <c r="AM19" s="67">
        <v>0</v>
      </c>
      <c r="AN19" s="67">
        <v>276</v>
      </c>
      <c r="AO19" s="67">
        <v>0</v>
      </c>
      <c r="AP19" s="67">
        <v>0</v>
      </c>
      <c r="AQ19" s="67">
        <v>753.15</v>
      </c>
      <c r="AR19" s="67">
        <v>2137.4299999999998</v>
      </c>
      <c r="AS19" s="68">
        <v>3186.36</v>
      </c>
      <c r="AT19" s="63"/>
      <c r="AU19" s="63">
        <v>113.43978709248171</v>
      </c>
    </row>
    <row r="20" spans="1:47" ht="12.75" hidden="1" customHeight="1" outlineLevel="1" x14ac:dyDescent="0.2">
      <c r="A20" s="61" t="s">
        <v>97</v>
      </c>
      <c r="B20" s="62">
        <v>271</v>
      </c>
      <c r="C20" s="54">
        <v>0</v>
      </c>
      <c r="D20" s="54">
        <v>271</v>
      </c>
      <c r="E20" s="63"/>
      <c r="F20" s="64">
        <v>100</v>
      </c>
      <c r="G20" s="65">
        <v>271</v>
      </c>
      <c r="H20" s="54">
        <v>271</v>
      </c>
      <c r="I20" s="54">
        <v>271</v>
      </c>
      <c r="J20" s="54">
        <v>271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66">
        <v>1084</v>
      </c>
      <c r="T20" s="54">
        <v>0</v>
      </c>
      <c r="U20" s="54">
        <v>0</v>
      </c>
      <c r="V20" s="54">
        <v>0</v>
      </c>
      <c r="W20" s="54">
        <v>0</v>
      </c>
      <c r="X20" s="54">
        <v>0</v>
      </c>
      <c r="Y20" s="54">
        <v>0</v>
      </c>
      <c r="Z20" s="54">
        <v>0</v>
      </c>
      <c r="AA20" s="54">
        <v>0</v>
      </c>
      <c r="AB20" s="54">
        <v>0</v>
      </c>
      <c r="AC20" s="54">
        <v>0</v>
      </c>
      <c r="AD20" s="54">
        <v>0</v>
      </c>
      <c r="AE20" s="54">
        <v>0</v>
      </c>
      <c r="AF20" s="66">
        <v>0</v>
      </c>
      <c r="AG20" s="67">
        <v>210</v>
      </c>
      <c r="AH20" s="67">
        <v>210</v>
      </c>
      <c r="AI20" s="67">
        <v>387.41</v>
      </c>
      <c r="AJ20" s="67">
        <v>271</v>
      </c>
      <c r="AK20" s="67">
        <v>94.26</v>
      </c>
      <c r="AL20" s="67">
        <v>271</v>
      </c>
      <c r="AM20" s="67">
        <v>271</v>
      </c>
      <c r="AN20" s="67">
        <v>271</v>
      </c>
      <c r="AO20" s="67">
        <v>271</v>
      </c>
      <c r="AP20" s="67">
        <v>271</v>
      </c>
      <c r="AQ20" s="67">
        <v>271</v>
      </c>
      <c r="AR20" s="67">
        <v>271</v>
      </c>
      <c r="AS20" s="68">
        <v>1078.4100000000001</v>
      </c>
      <c r="AT20" s="63"/>
      <c r="AU20" s="63">
        <v>100.51835572741351</v>
      </c>
    </row>
    <row r="21" spans="1:47" ht="12.75" hidden="1" customHeight="1" outlineLevel="1" x14ac:dyDescent="0.2">
      <c r="A21" s="61" t="s">
        <v>69</v>
      </c>
      <c r="B21" s="62">
        <v>5246.86</v>
      </c>
      <c r="C21" s="54">
        <v>0</v>
      </c>
      <c r="D21" s="54">
        <v>4696.83</v>
      </c>
      <c r="E21" s="63"/>
      <c r="F21" s="64">
        <v>111.71066442685812</v>
      </c>
      <c r="G21" s="65">
        <v>9964</v>
      </c>
      <c r="H21" s="54">
        <v>8783.32</v>
      </c>
      <c r="I21" s="54">
        <v>11374.41</v>
      </c>
      <c r="J21" s="54">
        <v>5246.86</v>
      </c>
      <c r="K21" s="56">
        <v>-885.14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66">
        <v>35368.589999999997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4">
        <v>0</v>
      </c>
      <c r="AB21" s="54">
        <v>0</v>
      </c>
      <c r="AC21" s="54">
        <v>0</v>
      </c>
      <c r="AD21" s="54">
        <v>0</v>
      </c>
      <c r="AE21" s="54">
        <v>0</v>
      </c>
      <c r="AF21" s="66">
        <v>0</v>
      </c>
      <c r="AG21" s="67">
        <v>12974.66</v>
      </c>
      <c r="AH21" s="67">
        <v>4103.7</v>
      </c>
      <c r="AI21" s="67">
        <v>6809.85</v>
      </c>
      <c r="AJ21" s="67">
        <v>4696.83</v>
      </c>
      <c r="AK21" s="67">
        <v>8991.43</v>
      </c>
      <c r="AL21" s="67">
        <v>10234.68</v>
      </c>
      <c r="AM21" s="67">
        <v>10307.09</v>
      </c>
      <c r="AN21" s="67">
        <v>9094.7800000000007</v>
      </c>
      <c r="AO21" s="67">
        <v>12009.01</v>
      </c>
      <c r="AP21" s="67">
        <v>4423.71</v>
      </c>
      <c r="AQ21" s="67">
        <v>8470.84</v>
      </c>
      <c r="AR21" s="67">
        <v>12563.86</v>
      </c>
      <c r="AS21" s="68">
        <v>28585.040000000001</v>
      </c>
      <c r="AT21" s="63"/>
      <c r="AU21" s="63">
        <v>123.73111949467274</v>
      </c>
    </row>
    <row r="22" spans="1:47" ht="12.75" customHeight="1" collapsed="1" x14ac:dyDescent="0.2">
      <c r="A22" s="69" t="s">
        <v>70</v>
      </c>
      <c r="B22" s="70">
        <v>6271.01</v>
      </c>
      <c r="C22" s="71">
        <v>0</v>
      </c>
      <c r="D22" s="71">
        <v>4967.83</v>
      </c>
      <c r="E22" s="72"/>
      <c r="F22" s="73">
        <v>126.23237912730508</v>
      </c>
      <c r="G22" s="70">
        <v>10988.15</v>
      </c>
      <c r="H22" s="71">
        <v>10409.469999999999</v>
      </c>
      <c r="I22" s="71">
        <v>12398.56</v>
      </c>
      <c r="J22" s="71">
        <v>6271.01</v>
      </c>
      <c r="K22" s="74">
        <v>-885.14</v>
      </c>
      <c r="L22" s="71">
        <v>0</v>
      </c>
      <c r="M22" s="71">
        <v>0</v>
      </c>
      <c r="N22" s="71">
        <v>0</v>
      </c>
      <c r="O22" s="71">
        <v>0</v>
      </c>
      <c r="P22" s="71">
        <v>0</v>
      </c>
      <c r="Q22" s="71">
        <v>0</v>
      </c>
      <c r="R22" s="71">
        <v>0</v>
      </c>
      <c r="S22" s="71">
        <v>40067.19</v>
      </c>
      <c r="T22" s="71">
        <v>0</v>
      </c>
      <c r="U22" s="71">
        <v>0</v>
      </c>
      <c r="V22" s="71">
        <v>0</v>
      </c>
      <c r="W22" s="71">
        <v>0</v>
      </c>
      <c r="X22" s="71">
        <v>0</v>
      </c>
      <c r="Y22" s="71">
        <v>0</v>
      </c>
      <c r="Z22" s="71">
        <v>0</v>
      </c>
      <c r="AA22" s="71">
        <v>0</v>
      </c>
      <c r="AB22" s="71">
        <v>0</v>
      </c>
      <c r="AC22" s="71">
        <v>0</v>
      </c>
      <c r="AD22" s="71">
        <v>0</v>
      </c>
      <c r="AE22" s="71">
        <v>0</v>
      </c>
      <c r="AF22" s="71">
        <v>0</v>
      </c>
      <c r="AG22" s="75">
        <v>13184.66</v>
      </c>
      <c r="AH22" s="75">
        <v>4750.0600000000004</v>
      </c>
      <c r="AI22" s="75">
        <v>9947.26</v>
      </c>
      <c r="AJ22" s="75">
        <v>4967.83</v>
      </c>
      <c r="AK22" s="75">
        <v>9714.69</v>
      </c>
      <c r="AL22" s="75">
        <v>13659.42</v>
      </c>
      <c r="AM22" s="75">
        <v>10578.09</v>
      </c>
      <c r="AN22" s="75">
        <v>9641.7800000000007</v>
      </c>
      <c r="AO22" s="75">
        <v>12280.01</v>
      </c>
      <c r="AP22" s="75">
        <v>4694.71</v>
      </c>
      <c r="AQ22" s="75">
        <v>9494.99</v>
      </c>
      <c r="AR22" s="75">
        <v>14972.29</v>
      </c>
      <c r="AS22" s="75">
        <v>32849.81</v>
      </c>
      <c r="AT22" s="72"/>
      <c r="AU22" s="72">
        <v>121.97084244931706</v>
      </c>
    </row>
    <row r="23" spans="1:47" ht="12.75" hidden="1" customHeight="1" outlineLevel="1" x14ac:dyDescent="0.2">
      <c r="A23" s="61" t="s">
        <v>174</v>
      </c>
      <c r="B23" s="62">
        <v>0</v>
      </c>
      <c r="C23" s="54">
        <v>0</v>
      </c>
      <c r="D23" s="54">
        <v>0</v>
      </c>
      <c r="E23" s="63"/>
      <c r="F23" s="64"/>
      <c r="G23" s="65">
        <v>0</v>
      </c>
      <c r="H23" s="54">
        <v>0</v>
      </c>
      <c r="I23" s="54">
        <v>0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0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0</v>
      </c>
      <c r="AH23" s="67">
        <v>0</v>
      </c>
      <c r="AI23" s="67">
        <v>0</v>
      </c>
      <c r="AJ23" s="67">
        <v>0</v>
      </c>
      <c r="AK23" s="67">
        <v>0</v>
      </c>
      <c r="AL23" s="67">
        <v>0</v>
      </c>
      <c r="AM23" s="67">
        <v>0</v>
      </c>
      <c r="AN23" s="67">
        <v>0</v>
      </c>
      <c r="AO23" s="67">
        <v>0</v>
      </c>
      <c r="AP23" s="67">
        <v>0</v>
      </c>
      <c r="AQ23" s="67">
        <v>0</v>
      </c>
      <c r="AR23" s="67">
        <v>0</v>
      </c>
      <c r="AS23" s="68">
        <v>0</v>
      </c>
      <c r="AT23" s="63"/>
      <c r="AU23" s="63"/>
    </row>
    <row r="24" spans="1:47" ht="12.75" hidden="1" customHeight="1" outlineLevel="1" x14ac:dyDescent="0.2">
      <c r="A24" s="61" t="s">
        <v>99</v>
      </c>
      <c r="B24" s="62">
        <v>3388.71</v>
      </c>
      <c r="C24" s="54">
        <v>0</v>
      </c>
      <c r="D24" s="54">
        <v>4043.54</v>
      </c>
      <c r="E24" s="63"/>
      <c r="F24" s="64">
        <v>83.805526840342864</v>
      </c>
      <c r="G24" s="65">
        <v>6449.54</v>
      </c>
      <c r="H24" s="54">
        <v>6620.15</v>
      </c>
      <c r="I24" s="54">
        <v>3214.15</v>
      </c>
      <c r="J24" s="54">
        <v>3388.71</v>
      </c>
      <c r="K24" s="56">
        <v>-3314.92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19672.55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3658.72</v>
      </c>
      <c r="AH24" s="67">
        <v>3802.66</v>
      </c>
      <c r="AI24" s="67">
        <v>2246.02</v>
      </c>
      <c r="AJ24" s="67">
        <v>4043.54</v>
      </c>
      <c r="AK24" s="67">
        <v>6140.86</v>
      </c>
      <c r="AL24" s="67">
        <v>0</v>
      </c>
      <c r="AM24" s="67">
        <v>0</v>
      </c>
      <c r="AN24" s="67">
        <v>7338.49</v>
      </c>
      <c r="AO24" s="67">
        <v>5347.41</v>
      </c>
      <c r="AP24" s="67">
        <v>0</v>
      </c>
      <c r="AQ24" s="67">
        <v>6378.8</v>
      </c>
      <c r="AR24" s="67">
        <v>0</v>
      </c>
      <c r="AS24" s="68">
        <v>13750.94</v>
      </c>
      <c r="AT24" s="63"/>
      <c r="AU24" s="63">
        <v>143.06331058094938</v>
      </c>
    </row>
    <row r="25" spans="1:47" ht="12.75" hidden="1" customHeight="1" outlineLevel="1" x14ac:dyDescent="0.2">
      <c r="A25" s="61" t="s">
        <v>175</v>
      </c>
      <c r="B25" s="62">
        <v>0</v>
      </c>
      <c r="C25" s="54">
        <v>0</v>
      </c>
      <c r="D25" s="54">
        <v>0</v>
      </c>
      <c r="E25" s="63"/>
      <c r="F25" s="64"/>
      <c r="G25" s="65">
        <v>0</v>
      </c>
      <c r="H25" s="54">
        <v>0</v>
      </c>
      <c r="I25" s="54">
        <v>0</v>
      </c>
      <c r="J25" s="54">
        <v>0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0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0</v>
      </c>
      <c r="AH25" s="67">
        <v>0</v>
      </c>
      <c r="AI25" s="67">
        <v>0</v>
      </c>
      <c r="AJ25" s="67">
        <v>0</v>
      </c>
      <c r="AK25" s="67">
        <v>0</v>
      </c>
      <c r="AL25" s="67">
        <v>0</v>
      </c>
      <c r="AM25" s="67">
        <v>0</v>
      </c>
      <c r="AN25" s="67">
        <v>0</v>
      </c>
      <c r="AO25" s="67">
        <v>0</v>
      </c>
      <c r="AP25" s="67">
        <v>0</v>
      </c>
      <c r="AQ25" s="67">
        <v>0</v>
      </c>
      <c r="AR25" s="67">
        <v>0</v>
      </c>
      <c r="AS25" s="68">
        <v>0</v>
      </c>
      <c r="AT25" s="63"/>
      <c r="AU25" s="63"/>
    </row>
    <row r="26" spans="1:47" ht="12.75" hidden="1" customHeight="1" outlineLevel="1" x14ac:dyDescent="0.2">
      <c r="A26" s="61" t="s">
        <v>100</v>
      </c>
      <c r="B26" s="62">
        <v>1719.76</v>
      </c>
      <c r="C26" s="54">
        <v>0</v>
      </c>
      <c r="D26" s="54">
        <v>2462.02</v>
      </c>
      <c r="E26" s="63"/>
      <c r="F26" s="64">
        <v>69.851585283628893</v>
      </c>
      <c r="G26" s="65">
        <v>9532.89</v>
      </c>
      <c r="H26" s="54">
        <v>2428.48</v>
      </c>
      <c r="I26" s="54">
        <v>1716.23</v>
      </c>
      <c r="J26" s="54">
        <v>1719.76</v>
      </c>
      <c r="K26" s="56">
        <v>-3350.48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15397.36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2761.58</v>
      </c>
      <c r="AH26" s="67">
        <v>1589.15</v>
      </c>
      <c r="AI26" s="67">
        <v>1175.1099999999999</v>
      </c>
      <c r="AJ26" s="67">
        <v>2462.02</v>
      </c>
      <c r="AK26" s="67">
        <v>2371.79</v>
      </c>
      <c r="AL26" s="67">
        <v>1708.57</v>
      </c>
      <c r="AM26" s="67">
        <v>1283.4100000000001</v>
      </c>
      <c r="AN26" s="67">
        <v>2437.52</v>
      </c>
      <c r="AO26" s="67">
        <v>1824.2</v>
      </c>
      <c r="AP26" s="67">
        <v>2999.66</v>
      </c>
      <c r="AQ26" s="67">
        <v>2116.33</v>
      </c>
      <c r="AR26" s="98">
        <v>-6474.97</v>
      </c>
      <c r="AS26" s="68">
        <v>7987.86</v>
      </c>
      <c r="AT26" s="63"/>
      <c r="AU26" s="63">
        <v>192.75951256031027</v>
      </c>
    </row>
    <row r="27" spans="1:47" ht="12.75" hidden="1" customHeight="1" outlineLevel="1" x14ac:dyDescent="0.2">
      <c r="A27" s="61" t="s">
        <v>101</v>
      </c>
      <c r="B27" s="62">
        <v>85.14</v>
      </c>
      <c r="C27" s="54">
        <v>0</v>
      </c>
      <c r="D27" s="54">
        <v>24.06</v>
      </c>
      <c r="E27" s="63"/>
      <c r="F27" s="64">
        <v>353.86533665835412</v>
      </c>
      <c r="G27" s="65">
        <v>16.84</v>
      </c>
      <c r="H27" s="54">
        <v>153.16999999999999</v>
      </c>
      <c r="I27" s="54">
        <v>84.99</v>
      </c>
      <c r="J27" s="54">
        <v>85.14</v>
      </c>
      <c r="K27" s="56">
        <v>-16.809999999999999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340.14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20.14</v>
      </c>
      <c r="AH27" s="67">
        <v>19.55</v>
      </c>
      <c r="AI27" s="67">
        <v>24.27</v>
      </c>
      <c r="AJ27" s="67">
        <v>24.06</v>
      </c>
      <c r="AK27" s="67">
        <v>245.57</v>
      </c>
      <c r="AL27" s="67">
        <v>18.27</v>
      </c>
      <c r="AM27" s="67">
        <v>0</v>
      </c>
      <c r="AN27" s="67">
        <v>90.9</v>
      </c>
      <c r="AO27" s="67">
        <v>35.83</v>
      </c>
      <c r="AP27" s="67">
        <v>19.3</v>
      </c>
      <c r="AQ27" s="67">
        <v>0</v>
      </c>
      <c r="AR27" s="67">
        <v>50.97</v>
      </c>
      <c r="AS27" s="68">
        <v>88.02</v>
      </c>
      <c r="AT27" s="63"/>
      <c r="AU27" s="63">
        <v>386.43490115882753</v>
      </c>
    </row>
    <row r="28" spans="1:47" ht="12.75" hidden="1" customHeight="1" outlineLevel="1" x14ac:dyDescent="0.2">
      <c r="A28" s="61" t="s">
        <v>176</v>
      </c>
      <c r="B28" s="62">
        <v>59.05</v>
      </c>
      <c r="C28" s="54">
        <v>0</v>
      </c>
      <c r="D28" s="54">
        <v>0</v>
      </c>
      <c r="E28" s="63"/>
      <c r="F28" s="64"/>
      <c r="G28" s="65">
        <v>68.260000000000005</v>
      </c>
      <c r="H28" s="54">
        <v>57.8</v>
      </c>
      <c r="I28" s="54">
        <v>55.75</v>
      </c>
      <c r="J28" s="54">
        <v>59.05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240.86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68.47</v>
      </c>
      <c r="AH28" s="67">
        <v>68.47</v>
      </c>
      <c r="AI28" s="67">
        <v>138.44999999999999</v>
      </c>
      <c r="AJ28" s="67">
        <v>0</v>
      </c>
      <c r="AK28" s="67">
        <v>43.35</v>
      </c>
      <c r="AL28" s="67">
        <v>43.51</v>
      </c>
      <c r="AM28" s="67">
        <v>155.79</v>
      </c>
      <c r="AN28" s="67">
        <v>113.51</v>
      </c>
      <c r="AO28" s="67">
        <v>0</v>
      </c>
      <c r="AP28" s="67">
        <v>0</v>
      </c>
      <c r="AQ28" s="67">
        <v>141.03</v>
      </c>
      <c r="AR28" s="67">
        <v>74</v>
      </c>
      <c r="AS28" s="68">
        <v>275.39</v>
      </c>
      <c r="AT28" s="63"/>
      <c r="AU28" s="63">
        <v>87.461418352155121</v>
      </c>
    </row>
    <row r="29" spans="1:47" ht="12.75" hidden="1" customHeight="1" outlineLevel="1" x14ac:dyDescent="0.2">
      <c r="A29" s="61" t="s">
        <v>102</v>
      </c>
      <c r="B29" s="62">
        <v>1549.15</v>
      </c>
      <c r="C29" s="54">
        <v>0</v>
      </c>
      <c r="D29" s="54">
        <v>1549.15</v>
      </c>
      <c r="E29" s="63"/>
      <c r="F29" s="64">
        <v>100</v>
      </c>
      <c r="G29" s="65">
        <v>1549.15</v>
      </c>
      <c r="H29" s="54">
        <v>1549.15</v>
      </c>
      <c r="I29" s="54">
        <v>1549.15</v>
      </c>
      <c r="J29" s="54">
        <v>1549.15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6196.6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1403</v>
      </c>
      <c r="AH29" s="67">
        <v>1549.15</v>
      </c>
      <c r="AI29" s="67">
        <v>1549.15</v>
      </c>
      <c r="AJ29" s="67">
        <v>1549.15</v>
      </c>
      <c r="AK29" s="67">
        <v>1549.15</v>
      </c>
      <c r="AL29" s="67">
        <v>2390.15</v>
      </c>
      <c r="AM29" s="67">
        <v>708.15</v>
      </c>
      <c r="AN29" s="67">
        <v>1549.15</v>
      </c>
      <c r="AO29" s="67">
        <v>1549.15</v>
      </c>
      <c r="AP29" s="67">
        <v>1549.15</v>
      </c>
      <c r="AQ29" s="67">
        <v>1549.15</v>
      </c>
      <c r="AR29" s="67">
        <v>1549.15</v>
      </c>
      <c r="AS29" s="68">
        <v>6050.45</v>
      </c>
      <c r="AT29" s="63"/>
      <c r="AU29" s="63">
        <v>102.4155228123528</v>
      </c>
    </row>
    <row r="30" spans="1:47" ht="12.75" hidden="1" customHeight="1" outlineLevel="1" x14ac:dyDescent="0.2">
      <c r="A30" s="61" t="s">
        <v>75</v>
      </c>
      <c r="B30" s="62">
        <v>0</v>
      </c>
      <c r="C30" s="54">
        <v>0</v>
      </c>
      <c r="D30" s="54">
        <v>0</v>
      </c>
      <c r="E30" s="63"/>
      <c r="F30" s="64"/>
      <c r="G30" s="65">
        <v>0</v>
      </c>
      <c r="H30" s="54">
        <v>0</v>
      </c>
      <c r="I30" s="54">
        <v>0</v>
      </c>
      <c r="J30" s="54">
        <v>0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0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0</v>
      </c>
      <c r="AH30" s="67">
        <v>0</v>
      </c>
      <c r="AI30" s="67">
        <v>0</v>
      </c>
      <c r="AJ30" s="67">
        <v>0</v>
      </c>
      <c r="AK30" s="67">
        <v>0</v>
      </c>
      <c r="AL30" s="67">
        <v>0</v>
      </c>
      <c r="AM30" s="67">
        <v>0</v>
      </c>
      <c r="AN30" s="67">
        <v>0</v>
      </c>
      <c r="AO30" s="67">
        <v>0</v>
      </c>
      <c r="AP30" s="67">
        <v>0</v>
      </c>
      <c r="AQ30" s="67">
        <v>0</v>
      </c>
      <c r="AR30" s="67">
        <v>0</v>
      </c>
      <c r="AS30" s="68">
        <v>0</v>
      </c>
      <c r="AT30" s="63"/>
      <c r="AU30" s="63"/>
    </row>
    <row r="31" spans="1:47" ht="12.75" hidden="1" customHeight="1" outlineLevel="1" x14ac:dyDescent="0.2">
      <c r="A31" s="61" t="s">
        <v>76</v>
      </c>
      <c r="B31" s="62">
        <v>200.5</v>
      </c>
      <c r="C31" s="54">
        <v>0</v>
      </c>
      <c r="D31" s="54">
        <v>923.88</v>
      </c>
      <c r="E31" s="63"/>
      <c r="F31" s="64">
        <v>21.701952634541282</v>
      </c>
      <c r="G31" s="65">
        <v>3032.68</v>
      </c>
      <c r="H31" s="54">
        <v>789.33</v>
      </c>
      <c r="I31" s="54">
        <v>2071.85</v>
      </c>
      <c r="J31" s="54">
        <v>200.5</v>
      </c>
      <c r="K31" s="56">
        <v>-846.95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6094.36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917.62</v>
      </c>
      <c r="AH31" s="67">
        <v>917.62</v>
      </c>
      <c r="AI31" s="67">
        <v>2240.9699999999998</v>
      </c>
      <c r="AJ31" s="67">
        <v>923.88</v>
      </c>
      <c r="AK31" s="67">
        <v>923.88</v>
      </c>
      <c r="AL31" s="67">
        <v>3663.97</v>
      </c>
      <c r="AM31" s="67">
        <v>375.36</v>
      </c>
      <c r="AN31" s="67">
        <v>789.33</v>
      </c>
      <c r="AO31" s="67">
        <v>2973.63</v>
      </c>
      <c r="AP31" s="67">
        <v>9638.9</v>
      </c>
      <c r="AQ31" s="67">
        <v>2963.57</v>
      </c>
      <c r="AR31" s="67">
        <v>427.53</v>
      </c>
      <c r="AS31" s="68">
        <v>5000.09</v>
      </c>
      <c r="AT31" s="63"/>
      <c r="AU31" s="63">
        <v>121.88500606989074</v>
      </c>
    </row>
    <row r="32" spans="1:47" ht="12.75" hidden="1" customHeight="1" outlineLevel="1" x14ac:dyDescent="0.2">
      <c r="A32" s="61" t="s">
        <v>77</v>
      </c>
      <c r="B32" s="62"/>
      <c r="C32" s="54"/>
      <c r="D32" s="54"/>
      <c r="E32" s="63"/>
      <c r="F32" s="64"/>
      <c r="G32" s="65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66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66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8"/>
      <c r="AT32" s="63"/>
      <c r="AU32" s="63"/>
    </row>
    <row r="33" spans="1:47" ht="12.75" customHeight="1" collapsed="1" x14ac:dyDescent="0.2">
      <c r="A33" s="69" t="s">
        <v>177</v>
      </c>
      <c r="B33" s="70">
        <v>7002.31</v>
      </c>
      <c r="C33" s="71">
        <v>0</v>
      </c>
      <c r="D33" s="71">
        <v>9002.65</v>
      </c>
      <c r="E33" s="72"/>
      <c r="F33" s="73">
        <v>77.780542395850105</v>
      </c>
      <c r="G33" s="70">
        <v>20649.36</v>
      </c>
      <c r="H33" s="71">
        <v>11598.08</v>
      </c>
      <c r="I33" s="71">
        <v>8692.1200000000008</v>
      </c>
      <c r="J33" s="71">
        <v>7002.31</v>
      </c>
      <c r="K33" s="74">
        <v>-7529.16</v>
      </c>
      <c r="L33" s="71">
        <v>0</v>
      </c>
      <c r="M33" s="71">
        <v>0</v>
      </c>
      <c r="N33" s="71">
        <v>0</v>
      </c>
      <c r="O33" s="71">
        <v>0</v>
      </c>
      <c r="P33" s="71">
        <v>0</v>
      </c>
      <c r="Q33" s="71">
        <v>0</v>
      </c>
      <c r="R33" s="71">
        <v>0</v>
      </c>
      <c r="S33" s="71">
        <v>47941.87</v>
      </c>
      <c r="T33" s="71">
        <v>0</v>
      </c>
      <c r="U33" s="71">
        <v>0</v>
      </c>
      <c r="V33" s="71">
        <v>0</v>
      </c>
      <c r="W33" s="71">
        <v>0</v>
      </c>
      <c r="X33" s="71">
        <v>0</v>
      </c>
      <c r="Y33" s="71">
        <v>0</v>
      </c>
      <c r="Z33" s="71">
        <v>0</v>
      </c>
      <c r="AA33" s="71">
        <v>0</v>
      </c>
      <c r="AB33" s="71">
        <v>0</v>
      </c>
      <c r="AC33" s="71">
        <v>0</v>
      </c>
      <c r="AD33" s="71">
        <v>0</v>
      </c>
      <c r="AE33" s="71">
        <v>0</v>
      </c>
      <c r="AF33" s="71">
        <v>0</v>
      </c>
      <c r="AG33" s="75">
        <v>8829.5300000000007</v>
      </c>
      <c r="AH33" s="75">
        <v>7946.6</v>
      </c>
      <c r="AI33" s="75">
        <v>7373.97</v>
      </c>
      <c r="AJ33" s="75">
        <v>9002.65</v>
      </c>
      <c r="AK33" s="75">
        <v>11274.6</v>
      </c>
      <c r="AL33" s="75">
        <v>7824.47</v>
      </c>
      <c r="AM33" s="75">
        <v>2522.71</v>
      </c>
      <c r="AN33" s="75">
        <v>12318.9</v>
      </c>
      <c r="AO33" s="75">
        <v>11730.22</v>
      </c>
      <c r="AP33" s="75">
        <v>14207.01</v>
      </c>
      <c r="AQ33" s="75">
        <v>13148.88</v>
      </c>
      <c r="AR33" s="134">
        <v>-4373.32</v>
      </c>
      <c r="AS33" s="75">
        <v>33152.75</v>
      </c>
      <c r="AT33" s="72"/>
      <c r="AU33" s="72">
        <v>144.60902941686587</v>
      </c>
    </row>
    <row r="34" spans="1:47" ht="12.75" hidden="1" customHeight="1" outlineLevel="1" x14ac:dyDescent="0.2">
      <c r="A34" s="61" t="s">
        <v>178</v>
      </c>
      <c r="B34" s="62"/>
      <c r="C34" s="54"/>
      <c r="D34" s="54"/>
      <c r="E34" s="63"/>
      <c r="F34" s="64"/>
      <c r="G34" s="65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66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66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8"/>
      <c r="AT34" s="63"/>
      <c r="AU34" s="63"/>
    </row>
    <row r="35" spans="1:47" ht="12.75" hidden="1" customHeight="1" outlineLevel="1" x14ac:dyDescent="0.2">
      <c r="A35" s="61" t="s">
        <v>179</v>
      </c>
      <c r="B35" s="62"/>
      <c r="C35" s="54"/>
      <c r="D35" s="54"/>
      <c r="E35" s="63"/>
      <c r="F35" s="64"/>
      <c r="G35" s="65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66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66"/>
      <c r="AG35" s="67"/>
      <c r="AH35" s="67"/>
      <c r="AI35" s="67"/>
      <c r="AJ35" s="67"/>
      <c r="AK35" s="67"/>
      <c r="AL35" s="67"/>
      <c r="AM35" s="67"/>
      <c r="AN35" s="67"/>
      <c r="AO35" s="67"/>
      <c r="AP35" s="67"/>
      <c r="AQ35" s="67"/>
      <c r="AR35" s="67"/>
      <c r="AS35" s="68"/>
      <c r="AT35" s="63"/>
      <c r="AU35" s="63"/>
    </row>
    <row r="36" spans="1:47" ht="12.75" hidden="1" customHeight="1" outlineLevel="1" x14ac:dyDescent="0.2">
      <c r="A36" s="61" t="s">
        <v>180</v>
      </c>
      <c r="B36" s="62">
        <v>0</v>
      </c>
      <c r="C36" s="54">
        <v>0</v>
      </c>
      <c r="D36" s="54">
        <v>0</v>
      </c>
      <c r="E36" s="63"/>
      <c r="F36" s="64"/>
      <c r="G36" s="65">
        <v>0</v>
      </c>
      <c r="H36" s="54">
        <v>826.94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826.94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66">
        <v>0</v>
      </c>
      <c r="AG36" s="67">
        <v>0</v>
      </c>
      <c r="AH36" s="67">
        <v>0</v>
      </c>
      <c r="AI36" s="67">
        <v>0</v>
      </c>
      <c r="AJ36" s="67">
        <v>0</v>
      </c>
      <c r="AK36" s="67">
        <v>0</v>
      </c>
      <c r="AL36" s="67">
        <v>0</v>
      </c>
      <c r="AM36" s="67">
        <v>0</v>
      </c>
      <c r="AN36" s="67">
        <v>0</v>
      </c>
      <c r="AO36" s="67">
        <v>0</v>
      </c>
      <c r="AP36" s="67">
        <v>290.18</v>
      </c>
      <c r="AQ36" s="67">
        <v>0</v>
      </c>
      <c r="AR36" s="67">
        <v>0</v>
      </c>
      <c r="AS36" s="68">
        <v>0</v>
      </c>
      <c r="AT36" s="63"/>
      <c r="AU36" s="63"/>
    </row>
    <row r="37" spans="1:47" ht="12.75" hidden="1" customHeight="1" outlineLevel="1" x14ac:dyDescent="0.2">
      <c r="A37" s="61" t="s">
        <v>181</v>
      </c>
      <c r="B37" s="62"/>
      <c r="C37" s="54"/>
      <c r="D37" s="54"/>
      <c r="E37" s="63"/>
      <c r="F37" s="64"/>
      <c r="G37" s="65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66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66"/>
      <c r="AG37" s="67"/>
      <c r="AH37" s="67"/>
      <c r="AI37" s="67"/>
      <c r="AJ37" s="67"/>
      <c r="AK37" s="67"/>
      <c r="AL37" s="67"/>
      <c r="AM37" s="67"/>
      <c r="AN37" s="67"/>
      <c r="AO37" s="67"/>
      <c r="AP37" s="67"/>
      <c r="AQ37" s="67"/>
      <c r="AR37" s="67"/>
      <c r="AS37" s="68"/>
      <c r="AT37" s="63"/>
      <c r="AU37" s="63"/>
    </row>
    <row r="38" spans="1:47" ht="12.75" hidden="1" customHeight="1" outlineLevel="1" x14ac:dyDescent="0.2">
      <c r="A38" s="61" t="s">
        <v>182</v>
      </c>
      <c r="B38" s="62">
        <v>0</v>
      </c>
      <c r="C38" s="54">
        <v>0</v>
      </c>
      <c r="D38" s="54">
        <v>0</v>
      </c>
      <c r="E38" s="63"/>
      <c r="F38" s="64"/>
      <c r="G38" s="65">
        <v>0</v>
      </c>
      <c r="H38" s="54">
        <v>0</v>
      </c>
      <c r="I38" s="54">
        <v>0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0</v>
      </c>
      <c r="T38" s="54">
        <v>0</v>
      </c>
      <c r="U38" s="54">
        <v>0</v>
      </c>
      <c r="V38" s="54">
        <v>0</v>
      </c>
      <c r="W38" s="54">
        <v>0</v>
      </c>
      <c r="X38" s="54">
        <v>0</v>
      </c>
      <c r="Y38" s="54">
        <v>0</v>
      </c>
      <c r="Z38" s="54">
        <v>0</v>
      </c>
      <c r="AA38" s="54">
        <v>0</v>
      </c>
      <c r="AB38" s="54">
        <v>0</v>
      </c>
      <c r="AC38" s="54">
        <v>0</v>
      </c>
      <c r="AD38" s="54">
        <v>0</v>
      </c>
      <c r="AE38" s="54">
        <v>0</v>
      </c>
      <c r="AF38" s="66">
        <v>0</v>
      </c>
      <c r="AG38" s="67">
        <v>0</v>
      </c>
      <c r="AH38" s="67">
        <v>0</v>
      </c>
      <c r="AI38" s="67">
        <v>0</v>
      </c>
      <c r="AJ38" s="67">
        <v>0</v>
      </c>
      <c r="AK38" s="67">
        <v>0</v>
      </c>
      <c r="AL38" s="67">
        <v>0</v>
      </c>
      <c r="AM38" s="67">
        <v>0</v>
      </c>
      <c r="AN38" s="67">
        <v>0</v>
      </c>
      <c r="AO38" s="67">
        <v>0</v>
      </c>
      <c r="AP38" s="67">
        <v>462.4</v>
      </c>
      <c r="AQ38" s="67">
        <v>0</v>
      </c>
      <c r="AR38" s="67">
        <v>0</v>
      </c>
      <c r="AS38" s="68">
        <v>0</v>
      </c>
      <c r="AT38" s="63"/>
      <c r="AU38" s="63"/>
    </row>
    <row r="39" spans="1:47" ht="12.75" hidden="1" customHeight="1" outlineLevel="1" x14ac:dyDescent="0.2">
      <c r="A39" s="61" t="s">
        <v>183</v>
      </c>
      <c r="B39" s="62"/>
      <c r="C39" s="54"/>
      <c r="D39" s="54"/>
      <c r="E39" s="63"/>
      <c r="F39" s="64"/>
      <c r="G39" s="65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66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66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8"/>
      <c r="AT39" s="63"/>
      <c r="AU39" s="63"/>
    </row>
    <row r="40" spans="1:47" ht="12.75" hidden="1" customHeight="1" outlineLevel="1" x14ac:dyDescent="0.2">
      <c r="A40" s="61" t="s">
        <v>184</v>
      </c>
      <c r="B40" s="62">
        <v>0</v>
      </c>
      <c r="C40" s="54">
        <v>0</v>
      </c>
      <c r="D40" s="54">
        <v>0</v>
      </c>
      <c r="E40" s="63"/>
      <c r="F40" s="64"/>
      <c r="G40" s="65">
        <v>0</v>
      </c>
      <c r="H40" s="54">
        <v>0</v>
      </c>
      <c r="I40" s="54">
        <v>0</v>
      </c>
      <c r="J40" s="54">
        <v>0</v>
      </c>
      <c r="K40" s="54">
        <v>0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66">
        <v>0</v>
      </c>
      <c r="T40" s="54">
        <v>0</v>
      </c>
      <c r="U40" s="54">
        <v>0</v>
      </c>
      <c r="V40" s="54">
        <v>0</v>
      </c>
      <c r="W40" s="54">
        <v>0</v>
      </c>
      <c r="X40" s="54">
        <v>0</v>
      </c>
      <c r="Y40" s="54">
        <v>0</v>
      </c>
      <c r="Z40" s="54">
        <v>0</v>
      </c>
      <c r="AA40" s="54">
        <v>0</v>
      </c>
      <c r="AB40" s="54">
        <v>0</v>
      </c>
      <c r="AC40" s="54">
        <v>0</v>
      </c>
      <c r="AD40" s="54">
        <v>0</v>
      </c>
      <c r="AE40" s="54">
        <v>0</v>
      </c>
      <c r="AF40" s="66">
        <v>0</v>
      </c>
      <c r="AG40" s="67">
        <v>0</v>
      </c>
      <c r="AH40" s="67">
        <v>0</v>
      </c>
      <c r="AI40" s="67">
        <v>0</v>
      </c>
      <c r="AJ40" s="67">
        <v>0</v>
      </c>
      <c r="AK40" s="67">
        <v>0</v>
      </c>
      <c r="AL40" s="67">
        <v>0</v>
      </c>
      <c r="AM40" s="67">
        <v>0</v>
      </c>
      <c r="AN40" s="67">
        <v>0</v>
      </c>
      <c r="AO40" s="67">
        <v>0</v>
      </c>
      <c r="AP40" s="67">
        <v>0</v>
      </c>
      <c r="AQ40" s="67">
        <v>0</v>
      </c>
      <c r="AR40" s="67">
        <v>0</v>
      </c>
      <c r="AS40" s="68">
        <v>0</v>
      </c>
      <c r="AT40" s="63"/>
      <c r="AU40" s="63"/>
    </row>
    <row r="41" spans="1:47" ht="12.75" hidden="1" customHeight="1" outlineLevel="1" x14ac:dyDescent="0.2">
      <c r="A41" s="61" t="s">
        <v>185</v>
      </c>
      <c r="B41" s="62"/>
      <c r="C41" s="54"/>
      <c r="D41" s="54"/>
      <c r="E41" s="63"/>
      <c r="F41" s="64"/>
      <c r="G41" s="65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66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66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8"/>
      <c r="AT41" s="63"/>
      <c r="AU41" s="63"/>
    </row>
    <row r="42" spans="1:47" ht="12.75" hidden="1" customHeight="1" outlineLevel="1" x14ac:dyDescent="0.2">
      <c r="A42" s="61" t="s">
        <v>186</v>
      </c>
      <c r="B42" s="62">
        <v>0</v>
      </c>
      <c r="C42" s="54">
        <v>0</v>
      </c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145.94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415.88</v>
      </c>
      <c r="AS42" s="68">
        <v>145.94</v>
      </c>
      <c r="AT42" s="63"/>
      <c r="AU42" s="63">
        <v>0</v>
      </c>
    </row>
    <row r="43" spans="1:47" ht="12.75" hidden="1" customHeight="1" outlineLevel="1" x14ac:dyDescent="0.2">
      <c r="A43" s="61" t="s">
        <v>191</v>
      </c>
      <c r="B43" s="62"/>
      <c r="C43" s="54"/>
      <c r="D43" s="54"/>
      <c r="E43" s="63"/>
      <c r="F43" s="64"/>
      <c r="G43" s="65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66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66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8"/>
      <c r="AT43" s="63"/>
      <c r="AU43" s="63"/>
    </row>
    <row r="44" spans="1:47" ht="12.75" hidden="1" customHeight="1" outlineLevel="1" x14ac:dyDescent="0.2">
      <c r="A44" s="61" t="s">
        <v>187</v>
      </c>
      <c r="B44" s="62">
        <v>0</v>
      </c>
      <c r="C44" s="54">
        <v>0</v>
      </c>
      <c r="D44" s="54">
        <v>0</v>
      </c>
      <c r="E44" s="63"/>
      <c r="F44" s="64"/>
      <c r="G44" s="65">
        <v>0</v>
      </c>
      <c r="H44" s="54">
        <v>0</v>
      </c>
      <c r="I44" s="54">
        <v>0</v>
      </c>
      <c r="J44" s="54">
        <v>0</v>
      </c>
      <c r="K44" s="54">
        <v>0</v>
      </c>
      <c r="L44" s="54">
        <v>0</v>
      </c>
      <c r="M44" s="54">
        <v>0</v>
      </c>
      <c r="N44" s="54">
        <v>0</v>
      </c>
      <c r="O44" s="54">
        <v>0</v>
      </c>
      <c r="P44" s="54">
        <v>0</v>
      </c>
      <c r="Q44" s="54">
        <v>0</v>
      </c>
      <c r="R44" s="54">
        <v>0</v>
      </c>
      <c r="S44" s="66">
        <v>0</v>
      </c>
      <c r="T44" s="54">
        <v>0</v>
      </c>
      <c r="U44" s="54">
        <v>0</v>
      </c>
      <c r="V44" s="54">
        <v>0</v>
      </c>
      <c r="W44" s="54">
        <v>0</v>
      </c>
      <c r="X44" s="54">
        <v>0</v>
      </c>
      <c r="Y44" s="54">
        <v>0</v>
      </c>
      <c r="Z44" s="54">
        <v>0</v>
      </c>
      <c r="AA44" s="54">
        <v>0</v>
      </c>
      <c r="AB44" s="54">
        <v>0</v>
      </c>
      <c r="AC44" s="54">
        <v>0</v>
      </c>
      <c r="AD44" s="54">
        <v>0</v>
      </c>
      <c r="AE44" s="54">
        <v>0</v>
      </c>
      <c r="AF44" s="66">
        <v>0</v>
      </c>
      <c r="AG44" s="67">
        <v>0</v>
      </c>
      <c r="AH44" s="67">
        <v>0</v>
      </c>
      <c r="AI44" s="67">
        <v>0</v>
      </c>
      <c r="AJ44" s="67">
        <v>0</v>
      </c>
      <c r="AK44" s="67">
        <v>0</v>
      </c>
      <c r="AL44" s="67">
        <v>0</v>
      </c>
      <c r="AM44" s="67">
        <v>0</v>
      </c>
      <c r="AN44" s="67">
        <v>0</v>
      </c>
      <c r="AO44" s="67">
        <v>0</v>
      </c>
      <c r="AP44" s="67">
        <v>0</v>
      </c>
      <c r="AQ44" s="67">
        <v>104.55</v>
      </c>
      <c r="AR44" s="67">
        <v>0</v>
      </c>
      <c r="AS44" s="68">
        <v>0</v>
      </c>
      <c r="AT44" s="63"/>
      <c r="AU44" s="63"/>
    </row>
    <row r="45" spans="1:47" ht="12.75" hidden="1" customHeight="1" outlineLevel="1" x14ac:dyDescent="0.2">
      <c r="A45" s="61" t="s">
        <v>188</v>
      </c>
      <c r="B45" s="62"/>
      <c r="C45" s="54"/>
      <c r="D45" s="54"/>
      <c r="E45" s="63"/>
      <c r="F45" s="64"/>
      <c r="G45" s="65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66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66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8"/>
      <c r="AT45" s="63"/>
      <c r="AU45" s="63"/>
    </row>
    <row r="46" spans="1:47" ht="12.75" hidden="1" customHeight="1" outlineLevel="1" x14ac:dyDescent="0.2">
      <c r="A46" s="61" t="s">
        <v>189</v>
      </c>
      <c r="B46" s="62"/>
      <c r="C46" s="54"/>
      <c r="D46" s="54"/>
      <c r="E46" s="63"/>
      <c r="F46" s="64"/>
      <c r="G46" s="65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66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66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8"/>
      <c r="AT46" s="63"/>
      <c r="AU46" s="63"/>
    </row>
    <row r="47" spans="1:47" ht="12.75" hidden="1" customHeight="1" outlineLevel="1" x14ac:dyDescent="0.2">
      <c r="A47" s="61" t="s">
        <v>190</v>
      </c>
      <c r="B47" s="62">
        <v>0</v>
      </c>
      <c r="C47" s="54">
        <v>0</v>
      </c>
      <c r="D47" s="54">
        <v>0</v>
      </c>
      <c r="E47" s="63"/>
      <c r="F47" s="64"/>
      <c r="G47" s="65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54">
        <v>0</v>
      </c>
      <c r="N47" s="54">
        <v>0</v>
      </c>
      <c r="O47" s="54">
        <v>0</v>
      </c>
      <c r="P47" s="54">
        <v>0</v>
      </c>
      <c r="Q47" s="54">
        <v>0</v>
      </c>
      <c r="R47" s="54">
        <v>0</v>
      </c>
      <c r="S47" s="66">
        <v>0</v>
      </c>
      <c r="T47" s="54">
        <v>0</v>
      </c>
      <c r="U47" s="54">
        <v>0</v>
      </c>
      <c r="V47" s="54">
        <v>0</v>
      </c>
      <c r="W47" s="54">
        <v>0</v>
      </c>
      <c r="X47" s="54">
        <v>0</v>
      </c>
      <c r="Y47" s="54">
        <v>0</v>
      </c>
      <c r="Z47" s="54">
        <v>0</v>
      </c>
      <c r="AA47" s="54">
        <v>0</v>
      </c>
      <c r="AB47" s="54">
        <v>0</v>
      </c>
      <c r="AC47" s="54">
        <v>0</v>
      </c>
      <c r="AD47" s="54">
        <v>0</v>
      </c>
      <c r="AE47" s="54">
        <v>0</v>
      </c>
      <c r="AF47" s="66">
        <v>0</v>
      </c>
      <c r="AG47" s="67">
        <v>0</v>
      </c>
      <c r="AH47" s="67">
        <v>0</v>
      </c>
      <c r="AI47" s="67">
        <v>0</v>
      </c>
      <c r="AJ47" s="67">
        <v>0</v>
      </c>
      <c r="AK47" s="67">
        <v>0</v>
      </c>
      <c r="AL47" s="67">
        <v>0</v>
      </c>
      <c r="AM47" s="67">
        <v>0</v>
      </c>
      <c r="AN47" s="67">
        <v>0</v>
      </c>
      <c r="AO47" s="67">
        <v>0</v>
      </c>
      <c r="AP47" s="67">
        <v>0</v>
      </c>
      <c r="AQ47" s="67">
        <v>0</v>
      </c>
      <c r="AR47" s="67">
        <v>0</v>
      </c>
      <c r="AS47" s="68">
        <v>0</v>
      </c>
      <c r="AT47" s="63"/>
      <c r="AU47" s="63"/>
    </row>
    <row r="48" spans="1:47" ht="12.75" customHeight="1" collapsed="1" x14ac:dyDescent="0.2">
      <c r="A48" s="69" t="s">
        <v>192</v>
      </c>
      <c r="B48" s="70">
        <v>0</v>
      </c>
      <c r="C48" s="71">
        <v>0</v>
      </c>
      <c r="D48" s="71">
        <v>0</v>
      </c>
      <c r="E48" s="72"/>
      <c r="F48" s="73"/>
      <c r="G48" s="70">
        <v>0</v>
      </c>
      <c r="H48" s="71">
        <v>826.94</v>
      </c>
      <c r="I48" s="71">
        <v>0</v>
      </c>
      <c r="J48" s="71">
        <v>0</v>
      </c>
      <c r="K48" s="71">
        <v>0</v>
      </c>
      <c r="L48" s="71">
        <v>0</v>
      </c>
      <c r="M48" s="71">
        <v>0</v>
      </c>
      <c r="N48" s="71">
        <v>0</v>
      </c>
      <c r="O48" s="71">
        <v>0</v>
      </c>
      <c r="P48" s="71">
        <v>0</v>
      </c>
      <c r="Q48" s="71">
        <v>0</v>
      </c>
      <c r="R48" s="71">
        <v>0</v>
      </c>
      <c r="S48" s="71">
        <v>826.94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71">
        <v>0</v>
      </c>
      <c r="AE48" s="71">
        <v>0</v>
      </c>
      <c r="AF48" s="71">
        <v>0</v>
      </c>
      <c r="AG48" s="75">
        <v>145.94</v>
      </c>
      <c r="AH48" s="75">
        <v>0</v>
      </c>
      <c r="AI48" s="75">
        <v>0</v>
      </c>
      <c r="AJ48" s="75">
        <v>0</v>
      </c>
      <c r="AK48" s="75">
        <v>0</v>
      </c>
      <c r="AL48" s="75">
        <v>0</v>
      </c>
      <c r="AM48" s="75">
        <v>0</v>
      </c>
      <c r="AN48" s="75">
        <v>0</v>
      </c>
      <c r="AO48" s="75">
        <v>0</v>
      </c>
      <c r="AP48" s="75">
        <v>752.58</v>
      </c>
      <c r="AQ48" s="75">
        <v>104.55</v>
      </c>
      <c r="AR48" s="75">
        <v>415.88</v>
      </c>
      <c r="AS48" s="75">
        <v>145.94</v>
      </c>
      <c r="AT48" s="72"/>
      <c r="AU48" s="72">
        <v>566.63012196793204</v>
      </c>
    </row>
    <row r="49" spans="1:47" ht="12.75" hidden="1" customHeight="1" outlineLevel="1" x14ac:dyDescent="0.2">
      <c r="A49" s="61" t="s">
        <v>193</v>
      </c>
      <c r="B49" s="62">
        <v>1836.83</v>
      </c>
      <c r="C49" s="54">
        <v>0</v>
      </c>
      <c r="D49" s="56">
        <v>-455.82</v>
      </c>
      <c r="E49" s="63"/>
      <c r="F49" s="64">
        <v>-402.97266464832609</v>
      </c>
      <c r="G49" s="65">
        <v>557.82000000000005</v>
      </c>
      <c r="H49" s="54">
        <v>9884.27</v>
      </c>
      <c r="I49" s="54">
        <v>930</v>
      </c>
      <c r="J49" s="54">
        <v>1836.83</v>
      </c>
      <c r="K49" s="54">
        <v>0</v>
      </c>
      <c r="L49" s="54">
        <v>0</v>
      </c>
      <c r="M49" s="54">
        <v>0</v>
      </c>
      <c r="N49" s="54">
        <v>0</v>
      </c>
      <c r="O49" s="54">
        <v>0</v>
      </c>
      <c r="P49" s="54">
        <v>0</v>
      </c>
      <c r="Q49" s="54">
        <v>0</v>
      </c>
      <c r="R49" s="54">
        <v>0</v>
      </c>
      <c r="S49" s="66">
        <v>13208.92</v>
      </c>
      <c r="T49" s="54">
        <v>0</v>
      </c>
      <c r="U49" s="54">
        <v>0</v>
      </c>
      <c r="V49" s="54">
        <v>0</v>
      </c>
      <c r="W49" s="54">
        <v>0</v>
      </c>
      <c r="X49" s="54">
        <v>0</v>
      </c>
      <c r="Y49" s="54">
        <v>0</v>
      </c>
      <c r="Z49" s="54">
        <v>0</v>
      </c>
      <c r="AA49" s="54">
        <v>0</v>
      </c>
      <c r="AB49" s="54">
        <v>0</v>
      </c>
      <c r="AC49" s="54">
        <v>0</v>
      </c>
      <c r="AD49" s="54">
        <v>0</v>
      </c>
      <c r="AE49" s="54">
        <v>0</v>
      </c>
      <c r="AF49" s="66">
        <v>0</v>
      </c>
      <c r="AG49" s="67">
        <v>511.33</v>
      </c>
      <c r="AH49" s="67">
        <v>802.23</v>
      </c>
      <c r="AI49" s="67">
        <v>511.33</v>
      </c>
      <c r="AJ49" s="98">
        <v>-455.82</v>
      </c>
      <c r="AK49" s="67">
        <v>937.93</v>
      </c>
      <c r="AL49" s="67">
        <v>1825.4</v>
      </c>
      <c r="AM49" s="98">
        <v>-802.74</v>
      </c>
      <c r="AN49" s="67">
        <v>511.33</v>
      </c>
      <c r="AO49" s="67">
        <v>511.33</v>
      </c>
      <c r="AP49" s="67">
        <v>3764.72</v>
      </c>
      <c r="AQ49" s="67">
        <v>308.77999999999997</v>
      </c>
      <c r="AR49" s="67">
        <v>557.82000000000005</v>
      </c>
      <c r="AS49" s="68">
        <v>1369.07</v>
      </c>
      <c r="AT49" s="63"/>
      <c r="AU49" s="63">
        <v>964.80968832857343</v>
      </c>
    </row>
    <row r="50" spans="1:47" ht="12.75" hidden="1" customHeight="1" outlineLevel="1" x14ac:dyDescent="0.2">
      <c r="A50" s="61" t="s">
        <v>194</v>
      </c>
      <c r="B50" s="62">
        <v>0</v>
      </c>
      <c r="C50" s="54">
        <v>0</v>
      </c>
      <c r="D50" s="54">
        <v>0</v>
      </c>
      <c r="E50" s="63"/>
      <c r="F50" s="64"/>
      <c r="G50" s="65">
        <v>0</v>
      </c>
      <c r="H50" s="54">
        <v>0</v>
      </c>
      <c r="I50" s="54">
        <v>0</v>
      </c>
      <c r="J50" s="54">
        <v>0</v>
      </c>
      <c r="K50" s="54">
        <v>0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66">
        <v>0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>
        <v>0</v>
      </c>
      <c r="AH50" s="67">
        <v>0</v>
      </c>
      <c r="AI50" s="67">
        <v>0</v>
      </c>
      <c r="AJ50" s="67">
        <v>0</v>
      </c>
      <c r="AK50" s="67">
        <v>0</v>
      </c>
      <c r="AL50" s="67">
        <v>0</v>
      </c>
      <c r="AM50" s="67">
        <v>0</v>
      </c>
      <c r="AN50" s="67">
        <v>0</v>
      </c>
      <c r="AO50" s="67">
        <v>0</v>
      </c>
      <c r="AP50" s="67">
        <v>0</v>
      </c>
      <c r="AQ50" s="67">
        <v>0</v>
      </c>
      <c r="AR50" s="67">
        <v>0</v>
      </c>
      <c r="AS50" s="68">
        <v>0</v>
      </c>
      <c r="AT50" s="63"/>
      <c r="AU50" s="63"/>
    </row>
    <row r="51" spans="1:47" ht="12.75" hidden="1" customHeight="1" outlineLevel="1" x14ac:dyDescent="0.2">
      <c r="A51" s="61" t="s">
        <v>82</v>
      </c>
      <c r="B51" s="62">
        <v>0</v>
      </c>
      <c r="C51" s="54">
        <v>0</v>
      </c>
      <c r="D51" s="54">
        <v>0</v>
      </c>
      <c r="E51" s="63"/>
      <c r="F51" s="64"/>
      <c r="G51" s="65">
        <v>0</v>
      </c>
      <c r="H51" s="54">
        <v>0</v>
      </c>
      <c r="I51" s="54">
        <v>0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66">
        <v>0</v>
      </c>
      <c r="T51" s="54">
        <v>0</v>
      </c>
      <c r="U51" s="54">
        <v>0</v>
      </c>
      <c r="V51" s="54">
        <v>0</v>
      </c>
      <c r="W51" s="54">
        <v>0</v>
      </c>
      <c r="X51" s="54">
        <v>0</v>
      </c>
      <c r="Y51" s="54">
        <v>0</v>
      </c>
      <c r="Z51" s="54">
        <v>0</v>
      </c>
      <c r="AA51" s="54">
        <v>0</v>
      </c>
      <c r="AB51" s="54">
        <v>0</v>
      </c>
      <c r="AC51" s="54">
        <v>0</v>
      </c>
      <c r="AD51" s="54">
        <v>0</v>
      </c>
      <c r="AE51" s="54">
        <v>0</v>
      </c>
      <c r="AF51" s="66">
        <v>0</v>
      </c>
      <c r="AG51" s="67">
        <v>0</v>
      </c>
      <c r="AH51" s="67">
        <v>0</v>
      </c>
      <c r="AI51" s="67">
        <v>0</v>
      </c>
      <c r="AJ51" s="67">
        <v>0</v>
      </c>
      <c r="AK51" s="67">
        <v>0</v>
      </c>
      <c r="AL51" s="67">
        <v>0</v>
      </c>
      <c r="AM51" s="67">
        <v>0</v>
      </c>
      <c r="AN51" s="67">
        <v>0</v>
      </c>
      <c r="AO51" s="67">
        <v>0</v>
      </c>
      <c r="AP51" s="67">
        <v>0</v>
      </c>
      <c r="AQ51" s="67">
        <v>0</v>
      </c>
      <c r="AR51" s="67">
        <v>0</v>
      </c>
      <c r="AS51" s="68">
        <v>0</v>
      </c>
      <c r="AT51" s="63"/>
      <c r="AU51" s="63"/>
    </row>
    <row r="52" spans="1:47" ht="12.75" hidden="1" customHeight="1" outlineLevel="1" x14ac:dyDescent="0.2">
      <c r="A52" s="61" t="s">
        <v>83</v>
      </c>
      <c r="B52" s="62">
        <v>0</v>
      </c>
      <c r="C52" s="54">
        <v>0</v>
      </c>
      <c r="D52" s="54">
        <v>0</v>
      </c>
      <c r="E52" s="63"/>
      <c r="F52" s="64"/>
      <c r="G52" s="65">
        <v>0</v>
      </c>
      <c r="H52" s="54">
        <v>0</v>
      </c>
      <c r="I52" s="54">
        <v>0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66">
        <v>0</v>
      </c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66">
        <v>0</v>
      </c>
      <c r="AG52" s="67">
        <v>0</v>
      </c>
      <c r="AH52" s="67">
        <v>0</v>
      </c>
      <c r="AI52" s="67">
        <v>0</v>
      </c>
      <c r="AJ52" s="67">
        <v>0</v>
      </c>
      <c r="AK52" s="67">
        <v>0</v>
      </c>
      <c r="AL52" s="67">
        <v>0</v>
      </c>
      <c r="AM52" s="67">
        <v>0</v>
      </c>
      <c r="AN52" s="67">
        <v>0</v>
      </c>
      <c r="AO52" s="67">
        <v>0</v>
      </c>
      <c r="AP52" s="67">
        <v>0</v>
      </c>
      <c r="AQ52" s="67">
        <v>0</v>
      </c>
      <c r="AR52" s="67">
        <v>0</v>
      </c>
      <c r="AS52" s="68">
        <v>0</v>
      </c>
      <c r="AT52" s="63"/>
      <c r="AU52" s="63"/>
    </row>
    <row r="53" spans="1:47" ht="12.75" hidden="1" customHeight="1" outlineLevel="1" x14ac:dyDescent="0.2">
      <c r="A53" s="61" t="s">
        <v>84</v>
      </c>
      <c r="B53" s="62">
        <v>0</v>
      </c>
      <c r="C53" s="54">
        <v>0</v>
      </c>
      <c r="D53" s="54">
        <v>0</v>
      </c>
      <c r="E53" s="63"/>
      <c r="F53" s="64"/>
      <c r="G53" s="65">
        <v>0</v>
      </c>
      <c r="H53" s="54">
        <v>0</v>
      </c>
      <c r="I53" s="54">
        <v>0</v>
      </c>
      <c r="J53" s="54">
        <v>0</v>
      </c>
      <c r="K53" s="54">
        <v>0</v>
      </c>
      <c r="L53" s="54">
        <v>0</v>
      </c>
      <c r="M53" s="54">
        <v>0</v>
      </c>
      <c r="N53" s="54">
        <v>0</v>
      </c>
      <c r="O53" s="54">
        <v>0</v>
      </c>
      <c r="P53" s="54">
        <v>0</v>
      </c>
      <c r="Q53" s="54">
        <v>0</v>
      </c>
      <c r="R53" s="54">
        <v>0</v>
      </c>
      <c r="S53" s="66">
        <v>0</v>
      </c>
      <c r="T53" s="54">
        <v>0</v>
      </c>
      <c r="U53" s="54">
        <v>0</v>
      </c>
      <c r="V53" s="54">
        <v>0</v>
      </c>
      <c r="W53" s="54">
        <v>0</v>
      </c>
      <c r="X53" s="54">
        <v>0</v>
      </c>
      <c r="Y53" s="54">
        <v>0</v>
      </c>
      <c r="Z53" s="54">
        <v>0</v>
      </c>
      <c r="AA53" s="54">
        <v>0</v>
      </c>
      <c r="AB53" s="54">
        <v>0</v>
      </c>
      <c r="AC53" s="54">
        <v>0</v>
      </c>
      <c r="AD53" s="54">
        <v>0</v>
      </c>
      <c r="AE53" s="54">
        <v>0</v>
      </c>
      <c r="AF53" s="66">
        <v>0</v>
      </c>
      <c r="AG53" s="67">
        <v>0</v>
      </c>
      <c r="AH53" s="67">
        <v>0</v>
      </c>
      <c r="AI53" s="67">
        <v>0</v>
      </c>
      <c r="AJ53" s="67">
        <v>0</v>
      </c>
      <c r="AK53" s="67">
        <v>0</v>
      </c>
      <c r="AL53" s="67">
        <v>0</v>
      </c>
      <c r="AM53" s="67">
        <v>0</v>
      </c>
      <c r="AN53" s="67">
        <v>0</v>
      </c>
      <c r="AO53" s="67">
        <v>0</v>
      </c>
      <c r="AP53" s="67">
        <v>0</v>
      </c>
      <c r="AQ53" s="67">
        <v>0</v>
      </c>
      <c r="AR53" s="67">
        <v>0</v>
      </c>
      <c r="AS53" s="68">
        <v>0</v>
      </c>
      <c r="AT53" s="63"/>
      <c r="AU53" s="63"/>
    </row>
    <row r="54" spans="1:47" ht="12.75" hidden="1" customHeight="1" outlineLevel="1" x14ac:dyDescent="0.2">
      <c r="A54" s="61" t="s">
        <v>195</v>
      </c>
      <c r="B54" s="62">
        <v>0</v>
      </c>
      <c r="C54" s="54">
        <v>0</v>
      </c>
      <c r="D54" s="54">
        <v>0</v>
      </c>
      <c r="E54" s="63"/>
      <c r="F54" s="64"/>
      <c r="G54" s="65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66">
        <v>0</v>
      </c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>
        <v>0</v>
      </c>
      <c r="AH54" s="67">
        <v>0</v>
      </c>
      <c r="AI54" s="67">
        <v>0</v>
      </c>
      <c r="AJ54" s="67">
        <v>0</v>
      </c>
      <c r="AK54" s="67">
        <v>0</v>
      </c>
      <c r="AL54" s="67">
        <v>0</v>
      </c>
      <c r="AM54" s="67">
        <v>0</v>
      </c>
      <c r="AN54" s="67">
        <v>0</v>
      </c>
      <c r="AO54" s="67">
        <v>0</v>
      </c>
      <c r="AP54" s="67">
        <v>0</v>
      </c>
      <c r="AQ54" s="67">
        <v>0</v>
      </c>
      <c r="AR54" s="67">
        <v>0</v>
      </c>
      <c r="AS54" s="68">
        <v>0</v>
      </c>
      <c r="AT54" s="63"/>
      <c r="AU54" s="63"/>
    </row>
    <row r="55" spans="1:47" ht="12.75" hidden="1" customHeight="1" outlineLevel="1" x14ac:dyDescent="0.2">
      <c r="A55" s="61" t="s">
        <v>86</v>
      </c>
      <c r="B55" s="62">
        <v>289.33</v>
      </c>
      <c r="C55" s="54">
        <v>0</v>
      </c>
      <c r="D55" s="54">
        <v>24.51</v>
      </c>
      <c r="E55" s="63"/>
      <c r="F55" s="64">
        <v>1180.4569563443492</v>
      </c>
      <c r="G55" s="65">
        <v>466.14</v>
      </c>
      <c r="H55" s="54">
        <v>509.46</v>
      </c>
      <c r="I55" s="54">
        <v>681.79</v>
      </c>
      <c r="J55" s="54">
        <v>289.33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66">
        <v>1946.72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66">
        <v>0</v>
      </c>
      <c r="AG55" s="67">
        <v>732.24</v>
      </c>
      <c r="AH55" s="67">
        <v>3564.62</v>
      </c>
      <c r="AI55" s="67">
        <v>583.44000000000005</v>
      </c>
      <c r="AJ55" s="67">
        <v>24.51</v>
      </c>
      <c r="AK55" s="67">
        <v>406.04</v>
      </c>
      <c r="AL55" s="67">
        <v>0</v>
      </c>
      <c r="AM55" s="67">
        <v>270.87</v>
      </c>
      <c r="AN55" s="67">
        <v>93.42</v>
      </c>
      <c r="AO55" s="67">
        <v>0</v>
      </c>
      <c r="AP55" s="67">
        <v>553.64</v>
      </c>
      <c r="AQ55" s="67">
        <v>0</v>
      </c>
      <c r="AR55" s="67">
        <v>62.6</v>
      </c>
      <c r="AS55" s="68">
        <v>4904.8100000000004</v>
      </c>
      <c r="AT55" s="63"/>
      <c r="AU55" s="63">
        <v>39.690018573604277</v>
      </c>
    </row>
    <row r="56" spans="1:47" ht="12.75" hidden="1" customHeight="1" outlineLevel="1" x14ac:dyDescent="0.2">
      <c r="A56" s="61" t="s">
        <v>110</v>
      </c>
      <c r="B56" s="62"/>
      <c r="C56" s="54"/>
      <c r="D56" s="54"/>
      <c r="E56" s="63"/>
      <c r="F56" s="64"/>
      <c r="G56" s="65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66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66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8"/>
      <c r="AT56" s="63"/>
      <c r="AU56" s="63"/>
    </row>
    <row r="57" spans="1:47" ht="12.75" hidden="1" customHeight="1" outlineLevel="1" x14ac:dyDescent="0.2">
      <c r="A57" s="61" t="s">
        <v>196</v>
      </c>
      <c r="B57" s="62">
        <v>0</v>
      </c>
      <c r="C57" s="54">
        <v>0</v>
      </c>
      <c r="D57" s="54">
        <v>0</v>
      </c>
      <c r="E57" s="63"/>
      <c r="F57" s="64"/>
      <c r="G57" s="65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66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66">
        <v>0</v>
      </c>
      <c r="AG57" s="67">
        <v>1100</v>
      </c>
      <c r="AH57" s="67">
        <v>0</v>
      </c>
      <c r="AI57" s="67">
        <v>0</v>
      </c>
      <c r="AJ57" s="67">
        <v>0</v>
      </c>
      <c r="AK57" s="67">
        <v>0</v>
      </c>
      <c r="AL57" s="67">
        <v>0</v>
      </c>
      <c r="AM57" s="67">
        <v>0</v>
      </c>
      <c r="AN57" s="67">
        <v>0</v>
      </c>
      <c r="AO57" s="67">
        <v>0</v>
      </c>
      <c r="AP57" s="67">
        <v>0</v>
      </c>
      <c r="AQ57" s="67">
        <v>0</v>
      </c>
      <c r="AR57" s="67">
        <v>3889.64</v>
      </c>
      <c r="AS57" s="68">
        <v>1100</v>
      </c>
      <c r="AT57" s="63"/>
      <c r="AU57" s="63">
        <v>0</v>
      </c>
    </row>
    <row r="58" spans="1:47" ht="12.75" hidden="1" customHeight="1" outlineLevel="1" x14ac:dyDescent="0.2">
      <c r="A58" s="61" t="s">
        <v>197</v>
      </c>
      <c r="B58" s="62">
        <v>0</v>
      </c>
      <c r="C58" s="54">
        <v>0</v>
      </c>
      <c r="D58" s="54">
        <v>0</v>
      </c>
      <c r="E58" s="63"/>
      <c r="F58" s="64"/>
      <c r="G58" s="65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0</v>
      </c>
      <c r="AI58" s="67">
        <v>0</v>
      </c>
      <c r="AJ58" s="67">
        <v>0</v>
      </c>
      <c r="AK58" s="67">
        <v>0</v>
      </c>
      <c r="AL58" s="67">
        <v>0</v>
      </c>
      <c r="AM58" s="67">
        <v>0</v>
      </c>
      <c r="AN58" s="67">
        <v>0</v>
      </c>
      <c r="AO58" s="67">
        <v>0</v>
      </c>
      <c r="AP58" s="67">
        <v>0</v>
      </c>
      <c r="AQ58" s="67">
        <v>0</v>
      </c>
      <c r="AR58" s="67">
        <v>0</v>
      </c>
      <c r="AS58" s="68">
        <v>0</v>
      </c>
      <c r="AT58" s="63"/>
      <c r="AU58" s="63"/>
    </row>
    <row r="59" spans="1:47" ht="12.75" hidden="1" customHeight="1" outlineLevel="1" x14ac:dyDescent="0.2">
      <c r="A59" s="61" t="s">
        <v>198</v>
      </c>
      <c r="B59" s="62">
        <v>0</v>
      </c>
      <c r="C59" s="54">
        <v>0</v>
      </c>
      <c r="D59" s="54">
        <v>0</v>
      </c>
      <c r="E59" s="63"/>
      <c r="F59" s="64"/>
      <c r="G59" s="65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66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66">
        <v>0</v>
      </c>
      <c r="AG59" s="67">
        <v>0</v>
      </c>
      <c r="AH59" s="67">
        <v>0</v>
      </c>
      <c r="AI59" s="67">
        <v>0</v>
      </c>
      <c r="AJ59" s="67">
        <v>0</v>
      </c>
      <c r="AK59" s="67">
        <v>0</v>
      </c>
      <c r="AL59" s="67">
        <v>0</v>
      </c>
      <c r="AM59" s="67">
        <v>0</v>
      </c>
      <c r="AN59" s="67">
        <v>0</v>
      </c>
      <c r="AO59" s="67">
        <v>0</v>
      </c>
      <c r="AP59" s="67">
        <v>0</v>
      </c>
      <c r="AQ59" s="67">
        <v>0</v>
      </c>
      <c r="AR59" s="67">
        <v>0</v>
      </c>
      <c r="AS59" s="68">
        <v>0</v>
      </c>
      <c r="AT59" s="63"/>
      <c r="AU59" s="63"/>
    </row>
    <row r="60" spans="1:47" ht="12.75" hidden="1" customHeight="1" outlineLevel="1" x14ac:dyDescent="0.2">
      <c r="A60" s="61" t="s">
        <v>199</v>
      </c>
      <c r="B60" s="62"/>
      <c r="C60" s="54"/>
      <c r="D60" s="54"/>
      <c r="E60" s="63"/>
      <c r="F60" s="64"/>
      <c r="G60" s="65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66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66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8"/>
      <c r="AT60" s="63"/>
      <c r="AU60" s="63"/>
    </row>
    <row r="61" spans="1:47" ht="12.75" hidden="1" customHeight="1" outlineLevel="1" x14ac:dyDescent="0.2">
      <c r="A61" s="61" t="s">
        <v>200</v>
      </c>
      <c r="B61" s="62"/>
      <c r="C61" s="54"/>
      <c r="D61" s="54"/>
      <c r="E61" s="63"/>
      <c r="F61" s="64"/>
      <c r="G61" s="65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66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66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8"/>
      <c r="AT61" s="63"/>
      <c r="AU61" s="63"/>
    </row>
    <row r="62" spans="1:47" ht="12.75" customHeight="1" collapsed="1" x14ac:dyDescent="0.2">
      <c r="A62" s="69" t="s">
        <v>89</v>
      </c>
      <c r="B62" s="70">
        <v>2126.16</v>
      </c>
      <c r="C62" s="71">
        <v>0</v>
      </c>
      <c r="D62" s="74">
        <v>-431.31</v>
      </c>
      <c r="E62" s="72"/>
      <c r="F62" s="73">
        <v>-492.95402378799469</v>
      </c>
      <c r="G62" s="70">
        <v>1023.96</v>
      </c>
      <c r="H62" s="71">
        <v>10393.73</v>
      </c>
      <c r="I62" s="71">
        <v>1611.79</v>
      </c>
      <c r="J62" s="71">
        <v>2126.16</v>
      </c>
      <c r="K62" s="71">
        <v>0</v>
      </c>
      <c r="L62" s="71">
        <v>0</v>
      </c>
      <c r="M62" s="71">
        <v>0</v>
      </c>
      <c r="N62" s="71">
        <v>0</v>
      </c>
      <c r="O62" s="71">
        <v>0</v>
      </c>
      <c r="P62" s="71">
        <v>0</v>
      </c>
      <c r="Q62" s="71">
        <v>0</v>
      </c>
      <c r="R62" s="71">
        <v>0</v>
      </c>
      <c r="S62" s="71">
        <v>15155.64</v>
      </c>
      <c r="T62" s="71">
        <v>0</v>
      </c>
      <c r="U62" s="71">
        <v>0</v>
      </c>
      <c r="V62" s="71">
        <v>0</v>
      </c>
      <c r="W62" s="71">
        <v>0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71">
        <v>0</v>
      </c>
      <c r="AE62" s="71">
        <v>0</v>
      </c>
      <c r="AF62" s="71">
        <v>0</v>
      </c>
      <c r="AG62" s="75">
        <v>2343.5700000000002</v>
      </c>
      <c r="AH62" s="75">
        <v>4366.8500000000004</v>
      </c>
      <c r="AI62" s="75">
        <v>1094.77</v>
      </c>
      <c r="AJ62" s="134">
        <v>-431.31</v>
      </c>
      <c r="AK62" s="75">
        <v>1343.97</v>
      </c>
      <c r="AL62" s="75">
        <v>1825.4</v>
      </c>
      <c r="AM62" s="134">
        <v>-531.87</v>
      </c>
      <c r="AN62" s="75">
        <v>604.75</v>
      </c>
      <c r="AO62" s="75">
        <v>511.33</v>
      </c>
      <c r="AP62" s="75">
        <v>4318.3599999999997</v>
      </c>
      <c r="AQ62" s="75">
        <v>308.77999999999997</v>
      </c>
      <c r="AR62" s="75">
        <v>4510.0600000000004</v>
      </c>
      <c r="AS62" s="75">
        <v>7373.88</v>
      </c>
      <c r="AT62" s="72"/>
      <c r="AU62" s="72">
        <v>205.53141629644094</v>
      </c>
    </row>
    <row r="63" spans="1:47" ht="12.75" customHeight="1" x14ac:dyDescent="0.2">
      <c r="A63" s="77" t="s">
        <v>201</v>
      </c>
      <c r="B63" s="78">
        <v>111656.25</v>
      </c>
      <c r="C63" s="79">
        <v>0</v>
      </c>
      <c r="D63" s="79">
        <v>154802.07</v>
      </c>
      <c r="E63" s="80"/>
      <c r="F63" s="81">
        <v>72.128395957495911</v>
      </c>
      <c r="G63" s="78">
        <v>167622.98000000001</v>
      </c>
      <c r="H63" s="79">
        <v>220809.39</v>
      </c>
      <c r="I63" s="79">
        <v>198465.95</v>
      </c>
      <c r="J63" s="79">
        <v>111656.25</v>
      </c>
      <c r="K63" s="82">
        <v>-30185.4</v>
      </c>
      <c r="L63" s="79">
        <v>0</v>
      </c>
      <c r="M63" s="79">
        <v>0</v>
      </c>
      <c r="N63" s="79">
        <v>0</v>
      </c>
      <c r="O63" s="79">
        <v>0</v>
      </c>
      <c r="P63" s="79">
        <v>0</v>
      </c>
      <c r="Q63" s="79">
        <v>0</v>
      </c>
      <c r="R63" s="79">
        <v>0</v>
      </c>
      <c r="S63" s="79">
        <v>698554.57</v>
      </c>
      <c r="T63" s="79">
        <v>0</v>
      </c>
      <c r="U63" s="79">
        <v>0</v>
      </c>
      <c r="V63" s="79">
        <v>0</v>
      </c>
      <c r="W63" s="79">
        <v>0</v>
      </c>
      <c r="X63" s="79">
        <v>0</v>
      </c>
      <c r="Y63" s="79">
        <v>0</v>
      </c>
      <c r="Z63" s="79">
        <v>0</v>
      </c>
      <c r="AA63" s="79">
        <v>0</v>
      </c>
      <c r="AB63" s="79">
        <v>0</v>
      </c>
      <c r="AC63" s="79">
        <v>0</v>
      </c>
      <c r="AD63" s="79">
        <v>0</v>
      </c>
      <c r="AE63" s="79">
        <v>0</v>
      </c>
      <c r="AF63" s="79">
        <v>0</v>
      </c>
      <c r="AG63" s="83">
        <v>203681.91</v>
      </c>
      <c r="AH63" s="83">
        <v>178282.53</v>
      </c>
      <c r="AI63" s="83">
        <v>159608.76999999999</v>
      </c>
      <c r="AJ63" s="83">
        <v>154802.07</v>
      </c>
      <c r="AK63" s="83">
        <v>167474.21</v>
      </c>
      <c r="AL63" s="83">
        <v>182793.78</v>
      </c>
      <c r="AM63" s="83">
        <v>149744.54</v>
      </c>
      <c r="AN63" s="83">
        <v>157702.5</v>
      </c>
      <c r="AO63" s="83">
        <v>169102.4</v>
      </c>
      <c r="AP63" s="83">
        <v>178374.74</v>
      </c>
      <c r="AQ63" s="83">
        <v>165637.71</v>
      </c>
      <c r="AR63" s="83">
        <v>166101.53</v>
      </c>
      <c r="AS63" s="83">
        <v>696375.28</v>
      </c>
      <c r="AT63" s="80"/>
      <c r="AU63" s="80">
        <v>100.31294763938203</v>
      </c>
    </row>
    <row r="64" spans="1:47" ht="12.75" customHeight="1" x14ac:dyDescent="0.2">
      <c r="A64" s="84" t="s">
        <v>8</v>
      </c>
      <c r="B64" s="135">
        <v>-30558.09</v>
      </c>
      <c r="C64" s="86">
        <v>0</v>
      </c>
      <c r="D64" s="89">
        <v>-82257.039999999994</v>
      </c>
      <c r="E64" s="87"/>
      <c r="F64" s="88">
        <v>37.149513281781111</v>
      </c>
      <c r="G64" s="135">
        <v>-65015.58</v>
      </c>
      <c r="H64" s="89">
        <v>-96048.55</v>
      </c>
      <c r="I64" s="89">
        <v>-106730.23</v>
      </c>
      <c r="J64" s="89">
        <v>-30558.09</v>
      </c>
      <c r="K64" s="86">
        <v>38613.06</v>
      </c>
      <c r="L64" s="86">
        <v>0</v>
      </c>
      <c r="M64" s="86">
        <v>0</v>
      </c>
      <c r="N64" s="86">
        <v>0</v>
      </c>
      <c r="O64" s="86">
        <v>0</v>
      </c>
      <c r="P64" s="86">
        <v>0</v>
      </c>
      <c r="Q64" s="86">
        <v>0</v>
      </c>
      <c r="R64" s="86">
        <v>0</v>
      </c>
      <c r="S64" s="89">
        <v>-298352.45</v>
      </c>
      <c r="T64" s="86">
        <v>0</v>
      </c>
      <c r="U64" s="86">
        <v>0</v>
      </c>
      <c r="V64" s="86">
        <v>0</v>
      </c>
      <c r="W64" s="86">
        <v>0</v>
      </c>
      <c r="X64" s="86">
        <v>0</v>
      </c>
      <c r="Y64" s="86">
        <v>0</v>
      </c>
      <c r="Z64" s="86">
        <v>0</v>
      </c>
      <c r="AA64" s="86">
        <v>0</v>
      </c>
      <c r="AB64" s="86">
        <v>0</v>
      </c>
      <c r="AC64" s="86">
        <v>0</v>
      </c>
      <c r="AD64" s="86">
        <v>0</v>
      </c>
      <c r="AE64" s="86">
        <v>0</v>
      </c>
      <c r="AF64" s="86">
        <v>0</v>
      </c>
      <c r="AG64" s="136">
        <v>-66725.509999999995</v>
      </c>
      <c r="AH64" s="136">
        <v>-81843.66</v>
      </c>
      <c r="AI64" s="136">
        <v>-35642.78</v>
      </c>
      <c r="AJ64" s="136">
        <v>-82257.039999999994</v>
      </c>
      <c r="AK64" s="136">
        <v>-59414.13</v>
      </c>
      <c r="AL64" s="136">
        <v>-67466.98</v>
      </c>
      <c r="AM64" s="136">
        <v>-24931.45</v>
      </c>
      <c r="AN64" s="136">
        <v>-24919.89</v>
      </c>
      <c r="AO64" s="136">
        <v>-36612.29</v>
      </c>
      <c r="AP64" s="136">
        <v>-62327.71</v>
      </c>
      <c r="AQ64" s="136">
        <v>-37665.58</v>
      </c>
      <c r="AR64" s="136">
        <v>-20593.75</v>
      </c>
      <c r="AS64" s="136">
        <v>-266468.99</v>
      </c>
      <c r="AT64" s="87"/>
      <c r="AU64" s="87">
        <v>111.96516712882801</v>
      </c>
    </row>
    <row r="65" spans="1:45" x14ac:dyDescent="0.2">
      <c r="AS65" s="365"/>
    </row>
    <row r="66" spans="1:45" x14ac:dyDescent="0.2">
      <c r="S66" s="26"/>
      <c r="AS66" s="26"/>
    </row>
    <row r="67" spans="1:45" x14ac:dyDescent="0.2">
      <c r="S67" s="26"/>
      <c r="AS67" s="26"/>
    </row>
    <row r="68" spans="1:45" ht="15" x14ac:dyDescent="0.25">
      <c r="A68" s="16"/>
      <c r="B68" s="16"/>
      <c r="C68" s="16"/>
      <c r="D68" s="16"/>
      <c r="S68" s="26"/>
      <c r="AS68" s="26"/>
    </row>
    <row r="69" spans="1:45" ht="15" x14ac:dyDescent="0.25">
      <c r="A69" s="16"/>
      <c r="B69" s="16"/>
      <c r="C69" s="16"/>
      <c r="D69" s="16"/>
      <c r="S69" s="497"/>
      <c r="AS69" s="497"/>
    </row>
    <row r="70" spans="1:45" ht="15" x14ac:dyDescent="0.25">
      <c r="A70" s="16"/>
      <c r="B70" s="16"/>
      <c r="C70" s="16"/>
      <c r="D70" s="16"/>
      <c r="AE70" s="365"/>
      <c r="AF70" s="26"/>
    </row>
    <row r="71" spans="1:45" ht="15" x14ac:dyDescent="0.25">
      <c r="A71" s="16"/>
      <c r="B71" s="16"/>
      <c r="C71" s="16"/>
      <c r="D71" s="16"/>
      <c r="AE71" s="365"/>
      <c r="AF71" s="26"/>
    </row>
    <row r="72" spans="1:45" ht="15" x14ac:dyDescent="0.25">
      <c r="A72" s="16"/>
      <c r="B72" s="25"/>
      <c r="C72" s="17"/>
      <c r="D72" s="25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365"/>
      <c r="AF72" s="26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</row>
    <row r="73" spans="1:45" ht="15" x14ac:dyDescent="0.25">
      <c r="A73" s="16"/>
      <c r="B73" s="16"/>
      <c r="C73" s="16"/>
      <c r="D73" s="16"/>
      <c r="AE73" s="365"/>
      <c r="AF73" s="482"/>
    </row>
    <row r="74" spans="1:45" ht="15" x14ac:dyDescent="0.25">
      <c r="A74" s="16"/>
      <c r="B74" s="16"/>
      <c r="C74" s="16"/>
      <c r="D74" s="16"/>
      <c r="AE74" s="365"/>
      <c r="AF74" s="365"/>
    </row>
    <row r="75" spans="1:45" ht="15" x14ac:dyDescent="0.25">
      <c r="A75" s="16"/>
      <c r="B75" s="16"/>
      <c r="C75" s="16"/>
      <c r="D75" s="16"/>
      <c r="AE75" s="365" t="s">
        <v>419</v>
      </c>
      <c r="AF75" s="18">
        <f>+AF72-AF73</f>
        <v>0</v>
      </c>
    </row>
    <row r="76" spans="1:45" ht="15" x14ac:dyDescent="0.25">
      <c r="A76" s="16"/>
      <c r="B76" s="16"/>
      <c r="C76" s="16"/>
      <c r="D76" s="16"/>
      <c r="AE76" s="365"/>
      <c r="AF76" s="482">
        <f>+AF75-SUM(T64:AE64)</f>
        <v>0</v>
      </c>
    </row>
  </sheetData>
  <hyperlinks>
    <hyperlink ref="AF76" r:id="rId1" display="+AF75-@sum(T64:AE64)"/>
  </hyperlinks>
  <pageMargins left="0.75" right="0.75" top="1" bottom="1" header="0.5" footer="0.5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9" tint="-0.249977111117893"/>
  </sheetPr>
  <dimension ref="A1:AU76"/>
  <sheetViews>
    <sheetView workbookViewId="0">
      <pane xSplit="1" ySplit="1" topLeftCell="B2" activePane="bottomRight" state="frozen"/>
      <selection activeCell="A73" sqref="A73"/>
      <selection pane="topRight" activeCell="A73" sqref="A73"/>
      <selection pane="bottomLeft" activeCell="A73" sqref="A73"/>
      <selection pane="bottomRight" sqref="A1:AU61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11.28515625" customWidth="1" collapsed="1"/>
    <col min="46" max="47" width="10.5703125" customWidth="1"/>
  </cols>
  <sheetData>
    <row r="1" spans="1:47" ht="33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s="203" customFormat="1" x14ac:dyDescent="0.2">
      <c r="A2" s="61" t="s">
        <v>7</v>
      </c>
      <c r="B2" s="62">
        <v>73735.97</v>
      </c>
      <c r="C2" s="54">
        <v>0</v>
      </c>
      <c r="D2" s="54">
        <v>75763.539999999994</v>
      </c>
      <c r="E2" s="63"/>
      <c r="F2" s="64">
        <v>97.323818290433636</v>
      </c>
      <c r="G2" s="65">
        <v>63905.62</v>
      </c>
      <c r="H2" s="54">
        <v>101873.65</v>
      </c>
      <c r="I2" s="54">
        <v>69268.39</v>
      </c>
      <c r="J2" s="54">
        <v>73735.97</v>
      </c>
      <c r="K2" s="54">
        <v>4954.8900000000003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308783.63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118427.77</v>
      </c>
      <c r="AH2" s="67">
        <v>88349.53</v>
      </c>
      <c r="AI2" s="67">
        <v>95138.4</v>
      </c>
      <c r="AJ2" s="67">
        <v>75763.539999999994</v>
      </c>
      <c r="AK2" s="67">
        <v>122577.95</v>
      </c>
      <c r="AL2" s="67">
        <v>120327.79</v>
      </c>
      <c r="AM2" s="67">
        <v>81529.149999999994</v>
      </c>
      <c r="AN2" s="67">
        <v>102295.22</v>
      </c>
      <c r="AO2" s="67">
        <v>123826.75</v>
      </c>
      <c r="AP2" s="67">
        <v>113802.12</v>
      </c>
      <c r="AQ2" s="67">
        <v>93966.59</v>
      </c>
      <c r="AR2" s="67">
        <v>109822.95</v>
      </c>
      <c r="AS2" s="68">
        <v>377679.24</v>
      </c>
      <c r="AT2" s="63"/>
      <c r="AU2" s="63">
        <v>81.758168651260789</v>
      </c>
    </row>
    <row r="3" spans="1:47" ht="12.75" hidden="1" customHeight="1" outlineLevel="1" x14ac:dyDescent="0.2">
      <c r="A3" s="61" t="s">
        <v>160</v>
      </c>
      <c r="B3" s="62">
        <v>0</v>
      </c>
      <c r="C3" s="54">
        <v>0</v>
      </c>
      <c r="D3" s="54">
        <v>0</v>
      </c>
      <c r="E3" s="63"/>
      <c r="F3" s="64"/>
      <c r="G3" s="65">
        <v>0</v>
      </c>
      <c r="H3" s="54">
        <v>0</v>
      </c>
      <c r="I3" s="54">
        <v>0</v>
      </c>
      <c r="J3" s="54">
        <v>0</v>
      </c>
      <c r="K3" s="54">
        <v>0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0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0</v>
      </c>
      <c r="AH3" s="67">
        <v>0</v>
      </c>
      <c r="AI3" s="67">
        <v>0</v>
      </c>
      <c r="AJ3" s="67">
        <v>0</v>
      </c>
      <c r="AK3" s="67">
        <v>0</v>
      </c>
      <c r="AL3" s="67">
        <v>0</v>
      </c>
      <c r="AM3" s="67">
        <v>0</v>
      </c>
      <c r="AN3" s="67">
        <v>0</v>
      </c>
      <c r="AO3" s="67">
        <v>0</v>
      </c>
      <c r="AP3" s="67">
        <v>0</v>
      </c>
      <c r="AQ3" s="67">
        <v>0</v>
      </c>
      <c r="AR3" s="67">
        <v>0</v>
      </c>
      <c r="AS3" s="68">
        <v>0</v>
      </c>
      <c r="AT3" s="63"/>
      <c r="AU3" s="63"/>
    </row>
    <row r="4" spans="1:47" ht="12.75" hidden="1" customHeight="1" outlineLevel="1" x14ac:dyDescent="0.2">
      <c r="A4" s="61" t="s">
        <v>161</v>
      </c>
      <c r="B4" s="62"/>
      <c r="C4" s="54"/>
      <c r="D4" s="54"/>
      <c r="E4" s="63"/>
      <c r="F4" s="64"/>
      <c r="G4" s="65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66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66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8"/>
      <c r="AT4" s="63"/>
      <c r="AU4" s="63"/>
    </row>
    <row r="5" spans="1:47" ht="12.75" hidden="1" customHeight="1" outlineLevel="1" x14ac:dyDescent="0.2">
      <c r="A5" s="61" t="s">
        <v>162</v>
      </c>
      <c r="B5" s="62">
        <v>0</v>
      </c>
      <c r="C5" s="54">
        <v>0</v>
      </c>
      <c r="D5" s="54">
        <v>0</v>
      </c>
      <c r="E5" s="63"/>
      <c r="F5" s="64"/>
      <c r="G5" s="65">
        <v>0</v>
      </c>
      <c r="H5" s="54">
        <v>0</v>
      </c>
      <c r="I5" s="54">
        <v>0</v>
      </c>
      <c r="J5" s="54">
        <v>0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0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0</v>
      </c>
      <c r="AH5" s="67">
        <v>0</v>
      </c>
      <c r="AI5" s="67">
        <v>0</v>
      </c>
      <c r="AJ5" s="67">
        <v>0</v>
      </c>
      <c r="AK5" s="67">
        <v>0</v>
      </c>
      <c r="AL5" s="67">
        <v>0</v>
      </c>
      <c r="AM5" s="67">
        <v>0</v>
      </c>
      <c r="AN5" s="67">
        <v>0</v>
      </c>
      <c r="AO5" s="67">
        <v>0</v>
      </c>
      <c r="AP5" s="67">
        <v>0</v>
      </c>
      <c r="AQ5" s="67">
        <v>0</v>
      </c>
      <c r="AR5" s="67">
        <v>0</v>
      </c>
      <c r="AS5" s="68">
        <v>0</v>
      </c>
      <c r="AT5" s="63"/>
      <c r="AU5" s="63"/>
    </row>
    <row r="6" spans="1:47" ht="12.75" hidden="1" customHeight="1" outlineLevel="1" x14ac:dyDescent="0.2">
      <c r="A6" s="61" t="s">
        <v>163</v>
      </c>
      <c r="B6" s="62"/>
      <c r="C6" s="54">
        <v>0</v>
      </c>
      <c r="D6" s="54"/>
      <c r="E6" s="63"/>
      <c r="F6" s="64"/>
      <c r="G6" s="65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66"/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8"/>
      <c r="AT6" s="63"/>
      <c r="AU6" s="63"/>
    </row>
    <row r="7" spans="1:47" ht="12.75" hidden="1" customHeight="1" outlineLevel="1" x14ac:dyDescent="0.2">
      <c r="A7" s="61" t="s">
        <v>164</v>
      </c>
      <c r="B7" s="62"/>
      <c r="C7" s="54">
        <v>0</v>
      </c>
      <c r="D7" s="54"/>
      <c r="E7" s="63"/>
      <c r="F7" s="64"/>
      <c r="G7" s="65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66"/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/>
      <c r="AH7" s="67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8"/>
      <c r="AT7" s="63"/>
      <c r="AU7" s="63"/>
    </row>
    <row r="8" spans="1:47" ht="12.75" hidden="1" customHeight="1" outlineLevel="1" x14ac:dyDescent="0.2">
      <c r="A8" s="61" t="s">
        <v>165</v>
      </c>
      <c r="B8" s="62">
        <v>0</v>
      </c>
      <c r="C8" s="54">
        <v>0</v>
      </c>
      <c r="D8" s="54">
        <v>0</v>
      </c>
      <c r="E8" s="63"/>
      <c r="F8" s="64"/>
      <c r="G8" s="65">
        <v>0</v>
      </c>
      <c r="H8" s="54">
        <v>0</v>
      </c>
      <c r="I8" s="54">
        <v>0</v>
      </c>
      <c r="J8" s="54">
        <v>0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66">
        <v>0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66">
        <v>0</v>
      </c>
      <c r="AG8" s="67">
        <v>0</v>
      </c>
      <c r="AH8" s="67">
        <v>0</v>
      </c>
      <c r="AI8" s="67">
        <v>0</v>
      </c>
      <c r="AJ8" s="67">
        <v>0</v>
      </c>
      <c r="AK8" s="67">
        <v>0</v>
      </c>
      <c r="AL8" s="67">
        <v>0</v>
      </c>
      <c r="AM8" s="67">
        <v>0</v>
      </c>
      <c r="AN8" s="67">
        <v>0</v>
      </c>
      <c r="AO8" s="67">
        <v>0</v>
      </c>
      <c r="AP8" s="67">
        <v>0</v>
      </c>
      <c r="AQ8" s="67">
        <v>0</v>
      </c>
      <c r="AR8" s="67">
        <v>0</v>
      </c>
      <c r="AS8" s="68">
        <v>0</v>
      </c>
      <c r="AT8" s="63"/>
      <c r="AU8" s="63"/>
    </row>
    <row r="9" spans="1:47" ht="12.75" customHeight="1" collapsed="1" x14ac:dyDescent="0.2">
      <c r="A9" s="69" t="s">
        <v>166</v>
      </c>
      <c r="B9" s="70">
        <v>0</v>
      </c>
      <c r="C9" s="71">
        <v>0</v>
      </c>
      <c r="D9" s="71">
        <v>0</v>
      </c>
      <c r="E9" s="72"/>
      <c r="F9" s="73"/>
      <c r="G9" s="70">
        <v>0</v>
      </c>
      <c r="H9" s="71">
        <v>0</v>
      </c>
      <c r="I9" s="71">
        <v>0</v>
      </c>
      <c r="J9" s="71">
        <v>0</v>
      </c>
      <c r="K9" s="71">
        <v>0</v>
      </c>
      <c r="L9" s="71">
        <v>0</v>
      </c>
      <c r="M9" s="71">
        <v>0</v>
      </c>
      <c r="N9" s="71">
        <v>0</v>
      </c>
      <c r="O9" s="71">
        <v>0</v>
      </c>
      <c r="P9" s="71">
        <v>0</v>
      </c>
      <c r="Q9" s="71">
        <v>0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0</v>
      </c>
      <c r="AA9" s="71">
        <v>0</v>
      </c>
      <c r="AB9" s="71">
        <v>0</v>
      </c>
      <c r="AC9" s="71">
        <v>0</v>
      </c>
      <c r="AD9" s="71">
        <v>0</v>
      </c>
      <c r="AE9" s="71">
        <v>0</v>
      </c>
      <c r="AF9" s="71">
        <v>0</v>
      </c>
      <c r="AG9" s="75">
        <v>0</v>
      </c>
      <c r="AH9" s="75">
        <v>0</v>
      </c>
      <c r="AI9" s="75">
        <v>0</v>
      </c>
      <c r="AJ9" s="75">
        <v>0</v>
      </c>
      <c r="AK9" s="75">
        <v>0</v>
      </c>
      <c r="AL9" s="75">
        <v>0</v>
      </c>
      <c r="AM9" s="75">
        <v>0</v>
      </c>
      <c r="AN9" s="75">
        <v>0</v>
      </c>
      <c r="AO9" s="75">
        <v>0</v>
      </c>
      <c r="AP9" s="75">
        <v>0</v>
      </c>
      <c r="AQ9" s="75">
        <v>0</v>
      </c>
      <c r="AR9" s="75">
        <v>0</v>
      </c>
      <c r="AS9" s="75">
        <v>0</v>
      </c>
      <c r="AT9" s="72"/>
      <c r="AU9" s="72"/>
    </row>
    <row r="10" spans="1:47" ht="12.75" customHeight="1" x14ac:dyDescent="0.2">
      <c r="A10" s="61" t="s">
        <v>167</v>
      </c>
      <c r="B10" s="62">
        <v>530.9</v>
      </c>
      <c r="C10" s="54">
        <v>0</v>
      </c>
      <c r="D10" s="54">
        <v>1799.77</v>
      </c>
      <c r="E10" s="63"/>
      <c r="F10" s="64">
        <v>29.498213660634413</v>
      </c>
      <c r="G10" s="65">
        <v>440.36</v>
      </c>
      <c r="H10" s="54">
        <v>786.45</v>
      </c>
      <c r="I10" s="56">
        <v>-6699.56</v>
      </c>
      <c r="J10" s="54">
        <v>530.9</v>
      </c>
      <c r="K10" s="54">
        <v>0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76">
        <v>-4941.8500000000004</v>
      </c>
      <c r="T10" s="54">
        <v>0</v>
      </c>
      <c r="U10" s="54">
        <v>0</v>
      </c>
      <c r="V10" s="54">
        <v>0</v>
      </c>
      <c r="W10" s="54">
        <v>0</v>
      </c>
      <c r="X10" s="54">
        <v>0</v>
      </c>
      <c r="Y10" s="54">
        <v>0</v>
      </c>
      <c r="Z10" s="54">
        <v>0</v>
      </c>
      <c r="AA10" s="54">
        <v>0</v>
      </c>
      <c r="AB10" s="54">
        <v>0</v>
      </c>
      <c r="AC10" s="54">
        <v>0</v>
      </c>
      <c r="AD10" s="54">
        <v>0</v>
      </c>
      <c r="AE10" s="54">
        <v>0</v>
      </c>
      <c r="AF10" s="66">
        <v>0</v>
      </c>
      <c r="AG10" s="67">
        <v>606.5</v>
      </c>
      <c r="AH10" s="67">
        <v>1046.32</v>
      </c>
      <c r="AI10" s="98">
        <v>-13905.85</v>
      </c>
      <c r="AJ10" s="67">
        <v>1799.77</v>
      </c>
      <c r="AK10" s="67">
        <v>1061.73</v>
      </c>
      <c r="AL10" s="67">
        <v>12105</v>
      </c>
      <c r="AM10" s="98">
        <v>-3265.42</v>
      </c>
      <c r="AN10" s="98">
        <v>-2556.31</v>
      </c>
      <c r="AO10" s="67">
        <v>1099.32</v>
      </c>
      <c r="AP10" s="67">
        <v>602.94000000000005</v>
      </c>
      <c r="AQ10" s="67">
        <v>890.3</v>
      </c>
      <c r="AR10" s="67">
        <v>6112.18</v>
      </c>
      <c r="AS10" s="99">
        <v>-10453.26</v>
      </c>
      <c r="AT10" s="63"/>
      <c r="AU10" s="63">
        <v>47.275682418690437</v>
      </c>
    </row>
    <row r="11" spans="1:47" ht="12.75" customHeight="1" x14ac:dyDescent="0.2">
      <c r="A11" s="61" t="s">
        <v>168</v>
      </c>
      <c r="B11" s="62">
        <v>0</v>
      </c>
      <c r="C11" s="54">
        <v>0</v>
      </c>
      <c r="D11" s="54">
        <v>632.9</v>
      </c>
      <c r="E11" s="63"/>
      <c r="F11" s="64">
        <v>0</v>
      </c>
      <c r="G11" s="65">
        <v>0</v>
      </c>
      <c r="H11" s="54">
        <v>0</v>
      </c>
      <c r="I11" s="54">
        <v>0</v>
      </c>
      <c r="J11" s="54">
        <v>0</v>
      </c>
      <c r="K11" s="54">
        <v>0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66">
        <v>0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0</v>
      </c>
      <c r="AC11" s="54">
        <v>0</v>
      </c>
      <c r="AD11" s="54">
        <v>0</v>
      </c>
      <c r="AE11" s="54">
        <v>0</v>
      </c>
      <c r="AF11" s="66">
        <v>0</v>
      </c>
      <c r="AG11" s="67">
        <v>0</v>
      </c>
      <c r="AH11" s="67">
        <v>0</v>
      </c>
      <c r="AI11" s="67">
        <v>0</v>
      </c>
      <c r="AJ11" s="67">
        <v>632.9</v>
      </c>
      <c r="AK11" s="67">
        <v>0</v>
      </c>
      <c r="AL11" s="67">
        <v>0</v>
      </c>
      <c r="AM11" s="67">
        <v>0</v>
      </c>
      <c r="AN11" s="67">
        <v>0</v>
      </c>
      <c r="AO11" s="67">
        <v>0</v>
      </c>
      <c r="AP11" s="67">
        <v>0</v>
      </c>
      <c r="AQ11" s="67">
        <v>552</v>
      </c>
      <c r="AR11" s="98">
        <v>-480</v>
      </c>
      <c r="AS11" s="68">
        <v>632.9</v>
      </c>
      <c r="AT11" s="63"/>
      <c r="AU11" s="63">
        <v>0</v>
      </c>
    </row>
    <row r="12" spans="1:47" ht="12.75" customHeight="1" x14ac:dyDescent="0.2">
      <c r="A12" s="61" t="s">
        <v>169</v>
      </c>
      <c r="B12" s="62">
        <v>145.26</v>
      </c>
      <c r="C12" s="54">
        <v>0</v>
      </c>
      <c r="D12" s="54">
        <v>1450.21</v>
      </c>
      <c r="E12" s="63"/>
      <c r="F12" s="64">
        <v>10.016480371808221</v>
      </c>
      <c r="G12" s="65">
        <v>168.91</v>
      </c>
      <c r="H12" s="54">
        <v>3624.88</v>
      </c>
      <c r="I12" s="54">
        <v>269.66000000000003</v>
      </c>
      <c r="J12" s="54">
        <v>145.26</v>
      </c>
      <c r="K12" s="54">
        <v>0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66">
        <v>4208.71</v>
      </c>
      <c r="T12" s="54">
        <v>0</v>
      </c>
      <c r="U12" s="54">
        <v>0</v>
      </c>
      <c r="V12" s="54">
        <v>0</v>
      </c>
      <c r="W12" s="54">
        <v>0</v>
      </c>
      <c r="X12" s="54">
        <v>0</v>
      </c>
      <c r="Y12" s="54">
        <v>0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66">
        <v>0</v>
      </c>
      <c r="AG12" s="67">
        <v>318.74</v>
      </c>
      <c r="AH12" s="67">
        <v>335.54</v>
      </c>
      <c r="AI12" s="67">
        <v>283.06</v>
      </c>
      <c r="AJ12" s="67">
        <v>1450.21</v>
      </c>
      <c r="AK12" s="67">
        <v>71.8</v>
      </c>
      <c r="AL12" s="67">
        <v>203</v>
      </c>
      <c r="AM12" s="67">
        <v>2535.9499999999998</v>
      </c>
      <c r="AN12" s="67">
        <v>802.65</v>
      </c>
      <c r="AO12" s="67">
        <v>641.34</v>
      </c>
      <c r="AP12" s="67">
        <v>560.04</v>
      </c>
      <c r="AQ12" s="67">
        <v>207.26</v>
      </c>
      <c r="AR12" s="98">
        <v>-813.79</v>
      </c>
      <c r="AS12" s="68">
        <v>2387.5500000000002</v>
      </c>
      <c r="AT12" s="63"/>
      <c r="AU12" s="63">
        <v>176.27735544805344</v>
      </c>
    </row>
    <row r="13" spans="1:47" ht="12.75" customHeight="1" x14ac:dyDescent="0.2">
      <c r="A13" s="61" t="s">
        <v>50</v>
      </c>
      <c r="B13" s="62">
        <v>0</v>
      </c>
      <c r="C13" s="54">
        <v>0</v>
      </c>
      <c r="D13" s="54">
        <v>0</v>
      </c>
      <c r="E13" s="63"/>
      <c r="F13" s="64"/>
      <c r="G13" s="65">
        <v>0</v>
      </c>
      <c r="H13" s="54">
        <v>0</v>
      </c>
      <c r="I13" s="54">
        <v>0</v>
      </c>
      <c r="J13" s="54">
        <v>0</v>
      </c>
      <c r="K13" s="54">
        <v>0</v>
      </c>
      <c r="L13" s="54">
        <v>0</v>
      </c>
      <c r="M13" s="54">
        <v>0</v>
      </c>
      <c r="N13" s="54">
        <v>0</v>
      </c>
      <c r="O13" s="54">
        <v>0</v>
      </c>
      <c r="P13" s="54">
        <v>0</v>
      </c>
      <c r="Q13" s="54">
        <v>0</v>
      </c>
      <c r="R13" s="54">
        <v>0</v>
      </c>
      <c r="S13" s="66">
        <v>0</v>
      </c>
      <c r="T13" s="54">
        <v>0</v>
      </c>
      <c r="U13" s="54">
        <v>0</v>
      </c>
      <c r="V13" s="54">
        <v>0</v>
      </c>
      <c r="W13" s="54">
        <v>0</v>
      </c>
      <c r="X13" s="54">
        <v>0</v>
      </c>
      <c r="Y13" s="54">
        <v>0</v>
      </c>
      <c r="Z13" s="54">
        <v>0</v>
      </c>
      <c r="AA13" s="54">
        <v>0</v>
      </c>
      <c r="AB13" s="54">
        <v>0</v>
      </c>
      <c r="AC13" s="54">
        <v>0</v>
      </c>
      <c r="AD13" s="54">
        <v>0</v>
      </c>
      <c r="AE13" s="54">
        <v>0</v>
      </c>
      <c r="AF13" s="66">
        <v>0</v>
      </c>
      <c r="AG13" s="67">
        <v>0</v>
      </c>
      <c r="AH13" s="67">
        <v>0</v>
      </c>
      <c r="AI13" s="67">
        <v>0</v>
      </c>
      <c r="AJ13" s="67">
        <v>0</v>
      </c>
      <c r="AK13" s="67">
        <v>0</v>
      </c>
      <c r="AL13" s="67">
        <v>0</v>
      </c>
      <c r="AM13" s="67">
        <v>0</v>
      </c>
      <c r="AN13" s="67">
        <v>0</v>
      </c>
      <c r="AO13" s="67">
        <v>0</v>
      </c>
      <c r="AP13" s="67">
        <v>0</v>
      </c>
      <c r="AQ13" s="67">
        <v>0</v>
      </c>
      <c r="AR13" s="67">
        <v>0</v>
      </c>
      <c r="AS13" s="68">
        <v>0</v>
      </c>
      <c r="AT13" s="63"/>
      <c r="AU13" s="63"/>
    </row>
    <row r="14" spans="1:47" ht="12.75" customHeight="1" x14ac:dyDescent="0.2">
      <c r="A14" s="61" t="s">
        <v>170</v>
      </c>
      <c r="B14" s="62">
        <v>17324.669999999998</v>
      </c>
      <c r="C14" s="54">
        <v>0</v>
      </c>
      <c r="D14" s="54">
        <v>28733.22</v>
      </c>
      <c r="E14" s="63"/>
      <c r="F14" s="64">
        <v>60.294912996176549</v>
      </c>
      <c r="G14" s="65">
        <v>17793.509999999998</v>
      </c>
      <c r="H14" s="54">
        <v>26147.46</v>
      </c>
      <c r="I14" s="54">
        <v>27042.02</v>
      </c>
      <c r="J14" s="54">
        <v>17324.669999999998</v>
      </c>
      <c r="K14" s="56">
        <v>-12822.14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88307.66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67">
        <v>27736.49</v>
      </c>
      <c r="AH14" s="67">
        <v>50822.48</v>
      </c>
      <c r="AI14" s="67">
        <v>24213.11</v>
      </c>
      <c r="AJ14" s="67">
        <v>28733.22</v>
      </c>
      <c r="AK14" s="67">
        <v>36321.97</v>
      </c>
      <c r="AL14" s="67">
        <v>32203.74</v>
      </c>
      <c r="AM14" s="67">
        <v>21824.47</v>
      </c>
      <c r="AN14" s="67">
        <v>42835.92</v>
      </c>
      <c r="AO14" s="67">
        <v>48333.5</v>
      </c>
      <c r="AP14" s="67">
        <v>41245.839999999997</v>
      </c>
      <c r="AQ14" s="67">
        <v>25386.91</v>
      </c>
      <c r="AR14" s="67">
        <v>30527.22</v>
      </c>
      <c r="AS14" s="68">
        <v>131505.29999999999</v>
      </c>
      <c r="AT14" s="63"/>
      <c r="AU14" s="63">
        <v>67.15140758585396</v>
      </c>
    </row>
    <row r="15" spans="1:47" ht="12.75" customHeight="1" x14ac:dyDescent="0.2">
      <c r="A15" s="61" t="s">
        <v>171</v>
      </c>
      <c r="B15" s="62">
        <v>0</v>
      </c>
      <c r="C15" s="54">
        <v>0</v>
      </c>
      <c r="D15" s="54">
        <v>348.38</v>
      </c>
      <c r="E15" s="63"/>
      <c r="F15" s="64">
        <v>0</v>
      </c>
      <c r="G15" s="65">
        <v>30</v>
      </c>
      <c r="H15" s="54">
        <v>0</v>
      </c>
      <c r="I15" s="54">
        <v>0</v>
      </c>
      <c r="J15" s="54">
        <v>0</v>
      </c>
      <c r="K15" s="54">
        <v>0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66">
        <v>30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66">
        <v>0</v>
      </c>
      <c r="AG15" s="67">
        <v>0</v>
      </c>
      <c r="AH15" s="67">
        <v>0</v>
      </c>
      <c r="AI15" s="67">
        <v>0</v>
      </c>
      <c r="AJ15" s="67">
        <v>348.38</v>
      </c>
      <c r="AK15" s="67">
        <v>1551.03</v>
      </c>
      <c r="AL15" s="67">
        <v>0</v>
      </c>
      <c r="AM15" s="67">
        <v>0</v>
      </c>
      <c r="AN15" s="67">
        <v>0</v>
      </c>
      <c r="AO15" s="67">
        <v>30</v>
      </c>
      <c r="AP15" s="67">
        <v>0</v>
      </c>
      <c r="AQ15" s="67">
        <v>0</v>
      </c>
      <c r="AR15" s="67">
        <v>0</v>
      </c>
      <c r="AS15" s="68">
        <v>348.38</v>
      </c>
      <c r="AT15" s="63"/>
      <c r="AU15" s="63">
        <v>8.6112865262070155</v>
      </c>
    </row>
    <row r="16" spans="1:47" ht="12.75" customHeight="1" x14ac:dyDescent="0.2">
      <c r="A16" s="61" t="s">
        <v>172</v>
      </c>
      <c r="B16" s="62">
        <v>0</v>
      </c>
      <c r="C16" s="54">
        <v>0</v>
      </c>
      <c r="D16" s="54">
        <v>0</v>
      </c>
      <c r="E16" s="63"/>
      <c r="F16" s="64"/>
      <c r="G16" s="65">
        <v>0</v>
      </c>
      <c r="H16" s="54">
        <v>0</v>
      </c>
      <c r="I16" s="54">
        <v>0</v>
      </c>
      <c r="J16" s="54">
        <v>0</v>
      </c>
      <c r="K16" s="54"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66">
        <v>0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>
        <v>0</v>
      </c>
      <c r="AH16" s="67">
        <v>0</v>
      </c>
      <c r="AI16" s="67">
        <v>0</v>
      </c>
      <c r="AJ16" s="67">
        <v>0</v>
      </c>
      <c r="AK16" s="67">
        <v>0</v>
      </c>
      <c r="AL16" s="67">
        <v>0</v>
      </c>
      <c r="AM16" s="67">
        <v>0</v>
      </c>
      <c r="AN16" s="67">
        <v>0</v>
      </c>
      <c r="AO16" s="67">
        <v>0</v>
      </c>
      <c r="AP16" s="67">
        <v>0</v>
      </c>
      <c r="AQ16" s="67">
        <v>0</v>
      </c>
      <c r="AR16" s="67">
        <v>0</v>
      </c>
      <c r="AS16" s="68">
        <v>0</v>
      </c>
      <c r="AT16" s="63"/>
      <c r="AU16" s="63"/>
    </row>
    <row r="17" spans="1:47" s="365" customFormat="1" ht="12.75" customHeight="1" x14ac:dyDescent="0.2">
      <c r="A17" s="61" t="s">
        <v>173</v>
      </c>
      <c r="B17" s="62">
        <v>0</v>
      </c>
      <c r="C17" s="54">
        <v>0</v>
      </c>
      <c r="D17" s="54">
        <v>86.62</v>
      </c>
      <c r="E17" s="63"/>
      <c r="F17" s="64">
        <v>0</v>
      </c>
      <c r="G17" s="65">
        <v>0</v>
      </c>
      <c r="H17" s="54">
        <v>0</v>
      </c>
      <c r="I17" s="54">
        <v>0</v>
      </c>
      <c r="J17" s="54">
        <v>0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0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86.63</v>
      </c>
      <c r="AH17" s="67">
        <v>86.62</v>
      </c>
      <c r="AI17" s="67">
        <v>86.63</v>
      </c>
      <c r="AJ17" s="67">
        <v>86.62</v>
      </c>
      <c r="AK17" s="67">
        <v>86.63</v>
      </c>
      <c r="AL17" s="67">
        <v>86.62</v>
      </c>
      <c r="AM17" s="67">
        <v>86.63</v>
      </c>
      <c r="AN17" s="67">
        <v>0</v>
      </c>
      <c r="AO17" s="67">
        <v>0</v>
      </c>
      <c r="AP17" s="67">
        <v>0</v>
      </c>
      <c r="AQ17" s="67">
        <v>0</v>
      </c>
      <c r="AR17" s="67">
        <v>0</v>
      </c>
      <c r="AS17" s="68">
        <v>346.5</v>
      </c>
      <c r="AT17" s="63"/>
      <c r="AU17" s="63">
        <v>0</v>
      </c>
    </row>
    <row r="18" spans="1:47" ht="12.75" customHeight="1" x14ac:dyDescent="0.2">
      <c r="A18" s="61" t="s">
        <v>257</v>
      </c>
      <c r="B18" s="62"/>
      <c r="C18" s="54"/>
      <c r="D18" s="54"/>
      <c r="E18" s="63"/>
      <c r="F18" s="64"/>
      <c r="G18" s="65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66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66"/>
      <c r="AG18" s="67"/>
      <c r="AH18" s="67"/>
      <c r="AI18" s="67"/>
      <c r="AJ18" s="67"/>
      <c r="AK18" s="67"/>
      <c r="AL18" s="67"/>
      <c r="AM18" s="67"/>
      <c r="AN18" s="67"/>
      <c r="AO18" s="67"/>
      <c r="AP18" s="67"/>
      <c r="AQ18" s="67"/>
      <c r="AR18" s="67"/>
      <c r="AS18" s="68"/>
      <c r="AT18" s="63"/>
      <c r="AU18" s="63"/>
    </row>
    <row r="19" spans="1:47" ht="12.75" hidden="1" customHeight="1" outlineLevel="1" x14ac:dyDescent="0.2">
      <c r="A19" s="61" t="s">
        <v>109</v>
      </c>
      <c r="B19" s="62">
        <v>0</v>
      </c>
      <c r="C19" s="54">
        <v>0</v>
      </c>
      <c r="D19" s="54">
        <v>0</v>
      </c>
      <c r="E19" s="63"/>
      <c r="F19" s="64"/>
      <c r="G19" s="65">
        <v>0</v>
      </c>
      <c r="H19" s="54">
        <v>0</v>
      </c>
      <c r="I19" s="54">
        <v>0</v>
      </c>
      <c r="J19" s="54">
        <v>0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0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2132</v>
      </c>
      <c r="AH19" s="67">
        <v>0</v>
      </c>
      <c r="AI19" s="67">
        <v>0</v>
      </c>
      <c r="AJ19" s="67">
        <v>0</v>
      </c>
      <c r="AK19" s="67">
        <v>0</v>
      </c>
      <c r="AL19" s="67">
        <v>0</v>
      </c>
      <c r="AM19" s="67">
        <v>0</v>
      </c>
      <c r="AN19" s="67">
        <v>0</v>
      </c>
      <c r="AO19" s="67">
        <v>0</v>
      </c>
      <c r="AP19" s="67">
        <v>0</v>
      </c>
      <c r="AQ19" s="67">
        <v>0</v>
      </c>
      <c r="AR19" s="67">
        <v>0</v>
      </c>
      <c r="AS19" s="68">
        <v>2132</v>
      </c>
      <c r="AT19" s="63"/>
      <c r="AU19" s="63">
        <v>0</v>
      </c>
    </row>
    <row r="20" spans="1:47" ht="12.75" hidden="1" customHeight="1" outlineLevel="1" x14ac:dyDescent="0.2">
      <c r="A20" s="61" t="s">
        <v>97</v>
      </c>
      <c r="B20" s="62">
        <v>0</v>
      </c>
      <c r="C20" s="54">
        <v>0</v>
      </c>
      <c r="D20" s="54">
        <v>0</v>
      </c>
      <c r="E20" s="63"/>
      <c r="F20" s="64"/>
      <c r="G20" s="65">
        <v>0</v>
      </c>
      <c r="H20" s="54">
        <v>0</v>
      </c>
      <c r="I20" s="54">
        <v>0</v>
      </c>
      <c r="J20" s="54">
        <v>0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66">
        <v>0</v>
      </c>
      <c r="T20" s="54">
        <v>0</v>
      </c>
      <c r="U20" s="54">
        <v>0</v>
      </c>
      <c r="V20" s="54">
        <v>0</v>
      </c>
      <c r="W20" s="54">
        <v>0</v>
      </c>
      <c r="X20" s="54">
        <v>0</v>
      </c>
      <c r="Y20" s="54">
        <v>0</v>
      </c>
      <c r="Z20" s="54">
        <v>0</v>
      </c>
      <c r="AA20" s="54">
        <v>0</v>
      </c>
      <c r="AB20" s="54">
        <v>0</v>
      </c>
      <c r="AC20" s="54">
        <v>0</v>
      </c>
      <c r="AD20" s="54">
        <v>0</v>
      </c>
      <c r="AE20" s="54">
        <v>0</v>
      </c>
      <c r="AF20" s="66">
        <v>0</v>
      </c>
      <c r="AG20" s="67">
        <v>0</v>
      </c>
      <c r="AH20" s="67">
        <v>0</v>
      </c>
      <c r="AI20" s="67">
        <v>0</v>
      </c>
      <c r="AJ20" s="67">
        <v>0</v>
      </c>
      <c r="AK20" s="67">
        <v>0</v>
      </c>
      <c r="AL20" s="67">
        <v>0</v>
      </c>
      <c r="AM20" s="67">
        <v>0</v>
      </c>
      <c r="AN20" s="67">
        <v>0</v>
      </c>
      <c r="AO20" s="67">
        <v>0</v>
      </c>
      <c r="AP20" s="67">
        <v>0</v>
      </c>
      <c r="AQ20" s="67">
        <v>0</v>
      </c>
      <c r="AR20" s="67">
        <v>0</v>
      </c>
      <c r="AS20" s="68">
        <v>0</v>
      </c>
      <c r="AT20" s="63"/>
      <c r="AU20" s="63"/>
    </row>
    <row r="21" spans="1:47" ht="12.75" hidden="1" customHeight="1" outlineLevel="1" x14ac:dyDescent="0.2">
      <c r="A21" s="61" t="s">
        <v>69</v>
      </c>
      <c r="B21" s="62">
        <v>0</v>
      </c>
      <c r="C21" s="54">
        <v>0</v>
      </c>
      <c r="D21" s="54">
        <v>0</v>
      </c>
      <c r="E21" s="63"/>
      <c r="F21" s="64"/>
      <c r="G21" s="65">
        <v>0</v>
      </c>
      <c r="H21" s="54">
        <v>0</v>
      </c>
      <c r="I21" s="54">
        <v>0</v>
      </c>
      <c r="J21" s="54">
        <v>0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66">
        <v>0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4">
        <v>0</v>
      </c>
      <c r="AB21" s="54">
        <v>0</v>
      </c>
      <c r="AC21" s="54">
        <v>0</v>
      </c>
      <c r="AD21" s="54">
        <v>0</v>
      </c>
      <c r="AE21" s="54">
        <v>0</v>
      </c>
      <c r="AF21" s="66">
        <v>0</v>
      </c>
      <c r="AG21" s="67">
        <v>0</v>
      </c>
      <c r="AH21" s="67">
        <v>0</v>
      </c>
      <c r="AI21" s="67">
        <v>0</v>
      </c>
      <c r="AJ21" s="67">
        <v>0</v>
      </c>
      <c r="AK21" s="67">
        <v>0</v>
      </c>
      <c r="AL21" s="67">
        <v>0</v>
      </c>
      <c r="AM21" s="67">
        <v>0</v>
      </c>
      <c r="AN21" s="67">
        <v>0</v>
      </c>
      <c r="AO21" s="67">
        <v>0</v>
      </c>
      <c r="AP21" s="67">
        <v>0</v>
      </c>
      <c r="AQ21" s="67">
        <v>0</v>
      </c>
      <c r="AR21" s="67">
        <v>0</v>
      </c>
      <c r="AS21" s="68">
        <v>0</v>
      </c>
      <c r="AT21" s="63"/>
      <c r="AU21" s="63"/>
    </row>
    <row r="22" spans="1:47" ht="12.75" customHeight="1" collapsed="1" x14ac:dyDescent="0.2">
      <c r="A22" s="69" t="s">
        <v>70</v>
      </c>
      <c r="B22" s="70">
        <v>0</v>
      </c>
      <c r="C22" s="71">
        <v>0</v>
      </c>
      <c r="D22" s="71">
        <v>0</v>
      </c>
      <c r="E22" s="72"/>
      <c r="F22" s="73"/>
      <c r="G22" s="70">
        <v>0</v>
      </c>
      <c r="H22" s="71">
        <v>0</v>
      </c>
      <c r="I22" s="71">
        <v>0</v>
      </c>
      <c r="J22" s="71">
        <v>0</v>
      </c>
      <c r="K22" s="71">
        <v>0</v>
      </c>
      <c r="L22" s="71">
        <v>0</v>
      </c>
      <c r="M22" s="71">
        <v>0</v>
      </c>
      <c r="N22" s="71">
        <v>0</v>
      </c>
      <c r="O22" s="71">
        <v>0</v>
      </c>
      <c r="P22" s="71">
        <v>0</v>
      </c>
      <c r="Q22" s="71">
        <v>0</v>
      </c>
      <c r="R22" s="71">
        <v>0</v>
      </c>
      <c r="S22" s="71">
        <v>0</v>
      </c>
      <c r="T22" s="71">
        <v>0</v>
      </c>
      <c r="U22" s="71">
        <v>0</v>
      </c>
      <c r="V22" s="71">
        <v>0</v>
      </c>
      <c r="W22" s="71">
        <v>0</v>
      </c>
      <c r="X22" s="71">
        <v>0</v>
      </c>
      <c r="Y22" s="71">
        <v>0</v>
      </c>
      <c r="Z22" s="71">
        <v>0</v>
      </c>
      <c r="AA22" s="71">
        <v>0</v>
      </c>
      <c r="AB22" s="71">
        <v>0</v>
      </c>
      <c r="AC22" s="71">
        <v>0</v>
      </c>
      <c r="AD22" s="71">
        <v>0</v>
      </c>
      <c r="AE22" s="71">
        <v>0</v>
      </c>
      <c r="AF22" s="71">
        <v>0</v>
      </c>
      <c r="AG22" s="75">
        <v>2132</v>
      </c>
      <c r="AH22" s="75">
        <v>0</v>
      </c>
      <c r="AI22" s="75">
        <v>0</v>
      </c>
      <c r="AJ22" s="75">
        <v>0</v>
      </c>
      <c r="AK22" s="75">
        <v>0</v>
      </c>
      <c r="AL22" s="75">
        <v>0</v>
      </c>
      <c r="AM22" s="75">
        <v>0</v>
      </c>
      <c r="AN22" s="75">
        <v>0</v>
      </c>
      <c r="AO22" s="75">
        <v>0</v>
      </c>
      <c r="AP22" s="75">
        <v>0</v>
      </c>
      <c r="AQ22" s="75">
        <v>0</v>
      </c>
      <c r="AR22" s="75">
        <v>0</v>
      </c>
      <c r="AS22" s="75">
        <v>2132</v>
      </c>
      <c r="AT22" s="72"/>
      <c r="AU22" s="72">
        <v>0</v>
      </c>
    </row>
    <row r="23" spans="1:47" ht="12.75" hidden="1" customHeight="1" outlineLevel="1" x14ac:dyDescent="0.2">
      <c r="A23" s="61" t="s">
        <v>174</v>
      </c>
      <c r="B23" s="62">
        <v>0</v>
      </c>
      <c r="C23" s="54">
        <v>0</v>
      </c>
      <c r="D23" s="54">
        <v>0</v>
      </c>
      <c r="E23" s="63"/>
      <c r="F23" s="64"/>
      <c r="G23" s="65">
        <v>0</v>
      </c>
      <c r="H23" s="54">
        <v>0</v>
      </c>
      <c r="I23" s="54">
        <v>0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0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0</v>
      </c>
      <c r="AH23" s="67">
        <v>0</v>
      </c>
      <c r="AI23" s="67">
        <v>0</v>
      </c>
      <c r="AJ23" s="67">
        <v>0</v>
      </c>
      <c r="AK23" s="67">
        <v>0</v>
      </c>
      <c r="AL23" s="67">
        <v>0</v>
      </c>
      <c r="AM23" s="67">
        <v>0</v>
      </c>
      <c r="AN23" s="67">
        <v>0</v>
      </c>
      <c r="AO23" s="67">
        <v>0</v>
      </c>
      <c r="AP23" s="67">
        <v>0</v>
      </c>
      <c r="AQ23" s="67">
        <v>0</v>
      </c>
      <c r="AR23" s="67">
        <v>0</v>
      </c>
      <c r="AS23" s="68">
        <v>0</v>
      </c>
      <c r="AT23" s="63"/>
      <c r="AU23" s="63"/>
    </row>
    <row r="24" spans="1:47" ht="12.75" hidden="1" customHeight="1" outlineLevel="1" x14ac:dyDescent="0.2">
      <c r="A24" s="61" t="s">
        <v>99</v>
      </c>
      <c r="B24" s="62">
        <v>0</v>
      </c>
      <c r="C24" s="54">
        <v>0</v>
      </c>
      <c r="D24" s="54">
        <v>0</v>
      </c>
      <c r="E24" s="63"/>
      <c r="F24" s="64"/>
      <c r="G24" s="65">
        <v>0</v>
      </c>
      <c r="H24" s="54">
        <v>0</v>
      </c>
      <c r="I24" s="54">
        <v>0</v>
      </c>
      <c r="J24" s="54">
        <v>0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0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0</v>
      </c>
      <c r="AH24" s="67">
        <v>0</v>
      </c>
      <c r="AI24" s="67">
        <v>0</v>
      </c>
      <c r="AJ24" s="67">
        <v>0</v>
      </c>
      <c r="AK24" s="67">
        <v>0</v>
      </c>
      <c r="AL24" s="67">
        <v>0</v>
      </c>
      <c r="AM24" s="67">
        <v>0</v>
      </c>
      <c r="AN24" s="67">
        <v>0</v>
      </c>
      <c r="AO24" s="67">
        <v>0</v>
      </c>
      <c r="AP24" s="67">
        <v>0</v>
      </c>
      <c r="AQ24" s="67">
        <v>0</v>
      </c>
      <c r="AR24" s="67">
        <v>0</v>
      </c>
      <c r="AS24" s="68">
        <v>0</v>
      </c>
      <c r="AT24" s="63"/>
      <c r="AU24" s="63"/>
    </row>
    <row r="25" spans="1:47" ht="12.75" hidden="1" customHeight="1" outlineLevel="1" x14ac:dyDescent="0.2">
      <c r="A25" s="61" t="s">
        <v>175</v>
      </c>
      <c r="B25" s="62">
        <v>0</v>
      </c>
      <c r="C25" s="54">
        <v>0</v>
      </c>
      <c r="D25" s="54">
        <v>0</v>
      </c>
      <c r="E25" s="63"/>
      <c r="F25" s="64"/>
      <c r="G25" s="65">
        <v>0</v>
      </c>
      <c r="H25" s="54">
        <v>0</v>
      </c>
      <c r="I25" s="54">
        <v>0</v>
      </c>
      <c r="J25" s="54">
        <v>0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0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0</v>
      </c>
      <c r="AH25" s="67">
        <v>0</v>
      </c>
      <c r="AI25" s="67">
        <v>0</v>
      </c>
      <c r="AJ25" s="67">
        <v>0</v>
      </c>
      <c r="AK25" s="67">
        <v>0</v>
      </c>
      <c r="AL25" s="67">
        <v>0</v>
      </c>
      <c r="AM25" s="67">
        <v>0</v>
      </c>
      <c r="AN25" s="67">
        <v>0</v>
      </c>
      <c r="AO25" s="67">
        <v>0</v>
      </c>
      <c r="AP25" s="67">
        <v>0</v>
      </c>
      <c r="AQ25" s="67">
        <v>0</v>
      </c>
      <c r="AR25" s="67">
        <v>0</v>
      </c>
      <c r="AS25" s="68">
        <v>0</v>
      </c>
      <c r="AT25" s="63"/>
      <c r="AU25" s="63"/>
    </row>
    <row r="26" spans="1:47" ht="12.75" hidden="1" customHeight="1" outlineLevel="1" x14ac:dyDescent="0.2">
      <c r="A26" s="61" t="s">
        <v>101</v>
      </c>
      <c r="B26" s="62">
        <v>50.22</v>
      </c>
      <c r="C26" s="54">
        <v>0</v>
      </c>
      <c r="D26" s="54">
        <v>83.74</v>
      </c>
      <c r="E26" s="63"/>
      <c r="F26" s="64">
        <v>59.971339861475997</v>
      </c>
      <c r="G26" s="65">
        <v>87.37</v>
      </c>
      <c r="H26" s="54">
        <v>49.76</v>
      </c>
      <c r="I26" s="54">
        <v>74.760000000000005</v>
      </c>
      <c r="J26" s="54">
        <v>50.22</v>
      </c>
      <c r="K26" s="56">
        <v>-49.76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262.11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81.56</v>
      </c>
      <c r="AH26" s="67">
        <v>79.55</v>
      </c>
      <c r="AI26" s="67">
        <v>84.37</v>
      </c>
      <c r="AJ26" s="67">
        <v>83.74</v>
      </c>
      <c r="AK26" s="67">
        <v>66.69</v>
      </c>
      <c r="AL26" s="67">
        <v>54.12</v>
      </c>
      <c r="AM26" s="67">
        <v>12.5</v>
      </c>
      <c r="AN26" s="67">
        <v>0</v>
      </c>
      <c r="AO26" s="67">
        <v>106.1</v>
      </c>
      <c r="AP26" s="67">
        <v>57.14</v>
      </c>
      <c r="AQ26" s="67">
        <v>0</v>
      </c>
      <c r="AR26" s="67">
        <v>200.93</v>
      </c>
      <c r="AS26" s="68">
        <v>329.22</v>
      </c>
      <c r="AT26" s="63"/>
      <c r="AU26" s="63">
        <v>79.615454711135413</v>
      </c>
    </row>
    <row r="27" spans="1:47" ht="12.75" hidden="1" customHeight="1" outlineLevel="1" x14ac:dyDescent="0.2">
      <c r="A27" s="61" t="s">
        <v>176</v>
      </c>
      <c r="B27" s="62">
        <v>0</v>
      </c>
      <c r="C27" s="54">
        <v>0</v>
      </c>
      <c r="D27" s="54">
        <v>0</v>
      </c>
      <c r="E27" s="63"/>
      <c r="F27" s="64"/>
      <c r="G27" s="65">
        <v>0</v>
      </c>
      <c r="H27" s="54">
        <v>0</v>
      </c>
      <c r="I27" s="54">
        <v>0</v>
      </c>
      <c r="J27" s="54">
        <v>0</v>
      </c>
      <c r="K27" s="54">
        <v>0</v>
      </c>
      <c r="L27" s="54">
        <v>0</v>
      </c>
      <c r="M27" s="54">
        <v>0</v>
      </c>
      <c r="N27" s="54">
        <v>0</v>
      </c>
      <c r="O27" s="54">
        <v>0</v>
      </c>
      <c r="P27" s="54">
        <v>0</v>
      </c>
      <c r="Q27" s="54">
        <v>0</v>
      </c>
      <c r="R27" s="54">
        <v>0</v>
      </c>
      <c r="S27" s="66">
        <v>0</v>
      </c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>
        <v>0</v>
      </c>
      <c r="AH27" s="67">
        <v>0</v>
      </c>
      <c r="AI27" s="67">
        <v>0</v>
      </c>
      <c r="AJ27" s="67">
        <v>0</v>
      </c>
      <c r="AK27" s="67">
        <v>0</v>
      </c>
      <c r="AL27" s="67">
        <v>0</v>
      </c>
      <c r="AM27" s="67">
        <v>0</v>
      </c>
      <c r="AN27" s="67">
        <v>0</v>
      </c>
      <c r="AO27" s="67">
        <v>0</v>
      </c>
      <c r="AP27" s="67">
        <v>0</v>
      </c>
      <c r="AQ27" s="67">
        <v>0</v>
      </c>
      <c r="AR27" s="67">
        <v>0</v>
      </c>
      <c r="AS27" s="68">
        <v>0</v>
      </c>
      <c r="AT27" s="63"/>
      <c r="AU27" s="63"/>
    </row>
    <row r="28" spans="1:47" ht="12.75" hidden="1" customHeight="1" outlineLevel="1" x14ac:dyDescent="0.2">
      <c r="A28" s="61" t="s">
        <v>102</v>
      </c>
      <c r="B28" s="62">
        <v>0</v>
      </c>
      <c r="C28" s="54">
        <v>0</v>
      </c>
      <c r="D28" s="54">
        <v>0</v>
      </c>
      <c r="E28" s="63"/>
      <c r="F28" s="64"/>
      <c r="G28" s="65">
        <v>0</v>
      </c>
      <c r="H28" s="54">
        <v>0</v>
      </c>
      <c r="I28" s="54">
        <v>0</v>
      </c>
      <c r="J28" s="54">
        <v>0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0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0</v>
      </c>
      <c r="AH28" s="67">
        <v>0</v>
      </c>
      <c r="AI28" s="67">
        <v>0</v>
      </c>
      <c r="AJ28" s="67">
        <v>0</v>
      </c>
      <c r="AK28" s="67">
        <v>0</v>
      </c>
      <c r="AL28" s="67">
        <v>0</v>
      </c>
      <c r="AM28" s="67">
        <v>0</v>
      </c>
      <c r="AN28" s="67">
        <v>0</v>
      </c>
      <c r="AO28" s="67">
        <v>0</v>
      </c>
      <c r="AP28" s="67">
        <v>0</v>
      </c>
      <c r="AQ28" s="67">
        <v>0</v>
      </c>
      <c r="AR28" s="67">
        <v>0</v>
      </c>
      <c r="AS28" s="68">
        <v>0</v>
      </c>
      <c r="AT28" s="63"/>
      <c r="AU28" s="63"/>
    </row>
    <row r="29" spans="1:47" ht="12.75" hidden="1" customHeight="1" outlineLevel="1" x14ac:dyDescent="0.2">
      <c r="A29" s="61" t="s">
        <v>75</v>
      </c>
      <c r="B29" s="62">
        <v>0</v>
      </c>
      <c r="C29" s="54">
        <v>0</v>
      </c>
      <c r="D29" s="54">
        <v>0</v>
      </c>
      <c r="E29" s="63"/>
      <c r="F29" s="64"/>
      <c r="G29" s="65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0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0</v>
      </c>
      <c r="AH29" s="67">
        <v>0</v>
      </c>
      <c r="AI29" s="67">
        <v>0</v>
      </c>
      <c r="AJ29" s="67">
        <v>0</v>
      </c>
      <c r="AK29" s="67">
        <v>0</v>
      </c>
      <c r="AL29" s="67">
        <v>0</v>
      </c>
      <c r="AM29" s="67">
        <v>0</v>
      </c>
      <c r="AN29" s="67">
        <v>0</v>
      </c>
      <c r="AO29" s="67">
        <v>0</v>
      </c>
      <c r="AP29" s="67">
        <v>0</v>
      </c>
      <c r="AQ29" s="67">
        <v>0</v>
      </c>
      <c r="AR29" s="67">
        <v>0</v>
      </c>
      <c r="AS29" s="68">
        <v>0</v>
      </c>
      <c r="AT29" s="63"/>
      <c r="AU29" s="63"/>
    </row>
    <row r="30" spans="1:47" ht="12.75" hidden="1" customHeight="1" outlineLevel="1" x14ac:dyDescent="0.2">
      <c r="A30" s="61" t="s">
        <v>76</v>
      </c>
      <c r="B30" s="62">
        <v>0</v>
      </c>
      <c r="C30" s="54">
        <v>0</v>
      </c>
      <c r="D30" s="54">
        <v>0</v>
      </c>
      <c r="E30" s="63"/>
      <c r="F30" s="64"/>
      <c r="G30" s="65">
        <v>0</v>
      </c>
      <c r="H30" s="54">
        <v>0</v>
      </c>
      <c r="I30" s="54">
        <v>0</v>
      </c>
      <c r="J30" s="54">
        <v>0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0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0</v>
      </c>
      <c r="AH30" s="67">
        <v>0</v>
      </c>
      <c r="AI30" s="67">
        <v>0</v>
      </c>
      <c r="AJ30" s="67">
        <v>0</v>
      </c>
      <c r="AK30" s="67">
        <v>0</v>
      </c>
      <c r="AL30" s="67">
        <v>0</v>
      </c>
      <c r="AM30" s="67">
        <v>0</v>
      </c>
      <c r="AN30" s="67">
        <v>0</v>
      </c>
      <c r="AO30" s="67">
        <v>0</v>
      </c>
      <c r="AP30" s="67">
        <v>0</v>
      </c>
      <c r="AQ30" s="67">
        <v>0</v>
      </c>
      <c r="AR30" s="67">
        <v>0</v>
      </c>
      <c r="AS30" s="68">
        <v>0</v>
      </c>
      <c r="AT30" s="63"/>
      <c r="AU30" s="63"/>
    </row>
    <row r="31" spans="1:47" ht="12.75" hidden="1" customHeight="1" outlineLevel="1" x14ac:dyDescent="0.2">
      <c r="A31" s="61" t="s">
        <v>77</v>
      </c>
      <c r="B31" s="62">
        <v>0</v>
      </c>
      <c r="C31" s="54">
        <v>0</v>
      </c>
      <c r="D31" s="54">
        <v>0</v>
      </c>
      <c r="E31" s="63"/>
      <c r="F31" s="64"/>
      <c r="G31" s="65">
        <v>0</v>
      </c>
      <c r="H31" s="54">
        <v>0</v>
      </c>
      <c r="I31" s="54">
        <v>0</v>
      </c>
      <c r="J31" s="54">
        <v>0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0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0</v>
      </c>
      <c r="AH31" s="67">
        <v>0</v>
      </c>
      <c r="AI31" s="67">
        <v>0</v>
      </c>
      <c r="AJ31" s="67">
        <v>0</v>
      </c>
      <c r="AK31" s="67">
        <v>0</v>
      </c>
      <c r="AL31" s="67">
        <v>0</v>
      </c>
      <c r="AM31" s="67">
        <v>0</v>
      </c>
      <c r="AN31" s="67">
        <v>0</v>
      </c>
      <c r="AO31" s="67">
        <v>0</v>
      </c>
      <c r="AP31" s="67">
        <v>0</v>
      </c>
      <c r="AQ31" s="67">
        <v>0</v>
      </c>
      <c r="AR31" s="67">
        <v>0</v>
      </c>
      <c r="AS31" s="68">
        <v>0</v>
      </c>
      <c r="AT31" s="63"/>
      <c r="AU31" s="63"/>
    </row>
    <row r="32" spans="1:47" ht="12.75" customHeight="1" collapsed="1" x14ac:dyDescent="0.2">
      <c r="A32" s="69" t="s">
        <v>177</v>
      </c>
      <c r="B32" s="70">
        <v>50.22</v>
      </c>
      <c r="C32" s="71">
        <v>0</v>
      </c>
      <c r="D32" s="71">
        <v>83.74</v>
      </c>
      <c r="E32" s="72"/>
      <c r="F32" s="73">
        <v>59.971339861475997</v>
      </c>
      <c r="G32" s="70">
        <v>87.37</v>
      </c>
      <c r="H32" s="71">
        <v>49.76</v>
      </c>
      <c r="I32" s="71">
        <v>74.760000000000005</v>
      </c>
      <c r="J32" s="71">
        <v>50.22</v>
      </c>
      <c r="K32" s="74">
        <v>-49.76</v>
      </c>
      <c r="L32" s="71">
        <v>0</v>
      </c>
      <c r="M32" s="71">
        <v>0</v>
      </c>
      <c r="N32" s="71">
        <v>0</v>
      </c>
      <c r="O32" s="71">
        <v>0</v>
      </c>
      <c r="P32" s="71">
        <v>0</v>
      </c>
      <c r="Q32" s="71">
        <v>0</v>
      </c>
      <c r="R32" s="71">
        <v>0</v>
      </c>
      <c r="S32" s="71">
        <v>262.11</v>
      </c>
      <c r="T32" s="71">
        <v>0</v>
      </c>
      <c r="U32" s="71">
        <v>0</v>
      </c>
      <c r="V32" s="71">
        <v>0</v>
      </c>
      <c r="W32" s="71">
        <v>0</v>
      </c>
      <c r="X32" s="71">
        <v>0</v>
      </c>
      <c r="Y32" s="71">
        <v>0</v>
      </c>
      <c r="Z32" s="71">
        <v>0</v>
      </c>
      <c r="AA32" s="71">
        <v>0</v>
      </c>
      <c r="AB32" s="71">
        <v>0</v>
      </c>
      <c r="AC32" s="71">
        <v>0</v>
      </c>
      <c r="AD32" s="71">
        <v>0</v>
      </c>
      <c r="AE32" s="71">
        <v>0</v>
      </c>
      <c r="AF32" s="71">
        <v>0</v>
      </c>
      <c r="AG32" s="75">
        <v>81.56</v>
      </c>
      <c r="AH32" s="75">
        <v>79.55</v>
      </c>
      <c r="AI32" s="75">
        <v>84.37</v>
      </c>
      <c r="AJ32" s="75">
        <v>83.74</v>
      </c>
      <c r="AK32" s="75">
        <v>66.69</v>
      </c>
      <c r="AL32" s="75">
        <v>54.12</v>
      </c>
      <c r="AM32" s="75">
        <v>12.5</v>
      </c>
      <c r="AN32" s="75">
        <v>0</v>
      </c>
      <c r="AO32" s="75">
        <v>106.1</v>
      </c>
      <c r="AP32" s="75">
        <v>57.14</v>
      </c>
      <c r="AQ32" s="75">
        <v>0</v>
      </c>
      <c r="AR32" s="75">
        <v>200.93</v>
      </c>
      <c r="AS32" s="75">
        <v>329.22</v>
      </c>
      <c r="AT32" s="72"/>
      <c r="AU32" s="72">
        <v>79.615454711135413</v>
      </c>
    </row>
    <row r="33" spans="1:47" ht="12.75" hidden="1" customHeight="1" outlineLevel="1" x14ac:dyDescent="0.2">
      <c r="A33" s="61" t="s">
        <v>178</v>
      </c>
      <c r="B33" s="62"/>
      <c r="C33" s="54"/>
      <c r="D33" s="54"/>
      <c r="E33" s="63"/>
      <c r="F33" s="64"/>
      <c r="G33" s="65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66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66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8"/>
      <c r="AT33" s="63"/>
      <c r="AU33" s="63"/>
    </row>
    <row r="34" spans="1:47" ht="12.75" hidden="1" customHeight="1" outlineLevel="1" x14ac:dyDescent="0.2">
      <c r="A34" s="61" t="s">
        <v>179</v>
      </c>
      <c r="B34" s="62"/>
      <c r="C34" s="54"/>
      <c r="D34" s="54"/>
      <c r="E34" s="63"/>
      <c r="F34" s="64"/>
      <c r="G34" s="65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66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66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8"/>
      <c r="AT34" s="63"/>
      <c r="AU34" s="63"/>
    </row>
    <row r="35" spans="1:47" ht="12.75" hidden="1" customHeight="1" outlineLevel="1" x14ac:dyDescent="0.2">
      <c r="A35" s="61" t="s">
        <v>180</v>
      </c>
      <c r="B35" s="62">
        <v>0</v>
      </c>
      <c r="C35" s="54">
        <v>0</v>
      </c>
      <c r="D35" s="54">
        <v>0</v>
      </c>
      <c r="E35" s="63"/>
      <c r="F35" s="64"/>
      <c r="G35" s="65">
        <v>0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0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0</v>
      </c>
      <c r="AH35" s="67">
        <v>0</v>
      </c>
      <c r="AI35" s="67">
        <v>0</v>
      </c>
      <c r="AJ35" s="67">
        <v>0</v>
      </c>
      <c r="AK35" s="67">
        <v>0</v>
      </c>
      <c r="AL35" s="67">
        <v>0</v>
      </c>
      <c r="AM35" s="67">
        <v>0</v>
      </c>
      <c r="AN35" s="67">
        <v>0</v>
      </c>
      <c r="AO35" s="67">
        <v>0</v>
      </c>
      <c r="AP35" s="67">
        <v>0</v>
      </c>
      <c r="AQ35" s="67">
        <v>0</v>
      </c>
      <c r="AR35" s="67">
        <v>0</v>
      </c>
      <c r="AS35" s="68">
        <v>0</v>
      </c>
      <c r="AT35" s="63"/>
      <c r="AU35" s="63"/>
    </row>
    <row r="36" spans="1:47" ht="12.75" hidden="1" customHeight="1" outlineLevel="1" x14ac:dyDescent="0.2">
      <c r="A36" s="61" t="s">
        <v>181</v>
      </c>
      <c r="B36" s="62"/>
      <c r="C36" s="54"/>
      <c r="D36" s="54"/>
      <c r="E36" s="63"/>
      <c r="F36" s="64"/>
      <c r="G36" s="65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66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66"/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8"/>
      <c r="AT36" s="63"/>
      <c r="AU36" s="63"/>
    </row>
    <row r="37" spans="1:47" ht="12.75" hidden="1" customHeight="1" outlineLevel="1" x14ac:dyDescent="0.2">
      <c r="A37" s="61" t="s">
        <v>182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0</v>
      </c>
      <c r="AM37" s="67">
        <v>0</v>
      </c>
      <c r="AN37" s="67">
        <v>0</v>
      </c>
      <c r="AO37" s="67">
        <v>0</v>
      </c>
      <c r="AP37" s="67">
        <v>0</v>
      </c>
      <c r="AQ37" s="67">
        <v>0</v>
      </c>
      <c r="AR37" s="67">
        <v>0</v>
      </c>
      <c r="AS37" s="68">
        <v>0</v>
      </c>
      <c r="AT37" s="63"/>
      <c r="AU37" s="63"/>
    </row>
    <row r="38" spans="1:47" ht="12.75" hidden="1" customHeight="1" outlineLevel="1" x14ac:dyDescent="0.2">
      <c r="A38" s="61" t="s">
        <v>183</v>
      </c>
      <c r="B38" s="62">
        <v>0</v>
      </c>
      <c r="C38" s="54"/>
      <c r="D38" s="54">
        <v>0</v>
      </c>
      <c r="E38" s="63"/>
      <c r="F38" s="64"/>
      <c r="G38" s="65">
        <v>0</v>
      </c>
      <c r="H38" s="54">
        <v>0</v>
      </c>
      <c r="I38" s="54">
        <v>0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0</v>
      </c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66"/>
      <c r="AG38" s="67">
        <v>0</v>
      </c>
      <c r="AH38" s="67">
        <v>0</v>
      </c>
      <c r="AI38" s="67">
        <v>0</v>
      </c>
      <c r="AJ38" s="67">
        <v>0</v>
      </c>
      <c r="AK38" s="67">
        <v>0</v>
      </c>
      <c r="AL38" s="67">
        <v>0</v>
      </c>
      <c r="AM38" s="67">
        <v>0</v>
      </c>
      <c r="AN38" s="67">
        <v>0</v>
      </c>
      <c r="AO38" s="67">
        <v>0</v>
      </c>
      <c r="AP38" s="67">
        <v>0</v>
      </c>
      <c r="AQ38" s="67">
        <v>0</v>
      </c>
      <c r="AR38" s="67">
        <v>0</v>
      </c>
      <c r="AS38" s="68">
        <v>0</v>
      </c>
      <c r="AT38" s="63"/>
      <c r="AU38" s="63"/>
    </row>
    <row r="39" spans="1:47" ht="12.75" hidden="1" customHeight="1" outlineLevel="1" x14ac:dyDescent="0.2">
      <c r="A39" s="61" t="s">
        <v>184</v>
      </c>
      <c r="B39" s="62">
        <v>0</v>
      </c>
      <c r="C39" s="54"/>
      <c r="D39" s="54">
        <v>0</v>
      </c>
      <c r="E39" s="63"/>
      <c r="F39" s="64"/>
      <c r="G39" s="65">
        <v>0</v>
      </c>
      <c r="H39" s="54">
        <v>0</v>
      </c>
      <c r="I39" s="54">
        <v>0</v>
      </c>
      <c r="J39" s="54">
        <v>0</v>
      </c>
      <c r="K39" s="54">
        <v>0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54">
        <v>0</v>
      </c>
      <c r="S39" s="66">
        <v>0</v>
      </c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66"/>
      <c r="AG39" s="67">
        <v>0</v>
      </c>
      <c r="AH39" s="67">
        <v>0</v>
      </c>
      <c r="AI39" s="67">
        <v>0</v>
      </c>
      <c r="AJ39" s="67">
        <v>0</v>
      </c>
      <c r="AK39" s="67">
        <v>0</v>
      </c>
      <c r="AL39" s="67">
        <v>0</v>
      </c>
      <c r="AM39" s="67">
        <v>0</v>
      </c>
      <c r="AN39" s="67">
        <v>0</v>
      </c>
      <c r="AO39" s="67">
        <v>0</v>
      </c>
      <c r="AP39" s="67">
        <v>0</v>
      </c>
      <c r="AQ39" s="67">
        <v>0</v>
      </c>
      <c r="AR39" s="67">
        <v>0</v>
      </c>
      <c r="AS39" s="68">
        <v>0</v>
      </c>
      <c r="AT39" s="63"/>
      <c r="AU39" s="63"/>
    </row>
    <row r="40" spans="1:47" ht="12.75" hidden="1" customHeight="1" outlineLevel="1" x14ac:dyDescent="0.2">
      <c r="A40" s="61" t="s">
        <v>185</v>
      </c>
      <c r="B40" s="62"/>
      <c r="C40" s="54"/>
      <c r="D40" s="54"/>
      <c r="E40" s="63"/>
      <c r="F40" s="64"/>
      <c r="G40" s="65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66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66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8"/>
      <c r="AT40" s="63"/>
      <c r="AU40" s="63"/>
    </row>
    <row r="41" spans="1:47" ht="12.75" hidden="1" customHeight="1" outlineLevel="1" x14ac:dyDescent="0.2">
      <c r="A41" s="61" t="s">
        <v>186</v>
      </c>
      <c r="B41" s="62">
        <v>0</v>
      </c>
      <c r="C41" s="54"/>
      <c r="D41" s="54">
        <v>0</v>
      </c>
      <c r="E41" s="63"/>
      <c r="F41" s="64"/>
      <c r="G41" s="65">
        <v>0</v>
      </c>
      <c r="H41" s="54">
        <v>0</v>
      </c>
      <c r="I41" s="54">
        <v>0</v>
      </c>
      <c r="J41" s="54">
        <v>0</v>
      </c>
      <c r="K41" s="54">
        <v>0</v>
      </c>
      <c r="L41" s="54">
        <v>0</v>
      </c>
      <c r="M41" s="54">
        <v>0</v>
      </c>
      <c r="N41" s="54">
        <v>0</v>
      </c>
      <c r="O41" s="54">
        <v>0</v>
      </c>
      <c r="P41" s="54">
        <v>0</v>
      </c>
      <c r="Q41" s="54">
        <v>0</v>
      </c>
      <c r="R41" s="54">
        <v>0</v>
      </c>
      <c r="S41" s="66">
        <v>0</v>
      </c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66"/>
      <c r="AG41" s="67">
        <v>0</v>
      </c>
      <c r="AH41" s="67">
        <v>0</v>
      </c>
      <c r="AI41" s="67">
        <v>0</v>
      </c>
      <c r="AJ41" s="67">
        <v>0</v>
      </c>
      <c r="AK41" s="67">
        <v>0</v>
      </c>
      <c r="AL41" s="67">
        <v>0</v>
      </c>
      <c r="AM41" s="67">
        <v>0</v>
      </c>
      <c r="AN41" s="67">
        <v>0</v>
      </c>
      <c r="AO41" s="67">
        <v>0</v>
      </c>
      <c r="AP41" s="67">
        <v>0</v>
      </c>
      <c r="AQ41" s="67">
        <v>0</v>
      </c>
      <c r="AR41" s="67">
        <v>0</v>
      </c>
      <c r="AS41" s="68">
        <v>0</v>
      </c>
      <c r="AT41" s="63"/>
      <c r="AU41" s="63"/>
    </row>
    <row r="42" spans="1:47" ht="12.75" hidden="1" customHeight="1" outlineLevel="1" x14ac:dyDescent="0.2">
      <c r="A42" s="61" t="s">
        <v>187</v>
      </c>
      <c r="B42" s="62">
        <v>0</v>
      </c>
      <c r="C42" s="54"/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66"/>
      <c r="AG42" s="67">
        <v>0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0</v>
      </c>
      <c r="AS42" s="68">
        <v>0</v>
      </c>
      <c r="AT42" s="63"/>
      <c r="AU42" s="63"/>
    </row>
    <row r="43" spans="1:47" ht="12.75" hidden="1" customHeight="1" outlineLevel="1" x14ac:dyDescent="0.2">
      <c r="A43" s="61" t="s">
        <v>188</v>
      </c>
      <c r="B43" s="62"/>
      <c r="C43" s="54"/>
      <c r="D43" s="54"/>
      <c r="E43" s="63"/>
      <c r="F43" s="64"/>
      <c r="G43" s="65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66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66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8"/>
      <c r="AT43" s="63"/>
      <c r="AU43" s="63"/>
    </row>
    <row r="44" spans="1:47" ht="12.75" hidden="1" customHeight="1" outlineLevel="1" x14ac:dyDescent="0.2">
      <c r="A44" s="61" t="s">
        <v>189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61" t="s">
        <v>190</v>
      </c>
      <c r="B45" s="62">
        <v>0</v>
      </c>
      <c r="C45" s="54">
        <v>0</v>
      </c>
      <c r="D45" s="54">
        <v>0</v>
      </c>
      <c r="E45" s="63"/>
      <c r="F45" s="64"/>
      <c r="G45" s="65">
        <v>0</v>
      </c>
      <c r="H45" s="54">
        <v>0</v>
      </c>
      <c r="I45" s="54">
        <v>0</v>
      </c>
      <c r="J45" s="54">
        <v>0</v>
      </c>
      <c r="K45" s="54">
        <v>0</v>
      </c>
      <c r="L45" s="54">
        <v>0</v>
      </c>
      <c r="M45" s="54">
        <v>0</v>
      </c>
      <c r="N45" s="54">
        <v>0</v>
      </c>
      <c r="O45" s="54">
        <v>0</v>
      </c>
      <c r="P45" s="54">
        <v>0</v>
      </c>
      <c r="Q45" s="54">
        <v>0</v>
      </c>
      <c r="R45" s="54">
        <v>0</v>
      </c>
      <c r="S45" s="66">
        <v>0</v>
      </c>
      <c r="T45" s="54">
        <v>0</v>
      </c>
      <c r="U45" s="54">
        <v>0</v>
      </c>
      <c r="V45" s="54">
        <v>0</v>
      </c>
      <c r="W45" s="54">
        <v>0</v>
      </c>
      <c r="X45" s="54">
        <v>0</v>
      </c>
      <c r="Y45" s="54">
        <v>0</v>
      </c>
      <c r="Z45" s="54">
        <v>0</v>
      </c>
      <c r="AA45" s="54">
        <v>0</v>
      </c>
      <c r="AB45" s="54">
        <v>0</v>
      </c>
      <c r="AC45" s="54">
        <v>0</v>
      </c>
      <c r="AD45" s="54">
        <v>0</v>
      </c>
      <c r="AE45" s="54">
        <v>0</v>
      </c>
      <c r="AF45" s="66">
        <v>0</v>
      </c>
      <c r="AG45" s="67">
        <v>0</v>
      </c>
      <c r="AH45" s="67">
        <v>0</v>
      </c>
      <c r="AI45" s="67">
        <v>0</v>
      </c>
      <c r="AJ45" s="67">
        <v>0</v>
      </c>
      <c r="AK45" s="67">
        <v>0</v>
      </c>
      <c r="AL45" s="67">
        <v>0</v>
      </c>
      <c r="AM45" s="67">
        <v>0</v>
      </c>
      <c r="AN45" s="67">
        <v>0</v>
      </c>
      <c r="AO45" s="67">
        <v>0</v>
      </c>
      <c r="AP45" s="67">
        <v>0</v>
      </c>
      <c r="AQ45" s="67">
        <v>0</v>
      </c>
      <c r="AR45" s="67">
        <v>0</v>
      </c>
      <c r="AS45" s="68">
        <v>0</v>
      </c>
      <c r="AT45" s="63"/>
      <c r="AU45" s="63"/>
    </row>
    <row r="46" spans="1:47" ht="12.75" hidden="1" customHeight="1" outlineLevel="1" x14ac:dyDescent="0.2">
      <c r="A46" s="61" t="s">
        <v>191</v>
      </c>
      <c r="B46" s="62"/>
      <c r="C46" s="54"/>
      <c r="D46" s="54"/>
      <c r="E46" s="63"/>
      <c r="F46" s="64"/>
      <c r="G46" s="65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66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66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8"/>
      <c r="AT46" s="63"/>
      <c r="AU46" s="63"/>
    </row>
    <row r="47" spans="1:47" ht="12.75" customHeight="1" collapsed="1" x14ac:dyDescent="0.2">
      <c r="A47" s="69" t="s">
        <v>192</v>
      </c>
      <c r="B47" s="70">
        <v>0</v>
      </c>
      <c r="C47" s="71">
        <v>0</v>
      </c>
      <c r="D47" s="71">
        <v>0</v>
      </c>
      <c r="E47" s="72"/>
      <c r="F47" s="73"/>
      <c r="G47" s="70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</v>
      </c>
      <c r="N47" s="71">
        <v>0</v>
      </c>
      <c r="O47" s="71">
        <v>0</v>
      </c>
      <c r="P47" s="71">
        <v>0</v>
      </c>
      <c r="Q47" s="71">
        <v>0</v>
      </c>
      <c r="R47" s="71">
        <v>0</v>
      </c>
      <c r="S47" s="71">
        <v>0</v>
      </c>
      <c r="T47" s="71">
        <v>0</v>
      </c>
      <c r="U47" s="71">
        <v>0</v>
      </c>
      <c r="V47" s="71">
        <v>0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71">
        <v>0</v>
      </c>
      <c r="AE47" s="71">
        <v>0</v>
      </c>
      <c r="AF47" s="71">
        <v>0</v>
      </c>
      <c r="AG47" s="75">
        <v>0</v>
      </c>
      <c r="AH47" s="75">
        <v>0</v>
      </c>
      <c r="AI47" s="75">
        <v>0</v>
      </c>
      <c r="AJ47" s="75">
        <v>0</v>
      </c>
      <c r="AK47" s="75">
        <v>0</v>
      </c>
      <c r="AL47" s="75">
        <v>0</v>
      </c>
      <c r="AM47" s="75">
        <v>0</v>
      </c>
      <c r="AN47" s="75">
        <v>0</v>
      </c>
      <c r="AO47" s="75">
        <v>0</v>
      </c>
      <c r="AP47" s="75">
        <v>0</v>
      </c>
      <c r="AQ47" s="75">
        <v>0</v>
      </c>
      <c r="AR47" s="75">
        <v>0</v>
      </c>
      <c r="AS47" s="75">
        <v>0</v>
      </c>
      <c r="AT47" s="72"/>
      <c r="AU47" s="72"/>
    </row>
    <row r="48" spans="1:47" ht="12.75" hidden="1" customHeight="1" outlineLevel="1" x14ac:dyDescent="0.2">
      <c r="A48" s="61" t="s">
        <v>193</v>
      </c>
      <c r="B48" s="62">
        <v>0</v>
      </c>
      <c r="C48" s="54">
        <v>0</v>
      </c>
      <c r="D48" s="54">
        <v>0</v>
      </c>
      <c r="E48" s="63"/>
      <c r="F48" s="64"/>
      <c r="G48" s="65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54">
        <v>0</v>
      </c>
      <c r="N48" s="54">
        <v>0</v>
      </c>
      <c r="O48" s="54">
        <v>0</v>
      </c>
      <c r="P48" s="54">
        <v>0</v>
      </c>
      <c r="Q48" s="54">
        <v>0</v>
      </c>
      <c r="R48" s="54">
        <v>0</v>
      </c>
      <c r="S48" s="66">
        <v>0</v>
      </c>
      <c r="T48" s="54">
        <v>0</v>
      </c>
      <c r="U48" s="54">
        <v>0</v>
      </c>
      <c r="V48" s="54">
        <v>0</v>
      </c>
      <c r="W48" s="54">
        <v>0</v>
      </c>
      <c r="X48" s="54">
        <v>0</v>
      </c>
      <c r="Y48" s="54">
        <v>0</v>
      </c>
      <c r="Z48" s="54">
        <v>0</v>
      </c>
      <c r="AA48" s="54">
        <v>0</v>
      </c>
      <c r="AB48" s="54">
        <v>0</v>
      </c>
      <c r="AC48" s="54">
        <v>0</v>
      </c>
      <c r="AD48" s="54">
        <v>0</v>
      </c>
      <c r="AE48" s="54">
        <v>0</v>
      </c>
      <c r="AF48" s="66">
        <v>0</v>
      </c>
      <c r="AG48" s="67">
        <v>0</v>
      </c>
      <c r="AH48" s="67">
        <v>0</v>
      </c>
      <c r="AI48" s="67">
        <v>0</v>
      </c>
      <c r="AJ48" s="67">
        <v>0</v>
      </c>
      <c r="AK48" s="67">
        <v>0</v>
      </c>
      <c r="AL48" s="67">
        <v>0</v>
      </c>
      <c r="AM48" s="67">
        <v>0</v>
      </c>
      <c r="AN48" s="67">
        <v>0</v>
      </c>
      <c r="AO48" s="67">
        <v>0</v>
      </c>
      <c r="AP48" s="67">
        <v>0</v>
      </c>
      <c r="AQ48" s="67">
        <v>0</v>
      </c>
      <c r="AR48" s="67">
        <v>0</v>
      </c>
      <c r="AS48" s="68">
        <v>0</v>
      </c>
      <c r="AT48" s="63"/>
      <c r="AU48" s="63"/>
    </row>
    <row r="49" spans="1:47" ht="12.75" hidden="1" customHeight="1" outlineLevel="1" x14ac:dyDescent="0.2">
      <c r="A49" s="61" t="s">
        <v>194</v>
      </c>
      <c r="B49" s="62">
        <v>0</v>
      </c>
      <c r="C49" s="54">
        <v>0</v>
      </c>
      <c r="D49" s="54">
        <v>0</v>
      </c>
      <c r="E49" s="63"/>
      <c r="F49" s="64"/>
      <c r="G49" s="65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54">
        <v>0</v>
      </c>
      <c r="N49" s="54">
        <v>0</v>
      </c>
      <c r="O49" s="54">
        <v>0</v>
      </c>
      <c r="P49" s="54">
        <v>0</v>
      </c>
      <c r="Q49" s="54">
        <v>0</v>
      </c>
      <c r="R49" s="54">
        <v>0</v>
      </c>
      <c r="S49" s="66">
        <v>0</v>
      </c>
      <c r="T49" s="54">
        <v>0</v>
      </c>
      <c r="U49" s="54">
        <v>0</v>
      </c>
      <c r="V49" s="54">
        <v>0</v>
      </c>
      <c r="W49" s="54">
        <v>0</v>
      </c>
      <c r="X49" s="54">
        <v>0</v>
      </c>
      <c r="Y49" s="54">
        <v>0</v>
      </c>
      <c r="Z49" s="54">
        <v>0</v>
      </c>
      <c r="AA49" s="54">
        <v>0</v>
      </c>
      <c r="AB49" s="54">
        <v>0</v>
      </c>
      <c r="AC49" s="54">
        <v>0</v>
      </c>
      <c r="AD49" s="54">
        <v>0</v>
      </c>
      <c r="AE49" s="54">
        <v>0</v>
      </c>
      <c r="AF49" s="66">
        <v>0</v>
      </c>
      <c r="AG49" s="67">
        <v>0</v>
      </c>
      <c r="AH49" s="67">
        <v>0</v>
      </c>
      <c r="AI49" s="67">
        <v>0</v>
      </c>
      <c r="AJ49" s="67">
        <v>0</v>
      </c>
      <c r="AK49" s="67">
        <v>0</v>
      </c>
      <c r="AL49" s="67">
        <v>0</v>
      </c>
      <c r="AM49" s="67">
        <v>0</v>
      </c>
      <c r="AN49" s="67">
        <v>0</v>
      </c>
      <c r="AO49" s="67">
        <v>0</v>
      </c>
      <c r="AP49" s="67">
        <v>0</v>
      </c>
      <c r="AQ49" s="67">
        <v>0</v>
      </c>
      <c r="AR49" s="67">
        <v>0</v>
      </c>
      <c r="AS49" s="68">
        <v>0</v>
      </c>
      <c r="AT49" s="63"/>
      <c r="AU49" s="63"/>
    </row>
    <row r="50" spans="1:47" ht="12.75" hidden="1" customHeight="1" outlineLevel="1" x14ac:dyDescent="0.2">
      <c r="A50" s="61" t="s">
        <v>82</v>
      </c>
      <c r="B50" s="62">
        <v>0</v>
      </c>
      <c r="C50" s="54">
        <v>0</v>
      </c>
      <c r="D50" s="54">
        <v>0</v>
      </c>
      <c r="E50" s="63"/>
      <c r="F50" s="64"/>
      <c r="G50" s="65">
        <v>0</v>
      </c>
      <c r="H50" s="54">
        <v>0</v>
      </c>
      <c r="I50" s="54">
        <v>0</v>
      </c>
      <c r="J50" s="54">
        <v>0</v>
      </c>
      <c r="K50" s="54">
        <v>0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66">
        <v>0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>
        <v>0</v>
      </c>
      <c r="AH50" s="67">
        <v>0</v>
      </c>
      <c r="AI50" s="67">
        <v>0</v>
      </c>
      <c r="AJ50" s="67">
        <v>0</v>
      </c>
      <c r="AK50" s="67">
        <v>0</v>
      </c>
      <c r="AL50" s="67">
        <v>0</v>
      </c>
      <c r="AM50" s="67">
        <v>0</v>
      </c>
      <c r="AN50" s="67">
        <v>0</v>
      </c>
      <c r="AO50" s="67">
        <v>0</v>
      </c>
      <c r="AP50" s="67">
        <v>0</v>
      </c>
      <c r="AQ50" s="67">
        <v>0</v>
      </c>
      <c r="AR50" s="67">
        <v>0</v>
      </c>
      <c r="AS50" s="68">
        <v>0</v>
      </c>
      <c r="AT50" s="63"/>
      <c r="AU50" s="63"/>
    </row>
    <row r="51" spans="1:47" ht="12.75" hidden="1" customHeight="1" outlineLevel="1" x14ac:dyDescent="0.2">
      <c r="A51" s="61" t="s">
        <v>83</v>
      </c>
      <c r="B51" s="62">
        <v>0</v>
      </c>
      <c r="C51" s="54">
        <v>0</v>
      </c>
      <c r="D51" s="54">
        <v>0</v>
      </c>
      <c r="E51" s="63"/>
      <c r="F51" s="64"/>
      <c r="G51" s="65">
        <v>0</v>
      </c>
      <c r="H51" s="54">
        <v>0</v>
      </c>
      <c r="I51" s="54">
        <v>0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66">
        <v>0</v>
      </c>
      <c r="T51" s="54">
        <v>0</v>
      </c>
      <c r="U51" s="54">
        <v>0</v>
      </c>
      <c r="V51" s="54">
        <v>0</v>
      </c>
      <c r="W51" s="54">
        <v>0</v>
      </c>
      <c r="X51" s="54">
        <v>0</v>
      </c>
      <c r="Y51" s="54">
        <v>0</v>
      </c>
      <c r="Z51" s="54">
        <v>0</v>
      </c>
      <c r="AA51" s="54">
        <v>0</v>
      </c>
      <c r="AB51" s="54">
        <v>0</v>
      </c>
      <c r="AC51" s="54">
        <v>0</v>
      </c>
      <c r="AD51" s="54">
        <v>0</v>
      </c>
      <c r="AE51" s="54">
        <v>0</v>
      </c>
      <c r="AF51" s="66">
        <v>0</v>
      </c>
      <c r="AG51" s="67">
        <v>0</v>
      </c>
      <c r="AH51" s="67">
        <v>0</v>
      </c>
      <c r="AI51" s="67">
        <v>0</v>
      </c>
      <c r="AJ51" s="67">
        <v>0</v>
      </c>
      <c r="AK51" s="67">
        <v>0</v>
      </c>
      <c r="AL51" s="67">
        <v>0</v>
      </c>
      <c r="AM51" s="67">
        <v>0</v>
      </c>
      <c r="AN51" s="67">
        <v>0</v>
      </c>
      <c r="AO51" s="67">
        <v>0</v>
      </c>
      <c r="AP51" s="67">
        <v>0</v>
      </c>
      <c r="AQ51" s="67">
        <v>0</v>
      </c>
      <c r="AR51" s="67">
        <v>0</v>
      </c>
      <c r="AS51" s="68">
        <v>0</v>
      </c>
      <c r="AT51" s="63"/>
      <c r="AU51" s="63"/>
    </row>
    <row r="52" spans="1:47" ht="12.75" hidden="1" customHeight="1" outlineLevel="1" x14ac:dyDescent="0.2">
      <c r="A52" s="61" t="s">
        <v>84</v>
      </c>
      <c r="B52" s="62">
        <v>0</v>
      </c>
      <c r="C52" s="54">
        <v>0</v>
      </c>
      <c r="D52" s="54">
        <v>0</v>
      </c>
      <c r="E52" s="63"/>
      <c r="F52" s="64"/>
      <c r="G52" s="65">
        <v>0</v>
      </c>
      <c r="H52" s="54">
        <v>0</v>
      </c>
      <c r="I52" s="54">
        <v>0</v>
      </c>
      <c r="J52" s="54">
        <v>0</v>
      </c>
      <c r="K52" s="54">
        <v>0</v>
      </c>
      <c r="L52" s="54">
        <v>0</v>
      </c>
      <c r="M52" s="54">
        <v>0</v>
      </c>
      <c r="N52" s="54">
        <v>0</v>
      </c>
      <c r="O52" s="54">
        <v>0</v>
      </c>
      <c r="P52" s="54">
        <v>0</v>
      </c>
      <c r="Q52" s="54">
        <v>0</v>
      </c>
      <c r="R52" s="54">
        <v>0</v>
      </c>
      <c r="S52" s="66">
        <v>0</v>
      </c>
      <c r="T52" s="54">
        <v>0</v>
      </c>
      <c r="U52" s="54">
        <v>0</v>
      </c>
      <c r="V52" s="54">
        <v>0</v>
      </c>
      <c r="W52" s="54">
        <v>0</v>
      </c>
      <c r="X52" s="54">
        <v>0</v>
      </c>
      <c r="Y52" s="54">
        <v>0</v>
      </c>
      <c r="Z52" s="54">
        <v>0</v>
      </c>
      <c r="AA52" s="54">
        <v>0</v>
      </c>
      <c r="AB52" s="54">
        <v>0</v>
      </c>
      <c r="AC52" s="54">
        <v>0</v>
      </c>
      <c r="AD52" s="54">
        <v>0</v>
      </c>
      <c r="AE52" s="54">
        <v>0</v>
      </c>
      <c r="AF52" s="66">
        <v>0</v>
      </c>
      <c r="AG52" s="67">
        <v>0</v>
      </c>
      <c r="AH52" s="67">
        <v>0</v>
      </c>
      <c r="AI52" s="67">
        <v>0</v>
      </c>
      <c r="AJ52" s="67">
        <v>0</v>
      </c>
      <c r="AK52" s="67">
        <v>0</v>
      </c>
      <c r="AL52" s="67">
        <v>0</v>
      </c>
      <c r="AM52" s="67">
        <v>0</v>
      </c>
      <c r="AN52" s="67">
        <v>0</v>
      </c>
      <c r="AO52" s="67">
        <v>0</v>
      </c>
      <c r="AP52" s="67">
        <v>0</v>
      </c>
      <c r="AQ52" s="67">
        <v>0</v>
      </c>
      <c r="AR52" s="67">
        <v>0</v>
      </c>
      <c r="AS52" s="68">
        <v>0</v>
      </c>
      <c r="AT52" s="63"/>
      <c r="AU52" s="63"/>
    </row>
    <row r="53" spans="1:47" ht="12.75" hidden="1" customHeight="1" outlineLevel="1" x14ac:dyDescent="0.2">
      <c r="A53" s="61" t="s">
        <v>195</v>
      </c>
      <c r="B53" s="62"/>
      <c r="C53" s="54"/>
      <c r="D53" s="54"/>
      <c r="E53" s="63"/>
      <c r="F53" s="64"/>
      <c r="G53" s="65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66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66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8"/>
      <c r="AT53" s="63"/>
      <c r="AU53" s="63"/>
    </row>
    <row r="54" spans="1:47" ht="12.75" hidden="1" customHeight="1" outlineLevel="1" x14ac:dyDescent="0.2">
      <c r="A54" s="61" t="s">
        <v>86</v>
      </c>
      <c r="B54" s="62">
        <v>0</v>
      </c>
      <c r="C54" s="54">
        <v>0</v>
      </c>
      <c r="D54" s="54">
        <v>0</v>
      </c>
      <c r="E54" s="63"/>
      <c r="F54" s="64"/>
      <c r="G54" s="65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66">
        <v>0</v>
      </c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>
        <v>0</v>
      </c>
      <c r="AH54" s="67">
        <v>0</v>
      </c>
      <c r="AI54" s="67">
        <v>0</v>
      </c>
      <c r="AJ54" s="67">
        <v>0</v>
      </c>
      <c r="AK54" s="67">
        <v>0</v>
      </c>
      <c r="AL54" s="67">
        <v>0</v>
      </c>
      <c r="AM54" s="67">
        <v>0</v>
      </c>
      <c r="AN54" s="67">
        <v>0</v>
      </c>
      <c r="AO54" s="67">
        <v>0</v>
      </c>
      <c r="AP54" s="67">
        <v>0</v>
      </c>
      <c r="AQ54" s="67">
        <v>0</v>
      </c>
      <c r="AR54" s="67">
        <v>0</v>
      </c>
      <c r="AS54" s="68">
        <v>0</v>
      </c>
      <c r="AT54" s="63"/>
      <c r="AU54" s="63"/>
    </row>
    <row r="55" spans="1:47" ht="12.75" hidden="1" customHeight="1" outlineLevel="1" x14ac:dyDescent="0.2">
      <c r="A55" s="61" t="s">
        <v>110</v>
      </c>
      <c r="B55" s="62"/>
      <c r="C55" s="54"/>
      <c r="D55" s="54"/>
      <c r="E55" s="63"/>
      <c r="F55" s="64"/>
      <c r="G55" s="65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66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66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8"/>
      <c r="AT55" s="63"/>
      <c r="AU55" s="63"/>
    </row>
    <row r="56" spans="1:47" ht="12.75" hidden="1" customHeight="1" outlineLevel="1" x14ac:dyDescent="0.2">
      <c r="A56" s="61" t="s">
        <v>196</v>
      </c>
      <c r="B56" s="62">
        <v>0</v>
      </c>
      <c r="C56" s="54">
        <v>0</v>
      </c>
      <c r="D56" s="54">
        <v>0</v>
      </c>
      <c r="E56" s="63"/>
      <c r="F56" s="64"/>
      <c r="G56" s="65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66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66">
        <v>0</v>
      </c>
      <c r="AG56" s="67">
        <v>0</v>
      </c>
      <c r="AH56" s="67">
        <v>0</v>
      </c>
      <c r="AI56" s="67">
        <v>0</v>
      </c>
      <c r="AJ56" s="67">
        <v>0</v>
      </c>
      <c r="AK56" s="67">
        <v>0</v>
      </c>
      <c r="AL56" s="67">
        <v>0</v>
      </c>
      <c r="AM56" s="67">
        <v>0</v>
      </c>
      <c r="AN56" s="67">
        <v>0</v>
      </c>
      <c r="AO56" s="67">
        <v>0</v>
      </c>
      <c r="AP56" s="67">
        <v>0</v>
      </c>
      <c r="AQ56" s="67">
        <v>0</v>
      </c>
      <c r="AR56" s="67">
        <v>0</v>
      </c>
      <c r="AS56" s="68">
        <v>0</v>
      </c>
      <c r="AT56" s="63"/>
      <c r="AU56" s="63"/>
    </row>
    <row r="57" spans="1:47" ht="12.75" hidden="1" customHeight="1" outlineLevel="1" x14ac:dyDescent="0.2">
      <c r="A57" s="61" t="s">
        <v>88</v>
      </c>
      <c r="B57" s="62">
        <v>0</v>
      </c>
      <c r="C57" s="54">
        <v>0</v>
      </c>
      <c r="D57" s="54">
        <v>0</v>
      </c>
      <c r="E57" s="63"/>
      <c r="F57" s="64"/>
      <c r="G57" s="65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66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66">
        <v>0</v>
      </c>
      <c r="AG57" s="67">
        <v>0</v>
      </c>
      <c r="AH57" s="67">
        <v>0</v>
      </c>
      <c r="AI57" s="67">
        <v>0</v>
      </c>
      <c r="AJ57" s="67">
        <v>0</v>
      </c>
      <c r="AK57" s="67">
        <v>0</v>
      </c>
      <c r="AL57" s="67">
        <v>0</v>
      </c>
      <c r="AM57" s="67">
        <v>0</v>
      </c>
      <c r="AN57" s="67">
        <v>0</v>
      </c>
      <c r="AO57" s="67">
        <v>0</v>
      </c>
      <c r="AP57" s="67">
        <v>0</v>
      </c>
      <c r="AQ57" s="67">
        <v>0</v>
      </c>
      <c r="AR57" s="67">
        <v>0</v>
      </c>
      <c r="AS57" s="68">
        <v>0</v>
      </c>
      <c r="AT57" s="63"/>
      <c r="AU57" s="63"/>
    </row>
    <row r="58" spans="1:47" ht="12.75" hidden="1" customHeight="1" outlineLevel="1" x14ac:dyDescent="0.2">
      <c r="A58" s="61" t="s">
        <v>198</v>
      </c>
      <c r="B58" s="62">
        <v>0</v>
      </c>
      <c r="C58" s="54">
        <v>0</v>
      </c>
      <c r="D58" s="54">
        <v>0</v>
      </c>
      <c r="E58" s="63"/>
      <c r="F58" s="64"/>
      <c r="G58" s="65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0</v>
      </c>
      <c r="AI58" s="67">
        <v>0</v>
      </c>
      <c r="AJ58" s="67">
        <v>0</v>
      </c>
      <c r="AK58" s="67">
        <v>0</v>
      </c>
      <c r="AL58" s="67">
        <v>0</v>
      </c>
      <c r="AM58" s="67">
        <v>0</v>
      </c>
      <c r="AN58" s="67">
        <v>0</v>
      </c>
      <c r="AO58" s="67">
        <v>0</v>
      </c>
      <c r="AP58" s="67">
        <v>0</v>
      </c>
      <c r="AQ58" s="67">
        <v>0</v>
      </c>
      <c r="AR58" s="67">
        <v>0</v>
      </c>
      <c r="AS58" s="68">
        <v>0</v>
      </c>
      <c r="AT58" s="63"/>
      <c r="AU58" s="63"/>
    </row>
    <row r="59" spans="1:47" ht="12.75" customHeight="1" collapsed="1" x14ac:dyDescent="0.2">
      <c r="A59" s="69" t="s">
        <v>89</v>
      </c>
      <c r="B59" s="70">
        <v>0</v>
      </c>
      <c r="C59" s="71">
        <v>0</v>
      </c>
      <c r="D59" s="71">
        <v>0</v>
      </c>
      <c r="E59" s="72"/>
      <c r="F59" s="73"/>
      <c r="G59" s="70">
        <v>0</v>
      </c>
      <c r="H59" s="71">
        <v>0</v>
      </c>
      <c r="I59" s="71">
        <v>0</v>
      </c>
      <c r="J59" s="71">
        <v>0</v>
      </c>
      <c r="K59" s="71">
        <v>0</v>
      </c>
      <c r="L59" s="71">
        <v>0</v>
      </c>
      <c r="M59" s="71">
        <v>0</v>
      </c>
      <c r="N59" s="71">
        <v>0</v>
      </c>
      <c r="O59" s="71">
        <v>0</v>
      </c>
      <c r="P59" s="71">
        <v>0</v>
      </c>
      <c r="Q59" s="71">
        <v>0</v>
      </c>
      <c r="R59" s="71">
        <v>0</v>
      </c>
      <c r="S59" s="71">
        <v>0</v>
      </c>
      <c r="T59" s="71">
        <v>0</v>
      </c>
      <c r="U59" s="71">
        <v>0</v>
      </c>
      <c r="V59" s="71">
        <v>0</v>
      </c>
      <c r="W59" s="71">
        <v>0</v>
      </c>
      <c r="X59" s="71">
        <v>0</v>
      </c>
      <c r="Y59" s="71">
        <v>0</v>
      </c>
      <c r="Z59" s="71">
        <v>0</v>
      </c>
      <c r="AA59" s="71">
        <v>0</v>
      </c>
      <c r="AB59" s="71">
        <v>0</v>
      </c>
      <c r="AC59" s="71">
        <v>0</v>
      </c>
      <c r="AD59" s="71">
        <v>0</v>
      </c>
      <c r="AE59" s="71">
        <v>0</v>
      </c>
      <c r="AF59" s="71">
        <v>0</v>
      </c>
      <c r="AG59" s="75">
        <v>0</v>
      </c>
      <c r="AH59" s="75">
        <v>0</v>
      </c>
      <c r="AI59" s="75">
        <v>0</v>
      </c>
      <c r="AJ59" s="75">
        <v>0</v>
      </c>
      <c r="AK59" s="75">
        <v>0</v>
      </c>
      <c r="AL59" s="75">
        <v>0</v>
      </c>
      <c r="AM59" s="75">
        <v>0</v>
      </c>
      <c r="AN59" s="75">
        <v>0</v>
      </c>
      <c r="AO59" s="75">
        <v>0</v>
      </c>
      <c r="AP59" s="75">
        <v>0</v>
      </c>
      <c r="AQ59" s="75">
        <v>0</v>
      </c>
      <c r="AR59" s="75">
        <v>0</v>
      </c>
      <c r="AS59" s="75">
        <v>0</v>
      </c>
      <c r="AT59" s="72"/>
      <c r="AU59" s="72"/>
    </row>
    <row r="60" spans="1:47" ht="12.75" customHeight="1" x14ac:dyDescent="0.2">
      <c r="A60" s="77" t="s">
        <v>201</v>
      </c>
      <c r="B60" s="78">
        <v>18051.05</v>
      </c>
      <c r="C60" s="79">
        <v>0</v>
      </c>
      <c r="D60" s="79">
        <v>33134.839999999997</v>
      </c>
      <c r="E60" s="80"/>
      <c r="F60" s="81">
        <v>54.477552932200666</v>
      </c>
      <c r="G60" s="78">
        <v>18520.150000000001</v>
      </c>
      <c r="H60" s="79">
        <v>30608.55</v>
      </c>
      <c r="I60" s="79">
        <v>20686.88</v>
      </c>
      <c r="J60" s="79">
        <v>18051.05</v>
      </c>
      <c r="K60" s="82">
        <v>-12871.9</v>
      </c>
      <c r="L60" s="79">
        <v>0</v>
      </c>
      <c r="M60" s="79">
        <v>0</v>
      </c>
      <c r="N60" s="79">
        <v>0</v>
      </c>
      <c r="O60" s="79">
        <v>0</v>
      </c>
      <c r="P60" s="79">
        <v>0</v>
      </c>
      <c r="Q60" s="79">
        <v>0</v>
      </c>
      <c r="R60" s="79">
        <v>0</v>
      </c>
      <c r="S60" s="79">
        <v>87866.63</v>
      </c>
      <c r="T60" s="79">
        <v>0</v>
      </c>
      <c r="U60" s="79">
        <v>0</v>
      </c>
      <c r="V60" s="79">
        <v>0</v>
      </c>
      <c r="W60" s="79">
        <v>0</v>
      </c>
      <c r="X60" s="79">
        <v>0</v>
      </c>
      <c r="Y60" s="79">
        <v>0</v>
      </c>
      <c r="Z60" s="79">
        <v>0</v>
      </c>
      <c r="AA60" s="79">
        <v>0</v>
      </c>
      <c r="AB60" s="79">
        <v>0</v>
      </c>
      <c r="AC60" s="79">
        <v>0</v>
      </c>
      <c r="AD60" s="79">
        <v>0</v>
      </c>
      <c r="AE60" s="79">
        <v>0</v>
      </c>
      <c r="AF60" s="79">
        <v>0</v>
      </c>
      <c r="AG60" s="83">
        <v>30961.919999999998</v>
      </c>
      <c r="AH60" s="83">
        <v>52370.51</v>
      </c>
      <c r="AI60" s="83">
        <v>10761.32</v>
      </c>
      <c r="AJ60" s="83">
        <v>33134.839999999997</v>
      </c>
      <c r="AK60" s="83">
        <v>39159.85</v>
      </c>
      <c r="AL60" s="83">
        <v>44652.480000000003</v>
      </c>
      <c r="AM60" s="83">
        <v>21194.13</v>
      </c>
      <c r="AN60" s="83">
        <v>41082.26</v>
      </c>
      <c r="AO60" s="83">
        <v>50210.26</v>
      </c>
      <c r="AP60" s="83">
        <v>42465.96</v>
      </c>
      <c r="AQ60" s="83">
        <v>27036.47</v>
      </c>
      <c r="AR60" s="83">
        <v>35546.54</v>
      </c>
      <c r="AS60" s="83">
        <v>127228.59</v>
      </c>
      <c r="AT60" s="80"/>
      <c r="AU60" s="80">
        <v>69.062016642642973</v>
      </c>
    </row>
    <row r="61" spans="1:47" ht="12.75" customHeight="1" x14ac:dyDescent="0.2">
      <c r="A61" s="84" t="s">
        <v>8</v>
      </c>
      <c r="B61" s="85">
        <v>55684.92</v>
      </c>
      <c r="C61" s="86">
        <v>0</v>
      </c>
      <c r="D61" s="86">
        <v>42628.7</v>
      </c>
      <c r="E61" s="87"/>
      <c r="F61" s="88">
        <v>130.62776955431434</v>
      </c>
      <c r="G61" s="85">
        <v>45385.47</v>
      </c>
      <c r="H61" s="86">
        <v>71265.100000000006</v>
      </c>
      <c r="I61" s="86">
        <v>48581.51</v>
      </c>
      <c r="J61" s="86">
        <v>55684.92</v>
      </c>
      <c r="K61" s="86">
        <v>17826.79</v>
      </c>
      <c r="L61" s="86">
        <v>0</v>
      </c>
      <c r="M61" s="86">
        <v>0</v>
      </c>
      <c r="N61" s="86">
        <v>0</v>
      </c>
      <c r="O61" s="86">
        <v>0</v>
      </c>
      <c r="P61" s="86">
        <v>0</v>
      </c>
      <c r="Q61" s="86">
        <v>0</v>
      </c>
      <c r="R61" s="86">
        <v>0</v>
      </c>
      <c r="S61" s="86">
        <v>220917</v>
      </c>
      <c r="T61" s="86">
        <v>0</v>
      </c>
      <c r="U61" s="86">
        <v>0</v>
      </c>
      <c r="V61" s="86">
        <v>0</v>
      </c>
      <c r="W61" s="86">
        <v>0</v>
      </c>
      <c r="X61" s="86">
        <v>0</v>
      </c>
      <c r="Y61" s="86">
        <v>0</v>
      </c>
      <c r="Z61" s="86">
        <v>0</v>
      </c>
      <c r="AA61" s="86">
        <v>0</v>
      </c>
      <c r="AB61" s="86">
        <v>0</v>
      </c>
      <c r="AC61" s="86">
        <v>0</v>
      </c>
      <c r="AD61" s="86">
        <v>0</v>
      </c>
      <c r="AE61" s="86">
        <v>0</v>
      </c>
      <c r="AF61" s="86">
        <v>0</v>
      </c>
      <c r="AG61" s="90">
        <v>87465.85</v>
      </c>
      <c r="AH61" s="90">
        <v>35979.019999999997</v>
      </c>
      <c r="AI61" s="90">
        <v>84377.08</v>
      </c>
      <c r="AJ61" s="90">
        <v>42628.7</v>
      </c>
      <c r="AK61" s="90">
        <v>83418.100000000006</v>
      </c>
      <c r="AL61" s="90">
        <v>75675.31</v>
      </c>
      <c r="AM61" s="90">
        <v>60335.02</v>
      </c>
      <c r="AN61" s="90">
        <v>61212.959999999999</v>
      </c>
      <c r="AO61" s="90">
        <v>73616.490000000005</v>
      </c>
      <c r="AP61" s="90">
        <v>71336.160000000003</v>
      </c>
      <c r="AQ61" s="90">
        <v>66930.12</v>
      </c>
      <c r="AR61" s="90">
        <v>74276.41</v>
      </c>
      <c r="AS61" s="90">
        <v>250450.65</v>
      </c>
      <c r="AT61" s="87"/>
      <c r="AU61" s="87">
        <v>88.207796625802331</v>
      </c>
    </row>
    <row r="65" spans="1:46" ht="15" x14ac:dyDescent="0.25">
      <c r="A65" s="16"/>
      <c r="B65" s="16"/>
      <c r="C65" s="16"/>
      <c r="D65" s="16"/>
    </row>
    <row r="66" spans="1:46" ht="15" x14ac:dyDescent="0.25">
      <c r="A66" s="16"/>
      <c r="B66" s="16"/>
      <c r="C66" s="16"/>
      <c r="D66" s="16"/>
    </row>
    <row r="67" spans="1:46" ht="15" x14ac:dyDescent="0.25">
      <c r="A67" s="16"/>
      <c r="B67" s="16"/>
      <c r="C67" s="16"/>
      <c r="D67" s="16"/>
      <c r="S67" s="26">
        <f>+S2-SUM(S9:S16)</f>
        <v>221179.11</v>
      </c>
    </row>
    <row r="68" spans="1:46" ht="15" x14ac:dyDescent="0.25">
      <c r="A68" s="16"/>
      <c r="B68" s="16"/>
      <c r="C68" s="16"/>
      <c r="D68" s="16"/>
    </row>
    <row r="69" spans="1:46" ht="15" x14ac:dyDescent="0.25">
      <c r="A69" s="16"/>
      <c r="B69" s="16"/>
      <c r="C69" s="17"/>
      <c r="D69" s="16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</row>
    <row r="70" spans="1:46" ht="15" x14ac:dyDescent="0.25">
      <c r="A70" s="16"/>
      <c r="B70" s="16"/>
      <c r="C70" s="16"/>
      <c r="D70" s="16"/>
      <c r="AE70" s="365" t="s">
        <v>465</v>
      </c>
      <c r="AF70" s="26">
        <f>SUM(T2:AE2)</f>
        <v>0</v>
      </c>
    </row>
    <row r="71" spans="1:46" ht="15" x14ac:dyDescent="0.25">
      <c r="A71" s="16"/>
      <c r="B71" s="16"/>
      <c r="C71" s="16"/>
      <c r="D71" s="16"/>
      <c r="AE71" s="365"/>
      <c r="AF71" s="26">
        <f>SUM(T9:AE16)</f>
        <v>0</v>
      </c>
    </row>
    <row r="72" spans="1:46" ht="15" x14ac:dyDescent="0.25">
      <c r="A72" s="16"/>
      <c r="B72" s="16"/>
      <c r="C72" s="16"/>
      <c r="D72" s="16"/>
      <c r="AE72" s="365" t="s">
        <v>303</v>
      </c>
      <c r="AF72" s="26">
        <f>+AF70-AF71</f>
        <v>0</v>
      </c>
    </row>
    <row r="73" spans="1:46" ht="15" x14ac:dyDescent="0.25">
      <c r="A73" s="16"/>
      <c r="B73" s="16"/>
      <c r="C73" s="16"/>
      <c r="D73" s="16"/>
      <c r="AE73" s="365" t="s">
        <v>466</v>
      </c>
      <c r="AF73" s="482"/>
    </row>
    <row r="74" spans="1:46" x14ac:dyDescent="0.2">
      <c r="AE74" s="365"/>
      <c r="AF74" s="365"/>
    </row>
    <row r="75" spans="1:46" x14ac:dyDescent="0.2">
      <c r="AE75" s="365" t="s">
        <v>419</v>
      </c>
      <c r="AF75" s="18">
        <f>+AF72-AF73</f>
        <v>0</v>
      </c>
    </row>
    <row r="76" spans="1:46" x14ac:dyDescent="0.2">
      <c r="AE76" s="365"/>
      <c r="AF76" s="482">
        <f>+AF75-SUM(T61:AE61)</f>
        <v>0</v>
      </c>
    </row>
  </sheetData>
  <hyperlinks>
    <hyperlink ref="AF76" r:id="rId1" display="+AF75-@sum(T64:AE64)"/>
  </hyperlinks>
  <pageMargins left="0.75" right="0.75" top="1" bottom="1" header="0.5" footer="0.5"/>
  <pageSetup orientation="portrait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9" tint="-0.249977111117893"/>
  </sheetPr>
  <dimension ref="A1:AU76"/>
  <sheetViews>
    <sheetView workbookViewId="0">
      <pane xSplit="1" ySplit="1" topLeftCell="B2" activePane="bottomRight" state="frozen"/>
      <selection activeCell="A73" sqref="A73"/>
      <selection pane="topRight" activeCell="A73" sqref="A73"/>
      <selection pane="bottomLeft" activeCell="A73" sqref="A73"/>
      <selection pane="bottomRight" sqref="A1:AU63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9.42578125" collapsed="1"/>
    <col min="46" max="47" width="10.5703125" customWidth="1"/>
  </cols>
  <sheetData>
    <row r="1" spans="1:47" ht="39.7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s="203" customFormat="1" x14ac:dyDescent="0.2">
      <c r="A2" s="61" t="s">
        <v>7</v>
      </c>
      <c r="B2" s="62">
        <v>24110.73</v>
      </c>
      <c r="C2" s="54">
        <v>0</v>
      </c>
      <c r="D2" s="54">
        <v>12200.1</v>
      </c>
      <c r="E2" s="63"/>
      <c r="F2" s="64">
        <v>197.62731453020876</v>
      </c>
      <c r="G2" s="65">
        <v>19049.349999999999</v>
      </c>
      <c r="H2" s="54">
        <v>20339.88</v>
      </c>
      <c r="I2" s="54">
        <v>16086.82</v>
      </c>
      <c r="J2" s="54">
        <v>24110.73</v>
      </c>
      <c r="K2" s="54">
        <v>3059.18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79586.78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19945.61</v>
      </c>
      <c r="AH2" s="67">
        <v>10373.74</v>
      </c>
      <c r="AI2" s="67">
        <v>11735.41</v>
      </c>
      <c r="AJ2" s="67">
        <v>12200.1</v>
      </c>
      <c r="AK2" s="67">
        <v>11990.39</v>
      </c>
      <c r="AL2" s="67">
        <v>15359.75</v>
      </c>
      <c r="AM2" s="67">
        <v>18974.919999999998</v>
      </c>
      <c r="AN2" s="67">
        <v>18561.22</v>
      </c>
      <c r="AO2" s="67">
        <v>13754.23</v>
      </c>
      <c r="AP2" s="67">
        <v>36879.57</v>
      </c>
      <c r="AQ2" s="67">
        <v>28138.31</v>
      </c>
      <c r="AR2" s="67">
        <v>20663.62</v>
      </c>
      <c r="AS2" s="68">
        <v>54254.86</v>
      </c>
      <c r="AT2" s="63"/>
      <c r="AU2" s="63">
        <v>146.69060062084762</v>
      </c>
    </row>
    <row r="3" spans="1:47" ht="12.75" hidden="1" customHeight="1" outlineLevel="1" x14ac:dyDescent="0.2">
      <c r="A3" s="61" t="s">
        <v>160</v>
      </c>
      <c r="B3" s="62"/>
      <c r="C3" s="54"/>
      <c r="D3" s="54"/>
      <c r="E3" s="63"/>
      <c r="F3" s="64"/>
      <c r="G3" s="65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66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66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8"/>
      <c r="AT3" s="63"/>
      <c r="AU3" s="63"/>
    </row>
    <row r="4" spans="1:47" ht="12.75" hidden="1" customHeight="1" outlineLevel="1" x14ac:dyDescent="0.2">
      <c r="A4" s="61" t="s">
        <v>161</v>
      </c>
      <c r="B4" s="62"/>
      <c r="C4" s="54"/>
      <c r="D4" s="54"/>
      <c r="E4" s="63"/>
      <c r="F4" s="64"/>
      <c r="G4" s="65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66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66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8"/>
      <c r="AT4" s="63"/>
      <c r="AU4" s="63"/>
    </row>
    <row r="5" spans="1:47" ht="12.75" hidden="1" customHeight="1" outlineLevel="1" x14ac:dyDescent="0.2">
      <c r="A5" s="61" t="s">
        <v>162</v>
      </c>
      <c r="B5" s="62"/>
      <c r="C5" s="54"/>
      <c r="D5" s="54"/>
      <c r="E5" s="63"/>
      <c r="F5" s="64"/>
      <c r="G5" s="65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66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66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8"/>
      <c r="AT5" s="63"/>
      <c r="AU5" s="63"/>
    </row>
    <row r="6" spans="1:47" ht="12.75" hidden="1" customHeight="1" outlineLevel="1" x14ac:dyDescent="0.2">
      <c r="A6" s="61" t="s">
        <v>163</v>
      </c>
      <c r="B6" s="62"/>
      <c r="C6" s="54"/>
      <c r="D6" s="54"/>
      <c r="E6" s="63"/>
      <c r="F6" s="64"/>
      <c r="G6" s="65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66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66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8"/>
      <c r="AT6" s="63"/>
      <c r="AU6" s="63"/>
    </row>
    <row r="7" spans="1:47" ht="12.75" hidden="1" customHeight="1" outlineLevel="1" x14ac:dyDescent="0.2">
      <c r="A7" s="61" t="s">
        <v>164</v>
      </c>
      <c r="B7" s="62">
        <v>148.68</v>
      </c>
      <c r="C7" s="54"/>
      <c r="D7" s="54">
        <v>0</v>
      </c>
      <c r="E7" s="63"/>
      <c r="F7" s="64"/>
      <c r="G7" s="65">
        <v>148.68</v>
      </c>
      <c r="H7" s="54">
        <v>148.68</v>
      </c>
      <c r="I7" s="54">
        <v>148.68</v>
      </c>
      <c r="J7" s="54">
        <v>148.68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594.72</v>
      </c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66"/>
      <c r="AG7" s="67">
        <v>0</v>
      </c>
      <c r="AH7" s="67">
        <v>0</v>
      </c>
      <c r="AI7" s="67">
        <v>0</v>
      </c>
      <c r="AJ7" s="67">
        <v>0</v>
      </c>
      <c r="AK7" s="67">
        <v>0</v>
      </c>
      <c r="AL7" s="67">
        <v>0</v>
      </c>
      <c r="AM7" s="67">
        <v>0</v>
      </c>
      <c r="AN7" s="67">
        <v>0</v>
      </c>
      <c r="AO7" s="67">
        <v>0</v>
      </c>
      <c r="AP7" s="67">
        <v>0</v>
      </c>
      <c r="AQ7" s="67">
        <v>0</v>
      </c>
      <c r="AR7" s="67">
        <v>148.68</v>
      </c>
      <c r="AS7" s="68">
        <v>0</v>
      </c>
      <c r="AT7" s="63"/>
      <c r="AU7" s="63"/>
    </row>
    <row r="8" spans="1:47" ht="12.75" hidden="1" customHeight="1" outlineLevel="1" x14ac:dyDescent="0.2">
      <c r="A8" s="61" t="s">
        <v>165</v>
      </c>
      <c r="B8" s="62"/>
      <c r="C8" s="54"/>
      <c r="D8" s="54"/>
      <c r="E8" s="63"/>
      <c r="F8" s="64"/>
      <c r="G8" s="65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66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66"/>
      <c r="AG8" s="67"/>
      <c r="AH8" s="67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8"/>
      <c r="AT8" s="63"/>
      <c r="AU8" s="63"/>
    </row>
    <row r="9" spans="1:47" ht="12.75" customHeight="1" collapsed="1" x14ac:dyDescent="0.2">
      <c r="A9" s="69" t="s">
        <v>166</v>
      </c>
      <c r="B9" s="70">
        <v>148.68</v>
      </c>
      <c r="C9" s="71"/>
      <c r="D9" s="71">
        <v>0</v>
      </c>
      <c r="E9" s="72"/>
      <c r="F9" s="73"/>
      <c r="G9" s="70">
        <v>148.68</v>
      </c>
      <c r="H9" s="71">
        <v>148.68</v>
      </c>
      <c r="I9" s="71">
        <v>148.68</v>
      </c>
      <c r="J9" s="71">
        <v>148.68</v>
      </c>
      <c r="K9" s="71">
        <v>0</v>
      </c>
      <c r="L9" s="71">
        <v>0</v>
      </c>
      <c r="M9" s="71">
        <v>0</v>
      </c>
      <c r="N9" s="71">
        <v>0</v>
      </c>
      <c r="O9" s="71">
        <v>0</v>
      </c>
      <c r="P9" s="71">
        <v>0</v>
      </c>
      <c r="Q9" s="71">
        <v>0</v>
      </c>
      <c r="R9" s="71">
        <v>0</v>
      </c>
      <c r="S9" s="71">
        <v>594.72</v>
      </c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5">
        <v>0</v>
      </c>
      <c r="AH9" s="75">
        <v>0</v>
      </c>
      <c r="AI9" s="75">
        <v>0</v>
      </c>
      <c r="AJ9" s="75">
        <v>0</v>
      </c>
      <c r="AK9" s="75">
        <v>0</v>
      </c>
      <c r="AL9" s="75">
        <v>0</v>
      </c>
      <c r="AM9" s="75">
        <v>0</v>
      </c>
      <c r="AN9" s="75">
        <v>0</v>
      </c>
      <c r="AO9" s="75">
        <v>0</v>
      </c>
      <c r="AP9" s="75">
        <v>0</v>
      </c>
      <c r="AQ9" s="75">
        <v>0</v>
      </c>
      <c r="AR9" s="75">
        <v>148.68</v>
      </c>
      <c r="AS9" s="75">
        <v>0</v>
      </c>
      <c r="AT9" s="72"/>
      <c r="AU9" s="72"/>
    </row>
    <row r="10" spans="1:47" ht="12.75" customHeight="1" x14ac:dyDescent="0.2">
      <c r="A10" s="61" t="s">
        <v>167</v>
      </c>
      <c r="B10" s="62">
        <v>322.22000000000003</v>
      </c>
      <c r="C10" s="54">
        <v>0</v>
      </c>
      <c r="D10" s="54">
        <v>1482.23</v>
      </c>
      <c r="E10" s="63"/>
      <c r="F10" s="64">
        <v>21.738866437732337</v>
      </c>
      <c r="G10" s="65">
        <v>550.52</v>
      </c>
      <c r="H10" s="54">
        <v>115</v>
      </c>
      <c r="I10" s="56">
        <v>-4054.15</v>
      </c>
      <c r="J10" s="54">
        <v>322.22000000000003</v>
      </c>
      <c r="K10" s="54">
        <v>0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76">
        <v>-3066.41</v>
      </c>
      <c r="T10" s="54">
        <v>0</v>
      </c>
      <c r="U10" s="54">
        <v>0</v>
      </c>
      <c r="V10" s="54">
        <v>0</v>
      </c>
      <c r="W10" s="54">
        <v>0</v>
      </c>
      <c r="X10" s="54">
        <v>0</v>
      </c>
      <c r="Y10" s="54">
        <v>0</v>
      </c>
      <c r="Z10" s="54">
        <v>0</v>
      </c>
      <c r="AA10" s="54">
        <v>0</v>
      </c>
      <c r="AB10" s="54">
        <v>0</v>
      </c>
      <c r="AC10" s="54">
        <v>0</v>
      </c>
      <c r="AD10" s="54">
        <v>0</v>
      </c>
      <c r="AE10" s="54">
        <v>0</v>
      </c>
      <c r="AF10" s="66">
        <v>0</v>
      </c>
      <c r="AG10" s="67">
        <v>306.48</v>
      </c>
      <c r="AH10" s="67">
        <v>291.62</v>
      </c>
      <c r="AI10" s="98">
        <v>-3771.5</v>
      </c>
      <c r="AJ10" s="67">
        <v>1482.23</v>
      </c>
      <c r="AK10" s="67">
        <v>246.89</v>
      </c>
      <c r="AL10" s="67">
        <v>1591.75</v>
      </c>
      <c r="AM10" s="67">
        <v>50492.17</v>
      </c>
      <c r="AN10" s="67">
        <v>150</v>
      </c>
      <c r="AO10" s="98">
        <v>-474.9</v>
      </c>
      <c r="AP10" s="67">
        <v>282.08</v>
      </c>
      <c r="AQ10" s="67">
        <v>287.22000000000003</v>
      </c>
      <c r="AR10" s="67">
        <v>1162.27</v>
      </c>
      <c r="AS10" s="99">
        <v>-1691.17</v>
      </c>
      <c r="AT10" s="63"/>
      <c r="AU10" s="63">
        <v>181.31885026342709</v>
      </c>
    </row>
    <row r="11" spans="1:47" ht="12.75" customHeight="1" x14ac:dyDescent="0.2">
      <c r="A11" s="61" t="s">
        <v>168</v>
      </c>
      <c r="B11" s="62">
        <v>247.19</v>
      </c>
      <c r="C11" s="54">
        <v>0</v>
      </c>
      <c r="D11" s="54">
        <v>119.04</v>
      </c>
      <c r="E11" s="63"/>
      <c r="F11" s="64">
        <v>207.65288978494624</v>
      </c>
      <c r="G11" s="65">
        <v>0</v>
      </c>
      <c r="H11" s="54">
        <v>122.79</v>
      </c>
      <c r="I11" s="54">
        <v>122.79</v>
      </c>
      <c r="J11" s="54">
        <v>247.19</v>
      </c>
      <c r="K11" s="54">
        <v>0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66">
        <v>492.77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0</v>
      </c>
      <c r="AC11" s="54">
        <v>0</v>
      </c>
      <c r="AD11" s="54">
        <v>0</v>
      </c>
      <c r="AE11" s="54">
        <v>0</v>
      </c>
      <c r="AF11" s="66">
        <v>0</v>
      </c>
      <c r="AG11" s="67">
        <v>228.48</v>
      </c>
      <c r="AH11" s="67">
        <v>357.12</v>
      </c>
      <c r="AI11" s="67">
        <v>885.32</v>
      </c>
      <c r="AJ11" s="67">
        <v>119.04</v>
      </c>
      <c r="AK11" s="67">
        <v>119.04</v>
      </c>
      <c r="AL11" s="67">
        <v>122.54</v>
      </c>
      <c r="AM11" s="98">
        <v>-5046</v>
      </c>
      <c r="AN11" s="67">
        <v>357.12</v>
      </c>
      <c r="AO11" s="67">
        <v>4767</v>
      </c>
      <c r="AP11" s="67">
        <v>676</v>
      </c>
      <c r="AQ11" s="67">
        <v>245.58</v>
      </c>
      <c r="AR11" s="67">
        <v>524.58000000000004</v>
      </c>
      <c r="AS11" s="68">
        <v>1589.96</v>
      </c>
      <c r="AT11" s="63"/>
      <c r="AU11" s="63">
        <v>30.992603587511635</v>
      </c>
    </row>
    <row r="12" spans="1:47" ht="12.75" customHeight="1" x14ac:dyDescent="0.2">
      <c r="A12" s="61" t="s">
        <v>169</v>
      </c>
      <c r="B12" s="62">
        <v>0</v>
      </c>
      <c r="C12" s="54">
        <v>0</v>
      </c>
      <c r="D12" s="54">
        <v>0</v>
      </c>
      <c r="E12" s="63"/>
      <c r="F12" s="64"/>
      <c r="G12" s="65">
        <v>217.2</v>
      </c>
      <c r="H12" s="54">
        <v>193.76</v>
      </c>
      <c r="I12" s="54">
        <v>0</v>
      </c>
      <c r="J12" s="54">
        <v>0</v>
      </c>
      <c r="K12" s="54">
        <v>0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66">
        <v>410.96</v>
      </c>
      <c r="T12" s="54">
        <v>0</v>
      </c>
      <c r="U12" s="54">
        <v>0</v>
      </c>
      <c r="V12" s="54">
        <v>0</v>
      </c>
      <c r="W12" s="54">
        <v>0</v>
      </c>
      <c r="X12" s="54">
        <v>0</v>
      </c>
      <c r="Y12" s="54">
        <v>0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66">
        <v>0</v>
      </c>
      <c r="AG12" s="67">
        <v>0</v>
      </c>
      <c r="AH12" s="67">
        <v>360.48</v>
      </c>
      <c r="AI12" s="67">
        <v>55</v>
      </c>
      <c r="AJ12" s="67">
        <v>0</v>
      </c>
      <c r="AK12" s="67">
        <v>1640</v>
      </c>
      <c r="AL12" s="67">
        <v>0</v>
      </c>
      <c r="AM12" s="67">
        <v>180.24</v>
      </c>
      <c r="AN12" s="67">
        <v>1602</v>
      </c>
      <c r="AO12" s="67">
        <v>0</v>
      </c>
      <c r="AP12" s="67">
        <v>276.04000000000002</v>
      </c>
      <c r="AQ12" s="67">
        <v>484.84</v>
      </c>
      <c r="AR12" s="67">
        <v>1324.6</v>
      </c>
      <c r="AS12" s="68">
        <v>415.48</v>
      </c>
      <c r="AT12" s="63"/>
      <c r="AU12" s="63">
        <v>98.912101665543474</v>
      </c>
    </row>
    <row r="13" spans="1:47" ht="12.75" customHeight="1" x14ac:dyDescent="0.2">
      <c r="A13" s="61" t="s">
        <v>50</v>
      </c>
      <c r="B13" s="62">
        <v>0</v>
      </c>
      <c r="C13" s="54"/>
      <c r="D13" s="54">
        <v>0</v>
      </c>
      <c r="E13" s="63"/>
      <c r="F13" s="64"/>
      <c r="G13" s="65">
        <v>0</v>
      </c>
      <c r="H13" s="54">
        <v>0</v>
      </c>
      <c r="I13" s="54">
        <v>0</v>
      </c>
      <c r="J13" s="54">
        <v>0</v>
      </c>
      <c r="K13" s="54">
        <v>0</v>
      </c>
      <c r="L13" s="54">
        <v>0</v>
      </c>
      <c r="M13" s="54">
        <v>0</v>
      </c>
      <c r="N13" s="54">
        <v>0</v>
      </c>
      <c r="O13" s="54">
        <v>0</v>
      </c>
      <c r="P13" s="54">
        <v>0</v>
      </c>
      <c r="Q13" s="54">
        <v>0</v>
      </c>
      <c r="R13" s="54">
        <v>0</v>
      </c>
      <c r="S13" s="66">
        <v>0</v>
      </c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>
        <v>0</v>
      </c>
      <c r="AH13" s="67">
        <v>0</v>
      </c>
      <c r="AI13" s="67">
        <v>0</v>
      </c>
      <c r="AJ13" s="67">
        <v>0</v>
      </c>
      <c r="AK13" s="67">
        <v>0</v>
      </c>
      <c r="AL13" s="67">
        <v>0</v>
      </c>
      <c r="AM13" s="67">
        <v>0</v>
      </c>
      <c r="AN13" s="67">
        <v>0</v>
      </c>
      <c r="AO13" s="67">
        <v>0</v>
      </c>
      <c r="AP13" s="67">
        <v>0</v>
      </c>
      <c r="AQ13" s="67">
        <v>0</v>
      </c>
      <c r="AR13" s="67">
        <v>0</v>
      </c>
      <c r="AS13" s="68">
        <v>0</v>
      </c>
      <c r="AT13" s="63"/>
      <c r="AU13" s="63"/>
    </row>
    <row r="14" spans="1:47" ht="12.75" customHeight="1" x14ac:dyDescent="0.2">
      <c r="A14" s="61" t="s">
        <v>170</v>
      </c>
      <c r="B14" s="62">
        <v>16333.66</v>
      </c>
      <c r="C14" s="54">
        <v>0</v>
      </c>
      <c r="D14" s="54">
        <v>1952</v>
      </c>
      <c r="E14" s="63"/>
      <c r="F14" s="64">
        <v>836.76536885245901</v>
      </c>
      <c r="G14" s="65">
        <v>14152.59</v>
      </c>
      <c r="H14" s="54">
        <v>7497.98</v>
      </c>
      <c r="I14" s="54">
        <v>9163.81</v>
      </c>
      <c r="J14" s="54">
        <v>16333.66</v>
      </c>
      <c r="K14" s="56">
        <v>-588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47148.04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67">
        <v>3022.4</v>
      </c>
      <c r="AH14" s="67">
        <v>546.70000000000005</v>
      </c>
      <c r="AI14" s="67">
        <v>346.21</v>
      </c>
      <c r="AJ14" s="67">
        <v>1952</v>
      </c>
      <c r="AK14" s="67">
        <v>1454.22</v>
      </c>
      <c r="AL14" s="67">
        <v>2929.13</v>
      </c>
      <c r="AM14" s="67">
        <v>812.42</v>
      </c>
      <c r="AN14" s="67">
        <v>2553.96</v>
      </c>
      <c r="AO14" s="67">
        <v>5207.59</v>
      </c>
      <c r="AP14" s="67">
        <v>5203.55</v>
      </c>
      <c r="AQ14" s="67">
        <v>33967.1</v>
      </c>
      <c r="AR14" s="67">
        <v>12827.63</v>
      </c>
      <c r="AS14" s="68">
        <v>5867.31</v>
      </c>
      <c r="AT14" s="63"/>
      <c r="AU14" s="63">
        <v>803.57165379023775</v>
      </c>
    </row>
    <row r="15" spans="1:47" ht="12.75" customHeight="1" x14ac:dyDescent="0.2">
      <c r="A15" s="61" t="s">
        <v>171</v>
      </c>
      <c r="B15" s="62">
        <v>0</v>
      </c>
      <c r="C15" s="54">
        <v>0</v>
      </c>
      <c r="D15" s="54">
        <v>0</v>
      </c>
      <c r="E15" s="63"/>
      <c r="F15" s="64"/>
      <c r="G15" s="65">
        <v>0</v>
      </c>
      <c r="H15" s="54">
        <v>0</v>
      </c>
      <c r="I15" s="54">
        <v>0</v>
      </c>
      <c r="J15" s="54">
        <v>0</v>
      </c>
      <c r="K15" s="54">
        <v>0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66">
        <v>0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66">
        <v>0</v>
      </c>
      <c r="AG15" s="67">
        <v>0</v>
      </c>
      <c r="AH15" s="67">
        <v>2967.6</v>
      </c>
      <c r="AI15" s="67">
        <v>0</v>
      </c>
      <c r="AJ15" s="67">
        <v>0</v>
      </c>
      <c r="AK15" s="67">
        <v>0</v>
      </c>
      <c r="AL15" s="67">
        <v>0</v>
      </c>
      <c r="AM15" s="67">
        <v>0</v>
      </c>
      <c r="AN15" s="67">
        <v>0</v>
      </c>
      <c r="AO15" s="67">
        <v>0</v>
      </c>
      <c r="AP15" s="67">
        <v>0</v>
      </c>
      <c r="AQ15" s="67">
        <v>0</v>
      </c>
      <c r="AR15" s="67">
        <v>0</v>
      </c>
      <c r="AS15" s="68">
        <v>2967.6</v>
      </c>
      <c r="AT15" s="63"/>
      <c r="AU15" s="63">
        <v>0</v>
      </c>
    </row>
    <row r="16" spans="1:47" ht="12.75" customHeight="1" x14ac:dyDescent="0.2">
      <c r="A16" s="61" t="s">
        <v>172</v>
      </c>
      <c r="B16" s="62"/>
      <c r="C16" s="54">
        <v>0</v>
      </c>
      <c r="D16" s="54"/>
      <c r="E16" s="63"/>
      <c r="F16" s="64"/>
      <c r="G16" s="65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66"/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8"/>
      <c r="AT16" s="63"/>
      <c r="AU16" s="63"/>
    </row>
    <row r="17" spans="1:47" s="365" customFormat="1" ht="12.75" customHeight="1" x14ac:dyDescent="0.2">
      <c r="A17" s="61" t="s">
        <v>173</v>
      </c>
      <c r="B17" s="62"/>
      <c r="C17" s="54"/>
      <c r="D17" s="54"/>
      <c r="E17" s="63"/>
      <c r="F17" s="64"/>
      <c r="G17" s="65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66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66"/>
      <c r="AG17" s="67"/>
      <c r="AH17" s="67"/>
      <c r="AI17" s="67"/>
      <c r="AJ17" s="67"/>
      <c r="AK17" s="67"/>
      <c r="AL17" s="67"/>
      <c r="AM17" s="67"/>
      <c r="AN17" s="67"/>
      <c r="AO17" s="67"/>
      <c r="AP17" s="67"/>
      <c r="AQ17" s="67"/>
      <c r="AR17" s="67"/>
      <c r="AS17" s="68"/>
      <c r="AT17" s="63"/>
      <c r="AU17" s="63"/>
    </row>
    <row r="18" spans="1:47" ht="12.75" customHeight="1" x14ac:dyDescent="0.2">
      <c r="A18" s="61" t="s">
        <v>257</v>
      </c>
      <c r="B18" s="62"/>
      <c r="C18" s="54"/>
      <c r="D18" s="54"/>
      <c r="E18" s="63"/>
      <c r="F18" s="64"/>
      <c r="G18" s="65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66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66"/>
      <c r="AG18" s="67"/>
      <c r="AH18" s="67"/>
      <c r="AI18" s="67"/>
      <c r="AJ18" s="67"/>
      <c r="AK18" s="67"/>
      <c r="AL18" s="67"/>
      <c r="AM18" s="67"/>
      <c r="AN18" s="67"/>
      <c r="AO18" s="67"/>
      <c r="AP18" s="67"/>
      <c r="AQ18" s="67"/>
      <c r="AR18" s="67"/>
      <c r="AS18" s="68"/>
      <c r="AT18" s="63"/>
      <c r="AU18" s="63"/>
    </row>
    <row r="19" spans="1:47" ht="12.75" hidden="1" customHeight="1" outlineLevel="1" x14ac:dyDescent="0.2">
      <c r="A19" s="61" t="s">
        <v>109</v>
      </c>
      <c r="B19" s="62"/>
      <c r="C19" s="54"/>
      <c r="D19" s="54"/>
      <c r="E19" s="63"/>
      <c r="F19" s="64"/>
      <c r="G19" s="65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66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66"/>
      <c r="AG19" s="67"/>
      <c r="AH19" s="67"/>
      <c r="AI19" s="67"/>
      <c r="AJ19" s="67"/>
      <c r="AK19" s="67"/>
      <c r="AL19" s="67"/>
      <c r="AM19" s="67"/>
      <c r="AN19" s="67"/>
      <c r="AO19" s="67"/>
      <c r="AP19" s="67"/>
      <c r="AQ19" s="67"/>
      <c r="AR19" s="67"/>
      <c r="AS19" s="68"/>
      <c r="AT19" s="63"/>
      <c r="AU19" s="63"/>
    </row>
    <row r="20" spans="1:47" ht="12.75" hidden="1" customHeight="1" outlineLevel="1" x14ac:dyDescent="0.2">
      <c r="A20" s="61" t="s">
        <v>97</v>
      </c>
      <c r="B20" s="62"/>
      <c r="C20" s="54"/>
      <c r="D20" s="54"/>
      <c r="E20" s="63"/>
      <c r="F20" s="64"/>
      <c r="G20" s="65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66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66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8"/>
      <c r="AT20" s="63"/>
      <c r="AU20" s="63"/>
    </row>
    <row r="21" spans="1:47" ht="12.75" hidden="1" customHeight="1" outlineLevel="1" x14ac:dyDescent="0.2">
      <c r="A21" s="61" t="s">
        <v>69</v>
      </c>
      <c r="B21" s="62">
        <v>0</v>
      </c>
      <c r="C21" s="54">
        <v>0</v>
      </c>
      <c r="D21" s="54">
        <v>0</v>
      </c>
      <c r="E21" s="63"/>
      <c r="F21" s="64"/>
      <c r="G21" s="65">
        <v>0</v>
      </c>
      <c r="H21" s="54">
        <v>0</v>
      </c>
      <c r="I21" s="54">
        <v>0</v>
      </c>
      <c r="J21" s="54">
        <v>0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66">
        <v>0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4">
        <v>0</v>
      </c>
      <c r="AB21" s="54">
        <v>0</v>
      </c>
      <c r="AC21" s="54">
        <v>0</v>
      </c>
      <c r="AD21" s="54">
        <v>0</v>
      </c>
      <c r="AE21" s="54">
        <v>0</v>
      </c>
      <c r="AF21" s="66">
        <v>0</v>
      </c>
      <c r="AG21" s="67">
        <v>0</v>
      </c>
      <c r="AH21" s="67">
        <v>0</v>
      </c>
      <c r="AI21" s="67">
        <v>0</v>
      </c>
      <c r="AJ21" s="67">
        <v>0</v>
      </c>
      <c r="AK21" s="67">
        <v>0</v>
      </c>
      <c r="AL21" s="67">
        <v>0</v>
      </c>
      <c r="AM21" s="67">
        <v>0</v>
      </c>
      <c r="AN21" s="67">
        <v>0</v>
      </c>
      <c r="AO21" s="67">
        <v>0</v>
      </c>
      <c r="AP21" s="67">
        <v>0</v>
      </c>
      <c r="AQ21" s="67">
        <v>0</v>
      </c>
      <c r="AR21" s="67">
        <v>0</v>
      </c>
      <c r="AS21" s="68">
        <v>0</v>
      </c>
      <c r="AT21" s="63"/>
      <c r="AU21" s="63"/>
    </row>
    <row r="22" spans="1:47" ht="12.75" customHeight="1" collapsed="1" x14ac:dyDescent="0.2">
      <c r="A22" s="69" t="s">
        <v>70</v>
      </c>
      <c r="B22" s="70">
        <v>0</v>
      </c>
      <c r="C22" s="71">
        <v>0</v>
      </c>
      <c r="D22" s="71">
        <v>0</v>
      </c>
      <c r="E22" s="72"/>
      <c r="F22" s="73"/>
      <c r="G22" s="70">
        <v>0</v>
      </c>
      <c r="H22" s="71">
        <v>0</v>
      </c>
      <c r="I22" s="71">
        <v>0</v>
      </c>
      <c r="J22" s="71">
        <v>0</v>
      </c>
      <c r="K22" s="71">
        <v>0</v>
      </c>
      <c r="L22" s="71">
        <v>0</v>
      </c>
      <c r="M22" s="71">
        <v>0</v>
      </c>
      <c r="N22" s="71">
        <v>0</v>
      </c>
      <c r="O22" s="71">
        <v>0</v>
      </c>
      <c r="P22" s="71">
        <v>0</v>
      </c>
      <c r="Q22" s="71">
        <v>0</v>
      </c>
      <c r="R22" s="71">
        <v>0</v>
      </c>
      <c r="S22" s="71">
        <v>0</v>
      </c>
      <c r="T22" s="71">
        <v>0</v>
      </c>
      <c r="U22" s="71">
        <v>0</v>
      </c>
      <c r="V22" s="71">
        <v>0</v>
      </c>
      <c r="W22" s="71">
        <v>0</v>
      </c>
      <c r="X22" s="71">
        <v>0</v>
      </c>
      <c r="Y22" s="71">
        <v>0</v>
      </c>
      <c r="Z22" s="71">
        <v>0</v>
      </c>
      <c r="AA22" s="71">
        <v>0</v>
      </c>
      <c r="AB22" s="71">
        <v>0</v>
      </c>
      <c r="AC22" s="71">
        <v>0</v>
      </c>
      <c r="AD22" s="71">
        <v>0</v>
      </c>
      <c r="AE22" s="71">
        <v>0</v>
      </c>
      <c r="AF22" s="71">
        <v>0</v>
      </c>
      <c r="AG22" s="75">
        <v>0</v>
      </c>
      <c r="AH22" s="75">
        <v>0</v>
      </c>
      <c r="AI22" s="75">
        <v>0</v>
      </c>
      <c r="AJ22" s="75">
        <v>0</v>
      </c>
      <c r="AK22" s="75">
        <v>0</v>
      </c>
      <c r="AL22" s="75">
        <v>0</v>
      </c>
      <c r="AM22" s="75">
        <v>0</v>
      </c>
      <c r="AN22" s="75">
        <v>0</v>
      </c>
      <c r="AO22" s="75">
        <v>0</v>
      </c>
      <c r="AP22" s="75">
        <v>0</v>
      </c>
      <c r="AQ22" s="75">
        <v>0</v>
      </c>
      <c r="AR22" s="75">
        <v>0</v>
      </c>
      <c r="AS22" s="75">
        <v>0</v>
      </c>
      <c r="AT22" s="72"/>
      <c r="AU22" s="72"/>
    </row>
    <row r="23" spans="1:47" ht="12.75" hidden="1" customHeight="1" outlineLevel="1" x14ac:dyDescent="0.2">
      <c r="A23" s="61" t="s">
        <v>174</v>
      </c>
      <c r="B23" s="62"/>
      <c r="C23" s="54"/>
      <c r="D23" s="54"/>
      <c r="E23" s="63"/>
      <c r="F23" s="64"/>
      <c r="G23" s="65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66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66"/>
      <c r="AG23" s="67"/>
      <c r="AH23" s="67"/>
      <c r="AI23" s="67"/>
      <c r="AJ23" s="67"/>
      <c r="AK23" s="67"/>
      <c r="AL23" s="67"/>
      <c r="AM23" s="67"/>
      <c r="AN23" s="67"/>
      <c r="AO23" s="67"/>
      <c r="AP23" s="67"/>
      <c r="AQ23" s="67"/>
      <c r="AR23" s="67"/>
      <c r="AS23" s="68"/>
      <c r="AT23" s="63"/>
      <c r="AU23" s="63"/>
    </row>
    <row r="24" spans="1:47" ht="12.75" hidden="1" customHeight="1" outlineLevel="1" x14ac:dyDescent="0.2">
      <c r="A24" s="61" t="s">
        <v>99</v>
      </c>
      <c r="B24" s="62"/>
      <c r="C24" s="54"/>
      <c r="D24" s="54"/>
      <c r="E24" s="63"/>
      <c r="F24" s="64"/>
      <c r="G24" s="65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66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66"/>
      <c r="AG24" s="67"/>
      <c r="AH24" s="67"/>
      <c r="AI24" s="67"/>
      <c r="AJ24" s="67"/>
      <c r="AK24" s="67"/>
      <c r="AL24" s="67"/>
      <c r="AM24" s="67"/>
      <c r="AN24" s="67"/>
      <c r="AO24" s="67"/>
      <c r="AP24" s="67"/>
      <c r="AQ24" s="67"/>
      <c r="AR24" s="67"/>
      <c r="AS24" s="68"/>
      <c r="AT24" s="63"/>
      <c r="AU24" s="63"/>
    </row>
    <row r="25" spans="1:47" ht="12.75" hidden="1" customHeight="1" outlineLevel="1" x14ac:dyDescent="0.2">
      <c r="A25" s="61" t="s">
        <v>175</v>
      </c>
      <c r="B25" s="62"/>
      <c r="C25" s="54"/>
      <c r="D25" s="54"/>
      <c r="E25" s="63"/>
      <c r="F25" s="64"/>
      <c r="G25" s="65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66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66"/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8"/>
      <c r="AT25" s="63"/>
      <c r="AU25" s="63"/>
    </row>
    <row r="26" spans="1:47" ht="12.75" hidden="1" customHeight="1" outlineLevel="1" x14ac:dyDescent="0.2">
      <c r="A26" s="61" t="s">
        <v>101</v>
      </c>
      <c r="B26" s="62"/>
      <c r="C26" s="54"/>
      <c r="D26" s="54"/>
      <c r="E26" s="63"/>
      <c r="F26" s="64"/>
      <c r="G26" s="65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66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66"/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8"/>
      <c r="AT26" s="63"/>
      <c r="AU26" s="63"/>
    </row>
    <row r="27" spans="1:47" ht="12.75" hidden="1" customHeight="1" outlineLevel="1" x14ac:dyDescent="0.2">
      <c r="A27" s="61" t="s">
        <v>176</v>
      </c>
      <c r="B27" s="62"/>
      <c r="C27" s="54"/>
      <c r="D27" s="54"/>
      <c r="E27" s="63"/>
      <c r="F27" s="64"/>
      <c r="G27" s="65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66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66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8"/>
      <c r="AT27" s="63"/>
      <c r="AU27" s="63"/>
    </row>
    <row r="28" spans="1:47" ht="12.75" hidden="1" customHeight="1" outlineLevel="1" x14ac:dyDescent="0.2">
      <c r="A28" s="61" t="s">
        <v>102</v>
      </c>
      <c r="B28" s="62"/>
      <c r="C28" s="54"/>
      <c r="D28" s="54"/>
      <c r="E28" s="63"/>
      <c r="F28" s="64"/>
      <c r="G28" s="65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66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66"/>
      <c r="AG28" s="67"/>
      <c r="AH28" s="67"/>
      <c r="AI28" s="67"/>
      <c r="AJ28" s="67"/>
      <c r="AK28" s="67"/>
      <c r="AL28" s="67"/>
      <c r="AM28" s="67"/>
      <c r="AN28" s="67"/>
      <c r="AO28" s="67"/>
      <c r="AP28" s="67"/>
      <c r="AQ28" s="67"/>
      <c r="AR28" s="67"/>
      <c r="AS28" s="68"/>
      <c r="AT28" s="63"/>
      <c r="AU28" s="63"/>
    </row>
    <row r="29" spans="1:47" ht="12.75" hidden="1" customHeight="1" outlineLevel="1" x14ac:dyDescent="0.2">
      <c r="A29" s="61" t="s">
        <v>75</v>
      </c>
      <c r="B29" s="62"/>
      <c r="C29" s="54"/>
      <c r="D29" s="54"/>
      <c r="E29" s="63"/>
      <c r="F29" s="64"/>
      <c r="G29" s="65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66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66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8"/>
      <c r="AT29" s="63"/>
      <c r="AU29" s="63"/>
    </row>
    <row r="30" spans="1:47" ht="12.75" hidden="1" customHeight="1" outlineLevel="1" x14ac:dyDescent="0.2">
      <c r="A30" s="61" t="s">
        <v>76</v>
      </c>
      <c r="B30" s="62"/>
      <c r="C30" s="54"/>
      <c r="D30" s="54"/>
      <c r="E30" s="63"/>
      <c r="F30" s="64"/>
      <c r="G30" s="65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66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66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8"/>
      <c r="AT30" s="63"/>
      <c r="AU30" s="63"/>
    </row>
    <row r="31" spans="1:47" ht="12.75" hidden="1" customHeight="1" outlineLevel="1" x14ac:dyDescent="0.2">
      <c r="A31" s="61" t="s">
        <v>77</v>
      </c>
      <c r="B31" s="62"/>
      <c r="C31" s="54"/>
      <c r="D31" s="54"/>
      <c r="E31" s="63"/>
      <c r="F31" s="64"/>
      <c r="G31" s="65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66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66"/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8"/>
      <c r="AT31" s="63"/>
      <c r="AU31" s="63"/>
    </row>
    <row r="32" spans="1:47" ht="12.75" customHeight="1" collapsed="1" x14ac:dyDescent="0.2">
      <c r="A32" s="69" t="s">
        <v>177</v>
      </c>
      <c r="B32" s="70"/>
      <c r="C32" s="71"/>
      <c r="D32" s="71"/>
      <c r="E32" s="72"/>
      <c r="F32" s="73"/>
      <c r="G32" s="70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5"/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2"/>
      <c r="AU32" s="72"/>
    </row>
    <row r="33" spans="1:47" ht="12.75" hidden="1" customHeight="1" outlineLevel="1" x14ac:dyDescent="0.2">
      <c r="A33" s="61" t="s">
        <v>178</v>
      </c>
      <c r="B33" s="62"/>
      <c r="C33" s="54"/>
      <c r="D33" s="54"/>
      <c r="E33" s="63"/>
      <c r="F33" s="64"/>
      <c r="G33" s="65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66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66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8"/>
      <c r="AT33" s="63"/>
      <c r="AU33" s="63"/>
    </row>
    <row r="34" spans="1:47" ht="12.75" hidden="1" customHeight="1" outlineLevel="1" x14ac:dyDescent="0.2">
      <c r="A34" s="61" t="s">
        <v>179</v>
      </c>
      <c r="B34" s="62"/>
      <c r="C34" s="54"/>
      <c r="D34" s="54"/>
      <c r="E34" s="63"/>
      <c r="F34" s="64"/>
      <c r="G34" s="65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66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66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8"/>
      <c r="AT34" s="63"/>
      <c r="AU34" s="63"/>
    </row>
    <row r="35" spans="1:47" ht="12.75" hidden="1" customHeight="1" outlineLevel="1" x14ac:dyDescent="0.2">
      <c r="A35" s="61" t="s">
        <v>180</v>
      </c>
      <c r="B35" s="62">
        <v>0</v>
      </c>
      <c r="C35" s="54">
        <v>0</v>
      </c>
      <c r="D35" s="54">
        <v>0</v>
      </c>
      <c r="E35" s="63"/>
      <c r="F35" s="64"/>
      <c r="G35" s="65">
        <v>0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0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0</v>
      </c>
      <c r="AH35" s="67">
        <v>0</v>
      </c>
      <c r="AI35" s="67">
        <v>0</v>
      </c>
      <c r="AJ35" s="67">
        <v>0</v>
      </c>
      <c r="AK35" s="67">
        <v>0</v>
      </c>
      <c r="AL35" s="67">
        <v>0</v>
      </c>
      <c r="AM35" s="67">
        <v>0</v>
      </c>
      <c r="AN35" s="67">
        <v>0</v>
      </c>
      <c r="AO35" s="67">
        <v>0</v>
      </c>
      <c r="AP35" s="67">
        <v>0</v>
      </c>
      <c r="AQ35" s="67">
        <v>0</v>
      </c>
      <c r="AR35" s="67">
        <v>0</v>
      </c>
      <c r="AS35" s="68">
        <v>0</v>
      </c>
      <c r="AT35" s="63"/>
      <c r="AU35" s="63"/>
    </row>
    <row r="36" spans="1:47" ht="12.75" hidden="1" customHeight="1" outlineLevel="1" x14ac:dyDescent="0.2">
      <c r="A36" s="61" t="s">
        <v>181</v>
      </c>
      <c r="B36" s="62"/>
      <c r="C36" s="54"/>
      <c r="D36" s="54"/>
      <c r="E36" s="63"/>
      <c r="F36" s="64"/>
      <c r="G36" s="65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66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66"/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8"/>
      <c r="AT36" s="63"/>
      <c r="AU36" s="63"/>
    </row>
    <row r="37" spans="1:47" ht="12.75" hidden="1" customHeight="1" outlineLevel="1" x14ac:dyDescent="0.2">
      <c r="A37" s="61" t="s">
        <v>182</v>
      </c>
      <c r="B37" s="62">
        <v>0</v>
      </c>
      <c r="C37" s="54">
        <v>0</v>
      </c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0</v>
      </c>
      <c r="AM37" s="67">
        <v>0</v>
      </c>
      <c r="AN37" s="67">
        <v>0</v>
      </c>
      <c r="AO37" s="67">
        <v>0</v>
      </c>
      <c r="AP37" s="67">
        <v>0</v>
      </c>
      <c r="AQ37" s="67">
        <v>0</v>
      </c>
      <c r="AR37" s="67">
        <v>0</v>
      </c>
      <c r="AS37" s="68">
        <v>0</v>
      </c>
      <c r="AT37" s="63"/>
      <c r="AU37" s="63"/>
    </row>
    <row r="38" spans="1:47" ht="12.75" hidden="1" customHeight="1" outlineLevel="1" x14ac:dyDescent="0.2">
      <c r="A38" s="61" t="s">
        <v>183</v>
      </c>
      <c r="B38" s="62"/>
      <c r="C38" s="54"/>
      <c r="D38" s="54"/>
      <c r="E38" s="63"/>
      <c r="F38" s="64"/>
      <c r="G38" s="65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66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66"/>
      <c r="AG38" s="67"/>
      <c r="AH38" s="67"/>
      <c r="AI38" s="67"/>
      <c r="AJ38" s="67"/>
      <c r="AK38" s="67"/>
      <c r="AL38" s="67"/>
      <c r="AM38" s="67"/>
      <c r="AN38" s="67"/>
      <c r="AO38" s="67"/>
      <c r="AP38" s="67"/>
      <c r="AQ38" s="67"/>
      <c r="AR38" s="67"/>
      <c r="AS38" s="68"/>
      <c r="AT38" s="63"/>
      <c r="AU38" s="63"/>
    </row>
    <row r="39" spans="1:47" ht="12.75" hidden="1" customHeight="1" outlineLevel="1" x14ac:dyDescent="0.2">
      <c r="A39" s="61" t="s">
        <v>184</v>
      </c>
      <c r="B39" s="62"/>
      <c r="C39" s="54"/>
      <c r="D39" s="54"/>
      <c r="E39" s="63"/>
      <c r="F39" s="64"/>
      <c r="G39" s="65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66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66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8"/>
      <c r="AT39" s="63"/>
      <c r="AU39" s="63"/>
    </row>
    <row r="40" spans="1:47" ht="12.75" hidden="1" customHeight="1" outlineLevel="1" x14ac:dyDescent="0.2">
      <c r="A40" s="61" t="s">
        <v>185</v>
      </c>
      <c r="B40" s="62"/>
      <c r="C40" s="54"/>
      <c r="D40" s="54"/>
      <c r="E40" s="63"/>
      <c r="F40" s="64"/>
      <c r="G40" s="65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66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66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8"/>
      <c r="AT40" s="63"/>
      <c r="AU40" s="63"/>
    </row>
    <row r="41" spans="1:47" ht="12.75" hidden="1" customHeight="1" outlineLevel="1" x14ac:dyDescent="0.2">
      <c r="A41" s="61" t="s">
        <v>186</v>
      </c>
      <c r="B41" s="62"/>
      <c r="C41" s="54"/>
      <c r="D41" s="54"/>
      <c r="E41" s="63"/>
      <c r="F41" s="64"/>
      <c r="G41" s="65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66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66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8"/>
      <c r="AT41" s="63"/>
      <c r="AU41" s="63"/>
    </row>
    <row r="42" spans="1:47" ht="12.75" hidden="1" customHeight="1" outlineLevel="1" x14ac:dyDescent="0.2">
      <c r="A42" s="61" t="s">
        <v>191</v>
      </c>
      <c r="B42" s="62"/>
      <c r="C42" s="54"/>
      <c r="D42" s="54"/>
      <c r="E42" s="63"/>
      <c r="F42" s="64"/>
      <c r="G42" s="65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66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66"/>
      <c r="AG42" s="67"/>
      <c r="AH42" s="67"/>
      <c r="AI42" s="67"/>
      <c r="AJ42" s="67"/>
      <c r="AK42" s="67"/>
      <c r="AL42" s="67"/>
      <c r="AM42" s="67"/>
      <c r="AN42" s="67"/>
      <c r="AO42" s="67"/>
      <c r="AP42" s="67"/>
      <c r="AQ42" s="67"/>
      <c r="AR42" s="67"/>
      <c r="AS42" s="68"/>
      <c r="AT42" s="63"/>
      <c r="AU42" s="63"/>
    </row>
    <row r="43" spans="1:47" ht="12.75" hidden="1" customHeight="1" outlineLevel="1" x14ac:dyDescent="0.2">
      <c r="A43" s="61" t="s">
        <v>187</v>
      </c>
      <c r="B43" s="62"/>
      <c r="C43" s="54"/>
      <c r="D43" s="54"/>
      <c r="E43" s="63"/>
      <c r="F43" s="64"/>
      <c r="G43" s="65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66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66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8"/>
      <c r="AT43" s="63"/>
      <c r="AU43" s="63"/>
    </row>
    <row r="44" spans="1:47" ht="12.75" hidden="1" customHeight="1" outlineLevel="1" x14ac:dyDescent="0.2">
      <c r="A44" s="61" t="s">
        <v>188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61" t="s">
        <v>189</v>
      </c>
      <c r="B45" s="62"/>
      <c r="C45" s="54"/>
      <c r="D45" s="54"/>
      <c r="E45" s="63"/>
      <c r="F45" s="64"/>
      <c r="G45" s="65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66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66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8"/>
      <c r="AT45" s="63"/>
      <c r="AU45" s="63"/>
    </row>
    <row r="46" spans="1:47" ht="12.75" hidden="1" customHeight="1" outlineLevel="1" x14ac:dyDescent="0.2">
      <c r="A46" s="61" t="s">
        <v>190</v>
      </c>
      <c r="B46" s="62"/>
      <c r="C46" s="54"/>
      <c r="D46" s="54"/>
      <c r="E46" s="63"/>
      <c r="F46" s="64"/>
      <c r="G46" s="65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66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66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8"/>
      <c r="AT46" s="63"/>
      <c r="AU46" s="63"/>
    </row>
    <row r="47" spans="1:47" ht="14.25" customHeight="1" collapsed="1" x14ac:dyDescent="0.2">
      <c r="A47" s="69" t="s">
        <v>192</v>
      </c>
      <c r="B47" s="70">
        <v>0</v>
      </c>
      <c r="C47" s="71">
        <v>0</v>
      </c>
      <c r="D47" s="71">
        <v>0</v>
      </c>
      <c r="E47" s="72"/>
      <c r="F47" s="73"/>
      <c r="G47" s="70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</v>
      </c>
      <c r="N47" s="71">
        <v>0</v>
      </c>
      <c r="O47" s="71">
        <v>0</v>
      </c>
      <c r="P47" s="71">
        <v>0</v>
      </c>
      <c r="Q47" s="71">
        <v>0</v>
      </c>
      <c r="R47" s="71">
        <v>0</v>
      </c>
      <c r="S47" s="71">
        <v>0</v>
      </c>
      <c r="T47" s="71">
        <v>0</v>
      </c>
      <c r="U47" s="71">
        <v>0</v>
      </c>
      <c r="V47" s="71">
        <v>0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71">
        <v>0</v>
      </c>
      <c r="AE47" s="71">
        <v>0</v>
      </c>
      <c r="AF47" s="71">
        <v>0</v>
      </c>
      <c r="AG47" s="75">
        <v>0</v>
      </c>
      <c r="AH47" s="75">
        <v>0</v>
      </c>
      <c r="AI47" s="75">
        <v>0</v>
      </c>
      <c r="AJ47" s="75">
        <v>0</v>
      </c>
      <c r="AK47" s="75">
        <v>0</v>
      </c>
      <c r="AL47" s="75">
        <v>0</v>
      </c>
      <c r="AM47" s="75">
        <v>0</v>
      </c>
      <c r="AN47" s="75">
        <v>0</v>
      </c>
      <c r="AO47" s="75">
        <v>0</v>
      </c>
      <c r="AP47" s="75">
        <v>0</v>
      </c>
      <c r="AQ47" s="75">
        <v>0</v>
      </c>
      <c r="AR47" s="75">
        <v>0</v>
      </c>
      <c r="AS47" s="75">
        <v>0</v>
      </c>
      <c r="AT47" s="72"/>
      <c r="AU47" s="72"/>
    </row>
    <row r="48" spans="1:47" ht="12.75" hidden="1" customHeight="1" outlineLevel="1" x14ac:dyDescent="0.2">
      <c r="A48" s="61" t="s">
        <v>193</v>
      </c>
      <c r="B48" s="62">
        <v>0</v>
      </c>
      <c r="C48" s="54">
        <v>0</v>
      </c>
      <c r="D48" s="54">
        <v>2630.1</v>
      </c>
      <c r="E48" s="63"/>
      <c r="F48" s="64">
        <v>0</v>
      </c>
      <c r="G48" s="65">
        <v>0</v>
      </c>
      <c r="H48" s="54">
        <v>2744.7</v>
      </c>
      <c r="I48" s="54">
        <v>2765.7</v>
      </c>
      <c r="J48" s="54">
        <v>0</v>
      </c>
      <c r="K48" s="54">
        <v>0</v>
      </c>
      <c r="L48" s="54">
        <v>0</v>
      </c>
      <c r="M48" s="54">
        <v>0</v>
      </c>
      <c r="N48" s="54">
        <v>0</v>
      </c>
      <c r="O48" s="54">
        <v>0</v>
      </c>
      <c r="P48" s="54">
        <v>0</v>
      </c>
      <c r="Q48" s="54">
        <v>0</v>
      </c>
      <c r="R48" s="54">
        <v>0</v>
      </c>
      <c r="S48" s="66">
        <v>5510.4</v>
      </c>
      <c r="T48" s="54">
        <v>0</v>
      </c>
      <c r="U48" s="54">
        <v>0</v>
      </c>
      <c r="V48" s="54">
        <v>0</v>
      </c>
      <c r="W48" s="54">
        <v>0</v>
      </c>
      <c r="X48" s="54">
        <v>0</v>
      </c>
      <c r="Y48" s="54">
        <v>0</v>
      </c>
      <c r="Z48" s="54">
        <v>0</v>
      </c>
      <c r="AA48" s="54">
        <v>0</v>
      </c>
      <c r="AB48" s="54">
        <v>0</v>
      </c>
      <c r="AC48" s="54">
        <v>0</v>
      </c>
      <c r="AD48" s="54">
        <v>0</v>
      </c>
      <c r="AE48" s="54">
        <v>0</v>
      </c>
      <c r="AF48" s="66">
        <v>0</v>
      </c>
      <c r="AG48" s="67">
        <v>0</v>
      </c>
      <c r="AH48" s="67">
        <v>105</v>
      </c>
      <c r="AI48" s="67">
        <v>389.8</v>
      </c>
      <c r="AJ48" s="67">
        <v>2630.1</v>
      </c>
      <c r="AK48" s="67">
        <v>0</v>
      </c>
      <c r="AL48" s="67">
        <v>2727.9</v>
      </c>
      <c r="AM48" s="67">
        <v>0</v>
      </c>
      <c r="AN48" s="67">
        <v>448.65</v>
      </c>
      <c r="AO48" s="98">
        <v>-2.69</v>
      </c>
      <c r="AP48" s="67">
        <v>2727.89</v>
      </c>
      <c r="AQ48" s="67">
        <v>5483.55</v>
      </c>
      <c r="AR48" s="67">
        <v>308.2</v>
      </c>
      <c r="AS48" s="68">
        <v>3124.9</v>
      </c>
      <c r="AT48" s="63"/>
      <c r="AU48" s="63">
        <v>176.33844283017058</v>
      </c>
    </row>
    <row r="49" spans="1:47" ht="12.75" hidden="1" customHeight="1" outlineLevel="1" x14ac:dyDescent="0.2">
      <c r="A49" s="61" t="s">
        <v>194</v>
      </c>
      <c r="B49" s="62"/>
      <c r="C49" s="54"/>
      <c r="D49" s="54"/>
      <c r="E49" s="63"/>
      <c r="F49" s="64"/>
      <c r="G49" s="65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66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66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8"/>
      <c r="AT49" s="63"/>
      <c r="AU49" s="63"/>
    </row>
    <row r="50" spans="1:47" ht="12.75" hidden="1" customHeight="1" outlineLevel="1" x14ac:dyDescent="0.2">
      <c r="A50" s="61" t="s">
        <v>82</v>
      </c>
      <c r="B50" s="62"/>
      <c r="C50" s="54"/>
      <c r="D50" s="54"/>
      <c r="E50" s="63"/>
      <c r="F50" s="64"/>
      <c r="G50" s="65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66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66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8"/>
      <c r="AT50" s="63"/>
      <c r="AU50" s="63"/>
    </row>
    <row r="51" spans="1:47" ht="12.75" hidden="1" customHeight="1" outlineLevel="1" x14ac:dyDescent="0.2">
      <c r="A51" s="61" t="s">
        <v>83</v>
      </c>
      <c r="B51" s="62"/>
      <c r="C51" s="54"/>
      <c r="D51" s="54"/>
      <c r="E51" s="63"/>
      <c r="F51" s="64"/>
      <c r="G51" s="65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66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66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8"/>
      <c r="AT51" s="63"/>
      <c r="AU51" s="63"/>
    </row>
    <row r="52" spans="1:47" ht="12.75" hidden="1" customHeight="1" outlineLevel="1" x14ac:dyDescent="0.2">
      <c r="A52" s="61" t="s">
        <v>84</v>
      </c>
      <c r="B52" s="62"/>
      <c r="C52" s="54"/>
      <c r="D52" s="54"/>
      <c r="E52" s="63"/>
      <c r="F52" s="64"/>
      <c r="G52" s="65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66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66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8"/>
      <c r="AT52" s="63"/>
      <c r="AU52" s="63"/>
    </row>
    <row r="53" spans="1:47" ht="12.75" hidden="1" customHeight="1" outlineLevel="1" x14ac:dyDescent="0.2">
      <c r="A53" s="61" t="s">
        <v>195</v>
      </c>
      <c r="B53" s="62"/>
      <c r="C53" s="54"/>
      <c r="D53" s="54"/>
      <c r="E53" s="63"/>
      <c r="F53" s="64"/>
      <c r="G53" s="65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66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66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8"/>
      <c r="AT53" s="63"/>
      <c r="AU53" s="63"/>
    </row>
    <row r="54" spans="1:47" ht="12.75" hidden="1" customHeight="1" outlineLevel="1" x14ac:dyDescent="0.2">
      <c r="A54" s="61" t="s">
        <v>86</v>
      </c>
      <c r="B54" s="62"/>
      <c r="C54" s="54"/>
      <c r="D54" s="54"/>
      <c r="E54" s="63"/>
      <c r="F54" s="64"/>
      <c r="G54" s="65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66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66"/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8"/>
      <c r="AT54" s="63"/>
      <c r="AU54" s="63"/>
    </row>
    <row r="55" spans="1:47" ht="12.75" hidden="1" customHeight="1" outlineLevel="1" x14ac:dyDescent="0.2">
      <c r="A55" s="61" t="s">
        <v>110</v>
      </c>
      <c r="B55" s="62"/>
      <c r="C55" s="54"/>
      <c r="D55" s="54"/>
      <c r="E55" s="63"/>
      <c r="F55" s="64"/>
      <c r="G55" s="65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66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66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8"/>
      <c r="AT55" s="63"/>
      <c r="AU55" s="63"/>
    </row>
    <row r="56" spans="1:47" ht="12.75" hidden="1" customHeight="1" outlineLevel="1" x14ac:dyDescent="0.2">
      <c r="A56" s="61" t="s">
        <v>196</v>
      </c>
      <c r="B56" s="62"/>
      <c r="C56" s="54"/>
      <c r="D56" s="54"/>
      <c r="E56" s="63"/>
      <c r="F56" s="64"/>
      <c r="G56" s="65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66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66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8"/>
      <c r="AT56" s="63"/>
      <c r="AU56" s="63"/>
    </row>
    <row r="57" spans="1:47" ht="12.75" hidden="1" customHeight="1" outlineLevel="1" x14ac:dyDescent="0.2">
      <c r="A57" s="61" t="s">
        <v>197</v>
      </c>
      <c r="B57" s="62">
        <v>0</v>
      </c>
      <c r="C57" s="54">
        <v>0</v>
      </c>
      <c r="D57" s="54">
        <v>0</v>
      </c>
      <c r="E57" s="63"/>
      <c r="F57" s="64"/>
      <c r="G57" s="65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66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66">
        <v>0</v>
      </c>
      <c r="AG57" s="67">
        <v>0</v>
      </c>
      <c r="AH57" s="67">
        <v>0</v>
      </c>
      <c r="AI57" s="67">
        <v>0</v>
      </c>
      <c r="AJ57" s="67">
        <v>0</v>
      </c>
      <c r="AK57" s="67">
        <v>0</v>
      </c>
      <c r="AL57" s="67">
        <v>0</v>
      </c>
      <c r="AM57" s="67">
        <v>0</v>
      </c>
      <c r="AN57" s="67">
        <v>0</v>
      </c>
      <c r="AO57" s="67">
        <v>0</v>
      </c>
      <c r="AP57" s="67">
        <v>0</v>
      </c>
      <c r="AQ57" s="67">
        <v>0</v>
      </c>
      <c r="AR57" s="67">
        <v>0</v>
      </c>
      <c r="AS57" s="68">
        <v>0</v>
      </c>
      <c r="AT57" s="63"/>
      <c r="AU57" s="63"/>
    </row>
    <row r="58" spans="1:47" ht="12.75" hidden="1" customHeight="1" outlineLevel="1" x14ac:dyDescent="0.2">
      <c r="A58" s="61" t="s">
        <v>198</v>
      </c>
      <c r="B58" s="62"/>
      <c r="C58" s="54"/>
      <c r="D58" s="54"/>
      <c r="E58" s="63"/>
      <c r="F58" s="64"/>
      <c r="G58" s="65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66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66"/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8"/>
      <c r="AT58" s="63"/>
      <c r="AU58" s="63"/>
    </row>
    <row r="59" spans="1:47" ht="12.75" hidden="1" customHeight="1" outlineLevel="1" x14ac:dyDescent="0.2">
      <c r="A59" s="61" t="s">
        <v>199</v>
      </c>
      <c r="B59" s="62"/>
      <c r="C59" s="54"/>
      <c r="D59" s="54"/>
      <c r="E59" s="63"/>
      <c r="F59" s="64"/>
      <c r="G59" s="65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66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66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8"/>
      <c r="AT59" s="63"/>
      <c r="AU59" s="63"/>
    </row>
    <row r="60" spans="1:47" ht="12.75" hidden="1" customHeight="1" outlineLevel="1" x14ac:dyDescent="0.2">
      <c r="A60" s="61" t="s">
        <v>200</v>
      </c>
      <c r="B60" s="62"/>
      <c r="C60" s="54"/>
      <c r="D60" s="54"/>
      <c r="E60" s="63"/>
      <c r="F60" s="64"/>
      <c r="G60" s="65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66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66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8"/>
      <c r="AT60" s="63"/>
      <c r="AU60" s="63"/>
    </row>
    <row r="61" spans="1:47" ht="12.75" customHeight="1" collapsed="1" x14ac:dyDescent="0.2">
      <c r="A61" s="69" t="s">
        <v>89</v>
      </c>
      <c r="B61" s="70">
        <v>0</v>
      </c>
      <c r="C61" s="71">
        <v>0</v>
      </c>
      <c r="D61" s="71">
        <v>2630.1</v>
      </c>
      <c r="E61" s="72"/>
      <c r="F61" s="73">
        <v>0</v>
      </c>
      <c r="G61" s="70">
        <v>0</v>
      </c>
      <c r="H61" s="71">
        <v>2744.7</v>
      </c>
      <c r="I61" s="71">
        <v>2765.7</v>
      </c>
      <c r="J61" s="71">
        <v>0</v>
      </c>
      <c r="K61" s="71">
        <v>0</v>
      </c>
      <c r="L61" s="71">
        <v>0</v>
      </c>
      <c r="M61" s="71">
        <v>0</v>
      </c>
      <c r="N61" s="71">
        <v>0</v>
      </c>
      <c r="O61" s="71">
        <v>0</v>
      </c>
      <c r="P61" s="71">
        <v>0</v>
      </c>
      <c r="Q61" s="71">
        <v>0</v>
      </c>
      <c r="R61" s="71">
        <v>0</v>
      </c>
      <c r="S61" s="71">
        <v>5510.4</v>
      </c>
      <c r="T61" s="71">
        <v>0</v>
      </c>
      <c r="U61" s="71">
        <v>0</v>
      </c>
      <c r="V61" s="71">
        <v>0</v>
      </c>
      <c r="W61" s="71">
        <v>0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71">
        <v>0</v>
      </c>
      <c r="AE61" s="71">
        <v>0</v>
      </c>
      <c r="AF61" s="71">
        <v>0</v>
      </c>
      <c r="AG61" s="75">
        <v>0</v>
      </c>
      <c r="AH61" s="75">
        <v>105</v>
      </c>
      <c r="AI61" s="75">
        <v>389.8</v>
      </c>
      <c r="AJ61" s="75">
        <v>2630.1</v>
      </c>
      <c r="AK61" s="75">
        <v>0</v>
      </c>
      <c r="AL61" s="75">
        <v>2727.9</v>
      </c>
      <c r="AM61" s="75">
        <v>0</v>
      </c>
      <c r="AN61" s="75">
        <v>448.65</v>
      </c>
      <c r="AO61" s="134">
        <v>-2.69</v>
      </c>
      <c r="AP61" s="75">
        <v>2727.89</v>
      </c>
      <c r="AQ61" s="75">
        <v>5483.55</v>
      </c>
      <c r="AR61" s="75">
        <v>308.2</v>
      </c>
      <c r="AS61" s="75">
        <v>3124.9</v>
      </c>
      <c r="AT61" s="72"/>
      <c r="AU61" s="72">
        <v>176.33844283017058</v>
      </c>
    </row>
    <row r="62" spans="1:47" ht="12.75" customHeight="1" x14ac:dyDescent="0.2">
      <c r="A62" s="77" t="s">
        <v>201</v>
      </c>
      <c r="B62" s="78">
        <v>17051.75</v>
      </c>
      <c r="C62" s="79">
        <v>0</v>
      </c>
      <c r="D62" s="79">
        <v>6183.37</v>
      </c>
      <c r="E62" s="80"/>
      <c r="F62" s="81">
        <v>275.76790649758948</v>
      </c>
      <c r="G62" s="78">
        <v>15068.99</v>
      </c>
      <c r="H62" s="79">
        <v>10822.91</v>
      </c>
      <c r="I62" s="79">
        <v>8146.83</v>
      </c>
      <c r="J62" s="79">
        <v>17051.75</v>
      </c>
      <c r="K62" s="82">
        <v>-588</v>
      </c>
      <c r="L62" s="79">
        <v>0</v>
      </c>
      <c r="M62" s="79">
        <v>0</v>
      </c>
      <c r="N62" s="79">
        <v>0</v>
      </c>
      <c r="O62" s="79">
        <v>0</v>
      </c>
      <c r="P62" s="79">
        <v>0</v>
      </c>
      <c r="Q62" s="79">
        <v>0</v>
      </c>
      <c r="R62" s="79">
        <v>0</v>
      </c>
      <c r="S62" s="79">
        <v>51090.48</v>
      </c>
      <c r="T62" s="79">
        <v>0</v>
      </c>
      <c r="U62" s="79">
        <v>0</v>
      </c>
      <c r="V62" s="79">
        <v>0</v>
      </c>
      <c r="W62" s="79">
        <v>0</v>
      </c>
      <c r="X62" s="79">
        <v>0</v>
      </c>
      <c r="Y62" s="79">
        <v>0</v>
      </c>
      <c r="Z62" s="79">
        <v>0</v>
      </c>
      <c r="AA62" s="79">
        <v>0</v>
      </c>
      <c r="AB62" s="79">
        <v>0</v>
      </c>
      <c r="AC62" s="79">
        <v>0</v>
      </c>
      <c r="AD62" s="79">
        <v>0</v>
      </c>
      <c r="AE62" s="79">
        <v>0</v>
      </c>
      <c r="AF62" s="79">
        <v>0</v>
      </c>
      <c r="AG62" s="83">
        <v>3557.36</v>
      </c>
      <c r="AH62" s="83">
        <v>4628.5200000000004</v>
      </c>
      <c r="AI62" s="137">
        <v>-2095.17</v>
      </c>
      <c r="AJ62" s="83">
        <v>6183.37</v>
      </c>
      <c r="AK62" s="83">
        <v>3460.15</v>
      </c>
      <c r="AL62" s="83">
        <v>7371.32</v>
      </c>
      <c r="AM62" s="83">
        <v>46438.83</v>
      </c>
      <c r="AN62" s="83">
        <v>5111.7299999999996</v>
      </c>
      <c r="AO62" s="83">
        <v>9497</v>
      </c>
      <c r="AP62" s="83">
        <v>9165.56</v>
      </c>
      <c r="AQ62" s="83">
        <v>40468.29</v>
      </c>
      <c r="AR62" s="83">
        <v>16295.96</v>
      </c>
      <c r="AS62" s="83">
        <v>12274.08</v>
      </c>
      <c r="AT62" s="80"/>
      <c r="AU62" s="80">
        <v>416.246920339447</v>
      </c>
    </row>
    <row r="63" spans="1:47" ht="12.75" customHeight="1" x14ac:dyDescent="0.2">
      <c r="A63" s="84" t="s">
        <v>8</v>
      </c>
      <c r="B63" s="85">
        <v>7058.98</v>
      </c>
      <c r="C63" s="86">
        <v>0</v>
      </c>
      <c r="D63" s="86">
        <v>6016.73</v>
      </c>
      <c r="E63" s="87"/>
      <c r="F63" s="88">
        <v>117.32253233899478</v>
      </c>
      <c r="G63" s="85">
        <v>3980.36</v>
      </c>
      <c r="H63" s="86">
        <v>9516.9699999999993</v>
      </c>
      <c r="I63" s="86">
        <v>7939.99</v>
      </c>
      <c r="J63" s="86">
        <v>7058.98</v>
      </c>
      <c r="K63" s="86">
        <v>3647.18</v>
      </c>
      <c r="L63" s="86">
        <v>0</v>
      </c>
      <c r="M63" s="86">
        <v>0</v>
      </c>
      <c r="N63" s="86">
        <v>0</v>
      </c>
      <c r="O63" s="86">
        <v>0</v>
      </c>
      <c r="P63" s="86">
        <v>0</v>
      </c>
      <c r="Q63" s="86">
        <v>0</v>
      </c>
      <c r="R63" s="86">
        <v>0</v>
      </c>
      <c r="S63" s="86">
        <v>28496.3</v>
      </c>
      <c r="T63" s="86">
        <v>0</v>
      </c>
      <c r="U63" s="86">
        <v>0</v>
      </c>
      <c r="V63" s="86">
        <v>0</v>
      </c>
      <c r="W63" s="86">
        <v>0</v>
      </c>
      <c r="X63" s="86">
        <v>0</v>
      </c>
      <c r="Y63" s="86">
        <v>0</v>
      </c>
      <c r="Z63" s="86">
        <v>0</v>
      </c>
      <c r="AA63" s="86">
        <v>0</v>
      </c>
      <c r="AB63" s="86">
        <v>0</v>
      </c>
      <c r="AC63" s="86">
        <v>0</v>
      </c>
      <c r="AD63" s="86">
        <v>0</v>
      </c>
      <c r="AE63" s="86">
        <v>0</v>
      </c>
      <c r="AF63" s="86">
        <v>0</v>
      </c>
      <c r="AG63" s="90">
        <v>16388.25</v>
      </c>
      <c r="AH63" s="90">
        <v>5745.22</v>
      </c>
      <c r="AI63" s="90">
        <v>13830.58</v>
      </c>
      <c r="AJ63" s="90">
        <v>6016.73</v>
      </c>
      <c r="AK63" s="90">
        <v>8530.24</v>
      </c>
      <c r="AL63" s="90">
        <v>7988.43</v>
      </c>
      <c r="AM63" s="136">
        <v>-27463.91</v>
      </c>
      <c r="AN63" s="90">
        <v>13449.49</v>
      </c>
      <c r="AO63" s="90">
        <v>4257.2299999999996</v>
      </c>
      <c r="AP63" s="90">
        <v>27714.01</v>
      </c>
      <c r="AQ63" s="136">
        <v>-12329.98</v>
      </c>
      <c r="AR63" s="90">
        <v>4367.66</v>
      </c>
      <c r="AS63" s="90">
        <v>41980.78</v>
      </c>
      <c r="AT63" s="87"/>
      <c r="AU63" s="87">
        <v>67.879396237992722</v>
      </c>
    </row>
    <row r="64" spans="1:47" x14ac:dyDescent="0.2">
      <c r="AT64" s="94"/>
      <c r="AU64" s="94"/>
    </row>
    <row r="67" spans="1:45" ht="15" x14ac:dyDescent="0.25">
      <c r="A67" s="16"/>
      <c r="B67" s="16"/>
      <c r="C67" s="16"/>
      <c r="D67" s="16"/>
      <c r="S67" s="26">
        <f>+S2-SUM(S9:S16)</f>
        <v>34006.699999999997</v>
      </c>
    </row>
    <row r="68" spans="1:45" ht="15" x14ac:dyDescent="0.25">
      <c r="A68" s="16"/>
      <c r="B68" s="16"/>
      <c r="C68" s="16"/>
      <c r="D68" s="16"/>
    </row>
    <row r="69" spans="1:45" ht="15" x14ac:dyDescent="0.25">
      <c r="A69" s="16"/>
      <c r="B69" s="16"/>
      <c r="C69" s="16"/>
      <c r="D69" s="16"/>
    </row>
    <row r="70" spans="1:45" ht="15" x14ac:dyDescent="0.25">
      <c r="A70" s="16"/>
      <c r="B70" s="16"/>
      <c r="C70" s="16"/>
      <c r="D70" s="16"/>
      <c r="AE70" s="365" t="s">
        <v>465</v>
      </c>
      <c r="AF70" s="26">
        <f>SUM(T2:AE2)</f>
        <v>0</v>
      </c>
    </row>
    <row r="71" spans="1:45" ht="15" x14ac:dyDescent="0.25">
      <c r="A71" s="16"/>
      <c r="B71" s="16"/>
      <c r="C71" s="17"/>
      <c r="D71" s="16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365"/>
      <c r="AF71" s="26">
        <f>SUM(T9:AE16)</f>
        <v>0</v>
      </c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</row>
    <row r="72" spans="1:45" ht="15" x14ac:dyDescent="0.25">
      <c r="A72" s="16"/>
      <c r="B72" s="16"/>
      <c r="C72" s="16"/>
      <c r="D72" s="16"/>
      <c r="AE72" s="365" t="s">
        <v>303</v>
      </c>
      <c r="AF72" s="26">
        <f>+AF70-AF71</f>
        <v>0</v>
      </c>
    </row>
    <row r="73" spans="1:45" ht="15" x14ac:dyDescent="0.25">
      <c r="A73" s="16"/>
      <c r="B73" s="16"/>
      <c r="C73" s="16"/>
      <c r="D73" s="16"/>
      <c r="AE73" s="365" t="s">
        <v>466</v>
      </c>
      <c r="AF73" s="482">
        <f>+SUM(T18:AE19)+SUM(T23:AE23)+SUM(T34:AE34)+SUM(T49:AE49)+SUM(T61:AE61)</f>
        <v>0</v>
      </c>
    </row>
    <row r="74" spans="1:45" ht="15" x14ac:dyDescent="0.25">
      <c r="A74" s="16"/>
      <c r="B74" s="16"/>
      <c r="C74" s="16"/>
      <c r="D74" s="16"/>
      <c r="AE74" s="365"/>
      <c r="AF74" s="365"/>
    </row>
    <row r="75" spans="1:45" ht="15" x14ac:dyDescent="0.25">
      <c r="A75" s="16"/>
      <c r="B75" s="16"/>
      <c r="C75" s="16"/>
      <c r="D75" s="16"/>
      <c r="AE75" s="365" t="s">
        <v>419</v>
      </c>
      <c r="AF75" s="18">
        <f>+AF72-AF73</f>
        <v>0</v>
      </c>
    </row>
    <row r="76" spans="1:45" x14ac:dyDescent="0.2">
      <c r="AE76" s="365"/>
      <c r="AF76" s="482">
        <f>+AF75-SUM(T63:AE63)</f>
        <v>0</v>
      </c>
    </row>
  </sheetData>
  <hyperlinks>
    <hyperlink ref="AF73" r:id="rId1" display="+@sum(T17:AE18)+@sum(T22:AE22)+@sum(T33:AE33)+@sum(T48:AE48)+@sum(T62:AE62)"/>
    <hyperlink ref="AF76" r:id="rId2" display="+AF75-@sum(T64:AE64)"/>
  </hyperlinks>
  <pageMargins left="0.75" right="0.75" top="1" bottom="1" header="0.5" footer="0.5"/>
  <pageSetup orientation="portrait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9" tint="-0.249977111117893"/>
  </sheetPr>
  <dimension ref="A1:AU77"/>
  <sheetViews>
    <sheetView workbookViewId="0">
      <pane xSplit="1" ySplit="1" topLeftCell="B2" activePane="bottomRight" state="frozen"/>
      <selection activeCell="A73" sqref="A73"/>
      <selection pane="topRight" activeCell="A73" sqref="A73"/>
      <selection pane="bottomLeft" activeCell="A73" sqref="A73"/>
      <selection pane="bottomRight" sqref="A1:AU63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9.42578125" collapsed="1"/>
    <col min="46" max="47" width="10.5703125" customWidth="1"/>
  </cols>
  <sheetData>
    <row r="1" spans="1:47" ht="39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s="7" customFormat="1" ht="12.75" customHeight="1" x14ac:dyDescent="0.2">
      <c r="A2" s="61" t="s">
        <v>7</v>
      </c>
      <c r="B2" s="62">
        <v>44726.13</v>
      </c>
      <c r="C2" s="54">
        <v>0</v>
      </c>
      <c r="D2" s="54">
        <v>39206.25</v>
      </c>
      <c r="E2" s="63"/>
      <c r="F2" s="64">
        <v>114.07908177905308</v>
      </c>
      <c r="G2" s="65">
        <v>41917.9</v>
      </c>
      <c r="H2" s="54">
        <v>36217.660000000003</v>
      </c>
      <c r="I2" s="54">
        <v>42680.51</v>
      </c>
      <c r="J2" s="54">
        <v>44726.13</v>
      </c>
      <c r="K2" s="54">
        <v>8828.77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165542.20000000001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43684.43</v>
      </c>
      <c r="AH2" s="67">
        <v>40505.589999999997</v>
      </c>
      <c r="AI2" s="67">
        <v>41127.56</v>
      </c>
      <c r="AJ2" s="67">
        <v>39206.25</v>
      </c>
      <c r="AK2" s="67">
        <v>47125.23</v>
      </c>
      <c r="AL2" s="67">
        <v>57273.04</v>
      </c>
      <c r="AM2" s="67">
        <v>41023.480000000003</v>
      </c>
      <c r="AN2" s="67">
        <v>61456.42</v>
      </c>
      <c r="AO2" s="67">
        <v>39545.54</v>
      </c>
      <c r="AP2" s="67">
        <v>44957.84</v>
      </c>
      <c r="AQ2" s="67">
        <v>44911.34</v>
      </c>
      <c r="AR2" s="67">
        <v>33742.629999999997</v>
      </c>
      <c r="AS2" s="68">
        <v>164523.82999999999</v>
      </c>
      <c r="AT2" s="63"/>
      <c r="AU2" s="63">
        <v>100.61898024134254</v>
      </c>
    </row>
    <row r="3" spans="1:47" ht="12.75" hidden="1" customHeight="1" outlineLevel="1" x14ac:dyDescent="0.2">
      <c r="A3" s="61" t="s">
        <v>160</v>
      </c>
      <c r="B3" s="62"/>
      <c r="C3" s="54"/>
      <c r="D3" s="54"/>
      <c r="E3" s="63"/>
      <c r="F3" s="64"/>
      <c r="G3" s="65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66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66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8"/>
      <c r="AT3" s="63"/>
      <c r="AU3" s="63"/>
    </row>
    <row r="4" spans="1:47" ht="12.75" hidden="1" customHeight="1" outlineLevel="1" x14ac:dyDescent="0.2">
      <c r="A4" s="61" t="s">
        <v>161</v>
      </c>
      <c r="B4" s="62">
        <v>0</v>
      </c>
      <c r="C4" s="54">
        <v>0</v>
      </c>
      <c r="D4" s="54">
        <v>0</v>
      </c>
      <c r="E4" s="63"/>
      <c r="F4" s="64"/>
      <c r="G4" s="65">
        <v>0</v>
      </c>
      <c r="H4" s="54">
        <v>0</v>
      </c>
      <c r="I4" s="54">
        <v>0</v>
      </c>
      <c r="J4" s="54">
        <v>0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0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0</v>
      </c>
      <c r="AH4" s="67">
        <v>0</v>
      </c>
      <c r="AI4" s="67">
        <v>0</v>
      </c>
      <c r="AJ4" s="67">
        <v>0</v>
      </c>
      <c r="AK4" s="67">
        <v>0</v>
      </c>
      <c r="AL4" s="67">
        <v>0</v>
      </c>
      <c r="AM4" s="67">
        <v>0</v>
      </c>
      <c r="AN4" s="67">
        <v>0</v>
      </c>
      <c r="AO4" s="67">
        <v>0</v>
      </c>
      <c r="AP4" s="67">
        <v>0</v>
      </c>
      <c r="AQ4" s="67">
        <v>0</v>
      </c>
      <c r="AR4" s="67">
        <v>0</v>
      </c>
      <c r="AS4" s="68">
        <v>0</v>
      </c>
      <c r="AT4" s="63"/>
      <c r="AU4" s="63"/>
    </row>
    <row r="5" spans="1:47" ht="12.75" hidden="1" customHeight="1" outlineLevel="1" x14ac:dyDescent="0.2">
      <c r="A5" s="61" t="s">
        <v>162</v>
      </c>
      <c r="B5" s="62">
        <v>0</v>
      </c>
      <c r="C5" s="54">
        <v>0</v>
      </c>
      <c r="D5" s="54">
        <v>0</v>
      </c>
      <c r="E5" s="63"/>
      <c r="F5" s="64"/>
      <c r="G5" s="65">
        <v>0</v>
      </c>
      <c r="H5" s="54">
        <v>0</v>
      </c>
      <c r="I5" s="54">
        <v>0</v>
      </c>
      <c r="J5" s="54">
        <v>0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0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0</v>
      </c>
      <c r="AH5" s="67">
        <v>0</v>
      </c>
      <c r="AI5" s="67">
        <v>0</v>
      </c>
      <c r="AJ5" s="67">
        <v>0</v>
      </c>
      <c r="AK5" s="67">
        <v>0</v>
      </c>
      <c r="AL5" s="67">
        <v>0</v>
      </c>
      <c r="AM5" s="67">
        <v>0</v>
      </c>
      <c r="AN5" s="67">
        <v>0</v>
      </c>
      <c r="AO5" s="67">
        <v>0</v>
      </c>
      <c r="AP5" s="67">
        <v>0</v>
      </c>
      <c r="AQ5" s="67">
        <v>0</v>
      </c>
      <c r="AR5" s="67">
        <v>0</v>
      </c>
      <c r="AS5" s="68">
        <v>0</v>
      </c>
      <c r="AT5" s="63"/>
      <c r="AU5" s="63"/>
    </row>
    <row r="6" spans="1:47" ht="12.75" hidden="1" customHeight="1" outlineLevel="1" x14ac:dyDescent="0.2">
      <c r="A6" s="61" t="s">
        <v>163</v>
      </c>
      <c r="B6" s="62"/>
      <c r="C6" s="54">
        <v>0</v>
      </c>
      <c r="D6" s="54"/>
      <c r="E6" s="63"/>
      <c r="F6" s="64"/>
      <c r="G6" s="65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66"/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8"/>
      <c r="AT6" s="63"/>
      <c r="AU6" s="63"/>
    </row>
    <row r="7" spans="1:47" ht="12.75" hidden="1" customHeight="1" outlineLevel="1" x14ac:dyDescent="0.2">
      <c r="A7" s="61" t="s">
        <v>164</v>
      </c>
      <c r="B7" s="62">
        <v>0</v>
      </c>
      <c r="C7" s="54">
        <v>0</v>
      </c>
      <c r="D7" s="54">
        <v>0</v>
      </c>
      <c r="E7" s="63"/>
      <c r="F7" s="64"/>
      <c r="G7" s="65">
        <v>0</v>
      </c>
      <c r="H7" s="54">
        <v>0</v>
      </c>
      <c r="I7" s="54">
        <v>0</v>
      </c>
      <c r="J7" s="54">
        <v>0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0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0</v>
      </c>
      <c r="AH7" s="67">
        <v>0</v>
      </c>
      <c r="AI7" s="67">
        <v>0</v>
      </c>
      <c r="AJ7" s="67">
        <v>0</v>
      </c>
      <c r="AK7" s="67">
        <v>0</v>
      </c>
      <c r="AL7" s="67">
        <v>0</v>
      </c>
      <c r="AM7" s="67">
        <v>0</v>
      </c>
      <c r="AN7" s="67">
        <v>0</v>
      </c>
      <c r="AO7" s="67">
        <v>0</v>
      </c>
      <c r="AP7" s="67">
        <v>0</v>
      </c>
      <c r="AQ7" s="67">
        <v>0</v>
      </c>
      <c r="AR7" s="67">
        <v>0</v>
      </c>
      <c r="AS7" s="68">
        <v>0</v>
      </c>
      <c r="AT7" s="63"/>
      <c r="AU7" s="63"/>
    </row>
    <row r="8" spans="1:47" ht="12.75" hidden="1" customHeight="1" outlineLevel="1" x14ac:dyDescent="0.2">
      <c r="A8" s="61" t="s">
        <v>165</v>
      </c>
      <c r="B8" s="62">
        <v>0</v>
      </c>
      <c r="C8" s="54">
        <v>0</v>
      </c>
      <c r="D8" s="54">
        <v>0</v>
      </c>
      <c r="E8" s="63"/>
      <c r="F8" s="64"/>
      <c r="G8" s="65">
        <v>0</v>
      </c>
      <c r="H8" s="54">
        <v>0</v>
      </c>
      <c r="I8" s="54">
        <v>0</v>
      </c>
      <c r="J8" s="54">
        <v>0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66">
        <v>0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66">
        <v>0</v>
      </c>
      <c r="AG8" s="67">
        <v>0</v>
      </c>
      <c r="AH8" s="67">
        <v>0</v>
      </c>
      <c r="AI8" s="67">
        <v>0</v>
      </c>
      <c r="AJ8" s="67">
        <v>0</v>
      </c>
      <c r="AK8" s="67">
        <v>0</v>
      </c>
      <c r="AL8" s="67">
        <v>0</v>
      </c>
      <c r="AM8" s="67">
        <v>0</v>
      </c>
      <c r="AN8" s="67">
        <v>0</v>
      </c>
      <c r="AO8" s="67">
        <v>0</v>
      </c>
      <c r="AP8" s="67">
        <v>0</v>
      </c>
      <c r="AQ8" s="67">
        <v>0</v>
      </c>
      <c r="AR8" s="67">
        <v>0</v>
      </c>
      <c r="AS8" s="68">
        <v>0</v>
      </c>
      <c r="AT8" s="63"/>
      <c r="AU8" s="63"/>
    </row>
    <row r="9" spans="1:47" ht="12.75" customHeight="1" collapsed="1" x14ac:dyDescent="0.2">
      <c r="A9" s="69" t="s">
        <v>166</v>
      </c>
      <c r="B9" s="70">
        <v>0</v>
      </c>
      <c r="C9" s="71">
        <v>0</v>
      </c>
      <c r="D9" s="71">
        <v>0</v>
      </c>
      <c r="E9" s="72"/>
      <c r="F9" s="73"/>
      <c r="G9" s="70">
        <v>0</v>
      </c>
      <c r="H9" s="71">
        <v>0</v>
      </c>
      <c r="I9" s="71">
        <v>0</v>
      </c>
      <c r="J9" s="71">
        <v>0</v>
      </c>
      <c r="K9" s="71">
        <v>0</v>
      </c>
      <c r="L9" s="71">
        <v>0</v>
      </c>
      <c r="M9" s="71">
        <v>0</v>
      </c>
      <c r="N9" s="71">
        <v>0</v>
      </c>
      <c r="O9" s="71">
        <v>0</v>
      </c>
      <c r="P9" s="71">
        <v>0</v>
      </c>
      <c r="Q9" s="71">
        <v>0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0</v>
      </c>
      <c r="AA9" s="71">
        <v>0</v>
      </c>
      <c r="AB9" s="71">
        <v>0</v>
      </c>
      <c r="AC9" s="71">
        <v>0</v>
      </c>
      <c r="AD9" s="71">
        <v>0</v>
      </c>
      <c r="AE9" s="71">
        <v>0</v>
      </c>
      <c r="AF9" s="71">
        <v>0</v>
      </c>
      <c r="AG9" s="75">
        <v>0</v>
      </c>
      <c r="AH9" s="75">
        <v>0</v>
      </c>
      <c r="AI9" s="75">
        <v>0</v>
      </c>
      <c r="AJ9" s="75">
        <v>0</v>
      </c>
      <c r="AK9" s="75">
        <v>0</v>
      </c>
      <c r="AL9" s="75">
        <v>0</v>
      </c>
      <c r="AM9" s="75">
        <v>0</v>
      </c>
      <c r="AN9" s="75">
        <v>0</v>
      </c>
      <c r="AO9" s="75">
        <v>0</v>
      </c>
      <c r="AP9" s="75">
        <v>0</v>
      </c>
      <c r="AQ9" s="75">
        <v>0</v>
      </c>
      <c r="AR9" s="75">
        <v>0</v>
      </c>
      <c r="AS9" s="75">
        <v>0</v>
      </c>
      <c r="AT9" s="72"/>
      <c r="AU9" s="72"/>
    </row>
    <row r="10" spans="1:47" ht="12.75" customHeight="1" x14ac:dyDescent="0.2">
      <c r="A10" s="61" t="s">
        <v>167</v>
      </c>
      <c r="B10" s="62">
        <v>345.36</v>
      </c>
      <c r="C10" s="54">
        <v>0</v>
      </c>
      <c r="D10" s="54">
        <v>286.49</v>
      </c>
      <c r="E10" s="63"/>
      <c r="F10" s="64">
        <v>120.54871025166672</v>
      </c>
      <c r="G10" s="65">
        <v>206.21</v>
      </c>
      <c r="H10" s="54">
        <v>283</v>
      </c>
      <c r="I10" s="54">
        <v>398.39</v>
      </c>
      <c r="J10" s="54">
        <v>345.36</v>
      </c>
      <c r="K10" s="54">
        <v>0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66">
        <v>1232.96</v>
      </c>
      <c r="T10" s="54">
        <v>0</v>
      </c>
      <c r="U10" s="54">
        <v>0</v>
      </c>
      <c r="V10" s="54">
        <v>0</v>
      </c>
      <c r="W10" s="54">
        <v>0</v>
      </c>
      <c r="X10" s="54">
        <v>0</v>
      </c>
      <c r="Y10" s="54">
        <v>0</v>
      </c>
      <c r="Z10" s="54">
        <v>0</v>
      </c>
      <c r="AA10" s="54">
        <v>0</v>
      </c>
      <c r="AB10" s="54">
        <v>0</v>
      </c>
      <c r="AC10" s="54">
        <v>0</v>
      </c>
      <c r="AD10" s="54">
        <v>0</v>
      </c>
      <c r="AE10" s="54">
        <v>0</v>
      </c>
      <c r="AF10" s="66">
        <v>0</v>
      </c>
      <c r="AG10" s="67">
        <v>236.86</v>
      </c>
      <c r="AH10" s="67">
        <v>85</v>
      </c>
      <c r="AI10" s="98">
        <v>-2927.04</v>
      </c>
      <c r="AJ10" s="67">
        <v>286.49</v>
      </c>
      <c r="AK10" s="67">
        <v>339.99</v>
      </c>
      <c r="AL10" s="67">
        <v>2312.98</v>
      </c>
      <c r="AM10" s="67">
        <v>1089.98</v>
      </c>
      <c r="AN10" s="67">
        <v>165.16</v>
      </c>
      <c r="AO10" s="67">
        <v>393</v>
      </c>
      <c r="AP10" s="67">
        <v>29.5</v>
      </c>
      <c r="AQ10" s="67">
        <v>251.48</v>
      </c>
      <c r="AR10" s="98">
        <v>-1031.55</v>
      </c>
      <c r="AS10" s="99">
        <v>-2318.69</v>
      </c>
      <c r="AT10" s="63"/>
      <c r="AU10" s="63">
        <v>-53.174853042019414</v>
      </c>
    </row>
    <row r="11" spans="1:47" ht="12.75" customHeight="1" x14ac:dyDescent="0.2">
      <c r="A11" s="61" t="s">
        <v>168</v>
      </c>
      <c r="B11" s="62">
        <v>0</v>
      </c>
      <c r="C11" s="54">
        <v>0</v>
      </c>
      <c r="D11" s="54">
        <v>0</v>
      </c>
      <c r="E11" s="63"/>
      <c r="F11" s="64"/>
      <c r="G11" s="65">
        <v>0</v>
      </c>
      <c r="H11" s="54">
        <v>0</v>
      </c>
      <c r="I11" s="54">
        <v>214.63</v>
      </c>
      <c r="J11" s="54">
        <v>0</v>
      </c>
      <c r="K11" s="54">
        <v>0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66">
        <v>214.63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0</v>
      </c>
      <c r="AC11" s="54">
        <v>0</v>
      </c>
      <c r="AD11" s="54">
        <v>0</v>
      </c>
      <c r="AE11" s="54">
        <v>0</v>
      </c>
      <c r="AF11" s="66">
        <v>0</v>
      </c>
      <c r="AG11" s="67">
        <v>0</v>
      </c>
      <c r="AH11" s="67">
        <v>0</v>
      </c>
      <c r="AI11" s="67">
        <v>0</v>
      </c>
      <c r="AJ11" s="67">
        <v>0</v>
      </c>
      <c r="AK11" s="67">
        <v>0</v>
      </c>
      <c r="AL11" s="67">
        <v>0</v>
      </c>
      <c r="AM11" s="67">
        <v>0</v>
      </c>
      <c r="AN11" s="67">
        <v>0</v>
      </c>
      <c r="AO11" s="67">
        <v>0</v>
      </c>
      <c r="AP11" s="67">
        <v>0</v>
      </c>
      <c r="AQ11" s="67">
        <v>0</v>
      </c>
      <c r="AR11" s="67">
        <v>0</v>
      </c>
      <c r="AS11" s="68">
        <v>0</v>
      </c>
      <c r="AT11" s="63"/>
      <c r="AU11" s="63"/>
    </row>
    <row r="12" spans="1:47" ht="12.75" customHeight="1" x14ac:dyDescent="0.2">
      <c r="A12" s="61" t="s">
        <v>169</v>
      </c>
      <c r="B12" s="62">
        <v>0</v>
      </c>
      <c r="C12" s="54">
        <v>0</v>
      </c>
      <c r="D12" s="54">
        <v>0</v>
      </c>
      <c r="E12" s="63"/>
      <c r="F12" s="64"/>
      <c r="G12" s="65">
        <v>0</v>
      </c>
      <c r="H12" s="54">
        <v>45</v>
      </c>
      <c r="I12" s="54">
        <v>0</v>
      </c>
      <c r="J12" s="54">
        <v>0</v>
      </c>
      <c r="K12" s="54">
        <v>0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66">
        <v>45</v>
      </c>
      <c r="T12" s="54">
        <v>0</v>
      </c>
      <c r="U12" s="54">
        <v>0</v>
      </c>
      <c r="V12" s="54">
        <v>0</v>
      </c>
      <c r="W12" s="54">
        <v>0</v>
      </c>
      <c r="X12" s="54">
        <v>0</v>
      </c>
      <c r="Y12" s="54">
        <v>0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66">
        <v>0</v>
      </c>
      <c r="AG12" s="67">
        <v>0</v>
      </c>
      <c r="AH12" s="98">
        <v>-55</v>
      </c>
      <c r="AI12" s="67">
        <v>0</v>
      </c>
      <c r="AJ12" s="67">
        <v>0</v>
      </c>
      <c r="AK12" s="67">
        <v>0</v>
      </c>
      <c r="AL12" s="67">
        <v>0</v>
      </c>
      <c r="AM12" s="67">
        <v>0</v>
      </c>
      <c r="AN12" s="67">
        <v>0</v>
      </c>
      <c r="AO12" s="67">
        <v>0</v>
      </c>
      <c r="AP12" s="67">
        <v>0</v>
      </c>
      <c r="AQ12" s="67">
        <v>64.88</v>
      </c>
      <c r="AR12" s="67">
        <v>187</v>
      </c>
      <c r="AS12" s="99">
        <v>-55</v>
      </c>
      <c r="AT12" s="63"/>
      <c r="AU12" s="63">
        <v>-81.818181818181813</v>
      </c>
    </row>
    <row r="13" spans="1:47" ht="12.75" customHeight="1" x14ac:dyDescent="0.2">
      <c r="A13" s="61" t="s">
        <v>50</v>
      </c>
      <c r="B13" s="62">
        <v>0</v>
      </c>
      <c r="C13" s="54">
        <v>0</v>
      </c>
      <c r="D13" s="54">
        <v>0</v>
      </c>
      <c r="E13" s="63"/>
      <c r="F13" s="64"/>
      <c r="G13" s="65">
        <v>0</v>
      </c>
      <c r="H13" s="54">
        <v>0</v>
      </c>
      <c r="I13" s="54">
        <v>0</v>
      </c>
      <c r="J13" s="54">
        <v>0</v>
      </c>
      <c r="K13" s="54">
        <v>0</v>
      </c>
      <c r="L13" s="54">
        <v>0</v>
      </c>
      <c r="M13" s="54">
        <v>0</v>
      </c>
      <c r="N13" s="54">
        <v>0</v>
      </c>
      <c r="O13" s="54">
        <v>0</v>
      </c>
      <c r="P13" s="54">
        <v>0</v>
      </c>
      <c r="Q13" s="54">
        <v>0</v>
      </c>
      <c r="R13" s="54">
        <v>0</v>
      </c>
      <c r="S13" s="66">
        <v>0</v>
      </c>
      <c r="T13" s="54">
        <v>0</v>
      </c>
      <c r="U13" s="54">
        <v>0</v>
      </c>
      <c r="V13" s="54">
        <v>0</v>
      </c>
      <c r="W13" s="54">
        <v>0</v>
      </c>
      <c r="X13" s="54">
        <v>0</v>
      </c>
      <c r="Y13" s="54">
        <v>0</v>
      </c>
      <c r="Z13" s="54">
        <v>0</v>
      </c>
      <c r="AA13" s="54">
        <v>0</v>
      </c>
      <c r="AB13" s="54">
        <v>0</v>
      </c>
      <c r="AC13" s="54">
        <v>0</v>
      </c>
      <c r="AD13" s="54">
        <v>0</v>
      </c>
      <c r="AE13" s="54">
        <v>0</v>
      </c>
      <c r="AF13" s="66">
        <v>0</v>
      </c>
      <c r="AG13" s="67">
        <v>0</v>
      </c>
      <c r="AH13" s="67">
        <v>0</v>
      </c>
      <c r="AI13" s="67">
        <v>0</v>
      </c>
      <c r="AJ13" s="67">
        <v>0</v>
      </c>
      <c r="AK13" s="67">
        <v>0</v>
      </c>
      <c r="AL13" s="67">
        <v>0</v>
      </c>
      <c r="AM13" s="67">
        <v>0</v>
      </c>
      <c r="AN13" s="67">
        <v>0</v>
      </c>
      <c r="AO13" s="67">
        <v>0</v>
      </c>
      <c r="AP13" s="67">
        <v>0</v>
      </c>
      <c r="AQ13" s="67">
        <v>0</v>
      </c>
      <c r="AR13" s="67">
        <v>0</v>
      </c>
      <c r="AS13" s="68">
        <v>0</v>
      </c>
      <c r="AT13" s="63"/>
      <c r="AU13" s="63"/>
    </row>
    <row r="14" spans="1:47" ht="12.75" customHeight="1" x14ac:dyDescent="0.2">
      <c r="A14" s="61" t="s">
        <v>170</v>
      </c>
      <c r="B14" s="96">
        <v>-101.65</v>
      </c>
      <c r="C14" s="54">
        <v>0</v>
      </c>
      <c r="D14" s="54">
        <v>10604.49</v>
      </c>
      <c r="E14" s="63"/>
      <c r="F14" s="64">
        <v>-0.95855623419891012</v>
      </c>
      <c r="G14" s="65">
        <v>15018.36</v>
      </c>
      <c r="H14" s="54">
        <v>27171.919999999998</v>
      </c>
      <c r="I14" s="54">
        <v>10036.85</v>
      </c>
      <c r="J14" s="56">
        <v>-101.65</v>
      </c>
      <c r="K14" s="56">
        <v>-8524.51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52125.48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67">
        <v>12341.36</v>
      </c>
      <c r="AH14" s="67">
        <v>13837.71</v>
      </c>
      <c r="AI14" s="67">
        <v>19680.03</v>
      </c>
      <c r="AJ14" s="67">
        <v>10604.49</v>
      </c>
      <c r="AK14" s="67">
        <v>16791.46</v>
      </c>
      <c r="AL14" s="67">
        <v>22602.7</v>
      </c>
      <c r="AM14" s="67">
        <v>18757.34</v>
      </c>
      <c r="AN14" s="67">
        <v>16962.310000000001</v>
      </c>
      <c r="AO14" s="67">
        <v>16438.16</v>
      </c>
      <c r="AP14" s="67">
        <v>25757.42</v>
      </c>
      <c r="AQ14" s="67">
        <v>20309.72</v>
      </c>
      <c r="AR14" s="67">
        <v>11066.86</v>
      </c>
      <c r="AS14" s="68">
        <v>56463.59</v>
      </c>
      <c r="AT14" s="63"/>
      <c r="AU14" s="63">
        <v>92.316978073834832</v>
      </c>
    </row>
    <row r="15" spans="1:47" ht="12.75" customHeight="1" x14ac:dyDescent="0.2">
      <c r="A15" s="61" t="s">
        <v>171</v>
      </c>
      <c r="B15" s="62">
        <v>0</v>
      </c>
      <c r="C15" s="54">
        <v>0</v>
      </c>
      <c r="D15" s="54">
        <v>0</v>
      </c>
      <c r="E15" s="63"/>
      <c r="F15" s="64"/>
      <c r="G15" s="65">
        <v>0</v>
      </c>
      <c r="H15" s="54">
        <v>0</v>
      </c>
      <c r="I15" s="54">
        <v>0</v>
      </c>
      <c r="J15" s="54">
        <v>0</v>
      </c>
      <c r="K15" s="54">
        <v>0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66">
        <v>0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66">
        <v>0</v>
      </c>
      <c r="AG15" s="67">
        <v>0</v>
      </c>
      <c r="AH15" s="67">
        <v>0</v>
      </c>
      <c r="AI15" s="67">
        <v>0</v>
      </c>
      <c r="AJ15" s="67">
        <v>0</v>
      </c>
      <c r="AK15" s="67">
        <v>0</v>
      </c>
      <c r="AL15" s="67">
        <v>0</v>
      </c>
      <c r="AM15" s="67">
        <v>0</v>
      </c>
      <c r="AN15" s="67">
        <v>0</v>
      </c>
      <c r="AO15" s="67">
        <v>0</v>
      </c>
      <c r="AP15" s="67">
        <v>0</v>
      </c>
      <c r="AQ15" s="67">
        <v>0</v>
      </c>
      <c r="AR15" s="67">
        <v>0</v>
      </c>
      <c r="AS15" s="68">
        <v>0</v>
      </c>
      <c r="AT15" s="63"/>
      <c r="AU15" s="63"/>
    </row>
    <row r="16" spans="1:47" ht="12.75" customHeight="1" x14ac:dyDescent="0.2">
      <c r="A16" s="61" t="s">
        <v>172</v>
      </c>
      <c r="B16" s="62"/>
      <c r="C16" s="54">
        <v>0</v>
      </c>
      <c r="D16" s="54"/>
      <c r="E16" s="63"/>
      <c r="F16" s="64"/>
      <c r="G16" s="65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66"/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8"/>
      <c r="AT16" s="63"/>
      <c r="AU16" s="63"/>
    </row>
    <row r="17" spans="1:47" s="365" customFormat="1" ht="12.75" customHeight="1" x14ac:dyDescent="0.2">
      <c r="A17" s="61" t="s">
        <v>173</v>
      </c>
      <c r="B17" s="62">
        <v>748.03</v>
      </c>
      <c r="C17" s="54">
        <v>0</v>
      </c>
      <c r="D17" s="54">
        <v>0</v>
      </c>
      <c r="E17" s="63"/>
      <c r="F17" s="64"/>
      <c r="G17" s="65">
        <v>748.02</v>
      </c>
      <c r="H17" s="54">
        <v>748.02</v>
      </c>
      <c r="I17" s="54">
        <v>748.02</v>
      </c>
      <c r="J17" s="54">
        <v>748.03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2992.09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0</v>
      </c>
      <c r="AH17" s="67">
        <v>0</v>
      </c>
      <c r="AI17" s="67">
        <v>0</v>
      </c>
      <c r="AJ17" s="67">
        <v>0</v>
      </c>
      <c r="AK17" s="67">
        <v>0</v>
      </c>
      <c r="AL17" s="67">
        <v>0</v>
      </c>
      <c r="AM17" s="67">
        <v>0</v>
      </c>
      <c r="AN17" s="67">
        <v>0</v>
      </c>
      <c r="AO17" s="67">
        <v>0</v>
      </c>
      <c r="AP17" s="67">
        <v>0</v>
      </c>
      <c r="AQ17" s="67">
        <v>0</v>
      </c>
      <c r="AR17" s="67">
        <v>0</v>
      </c>
      <c r="AS17" s="68">
        <v>0</v>
      </c>
      <c r="AT17" s="63"/>
      <c r="AU17" s="63"/>
    </row>
    <row r="18" spans="1:47" ht="12.75" customHeight="1" x14ac:dyDescent="0.2">
      <c r="A18" s="61" t="s">
        <v>257</v>
      </c>
      <c r="B18" s="62"/>
      <c r="C18" s="54"/>
      <c r="D18" s="54"/>
      <c r="E18" s="63"/>
      <c r="F18" s="64"/>
      <c r="G18" s="65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66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66"/>
      <c r="AG18" s="67"/>
      <c r="AH18" s="67"/>
      <c r="AI18" s="67"/>
      <c r="AJ18" s="67"/>
      <c r="AK18" s="67"/>
      <c r="AL18" s="67"/>
      <c r="AM18" s="67"/>
      <c r="AN18" s="67"/>
      <c r="AO18" s="67"/>
      <c r="AP18" s="67"/>
      <c r="AQ18" s="67"/>
      <c r="AR18" s="67"/>
      <c r="AS18" s="68"/>
      <c r="AT18" s="63"/>
      <c r="AU18" s="63"/>
    </row>
    <row r="19" spans="1:47" ht="12.75" hidden="1" customHeight="1" outlineLevel="1" x14ac:dyDescent="0.2">
      <c r="A19" s="61" t="s">
        <v>109</v>
      </c>
      <c r="B19" s="62"/>
      <c r="C19" s="54"/>
      <c r="D19" s="54"/>
      <c r="E19" s="63"/>
      <c r="F19" s="64"/>
      <c r="G19" s="65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66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66"/>
      <c r="AG19" s="67"/>
      <c r="AH19" s="67"/>
      <c r="AI19" s="67"/>
      <c r="AJ19" s="67"/>
      <c r="AK19" s="67"/>
      <c r="AL19" s="67"/>
      <c r="AM19" s="67"/>
      <c r="AN19" s="67"/>
      <c r="AO19" s="67"/>
      <c r="AP19" s="67"/>
      <c r="AQ19" s="67"/>
      <c r="AR19" s="67"/>
      <c r="AS19" s="68"/>
      <c r="AT19" s="63"/>
      <c r="AU19" s="63"/>
    </row>
    <row r="20" spans="1:47" ht="12.75" hidden="1" customHeight="1" outlineLevel="1" x14ac:dyDescent="0.2">
      <c r="A20" s="61" t="s">
        <v>97</v>
      </c>
      <c r="B20" s="62">
        <v>0</v>
      </c>
      <c r="C20" s="54"/>
      <c r="D20" s="54">
        <v>0</v>
      </c>
      <c r="E20" s="63"/>
      <c r="F20" s="64"/>
      <c r="G20" s="65">
        <v>0</v>
      </c>
      <c r="H20" s="54">
        <v>0</v>
      </c>
      <c r="I20" s="54">
        <v>0</v>
      </c>
      <c r="J20" s="54">
        <v>0</v>
      </c>
      <c r="K20" s="54">
        <v>0</v>
      </c>
      <c r="L20" s="54">
        <v>0</v>
      </c>
      <c r="M20" s="54">
        <v>0</v>
      </c>
      <c r="N20" s="54">
        <v>0</v>
      </c>
      <c r="O20" s="54">
        <v>0</v>
      </c>
      <c r="P20" s="54">
        <v>0</v>
      </c>
      <c r="Q20" s="54">
        <v>0</v>
      </c>
      <c r="R20" s="54">
        <v>0</v>
      </c>
      <c r="S20" s="66">
        <v>0</v>
      </c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66"/>
      <c r="AG20" s="67">
        <v>0</v>
      </c>
      <c r="AH20" s="67">
        <v>0</v>
      </c>
      <c r="AI20" s="67">
        <v>0</v>
      </c>
      <c r="AJ20" s="67">
        <v>0</v>
      </c>
      <c r="AK20" s="67">
        <v>0</v>
      </c>
      <c r="AL20" s="67">
        <v>0</v>
      </c>
      <c r="AM20" s="67">
        <v>0</v>
      </c>
      <c r="AN20" s="67">
        <v>0</v>
      </c>
      <c r="AO20" s="67">
        <v>0</v>
      </c>
      <c r="AP20" s="67">
        <v>0</v>
      </c>
      <c r="AQ20" s="67">
        <v>0</v>
      </c>
      <c r="AR20" s="67">
        <v>0</v>
      </c>
      <c r="AS20" s="68">
        <v>0</v>
      </c>
      <c r="AT20" s="63"/>
      <c r="AU20" s="63"/>
    </row>
    <row r="21" spans="1:47" ht="12.75" hidden="1" customHeight="1" outlineLevel="1" x14ac:dyDescent="0.2">
      <c r="A21" s="61" t="s">
        <v>69</v>
      </c>
      <c r="B21" s="62">
        <v>0</v>
      </c>
      <c r="C21" s="54">
        <v>0</v>
      </c>
      <c r="D21" s="54">
        <v>0</v>
      </c>
      <c r="E21" s="63"/>
      <c r="F21" s="64"/>
      <c r="G21" s="65">
        <v>0</v>
      </c>
      <c r="H21" s="54">
        <v>0</v>
      </c>
      <c r="I21" s="54">
        <v>0</v>
      </c>
      <c r="J21" s="54">
        <v>0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66">
        <v>0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4">
        <v>0</v>
      </c>
      <c r="AB21" s="54">
        <v>0</v>
      </c>
      <c r="AC21" s="54">
        <v>0</v>
      </c>
      <c r="AD21" s="54">
        <v>0</v>
      </c>
      <c r="AE21" s="54">
        <v>0</v>
      </c>
      <c r="AF21" s="66">
        <v>0</v>
      </c>
      <c r="AG21" s="67">
        <v>0</v>
      </c>
      <c r="AH21" s="67">
        <v>0</v>
      </c>
      <c r="AI21" s="67">
        <v>0</v>
      </c>
      <c r="AJ21" s="67">
        <v>0</v>
      </c>
      <c r="AK21" s="67">
        <v>0</v>
      </c>
      <c r="AL21" s="67">
        <v>0</v>
      </c>
      <c r="AM21" s="67">
        <v>0</v>
      </c>
      <c r="AN21" s="67">
        <v>0</v>
      </c>
      <c r="AO21" s="67">
        <v>0</v>
      </c>
      <c r="AP21" s="67">
        <v>0</v>
      </c>
      <c r="AQ21" s="67">
        <v>0</v>
      </c>
      <c r="AR21" s="67">
        <v>0</v>
      </c>
      <c r="AS21" s="68">
        <v>0</v>
      </c>
      <c r="AT21" s="63"/>
      <c r="AU21" s="63"/>
    </row>
    <row r="22" spans="1:47" ht="12.75" customHeight="1" collapsed="1" x14ac:dyDescent="0.2">
      <c r="A22" s="69" t="s">
        <v>70</v>
      </c>
      <c r="B22" s="70">
        <v>0</v>
      </c>
      <c r="C22" s="71">
        <v>0</v>
      </c>
      <c r="D22" s="71">
        <v>0</v>
      </c>
      <c r="E22" s="72"/>
      <c r="F22" s="73"/>
      <c r="G22" s="70">
        <v>0</v>
      </c>
      <c r="H22" s="71">
        <v>0</v>
      </c>
      <c r="I22" s="71">
        <v>0</v>
      </c>
      <c r="J22" s="71">
        <v>0</v>
      </c>
      <c r="K22" s="71">
        <v>0</v>
      </c>
      <c r="L22" s="71">
        <v>0</v>
      </c>
      <c r="M22" s="71">
        <v>0</v>
      </c>
      <c r="N22" s="71">
        <v>0</v>
      </c>
      <c r="O22" s="71">
        <v>0</v>
      </c>
      <c r="P22" s="71">
        <v>0</v>
      </c>
      <c r="Q22" s="71">
        <v>0</v>
      </c>
      <c r="R22" s="71">
        <v>0</v>
      </c>
      <c r="S22" s="71">
        <v>0</v>
      </c>
      <c r="T22" s="71">
        <v>0</v>
      </c>
      <c r="U22" s="71">
        <v>0</v>
      </c>
      <c r="V22" s="71">
        <v>0</v>
      </c>
      <c r="W22" s="71">
        <v>0</v>
      </c>
      <c r="X22" s="71">
        <v>0</v>
      </c>
      <c r="Y22" s="71">
        <v>0</v>
      </c>
      <c r="Z22" s="71">
        <v>0</v>
      </c>
      <c r="AA22" s="71">
        <v>0</v>
      </c>
      <c r="AB22" s="71">
        <v>0</v>
      </c>
      <c r="AC22" s="71">
        <v>0</v>
      </c>
      <c r="AD22" s="71">
        <v>0</v>
      </c>
      <c r="AE22" s="71">
        <v>0</v>
      </c>
      <c r="AF22" s="71">
        <v>0</v>
      </c>
      <c r="AG22" s="75">
        <v>0</v>
      </c>
      <c r="AH22" s="75">
        <v>0</v>
      </c>
      <c r="AI22" s="75">
        <v>0</v>
      </c>
      <c r="AJ22" s="75">
        <v>0</v>
      </c>
      <c r="AK22" s="75">
        <v>0</v>
      </c>
      <c r="AL22" s="75">
        <v>0</v>
      </c>
      <c r="AM22" s="75">
        <v>0</v>
      </c>
      <c r="AN22" s="75">
        <v>0</v>
      </c>
      <c r="AO22" s="75">
        <v>0</v>
      </c>
      <c r="AP22" s="75">
        <v>0</v>
      </c>
      <c r="AQ22" s="75">
        <v>0</v>
      </c>
      <c r="AR22" s="75">
        <v>0</v>
      </c>
      <c r="AS22" s="75">
        <v>0</v>
      </c>
      <c r="AT22" s="72"/>
      <c r="AU22" s="72"/>
    </row>
    <row r="23" spans="1:47" ht="12.75" hidden="1" customHeight="1" outlineLevel="1" x14ac:dyDescent="0.2">
      <c r="A23" s="61" t="s">
        <v>174</v>
      </c>
      <c r="B23" s="62">
        <v>0</v>
      </c>
      <c r="C23" s="54">
        <v>0</v>
      </c>
      <c r="D23" s="54">
        <v>0</v>
      </c>
      <c r="E23" s="63"/>
      <c r="F23" s="64"/>
      <c r="G23" s="65">
        <v>0</v>
      </c>
      <c r="H23" s="54">
        <v>0</v>
      </c>
      <c r="I23" s="54">
        <v>0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0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0</v>
      </c>
      <c r="AH23" s="67">
        <v>0</v>
      </c>
      <c r="AI23" s="67">
        <v>0</v>
      </c>
      <c r="AJ23" s="67">
        <v>0</v>
      </c>
      <c r="AK23" s="67">
        <v>0</v>
      </c>
      <c r="AL23" s="67">
        <v>0</v>
      </c>
      <c r="AM23" s="67">
        <v>0</v>
      </c>
      <c r="AN23" s="67">
        <v>0</v>
      </c>
      <c r="AO23" s="67">
        <v>0</v>
      </c>
      <c r="AP23" s="67">
        <v>0</v>
      </c>
      <c r="AQ23" s="67">
        <v>0</v>
      </c>
      <c r="AR23" s="67">
        <v>0</v>
      </c>
      <c r="AS23" s="68">
        <v>0</v>
      </c>
      <c r="AT23" s="63"/>
      <c r="AU23" s="63"/>
    </row>
    <row r="24" spans="1:47" ht="12.75" hidden="1" customHeight="1" outlineLevel="1" x14ac:dyDescent="0.2">
      <c r="A24" s="61" t="s">
        <v>99</v>
      </c>
      <c r="B24" s="62">
        <v>0</v>
      </c>
      <c r="C24" s="54">
        <v>0</v>
      </c>
      <c r="D24" s="54">
        <v>0</v>
      </c>
      <c r="E24" s="63"/>
      <c r="F24" s="64"/>
      <c r="G24" s="65">
        <v>0</v>
      </c>
      <c r="H24" s="54">
        <v>0</v>
      </c>
      <c r="I24" s="54">
        <v>0</v>
      </c>
      <c r="J24" s="54">
        <v>0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0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0</v>
      </c>
      <c r="AH24" s="67">
        <v>0</v>
      </c>
      <c r="AI24" s="67">
        <v>0</v>
      </c>
      <c r="AJ24" s="67">
        <v>0</v>
      </c>
      <c r="AK24" s="67">
        <v>0</v>
      </c>
      <c r="AL24" s="67">
        <v>0</v>
      </c>
      <c r="AM24" s="67">
        <v>0</v>
      </c>
      <c r="AN24" s="67">
        <v>0</v>
      </c>
      <c r="AO24" s="67">
        <v>0</v>
      </c>
      <c r="AP24" s="67">
        <v>0</v>
      </c>
      <c r="AQ24" s="67">
        <v>0</v>
      </c>
      <c r="AR24" s="67">
        <v>0</v>
      </c>
      <c r="AS24" s="68">
        <v>0</v>
      </c>
      <c r="AT24" s="63"/>
      <c r="AU24" s="63"/>
    </row>
    <row r="25" spans="1:47" ht="12.75" hidden="1" customHeight="1" outlineLevel="1" x14ac:dyDescent="0.2">
      <c r="A25" s="61" t="s">
        <v>175</v>
      </c>
      <c r="B25" s="62">
        <v>0</v>
      </c>
      <c r="C25" s="54">
        <v>0</v>
      </c>
      <c r="D25" s="54">
        <v>0</v>
      </c>
      <c r="E25" s="63"/>
      <c r="F25" s="64"/>
      <c r="G25" s="65">
        <v>0</v>
      </c>
      <c r="H25" s="54">
        <v>0</v>
      </c>
      <c r="I25" s="54">
        <v>0</v>
      </c>
      <c r="J25" s="54">
        <v>0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0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0</v>
      </c>
      <c r="AH25" s="67">
        <v>0</v>
      </c>
      <c r="AI25" s="67">
        <v>0</v>
      </c>
      <c r="AJ25" s="67">
        <v>0</v>
      </c>
      <c r="AK25" s="67">
        <v>0</v>
      </c>
      <c r="AL25" s="67">
        <v>0</v>
      </c>
      <c r="AM25" s="67">
        <v>0</v>
      </c>
      <c r="AN25" s="67">
        <v>0</v>
      </c>
      <c r="AO25" s="67">
        <v>0</v>
      </c>
      <c r="AP25" s="67">
        <v>0</v>
      </c>
      <c r="AQ25" s="67">
        <v>0</v>
      </c>
      <c r="AR25" s="67">
        <v>0</v>
      </c>
      <c r="AS25" s="68">
        <v>0</v>
      </c>
      <c r="AT25" s="63"/>
      <c r="AU25" s="63"/>
    </row>
    <row r="26" spans="1:47" ht="12.75" hidden="1" customHeight="1" outlineLevel="1" x14ac:dyDescent="0.2">
      <c r="A26" s="61" t="s">
        <v>101</v>
      </c>
      <c r="B26" s="62">
        <v>0</v>
      </c>
      <c r="C26" s="54">
        <v>0</v>
      </c>
      <c r="D26" s="54">
        <v>0</v>
      </c>
      <c r="E26" s="63"/>
      <c r="F26" s="64"/>
      <c r="G26" s="65">
        <v>0</v>
      </c>
      <c r="H26" s="54">
        <v>0</v>
      </c>
      <c r="I26" s="54">
        <v>0</v>
      </c>
      <c r="J26" s="54">
        <v>0</v>
      </c>
      <c r="K26" s="54">
        <v>0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0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0</v>
      </c>
      <c r="AH26" s="67">
        <v>0</v>
      </c>
      <c r="AI26" s="67">
        <v>0</v>
      </c>
      <c r="AJ26" s="67">
        <v>0</v>
      </c>
      <c r="AK26" s="67">
        <v>0</v>
      </c>
      <c r="AL26" s="67">
        <v>0</v>
      </c>
      <c r="AM26" s="67">
        <v>0</v>
      </c>
      <c r="AN26" s="67">
        <v>0</v>
      </c>
      <c r="AO26" s="67">
        <v>0</v>
      </c>
      <c r="AP26" s="67">
        <v>0</v>
      </c>
      <c r="AQ26" s="67">
        <v>0</v>
      </c>
      <c r="AR26" s="67">
        <v>0</v>
      </c>
      <c r="AS26" s="68">
        <v>0</v>
      </c>
      <c r="AT26" s="63"/>
      <c r="AU26" s="63"/>
    </row>
    <row r="27" spans="1:47" ht="12.75" hidden="1" customHeight="1" outlineLevel="1" x14ac:dyDescent="0.2">
      <c r="A27" s="61" t="s">
        <v>176</v>
      </c>
      <c r="B27" s="62"/>
      <c r="C27" s="54"/>
      <c r="D27" s="54"/>
      <c r="E27" s="63"/>
      <c r="F27" s="64"/>
      <c r="G27" s="65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66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66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8"/>
      <c r="AT27" s="63"/>
      <c r="AU27" s="63"/>
    </row>
    <row r="28" spans="1:47" ht="12.75" hidden="1" customHeight="1" outlineLevel="1" x14ac:dyDescent="0.2">
      <c r="A28" s="61" t="s">
        <v>102</v>
      </c>
      <c r="B28" s="62">
        <v>0</v>
      </c>
      <c r="C28" s="54">
        <v>0</v>
      </c>
      <c r="D28" s="54">
        <v>0</v>
      </c>
      <c r="E28" s="63"/>
      <c r="F28" s="64"/>
      <c r="G28" s="65">
        <v>0</v>
      </c>
      <c r="H28" s="54">
        <v>0</v>
      </c>
      <c r="I28" s="54">
        <v>0</v>
      </c>
      <c r="J28" s="54">
        <v>0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0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0</v>
      </c>
      <c r="AH28" s="67">
        <v>0</v>
      </c>
      <c r="AI28" s="67">
        <v>0</v>
      </c>
      <c r="AJ28" s="67">
        <v>0</v>
      </c>
      <c r="AK28" s="67">
        <v>0</v>
      </c>
      <c r="AL28" s="67">
        <v>0</v>
      </c>
      <c r="AM28" s="67">
        <v>0</v>
      </c>
      <c r="AN28" s="67">
        <v>0</v>
      </c>
      <c r="AO28" s="67">
        <v>0</v>
      </c>
      <c r="AP28" s="67">
        <v>0</v>
      </c>
      <c r="AQ28" s="67">
        <v>0</v>
      </c>
      <c r="AR28" s="67">
        <v>0</v>
      </c>
      <c r="AS28" s="68">
        <v>0</v>
      </c>
      <c r="AT28" s="63"/>
      <c r="AU28" s="63"/>
    </row>
    <row r="29" spans="1:47" ht="12.75" hidden="1" customHeight="1" outlineLevel="1" x14ac:dyDescent="0.2">
      <c r="A29" s="61" t="s">
        <v>75</v>
      </c>
      <c r="B29" s="62">
        <v>0</v>
      </c>
      <c r="C29" s="54">
        <v>0</v>
      </c>
      <c r="D29" s="54">
        <v>0</v>
      </c>
      <c r="E29" s="63"/>
      <c r="F29" s="64"/>
      <c r="G29" s="65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0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0</v>
      </c>
      <c r="AH29" s="67">
        <v>0</v>
      </c>
      <c r="AI29" s="67">
        <v>0</v>
      </c>
      <c r="AJ29" s="67">
        <v>0</v>
      </c>
      <c r="AK29" s="67">
        <v>0</v>
      </c>
      <c r="AL29" s="67">
        <v>0</v>
      </c>
      <c r="AM29" s="67">
        <v>0</v>
      </c>
      <c r="AN29" s="67">
        <v>0</v>
      </c>
      <c r="AO29" s="67">
        <v>0</v>
      </c>
      <c r="AP29" s="67">
        <v>0</v>
      </c>
      <c r="AQ29" s="67">
        <v>0</v>
      </c>
      <c r="AR29" s="67">
        <v>0</v>
      </c>
      <c r="AS29" s="68">
        <v>0</v>
      </c>
      <c r="AT29" s="63"/>
      <c r="AU29" s="63"/>
    </row>
    <row r="30" spans="1:47" ht="12.75" hidden="1" customHeight="1" outlineLevel="1" x14ac:dyDescent="0.2">
      <c r="A30" s="61" t="s">
        <v>76</v>
      </c>
      <c r="B30" s="62">
        <v>0</v>
      </c>
      <c r="C30" s="54">
        <v>0</v>
      </c>
      <c r="D30" s="54">
        <v>0</v>
      </c>
      <c r="E30" s="63"/>
      <c r="F30" s="64"/>
      <c r="G30" s="65">
        <v>0</v>
      </c>
      <c r="H30" s="54">
        <v>0</v>
      </c>
      <c r="I30" s="54">
        <v>0</v>
      </c>
      <c r="J30" s="54">
        <v>0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0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0</v>
      </c>
      <c r="AH30" s="67">
        <v>0</v>
      </c>
      <c r="AI30" s="67">
        <v>0</v>
      </c>
      <c r="AJ30" s="67">
        <v>0</v>
      </c>
      <c r="AK30" s="67">
        <v>0</v>
      </c>
      <c r="AL30" s="67">
        <v>0</v>
      </c>
      <c r="AM30" s="67">
        <v>0</v>
      </c>
      <c r="AN30" s="67">
        <v>0</v>
      </c>
      <c r="AO30" s="67">
        <v>0</v>
      </c>
      <c r="AP30" s="67">
        <v>0</v>
      </c>
      <c r="AQ30" s="67">
        <v>0</v>
      </c>
      <c r="AR30" s="67">
        <v>0</v>
      </c>
      <c r="AS30" s="68">
        <v>0</v>
      </c>
      <c r="AT30" s="63"/>
      <c r="AU30" s="63"/>
    </row>
    <row r="31" spans="1:47" ht="12.75" hidden="1" customHeight="1" outlineLevel="1" x14ac:dyDescent="0.2">
      <c r="A31" s="61" t="s">
        <v>77</v>
      </c>
      <c r="B31" s="62"/>
      <c r="C31" s="54"/>
      <c r="D31" s="54"/>
      <c r="E31" s="63"/>
      <c r="F31" s="64"/>
      <c r="G31" s="65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66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66"/>
      <c r="AG31" s="67"/>
      <c r="AH31" s="67"/>
      <c r="AI31" s="67"/>
      <c r="AJ31" s="67"/>
      <c r="AK31" s="67"/>
      <c r="AL31" s="67"/>
      <c r="AM31" s="67"/>
      <c r="AN31" s="67"/>
      <c r="AO31" s="67"/>
      <c r="AP31" s="67"/>
      <c r="AQ31" s="67"/>
      <c r="AR31" s="67"/>
      <c r="AS31" s="68"/>
      <c r="AT31" s="63"/>
      <c r="AU31" s="63"/>
    </row>
    <row r="32" spans="1:47" ht="12.75" customHeight="1" collapsed="1" x14ac:dyDescent="0.2">
      <c r="A32" s="69" t="s">
        <v>177</v>
      </c>
      <c r="B32" s="70">
        <v>0</v>
      </c>
      <c r="C32" s="71">
        <v>0</v>
      </c>
      <c r="D32" s="71">
        <v>0</v>
      </c>
      <c r="E32" s="72"/>
      <c r="F32" s="73"/>
      <c r="G32" s="70">
        <v>0</v>
      </c>
      <c r="H32" s="71">
        <v>0</v>
      </c>
      <c r="I32" s="71">
        <v>0</v>
      </c>
      <c r="J32" s="71">
        <v>0</v>
      </c>
      <c r="K32" s="71">
        <v>0</v>
      </c>
      <c r="L32" s="71">
        <v>0</v>
      </c>
      <c r="M32" s="71">
        <v>0</v>
      </c>
      <c r="N32" s="71">
        <v>0</v>
      </c>
      <c r="O32" s="71">
        <v>0</v>
      </c>
      <c r="P32" s="71">
        <v>0</v>
      </c>
      <c r="Q32" s="71">
        <v>0</v>
      </c>
      <c r="R32" s="71">
        <v>0</v>
      </c>
      <c r="S32" s="71">
        <v>0</v>
      </c>
      <c r="T32" s="71">
        <v>0</v>
      </c>
      <c r="U32" s="71">
        <v>0</v>
      </c>
      <c r="V32" s="71">
        <v>0</v>
      </c>
      <c r="W32" s="71">
        <v>0</v>
      </c>
      <c r="X32" s="71">
        <v>0</v>
      </c>
      <c r="Y32" s="71">
        <v>0</v>
      </c>
      <c r="Z32" s="71">
        <v>0</v>
      </c>
      <c r="AA32" s="71">
        <v>0</v>
      </c>
      <c r="AB32" s="71">
        <v>0</v>
      </c>
      <c r="AC32" s="71">
        <v>0</v>
      </c>
      <c r="AD32" s="71">
        <v>0</v>
      </c>
      <c r="AE32" s="71">
        <v>0</v>
      </c>
      <c r="AF32" s="71">
        <v>0</v>
      </c>
      <c r="AG32" s="75">
        <v>0</v>
      </c>
      <c r="AH32" s="75">
        <v>0</v>
      </c>
      <c r="AI32" s="75">
        <v>0</v>
      </c>
      <c r="AJ32" s="75">
        <v>0</v>
      </c>
      <c r="AK32" s="75">
        <v>0</v>
      </c>
      <c r="AL32" s="75">
        <v>0</v>
      </c>
      <c r="AM32" s="75">
        <v>0</v>
      </c>
      <c r="AN32" s="75">
        <v>0</v>
      </c>
      <c r="AO32" s="75">
        <v>0</v>
      </c>
      <c r="AP32" s="75">
        <v>0</v>
      </c>
      <c r="AQ32" s="75">
        <v>0</v>
      </c>
      <c r="AR32" s="75">
        <v>0</v>
      </c>
      <c r="AS32" s="75">
        <v>0</v>
      </c>
      <c r="AT32" s="72"/>
      <c r="AU32" s="72"/>
    </row>
    <row r="33" spans="1:47" ht="12.75" hidden="1" customHeight="1" outlineLevel="1" x14ac:dyDescent="0.2">
      <c r="A33" s="61" t="s">
        <v>178</v>
      </c>
      <c r="B33" s="62"/>
      <c r="C33" s="54"/>
      <c r="D33" s="54"/>
      <c r="E33" s="63"/>
      <c r="F33" s="64"/>
      <c r="G33" s="65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66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66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8"/>
      <c r="AT33" s="63"/>
      <c r="AU33" s="63"/>
    </row>
    <row r="34" spans="1:47" ht="12.75" hidden="1" customHeight="1" outlineLevel="1" x14ac:dyDescent="0.2">
      <c r="A34" s="61" t="s">
        <v>179</v>
      </c>
      <c r="B34" s="62"/>
      <c r="C34" s="54"/>
      <c r="D34" s="54"/>
      <c r="E34" s="63"/>
      <c r="F34" s="64"/>
      <c r="G34" s="65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66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66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8"/>
      <c r="AT34" s="63"/>
      <c r="AU34" s="63"/>
    </row>
    <row r="35" spans="1:47" ht="12.75" hidden="1" customHeight="1" outlineLevel="1" x14ac:dyDescent="0.2">
      <c r="A35" s="61" t="s">
        <v>180</v>
      </c>
      <c r="B35" s="62"/>
      <c r="C35" s="54"/>
      <c r="D35" s="54"/>
      <c r="E35" s="63"/>
      <c r="F35" s="64"/>
      <c r="G35" s="65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66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66"/>
      <c r="AG35" s="67"/>
      <c r="AH35" s="67"/>
      <c r="AI35" s="67"/>
      <c r="AJ35" s="67"/>
      <c r="AK35" s="67"/>
      <c r="AL35" s="67"/>
      <c r="AM35" s="67"/>
      <c r="AN35" s="67"/>
      <c r="AO35" s="67"/>
      <c r="AP35" s="67"/>
      <c r="AQ35" s="67"/>
      <c r="AR35" s="67"/>
      <c r="AS35" s="68"/>
      <c r="AT35" s="63"/>
      <c r="AU35" s="63"/>
    </row>
    <row r="36" spans="1:47" ht="12.75" hidden="1" customHeight="1" outlineLevel="1" x14ac:dyDescent="0.2">
      <c r="A36" s="61" t="s">
        <v>181</v>
      </c>
      <c r="B36" s="62"/>
      <c r="C36" s="54"/>
      <c r="D36" s="54"/>
      <c r="E36" s="63"/>
      <c r="F36" s="64"/>
      <c r="G36" s="65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66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66"/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8"/>
      <c r="AT36" s="63"/>
      <c r="AU36" s="63"/>
    </row>
    <row r="37" spans="1:47" ht="12.75" hidden="1" customHeight="1" outlineLevel="1" x14ac:dyDescent="0.2">
      <c r="A37" s="61" t="s">
        <v>182</v>
      </c>
      <c r="B37" s="62"/>
      <c r="C37" s="54">
        <v>0</v>
      </c>
      <c r="D37" s="54"/>
      <c r="E37" s="63"/>
      <c r="F37" s="64"/>
      <c r="G37" s="65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66"/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66">
        <v>0</v>
      </c>
      <c r="AG37" s="67"/>
      <c r="AH37" s="67"/>
      <c r="AI37" s="67"/>
      <c r="AJ37" s="67"/>
      <c r="AK37" s="67"/>
      <c r="AL37" s="67"/>
      <c r="AM37" s="67"/>
      <c r="AN37" s="67"/>
      <c r="AO37" s="67"/>
      <c r="AP37" s="67"/>
      <c r="AQ37" s="67"/>
      <c r="AR37" s="67"/>
      <c r="AS37" s="68"/>
      <c r="AT37" s="63"/>
      <c r="AU37" s="63"/>
    </row>
    <row r="38" spans="1:47" ht="12.75" hidden="1" customHeight="1" outlineLevel="1" x14ac:dyDescent="0.2">
      <c r="A38" s="61" t="s">
        <v>183</v>
      </c>
      <c r="B38" s="62"/>
      <c r="C38" s="54"/>
      <c r="D38" s="54"/>
      <c r="E38" s="63"/>
      <c r="F38" s="64"/>
      <c r="G38" s="65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66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66"/>
      <c r="AG38" s="67"/>
      <c r="AH38" s="67"/>
      <c r="AI38" s="67"/>
      <c r="AJ38" s="67"/>
      <c r="AK38" s="67"/>
      <c r="AL38" s="67"/>
      <c r="AM38" s="67"/>
      <c r="AN38" s="67"/>
      <c r="AO38" s="67"/>
      <c r="AP38" s="67"/>
      <c r="AQ38" s="67"/>
      <c r="AR38" s="67"/>
      <c r="AS38" s="68"/>
      <c r="AT38" s="63"/>
      <c r="AU38" s="63"/>
    </row>
    <row r="39" spans="1:47" ht="12.75" hidden="1" customHeight="1" outlineLevel="1" x14ac:dyDescent="0.2">
      <c r="A39" s="61" t="s">
        <v>184</v>
      </c>
      <c r="B39" s="62"/>
      <c r="C39" s="54"/>
      <c r="D39" s="54"/>
      <c r="E39" s="63"/>
      <c r="F39" s="64"/>
      <c r="G39" s="65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66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66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8"/>
      <c r="AT39" s="63"/>
      <c r="AU39" s="63"/>
    </row>
    <row r="40" spans="1:47" ht="12.75" hidden="1" customHeight="1" outlineLevel="1" x14ac:dyDescent="0.2">
      <c r="A40" s="61" t="s">
        <v>185</v>
      </c>
      <c r="B40" s="62"/>
      <c r="C40" s="54"/>
      <c r="D40" s="54"/>
      <c r="E40" s="63"/>
      <c r="F40" s="64"/>
      <c r="G40" s="65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66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66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8"/>
      <c r="AT40" s="63"/>
      <c r="AU40" s="63"/>
    </row>
    <row r="41" spans="1:47" ht="12.75" hidden="1" customHeight="1" outlineLevel="1" x14ac:dyDescent="0.2">
      <c r="A41" s="61" t="s">
        <v>186</v>
      </c>
      <c r="B41" s="62"/>
      <c r="C41" s="54"/>
      <c r="D41" s="54"/>
      <c r="E41" s="63"/>
      <c r="F41" s="64"/>
      <c r="G41" s="65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66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66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8"/>
      <c r="AT41" s="63"/>
      <c r="AU41" s="63"/>
    </row>
    <row r="42" spans="1:47" ht="12.75" hidden="1" customHeight="1" outlineLevel="1" x14ac:dyDescent="0.2">
      <c r="A42" s="61" t="s">
        <v>191</v>
      </c>
      <c r="B42" s="62"/>
      <c r="C42" s="54"/>
      <c r="D42" s="54"/>
      <c r="E42" s="63"/>
      <c r="F42" s="64"/>
      <c r="G42" s="65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66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66"/>
      <c r="AG42" s="67"/>
      <c r="AH42" s="67"/>
      <c r="AI42" s="67"/>
      <c r="AJ42" s="67"/>
      <c r="AK42" s="67"/>
      <c r="AL42" s="67"/>
      <c r="AM42" s="67"/>
      <c r="AN42" s="67"/>
      <c r="AO42" s="67"/>
      <c r="AP42" s="67"/>
      <c r="AQ42" s="67"/>
      <c r="AR42" s="67"/>
      <c r="AS42" s="68"/>
      <c r="AT42" s="63"/>
      <c r="AU42" s="63"/>
    </row>
    <row r="43" spans="1:47" ht="12.75" hidden="1" customHeight="1" outlineLevel="1" x14ac:dyDescent="0.2">
      <c r="A43" s="61" t="s">
        <v>187</v>
      </c>
      <c r="B43" s="62"/>
      <c r="C43" s="54"/>
      <c r="D43" s="54"/>
      <c r="E43" s="63"/>
      <c r="F43" s="64"/>
      <c r="G43" s="65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66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66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8"/>
      <c r="AT43" s="63"/>
      <c r="AU43" s="63"/>
    </row>
    <row r="44" spans="1:47" ht="12.75" hidden="1" customHeight="1" outlineLevel="1" x14ac:dyDescent="0.2">
      <c r="A44" s="61" t="s">
        <v>188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61" t="s">
        <v>189</v>
      </c>
      <c r="B45" s="62"/>
      <c r="C45" s="54"/>
      <c r="D45" s="54"/>
      <c r="E45" s="63"/>
      <c r="F45" s="64"/>
      <c r="G45" s="65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66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66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8"/>
      <c r="AT45" s="63"/>
      <c r="AU45" s="63"/>
    </row>
    <row r="46" spans="1:47" ht="12.75" hidden="1" customHeight="1" outlineLevel="1" x14ac:dyDescent="0.2">
      <c r="A46" s="61" t="s">
        <v>190</v>
      </c>
      <c r="B46" s="62"/>
      <c r="C46" s="54"/>
      <c r="D46" s="54"/>
      <c r="E46" s="63"/>
      <c r="F46" s="64"/>
      <c r="G46" s="65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66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66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8"/>
      <c r="AT46" s="63"/>
      <c r="AU46" s="63"/>
    </row>
    <row r="47" spans="1:47" ht="12.75" customHeight="1" collapsed="1" x14ac:dyDescent="0.2">
      <c r="A47" s="69" t="s">
        <v>192</v>
      </c>
      <c r="B47" s="70"/>
      <c r="C47" s="71">
        <v>0</v>
      </c>
      <c r="D47" s="71"/>
      <c r="E47" s="72"/>
      <c r="F47" s="73"/>
      <c r="G47" s="70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>
        <v>0</v>
      </c>
      <c r="U47" s="71">
        <v>0</v>
      </c>
      <c r="V47" s="71">
        <v>0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71">
        <v>0</v>
      </c>
      <c r="AE47" s="71">
        <v>0</v>
      </c>
      <c r="AF47" s="71">
        <v>0</v>
      </c>
      <c r="AG47" s="75"/>
      <c r="AH47" s="75"/>
      <c r="AI47" s="75"/>
      <c r="AJ47" s="75"/>
      <c r="AK47" s="75"/>
      <c r="AL47" s="75"/>
      <c r="AM47" s="75"/>
      <c r="AN47" s="75"/>
      <c r="AO47" s="75"/>
      <c r="AP47" s="75"/>
      <c r="AQ47" s="75"/>
      <c r="AR47" s="75"/>
      <c r="AS47" s="75"/>
      <c r="AT47" s="72"/>
      <c r="AU47" s="72"/>
    </row>
    <row r="48" spans="1:47" ht="12.75" hidden="1" customHeight="1" outlineLevel="1" x14ac:dyDescent="0.2">
      <c r="A48" s="61" t="s">
        <v>193</v>
      </c>
      <c r="B48" s="62">
        <v>0</v>
      </c>
      <c r="C48" s="54"/>
      <c r="D48" s="54">
        <v>0</v>
      </c>
      <c r="E48" s="63"/>
      <c r="F48" s="64"/>
      <c r="G48" s="65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54">
        <v>0</v>
      </c>
      <c r="N48" s="54">
        <v>0</v>
      </c>
      <c r="O48" s="54">
        <v>0</v>
      </c>
      <c r="P48" s="54">
        <v>0</v>
      </c>
      <c r="Q48" s="54">
        <v>0</v>
      </c>
      <c r="R48" s="54">
        <v>0</v>
      </c>
      <c r="S48" s="66">
        <v>0</v>
      </c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66"/>
      <c r="AG48" s="67">
        <v>0</v>
      </c>
      <c r="AH48" s="67">
        <v>0</v>
      </c>
      <c r="AI48" s="67">
        <v>0</v>
      </c>
      <c r="AJ48" s="67">
        <v>0</v>
      </c>
      <c r="AK48" s="67">
        <v>0</v>
      </c>
      <c r="AL48" s="67">
        <v>0</v>
      </c>
      <c r="AM48" s="67">
        <v>0</v>
      </c>
      <c r="AN48" s="67">
        <v>0</v>
      </c>
      <c r="AO48" s="67">
        <v>0</v>
      </c>
      <c r="AP48" s="67">
        <v>0</v>
      </c>
      <c r="AQ48" s="67">
        <v>0</v>
      </c>
      <c r="AR48" s="67">
        <v>0</v>
      </c>
      <c r="AS48" s="68">
        <v>0</v>
      </c>
      <c r="AT48" s="63"/>
      <c r="AU48" s="63"/>
    </row>
    <row r="49" spans="1:47" ht="12.75" hidden="1" customHeight="1" outlineLevel="1" x14ac:dyDescent="0.2">
      <c r="A49" s="61" t="s">
        <v>194</v>
      </c>
      <c r="B49" s="62">
        <v>0</v>
      </c>
      <c r="C49" s="54"/>
      <c r="D49" s="54">
        <v>0</v>
      </c>
      <c r="E49" s="63"/>
      <c r="F49" s="64"/>
      <c r="G49" s="65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54">
        <v>0</v>
      </c>
      <c r="N49" s="54">
        <v>0</v>
      </c>
      <c r="O49" s="54">
        <v>0</v>
      </c>
      <c r="P49" s="54">
        <v>0</v>
      </c>
      <c r="Q49" s="54">
        <v>0</v>
      </c>
      <c r="R49" s="54">
        <v>0</v>
      </c>
      <c r="S49" s="66">
        <v>0</v>
      </c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66"/>
      <c r="AG49" s="67">
        <v>0</v>
      </c>
      <c r="AH49" s="67">
        <v>0</v>
      </c>
      <c r="AI49" s="67">
        <v>0</v>
      </c>
      <c r="AJ49" s="67">
        <v>0</v>
      </c>
      <c r="AK49" s="67">
        <v>0</v>
      </c>
      <c r="AL49" s="67">
        <v>0</v>
      </c>
      <c r="AM49" s="67">
        <v>0</v>
      </c>
      <c r="AN49" s="67">
        <v>0</v>
      </c>
      <c r="AO49" s="67">
        <v>0</v>
      </c>
      <c r="AP49" s="67">
        <v>0</v>
      </c>
      <c r="AQ49" s="67">
        <v>0</v>
      </c>
      <c r="AR49" s="67">
        <v>0</v>
      </c>
      <c r="AS49" s="68">
        <v>0</v>
      </c>
      <c r="AT49" s="63"/>
      <c r="AU49" s="63"/>
    </row>
    <row r="50" spans="1:47" ht="12.75" hidden="1" customHeight="1" outlineLevel="1" x14ac:dyDescent="0.2">
      <c r="A50" s="61" t="s">
        <v>82</v>
      </c>
      <c r="B50" s="62">
        <v>0</v>
      </c>
      <c r="C50" s="54"/>
      <c r="D50" s="54">
        <v>0</v>
      </c>
      <c r="E50" s="63"/>
      <c r="F50" s="64"/>
      <c r="G50" s="65">
        <v>0</v>
      </c>
      <c r="H50" s="54">
        <v>0</v>
      </c>
      <c r="I50" s="54">
        <v>0</v>
      </c>
      <c r="J50" s="54">
        <v>0</v>
      </c>
      <c r="K50" s="54">
        <v>0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66">
        <v>0</v>
      </c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66"/>
      <c r="AG50" s="67">
        <v>0</v>
      </c>
      <c r="AH50" s="67">
        <v>0</v>
      </c>
      <c r="AI50" s="67">
        <v>0</v>
      </c>
      <c r="AJ50" s="67">
        <v>0</v>
      </c>
      <c r="AK50" s="67">
        <v>0</v>
      </c>
      <c r="AL50" s="67">
        <v>0</v>
      </c>
      <c r="AM50" s="67">
        <v>0</v>
      </c>
      <c r="AN50" s="67">
        <v>0</v>
      </c>
      <c r="AO50" s="67">
        <v>0</v>
      </c>
      <c r="AP50" s="67">
        <v>0</v>
      </c>
      <c r="AQ50" s="67">
        <v>0</v>
      </c>
      <c r="AR50" s="67">
        <v>0</v>
      </c>
      <c r="AS50" s="68">
        <v>0</v>
      </c>
      <c r="AT50" s="63"/>
      <c r="AU50" s="63"/>
    </row>
    <row r="51" spans="1:47" ht="12.75" hidden="1" customHeight="1" outlineLevel="1" x14ac:dyDescent="0.2">
      <c r="A51" s="61" t="s">
        <v>83</v>
      </c>
      <c r="B51" s="62">
        <v>0</v>
      </c>
      <c r="C51" s="54">
        <v>0</v>
      </c>
      <c r="D51" s="54">
        <v>0</v>
      </c>
      <c r="E51" s="63"/>
      <c r="F51" s="64"/>
      <c r="G51" s="65">
        <v>0</v>
      </c>
      <c r="H51" s="54">
        <v>0</v>
      </c>
      <c r="I51" s="54">
        <v>0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66">
        <v>0</v>
      </c>
      <c r="T51" s="54">
        <v>0</v>
      </c>
      <c r="U51" s="54">
        <v>0</v>
      </c>
      <c r="V51" s="54">
        <v>0</v>
      </c>
      <c r="W51" s="54">
        <v>0</v>
      </c>
      <c r="X51" s="54">
        <v>0</v>
      </c>
      <c r="Y51" s="54">
        <v>0</v>
      </c>
      <c r="Z51" s="54">
        <v>0</v>
      </c>
      <c r="AA51" s="54">
        <v>0</v>
      </c>
      <c r="AB51" s="54">
        <v>0</v>
      </c>
      <c r="AC51" s="54">
        <v>0</v>
      </c>
      <c r="AD51" s="54">
        <v>0</v>
      </c>
      <c r="AE51" s="54">
        <v>0</v>
      </c>
      <c r="AF51" s="66">
        <v>0</v>
      </c>
      <c r="AG51" s="67">
        <v>0</v>
      </c>
      <c r="AH51" s="67">
        <v>0</v>
      </c>
      <c r="AI51" s="67">
        <v>0</v>
      </c>
      <c r="AJ51" s="67">
        <v>0</v>
      </c>
      <c r="AK51" s="67">
        <v>0</v>
      </c>
      <c r="AL51" s="67">
        <v>0</v>
      </c>
      <c r="AM51" s="67">
        <v>0</v>
      </c>
      <c r="AN51" s="67">
        <v>0</v>
      </c>
      <c r="AO51" s="67">
        <v>0</v>
      </c>
      <c r="AP51" s="67">
        <v>0</v>
      </c>
      <c r="AQ51" s="67">
        <v>0</v>
      </c>
      <c r="AR51" s="67">
        <v>0</v>
      </c>
      <c r="AS51" s="68">
        <v>0</v>
      </c>
      <c r="AT51" s="63"/>
      <c r="AU51" s="63"/>
    </row>
    <row r="52" spans="1:47" ht="12.75" hidden="1" customHeight="1" outlineLevel="1" x14ac:dyDescent="0.2">
      <c r="A52" s="61" t="s">
        <v>84</v>
      </c>
      <c r="B52" s="62"/>
      <c r="C52" s="54"/>
      <c r="D52" s="54"/>
      <c r="E52" s="63"/>
      <c r="F52" s="64"/>
      <c r="G52" s="65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66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66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8"/>
      <c r="AT52" s="63"/>
      <c r="AU52" s="63"/>
    </row>
    <row r="53" spans="1:47" ht="12.75" hidden="1" customHeight="1" outlineLevel="1" x14ac:dyDescent="0.2">
      <c r="A53" s="61" t="s">
        <v>195</v>
      </c>
      <c r="B53" s="62"/>
      <c r="C53" s="54"/>
      <c r="D53" s="54"/>
      <c r="E53" s="63"/>
      <c r="F53" s="64"/>
      <c r="G53" s="65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66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66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8"/>
      <c r="AT53" s="63"/>
      <c r="AU53" s="63"/>
    </row>
    <row r="54" spans="1:47" ht="12.75" hidden="1" customHeight="1" outlineLevel="1" x14ac:dyDescent="0.2">
      <c r="A54" s="61" t="s">
        <v>86</v>
      </c>
      <c r="B54" s="62">
        <v>0</v>
      </c>
      <c r="C54" s="54">
        <v>0</v>
      </c>
      <c r="D54" s="54">
        <v>0</v>
      </c>
      <c r="E54" s="63"/>
      <c r="F54" s="64"/>
      <c r="G54" s="65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66">
        <v>0</v>
      </c>
      <c r="T54" s="54">
        <v>0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0</v>
      </c>
      <c r="AE54" s="54">
        <v>0</v>
      </c>
      <c r="AF54" s="66">
        <v>0</v>
      </c>
      <c r="AG54" s="67">
        <v>0</v>
      </c>
      <c r="AH54" s="67">
        <v>0</v>
      </c>
      <c r="AI54" s="67">
        <v>0</v>
      </c>
      <c r="AJ54" s="67">
        <v>0</v>
      </c>
      <c r="AK54" s="67">
        <v>0</v>
      </c>
      <c r="AL54" s="67">
        <v>0</v>
      </c>
      <c r="AM54" s="67">
        <v>0</v>
      </c>
      <c r="AN54" s="67">
        <v>0</v>
      </c>
      <c r="AO54" s="67">
        <v>0</v>
      </c>
      <c r="AP54" s="67">
        <v>0</v>
      </c>
      <c r="AQ54" s="67">
        <v>0</v>
      </c>
      <c r="AR54" s="67">
        <v>0</v>
      </c>
      <c r="AS54" s="68">
        <v>0</v>
      </c>
      <c r="AT54" s="63"/>
      <c r="AU54" s="63"/>
    </row>
    <row r="55" spans="1:47" ht="12.75" hidden="1" customHeight="1" outlineLevel="1" x14ac:dyDescent="0.2">
      <c r="A55" s="61" t="s">
        <v>110</v>
      </c>
      <c r="B55" s="62"/>
      <c r="C55" s="54"/>
      <c r="D55" s="54"/>
      <c r="E55" s="63"/>
      <c r="F55" s="64"/>
      <c r="G55" s="65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66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66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8"/>
      <c r="AT55" s="63"/>
      <c r="AU55" s="63"/>
    </row>
    <row r="56" spans="1:47" ht="12.75" hidden="1" customHeight="1" outlineLevel="1" x14ac:dyDescent="0.2">
      <c r="A56" s="61" t="s">
        <v>196</v>
      </c>
      <c r="B56" s="62">
        <v>0</v>
      </c>
      <c r="C56" s="54">
        <v>0</v>
      </c>
      <c r="D56" s="54">
        <v>0</v>
      </c>
      <c r="E56" s="63"/>
      <c r="F56" s="64"/>
      <c r="G56" s="65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66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66">
        <v>0</v>
      </c>
      <c r="AG56" s="67">
        <v>0</v>
      </c>
      <c r="AH56" s="67">
        <v>0</v>
      </c>
      <c r="AI56" s="67">
        <v>0</v>
      </c>
      <c r="AJ56" s="67">
        <v>0</v>
      </c>
      <c r="AK56" s="67">
        <v>0</v>
      </c>
      <c r="AL56" s="67">
        <v>0</v>
      </c>
      <c r="AM56" s="67">
        <v>0</v>
      </c>
      <c r="AN56" s="67">
        <v>0</v>
      </c>
      <c r="AO56" s="67">
        <v>0</v>
      </c>
      <c r="AP56" s="67">
        <v>0</v>
      </c>
      <c r="AQ56" s="67">
        <v>0</v>
      </c>
      <c r="AR56" s="67">
        <v>0</v>
      </c>
      <c r="AS56" s="68">
        <v>0</v>
      </c>
      <c r="AT56" s="63"/>
      <c r="AU56" s="63"/>
    </row>
    <row r="57" spans="1:47" ht="12.75" hidden="1" customHeight="1" outlineLevel="1" x14ac:dyDescent="0.2">
      <c r="A57" s="61" t="s">
        <v>197</v>
      </c>
      <c r="B57" s="62"/>
      <c r="C57" s="54"/>
      <c r="D57" s="54"/>
      <c r="E57" s="63"/>
      <c r="F57" s="64"/>
      <c r="G57" s="65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66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66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8"/>
      <c r="AT57" s="63"/>
      <c r="AU57" s="63"/>
    </row>
    <row r="58" spans="1:47" ht="12.75" hidden="1" customHeight="1" outlineLevel="1" x14ac:dyDescent="0.2">
      <c r="A58" s="61" t="s">
        <v>198</v>
      </c>
      <c r="B58" s="62"/>
      <c r="C58" s="54"/>
      <c r="D58" s="54"/>
      <c r="E58" s="63"/>
      <c r="F58" s="64"/>
      <c r="G58" s="65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66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66"/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8"/>
      <c r="AT58" s="63"/>
      <c r="AU58" s="63"/>
    </row>
    <row r="59" spans="1:47" ht="12.75" hidden="1" customHeight="1" outlineLevel="1" x14ac:dyDescent="0.2">
      <c r="A59" s="61" t="s">
        <v>199</v>
      </c>
      <c r="B59" s="62"/>
      <c r="C59" s="54"/>
      <c r="D59" s="54"/>
      <c r="E59" s="63"/>
      <c r="F59" s="64"/>
      <c r="G59" s="65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66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66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8"/>
      <c r="AT59" s="63"/>
      <c r="AU59" s="63"/>
    </row>
    <row r="60" spans="1:47" ht="12.75" hidden="1" customHeight="1" outlineLevel="1" x14ac:dyDescent="0.2">
      <c r="A60" s="61" t="s">
        <v>200</v>
      </c>
      <c r="B60" s="62"/>
      <c r="C60" s="54"/>
      <c r="D60" s="54"/>
      <c r="E60" s="63"/>
      <c r="F60" s="64"/>
      <c r="G60" s="65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66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66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8"/>
      <c r="AT60" s="63"/>
      <c r="AU60" s="63"/>
    </row>
    <row r="61" spans="1:47" ht="12.75" customHeight="1" collapsed="1" x14ac:dyDescent="0.2">
      <c r="A61" s="69" t="s">
        <v>89</v>
      </c>
      <c r="B61" s="70">
        <v>0</v>
      </c>
      <c r="C61" s="71">
        <v>0</v>
      </c>
      <c r="D61" s="71">
        <v>0</v>
      </c>
      <c r="E61" s="72"/>
      <c r="F61" s="73"/>
      <c r="G61" s="70">
        <v>0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  <c r="M61" s="71">
        <v>0</v>
      </c>
      <c r="N61" s="71">
        <v>0</v>
      </c>
      <c r="O61" s="71">
        <v>0</v>
      </c>
      <c r="P61" s="71">
        <v>0</v>
      </c>
      <c r="Q61" s="71">
        <v>0</v>
      </c>
      <c r="R61" s="71">
        <v>0</v>
      </c>
      <c r="S61" s="71">
        <v>0</v>
      </c>
      <c r="T61" s="71">
        <v>0</v>
      </c>
      <c r="U61" s="71">
        <v>0</v>
      </c>
      <c r="V61" s="71">
        <v>0</v>
      </c>
      <c r="W61" s="71">
        <v>0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71">
        <v>0</v>
      </c>
      <c r="AE61" s="71">
        <v>0</v>
      </c>
      <c r="AF61" s="71">
        <v>0</v>
      </c>
      <c r="AG61" s="75">
        <v>0</v>
      </c>
      <c r="AH61" s="75">
        <v>0</v>
      </c>
      <c r="AI61" s="75">
        <v>0</v>
      </c>
      <c r="AJ61" s="75">
        <v>0</v>
      </c>
      <c r="AK61" s="75">
        <v>0</v>
      </c>
      <c r="AL61" s="75">
        <v>0</v>
      </c>
      <c r="AM61" s="75">
        <v>0</v>
      </c>
      <c r="AN61" s="75">
        <v>0</v>
      </c>
      <c r="AO61" s="75">
        <v>0</v>
      </c>
      <c r="AP61" s="75">
        <v>0</v>
      </c>
      <c r="AQ61" s="75">
        <v>0</v>
      </c>
      <c r="AR61" s="75">
        <v>0</v>
      </c>
      <c r="AS61" s="75">
        <v>0</v>
      </c>
      <c r="AT61" s="72"/>
      <c r="AU61" s="72"/>
    </row>
    <row r="62" spans="1:47" ht="12.75" customHeight="1" x14ac:dyDescent="0.2">
      <c r="A62" s="77" t="s">
        <v>201</v>
      </c>
      <c r="B62" s="78">
        <v>991.74</v>
      </c>
      <c r="C62" s="79">
        <v>0</v>
      </c>
      <c r="D62" s="79">
        <v>10890.98</v>
      </c>
      <c r="E62" s="80"/>
      <c r="F62" s="81">
        <v>9.1060675898771279</v>
      </c>
      <c r="G62" s="78">
        <v>15972.59</v>
      </c>
      <c r="H62" s="79">
        <v>28247.94</v>
      </c>
      <c r="I62" s="79">
        <v>11397.89</v>
      </c>
      <c r="J62" s="79">
        <v>991.74</v>
      </c>
      <c r="K62" s="82">
        <v>-8524.51</v>
      </c>
      <c r="L62" s="79">
        <v>0</v>
      </c>
      <c r="M62" s="79">
        <v>0</v>
      </c>
      <c r="N62" s="79">
        <v>0</v>
      </c>
      <c r="O62" s="79">
        <v>0</v>
      </c>
      <c r="P62" s="79">
        <v>0</v>
      </c>
      <c r="Q62" s="79">
        <v>0</v>
      </c>
      <c r="R62" s="79">
        <v>0</v>
      </c>
      <c r="S62" s="79">
        <v>56610.16</v>
      </c>
      <c r="T62" s="79">
        <v>0</v>
      </c>
      <c r="U62" s="79">
        <v>0</v>
      </c>
      <c r="V62" s="79">
        <v>0</v>
      </c>
      <c r="W62" s="79">
        <v>0</v>
      </c>
      <c r="X62" s="79">
        <v>0</v>
      </c>
      <c r="Y62" s="79">
        <v>0</v>
      </c>
      <c r="Z62" s="79">
        <v>0</v>
      </c>
      <c r="AA62" s="79">
        <v>0</v>
      </c>
      <c r="AB62" s="79">
        <v>0</v>
      </c>
      <c r="AC62" s="79">
        <v>0</v>
      </c>
      <c r="AD62" s="79">
        <v>0</v>
      </c>
      <c r="AE62" s="79">
        <v>0</v>
      </c>
      <c r="AF62" s="79">
        <v>0</v>
      </c>
      <c r="AG62" s="83">
        <v>12578.22</v>
      </c>
      <c r="AH62" s="83">
        <v>13867.71</v>
      </c>
      <c r="AI62" s="83">
        <v>16752.990000000002</v>
      </c>
      <c r="AJ62" s="83">
        <v>10890.98</v>
      </c>
      <c r="AK62" s="83">
        <v>17131.45</v>
      </c>
      <c r="AL62" s="83">
        <v>24915.68</v>
      </c>
      <c r="AM62" s="83">
        <v>19847.32</v>
      </c>
      <c r="AN62" s="83">
        <v>17127.47</v>
      </c>
      <c r="AO62" s="83">
        <v>16831.16</v>
      </c>
      <c r="AP62" s="83">
        <v>25786.92</v>
      </c>
      <c r="AQ62" s="83">
        <v>20626.080000000002</v>
      </c>
      <c r="AR62" s="83">
        <v>10222.31</v>
      </c>
      <c r="AS62" s="83">
        <v>54089.9</v>
      </c>
      <c r="AT62" s="80"/>
      <c r="AU62" s="80">
        <v>104.65939112477561</v>
      </c>
    </row>
    <row r="63" spans="1:47" ht="12.75" customHeight="1" x14ac:dyDescent="0.2">
      <c r="A63" s="84" t="s">
        <v>8</v>
      </c>
      <c r="B63" s="85">
        <v>43734.39</v>
      </c>
      <c r="C63" s="86">
        <v>0</v>
      </c>
      <c r="D63" s="86">
        <v>28315.27</v>
      </c>
      <c r="E63" s="87"/>
      <c r="F63" s="88">
        <v>154.45514028296392</v>
      </c>
      <c r="G63" s="85">
        <v>25945.31</v>
      </c>
      <c r="H63" s="86">
        <v>7969.72</v>
      </c>
      <c r="I63" s="86">
        <v>31282.62</v>
      </c>
      <c r="J63" s="86">
        <v>43734.39</v>
      </c>
      <c r="K63" s="86">
        <v>17353.28</v>
      </c>
      <c r="L63" s="86">
        <v>0</v>
      </c>
      <c r="M63" s="86">
        <v>0</v>
      </c>
      <c r="N63" s="86">
        <v>0</v>
      </c>
      <c r="O63" s="86">
        <v>0</v>
      </c>
      <c r="P63" s="86">
        <v>0</v>
      </c>
      <c r="Q63" s="86">
        <v>0</v>
      </c>
      <c r="R63" s="86">
        <v>0</v>
      </c>
      <c r="S63" s="86">
        <v>108932.04</v>
      </c>
      <c r="T63" s="86">
        <v>0</v>
      </c>
      <c r="U63" s="86">
        <v>0</v>
      </c>
      <c r="V63" s="86">
        <v>0</v>
      </c>
      <c r="W63" s="86">
        <v>0</v>
      </c>
      <c r="X63" s="86">
        <v>0</v>
      </c>
      <c r="Y63" s="86">
        <v>0</v>
      </c>
      <c r="Z63" s="86">
        <v>0</v>
      </c>
      <c r="AA63" s="86">
        <v>0</v>
      </c>
      <c r="AB63" s="86">
        <v>0</v>
      </c>
      <c r="AC63" s="86">
        <v>0</v>
      </c>
      <c r="AD63" s="86">
        <v>0</v>
      </c>
      <c r="AE63" s="86">
        <v>0</v>
      </c>
      <c r="AF63" s="86">
        <v>0</v>
      </c>
      <c r="AG63" s="90">
        <v>31106.21</v>
      </c>
      <c r="AH63" s="90">
        <v>26637.88</v>
      </c>
      <c r="AI63" s="90">
        <v>24374.57</v>
      </c>
      <c r="AJ63" s="90">
        <v>28315.27</v>
      </c>
      <c r="AK63" s="90">
        <v>29993.78</v>
      </c>
      <c r="AL63" s="90">
        <v>32357.360000000001</v>
      </c>
      <c r="AM63" s="90">
        <v>21176.16</v>
      </c>
      <c r="AN63" s="90">
        <v>44328.95</v>
      </c>
      <c r="AO63" s="90">
        <v>22714.38</v>
      </c>
      <c r="AP63" s="90">
        <v>19170.919999999998</v>
      </c>
      <c r="AQ63" s="90">
        <v>24285.26</v>
      </c>
      <c r="AR63" s="90">
        <v>23520.32</v>
      </c>
      <c r="AS63" s="90">
        <v>110433.93</v>
      </c>
      <c r="AT63" s="87"/>
      <c r="AU63" s="87">
        <v>98.640010366379244</v>
      </c>
    </row>
    <row r="68" spans="1:47" ht="15" x14ac:dyDescent="0.25">
      <c r="A68" s="16"/>
      <c r="B68" s="16"/>
      <c r="C68" s="16"/>
      <c r="D68" s="16"/>
      <c r="S68" s="26">
        <f>+S2-SUM(S9:S16)</f>
        <v>111924.13</v>
      </c>
    </row>
    <row r="69" spans="1:47" ht="15" x14ac:dyDescent="0.25">
      <c r="A69" s="16"/>
      <c r="B69" s="16"/>
      <c r="C69" s="16"/>
      <c r="D69" s="16"/>
    </row>
    <row r="70" spans="1:47" ht="15" x14ac:dyDescent="0.25">
      <c r="A70" s="16"/>
      <c r="B70" s="16"/>
      <c r="C70" s="16"/>
      <c r="D70" s="16"/>
    </row>
    <row r="71" spans="1:47" ht="15" x14ac:dyDescent="0.25">
      <c r="A71" s="16"/>
      <c r="B71" s="16"/>
      <c r="C71" s="16"/>
      <c r="D71" s="16"/>
      <c r="AE71" s="365" t="s">
        <v>465</v>
      </c>
      <c r="AF71" s="26">
        <f>SUM(T2:AE2)</f>
        <v>0</v>
      </c>
    </row>
    <row r="72" spans="1:47" ht="15" x14ac:dyDescent="0.25">
      <c r="A72" s="16"/>
      <c r="B72" s="16"/>
      <c r="C72" s="17"/>
      <c r="D72" s="16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365"/>
      <c r="AF72" s="26">
        <f>SUM(T9:AE16)</f>
        <v>0</v>
      </c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</row>
    <row r="73" spans="1:47" ht="15" x14ac:dyDescent="0.25">
      <c r="A73" s="16"/>
      <c r="B73" s="16"/>
      <c r="C73" s="16"/>
      <c r="D73" s="16"/>
      <c r="AE73" s="365" t="s">
        <v>303</v>
      </c>
      <c r="AF73" s="26">
        <f>+AF71-AF72</f>
        <v>0</v>
      </c>
    </row>
    <row r="74" spans="1:47" ht="15" x14ac:dyDescent="0.25">
      <c r="A74" s="16"/>
      <c r="B74" s="16"/>
      <c r="C74" s="16"/>
      <c r="D74" s="16"/>
      <c r="AE74" s="365" t="s">
        <v>466</v>
      </c>
      <c r="AF74" s="482">
        <f>+SUM(T18:AE19)+SUM(T23:AE23)+SUM(T34:AE34)+SUM(T49:AE49)+SUM(T61:AE61)</f>
        <v>0</v>
      </c>
    </row>
    <row r="75" spans="1:47" ht="15" x14ac:dyDescent="0.25">
      <c r="A75" s="16"/>
      <c r="B75" s="16"/>
      <c r="C75" s="16"/>
      <c r="D75" s="16"/>
      <c r="AE75" s="365"/>
      <c r="AF75" s="365"/>
    </row>
    <row r="76" spans="1:47" ht="15" x14ac:dyDescent="0.25">
      <c r="A76" s="16"/>
      <c r="B76" s="16"/>
      <c r="C76" s="16"/>
      <c r="D76" s="16"/>
      <c r="AE76" s="365" t="s">
        <v>419</v>
      </c>
      <c r="AF76" s="18">
        <f>+AF73-AF74</f>
        <v>0</v>
      </c>
    </row>
    <row r="77" spans="1:47" x14ac:dyDescent="0.2">
      <c r="AE77" s="365"/>
      <c r="AF77" s="482">
        <f>+AF76-SUM(T63:AE63)</f>
        <v>0</v>
      </c>
    </row>
  </sheetData>
  <hyperlinks>
    <hyperlink ref="AF74" r:id="rId1" display="+@sum(T17:AE18)+@sum(T22:AE22)+@sum(T33:AE33)+@sum(T48:AE48)+@sum(T62:AE62)"/>
    <hyperlink ref="AF77" r:id="rId2" display="+AF75-@sum(T64:AE64)"/>
  </hyperlinks>
  <pageMargins left="0.75" right="0.75" top="1" bottom="1" header="0.5" footer="0.5"/>
  <pageSetup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9" tint="0.59999389629810485"/>
  </sheetPr>
  <dimension ref="A1:AU81"/>
  <sheetViews>
    <sheetView workbookViewId="0">
      <pane xSplit="1" ySplit="9" topLeftCell="B10" activePane="bottomRight" state="frozen"/>
      <selection pane="topRight" activeCell="B1" sqref="B1"/>
      <selection pane="bottomLeft" activeCell="A10" sqref="A10"/>
      <selection pane="bottomRight" sqref="A1:AU62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9.42578125" collapsed="1"/>
    <col min="46" max="47" width="10.5703125" customWidth="1"/>
  </cols>
  <sheetData>
    <row r="1" spans="1:47" ht="40.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47" s="203" customFormat="1" ht="12.75" customHeight="1" x14ac:dyDescent="0.2">
      <c r="A2" s="61" t="s">
        <v>7</v>
      </c>
      <c r="B2" s="62">
        <v>19272.419999999998</v>
      </c>
      <c r="C2" s="54">
        <v>0</v>
      </c>
      <c r="D2" s="54">
        <v>26311.58</v>
      </c>
      <c r="E2" s="63"/>
      <c r="F2" s="64">
        <v>73.246912576135685</v>
      </c>
      <c r="G2" s="65">
        <v>24115.17</v>
      </c>
      <c r="H2" s="54">
        <v>21420.55</v>
      </c>
      <c r="I2" s="54">
        <v>21919.43</v>
      </c>
      <c r="J2" s="54">
        <v>19272.419999999998</v>
      </c>
      <c r="K2" s="54">
        <v>1578.27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86727.57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17765.86</v>
      </c>
      <c r="AH2" s="67">
        <v>27029.89</v>
      </c>
      <c r="AI2" s="67">
        <v>23032.11</v>
      </c>
      <c r="AJ2" s="67">
        <v>26311.58</v>
      </c>
      <c r="AK2" s="67">
        <v>24348.86</v>
      </c>
      <c r="AL2" s="67">
        <v>32335.5</v>
      </c>
      <c r="AM2" s="67">
        <v>27670.13</v>
      </c>
      <c r="AN2" s="67">
        <v>30675.84</v>
      </c>
      <c r="AO2" s="67">
        <v>25953.13</v>
      </c>
      <c r="AP2" s="67">
        <v>17323.830000000002</v>
      </c>
      <c r="AQ2" s="67">
        <v>20193.990000000002</v>
      </c>
      <c r="AR2" s="67">
        <v>18059.77</v>
      </c>
      <c r="AS2" s="68">
        <v>94139.44</v>
      </c>
      <c r="AT2" s="63"/>
      <c r="AU2" s="63">
        <v>92.126711185025101</v>
      </c>
    </row>
    <row r="3" spans="1:47" ht="12.75" hidden="1" customHeight="1" outlineLevel="1" x14ac:dyDescent="0.2">
      <c r="A3" s="61" t="s">
        <v>160</v>
      </c>
      <c r="B3" s="62">
        <v>4045.29</v>
      </c>
      <c r="C3" s="54">
        <v>0</v>
      </c>
      <c r="D3" s="54">
        <v>12503.65</v>
      </c>
      <c r="E3" s="63"/>
      <c r="F3" s="64">
        <v>32.352872961095358</v>
      </c>
      <c r="G3" s="65">
        <v>2666.19</v>
      </c>
      <c r="H3" s="54">
        <v>4151.79</v>
      </c>
      <c r="I3" s="54">
        <v>3901.13</v>
      </c>
      <c r="J3" s="54">
        <v>4045.29</v>
      </c>
      <c r="K3" s="54">
        <v>0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14764.4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7763.68</v>
      </c>
      <c r="AH3" s="67">
        <v>8569.19</v>
      </c>
      <c r="AI3" s="67">
        <v>14411.35</v>
      </c>
      <c r="AJ3" s="67">
        <v>12503.65</v>
      </c>
      <c r="AK3" s="67">
        <v>11680.21</v>
      </c>
      <c r="AL3" s="67">
        <v>10513.31</v>
      </c>
      <c r="AM3" s="98">
        <v>-5036.47</v>
      </c>
      <c r="AN3" s="67">
        <v>6999.99</v>
      </c>
      <c r="AO3" s="98">
        <v>-5066.3900000000003</v>
      </c>
      <c r="AP3" s="67">
        <v>3222.59</v>
      </c>
      <c r="AQ3" s="67">
        <v>3555.78</v>
      </c>
      <c r="AR3" s="67">
        <v>3130.67</v>
      </c>
      <c r="AS3" s="68">
        <v>43247.87</v>
      </c>
      <c r="AT3" s="63"/>
      <c r="AU3" s="63">
        <v>34.139022337978723</v>
      </c>
    </row>
    <row r="4" spans="1:47" ht="12.75" hidden="1" customHeight="1" outlineLevel="1" x14ac:dyDescent="0.2">
      <c r="A4" s="61" t="s">
        <v>161</v>
      </c>
      <c r="B4" s="62">
        <v>346.85</v>
      </c>
      <c r="C4" s="54">
        <v>0</v>
      </c>
      <c r="D4" s="54">
        <v>651.49</v>
      </c>
      <c r="E4" s="63"/>
      <c r="F4" s="64">
        <v>53.239497152680777</v>
      </c>
      <c r="G4" s="65">
        <v>173.67</v>
      </c>
      <c r="H4" s="54">
        <v>30.6</v>
      </c>
      <c r="I4" s="54">
        <v>431.49</v>
      </c>
      <c r="J4" s="54">
        <v>346.85</v>
      </c>
      <c r="K4" s="56">
        <v>-182.03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982.61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422.07</v>
      </c>
      <c r="AH4" s="67">
        <v>469.65</v>
      </c>
      <c r="AI4" s="67">
        <v>830.97</v>
      </c>
      <c r="AJ4" s="67">
        <v>651.49</v>
      </c>
      <c r="AK4" s="67">
        <v>606.29</v>
      </c>
      <c r="AL4" s="67">
        <v>564.49</v>
      </c>
      <c r="AM4" s="67">
        <v>500.68</v>
      </c>
      <c r="AN4" s="67">
        <v>384.09</v>
      </c>
      <c r="AO4" s="98">
        <v>-32.74</v>
      </c>
      <c r="AP4" s="67">
        <v>346.76</v>
      </c>
      <c r="AQ4" s="67">
        <v>350.32</v>
      </c>
      <c r="AR4" s="67">
        <v>341.58</v>
      </c>
      <c r="AS4" s="68">
        <v>2374.1799999999998</v>
      </c>
      <c r="AT4" s="63"/>
      <c r="AU4" s="63">
        <v>41.387342156028609</v>
      </c>
    </row>
    <row r="5" spans="1:47" ht="12.75" hidden="1" customHeight="1" outlineLevel="1" x14ac:dyDescent="0.2">
      <c r="A5" s="61" t="s">
        <v>162</v>
      </c>
      <c r="B5" s="62">
        <v>139.44</v>
      </c>
      <c r="C5" s="54">
        <v>0</v>
      </c>
      <c r="D5" s="54">
        <v>251.63</v>
      </c>
      <c r="E5" s="63"/>
      <c r="F5" s="64">
        <v>55.414696180900528</v>
      </c>
      <c r="G5" s="65">
        <v>790.51</v>
      </c>
      <c r="H5" s="54">
        <v>213.29</v>
      </c>
      <c r="I5" s="54">
        <v>191.65</v>
      </c>
      <c r="J5" s="54">
        <v>139.44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1334.89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139.35</v>
      </c>
      <c r="AH5" s="67">
        <v>488.3</v>
      </c>
      <c r="AI5" s="98">
        <v>-339.64</v>
      </c>
      <c r="AJ5" s="67">
        <v>251.63</v>
      </c>
      <c r="AK5" s="67">
        <v>998.32</v>
      </c>
      <c r="AL5" s="67">
        <v>1376.93</v>
      </c>
      <c r="AM5" s="98">
        <v>-587.9</v>
      </c>
      <c r="AN5" s="67">
        <v>533.22</v>
      </c>
      <c r="AO5" s="67">
        <v>6967.14</v>
      </c>
      <c r="AP5" s="67">
        <v>426.1</v>
      </c>
      <c r="AQ5" s="67">
        <v>437.61</v>
      </c>
      <c r="AR5" s="67">
        <v>315.95999999999998</v>
      </c>
      <c r="AS5" s="68">
        <v>539.64</v>
      </c>
      <c r="AT5" s="63"/>
      <c r="AU5" s="63">
        <v>247.36676302720332</v>
      </c>
    </row>
    <row r="6" spans="1:47" ht="12.75" hidden="1" customHeight="1" outlineLevel="1" x14ac:dyDescent="0.2">
      <c r="A6" s="61" t="s">
        <v>163</v>
      </c>
      <c r="B6" s="62"/>
      <c r="C6" s="54">
        <v>0</v>
      </c>
      <c r="D6" s="54"/>
      <c r="E6" s="63"/>
      <c r="F6" s="64"/>
      <c r="G6" s="65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66"/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8"/>
      <c r="AT6" s="63"/>
      <c r="AU6" s="63"/>
    </row>
    <row r="7" spans="1:47" ht="12.75" hidden="1" customHeight="1" outlineLevel="1" x14ac:dyDescent="0.2">
      <c r="A7" s="61" t="s">
        <v>164</v>
      </c>
      <c r="B7" s="62">
        <v>233</v>
      </c>
      <c r="C7" s="54">
        <v>0</v>
      </c>
      <c r="D7" s="54">
        <v>99</v>
      </c>
      <c r="E7" s="63"/>
      <c r="F7" s="64">
        <v>235.35353535353536</v>
      </c>
      <c r="G7" s="65">
        <v>142.08000000000001</v>
      </c>
      <c r="H7" s="54">
        <v>233</v>
      </c>
      <c r="I7" s="54">
        <v>233</v>
      </c>
      <c r="J7" s="54">
        <v>233</v>
      </c>
      <c r="K7" s="56">
        <v>-188.85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841.08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111.78</v>
      </c>
      <c r="AH7" s="67">
        <v>111.78</v>
      </c>
      <c r="AI7" s="67">
        <v>73.44</v>
      </c>
      <c r="AJ7" s="67">
        <v>99</v>
      </c>
      <c r="AK7" s="67">
        <v>99</v>
      </c>
      <c r="AL7" s="67">
        <v>99</v>
      </c>
      <c r="AM7" s="67">
        <v>99</v>
      </c>
      <c r="AN7" s="67">
        <v>99</v>
      </c>
      <c r="AO7" s="67">
        <v>99</v>
      </c>
      <c r="AP7" s="67">
        <v>204.44</v>
      </c>
      <c r="AQ7" s="67">
        <v>204.44</v>
      </c>
      <c r="AR7" s="67">
        <v>204.44</v>
      </c>
      <c r="AS7" s="68">
        <v>396</v>
      </c>
      <c r="AT7" s="63"/>
      <c r="AU7" s="63">
        <v>212.39393939393941</v>
      </c>
    </row>
    <row r="8" spans="1:47" ht="12.75" hidden="1" customHeight="1" outlineLevel="1" x14ac:dyDescent="0.2">
      <c r="A8" s="61" t="s">
        <v>165</v>
      </c>
      <c r="B8" s="62">
        <v>384.04</v>
      </c>
      <c r="C8" s="54">
        <v>0</v>
      </c>
      <c r="D8" s="54">
        <v>967.73</v>
      </c>
      <c r="E8" s="63"/>
      <c r="F8" s="64">
        <v>39.684622777014248</v>
      </c>
      <c r="G8" s="65">
        <v>324.52999999999997</v>
      </c>
      <c r="H8" s="54">
        <v>423.25</v>
      </c>
      <c r="I8" s="54">
        <v>386.93</v>
      </c>
      <c r="J8" s="54">
        <v>384.04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66">
        <v>1518.75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66">
        <v>0</v>
      </c>
      <c r="AG8" s="67">
        <v>662.14</v>
      </c>
      <c r="AH8" s="67">
        <v>688.14</v>
      </c>
      <c r="AI8" s="67">
        <v>1230.94</v>
      </c>
      <c r="AJ8" s="67">
        <v>967.73</v>
      </c>
      <c r="AK8" s="67">
        <v>1081.58</v>
      </c>
      <c r="AL8" s="67">
        <v>1199.3399999999999</v>
      </c>
      <c r="AM8" s="98">
        <v>-753.64</v>
      </c>
      <c r="AN8" s="67">
        <v>712.64</v>
      </c>
      <c r="AO8" s="67">
        <v>277.58</v>
      </c>
      <c r="AP8" s="67">
        <v>325.29000000000002</v>
      </c>
      <c r="AQ8" s="67">
        <v>348.44</v>
      </c>
      <c r="AR8" s="67">
        <v>294.62</v>
      </c>
      <c r="AS8" s="68">
        <v>3548.95</v>
      </c>
      <c r="AT8" s="63"/>
      <c r="AU8" s="63">
        <v>42.794347623945107</v>
      </c>
    </row>
    <row r="9" spans="1:47" ht="12.75" customHeight="1" collapsed="1" x14ac:dyDescent="0.2">
      <c r="A9" s="69" t="s">
        <v>166</v>
      </c>
      <c r="B9" s="70">
        <v>5148.62</v>
      </c>
      <c r="C9" s="71">
        <v>0</v>
      </c>
      <c r="D9" s="71">
        <v>14473.5</v>
      </c>
      <c r="E9" s="72"/>
      <c r="F9" s="73">
        <v>35.572736380281206</v>
      </c>
      <c r="G9" s="70">
        <v>4096.9799999999996</v>
      </c>
      <c r="H9" s="71">
        <v>5051.93</v>
      </c>
      <c r="I9" s="71">
        <v>5144.2</v>
      </c>
      <c r="J9" s="71">
        <v>5148.62</v>
      </c>
      <c r="K9" s="74">
        <v>-370.88</v>
      </c>
      <c r="L9" s="71">
        <v>0</v>
      </c>
      <c r="M9" s="71">
        <v>0</v>
      </c>
      <c r="N9" s="71">
        <v>0</v>
      </c>
      <c r="O9" s="71">
        <v>0</v>
      </c>
      <c r="P9" s="71">
        <v>0</v>
      </c>
      <c r="Q9" s="71">
        <v>0</v>
      </c>
      <c r="R9" s="71">
        <v>0</v>
      </c>
      <c r="S9" s="71">
        <v>19441.73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0</v>
      </c>
      <c r="AA9" s="71">
        <v>0</v>
      </c>
      <c r="AB9" s="71">
        <v>0</v>
      </c>
      <c r="AC9" s="71">
        <v>0</v>
      </c>
      <c r="AD9" s="71">
        <v>0</v>
      </c>
      <c r="AE9" s="71">
        <v>0</v>
      </c>
      <c r="AF9" s="71">
        <v>0</v>
      </c>
      <c r="AG9" s="75">
        <v>9099.02</v>
      </c>
      <c r="AH9" s="75">
        <v>10327.06</v>
      </c>
      <c r="AI9" s="75">
        <v>16207.06</v>
      </c>
      <c r="AJ9" s="75">
        <v>14473.5</v>
      </c>
      <c r="AK9" s="75">
        <v>14465.4</v>
      </c>
      <c r="AL9" s="75">
        <v>13753.07</v>
      </c>
      <c r="AM9" s="134">
        <v>-5778.33</v>
      </c>
      <c r="AN9" s="75">
        <v>8728.94</v>
      </c>
      <c r="AO9" s="75">
        <v>2244.59</v>
      </c>
      <c r="AP9" s="75">
        <v>4525.18</v>
      </c>
      <c r="AQ9" s="75">
        <v>4896.59</v>
      </c>
      <c r="AR9" s="75">
        <v>4287.2700000000004</v>
      </c>
      <c r="AS9" s="75">
        <v>50106.64</v>
      </c>
      <c r="AT9" s="72"/>
      <c r="AU9" s="72">
        <v>38.800705854553406</v>
      </c>
    </row>
    <row r="10" spans="1:47" ht="12.75" customHeight="1" x14ac:dyDescent="0.2">
      <c r="A10" s="61" t="s">
        <v>167</v>
      </c>
      <c r="B10" s="62">
        <v>63</v>
      </c>
      <c r="C10" s="54">
        <v>0</v>
      </c>
      <c r="D10" s="54">
        <v>182.66</v>
      </c>
      <c r="E10" s="63"/>
      <c r="F10" s="64">
        <v>34.490309865323553</v>
      </c>
      <c r="G10" s="65">
        <v>336.91</v>
      </c>
      <c r="H10" s="54">
        <v>666.57</v>
      </c>
      <c r="I10" s="54">
        <v>0</v>
      </c>
      <c r="J10" s="54">
        <v>63</v>
      </c>
      <c r="K10" s="54">
        <v>0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66">
        <v>1066.48</v>
      </c>
      <c r="T10" s="54">
        <v>0</v>
      </c>
      <c r="U10" s="54">
        <v>0</v>
      </c>
      <c r="V10" s="54">
        <v>0</v>
      </c>
      <c r="W10" s="54">
        <v>0</v>
      </c>
      <c r="X10" s="54">
        <v>0</v>
      </c>
      <c r="Y10" s="54">
        <v>0</v>
      </c>
      <c r="Z10" s="54">
        <v>0</v>
      </c>
      <c r="AA10" s="54">
        <v>0</v>
      </c>
      <c r="AB10" s="54">
        <v>0</v>
      </c>
      <c r="AC10" s="54">
        <v>0</v>
      </c>
      <c r="AD10" s="54">
        <v>0</v>
      </c>
      <c r="AE10" s="54">
        <v>0</v>
      </c>
      <c r="AF10" s="66">
        <v>0</v>
      </c>
      <c r="AG10" s="67">
        <v>223.43</v>
      </c>
      <c r="AH10" s="67">
        <v>0</v>
      </c>
      <c r="AI10" s="67">
        <v>414</v>
      </c>
      <c r="AJ10" s="67">
        <v>182.66</v>
      </c>
      <c r="AK10" s="67">
        <v>182.66</v>
      </c>
      <c r="AL10" s="67">
        <v>773.55</v>
      </c>
      <c r="AM10" s="67">
        <v>390.8</v>
      </c>
      <c r="AN10" s="98">
        <v>-361.8</v>
      </c>
      <c r="AO10" s="98">
        <v>-29</v>
      </c>
      <c r="AP10" s="67">
        <v>690</v>
      </c>
      <c r="AQ10" s="67">
        <v>127.95</v>
      </c>
      <c r="AR10" s="67">
        <v>0</v>
      </c>
      <c r="AS10" s="68">
        <v>820.09</v>
      </c>
      <c r="AT10" s="63"/>
      <c r="AU10" s="63">
        <v>130.04426343450109</v>
      </c>
    </row>
    <row r="11" spans="1:47" ht="12.75" customHeight="1" x14ac:dyDescent="0.2">
      <c r="A11" s="61" t="s">
        <v>168</v>
      </c>
      <c r="B11" s="62">
        <v>0</v>
      </c>
      <c r="C11" s="54">
        <v>0</v>
      </c>
      <c r="D11" s="54">
        <v>0</v>
      </c>
      <c r="E11" s="63"/>
      <c r="F11" s="64"/>
      <c r="G11" s="65">
        <v>0</v>
      </c>
      <c r="H11" s="54">
        <v>14501</v>
      </c>
      <c r="I11" s="54">
        <v>0</v>
      </c>
      <c r="J11" s="54">
        <v>0</v>
      </c>
      <c r="K11" s="54">
        <v>0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66">
        <v>14501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0</v>
      </c>
      <c r="AC11" s="54">
        <v>0</v>
      </c>
      <c r="AD11" s="54">
        <v>0</v>
      </c>
      <c r="AE11" s="54">
        <v>0</v>
      </c>
      <c r="AF11" s="66">
        <v>0</v>
      </c>
      <c r="AG11" s="67">
        <v>0</v>
      </c>
      <c r="AH11" s="67">
        <v>4767</v>
      </c>
      <c r="AI11" s="67">
        <v>0</v>
      </c>
      <c r="AJ11" s="67">
        <v>0</v>
      </c>
      <c r="AK11" s="67">
        <v>7863</v>
      </c>
      <c r="AL11" s="67">
        <v>2817</v>
      </c>
      <c r="AM11" s="98">
        <v>-2817</v>
      </c>
      <c r="AN11" s="67">
        <v>5937</v>
      </c>
      <c r="AO11" s="67">
        <v>2415</v>
      </c>
      <c r="AP11" s="67">
        <v>5937</v>
      </c>
      <c r="AQ11" s="67">
        <v>7107</v>
      </c>
      <c r="AR11" s="67">
        <v>0</v>
      </c>
      <c r="AS11" s="68">
        <v>4767</v>
      </c>
      <c r="AT11" s="63"/>
      <c r="AU11" s="63">
        <v>304.1955108034403</v>
      </c>
    </row>
    <row r="12" spans="1:47" ht="12.75" customHeight="1" x14ac:dyDescent="0.2">
      <c r="A12" s="61" t="s">
        <v>169</v>
      </c>
      <c r="B12" s="62">
        <v>0</v>
      </c>
      <c r="C12" s="54">
        <v>0</v>
      </c>
      <c r="D12" s="54">
        <v>0</v>
      </c>
      <c r="E12" s="63"/>
      <c r="F12" s="64"/>
      <c r="G12" s="65">
        <v>0</v>
      </c>
      <c r="H12" s="54">
        <v>0</v>
      </c>
      <c r="I12" s="54">
        <v>0</v>
      </c>
      <c r="J12" s="54">
        <v>0</v>
      </c>
      <c r="K12" s="54">
        <v>0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66">
        <v>0</v>
      </c>
      <c r="T12" s="54">
        <v>0</v>
      </c>
      <c r="U12" s="54">
        <v>0</v>
      </c>
      <c r="V12" s="54">
        <v>0</v>
      </c>
      <c r="W12" s="54">
        <v>0</v>
      </c>
      <c r="X12" s="54">
        <v>0</v>
      </c>
      <c r="Y12" s="54">
        <v>0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66">
        <v>0</v>
      </c>
      <c r="AG12" s="67">
        <v>0</v>
      </c>
      <c r="AH12" s="67">
        <v>0</v>
      </c>
      <c r="AI12" s="67">
        <v>0</v>
      </c>
      <c r="AJ12" s="67">
        <v>0</v>
      </c>
      <c r="AK12" s="67">
        <v>0</v>
      </c>
      <c r="AL12" s="67">
        <v>0</v>
      </c>
      <c r="AM12" s="67">
        <v>0</v>
      </c>
      <c r="AN12" s="67">
        <v>0</v>
      </c>
      <c r="AO12" s="67">
        <v>0</v>
      </c>
      <c r="AP12" s="67">
        <v>0</v>
      </c>
      <c r="AQ12" s="67">
        <v>0</v>
      </c>
      <c r="AR12" s="67">
        <v>0</v>
      </c>
      <c r="AS12" s="68">
        <v>0</v>
      </c>
      <c r="AT12" s="63"/>
      <c r="AU12" s="63"/>
    </row>
    <row r="13" spans="1:47" ht="12.75" customHeight="1" x14ac:dyDescent="0.2">
      <c r="A13" s="61" t="s">
        <v>50</v>
      </c>
      <c r="B13" s="62">
        <v>0</v>
      </c>
      <c r="C13" s="54">
        <v>0</v>
      </c>
      <c r="D13" s="54">
        <v>59.4</v>
      </c>
      <c r="E13" s="63"/>
      <c r="F13" s="64">
        <v>0</v>
      </c>
      <c r="G13" s="65">
        <v>64.91</v>
      </c>
      <c r="H13" s="54">
        <v>0</v>
      </c>
      <c r="I13" s="54">
        <v>0</v>
      </c>
      <c r="J13" s="54">
        <v>0</v>
      </c>
      <c r="K13" s="54">
        <v>0</v>
      </c>
      <c r="L13" s="54">
        <v>0</v>
      </c>
      <c r="M13" s="54">
        <v>0</v>
      </c>
      <c r="N13" s="54">
        <v>0</v>
      </c>
      <c r="O13" s="54">
        <v>0</v>
      </c>
      <c r="P13" s="54">
        <v>0</v>
      </c>
      <c r="Q13" s="54">
        <v>0</v>
      </c>
      <c r="R13" s="54">
        <v>0</v>
      </c>
      <c r="S13" s="66">
        <v>64.91</v>
      </c>
      <c r="T13" s="54">
        <v>0</v>
      </c>
      <c r="U13" s="54">
        <v>0</v>
      </c>
      <c r="V13" s="54">
        <v>0</v>
      </c>
      <c r="W13" s="54">
        <v>0</v>
      </c>
      <c r="X13" s="54">
        <v>0</v>
      </c>
      <c r="Y13" s="54">
        <v>0</v>
      </c>
      <c r="Z13" s="54">
        <v>0</v>
      </c>
      <c r="AA13" s="54">
        <v>0</v>
      </c>
      <c r="AB13" s="54">
        <v>0</v>
      </c>
      <c r="AC13" s="54">
        <v>0</v>
      </c>
      <c r="AD13" s="54">
        <v>0</v>
      </c>
      <c r="AE13" s="54">
        <v>0</v>
      </c>
      <c r="AF13" s="66">
        <v>0</v>
      </c>
      <c r="AG13" s="67">
        <v>51.09</v>
      </c>
      <c r="AH13" s="67">
        <v>0</v>
      </c>
      <c r="AI13" s="98">
        <v>-51.09</v>
      </c>
      <c r="AJ13" s="67">
        <v>59.4</v>
      </c>
      <c r="AK13" s="67">
        <v>167.63</v>
      </c>
      <c r="AL13" s="67">
        <v>0</v>
      </c>
      <c r="AM13" s="67">
        <v>312.73</v>
      </c>
      <c r="AN13" s="67">
        <v>57.5</v>
      </c>
      <c r="AO13" s="67">
        <v>469.83</v>
      </c>
      <c r="AP13" s="67">
        <v>0</v>
      </c>
      <c r="AQ13" s="67">
        <v>0</v>
      </c>
      <c r="AR13" s="67">
        <v>0</v>
      </c>
      <c r="AS13" s="68">
        <v>59.4</v>
      </c>
      <c r="AT13" s="63"/>
      <c r="AU13" s="63">
        <v>109.27609427609427</v>
      </c>
    </row>
    <row r="14" spans="1:47" ht="12.75" customHeight="1" x14ac:dyDescent="0.2">
      <c r="A14" s="61" t="s">
        <v>170</v>
      </c>
      <c r="B14" s="62">
        <v>0</v>
      </c>
      <c r="C14" s="54">
        <v>0</v>
      </c>
      <c r="D14" s="54">
        <v>0</v>
      </c>
      <c r="E14" s="63"/>
      <c r="F14" s="64"/>
      <c r="G14" s="65">
        <v>0</v>
      </c>
      <c r="H14" s="54">
        <v>0</v>
      </c>
      <c r="I14" s="54">
        <v>0</v>
      </c>
      <c r="J14" s="54">
        <v>0</v>
      </c>
      <c r="K14" s="54">
        <v>0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0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67">
        <v>0</v>
      </c>
      <c r="AH14" s="67">
        <v>0</v>
      </c>
      <c r="AI14" s="67">
        <v>0</v>
      </c>
      <c r="AJ14" s="67">
        <v>0</v>
      </c>
      <c r="AK14" s="67">
        <v>0</v>
      </c>
      <c r="AL14" s="67">
        <v>0</v>
      </c>
      <c r="AM14" s="67">
        <v>0</v>
      </c>
      <c r="AN14" s="67">
        <v>0</v>
      </c>
      <c r="AO14" s="67">
        <v>0</v>
      </c>
      <c r="AP14" s="67">
        <v>0</v>
      </c>
      <c r="AQ14" s="67">
        <v>0</v>
      </c>
      <c r="AR14" s="67">
        <v>0</v>
      </c>
      <c r="AS14" s="68">
        <v>0</v>
      </c>
      <c r="AT14" s="63"/>
      <c r="AU14" s="63"/>
    </row>
    <row r="15" spans="1:47" ht="12.75" customHeight="1" x14ac:dyDescent="0.2">
      <c r="A15" s="61" t="s">
        <v>171</v>
      </c>
      <c r="B15" s="62">
        <v>6502.09</v>
      </c>
      <c r="C15" s="54">
        <v>0</v>
      </c>
      <c r="D15" s="54">
        <v>6074</v>
      </c>
      <c r="E15" s="63"/>
      <c r="F15" s="64">
        <v>107.04790912084293</v>
      </c>
      <c r="G15" s="65">
        <v>4677.54</v>
      </c>
      <c r="H15" s="54">
        <v>4143.54</v>
      </c>
      <c r="I15" s="54">
        <v>5661.54</v>
      </c>
      <c r="J15" s="54">
        <v>6502.09</v>
      </c>
      <c r="K15" s="54">
        <v>0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66">
        <v>20984.71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66">
        <v>0</v>
      </c>
      <c r="AG15" s="67">
        <v>1692</v>
      </c>
      <c r="AH15" s="67">
        <v>5244</v>
      </c>
      <c r="AI15" s="67">
        <v>3496</v>
      </c>
      <c r="AJ15" s="67">
        <v>6074</v>
      </c>
      <c r="AK15" s="67">
        <v>3990</v>
      </c>
      <c r="AL15" s="67">
        <v>0</v>
      </c>
      <c r="AM15" s="67">
        <v>3403.54</v>
      </c>
      <c r="AN15" s="67">
        <v>9203.4599999999991</v>
      </c>
      <c r="AO15" s="67">
        <v>1442.18</v>
      </c>
      <c r="AP15" s="67">
        <v>0</v>
      </c>
      <c r="AQ15" s="67">
        <v>5661.54</v>
      </c>
      <c r="AR15" s="67">
        <v>2243.1799999999998</v>
      </c>
      <c r="AS15" s="68">
        <v>16506</v>
      </c>
      <c r="AT15" s="63"/>
      <c r="AU15" s="63">
        <v>127.13383012237973</v>
      </c>
    </row>
    <row r="16" spans="1:47" ht="12.75" customHeight="1" x14ac:dyDescent="0.2">
      <c r="A16" s="61" t="s">
        <v>172</v>
      </c>
      <c r="B16" s="62"/>
      <c r="C16" s="54">
        <v>0</v>
      </c>
      <c r="D16" s="54"/>
      <c r="E16" s="63"/>
      <c r="F16" s="64"/>
      <c r="G16" s="65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66"/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8"/>
      <c r="AT16" s="63"/>
      <c r="AU16" s="63"/>
    </row>
    <row r="17" spans="1:47" ht="12.75" customHeight="1" x14ac:dyDescent="0.2">
      <c r="A17" s="61" t="s">
        <v>173</v>
      </c>
      <c r="B17" s="62">
        <v>4055.51</v>
      </c>
      <c r="C17" s="54">
        <v>0</v>
      </c>
      <c r="D17" s="54">
        <v>4112.71</v>
      </c>
      <c r="E17" s="63"/>
      <c r="F17" s="64">
        <v>98.609189561140951</v>
      </c>
      <c r="G17" s="65">
        <v>4062.96</v>
      </c>
      <c r="H17" s="54">
        <v>4062.96</v>
      </c>
      <c r="I17" s="54">
        <v>4062.95</v>
      </c>
      <c r="J17" s="54">
        <v>4055.51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16244.38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4628.5600000000004</v>
      </c>
      <c r="AH17" s="67">
        <v>4628.58</v>
      </c>
      <c r="AI17" s="67">
        <v>3080.94</v>
      </c>
      <c r="AJ17" s="67">
        <v>4112.71</v>
      </c>
      <c r="AK17" s="67">
        <v>4112.72</v>
      </c>
      <c r="AL17" s="67">
        <v>4080.28</v>
      </c>
      <c r="AM17" s="67">
        <v>4080.28</v>
      </c>
      <c r="AN17" s="67">
        <v>4080.31</v>
      </c>
      <c r="AO17" s="67">
        <v>4080.27</v>
      </c>
      <c r="AP17" s="67">
        <v>4080.3</v>
      </c>
      <c r="AQ17" s="67">
        <v>4080.31</v>
      </c>
      <c r="AR17" s="67">
        <v>4080.28</v>
      </c>
      <c r="AS17" s="68">
        <v>16450.79</v>
      </c>
      <c r="AT17" s="63"/>
      <c r="AU17" s="63">
        <v>98.745288220200976</v>
      </c>
    </row>
    <row r="18" spans="1:47" ht="12.75" customHeight="1" x14ac:dyDescent="0.2">
      <c r="A18" s="61" t="s">
        <v>257</v>
      </c>
      <c r="B18" s="62">
        <v>666.92</v>
      </c>
      <c r="C18" s="54">
        <v>0</v>
      </c>
      <c r="D18" s="54">
        <v>625.45000000000005</v>
      </c>
      <c r="E18" s="63"/>
      <c r="F18" s="64">
        <v>106.63042609321289</v>
      </c>
      <c r="G18" s="65">
        <v>676.64</v>
      </c>
      <c r="H18" s="54">
        <v>676.64</v>
      </c>
      <c r="I18" s="54">
        <v>676.24</v>
      </c>
      <c r="J18" s="54">
        <v>666.92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2696.44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2738.42</v>
      </c>
      <c r="AH18" s="67">
        <v>2738.42</v>
      </c>
      <c r="AI18" s="98">
        <v>-2489.94</v>
      </c>
      <c r="AJ18" s="67">
        <v>625.45000000000005</v>
      </c>
      <c r="AK18" s="67">
        <v>650.86</v>
      </c>
      <c r="AL18" s="67">
        <v>650.03</v>
      </c>
      <c r="AM18" s="67">
        <v>650.02</v>
      </c>
      <c r="AN18" s="67">
        <v>648.65</v>
      </c>
      <c r="AO18" s="67">
        <v>649.53</v>
      </c>
      <c r="AP18" s="67">
        <v>665.82</v>
      </c>
      <c r="AQ18" s="67">
        <v>657.66</v>
      </c>
      <c r="AR18" s="67">
        <v>694.36</v>
      </c>
      <c r="AS18" s="68">
        <v>3612.35</v>
      </c>
      <c r="AT18" s="63"/>
      <c r="AU18" s="63">
        <v>74.645037164172905</v>
      </c>
    </row>
    <row r="19" spans="1:47" ht="12.75" hidden="1" customHeight="1" outlineLevel="1" x14ac:dyDescent="0.2">
      <c r="A19" s="61" t="s">
        <v>109</v>
      </c>
      <c r="B19" s="62">
        <v>0</v>
      </c>
      <c r="C19" s="54">
        <v>0</v>
      </c>
      <c r="D19" s="54">
        <v>0</v>
      </c>
      <c r="E19" s="63"/>
      <c r="F19" s="64"/>
      <c r="G19" s="65">
        <v>0</v>
      </c>
      <c r="H19" s="54">
        <v>0</v>
      </c>
      <c r="I19" s="54">
        <v>0</v>
      </c>
      <c r="J19" s="54">
        <v>0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0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0</v>
      </c>
      <c r="AH19" s="67">
        <v>0</v>
      </c>
      <c r="AI19" s="67">
        <v>0</v>
      </c>
      <c r="AJ19" s="67">
        <v>0</v>
      </c>
      <c r="AK19" s="67">
        <v>0</v>
      </c>
      <c r="AL19" s="67">
        <v>0</v>
      </c>
      <c r="AM19" s="67">
        <v>0</v>
      </c>
      <c r="AN19" s="67">
        <v>0</v>
      </c>
      <c r="AO19" s="67">
        <v>0</v>
      </c>
      <c r="AP19" s="67">
        <v>0</v>
      </c>
      <c r="AQ19" s="67">
        <v>0</v>
      </c>
      <c r="AR19" s="67">
        <v>0</v>
      </c>
      <c r="AS19" s="68">
        <v>0</v>
      </c>
      <c r="AT19" s="63"/>
      <c r="AU19" s="63"/>
    </row>
    <row r="20" spans="1:47" ht="12.75" hidden="1" customHeight="1" outlineLevel="1" x14ac:dyDescent="0.2">
      <c r="A20" s="61" t="s">
        <v>97</v>
      </c>
      <c r="B20" s="62"/>
      <c r="C20" s="54"/>
      <c r="D20" s="54"/>
      <c r="E20" s="63"/>
      <c r="F20" s="64"/>
      <c r="G20" s="65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66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66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8"/>
      <c r="AT20" s="63"/>
      <c r="AU20" s="63"/>
    </row>
    <row r="21" spans="1:47" ht="12.75" hidden="1" customHeight="1" outlineLevel="1" x14ac:dyDescent="0.2">
      <c r="A21" s="61" t="s">
        <v>69</v>
      </c>
      <c r="B21" s="62">
        <v>3800</v>
      </c>
      <c r="C21" s="54">
        <v>0</v>
      </c>
      <c r="D21" s="54">
        <v>0</v>
      </c>
      <c r="E21" s="63"/>
      <c r="F21" s="64"/>
      <c r="G21" s="65">
        <v>3800</v>
      </c>
      <c r="H21" s="54">
        <v>3800</v>
      </c>
      <c r="I21" s="54">
        <v>3800</v>
      </c>
      <c r="J21" s="54">
        <v>3800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66">
        <v>15200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4">
        <v>0</v>
      </c>
      <c r="AB21" s="54">
        <v>0</v>
      </c>
      <c r="AC21" s="54">
        <v>0</v>
      </c>
      <c r="AD21" s="54">
        <v>0</v>
      </c>
      <c r="AE21" s="54">
        <v>0</v>
      </c>
      <c r="AF21" s="66">
        <v>0</v>
      </c>
      <c r="AG21" s="67">
        <v>2758.34</v>
      </c>
      <c r="AH21" s="67">
        <v>2758.34</v>
      </c>
      <c r="AI21" s="67">
        <v>2758.34</v>
      </c>
      <c r="AJ21" s="67">
        <v>0</v>
      </c>
      <c r="AK21" s="67">
        <v>0</v>
      </c>
      <c r="AL21" s="67">
        <v>0</v>
      </c>
      <c r="AM21" s="67">
        <v>0</v>
      </c>
      <c r="AN21" s="67">
        <v>0</v>
      </c>
      <c r="AO21" s="67">
        <v>0</v>
      </c>
      <c r="AP21" s="67">
        <v>0</v>
      </c>
      <c r="AQ21" s="67">
        <v>0</v>
      </c>
      <c r="AR21" s="67">
        <v>3800</v>
      </c>
      <c r="AS21" s="68">
        <v>8275.02</v>
      </c>
      <c r="AT21" s="63"/>
      <c r="AU21" s="63">
        <v>183.68535665170597</v>
      </c>
    </row>
    <row r="22" spans="1:47" ht="12.75" customHeight="1" collapsed="1" x14ac:dyDescent="0.2">
      <c r="A22" s="69" t="s">
        <v>70</v>
      </c>
      <c r="B22" s="70">
        <v>3800</v>
      </c>
      <c r="C22" s="71">
        <v>0</v>
      </c>
      <c r="D22" s="71">
        <v>0</v>
      </c>
      <c r="E22" s="72"/>
      <c r="F22" s="73"/>
      <c r="G22" s="70">
        <v>3800</v>
      </c>
      <c r="H22" s="71">
        <v>3800</v>
      </c>
      <c r="I22" s="71">
        <v>3800</v>
      </c>
      <c r="J22" s="71">
        <v>3800</v>
      </c>
      <c r="K22" s="71">
        <v>0</v>
      </c>
      <c r="L22" s="71">
        <v>0</v>
      </c>
      <c r="M22" s="71">
        <v>0</v>
      </c>
      <c r="N22" s="71">
        <v>0</v>
      </c>
      <c r="O22" s="71">
        <v>0</v>
      </c>
      <c r="P22" s="71">
        <v>0</v>
      </c>
      <c r="Q22" s="71">
        <v>0</v>
      </c>
      <c r="R22" s="71">
        <v>0</v>
      </c>
      <c r="S22" s="71">
        <v>15200</v>
      </c>
      <c r="T22" s="71">
        <v>0</v>
      </c>
      <c r="U22" s="71">
        <v>0</v>
      </c>
      <c r="V22" s="71">
        <v>0</v>
      </c>
      <c r="W22" s="71">
        <v>0</v>
      </c>
      <c r="X22" s="71">
        <v>0</v>
      </c>
      <c r="Y22" s="71">
        <v>0</v>
      </c>
      <c r="Z22" s="71">
        <v>0</v>
      </c>
      <c r="AA22" s="71">
        <v>0</v>
      </c>
      <c r="AB22" s="71">
        <v>0</v>
      </c>
      <c r="AC22" s="71">
        <v>0</v>
      </c>
      <c r="AD22" s="71">
        <v>0</v>
      </c>
      <c r="AE22" s="71">
        <v>0</v>
      </c>
      <c r="AF22" s="71">
        <v>0</v>
      </c>
      <c r="AG22" s="75">
        <v>2758.34</v>
      </c>
      <c r="AH22" s="75">
        <v>2758.34</v>
      </c>
      <c r="AI22" s="75">
        <v>2758.34</v>
      </c>
      <c r="AJ22" s="75">
        <v>0</v>
      </c>
      <c r="AK22" s="75">
        <v>0</v>
      </c>
      <c r="AL22" s="75">
        <v>0</v>
      </c>
      <c r="AM22" s="75">
        <v>0</v>
      </c>
      <c r="AN22" s="75">
        <v>0</v>
      </c>
      <c r="AO22" s="75">
        <v>0</v>
      </c>
      <c r="AP22" s="75">
        <v>0</v>
      </c>
      <c r="AQ22" s="75">
        <v>0</v>
      </c>
      <c r="AR22" s="75">
        <v>3800</v>
      </c>
      <c r="AS22" s="75">
        <v>8275.02</v>
      </c>
      <c r="AT22" s="72"/>
      <c r="AU22" s="72">
        <v>183.68535665170597</v>
      </c>
    </row>
    <row r="23" spans="1:47" ht="12.75" hidden="1" customHeight="1" outlineLevel="1" x14ac:dyDescent="0.2">
      <c r="A23" s="61" t="s">
        <v>174</v>
      </c>
      <c r="B23" s="62">
        <v>0</v>
      </c>
      <c r="C23" s="54">
        <v>0</v>
      </c>
      <c r="D23" s="54">
        <v>0</v>
      </c>
      <c r="E23" s="63"/>
      <c r="F23" s="64"/>
      <c r="G23" s="65">
        <v>0</v>
      </c>
      <c r="H23" s="54">
        <v>0</v>
      </c>
      <c r="I23" s="54">
        <v>0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0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0</v>
      </c>
      <c r="AH23" s="67">
        <v>21.2</v>
      </c>
      <c r="AI23" s="98">
        <v>-21.2</v>
      </c>
      <c r="AJ23" s="67">
        <v>0</v>
      </c>
      <c r="AK23" s="67">
        <v>0</v>
      </c>
      <c r="AL23" s="67">
        <v>0</v>
      </c>
      <c r="AM23" s="67">
        <v>0</v>
      </c>
      <c r="AN23" s="67">
        <v>0</v>
      </c>
      <c r="AO23" s="67">
        <v>0</v>
      </c>
      <c r="AP23" s="67">
        <v>0</v>
      </c>
      <c r="AQ23" s="67">
        <v>0</v>
      </c>
      <c r="AR23" s="67">
        <v>0</v>
      </c>
      <c r="AS23" s="68">
        <v>0</v>
      </c>
      <c r="AT23" s="63"/>
      <c r="AU23" s="63"/>
    </row>
    <row r="24" spans="1:47" ht="12.75" hidden="1" customHeight="1" outlineLevel="1" x14ac:dyDescent="0.2">
      <c r="A24" s="61" t="s">
        <v>99</v>
      </c>
      <c r="B24" s="62">
        <v>449.54</v>
      </c>
      <c r="C24" s="54">
        <v>0</v>
      </c>
      <c r="D24" s="54">
        <v>312.11</v>
      </c>
      <c r="E24" s="63"/>
      <c r="F24" s="64">
        <v>144.03255262567686</v>
      </c>
      <c r="G24" s="65">
        <v>357.95</v>
      </c>
      <c r="H24" s="54">
        <v>0</v>
      </c>
      <c r="I24" s="54">
        <v>207</v>
      </c>
      <c r="J24" s="54">
        <v>449.54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1014.49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173.83</v>
      </c>
      <c r="AH24" s="67">
        <v>706.74</v>
      </c>
      <c r="AI24" s="98">
        <v>-362.57</v>
      </c>
      <c r="AJ24" s="67">
        <v>312.11</v>
      </c>
      <c r="AK24" s="67">
        <v>253.21</v>
      </c>
      <c r="AL24" s="67">
        <v>231.44</v>
      </c>
      <c r="AM24" s="67">
        <v>275.77</v>
      </c>
      <c r="AN24" s="67">
        <v>223.28</v>
      </c>
      <c r="AO24" s="67">
        <v>0</v>
      </c>
      <c r="AP24" s="67">
        <v>0</v>
      </c>
      <c r="AQ24" s="67">
        <v>275.39</v>
      </c>
      <c r="AR24" s="67">
        <v>0</v>
      </c>
      <c r="AS24" s="68">
        <v>830.11</v>
      </c>
      <c r="AT24" s="63"/>
      <c r="AU24" s="63">
        <v>122.21151413668068</v>
      </c>
    </row>
    <row r="25" spans="1:47" ht="12.75" hidden="1" customHeight="1" outlineLevel="1" x14ac:dyDescent="0.2">
      <c r="A25" s="61" t="s">
        <v>175</v>
      </c>
      <c r="B25" s="62">
        <v>0</v>
      </c>
      <c r="C25" s="54">
        <v>0</v>
      </c>
      <c r="D25" s="54">
        <v>0</v>
      </c>
      <c r="E25" s="63"/>
      <c r="F25" s="64"/>
      <c r="G25" s="65">
        <v>0</v>
      </c>
      <c r="H25" s="54">
        <v>0</v>
      </c>
      <c r="I25" s="54">
        <v>0</v>
      </c>
      <c r="J25" s="54">
        <v>0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0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0</v>
      </c>
      <c r="AH25" s="67">
        <v>29.87</v>
      </c>
      <c r="AI25" s="98">
        <v>-29.87</v>
      </c>
      <c r="AJ25" s="67">
        <v>0</v>
      </c>
      <c r="AK25" s="67">
        <v>0</v>
      </c>
      <c r="AL25" s="67">
        <v>0</v>
      </c>
      <c r="AM25" s="67">
        <v>0</v>
      </c>
      <c r="AN25" s="67">
        <v>0</v>
      </c>
      <c r="AO25" s="67">
        <v>0</v>
      </c>
      <c r="AP25" s="67">
        <v>0</v>
      </c>
      <c r="AQ25" s="67">
        <v>0</v>
      </c>
      <c r="AR25" s="67">
        <v>0</v>
      </c>
      <c r="AS25" s="68">
        <v>0</v>
      </c>
      <c r="AT25" s="63"/>
      <c r="AU25" s="63"/>
    </row>
    <row r="26" spans="1:47" ht="12.75" hidden="1" customHeight="1" outlineLevel="1" x14ac:dyDescent="0.2">
      <c r="A26" s="61" t="s">
        <v>100</v>
      </c>
      <c r="B26" s="62">
        <v>0</v>
      </c>
      <c r="C26" s="54">
        <v>0</v>
      </c>
      <c r="D26" s="54">
        <v>0</v>
      </c>
      <c r="E26" s="63"/>
      <c r="F26" s="64"/>
      <c r="G26" s="65">
        <v>0</v>
      </c>
      <c r="H26" s="54">
        <v>0</v>
      </c>
      <c r="I26" s="54">
        <v>0</v>
      </c>
      <c r="J26" s="54">
        <v>0</v>
      </c>
      <c r="K26" s="54">
        <v>0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0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275.13</v>
      </c>
      <c r="AH26" s="67">
        <v>331.56</v>
      </c>
      <c r="AI26" s="98">
        <v>-606.69000000000005</v>
      </c>
      <c r="AJ26" s="67">
        <v>0</v>
      </c>
      <c r="AK26" s="67">
        <v>0</v>
      </c>
      <c r="AL26" s="67">
        <v>0</v>
      </c>
      <c r="AM26" s="67">
        <v>0</v>
      </c>
      <c r="AN26" s="67">
        <v>0</v>
      </c>
      <c r="AO26" s="67">
        <v>0</v>
      </c>
      <c r="AP26" s="67">
        <v>0</v>
      </c>
      <c r="AQ26" s="67">
        <v>0</v>
      </c>
      <c r="AR26" s="67">
        <v>0</v>
      </c>
      <c r="AS26" s="68">
        <v>0</v>
      </c>
      <c r="AT26" s="63"/>
      <c r="AU26" s="63"/>
    </row>
    <row r="27" spans="1:47" ht="12.75" hidden="1" customHeight="1" outlineLevel="1" x14ac:dyDescent="0.2">
      <c r="A27" s="61" t="s">
        <v>101</v>
      </c>
      <c r="B27" s="62"/>
      <c r="C27" s="54">
        <v>0</v>
      </c>
      <c r="D27" s="54"/>
      <c r="E27" s="63"/>
      <c r="F27" s="64"/>
      <c r="G27" s="65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66"/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8"/>
      <c r="AT27" s="63"/>
      <c r="AU27" s="63"/>
    </row>
    <row r="28" spans="1:47" ht="12.75" hidden="1" customHeight="1" outlineLevel="1" x14ac:dyDescent="0.2">
      <c r="A28" s="61" t="s">
        <v>176</v>
      </c>
      <c r="B28" s="62">
        <v>61.24</v>
      </c>
      <c r="C28" s="54">
        <v>0</v>
      </c>
      <c r="D28" s="54">
        <v>0</v>
      </c>
      <c r="E28" s="63"/>
      <c r="F28" s="64"/>
      <c r="G28" s="65">
        <v>70.8</v>
      </c>
      <c r="H28" s="54">
        <v>59.95</v>
      </c>
      <c r="I28" s="54">
        <v>57.82</v>
      </c>
      <c r="J28" s="54">
        <v>61.24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249.81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68.33</v>
      </c>
      <c r="AH28" s="67">
        <v>68.33</v>
      </c>
      <c r="AI28" s="98">
        <v>-136.66</v>
      </c>
      <c r="AJ28" s="67">
        <v>0</v>
      </c>
      <c r="AK28" s="67">
        <v>44.96</v>
      </c>
      <c r="AL28" s="67">
        <v>44.96</v>
      </c>
      <c r="AM28" s="67">
        <v>161.58000000000001</v>
      </c>
      <c r="AN28" s="67">
        <v>117.73</v>
      </c>
      <c r="AO28" s="67">
        <v>0</v>
      </c>
      <c r="AP28" s="67">
        <v>0</v>
      </c>
      <c r="AQ28" s="67">
        <v>146.30000000000001</v>
      </c>
      <c r="AR28" s="67">
        <v>76.75</v>
      </c>
      <c r="AS28" s="68">
        <v>0</v>
      </c>
      <c r="AT28" s="63"/>
      <c r="AU28" s="63"/>
    </row>
    <row r="29" spans="1:47" ht="12.75" hidden="1" customHeight="1" outlineLevel="1" x14ac:dyDescent="0.2">
      <c r="A29" s="61" t="s">
        <v>102</v>
      </c>
      <c r="B29" s="62">
        <v>232.9</v>
      </c>
      <c r="C29" s="54">
        <v>0</v>
      </c>
      <c r="D29" s="54">
        <v>232.12</v>
      </c>
      <c r="E29" s="63"/>
      <c r="F29" s="64">
        <v>100.33603308633465</v>
      </c>
      <c r="G29" s="65">
        <v>232.9</v>
      </c>
      <c r="H29" s="54">
        <v>216.83</v>
      </c>
      <c r="I29" s="54">
        <v>216.83</v>
      </c>
      <c r="J29" s="54">
        <v>232.9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899.46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216.83</v>
      </c>
      <c r="AH29" s="67">
        <v>216.83</v>
      </c>
      <c r="AI29" s="67">
        <v>216.83</v>
      </c>
      <c r="AJ29" s="67">
        <v>232.12</v>
      </c>
      <c r="AK29" s="67">
        <v>216.83</v>
      </c>
      <c r="AL29" s="67">
        <v>216.83</v>
      </c>
      <c r="AM29" s="67">
        <v>216.83</v>
      </c>
      <c r="AN29" s="67">
        <v>216.83</v>
      </c>
      <c r="AO29" s="67">
        <v>216.83</v>
      </c>
      <c r="AP29" s="67">
        <v>216.83</v>
      </c>
      <c r="AQ29" s="67">
        <v>232.12</v>
      </c>
      <c r="AR29" s="67">
        <v>216.83</v>
      </c>
      <c r="AS29" s="68">
        <v>882.61</v>
      </c>
      <c r="AT29" s="63"/>
      <c r="AU29" s="63">
        <v>101.90911047914707</v>
      </c>
    </row>
    <row r="30" spans="1:47" ht="12.75" hidden="1" customHeight="1" outlineLevel="1" x14ac:dyDescent="0.2">
      <c r="A30" s="61" t="s">
        <v>75</v>
      </c>
      <c r="B30" s="62">
        <v>223.22</v>
      </c>
      <c r="C30" s="54">
        <v>0</v>
      </c>
      <c r="D30" s="54">
        <v>0</v>
      </c>
      <c r="E30" s="63"/>
      <c r="F30" s="64"/>
      <c r="G30" s="65">
        <v>0</v>
      </c>
      <c r="H30" s="54">
        <v>132.44999999999999</v>
      </c>
      <c r="I30" s="54">
        <v>132.44999999999999</v>
      </c>
      <c r="J30" s="54">
        <v>223.22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488.12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0</v>
      </c>
      <c r="AH30" s="67">
        <v>0</v>
      </c>
      <c r="AI30" s="67">
        <v>0</v>
      </c>
      <c r="AJ30" s="67">
        <v>0</v>
      </c>
      <c r="AK30" s="67">
        <v>0</v>
      </c>
      <c r="AL30" s="67">
        <v>113.28</v>
      </c>
      <c r="AM30" s="67">
        <v>679.69</v>
      </c>
      <c r="AN30" s="67">
        <v>0</v>
      </c>
      <c r="AO30" s="67">
        <v>0</v>
      </c>
      <c r="AP30" s="67">
        <v>0</v>
      </c>
      <c r="AQ30" s="67">
        <v>0</v>
      </c>
      <c r="AR30" s="67">
        <v>0</v>
      </c>
      <c r="AS30" s="68">
        <v>0</v>
      </c>
      <c r="AT30" s="63"/>
      <c r="AU30" s="63"/>
    </row>
    <row r="31" spans="1:47" ht="12.75" hidden="1" customHeight="1" outlineLevel="1" x14ac:dyDescent="0.2">
      <c r="A31" s="61" t="s">
        <v>76</v>
      </c>
      <c r="B31" s="62">
        <v>0</v>
      </c>
      <c r="C31" s="54">
        <v>0</v>
      </c>
      <c r="D31" s="54">
        <v>0</v>
      </c>
      <c r="E31" s="63"/>
      <c r="F31" s="64"/>
      <c r="G31" s="65">
        <v>0</v>
      </c>
      <c r="H31" s="54">
        <v>0</v>
      </c>
      <c r="I31" s="54">
        <v>0</v>
      </c>
      <c r="J31" s="54">
        <v>0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0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61.36</v>
      </c>
      <c r="AH31" s="67">
        <v>61.85</v>
      </c>
      <c r="AI31" s="98">
        <v>-123.21</v>
      </c>
      <c r="AJ31" s="67">
        <v>0</v>
      </c>
      <c r="AK31" s="67">
        <v>0</v>
      </c>
      <c r="AL31" s="67">
        <v>0</v>
      </c>
      <c r="AM31" s="67">
        <v>0</v>
      </c>
      <c r="AN31" s="67">
        <v>0</v>
      </c>
      <c r="AO31" s="67">
        <v>0</v>
      </c>
      <c r="AP31" s="67">
        <v>0</v>
      </c>
      <c r="AQ31" s="67">
        <v>0</v>
      </c>
      <c r="AR31" s="67">
        <v>0</v>
      </c>
      <c r="AS31" s="68">
        <v>0</v>
      </c>
      <c r="AT31" s="63"/>
      <c r="AU31" s="63"/>
    </row>
    <row r="32" spans="1:47" ht="12.75" hidden="1" customHeight="1" outlineLevel="1" x14ac:dyDescent="0.2">
      <c r="A32" s="61" t="s">
        <v>77</v>
      </c>
      <c r="B32" s="62">
        <v>84.27</v>
      </c>
      <c r="C32" s="54">
        <v>0</v>
      </c>
      <c r="D32" s="54">
        <v>84.27</v>
      </c>
      <c r="E32" s="63"/>
      <c r="F32" s="64">
        <v>100</v>
      </c>
      <c r="G32" s="65">
        <v>84.27</v>
      </c>
      <c r="H32" s="54">
        <v>84.27</v>
      </c>
      <c r="I32" s="54">
        <v>84.27</v>
      </c>
      <c r="J32" s="54">
        <v>84.27</v>
      </c>
      <c r="K32" s="54">
        <v>0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66">
        <v>337.08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66">
        <v>0</v>
      </c>
      <c r="AG32" s="67">
        <v>84.27</v>
      </c>
      <c r="AH32" s="67">
        <v>84.27</v>
      </c>
      <c r="AI32" s="67">
        <v>84.27</v>
      </c>
      <c r="AJ32" s="67">
        <v>84.27</v>
      </c>
      <c r="AK32" s="67">
        <v>84.27</v>
      </c>
      <c r="AL32" s="67">
        <v>84.27</v>
      </c>
      <c r="AM32" s="67">
        <v>84.27</v>
      </c>
      <c r="AN32" s="67">
        <v>84.27</v>
      </c>
      <c r="AO32" s="67">
        <v>84.27</v>
      </c>
      <c r="AP32" s="67">
        <v>84.27</v>
      </c>
      <c r="AQ32" s="67">
        <v>84.27</v>
      </c>
      <c r="AR32" s="67">
        <v>84.27</v>
      </c>
      <c r="AS32" s="68">
        <v>337.08</v>
      </c>
      <c r="AT32" s="63"/>
      <c r="AU32" s="63">
        <v>100</v>
      </c>
    </row>
    <row r="33" spans="1:47" ht="12.75" customHeight="1" collapsed="1" x14ac:dyDescent="0.2">
      <c r="A33" s="69" t="s">
        <v>177</v>
      </c>
      <c r="B33" s="70">
        <v>1051.17</v>
      </c>
      <c r="C33" s="71">
        <v>0</v>
      </c>
      <c r="D33" s="71">
        <v>628.5</v>
      </c>
      <c r="E33" s="72"/>
      <c r="F33" s="73">
        <v>167.25059665871123</v>
      </c>
      <c r="G33" s="70">
        <v>745.92</v>
      </c>
      <c r="H33" s="71">
        <v>493.5</v>
      </c>
      <c r="I33" s="71">
        <v>698.37</v>
      </c>
      <c r="J33" s="71">
        <v>1051.17</v>
      </c>
      <c r="K33" s="71">
        <v>0</v>
      </c>
      <c r="L33" s="71">
        <v>0</v>
      </c>
      <c r="M33" s="71">
        <v>0</v>
      </c>
      <c r="N33" s="71">
        <v>0</v>
      </c>
      <c r="O33" s="71">
        <v>0</v>
      </c>
      <c r="P33" s="71">
        <v>0</v>
      </c>
      <c r="Q33" s="71">
        <v>0</v>
      </c>
      <c r="R33" s="71">
        <v>0</v>
      </c>
      <c r="S33" s="71">
        <v>2988.96</v>
      </c>
      <c r="T33" s="71">
        <v>0</v>
      </c>
      <c r="U33" s="71">
        <v>0</v>
      </c>
      <c r="V33" s="71">
        <v>0</v>
      </c>
      <c r="W33" s="71">
        <v>0</v>
      </c>
      <c r="X33" s="71">
        <v>0</v>
      </c>
      <c r="Y33" s="71">
        <v>0</v>
      </c>
      <c r="Z33" s="71">
        <v>0</v>
      </c>
      <c r="AA33" s="71">
        <v>0</v>
      </c>
      <c r="AB33" s="71">
        <v>0</v>
      </c>
      <c r="AC33" s="71">
        <v>0</v>
      </c>
      <c r="AD33" s="71">
        <v>0</v>
      </c>
      <c r="AE33" s="71">
        <v>0</v>
      </c>
      <c r="AF33" s="71">
        <v>0</v>
      </c>
      <c r="AG33" s="75">
        <v>879.75</v>
      </c>
      <c r="AH33" s="75">
        <v>1520.65</v>
      </c>
      <c r="AI33" s="134">
        <v>-979.1</v>
      </c>
      <c r="AJ33" s="75">
        <v>628.5</v>
      </c>
      <c r="AK33" s="75">
        <v>599.27</v>
      </c>
      <c r="AL33" s="75">
        <v>690.78</v>
      </c>
      <c r="AM33" s="75">
        <v>1418.14</v>
      </c>
      <c r="AN33" s="75">
        <v>642.11</v>
      </c>
      <c r="AO33" s="75">
        <v>301.10000000000002</v>
      </c>
      <c r="AP33" s="75">
        <v>301.10000000000002</v>
      </c>
      <c r="AQ33" s="75">
        <v>738.08</v>
      </c>
      <c r="AR33" s="75">
        <v>377.85</v>
      </c>
      <c r="AS33" s="75">
        <v>2049.8000000000002</v>
      </c>
      <c r="AT33" s="72"/>
      <c r="AU33" s="72">
        <v>145.81715289296517</v>
      </c>
    </row>
    <row r="34" spans="1:47" ht="12.75" hidden="1" customHeight="1" outlineLevel="1" x14ac:dyDescent="0.2">
      <c r="A34" s="61" t="s">
        <v>178</v>
      </c>
      <c r="B34" s="62"/>
      <c r="C34" s="54"/>
      <c r="D34" s="54"/>
      <c r="E34" s="63"/>
      <c r="F34" s="64"/>
      <c r="G34" s="65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66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66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8"/>
      <c r="AT34" s="63"/>
      <c r="AU34" s="63"/>
    </row>
    <row r="35" spans="1:47" ht="12.75" hidden="1" customHeight="1" outlineLevel="1" x14ac:dyDescent="0.2">
      <c r="A35" s="61" t="s">
        <v>179</v>
      </c>
      <c r="B35" s="62">
        <v>0</v>
      </c>
      <c r="C35" s="54">
        <v>0</v>
      </c>
      <c r="D35" s="54">
        <v>0</v>
      </c>
      <c r="E35" s="63"/>
      <c r="F35" s="64"/>
      <c r="G35" s="65">
        <v>0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0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0</v>
      </c>
      <c r="AH35" s="67">
        <v>0</v>
      </c>
      <c r="AI35" s="67">
        <v>0</v>
      </c>
      <c r="AJ35" s="67">
        <v>0</v>
      </c>
      <c r="AK35" s="67">
        <v>0</v>
      </c>
      <c r="AL35" s="67">
        <v>0</v>
      </c>
      <c r="AM35" s="67">
        <v>0</v>
      </c>
      <c r="AN35" s="67">
        <v>0</v>
      </c>
      <c r="AO35" s="67">
        <v>0</v>
      </c>
      <c r="AP35" s="67">
        <v>0</v>
      </c>
      <c r="AQ35" s="67">
        <v>0</v>
      </c>
      <c r="AR35" s="67">
        <v>0</v>
      </c>
      <c r="AS35" s="68">
        <v>0</v>
      </c>
      <c r="AT35" s="63"/>
      <c r="AU35" s="63"/>
    </row>
    <row r="36" spans="1:47" ht="12.75" hidden="1" customHeight="1" outlineLevel="1" x14ac:dyDescent="0.2">
      <c r="A36" s="61" t="s">
        <v>180</v>
      </c>
      <c r="B36" s="62">
        <v>0</v>
      </c>
      <c r="C36" s="54"/>
      <c r="D36" s="54">
        <v>0</v>
      </c>
      <c r="E36" s="63"/>
      <c r="F36" s="64"/>
      <c r="G36" s="65">
        <v>0</v>
      </c>
      <c r="H36" s="54">
        <v>0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0</v>
      </c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66"/>
      <c r="AG36" s="67">
        <v>0</v>
      </c>
      <c r="AH36" s="67">
        <v>0</v>
      </c>
      <c r="AI36" s="67">
        <v>0</v>
      </c>
      <c r="AJ36" s="67">
        <v>0</v>
      </c>
      <c r="AK36" s="67">
        <v>0</v>
      </c>
      <c r="AL36" s="67">
        <v>0</v>
      </c>
      <c r="AM36" s="67">
        <v>0</v>
      </c>
      <c r="AN36" s="67">
        <v>0</v>
      </c>
      <c r="AO36" s="67">
        <v>0</v>
      </c>
      <c r="AP36" s="67">
        <v>0</v>
      </c>
      <c r="AQ36" s="67">
        <v>0</v>
      </c>
      <c r="AR36" s="67">
        <v>0</v>
      </c>
      <c r="AS36" s="68">
        <v>0</v>
      </c>
      <c r="AT36" s="63"/>
      <c r="AU36" s="63"/>
    </row>
    <row r="37" spans="1:47" ht="12.75" hidden="1" customHeight="1" outlineLevel="1" x14ac:dyDescent="0.2">
      <c r="A37" s="61" t="s">
        <v>181</v>
      </c>
      <c r="B37" s="62"/>
      <c r="C37" s="54"/>
      <c r="D37" s="54"/>
      <c r="E37" s="63"/>
      <c r="F37" s="64"/>
      <c r="G37" s="65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66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66"/>
      <c r="AG37" s="67"/>
      <c r="AH37" s="67"/>
      <c r="AI37" s="67"/>
      <c r="AJ37" s="67"/>
      <c r="AK37" s="67"/>
      <c r="AL37" s="67"/>
      <c r="AM37" s="67"/>
      <c r="AN37" s="67"/>
      <c r="AO37" s="67"/>
      <c r="AP37" s="67"/>
      <c r="AQ37" s="67"/>
      <c r="AR37" s="67"/>
      <c r="AS37" s="68"/>
      <c r="AT37" s="63"/>
      <c r="AU37" s="63"/>
    </row>
    <row r="38" spans="1:47" ht="12.75" hidden="1" customHeight="1" outlineLevel="1" x14ac:dyDescent="0.2">
      <c r="A38" s="61" t="s">
        <v>182</v>
      </c>
      <c r="B38" s="62">
        <v>0</v>
      </c>
      <c r="C38" s="54"/>
      <c r="D38" s="54">
        <v>0</v>
      </c>
      <c r="E38" s="63"/>
      <c r="F38" s="64"/>
      <c r="G38" s="65">
        <v>0</v>
      </c>
      <c r="H38" s="54">
        <v>0</v>
      </c>
      <c r="I38" s="54">
        <v>0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0</v>
      </c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66"/>
      <c r="AG38" s="67">
        <v>0</v>
      </c>
      <c r="AH38" s="67">
        <v>0</v>
      </c>
      <c r="AI38" s="67">
        <v>0</v>
      </c>
      <c r="AJ38" s="67">
        <v>0</v>
      </c>
      <c r="AK38" s="67">
        <v>0</v>
      </c>
      <c r="AL38" s="67">
        <v>0</v>
      </c>
      <c r="AM38" s="67">
        <v>0</v>
      </c>
      <c r="AN38" s="67">
        <v>0</v>
      </c>
      <c r="AO38" s="67">
        <v>0</v>
      </c>
      <c r="AP38" s="67">
        <v>0</v>
      </c>
      <c r="AQ38" s="67">
        <v>0</v>
      </c>
      <c r="AR38" s="67">
        <v>0</v>
      </c>
      <c r="AS38" s="68">
        <v>0</v>
      </c>
      <c r="AT38" s="63"/>
      <c r="AU38" s="63"/>
    </row>
    <row r="39" spans="1:47" ht="12.75" hidden="1" customHeight="1" outlineLevel="1" x14ac:dyDescent="0.2">
      <c r="A39" s="61" t="s">
        <v>183</v>
      </c>
      <c r="B39" s="62"/>
      <c r="C39" s="54"/>
      <c r="D39" s="54"/>
      <c r="E39" s="63"/>
      <c r="F39" s="64"/>
      <c r="G39" s="65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66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66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8"/>
      <c r="AT39" s="63"/>
      <c r="AU39" s="63"/>
    </row>
    <row r="40" spans="1:47" ht="12.75" hidden="1" customHeight="1" outlineLevel="1" x14ac:dyDescent="0.2">
      <c r="A40" s="61" t="s">
        <v>184</v>
      </c>
      <c r="B40" s="62">
        <v>0</v>
      </c>
      <c r="C40" s="54"/>
      <c r="D40" s="54">
        <v>0</v>
      </c>
      <c r="E40" s="63"/>
      <c r="F40" s="64"/>
      <c r="G40" s="65">
        <v>0</v>
      </c>
      <c r="H40" s="54">
        <v>0</v>
      </c>
      <c r="I40" s="54">
        <v>0</v>
      </c>
      <c r="J40" s="54">
        <v>0</v>
      </c>
      <c r="K40" s="54">
        <v>0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66">
        <v>0</v>
      </c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66"/>
      <c r="AG40" s="67">
        <v>0</v>
      </c>
      <c r="AH40" s="67">
        <v>0</v>
      </c>
      <c r="AI40" s="67">
        <v>0</v>
      </c>
      <c r="AJ40" s="67">
        <v>0</v>
      </c>
      <c r="AK40" s="67">
        <v>0</v>
      </c>
      <c r="AL40" s="67">
        <v>0</v>
      </c>
      <c r="AM40" s="67">
        <v>0</v>
      </c>
      <c r="AN40" s="67">
        <v>0</v>
      </c>
      <c r="AO40" s="67">
        <v>0</v>
      </c>
      <c r="AP40" s="67">
        <v>0</v>
      </c>
      <c r="AQ40" s="67">
        <v>0</v>
      </c>
      <c r="AR40" s="67">
        <v>0</v>
      </c>
      <c r="AS40" s="68">
        <v>0</v>
      </c>
      <c r="AT40" s="63"/>
      <c r="AU40" s="63"/>
    </row>
    <row r="41" spans="1:47" ht="12.75" hidden="1" customHeight="1" outlineLevel="1" x14ac:dyDescent="0.2">
      <c r="A41" s="61" t="s">
        <v>185</v>
      </c>
      <c r="B41" s="62"/>
      <c r="C41" s="54"/>
      <c r="D41" s="54"/>
      <c r="E41" s="63"/>
      <c r="F41" s="64"/>
      <c r="G41" s="65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66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66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8"/>
      <c r="AT41" s="63"/>
      <c r="AU41" s="63"/>
    </row>
    <row r="42" spans="1:47" ht="12.75" hidden="1" customHeight="1" outlineLevel="1" x14ac:dyDescent="0.2">
      <c r="A42" s="61" t="s">
        <v>186</v>
      </c>
      <c r="B42" s="62">
        <v>0</v>
      </c>
      <c r="C42" s="54">
        <v>0</v>
      </c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0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0</v>
      </c>
      <c r="AS42" s="68">
        <v>0</v>
      </c>
      <c r="AT42" s="63"/>
      <c r="AU42" s="63"/>
    </row>
    <row r="43" spans="1:47" ht="12.75" hidden="1" customHeight="1" outlineLevel="1" x14ac:dyDescent="0.2">
      <c r="A43" s="61" t="s">
        <v>187</v>
      </c>
      <c r="B43" s="62">
        <v>0</v>
      </c>
      <c r="C43" s="54">
        <v>0</v>
      </c>
      <c r="D43" s="54">
        <v>0</v>
      </c>
      <c r="E43" s="63"/>
      <c r="F43" s="64"/>
      <c r="G43" s="65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66">
        <v>0</v>
      </c>
      <c r="T43" s="54">
        <v>0</v>
      </c>
      <c r="U43" s="54">
        <v>0</v>
      </c>
      <c r="V43" s="54">
        <v>0</v>
      </c>
      <c r="W43" s="54">
        <v>0</v>
      </c>
      <c r="X43" s="54">
        <v>0</v>
      </c>
      <c r="Y43" s="54">
        <v>0</v>
      </c>
      <c r="Z43" s="54">
        <v>0</v>
      </c>
      <c r="AA43" s="54">
        <v>0</v>
      </c>
      <c r="AB43" s="54">
        <v>0</v>
      </c>
      <c r="AC43" s="54">
        <v>0</v>
      </c>
      <c r="AD43" s="54">
        <v>0</v>
      </c>
      <c r="AE43" s="54">
        <v>0</v>
      </c>
      <c r="AF43" s="66">
        <v>0</v>
      </c>
      <c r="AG43" s="67">
        <v>0</v>
      </c>
      <c r="AH43" s="67">
        <v>0</v>
      </c>
      <c r="AI43" s="67">
        <v>0</v>
      </c>
      <c r="AJ43" s="67">
        <v>0</v>
      </c>
      <c r="AK43" s="67">
        <v>0</v>
      </c>
      <c r="AL43" s="67">
        <v>0</v>
      </c>
      <c r="AM43" s="67">
        <v>0</v>
      </c>
      <c r="AN43" s="67">
        <v>0</v>
      </c>
      <c r="AO43" s="67">
        <v>0</v>
      </c>
      <c r="AP43" s="67">
        <v>0</v>
      </c>
      <c r="AQ43" s="67">
        <v>0</v>
      </c>
      <c r="AR43" s="67">
        <v>0</v>
      </c>
      <c r="AS43" s="68">
        <v>0</v>
      </c>
      <c r="AT43" s="63"/>
      <c r="AU43" s="63"/>
    </row>
    <row r="44" spans="1:47" ht="12.75" hidden="1" customHeight="1" outlineLevel="1" x14ac:dyDescent="0.2">
      <c r="A44" s="61" t="s">
        <v>188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61" t="s">
        <v>189</v>
      </c>
      <c r="B45" s="62"/>
      <c r="C45" s="54"/>
      <c r="D45" s="54"/>
      <c r="E45" s="63"/>
      <c r="F45" s="64"/>
      <c r="G45" s="65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66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66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8"/>
      <c r="AT45" s="63"/>
      <c r="AU45" s="63"/>
    </row>
    <row r="46" spans="1:47" ht="12.75" hidden="1" customHeight="1" outlineLevel="1" x14ac:dyDescent="0.2">
      <c r="A46" s="61" t="s">
        <v>190</v>
      </c>
      <c r="B46" s="62">
        <v>0</v>
      </c>
      <c r="C46" s="54"/>
      <c r="D46" s="54">
        <v>0</v>
      </c>
      <c r="E46" s="63"/>
      <c r="F46" s="64"/>
      <c r="G46" s="65">
        <v>0</v>
      </c>
      <c r="H46" s="54">
        <v>0</v>
      </c>
      <c r="I46" s="54">
        <v>0</v>
      </c>
      <c r="J46" s="54">
        <v>0</v>
      </c>
      <c r="K46" s="54">
        <v>0</v>
      </c>
      <c r="L46" s="54">
        <v>0</v>
      </c>
      <c r="M46" s="54">
        <v>0</v>
      </c>
      <c r="N46" s="54">
        <v>0</v>
      </c>
      <c r="O46" s="54">
        <v>0</v>
      </c>
      <c r="P46" s="54">
        <v>0</v>
      </c>
      <c r="Q46" s="54">
        <v>0</v>
      </c>
      <c r="R46" s="54">
        <v>0</v>
      </c>
      <c r="S46" s="66">
        <v>0</v>
      </c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66"/>
      <c r="AG46" s="67">
        <v>0</v>
      </c>
      <c r="AH46" s="67">
        <v>0</v>
      </c>
      <c r="AI46" s="67">
        <v>0</v>
      </c>
      <c r="AJ46" s="67">
        <v>0</v>
      </c>
      <c r="AK46" s="67">
        <v>0</v>
      </c>
      <c r="AL46" s="67">
        <v>0</v>
      </c>
      <c r="AM46" s="67">
        <v>0</v>
      </c>
      <c r="AN46" s="67">
        <v>0</v>
      </c>
      <c r="AO46" s="67">
        <v>0</v>
      </c>
      <c r="AP46" s="67">
        <v>0</v>
      </c>
      <c r="AQ46" s="67">
        <v>0</v>
      </c>
      <c r="AR46" s="67">
        <v>0</v>
      </c>
      <c r="AS46" s="68">
        <v>0</v>
      </c>
      <c r="AT46" s="63"/>
      <c r="AU46" s="63"/>
    </row>
    <row r="47" spans="1:47" ht="12.75" hidden="1" customHeight="1" outlineLevel="1" x14ac:dyDescent="0.2">
      <c r="A47" s="61" t="s">
        <v>191</v>
      </c>
      <c r="B47" s="62"/>
      <c r="C47" s="54"/>
      <c r="D47" s="54"/>
      <c r="E47" s="63"/>
      <c r="F47" s="64"/>
      <c r="G47" s="65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66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66"/>
      <c r="AG47" s="67"/>
      <c r="AH47" s="67"/>
      <c r="AI47" s="67"/>
      <c r="AJ47" s="67"/>
      <c r="AK47" s="67"/>
      <c r="AL47" s="67"/>
      <c r="AM47" s="67"/>
      <c r="AN47" s="67"/>
      <c r="AO47" s="67"/>
      <c r="AP47" s="67"/>
      <c r="AQ47" s="67"/>
      <c r="AR47" s="67"/>
      <c r="AS47" s="68"/>
      <c r="AT47" s="63"/>
      <c r="AU47" s="63"/>
    </row>
    <row r="48" spans="1:47" ht="12.75" customHeight="1" collapsed="1" x14ac:dyDescent="0.2">
      <c r="A48" s="69" t="s">
        <v>192</v>
      </c>
      <c r="B48" s="70">
        <v>0</v>
      </c>
      <c r="C48" s="71">
        <v>0</v>
      </c>
      <c r="D48" s="71">
        <v>0</v>
      </c>
      <c r="E48" s="72"/>
      <c r="F48" s="73"/>
      <c r="G48" s="70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>
        <v>0</v>
      </c>
      <c r="N48" s="71">
        <v>0</v>
      </c>
      <c r="O48" s="71">
        <v>0</v>
      </c>
      <c r="P48" s="71">
        <v>0</v>
      </c>
      <c r="Q48" s="71">
        <v>0</v>
      </c>
      <c r="R48" s="71">
        <v>0</v>
      </c>
      <c r="S48" s="71">
        <v>0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71">
        <v>0</v>
      </c>
      <c r="AE48" s="71">
        <v>0</v>
      </c>
      <c r="AF48" s="71">
        <v>0</v>
      </c>
      <c r="AG48" s="75">
        <v>0</v>
      </c>
      <c r="AH48" s="75">
        <v>0</v>
      </c>
      <c r="AI48" s="75">
        <v>0</v>
      </c>
      <c r="AJ48" s="75">
        <v>0</v>
      </c>
      <c r="AK48" s="75">
        <v>0</v>
      </c>
      <c r="AL48" s="75">
        <v>0</v>
      </c>
      <c r="AM48" s="75">
        <v>0</v>
      </c>
      <c r="AN48" s="75">
        <v>0</v>
      </c>
      <c r="AO48" s="75">
        <v>0</v>
      </c>
      <c r="AP48" s="75">
        <v>0</v>
      </c>
      <c r="AQ48" s="75">
        <v>0</v>
      </c>
      <c r="AR48" s="75">
        <v>0</v>
      </c>
      <c r="AS48" s="75">
        <v>0</v>
      </c>
      <c r="AT48" s="72"/>
      <c r="AU48" s="72"/>
    </row>
    <row r="49" spans="1:47" ht="12.75" hidden="1" customHeight="1" outlineLevel="1" x14ac:dyDescent="0.2">
      <c r="A49" s="61" t="s">
        <v>193</v>
      </c>
      <c r="B49" s="62">
        <v>0</v>
      </c>
      <c r="C49" s="54">
        <v>0</v>
      </c>
      <c r="D49" s="54">
        <v>0</v>
      </c>
      <c r="E49" s="63"/>
      <c r="F49" s="64"/>
      <c r="G49" s="65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54">
        <v>0</v>
      </c>
      <c r="N49" s="54">
        <v>0</v>
      </c>
      <c r="O49" s="54">
        <v>0</v>
      </c>
      <c r="P49" s="54">
        <v>0</v>
      </c>
      <c r="Q49" s="54">
        <v>0</v>
      </c>
      <c r="R49" s="54">
        <v>0</v>
      </c>
      <c r="S49" s="66">
        <v>0</v>
      </c>
      <c r="T49" s="54">
        <v>0</v>
      </c>
      <c r="U49" s="54">
        <v>0</v>
      </c>
      <c r="V49" s="54">
        <v>0</v>
      </c>
      <c r="W49" s="54">
        <v>0</v>
      </c>
      <c r="X49" s="54">
        <v>0</v>
      </c>
      <c r="Y49" s="54">
        <v>0</v>
      </c>
      <c r="Z49" s="54">
        <v>0</v>
      </c>
      <c r="AA49" s="54">
        <v>0</v>
      </c>
      <c r="AB49" s="54">
        <v>0</v>
      </c>
      <c r="AC49" s="54">
        <v>0</v>
      </c>
      <c r="AD49" s="54">
        <v>0</v>
      </c>
      <c r="AE49" s="54">
        <v>0</v>
      </c>
      <c r="AF49" s="66">
        <v>0</v>
      </c>
      <c r="AG49" s="67">
        <v>0</v>
      </c>
      <c r="AH49" s="67">
        <v>0</v>
      </c>
      <c r="AI49" s="67">
        <v>0</v>
      </c>
      <c r="AJ49" s="67">
        <v>0</v>
      </c>
      <c r="AK49" s="67">
        <v>0</v>
      </c>
      <c r="AL49" s="67">
        <v>0</v>
      </c>
      <c r="AM49" s="67">
        <v>0</v>
      </c>
      <c r="AN49" s="67">
        <v>0</v>
      </c>
      <c r="AO49" s="67">
        <v>0</v>
      </c>
      <c r="AP49" s="67">
        <v>0</v>
      </c>
      <c r="AQ49" s="67">
        <v>0</v>
      </c>
      <c r="AR49" s="67">
        <v>0</v>
      </c>
      <c r="AS49" s="68">
        <v>0</v>
      </c>
      <c r="AT49" s="63"/>
      <c r="AU49" s="63"/>
    </row>
    <row r="50" spans="1:47" ht="12.75" hidden="1" customHeight="1" outlineLevel="1" x14ac:dyDescent="0.2">
      <c r="A50" s="61" t="s">
        <v>194</v>
      </c>
      <c r="B50" s="62">
        <v>0</v>
      </c>
      <c r="C50" s="54">
        <v>0</v>
      </c>
      <c r="D50" s="54">
        <v>0</v>
      </c>
      <c r="E50" s="63"/>
      <c r="F50" s="64"/>
      <c r="G50" s="65">
        <v>0</v>
      </c>
      <c r="H50" s="54">
        <v>0</v>
      </c>
      <c r="I50" s="54">
        <v>0</v>
      </c>
      <c r="J50" s="54">
        <v>0</v>
      </c>
      <c r="K50" s="54">
        <v>0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66">
        <v>0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>
        <v>0</v>
      </c>
      <c r="AH50" s="67">
        <v>0</v>
      </c>
      <c r="AI50" s="67">
        <v>0</v>
      </c>
      <c r="AJ50" s="67">
        <v>0</v>
      </c>
      <c r="AK50" s="67">
        <v>0</v>
      </c>
      <c r="AL50" s="67">
        <v>0</v>
      </c>
      <c r="AM50" s="67">
        <v>0</v>
      </c>
      <c r="AN50" s="67">
        <v>0</v>
      </c>
      <c r="AO50" s="67">
        <v>0</v>
      </c>
      <c r="AP50" s="67">
        <v>0</v>
      </c>
      <c r="AQ50" s="67">
        <v>0</v>
      </c>
      <c r="AR50" s="67">
        <v>0</v>
      </c>
      <c r="AS50" s="68">
        <v>0</v>
      </c>
      <c r="AT50" s="63"/>
      <c r="AU50" s="63"/>
    </row>
    <row r="51" spans="1:47" ht="12.75" hidden="1" customHeight="1" outlineLevel="1" x14ac:dyDescent="0.2">
      <c r="A51" s="61" t="s">
        <v>82</v>
      </c>
      <c r="B51" s="62"/>
      <c r="C51" s="54"/>
      <c r="D51" s="54"/>
      <c r="E51" s="63"/>
      <c r="F51" s="64"/>
      <c r="G51" s="65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66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66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8"/>
      <c r="AT51" s="63"/>
      <c r="AU51" s="63"/>
    </row>
    <row r="52" spans="1:47" ht="12.75" hidden="1" customHeight="1" outlineLevel="1" x14ac:dyDescent="0.2">
      <c r="A52" s="61" t="s">
        <v>83</v>
      </c>
      <c r="B52" s="62"/>
      <c r="C52" s="54"/>
      <c r="D52" s="54"/>
      <c r="E52" s="63"/>
      <c r="F52" s="64"/>
      <c r="G52" s="65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66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66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8"/>
      <c r="AT52" s="63"/>
      <c r="AU52" s="63"/>
    </row>
    <row r="53" spans="1:47" ht="12.75" hidden="1" customHeight="1" outlineLevel="1" x14ac:dyDescent="0.2">
      <c r="A53" s="61" t="s">
        <v>84</v>
      </c>
      <c r="B53" s="62"/>
      <c r="C53" s="54"/>
      <c r="D53" s="54"/>
      <c r="E53" s="63"/>
      <c r="F53" s="64"/>
      <c r="G53" s="65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66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66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8"/>
      <c r="AT53" s="63"/>
      <c r="AU53" s="63"/>
    </row>
    <row r="54" spans="1:47" ht="12.75" hidden="1" customHeight="1" outlineLevel="1" x14ac:dyDescent="0.2">
      <c r="A54" s="61" t="s">
        <v>195</v>
      </c>
      <c r="B54" s="62"/>
      <c r="C54" s="54"/>
      <c r="D54" s="54"/>
      <c r="E54" s="63"/>
      <c r="F54" s="64"/>
      <c r="G54" s="65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66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66"/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8"/>
      <c r="AT54" s="63"/>
      <c r="AU54" s="63"/>
    </row>
    <row r="55" spans="1:47" ht="12.75" hidden="1" customHeight="1" outlineLevel="1" x14ac:dyDescent="0.2">
      <c r="A55" s="61" t="s">
        <v>86</v>
      </c>
      <c r="B55" s="62">
        <v>0</v>
      </c>
      <c r="C55" s="54"/>
      <c r="D55" s="54">
        <v>0</v>
      </c>
      <c r="E55" s="63"/>
      <c r="F55" s="64"/>
      <c r="G55" s="65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66">
        <v>0</v>
      </c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66"/>
      <c r="AG55" s="67">
        <v>0</v>
      </c>
      <c r="AH55" s="67">
        <v>0</v>
      </c>
      <c r="AI55" s="67">
        <v>0</v>
      </c>
      <c r="AJ55" s="67">
        <v>0</v>
      </c>
      <c r="AK55" s="67">
        <v>0</v>
      </c>
      <c r="AL55" s="67">
        <v>0</v>
      </c>
      <c r="AM55" s="67">
        <v>0</v>
      </c>
      <c r="AN55" s="67">
        <v>0</v>
      </c>
      <c r="AO55" s="67">
        <v>0</v>
      </c>
      <c r="AP55" s="67">
        <v>0</v>
      </c>
      <c r="AQ55" s="67">
        <v>0</v>
      </c>
      <c r="AR55" s="67">
        <v>0</v>
      </c>
      <c r="AS55" s="68">
        <v>0</v>
      </c>
      <c r="AT55" s="63"/>
      <c r="AU55" s="63"/>
    </row>
    <row r="56" spans="1:47" ht="12.75" hidden="1" customHeight="1" outlineLevel="1" x14ac:dyDescent="0.2">
      <c r="A56" s="61" t="s">
        <v>110</v>
      </c>
      <c r="B56" s="62"/>
      <c r="C56" s="54"/>
      <c r="D56" s="54"/>
      <c r="E56" s="63"/>
      <c r="F56" s="64"/>
      <c r="G56" s="65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66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66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8"/>
      <c r="AT56" s="63"/>
      <c r="AU56" s="63"/>
    </row>
    <row r="57" spans="1:47" ht="12.75" hidden="1" customHeight="1" outlineLevel="1" x14ac:dyDescent="0.2">
      <c r="A57" s="61" t="s">
        <v>196</v>
      </c>
      <c r="B57" s="62">
        <v>0</v>
      </c>
      <c r="C57" s="54"/>
      <c r="D57" s="54">
        <v>0</v>
      </c>
      <c r="E57" s="63"/>
      <c r="F57" s="64"/>
      <c r="G57" s="65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66">
        <v>0</v>
      </c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66"/>
      <c r="AG57" s="67">
        <v>0</v>
      </c>
      <c r="AH57" s="67">
        <v>0</v>
      </c>
      <c r="AI57" s="67">
        <v>0</v>
      </c>
      <c r="AJ57" s="67">
        <v>0</v>
      </c>
      <c r="AK57" s="67">
        <v>0</v>
      </c>
      <c r="AL57" s="67">
        <v>0</v>
      </c>
      <c r="AM57" s="67">
        <v>0</v>
      </c>
      <c r="AN57" s="67">
        <v>0</v>
      </c>
      <c r="AO57" s="67">
        <v>0</v>
      </c>
      <c r="AP57" s="67">
        <v>0</v>
      </c>
      <c r="AQ57" s="67">
        <v>0</v>
      </c>
      <c r="AR57" s="67">
        <v>0</v>
      </c>
      <c r="AS57" s="68">
        <v>0</v>
      </c>
      <c r="AT57" s="63"/>
      <c r="AU57" s="63"/>
    </row>
    <row r="58" spans="1:47" ht="12.75" hidden="1" customHeight="1" outlineLevel="1" x14ac:dyDescent="0.2">
      <c r="A58" s="61" t="s">
        <v>197</v>
      </c>
      <c r="B58" s="62">
        <v>0</v>
      </c>
      <c r="C58" s="54">
        <v>0</v>
      </c>
      <c r="D58" s="54">
        <v>0</v>
      </c>
      <c r="E58" s="63"/>
      <c r="F58" s="64"/>
      <c r="G58" s="65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0</v>
      </c>
      <c r="AI58" s="67">
        <v>0</v>
      </c>
      <c r="AJ58" s="67">
        <v>0</v>
      </c>
      <c r="AK58" s="67">
        <v>0</v>
      </c>
      <c r="AL58" s="67">
        <v>0</v>
      </c>
      <c r="AM58" s="67">
        <v>0</v>
      </c>
      <c r="AN58" s="67">
        <v>0</v>
      </c>
      <c r="AO58" s="67">
        <v>0</v>
      </c>
      <c r="AP58" s="67">
        <v>0</v>
      </c>
      <c r="AQ58" s="67">
        <v>0</v>
      </c>
      <c r="AR58" s="67">
        <v>0</v>
      </c>
      <c r="AS58" s="68">
        <v>0</v>
      </c>
      <c r="AT58" s="63"/>
      <c r="AU58" s="63"/>
    </row>
    <row r="59" spans="1:47" ht="12.75" hidden="1" customHeight="1" outlineLevel="1" x14ac:dyDescent="0.2">
      <c r="A59" s="61" t="s">
        <v>198</v>
      </c>
      <c r="B59" s="62">
        <v>0</v>
      </c>
      <c r="C59" s="54">
        <v>0</v>
      </c>
      <c r="D59" s="54">
        <v>0</v>
      </c>
      <c r="E59" s="63"/>
      <c r="F59" s="64"/>
      <c r="G59" s="65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66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66">
        <v>0</v>
      </c>
      <c r="AG59" s="67">
        <v>0</v>
      </c>
      <c r="AH59" s="67">
        <v>0</v>
      </c>
      <c r="AI59" s="67">
        <v>0</v>
      </c>
      <c r="AJ59" s="67">
        <v>0</v>
      </c>
      <c r="AK59" s="67">
        <v>0</v>
      </c>
      <c r="AL59" s="67">
        <v>0</v>
      </c>
      <c r="AM59" s="67">
        <v>0</v>
      </c>
      <c r="AN59" s="67">
        <v>0</v>
      </c>
      <c r="AO59" s="67">
        <v>0</v>
      </c>
      <c r="AP59" s="67">
        <v>0</v>
      </c>
      <c r="AQ59" s="67">
        <v>0</v>
      </c>
      <c r="AR59" s="67">
        <v>0</v>
      </c>
      <c r="AS59" s="68">
        <v>0</v>
      </c>
      <c r="AT59" s="63"/>
      <c r="AU59" s="63"/>
    </row>
    <row r="60" spans="1:47" ht="12.75" customHeight="1" collapsed="1" x14ac:dyDescent="0.2">
      <c r="A60" s="69" t="s">
        <v>89</v>
      </c>
      <c r="B60" s="70">
        <v>0</v>
      </c>
      <c r="C60" s="71">
        <v>0</v>
      </c>
      <c r="D60" s="71">
        <v>0</v>
      </c>
      <c r="E60" s="72"/>
      <c r="F60" s="73"/>
      <c r="G60" s="70">
        <v>0</v>
      </c>
      <c r="H60" s="71">
        <v>0</v>
      </c>
      <c r="I60" s="71">
        <v>0</v>
      </c>
      <c r="J60" s="71">
        <v>0</v>
      </c>
      <c r="K60" s="71">
        <v>0</v>
      </c>
      <c r="L60" s="71">
        <v>0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v>0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71">
        <v>0</v>
      </c>
      <c r="AE60" s="71">
        <v>0</v>
      </c>
      <c r="AF60" s="71">
        <v>0</v>
      </c>
      <c r="AG60" s="75">
        <v>0</v>
      </c>
      <c r="AH60" s="75">
        <v>0</v>
      </c>
      <c r="AI60" s="75">
        <v>0</v>
      </c>
      <c r="AJ60" s="75">
        <v>0</v>
      </c>
      <c r="AK60" s="75">
        <v>0</v>
      </c>
      <c r="AL60" s="75">
        <v>0</v>
      </c>
      <c r="AM60" s="75">
        <v>0</v>
      </c>
      <c r="AN60" s="75">
        <v>0</v>
      </c>
      <c r="AO60" s="75">
        <v>0</v>
      </c>
      <c r="AP60" s="75">
        <v>0</v>
      </c>
      <c r="AQ60" s="75">
        <v>0</v>
      </c>
      <c r="AR60" s="75">
        <v>0</v>
      </c>
      <c r="AS60" s="75">
        <v>0</v>
      </c>
      <c r="AT60" s="72"/>
      <c r="AU60" s="72"/>
    </row>
    <row r="61" spans="1:47" ht="12.75" customHeight="1" x14ac:dyDescent="0.2">
      <c r="A61" s="77" t="s">
        <v>201</v>
      </c>
      <c r="B61" s="78">
        <v>21287.31</v>
      </c>
      <c r="C61" s="79">
        <v>0</v>
      </c>
      <c r="D61" s="79">
        <v>26156.22</v>
      </c>
      <c r="E61" s="80"/>
      <c r="F61" s="81">
        <v>81.385268972351511</v>
      </c>
      <c r="G61" s="78">
        <v>18461.86</v>
      </c>
      <c r="H61" s="79">
        <v>33396.14</v>
      </c>
      <c r="I61" s="79">
        <v>20043.3</v>
      </c>
      <c r="J61" s="79">
        <v>21287.31</v>
      </c>
      <c r="K61" s="82">
        <v>-370.88</v>
      </c>
      <c r="L61" s="79">
        <v>0</v>
      </c>
      <c r="M61" s="79">
        <v>0</v>
      </c>
      <c r="N61" s="79">
        <v>0</v>
      </c>
      <c r="O61" s="79">
        <v>0</v>
      </c>
      <c r="P61" s="79">
        <v>0</v>
      </c>
      <c r="Q61" s="79">
        <v>0</v>
      </c>
      <c r="R61" s="79">
        <v>0</v>
      </c>
      <c r="S61" s="79">
        <v>93188.61</v>
      </c>
      <c r="T61" s="79">
        <v>0</v>
      </c>
      <c r="U61" s="79">
        <v>0</v>
      </c>
      <c r="V61" s="79">
        <v>0</v>
      </c>
      <c r="W61" s="79">
        <v>0</v>
      </c>
      <c r="X61" s="79">
        <v>0</v>
      </c>
      <c r="Y61" s="79">
        <v>0</v>
      </c>
      <c r="Z61" s="79">
        <v>0</v>
      </c>
      <c r="AA61" s="79">
        <v>0</v>
      </c>
      <c r="AB61" s="79">
        <v>0</v>
      </c>
      <c r="AC61" s="79">
        <v>0</v>
      </c>
      <c r="AD61" s="79">
        <v>0</v>
      </c>
      <c r="AE61" s="79">
        <v>0</v>
      </c>
      <c r="AF61" s="79">
        <v>0</v>
      </c>
      <c r="AG61" s="83">
        <v>22070.61</v>
      </c>
      <c r="AH61" s="83">
        <v>31984.05</v>
      </c>
      <c r="AI61" s="83">
        <v>22436.21</v>
      </c>
      <c r="AJ61" s="83">
        <v>26156.22</v>
      </c>
      <c r="AK61" s="83">
        <v>32031.54</v>
      </c>
      <c r="AL61" s="83">
        <v>22764.71</v>
      </c>
      <c r="AM61" s="83">
        <v>1660.18</v>
      </c>
      <c r="AN61" s="83">
        <v>28936.17</v>
      </c>
      <c r="AO61" s="83">
        <v>11573.5</v>
      </c>
      <c r="AP61" s="83">
        <v>16199.4</v>
      </c>
      <c r="AQ61" s="83">
        <v>23269.13</v>
      </c>
      <c r="AR61" s="83">
        <v>15482.94</v>
      </c>
      <c r="AS61" s="83">
        <v>102647.09</v>
      </c>
      <c r="AT61" s="80"/>
      <c r="AU61" s="80">
        <v>90.785437755712309</v>
      </c>
    </row>
    <row r="62" spans="1:47" ht="12.75" customHeight="1" x14ac:dyDescent="0.2">
      <c r="A62" s="84" t="s">
        <v>8</v>
      </c>
      <c r="B62" s="135">
        <v>-2014.89</v>
      </c>
      <c r="C62" s="86">
        <v>0</v>
      </c>
      <c r="D62" s="86">
        <v>155.36000000000001</v>
      </c>
      <c r="E62" s="87"/>
      <c r="F62" s="88">
        <v>-1296.9168383110195</v>
      </c>
      <c r="G62" s="85">
        <v>5653.31</v>
      </c>
      <c r="H62" s="89">
        <v>-11975.59</v>
      </c>
      <c r="I62" s="86">
        <v>1876.13</v>
      </c>
      <c r="J62" s="89">
        <v>-2014.89</v>
      </c>
      <c r="K62" s="86">
        <v>1949.15</v>
      </c>
      <c r="L62" s="86">
        <v>0</v>
      </c>
      <c r="M62" s="86">
        <v>0</v>
      </c>
      <c r="N62" s="86">
        <v>0</v>
      </c>
      <c r="O62" s="86">
        <v>0</v>
      </c>
      <c r="P62" s="86">
        <v>0</v>
      </c>
      <c r="Q62" s="86">
        <v>0</v>
      </c>
      <c r="R62" s="86">
        <v>0</v>
      </c>
      <c r="S62" s="89">
        <v>-6461.04</v>
      </c>
      <c r="T62" s="86">
        <v>0</v>
      </c>
      <c r="U62" s="86">
        <v>0</v>
      </c>
      <c r="V62" s="86">
        <v>0</v>
      </c>
      <c r="W62" s="86">
        <v>0</v>
      </c>
      <c r="X62" s="86">
        <v>0</v>
      </c>
      <c r="Y62" s="86">
        <v>0</v>
      </c>
      <c r="Z62" s="86">
        <v>0</v>
      </c>
      <c r="AA62" s="86">
        <v>0</v>
      </c>
      <c r="AB62" s="86">
        <v>0</v>
      </c>
      <c r="AC62" s="86">
        <v>0</v>
      </c>
      <c r="AD62" s="86">
        <v>0</v>
      </c>
      <c r="AE62" s="86">
        <v>0</v>
      </c>
      <c r="AF62" s="86">
        <v>0</v>
      </c>
      <c r="AG62" s="136">
        <v>-4304.75</v>
      </c>
      <c r="AH62" s="136">
        <v>-4954.16</v>
      </c>
      <c r="AI62" s="90">
        <v>595.9</v>
      </c>
      <c r="AJ62" s="90">
        <v>155.36000000000001</v>
      </c>
      <c r="AK62" s="136">
        <v>-7682.68</v>
      </c>
      <c r="AL62" s="90">
        <v>9570.7900000000009</v>
      </c>
      <c r="AM62" s="90">
        <v>26009.95</v>
      </c>
      <c r="AN62" s="90">
        <v>1739.67</v>
      </c>
      <c r="AO62" s="90">
        <v>14379.63</v>
      </c>
      <c r="AP62" s="90">
        <v>1124.43</v>
      </c>
      <c r="AQ62" s="136">
        <v>-3075.14</v>
      </c>
      <c r="AR62" s="90">
        <v>2576.83</v>
      </c>
      <c r="AS62" s="136">
        <v>-8507.65</v>
      </c>
      <c r="AT62" s="87"/>
      <c r="AU62" s="87">
        <v>75.943885796900432</v>
      </c>
    </row>
    <row r="63" spans="1:47" x14ac:dyDescent="0.2">
      <c r="S63" s="94"/>
    </row>
    <row r="65" spans="1:46" ht="15" x14ac:dyDescent="0.25">
      <c r="A65" s="16"/>
      <c r="B65" s="16"/>
      <c r="C65" s="16"/>
      <c r="D65" s="16"/>
      <c r="S65" s="18"/>
    </row>
    <row r="66" spans="1:46" ht="15" x14ac:dyDescent="0.25">
      <c r="A66" s="16"/>
      <c r="B66" s="16"/>
      <c r="C66" s="16"/>
      <c r="D66" s="16"/>
      <c r="S66" s="18"/>
    </row>
    <row r="67" spans="1:46" ht="15" x14ac:dyDescent="0.25">
      <c r="A67" s="16"/>
      <c r="B67" s="16"/>
      <c r="C67" s="16"/>
      <c r="D67" s="16"/>
      <c r="S67" s="18"/>
    </row>
    <row r="68" spans="1:46" ht="15" x14ac:dyDescent="0.25">
      <c r="A68" s="16"/>
      <c r="B68" s="16"/>
      <c r="C68" s="16"/>
      <c r="D68" s="16"/>
    </row>
    <row r="69" spans="1:46" ht="15" x14ac:dyDescent="0.25">
      <c r="A69" s="16"/>
      <c r="B69" s="25"/>
      <c r="C69" s="17"/>
      <c r="D69" s="25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</row>
    <row r="70" spans="1:46" ht="15" x14ac:dyDescent="0.25">
      <c r="A70" s="16"/>
      <c r="B70" s="16"/>
      <c r="C70" s="16"/>
      <c r="D70" s="16"/>
      <c r="AE70" s="365" t="s">
        <v>465</v>
      </c>
      <c r="AF70" s="26">
        <f>SUM(T2:AE2)</f>
        <v>0</v>
      </c>
    </row>
    <row r="71" spans="1:46" ht="15" x14ac:dyDescent="0.25">
      <c r="A71" s="16"/>
      <c r="B71" s="16"/>
      <c r="C71" s="16"/>
      <c r="D71" s="16"/>
      <c r="AE71" s="365"/>
      <c r="AF71" s="26">
        <f>SUM(T9:AE16)</f>
        <v>0</v>
      </c>
    </row>
    <row r="72" spans="1:46" ht="15" x14ac:dyDescent="0.25">
      <c r="A72" s="16"/>
      <c r="B72" s="16"/>
      <c r="C72" s="16"/>
      <c r="D72" s="16"/>
      <c r="AE72" s="365" t="s">
        <v>303</v>
      </c>
      <c r="AF72" s="26">
        <f>+AF70-AF71</f>
        <v>0</v>
      </c>
    </row>
    <row r="73" spans="1:46" ht="15" x14ac:dyDescent="0.25">
      <c r="A73" s="16"/>
      <c r="B73" s="16"/>
      <c r="C73" s="16"/>
      <c r="D73" s="16"/>
      <c r="AE73" s="365" t="s">
        <v>466</v>
      </c>
      <c r="AF73" s="482">
        <f>+SUM(T17:AE18)+SUM(T22:AE22)+SUM(T33:AE33)+SUM(T48:AE48)+SUM(T60:AE60)</f>
        <v>0</v>
      </c>
    </row>
    <row r="74" spans="1:46" x14ac:dyDescent="0.2">
      <c r="AE74" s="365"/>
      <c r="AF74" s="365"/>
    </row>
    <row r="75" spans="1:46" x14ac:dyDescent="0.2">
      <c r="AE75" s="365" t="s">
        <v>419</v>
      </c>
      <c r="AF75" s="18">
        <f>+AF72-AF73</f>
        <v>0</v>
      </c>
    </row>
    <row r="76" spans="1:46" ht="15" x14ac:dyDescent="0.25">
      <c r="A76" s="27"/>
      <c r="B76" s="92"/>
      <c r="G76" s="92"/>
      <c r="H76" s="92"/>
      <c r="I76" s="92"/>
      <c r="J76" s="92"/>
      <c r="S76" s="92"/>
      <c r="AE76" s="365"/>
      <c r="AF76" s="482">
        <f>+AF75-SUM(T62:AE62)</f>
        <v>0</v>
      </c>
    </row>
    <row r="77" spans="1:46" ht="15" x14ac:dyDescent="0.25">
      <c r="A77" s="27"/>
      <c r="B77" s="92"/>
      <c r="G77" s="92"/>
      <c r="H77" s="92"/>
      <c r="I77" s="92"/>
      <c r="J77" s="92"/>
      <c r="S77" s="92"/>
    </row>
    <row r="79" spans="1:46" x14ac:dyDescent="0.2">
      <c r="S79" s="93"/>
    </row>
    <row r="81" spans="19:19" x14ac:dyDescent="0.2">
      <c r="S81" s="94"/>
    </row>
  </sheetData>
  <hyperlinks>
    <hyperlink ref="AF73" r:id="rId1" display="+@sum(T17:AE18)+@sum(T22:AE22)+@sum(T33:AE33)+@sum(T48:AE48)+@sum(T62:AE62)"/>
    <hyperlink ref="AF76" r:id="rId2" display="+AF75-@sum(T64:AE64)"/>
  </hyperlinks>
  <pageMargins left="0.75" right="0.75" top="1" bottom="1" header="0.5" footer="0.5"/>
  <pageSetup orientation="portrait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9" tint="0.59999389629810485"/>
  </sheetPr>
  <dimension ref="A1:AX8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sqref="A1:AU62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9.42578125" collapsed="1"/>
    <col min="46" max="47" width="10.5703125" customWidth="1"/>
  </cols>
  <sheetData>
    <row r="1" spans="1:50" ht="36.7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50" s="203" customFormat="1" x14ac:dyDescent="0.2">
      <c r="A2" s="61" t="s">
        <v>7</v>
      </c>
      <c r="B2" s="62">
        <v>396</v>
      </c>
      <c r="C2" s="54">
        <v>0</v>
      </c>
      <c r="D2" s="54">
        <v>579.33000000000004</v>
      </c>
      <c r="E2" s="63"/>
      <c r="F2" s="64">
        <v>68.354823675625298</v>
      </c>
      <c r="G2" s="65">
        <v>890.88</v>
      </c>
      <c r="H2" s="54">
        <v>1191.78</v>
      </c>
      <c r="I2" s="54">
        <v>1017.3</v>
      </c>
      <c r="J2" s="54">
        <v>396</v>
      </c>
      <c r="K2" s="54">
        <v>42.24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3495.96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483.72</v>
      </c>
      <c r="AH2" s="67">
        <v>750.28</v>
      </c>
      <c r="AI2" s="67">
        <v>697.44</v>
      </c>
      <c r="AJ2" s="67">
        <v>579.33000000000004</v>
      </c>
      <c r="AK2" s="67">
        <v>834.78</v>
      </c>
      <c r="AL2" s="67">
        <v>670.04</v>
      </c>
      <c r="AM2" s="67">
        <v>482.63</v>
      </c>
      <c r="AN2" s="67">
        <v>606.91</v>
      </c>
      <c r="AO2" s="67">
        <v>684.59</v>
      </c>
      <c r="AP2" s="67">
        <v>536.13</v>
      </c>
      <c r="AQ2" s="67">
        <v>925.76</v>
      </c>
      <c r="AR2" s="67">
        <v>789.6</v>
      </c>
      <c r="AS2" s="68">
        <v>2510.77</v>
      </c>
      <c r="AT2" s="63"/>
      <c r="AU2" s="63">
        <v>139.23856028230384</v>
      </c>
    </row>
    <row r="3" spans="1:50" ht="12.75" hidden="1" customHeight="1" outlineLevel="1" x14ac:dyDescent="0.2">
      <c r="A3" s="61" t="s">
        <v>160</v>
      </c>
      <c r="B3" s="62">
        <v>0</v>
      </c>
      <c r="C3" s="54">
        <v>0</v>
      </c>
      <c r="D3" s="54">
        <v>0</v>
      </c>
      <c r="E3" s="63"/>
      <c r="F3" s="64"/>
      <c r="G3" s="65">
        <v>0</v>
      </c>
      <c r="H3" s="54">
        <v>0</v>
      </c>
      <c r="I3" s="54">
        <v>0</v>
      </c>
      <c r="J3" s="54">
        <v>0</v>
      </c>
      <c r="K3" s="54">
        <v>0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0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0</v>
      </c>
      <c r="AH3" s="67">
        <v>0</v>
      </c>
      <c r="AI3" s="67">
        <v>0</v>
      </c>
      <c r="AJ3" s="67">
        <v>0</v>
      </c>
      <c r="AK3" s="67">
        <v>0</v>
      </c>
      <c r="AL3" s="67">
        <v>0</v>
      </c>
      <c r="AM3" s="67">
        <v>0</v>
      </c>
      <c r="AN3" s="67">
        <v>0</v>
      </c>
      <c r="AO3" s="67">
        <v>0</v>
      </c>
      <c r="AP3" s="67">
        <v>0</v>
      </c>
      <c r="AQ3" s="67">
        <v>0</v>
      </c>
      <c r="AR3" s="67">
        <v>0</v>
      </c>
      <c r="AS3" s="68">
        <v>0</v>
      </c>
      <c r="AT3" s="63"/>
      <c r="AU3" s="63"/>
      <c r="AW3">
        <f>D3/D2</f>
        <v>0</v>
      </c>
      <c r="AX3">
        <f>B2*AW3</f>
        <v>0</v>
      </c>
    </row>
    <row r="4" spans="1:50" ht="12.75" hidden="1" customHeight="1" outlineLevel="1" x14ac:dyDescent="0.2">
      <c r="A4" s="61" t="s">
        <v>161</v>
      </c>
      <c r="B4" s="62">
        <v>0</v>
      </c>
      <c r="C4" s="54">
        <v>0</v>
      </c>
      <c r="D4" s="54">
        <v>0</v>
      </c>
      <c r="E4" s="63"/>
      <c r="F4" s="64"/>
      <c r="G4" s="65">
        <v>0</v>
      </c>
      <c r="H4" s="54">
        <v>0</v>
      </c>
      <c r="I4" s="54">
        <v>0</v>
      </c>
      <c r="J4" s="54">
        <v>0</v>
      </c>
      <c r="K4" s="54">
        <v>0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0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0</v>
      </c>
      <c r="AH4" s="67">
        <v>0</v>
      </c>
      <c r="AI4" s="67">
        <v>0</v>
      </c>
      <c r="AJ4" s="67">
        <v>0</v>
      </c>
      <c r="AK4" s="67">
        <v>0</v>
      </c>
      <c r="AL4" s="67">
        <v>0</v>
      </c>
      <c r="AM4" s="67">
        <v>0</v>
      </c>
      <c r="AN4" s="67">
        <v>0</v>
      </c>
      <c r="AO4" s="67">
        <v>0</v>
      </c>
      <c r="AP4" s="67">
        <v>0</v>
      </c>
      <c r="AQ4" s="67">
        <v>0</v>
      </c>
      <c r="AR4" s="67">
        <v>0</v>
      </c>
      <c r="AS4" s="68">
        <v>0</v>
      </c>
      <c r="AT4" s="63"/>
      <c r="AU4" s="63"/>
    </row>
    <row r="5" spans="1:50" ht="12.75" hidden="1" customHeight="1" outlineLevel="1" x14ac:dyDescent="0.2">
      <c r="A5" s="61" t="s">
        <v>162</v>
      </c>
      <c r="B5" s="62">
        <v>0</v>
      </c>
      <c r="C5" s="54">
        <v>0</v>
      </c>
      <c r="D5" s="54">
        <v>0</v>
      </c>
      <c r="E5" s="63"/>
      <c r="F5" s="64"/>
      <c r="G5" s="65">
        <v>0</v>
      </c>
      <c r="H5" s="54">
        <v>0</v>
      </c>
      <c r="I5" s="54">
        <v>0</v>
      </c>
      <c r="J5" s="54">
        <v>0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0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0</v>
      </c>
      <c r="AH5" s="67">
        <v>0</v>
      </c>
      <c r="AI5" s="67">
        <v>0</v>
      </c>
      <c r="AJ5" s="67">
        <v>0</v>
      </c>
      <c r="AK5" s="67">
        <v>0</v>
      </c>
      <c r="AL5" s="67">
        <v>0</v>
      </c>
      <c r="AM5" s="67">
        <v>0</v>
      </c>
      <c r="AN5" s="67">
        <v>0</v>
      </c>
      <c r="AO5" s="67">
        <v>0</v>
      </c>
      <c r="AP5" s="67">
        <v>0</v>
      </c>
      <c r="AQ5" s="67">
        <v>0</v>
      </c>
      <c r="AR5" s="67">
        <v>0</v>
      </c>
      <c r="AS5" s="68">
        <v>0</v>
      </c>
      <c r="AT5" s="63"/>
      <c r="AU5" s="63"/>
    </row>
    <row r="6" spans="1:50" ht="12.75" hidden="1" customHeight="1" outlineLevel="1" x14ac:dyDescent="0.2">
      <c r="A6" s="61" t="s">
        <v>163</v>
      </c>
      <c r="B6" s="62"/>
      <c r="C6" s="54">
        <v>0</v>
      </c>
      <c r="D6" s="54"/>
      <c r="E6" s="63"/>
      <c r="F6" s="64"/>
      <c r="G6" s="65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66"/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66">
        <v>0</v>
      </c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8"/>
      <c r="AT6" s="63"/>
      <c r="AU6" s="63"/>
    </row>
    <row r="7" spans="1:50" ht="12.75" hidden="1" customHeight="1" outlineLevel="1" x14ac:dyDescent="0.2">
      <c r="A7" s="61" t="s">
        <v>164</v>
      </c>
      <c r="B7" s="62">
        <v>233</v>
      </c>
      <c r="C7" s="54">
        <v>0</v>
      </c>
      <c r="D7" s="54">
        <v>0</v>
      </c>
      <c r="E7" s="63"/>
      <c r="F7" s="64"/>
      <c r="G7" s="65">
        <v>431.64</v>
      </c>
      <c r="H7" s="54">
        <v>233</v>
      </c>
      <c r="I7" s="54">
        <v>233</v>
      </c>
      <c r="J7" s="54">
        <v>233</v>
      </c>
      <c r="K7" s="56">
        <v>-188.85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66">
        <v>1130.6400000000001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12.78</v>
      </c>
      <c r="AH7" s="67">
        <v>12.78</v>
      </c>
      <c r="AI7" s="98">
        <v>-25.56</v>
      </c>
      <c r="AJ7" s="67">
        <v>0</v>
      </c>
      <c r="AK7" s="67">
        <v>0</v>
      </c>
      <c r="AL7" s="67">
        <v>0</v>
      </c>
      <c r="AM7" s="67">
        <v>0</v>
      </c>
      <c r="AN7" s="67">
        <v>0</v>
      </c>
      <c r="AO7" s="67">
        <v>0</v>
      </c>
      <c r="AP7" s="67">
        <v>107.92</v>
      </c>
      <c r="AQ7" s="67">
        <v>107.92</v>
      </c>
      <c r="AR7" s="67">
        <v>107.92</v>
      </c>
      <c r="AS7" s="68">
        <v>0</v>
      </c>
      <c r="AT7" s="63"/>
      <c r="AU7" s="63"/>
    </row>
    <row r="8" spans="1:50" ht="12.75" hidden="1" customHeight="1" outlineLevel="1" x14ac:dyDescent="0.2">
      <c r="A8" s="61" t="s">
        <v>165</v>
      </c>
      <c r="B8" s="62">
        <v>0</v>
      </c>
      <c r="C8" s="54">
        <v>0</v>
      </c>
      <c r="D8" s="54">
        <v>0</v>
      </c>
      <c r="E8" s="63"/>
      <c r="F8" s="64"/>
      <c r="G8" s="65">
        <v>0</v>
      </c>
      <c r="H8" s="54">
        <v>0</v>
      </c>
      <c r="I8" s="54">
        <v>0</v>
      </c>
      <c r="J8" s="54">
        <v>0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66">
        <v>0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66">
        <v>0</v>
      </c>
      <c r="AG8" s="67">
        <v>0</v>
      </c>
      <c r="AH8" s="67">
        <v>0</v>
      </c>
      <c r="AI8" s="67">
        <v>0</v>
      </c>
      <c r="AJ8" s="67">
        <v>0</v>
      </c>
      <c r="AK8" s="67">
        <v>0</v>
      </c>
      <c r="AL8" s="67">
        <v>0</v>
      </c>
      <c r="AM8" s="67">
        <v>0</v>
      </c>
      <c r="AN8" s="67">
        <v>0</v>
      </c>
      <c r="AO8" s="67">
        <v>0</v>
      </c>
      <c r="AP8" s="67">
        <v>0</v>
      </c>
      <c r="AQ8" s="67">
        <v>0</v>
      </c>
      <c r="AR8" s="67">
        <v>0</v>
      </c>
      <c r="AS8" s="68">
        <v>0</v>
      </c>
      <c r="AT8" s="63"/>
      <c r="AU8" s="63"/>
    </row>
    <row r="9" spans="1:50" ht="12.75" customHeight="1" collapsed="1" x14ac:dyDescent="0.2">
      <c r="A9" s="69" t="s">
        <v>166</v>
      </c>
      <c r="B9" s="70">
        <v>233</v>
      </c>
      <c r="C9" s="71">
        <v>0</v>
      </c>
      <c r="D9" s="71">
        <v>0</v>
      </c>
      <c r="E9" s="72"/>
      <c r="F9" s="73"/>
      <c r="G9" s="70">
        <v>431.64</v>
      </c>
      <c r="H9" s="71">
        <v>233</v>
      </c>
      <c r="I9" s="71">
        <v>233</v>
      </c>
      <c r="J9" s="71">
        <v>233</v>
      </c>
      <c r="K9" s="74">
        <v>-188.85</v>
      </c>
      <c r="L9" s="71">
        <v>0</v>
      </c>
      <c r="M9" s="71">
        <v>0</v>
      </c>
      <c r="N9" s="71">
        <v>0</v>
      </c>
      <c r="O9" s="71">
        <v>0</v>
      </c>
      <c r="P9" s="71">
        <v>0</v>
      </c>
      <c r="Q9" s="71">
        <v>0</v>
      </c>
      <c r="R9" s="71">
        <v>0</v>
      </c>
      <c r="S9" s="71">
        <v>1130.6400000000001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0</v>
      </c>
      <c r="AA9" s="71">
        <v>0</v>
      </c>
      <c r="AB9" s="71">
        <v>0</v>
      </c>
      <c r="AC9" s="71">
        <v>0</v>
      </c>
      <c r="AD9" s="71">
        <v>0</v>
      </c>
      <c r="AE9" s="71">
        <v>0</v>
      </c>
      <c r="AF9" s="71">
        <v>0</v>
      </c>
      <c r="AG9" s="75">
        <v>12.78</v>
      </c>
      <c r="AH9" s="75">
        <v>12.78</v>
      </c>
      <c r="AI9" s="134">
        <v>-25.56</v>
      </c>
      <c r="AJ9" s="75">
        <v>0</v>
      </c>
      <c r="AK9" s="75">
        <v>0</v>
      </c>
      <c r="AL9" s="75">
        <v>0</v>
      </c>
      <c r="AM9" s="75">
        <v>0</v>
      </c>
      <c r="AN9" s="75">
        <v>0</v>
      </c>
      <c r="AO9" s="75">
        <v>0</v>
      </c>
      <c r="AP9" s="75">
        <v>107.92</v>
      </c>
      <c r="AQ9" s="75">
        <v>107.92</v>
      </c>
      <c r="AR9" s="75">
        <v>107.92</v>
      </c>
      <c r="AS9" s="75">
        <v>0</v>
      </c>
      <c r="AT9" s="72"/>
      <c r="AU9" s="72"/>
      <c r="AW9" s="94"/>
      <c r="AX9" s="94"/>
    </row>
    <row r="10" spans="1:50" ht="12.75" customHeight="1" x14ac:dyDescent="0.2">
      <c r="A10" s="61" t="s">
        <v>167</v>
      </c>
      <c r="B10" s="62">
        <v>0</v>
      </c>
      <c r="C10" s="54">
        <v>0</v>
      </c>
      <c r="D10" s="54">
        <v>0</v>
      </c>
      <c r="E10" s="63"/>
      <c r="F10" s="64"/>
      <c r="G10" s="65">
        <v>0</v>
      </c>
      <c r="H10" s="54">
        <v>0</v>
      </c>
      <c r="I10" s="54">
        <v>0</v>
      </c>
      <c r="J10" s="54">
        <v>0</v>
      </c>
      <c r="K10" s="54">
        <v>0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66">
        <v>0</v>
      </c>
      <c r="T10" s="54">
        <v>0</v>
      </c>
      <c r="U10" s="54">
        <v>0</v>
      </c>
      <c r="V10" s="54">
        <v>0</v>
      </c>
      <c r="W10" s="54">
        <v>0</v>
      </c>
      <c r="X10" s="54">
        <v>0</v>
      </c>
      <c r="Y10" s="54">
        <v>0</v>
      </c>
      <c r="Z10" s="54">
        <v>0</v>
      </c>
      <c r="AA10" s="54">
        <v>0</v>
      </c>
      <c r="AB10" s="54">
        <v>0</v>
      </c>
      <c r="AC10" s="54">
        <v>0</v>
      </c>
      <c r="AD10" s="54">
        <v>0</v>
      </c>
      <c r="AE10" s="54">
        <v>0</v>
      </c>
      <c r="AF10" s="66">
        <v>0</v>
      </c>
      <c r="AG10" s="67">
        <v>0</v>
      </c>
      <c r="AH10" s="67">
        <v>0</v>
      </c>
      <c r="AI10" s="67">
        <v>0</v>
      </c>
      <c r="AJ10" s="67">
        <v>0</v>
      </c>
      <c r="AK10" s="67">
        <v>0</v>
      </c>
      <c r="AL10" s="67">
        <v>0</v>
      </c>
      <c r="AM10" s="67">
        <v>0</v>
      </c>
      <c r="AN10" s="67">
        <v>0</v>
      </c>
      <c r="AO10" s="67">
        <v>0</v>
      </c>
      <c r="AP10" s="67">
        <v>0</v>
      </c>
      <c r="AQ10" s="67">
        <v>0</v>
      </c>
      <c r="AR10" s="67">
        <v>0</v>
      </c>
      <c r="AS10" s="68">
        <v>0</v>
      </c>
      <c r="AT10" s="63"/>
      <c r="AU10" s="63"/>
    </row>
    <row r="11" spans="1:50" ht="12.75" customHeight="1" x14ac:dyDescent="0.2">
      <c r="A11" s="61" t="s">
        <v>168</v>
      </c>
      <c r="B11" s="62">
        <v>0</v>
      </c>
      <c r="C11" s="54">
        <v>0</v>
      </c>
      <c r="D11" s="54">
        <v>0</v>
      </c>
      <c r="E11" s="63"/>
      <c r="F11" s="64"/>
      <c r="G11" s="65">
        <v>0</v>
      </c>
      <c r="H11" s="54">
        <v>0</v>
      </c>
      <c r="I11" s="54">
        <v>0</v>
      </c>
      <c r="J11" s="54">
        <v>0</v>
      </c>
      <c r="K11" s="54">
        <v>0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66">
        <v>0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0</v>
      </c>
      <c r="AC11" s="54">
        <v>0</v>
      </c>
      <c r="AD11" s="54">
        <v>0</v>
      </c>
      <c r="AE11" s="54">
        <v>0</v>
      </c>
      <c r="AF11" s="66">
        <v>0</v>
      </c>
      <c r="AG11" s="67">
        <v>0</v>
      </c>
      <c r="AH11" s="67">
        <v>0</v>
      </c>
      <c r="AI11" s="67">
        <v>0</v>
      </c>
      <c r="AJ11" s="67">
        <v>0</v>
      </c>
      <c r="AK11" s="67">
        <v>0</v>
      </c>
      <c r="AL11" s="67">
        <v>0</v>
      </c>
      <c r="AM11" s="67">
        <v>0</v>
      </c>
      <c r="AN11" s="67">
        <v>0</v>
      </c>
      <c r="AO11" s="67">
        <v>0</v>
      </c>
      <c r="AP11" s="67">
        <v>0</v>
      </c>
      <c r="AQ11" s="67">
        <v>0</v>
      </c>
      <c r="AR11" s="67">
        <v>0</v>
      </c>
      <c r="AS11" s="68">
        <v>0</v>
      </c>
      <c r="AT11" s="63"/>
      <c r="AU11" s="63"/>
    </row>
    <row r="12" spans="1:50" ht="12.75" customHeight="1" x14ac:dyDescent="0.2">
      <c r="A12" s="61" t="s">
        <v>169</v>
      </c>
      <c r="B12" s="62">
        <v>0</v>
      </c>
      <c r="C12" s="54">
        <v>0</v>
      </c>
      <c r="D12" s="54">
        <v>0</v>
      </c>
      <c r="E12" s="63"/>
      <c r="F12" s="64"/>
      <c r="G12" s="65">
        <v>0</v>
      </c>
      <c r="H12" s="54">
        <v>0</v>
      </c>
      <c r="I12" s="54">
        <v>0</v>
      </c>
      <c r="J12" s="54">
        <v>0</v>
      </c>
      <c r="K12" s="54">
        <v>0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66">
        <v>0</v>
      </c>
      <c r="T12" s="54">
        <v>0</v>
      </c>
      <c r="U12" s="54">
        <v>0</v>
      </c>
      <c r="V12" s="54">
        <v>0</v>
      </c>
      <c r="W12" s="54">
        <v>0</v>
      </c>
      <c r="X12" s="54">
        <v>0</v>
      </c>
      <c r="Y12" s="54">
        <v>0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66">
        <v>0</v>
      </c>
      <c r="AG12" s="67">
        <v>0</v>
      </c>
      <c r="AH12" s="67">
        <v>0</v>
      </c>
      <c r="AI12" s="67">
        <v>0</v>
      </c>
      <c r="AJ12" s="67">
        <v>0</v>
      </c>
      <c r="AK12" s="67">
        <v>0</v>
      </c>
      <c r="AL12" s="67">
        <v>0</v>
      </c>
      <c r="AM12" s="67">
        <v>0</v>
      </c>
      <c r="AN12" s="67">
        <v>0</v>
      </c>
      <c r="AO12" s="67">
        <v>0</v>
      </c>
      <c r="AP12" s="67">
        <v>0</v>
      </c>
      <c r="AQ12" s="67">
        <v>0</v>
      </c>
      <c r="AR12" s="67">
        <v>0</v>
      </c>
      <c r="AS12" s="68">
        <v>0</v>
      </c>
      <c r="AT12" s="63"/>
      <c r="AU12" s="63"/>
    </row>
    <row r="13" spans="1:50" ht="12.75" customHeight="1" x14ac:dyDescent="0.2">
      <c r="A13" s="61" t="s">
        <v>50</v>
      </c>
      <c r="B13" s="62">
        <v>0</v>
      </c>
      <c r="C13" s="54">
        <v>0</v>
      </c>
      <c r="D13" s="54">
        <v>59.4</v>
      </c>
      <c r="E13" s="63"/>
      <c r="F13" s="64">
        <v>0</v>
      </c>
      <c r="G13" s="65">
        <v>64.91</v>
      </c>
      <c r="H13" s="54">
        <v>0</v>
      </c>
      <c r="I13" s="54">
        <v>0</v>
      </c>
      <c r="J13" s="54">
        <v>0</v>
      </c>
      <c r="K13" s="54">
        <v>0</v>
      </c>
      <c r="L13" s="54">
        <v>0</v>
      </c>
      <c r="M13" s="54">
        <v>0</v>
      </c>
      <c r="N13" s="54">
        <v>0</v>
      </c>
      <c r="O13" s="54">
        <v>0</v>
      </c>
      <c r="P13" s="54">
        <v>0</v>
      </c>
      <c r="Q13" s="54">
        <v>0</v>
      </c>
      <c r="R13" s="54">
        <v>0</v>
      </c>
      <c r="S13" s="66">
        <v>64.91</v>
      </c>
      <c r="T13" s="54">
        <v>0</v>
      </c>
      <c r="U13" s="54">
        <v>0</v>
      </c>
      <c r="V13" s="54">
        <v>0</v>
      </c>
      <c r="W13" s="54">
        <v>0</v>
      </c>
      <c r="X13" s="54">
        <v>0</v>
      </c>
      <c r="Y13" s="54">
        <v>0</v>
      </c>
      <c r="Z13" s="54">
        <v>0</v>
      </c>
      <c r="AA13" s="54">
        <v>0</v>
      </c>
      <c r="AB13" s="54">
        <v>0</v>
      </c>
      <c r="AC13" s="54">
        <v>0</v>
      </c>
      <c r="AD13" s="54">
        <v>0</v>
      </c>
      <c r="AE13" s="54">
        <v>0</v>
      </c>
      <c r="AF13" s="66">
        <v>0</v>
      </c>
      <c r="AG13" s="67">
        <v>51.09</v>
      </c>
      <c r="AH13" s="67">
        <v>0</v>
      </c>
      <c r="AI13" s="98">
        <v>-51.09</v>
      </c>
      <c r="AJ13" s="67">
        <v>59.4</v>
      </c>
      <c r="AK13" s="67">
        <v>167.63</v>
      </c>
      <c r="AL13" s="67">
        <v>0</v>
      </c>
      <c r="AM13" s="67">
        <v>312.73</v>
      </c>
      <c r="AN13" s="67">
        <v>57.5</v>
      </c>
      <c r="AO13" s="67">
        <v>469.83</v>
      </c>
      <c r="AP13" s="67">
        <v>0</v>
      </c>
      <c r="AQ13" s="67">
        <v>0</v>
      </c>
      <c r="AR13" s="67">
        <v>0</v>
      </c>
      <c r="AS13" s="68">
        <v>59.4</v>
      </c>
      <c r="AT13" s="63"/>
      <c r="AU13" s="63">
        <v>109.27609427609427</v>
      </c>
    </row>
    <row r="14" spans="1:50" ht="12.75" customHeight="1" x14ac:dyDescent="0.2">
      <c r="A14" s="61" t="s">
        <v>170</v>
      </c>
      <c r="B14" s="62">
        <v>0</v>
      </c>
      <c r="C14" s="54">
        <v>0</v>
      </c>
      <c r="D14" s="54">
        <v>0</v>
      </c>
      <c r="E14" s="63"/>
      <c r="F14" s="64"/>
      <c r="G14" s="65">
        <v>0</v>
      </c>
      <c r="H14" s="54">
        <v>0</v>
      </c>
      <c r="I14" s="54">
        <v>0</v>
      </c>
      <c r="J14" s="54">
        <v>0</v>
      </c>
      <c r="K14" s="54">
        <v>0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0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67">
        <v>0</v>
      </c>
      <c r="AH14" s="67">
        <v>0</v>
      </c>
      <c r="AI14" s="67">
        <v>0</v>
      </c>
      <c r="AJ14" s="67">
        <v>0</v>
      </c>
      <c r="AK14" s="67">
        <v>0</v>
      </c>
      <c r="AL14" s="67">
        <v>0</v>
      </c>
      <c r="AM14" s="67">
        <v>0</v>
      </c>
      <c r="AN14" s="67">
        <v>0</v>
      </c>
      <c r="AO14" s="67">
        <v>0</v>
      </c>
      <c r="AP14" s="67">
        <v>0</v>
      </c>
      <c r="AQ14" s="67">
        <v>0</v>
      </c>
      <c r="AR14" s="67">
        <v>0</v>
      </c>
      <c r="AS14" s="68">
        <v>0</v>
      </c>
      <c r="AT14" s="63"/>
      <c r="AU14" s="63"/>
    </row>
    <row r="15" spans="1:50" ht="12.75" customHeight="1" x14ac:dyDescent="0.2">
      <c r="A15" s="61" t="s">
        <v>171</v>
      </c>
      <c r="B15" s="62">
        <v>0</v>
      </c>
      <c r="C15" s="54">
        <v>0</v>
      </c>
      <c r="D15" s="54">
        <v>0</v>
      </c>
      <c r="E15" s="63"/>
      <c r="F15" s="64"/>
      <c r="G15" s="65">
        <v>0</v>
      </c>
      <c r="H15" s="54">
        <v>0</v>
      </c>
      <c r="I15" s="54">
        <v>0</v>
      </c>
      <c r="J15" s="54">
        <v>0</v>
      </c>
      <c r="K15" s="54">
        <v>0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66">
        <v>0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66">
        <v>0</v>
      </c>
      <c r="AG15" s="67">
        <v>0</v>
      </c>
      <c r="AH15" s="67">
        <v>0</v>
      </c>
      <c r="AI15" s="67">
        <v>0</v>
      </c>
      <c r="AJ15" s="67">
        <v>0</v>
      </c>
      <c r="AK15" s="67">
        <v>0</v>
      </c>
      <c r="AL15" s="67">
        <v>0</v>
      </c>
      <c r="AM15" s="67">
        <v>0</v>
      </c>
      <c r="AN15" s="67">
        <v>0</v>
      </c>
      <c r="AO15" s="67">
        <v>0</v>
      </c>
      <c r="AP15" s="67">
        <v>0</v>
      </c>
      <c r="AQ15" s="67">
        <v>0</v>
      </c>
      <c r="AR15" s="67">
        <v>0</v>
      </c>
      <c r="AS15" s="68">
        <v>0</v>
      </c>
      <c r="AT15" s="63"/>
      <c r="AU15" s="63"/>
    </row>
    <row r="16" spans="1:50" ht="12.75" customHeight="1" x14ac:dyDescent="0.2">
      <c r="A16" s="61" t="s">
        <v>172</v>
      </c>
      <c r="B16" s="62"/>
      <c r="C16" s="54">
        <v>0</v>
      </c>
      <c r="D16" s="54"/>
      <c r="E16" s="63"/>
      <c r="F16" s="64"/>
      <c r="G16" s="65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66"/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8"/>
      <c r="AT16" s="63"/>
      <c r="AU16" s="63"/>
    </row>
    <row r="17" spans="1:47" ht="12.75" customHeight="1" x14ac:dyDescent="0.2">
      <c r="A17" s="61" t="s">
        <v>173</v>
      </c>
      <c r="B17" s="62">
        <v>0</v>
      </c>
      <c r="C17" s="54">
        <v>0</v>
      </c>
      <c r="D17" s="54">
        <v>0</v>
      </c>
      <c r="E17" s="63"/>
      <c r="F17" s="64"/>
      <c r="G17" s="65">
        <v>0</v>
      </c>
      <c r="H17" s="54">
        <v>0</v>
      </c>
      <c r="I17" s="54">
        <v>0</v>
      </c>
      <c r="J17" s="54">
        <v>0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0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515.87</v>
      </c>
      <c r="AH17" s="67">
        <v>515.86</v>
      </c>
      <c r="AI17" s="98">
        <v>-1031.74</v>
      </c>
      <c r="AJ17" s="67">
        <v>0</v>
      </c>
      <c r="AK17" s="67">
        <v>0</v>
      </c>
      <c r="AL17" s="67">
        <v>0</v>
      </c>
      <c r="AM17" s="67">
        <v>0</v>
      </c>
      <c r="AN17" s="67">
        <v>0</v>
      </c>
      <c r="AO17" s="67">
        <v>0</v>
      </c>
      <c r="AP17" s="67">
        <v>0</v>
      </c>
      <c r="AQ17" s="67">
        <v>0</v>
      </c>
      <c r="AR17" s="67">
        <v>0</v>
      </c>
      <c r="AS17" s="99">
        <v>-0.01</v>
      </c>
      <c r="AT17" s="63"/>
      <c r="AU17" s="63">
        <v>0</v>
      </c>
    </row>
    <row r="18" spans="1:47" ht="12.75" customHeight="1" x14ac:dyDescent="0.2">
      <c r="A18" s="61" t="s">
        <v>257</v>
      </c>
      <c r="B18" s="62">
        <v>0</v>
      </c>
      <c r="C18" s="54">
        <v>0</v>
      </c>
      <c r="D18" s="54">
        <v>0</v>
      </c>
      <c r="E18" s="63"/>
      <c r="F18" s="64"/>
      <c r="G18" s="65">
        <v>0</v>
      </c>
      <c r="H18" s="54">
        <v>0</v>
      </c>
      <c r="I18" s="54">
        <v>0</v>
      </c>
      <c r="J18" s="54">
        <v>0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0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1662.54</v>
      </c>
      <c r="AH18" s="67">
        <v>1662.54</v>
      </c>
      <c r="AI18" s="98">
        <v>-3325.08</v>
      </c>
      <c r="AJ18" s="67">
        <v>0</v>
      </c>
      <c r="AK18" s="67">
        <v>0</v>
      </c>
      <c r="AL18" s="67">
        <v>0</v>
      </c>
      <c r="AM18" s="67">
        <v>0</v>
      </c>
      <c r="AN18" s="67">
        <v>0</v>
      </c>
      <c r="AO18" s="67">
        <v>0</v>
      </c>
      <c r="AP18" s="67">
        <v>0</v>
      </c>
      <c r="AQ18" s="67">
        <v>0</v>
      </c>
      <c r="AR18" s="67">
        <v>0</v>
      </c>
      <c r="AS18" s="68">
        <v>0</v>
      </c>
      <c r="AT18" s="63"/>
      <c r="AU18" s="63"/>
    </row>
    <row r="19" spans="1:47" ht="12.75" hidden="1" customHeight="1" outlineLevel="1" x14ac:dyDescent="0.2">
      <c r="A19" s="61" t="s">
        <v>109</v>
      </c>
      <c r="B19" s="62">
        <v>0</v>
      </c>
      <c r="C19" s="54">
        <v>0</v>
      </c>
      <c r="D19" s="54">
        <v>0</v>
      </c>
      <c r="E19" s="63"/>
      <c r="F19" s="64"/>
      <c r="G19" s="65">
        <v>0</v>
      </c>
      <c r="H19" s="54">
        <v>0</v>
      </c>
      <c r="I19" s="54">
        <v>0</v>
      </c>
      <c r="J19" s="54">
        <v>0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66">
        <v>0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>
        <v>0</v>
      </c>
      <c r="AH19" s="67">
        <v>0</v>
      </c>
      <c r="AI19" s="67">
        <v>0</v>
      </c>
      <c r="AJ19" s="67">
        <v>0</v>
      </c>
      <c r="AK19" s="67">
        <v>0</v>
      </c>
      <c r="AL19" s="67">
        <v>0</v>
      </c>
      <c r="AM19" s="67">
        <v>0</v>
      </c>
      <c r="AN19" s="67">
        <v>0</v>
      </c>
      <c r="AO19" s="67">
        <v>0</v>
      </c>
      <c r="AP19" s="67">
        <v>0</v>
      </c>
      <c r="AQ19" s="67">
        <v>0</v>
      </c>
      <c r="AR19" s="67">
        <v>0</v>
      </c>
      <c r="AS19" s="68">
        <v>0</v>
      </c>
      <c r="AT19" s="63"/>
      <c r="AU19" s="63"/>
    </row>
    <row r="20" spans="1:47" ht="12.75" hidden="1" customHeight="1" outlineLevel="1" x14ac:dyDescent="0.2">
      <c r="A20" s="61" t="s">
        <v>97</v>
      </c>
      <c r="B20" s="62"/>
      <c r="C20" s="54"/>
      <c r="D20" s="54"/>
      <c r="E20" s="63"/>
      <c r="F20" s="64"/>
      <c r="G20" s="65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66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66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8"/>
      <c r="AT20" s="63"/>
      <c r="AU20" s="63"/>
    </row>
    <row r="21" spans="1:47" ht="12.75" hidden="1" customHeight="1" outlineLevel="1" x14ac:dyDescent="0.2">
      <c r="A21" s="61" t="s">
        <v>69</v>
      </c>
      <c r="B21" s="62">
        <v>1375</v>
      </c>
      <c r="C21" s="54">
        <v>0</v>
      </c>
      <c r="D21" s="54">
        <v>0</v>
      </c>
      <c r="E21" s="63"/>
      <c r="F21" s="64"/>
      <c r="G21" s="65">
        <v>1375</v>
      </c>
      <c r="H21" s="54">
        <v>1375</v>
      </c>
      <c r="I21" s="54">
        <v>1375</v>
      </c>
      <c r="J21" s="54">
        <v>1375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66">
        <v>5500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4">
        <v>0</v>
      </c>
      <c r="AB21" s="54">
        <v>0</v>
      </c>
      <c r="AC21" s="54">
        <v>0</v>
      </c>
      <c r="AD21" s="54">
        <v>0</v>
      </c>
      <c r="AE21" s="54">
        <v>0</v>
      </c>
      <c r="AF21" s="66">
        <v>0</v>
      </c>
      <c r="AG21" s="67">
        <v>0</v>
      </c>
      <c r="AH21" s="67">
        <v>0</v>
      </c>
      <c r="AI21" s="67">
        <v>0</v>
      </c>
      <c r="AJ21" s="67">
        <v>0</v>
      </c>
      <c r="AK21" s="67">
        <v>0</v>
      </c>
      <c r="AL21" s="67">
        <v>0</v>
      </c>
      <c r="AM21" s="67">
        <v>0</v>
      </c>
      <c r="AN21" s="67">
        <v>0</v>
      </c>
      <c r="AO21" s="67">
        <v>0</v>
      </c>
      <c r="AP21" s="67">
        <v>0</v>
      </c>
      <c r="AQ21" s="67">
        <v>0</v>
      </c>
      <c r="AR21" s="67">
        <v>1375</v>
      </c>
      <c r="AS21" s="68">
        <v>0</v>
      </c>
      <c r="AT21" s="63"/>
      <c r="AU21" s="63"/>
    </row>
    <row r="22" spans="1:47" ht="12.75" customHeight="1" collapsed="1" x14ac:dyDescent="0.2">
      <c r="A22" s="69" t="s">
        <v>70</v>
      </c>
      <c r="B22" s="70">
        <v>1375</v>
      </c>
      <c r="C22" s="71">
        <v>0</v>
      </c>
      <c r="D22" s="71">
        <v>0</v>
      </c>
      <c r="E22" s="72"/>
      <c r="F22" s="73"/>
      <c r="G22" s="70">
        <v>1375</v>
      </c>
      <c r="H22" s="71">
        <v>1375</v>
      </c>
      <c r="I22" s="71">
        <v>1375</v>
      </c>
      <c r="J22" s="71">
        <v>1375</v>
      </c>
      <c r="K22" s="71">
        <v>0</v>
      </c>
      <c r="L22" s="71">
        <v>0</v>
      </c>
      <c r="M22" s="71">
        <v>0</v>
      </c>
      <c r="N22" s="71">
        <v>0</v>
      </c>
      <c r="O22" s="71">
        <v>0</v>
      </c>
      <c r="P22" s="71">
        <v>0</v>
      </c>
      <c r="Q22" s="71">
        <v>0</v>
      </c>
      <c r="R22" s="71">
        <v>0</v>
      </c>
      <c r="S22" s="71">
        <v>5500</v>
      </c>
      <c r="T22" s="71">
        <v>0</v>
      </c>
      <c r="U22" s="71">
        <v>0</v>
      </c>
      <c r="V22" s="71">
        <v>0</v>
      </c>
      <c r="W22" s="71">
        <v>0</v>
      </c>
      <c r="X22" s="71">
        <v>0</v>
      </c>
      <c r="Y22" s="71">
        <v>0</v>
      </c>
      <c r="Z22" s="71">
        <v>0</v>
      </c>
      <c r="AA22" s="71">
        <v>0</v>
      </c>
      <c r="AB22" s="71">
        <v>0</v>
      </c>
      <c r="AC22" s="71">
        <v>0</v>
      </c>
      <c r="AD22" s="71">
        <v>0</v>
      </c>
      <c r="AE22" s="71">
        <v>0</v>
      </c>
      <c r="AF22" s="71">
        <v>0</v>
      </c>
      <c r="AG22" s="75">
        <v>0</v>
      </c>
      <c r="AH22" s="75">
        <v>0</v>
      </c>
      <c r="AI22" s="75">
        <v>0</v>
      </c>
      <c r="AJ22" s="75">
        <v>0</v>
      </c>
      <c r="AK22" s="75">
        <v>0</v>
      </c>
      <c r="AL22" s="75">
        <v>0</v>
      </c>
      <c r="AM22" s="75">
        <v>0</v>
      </c>
      <c r="AN22" s="75">
        <v>0</v>
      </c>
      <c r="AO22" s="75">
        <v>0</v>
      </c>
      <c r="AP22" s="75">
        <v>0</v>
      </c>
      <c r="AQ22" s="75">
        <v>0</v>
      </c>
      <c r="AR22" s="75">
        <v>1375</v>
      </c>
      <c r="AS22" s="75">
        <v>0</v>
      </c>
      <c r="AT22" s="72"/>
      <c r="AU22" s="72"/>
    </row>
    <row r="23" spans="1:47" ht="12.75" hidden="1" customHeight="1" outlineLevel="1" x14ac:dyDescent="0.2">
      <c r="A23" s="61" t="s">
        <v>174</v>
      </c>
      <c r="B23" s="62">
        <v>0</v>
      </c>
      <c r="C23" s="54">
        <v>0</v>
      </c>
      <c r="D23" s="54">
        <v>0</v>
      </c>
      <c r="E23" s="63"/>
      <c r="F23" s="64"/>
      <c r="G23" s="65">
        <v>0</v>
      </c>
      <c r="H23" s="54">
        <v>0</v>
      </c>
      <c r="I23" s="54">
        <v>0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0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0</v>
      </c>
      <c r="AH23" s="67">
        <v>21.2</v>
      </c>
      <c r="AI23" s="98">
        <v>-21.2</v>
      </c>
      <c r="AJ23" s="67">
        <v>0</v>
      </c>
      <c r="AK23" s="67">
        <v>0</v>
      </c>
      <c r="AL23" s="67">
        <v>0</v>
      </c>
      <c r="AM23" s="67">
        <v>0</v>
      </c>
      <c r="AN23" s="67">
        <v>0</v>
      </c>
      <c r="AO23" s="67">
        <v>0</v>
      </c>
      <c r="AP23" s="67">
        <v>0</v>
      </c>
      <c r="AQ23" s="67">
        <v>0</v>
      </c>
      <c r="AR23" s="67">
        <v>0</v>
      </c>
      <c r="AS23" s="68">
        <v>0</v>
      </c>
      <c r="AT23" s="63"/>
      <c r="AU23" s="63"/>
    </row>
    <row r="24" spans="1:47" ht="12.75" hidden="1" customHeight="1" outlineLevel="1" x14ac:dyDescent="0.2">
      <c r="A24" s="61" t="s">
        <v>99</v>
      </c>
      <c r="B24" s="62">
        <v>0</v>
      </c>
      <c r="C24" s="54">
        <v>0</v>
      </c>
      <c r="D24" s="54">
        <v>0</v>
      </c>
      <c r="E24" s="63"/>
      <c r="F24" s="64"/>
      <c r="G24" s="65">
        <v>0</v>
      </c>
      <c r="H24" s="54">
        <v>0</v>
      </c>
      <c r="I24" s="54">
        <v>0</v>
      </c>
      <c r="J24" s="54">
        <v>0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0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173.83</v>
      </c>
      <c r="AH24" s="67">
        <v>178.31</v>
      </c>
      <c r="AI24" s="98">
        <v>-352.14</v>
      </c>
      <c r="AJ24" s="67">
        <v>0</v>
      </c>
      <c r="AK24" s="67">
        <v>0</v>
      </c>
      <c r="AL24" s="67">
        <v>0</v>
      </c>
      <c r="AM24" s="67">
        <v>0</v>
      </c>
      <c r="AN24" s="67">
        <v>0</v>
      </c>
      <c r="AO24" s="67">
        <v>0</v>
      </c>
      <c r="AP24" s="67">
        <v>0</v>
      </c>
      <c r="AQ24" s="67">
        <v>0</v>
      </c>
      <c r="AR24" s="67">
        <v>0</v>
      </c>
      <c r="AS24" s="68">
        <v>0</v>
      </c>
      <c r="AT24" s="63"/>
      <c r="AU24" s="63"/>
    </row>
    <row r="25" spans="1:47" ht="12.75" hidden="1" customHeight="1" outlineLevel="1" x14ac:dyDescent="0.2">
      <c r="A25" s="61" t="s">
        <v>175</v>
      </c>
      <c r="B25" s="62">
        <v>0</v>
      </c>
      <c r="C25" s="54">
        <v>0</v>
      </c>
      <c r="D25" s="54">
        <v>0</v>
      </c>
      <c r="E25" s="63"/>
      <c r="F25" s="64"/>
      <c r="G25" s="65">
        <v>0</v>
      </c>
      <c r="H25" s="54">
        <v>0</v>
      </c>
      <c r="I25" s="54">
        <v>0</v>
      </c>
      <c r="J25" s="54">
        <v>0</v>
      </c>
      <c r="K25" s="54">
        <v>0</v>
      </c>
      <c r="L25" s="54">
        <v>0</v>
      </c>
      <c r="M25" s="54">
        <v>0</v>
      </c>
      <c r="N25" s="54">
        <v>0</v>
      </c>
      <c r="O25" s="54">
        <v>0</v>
      </c>
      <c r="P25" s="54">
        <v>0</v>
      </c>
      <c r="Q25" s="54">
        <v>0</v>
      </c>
      <c r="R25" s="54">
        <v>0</v>
      </c>
      <c r="S25" s="66">
        <v>0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>
        <v>0</v>
      </c>
      <c r="AH25" s="67">
        <v>29.87</v>
      </c>
      <c r="AI25" s="98">
        <v>-29.87</v>
      </c>
      <c r="AJ25" s="67">
        <v>0</v>
      </c>
      <c r="AK25" s="67">
        <v>0</v>
      </c>
      <c r="AL25" s="67">
        <v>0</v>
      </c>
      <c r="AM25" s="67">
        <v>0</v>
      </c>
      <c r="AN25" s="67">
        <v>0</v>
      </c>
      <c r="AO25" s="67">
        <v>0</v>
      </c>
      <c r="AP25" s="67">
        <v>0</v>
      </c>
      <c r="AQ25" s="67">
        <v>0</v>
      </c>
      <c r="AR25" s="67">
        <v>0</v>
      </c>
      <c r="AS25" s="68">
        <v>0</v>
      </c>
      <c r="AT25" s="63"/>
      <c r="AU25" s="63"/>
    </row>
    <row r="26" spans="1:47" ht="12.75" hidden="1" customHeight="1" outlineLevel="1" x14ac:dyDescent="0.2">
      <c r="A26" s="61" t="s">
        <v>100</v>
      </c>
      <c r="B26" s="62">
        <v>0</v>
      </c>
      <c r="C26" s="54">
        <v>0</v>
      </c>
      <c r="D26" s="54">
        <v>0</v>
      </c>
      <c r="E26" s="63"/>
      <c r="F26" s="64"/>
      <c r="G26" s="65">
        <v>0</v>
      </c>
      <c r="H26" s="54">
        <v>0</v>
      </c>
      <c r="I26" s="54">
        <v>0</v>
      </c>
      <c r="J26" s="54">
        <v>0</v>
      </c>
      <c r="K26" s="54">
        <v>0</v>
      </c>
      <c r="L26" s="54">
        <v>0</v>
      </c>
      <c r="M26" s="54">
        <v>0</v>
      </c>
      <c r="N26" s="54">
        <v>0</v>
      </c>
      <c r="O26" s="54">
        <v>0</v>
      </c>
      <c r="P26" s="54">
        <v>0</v>
      </c>
      <c r="Q26" s="54">
        <v>0</v>
      </c>
      <c r="R26" s="54">
        <v>0</v>
      </c>
      <c r="S26" s="66">
        <v>0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>
        <v>275.13</v>
      </c>
      <c r="AH26" s="67">
        <v>331.56</v>
      </c>
      <c r="AI26" s="98">
        <v>-606.69000000000005</v>
      </c>
      <c r="AJ26" s="67">
        <v>0</v>
      </c>
      <c r="AK26" s="67">
        <v>0</v>
      </c>
      <c r="AL26" s="67">
        <v>0</v>
      </c>
      <c r="AM26" s="67">
        <v>0</v>
      </c>
      <c r="AN26" s="67">
        <v>0</v>
      </c>
      <c r="AO26" s="67">
        <v>0</v>
      </c>
      <c r="AP26" s="67">
        <v>0</v>
      </c>
      <c r="AQ26" s="67">
        <v>0</v>
      </c>
      <c r="AR26" s="67">
        <v>0</v>
      </c>
      <c r="AS26" s="68">
        <v>0</v>
      </c>
      <c r="AT26" s="63"/>
      <c r="AU26" s="63"/>
    </row>
    <row r="27" spans="1:47" ht="12.75" hidden="1" customHeight="1" outlineLevel="1" x14ac:dyDescent="0.2">
      <c r="A27" s="61" t="s">
        <v>101</v>
      </c>
      <c r="B27" s="62"/>
      <c r="C27" s="54">
        <v>0</v>
      </c>
      <c r="D27" s="54"/>
      <c r="E27" s="63"/>
      <c r="F27" s="64"/>
      <c r="G27" s="65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66"/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8"/>
      <c r="AT27" s="63"/>
      <c r="AU27" s="63"/>
    </row>
    <row r="28" spans="1:47" ht="12.75" hidden="1" customHeight="1" outlineLevel="1" x14ac:dyDescent="0.2">
      <c r="A28" s="61" t="s">
        <v>176</v>
      </c>
      <c r="B28" s="62">
        <v>61.24</v>
      </c>
      <c r="C28" s="54">
        <v>0</v>
      </c>
      <c r="D28" s="54">
        <v>0</v>
      </c>
      <c r="E28" s="63"/>
      <c r="F28" s="64"/>
      <c r="G28" s="65">
        <v>70.8</v>
      </c>
      <c r="H28" s="54">
        <v>59.95</v>
      </c>
      <c r="I28" s="54">
        <v>57.82</v>
      </c>
      <c r="J28" s="54">
        <v>61.24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249.81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68.33</v>
      </c>
      <c r="AH28" s="67">
        <v>68.33</v>
      </c>
      <c r="AI28" s="98">
        <v>-136.66</v>
      </c>
      <c r="AJ28" s="67">
        <v>0</v>
      </c>
      <c r="AK28" s="67">
        <v>44.96</v>
      </c>
      <c r="AL28" s="67">
        <v>44.96</v>
      </c>
      <c r="AM28" s="67">
        <v>161.58000000000001</v>
      </c>
      <c r="AN28" s="67">
        <v>117.73</v>
      </c>
      <c r="AO28" s="67">
        <v>0</v>
      </c>
      <c r="AP28" s="67">
        <v>0</v>
      </c>
      <c r="AQ28" s="67">
        <v>146.30000000000001</v>
      </c>
      <c r="AR28" s="67">
        <v>76.75</v>
      </c>
      <c r="AS28" s="68">
        <v>0</v>
      </c>
      <c r="AT28" s="63"/>
      <c r="AU28" s="63"/>
    </row>
    <row r="29" spans="1:47" ht="12.75" hidden="1" customHeight="1" outlineLevel="1" x14ac:dyDescent="0.2">
      <c r="A29" s="61" t="s">
        <v>102</v>
      </c>
      <c r="B29" s="62">
        <v>0</v>
      </c>
      <c r="C29" s="54">
        <v>0</v>
      </c>
      <c r="D29" s="54">
        <v>0</v>
      </c>
      <c r="E29" s="63"/>
      <c r="F29" s="64"/>
      <c r="G29" s="65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54">
        <v>0</v>
      </c>
      <c r="N29" s="54">
        <v>0</v>
      </c>
      <c r="O29" s="54">
        <v>0</v>
      </c>
      <c r="P29" s="54">
        <v>0</v>
      </c>
      <c r="Q29" s="54">
        <v>0</v>
      </c>
      <c r="R29" s="54">
        <v>0</v>
      </c>
      <c r="S29" s="66">
        <v>0</v>
      </c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>
        <v>0</v>
      </c>
      <c r="AH29" s="67">
        <v>0</v>
      </c>
      <c r="AI29" s="67">
        <v>0</v>
      </c>
      <c r="AJ29" s="67">
        <v>0</v>
      </c>
      <c r="AK29" s="67">
        <v>0</v>
      </c>
      <c r="AL29" s="67">
        <v>0</v>
      </c>
      <c r="AM29" s="67">
        <v>0</v>
      </c>
      <c r="AN29" s="67">
        <v>0</v>
      </c>
      <c r="AO29" s="67">
        <v>0</v>
      </c>
      <c r="AP29" s="67">
        <v>0</v>
      </c>
      <c r="AQ29" s="67">
        <v>0</v>
      </c>
      <c r="AR29" s="67">
        <v>0</v>
      </c>
      <c r="AS29" s="68">
        <v>0</v>
      </c>
      <c r="AT29" s="63"/>
      <c r="AU29" s="63"/>
    </row>
    <row r="30" spans="1:47" ht="12.75" hidden="1" customHeight="1" outlineLevel="1" x14ac:dyDescent="0.2">
      <c r="A30" s="61" t="s">
        <v>75</v>
      </c>
      <c r="B30" s="62">
        <v>223.22</v>
      </c>
      <c r="C30" s="54">
        <v>0</v>
      </c>
      <c r="D30" s="54">
        <v>0</v>
      </c>
      <c r="E30" s="63"/>
      <c r="F30" s="64"/>
      <c r="G30" s="65">
        <v>0</v>
      </c>
      <c r="H30" s="54">
        <v>132.44999999999999</v>
      </c>
      <c r="I30" s="54">
        <v>132.44999999999999</v>
      </c>
      <c r="J30" s="54">
        <v>223.22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488.12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0</v>
      </c>
      <c r="AH30" s="67">
        <v>0</v>
      </c>
      <c r="AI30" s="67">
        <v>0</v>
      </c>
      <c r="AJ30" s="67">
        <v>0</v>
      </c>
      <c r="AK30" s="67">
        <v>0</v>
      </c>
      <c r="AL30" s="67">
        <v>113.28</v>
      </c>
      <c r="AM30" s="67">
        <v>679.69</v>
      </c>
      <c r="AN30" s="67">
        <v>0</v>
      </c>
      <c r="AO30" s="67">
        <v>0</v>
      </c>
      <c r="AP30" s="67">
        <v>0</v>
      </c>
      <c r="AQ30" s="67">
        <v>0</v>
      </c>
      <c r="AR30" s="67">
        <v>0</v>
      </c>
      <c r="AS30" s="68">
        <v>0</v>
      </c>
      <c r="AT30" s="63"/>
      <c r="AU30" s="63"/>
    </row>
    <row r="31" spans="1:47" ht="12.75" hidden="1" customHeight="1" outlineLevel="1" x14ac:dyDescent="0.2">
      <c r="A31" s="61" t="s">
        <v>76</v>
      </c>
      <c r="B31" s="62">
        <v>0</v>
      </c>
      <c r="C31" s="54">
        <v>0</v>
      </c>
      <c r="D31" s="54">
        <v>0</v>
      </c>
      <c r="E31" s="63"/>
      <c r="F31" s="64"/>
      <c r="G31" s="65">
        <v>0</v>
      </c>
      <c r="H31" s="54">
        <v>0</v>
      </c>
      <c r="I31" s="54">
        <v>0</v>
      </c>
      <c r="J31" s="54">
        <v>0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0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61.36</v>
      </c>
      <c r="AH31" s="67">
        <v>61.85</v>
      </c>
      <c r="AI31" s="98">
        <v>-123.21</v>
      </c>
      <c r="AJ31" s="67">
        <v>0</v>
      </c>
      <c r="AK31" s="67">
        <v>0</v>
      </c>
      <c r="AL31" s="67">
        <v>0</v>
      </c>
      <c r="AM31" s="67">
        <v>0</v>
      </c>
      <c r="AN31" s="67">
        <v>0</v>
      </c>
      <c r="AO31" s="67">
        <v>0</v>
      </c>
      <c r="AP31" s="67">
        <v>0</v>
      </c>
      <c r="AQ31" s="67">
        <v>0</v>
      </c>
      <c r="AR31" s="67">
        <v>0</v>
      </c>
      <c r="AS31" s="68">
        <v>0</v>
      </c>
      <c r="AT31" s="63"/>
      <c r="AU31" s="63"/>
    </row>
    <row r="32" spans="1:47" ht="12.75" hidden="1" customHeight="1" outlineLevel="1" x14ac:dyDescent="0.2">
      <c r="A32" s="61" t="s">
        <v>77</v>
      </c>
      <c r="B32" s="62"/>
      <c r="C32" s="54">
        <v>0</v>
      </c>
      <c r="D32" s="54"/>
      <c r="E32" s="63"/>
      <c r="F32" s="64"/>
      <c r="G32" s="65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66"/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66">
        <v>0</v>
      </c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8"/>
      <c r="AT32" s="63"/>
      <c r="AU32" s="63"/>
    </row>
    <row r="33" spans="1:47" ht="12.75" customHeight="1" collapsed="1" x14ac:dyDescent="0.2">
      <c r="A33" s="69" t="s">
        <v>177</v>
      </c>
      <c r="B33" s="70">
        <v>284.45999999999998</v>
      </c>
      <c r="C33" s="71">
        <v>0</v>
      </c>
      <c r="D33" s="71">
        <v>0</v>
      </c>
      <c r="E33" s="72"/>
      <c r="F33" s="73"/>
      <c r="G33" s="70">
        <v>70.8</v>
      </c>
      <c r="H33" s="71">
        <v>192.4</v>
      </c>
      <c r="I33" s="71">
        <v>190.27</v>
      </c>
      <c r="J33" s="71">
        <v>284.45999999999998</v>
      </c>
      <c r="K33" s="71">
        <v>0</v>
      </c>
      <c r="L33" s="71">
        <v>0</v>
      </c>
      <c r="M33" s="71">
        <v>0</v>
      </c>
      <c r="N33" s="71">
        <v>0</v>
      </c>
      <c r="O33" s="71">
        <v>0</v>
      </c>
      <c r="P33" s="71">
        <v>0</v>
      </c>
      <c r="Q33" s="71">
        <v>0</v>
      </c>
      <c r="R33" s="71">
        <v>0</v>
      </c>
      <c r="S33" s="71">
        <v>737.93</v>
      </c>
      <c r="T33" s="71">
        <v>0</v>
      </c>
      <c r="U33" s="71">
        <v>0</v>
      </c>
      <c r="V33" s="71">
        <v>0</v>
      </c>
      <c r="W33" s="71">
        <v>0</v>
      </c>
      <c r="X33" s="71">
        <v>0</v>
      </c>
      <c r="Y33" s="71">
        <v>0</v>
      </c>
      <c r="Z33" s="71">
        <v>0</v>
      </c>
      <c r="AA33" s="71">
        <v>0</v>
      </c>
      <c r="AB33" s="71">
        <v>0</v>
      </c>
      <c r="AC33" s="71">
        <v>0</v>
      </c>
      <c r="AD33" s="71">
        <v>0</v>
      </c>
      <c r="AE33" s="71">
        <v>0</v>
      </c>
      <c r="AF33" s="71">
        <v>0</v>
      </c>
      <c r="AG33" s="75">
        <v>578.65</v>
      </c>
      <c r="AH33" s="75">
        <v>691.12</v>
      </c>
      <c r="AI33" s="134">
        <v>-1269.77</v>
      </c>
      <c r="AJ33" s="75">
        <v>0</v>
      </c>
      <c r="AK33" s="75">
        <v>44.96</v>
      </c>
      <c r="AL33" s="75">
        <v>158.24</v>
      </c>
      <c r="AM33" s="75">
        <v>841.27</v>
      </c>
      <c r="AN33" s="75">
        <v>117.73</v>
      </c>
      <c r="AO33" s="75">
        <v>0</v>
      </c>
      <c r="AP33" s="75">
        <v>0</v>
      </c>
      <c r="AQ33" s="75">
        <v>146.30000000000001</v>
      </c>
      <c r="AR33" s="75">
        <v>76.75</v>
      </c>
      <c r="AS33" s="75">
        <v>0</v>
      </c>
      <c r="AT33" s="72"/>
      <c r="AU33" s="72"/>
    </row>
    <row r="34" spans="1:47" ht="12.75" hidden="1" customHeight="1" outlineLevel="1" x14ac:dyDescent="0.2">
      <c r="A34" s="61" t="s">
        <v>178</v>
      </c>
      <c r="B34" s="62"/>
      <c r="C34" s="54"/>
      <c r="D34" s="54"/>
      <c r="E34" s="63"/>
      <c r="F34" s="64"/>
      <c r="G34" s="65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66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66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8"/>
      <c r="AT34" s="63"/>
      <c r="AU34" s="63"/>
    </row>
    <row r="35" spans="1:47" ht="12.75" hidden="1" customHeight="1" outlineLevel="1" x14ac:dyDescent="0.2">
      <c r="A35" s="61" t="s">
        <v>179</v>
      </c>
      <c r="B35" s="62">
        <v>0</v>
      </c>
      <c r="C35" s="54">
        <v>0</v>
      </c>
      <c r="D35" s="54">
        <v>0</v>
      </c>
      <c r="E35" s="63"/>
      <c r="F35" s="64"/>
      <c r="G35" s="65">
        <v>0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0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66">
        <v>0</v>
      </c>
      <c r="AG35" s="67">
        <v>0</v>
      </c>
      <c r="AH35" s="67">
        <v>0</v>
      </c>
      <c r="AI35" s="67">
        <v>0</v>
      </c>
      <c r="AJ35" s="67">
        <v>0</v>
      </c>
      <c r="AK35" s="67">
        <v>0</v>
      </c>
      <c r="AL35" s="67">
        <v>0</v>
      </c>
      <c r="AM35" s="67">
        <v>0</v>
      </c>
      <c r="AN35" s="67">
        <v>0</v>
      </c>
      <c r="AO35" s="67">
        <v>0</v>
      </c>
      <c r="AP35" s="67">
        <v>0</v>
      </c>
      <c r="AQ35" s="67">
        <v>0</v>
      </c>
      <c r="AR35" s="67">
        <v>0</v>
      </c>
      <c r="AS35" s="68">
        <v>0</v>
      </c>
      <c r="AT35" s="63"/>
      <c r="AU35" s="63"/>
    </row>
    <row r="36" spans="1:47" ht="12.75" hidden="1" customHeight="1" outlineLevel="1" x14ac:dyDescent="0.2">
      <c r="A36" s="61" t="s">
        <v>180</v>
      </c>
      <c r="B36" s="62">
        <v>0</v>
      </c>
      <c r="C36" s="54"/>
      <c r="D36" s="54">
        <v>0</v>
      </c>
      <c r="E36" s="63"/>
      <c r="F36" s="64"/>
      <c r="G36" s="65">
        <v>0</v>
      </c>
      <c r="H36" s="54">
        <v>0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66">
        <v>0</v>
      </c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66"/>
      <c r="AG36" s="67">
        <v>0</v>
      </c>
      <c r="AH36" s="67">
        <v>0</v>
      </c>
      <c r="AI36" s="67">
        <v>0</v>
      </c>
      <c r="AJ36" s="67">
        <v>0</v>
      </c>
      <c r="AK36" s="67">
        <v>0</v>
      </c>
      <c r="AL36" s="67">
        <v>0</v>
      </c>
      <c r="AM36" s="67">
        <v>0</v>
      </c>
      <c r="AN36" s="67">
        <v>0</v>
      </c>
      <c r="AO36" s="67">
        <v>0</v>
      </c>
      <c r="AP36" s="67">
        <v>0</v>
      </c>
      <c r="AQ36" s="67">
        <v>0</v>
      </c>
      <c r="AR36" s="67">
        <v>0</v>
      </c>
      <c r="AS36" s="68">
        <v>0</v>
      </c>
      <c r="AT36" s="63"/>
      <c r="AU36" s="63"/>
    </row>
    <row r="37" spans="1:47" ht="12.75" hidden="1" customHeight="1" outlineLevel="1" x14ac:dyDescent="0.2">
      <c r="A37" s="61" t="s">
        <v>181</v>
      </c>
      <c r="B37" s="62"/>
      <c r="C37" s="54"/>
      <c r="D37" s="54"/>
      <c r="E37" s="63"/>
      <c r="F37" s="64"/>
      <c r="G37" s="65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66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66"/>
      <c r="AG37" s="67"/>
      <c r="AH37" s="67"/>
      <c r="AI37" s="67"/>
      <c r="AJ37" s="67"/>
      <c r="AK37" s="67"/>
      <c r="AL37" s="67"/>
      <c r="AM37" s="67"/>
      <c r="AN37" s="67"/>
      <c r="AO37" s="67"/>
      <c r="AP37" s="67"/>
      <c r="AQ37" s="67"/>
      <c r="AR37" s="67"/>
      <c r="AS37" s="68"/>
      <c r="AT37" s="63"/>
      <c r="AU37" s="63"/>
    </row>
    <row r="38" spans="1:47" ht="12.75" hidden="1" customHeight="1" outlineLevel="1" x14ac:dyDescent="0.2">
      <c r="A38" s="61" t="s">
        <v>182</v>
      </c>
      <c r="B38" s="62">
        <v>0</v>
      </c>
      <c r="C38" s="54"/>
      <c r="D38" s="54">
        <v>0</v>
      </c>
      <c r="E38" s="63"/>
      <c r="F38" s="64"/>
      <c r="G38" s="65">
        <v>0</v>
      </c>
      <c r="H38" s="54">
        <v>0</v>
      </c>
      <c r="I38" s="54">
        <v>0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54">
        <v>0</v>
      </c>
      <c r="S38" s="66">
        <v>0</v>
      </c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66"/>
      <c r="AG38" s="67">
        <v>0</v>
      </c>
      <c r="AH38" s="67">
        <v>0</v>
      </c>
      <c r="AI38" s="67">
        <v>0</v>
      </c>
      <c r="AJ38" s="67">
        <v>0</v>
      </c>
      <c r="AK38" s="67">
        <v>0</v>
      </c>
      <c r="AL38" s="67">
        <v>0</v>
      </c>
      <c r="AM38" s="67">
        <v>0</v>
      </c>
      <c r="AN38" s="67">
        <v>0</v>
      </c>
      <c r="AO38" s="67">
        <v>0</v>
      </c>
      <c r="AP38" s="67">
        <v>0</v>
      </c>
      <c r="AQ38" s="67">
        <v>0</v>
      </c>
      <c r="AR38" s="67">
        <v>0</v>
      </c>
      <c r="AS38" s="68">
        <v>0</v>
      </c>
      <c r="AT38" s="63"/>
      <c r="AU38" s="63"/>
    </row>
    <row r="39" spans="1:47" ht="12.75" hidden="1" customHeight="1" outlineLevel="1" x14ac:dyDescent="0.2">
      <c r="A39" s="61" t="s">
        <v>183</v>
      </c>
      <c r="B39" s="62"/>
      <c r="C39" s="54"/>
      <c r="D39" s="54"/>
      <c r="E39" s="63"/>
      <c r="F39" s="64"/>
      <c r="G39" s="65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66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66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8"/>
      <c r="AT39" s="63"/>
      <c r="AU39" s="63"/>
    </row>
    <row r="40" spans="1:47" ht="12.75" hidden="1" customHeight="1" outlineLevel="1" x14ac:dyDescent="0.2">
      <c r="A40" s="61" t="s">
        <v>184</v>
      </c>
      <c r="B40" s="62">
        <v>0</v>
      </c>
      <c r="C40" s="54"/>
      <c r="D40" s="54">
        <v>0</v>
      </c>
      <c r="E40" s="63"/>
      <c r="F40" s="64"/>
      <c r="G40" s="65">
        <v>0</v>
      </c>
      <c r="H40" s="54">
        <v>0</v>
      </c>
      <c r="I40" s="54">
        <v>0</v>
      </c>
      <c r="J40" s="54">
        <v>0</v>
      </c>
      <c r="K40" s="54">
        <v>0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66">
        <v>0</v>
      </c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66"/>
      <c r="AG40" s="67">
        <v>0</v>
      </c>
      <c r="AH40" s="67">
        <v>0</v>
      </c>
      <c r="AI40" s="67">
        <v>0</v>
      </c>
      <c r="AJ40" s="67">
        <v>0</v>
      </c>
      <c r="AK40" s="67">
        <v>0</v>
      </c>
      <c r="AL40" s="67">
        <v>0</v>
      </c>
      <c r="AM40" s="67">
        <v>0</v>
      </c>
      <c r="AN40" s="67">
        <v>0</v>
      </c>
      <c r="AO40" s="67">
        <v>0</v>
      </c>
      <c r="AP40" s="67">
        <v>0</v>
      </c>
      <c r="AQ40" s="67">
        <v>0</v>
      </c>
      <c r="AR40" s="67">
        <v>0</v>
      </c>
      <c r="AS40" s="68">
        <v>0</v>
      </c>
      <c r="AT40" s="63"/>
      <c r="AU40" s="63"/>
    </row>
    <row r="41" spans="1:47" ht="12.75" hidden="1" customHeight="1" outlineLevel="1" x14ac:dyDescent="0.2">
      <c r="A41" s="61" t="s">
        <v>185</v>
      </c>
      <c r="B41" s="62"/>
      <c r="C41" s="54"/>
      <c r="D41" s="54"/>
      <c r="E41" s="63"/>
      <c r="F41" s="64"/>
      <c r="G41" s="65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66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66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8"/>
      <c r="AT41" s="63"/>
      <c r="AU41" s="63"/>
    </row>
    <row r="42" spans="1:47" ht="12.75" hidden="1" customHeight="1" outlineLevel="1" x14ac:dyDescent="0.2">
      <c r="A42" s="61" t="s">
        <v>186</v>
      </c>
      <c r="B42" s="62">
        <v>0</v>
      </c>
      <c r="C42" s="54">
        <v>0</v>
      </c>
      <c r="D42" s="54">
        <v>0</v>
      </c>
      <c r="E42" s="63"/>
      <c r="F42" s="64"/>
      <c r="G42" s="65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0</v>
      </c>
      <c r="P42" s="54">
        <v>0</v>
      </c>
      <c r="Q42" s="54">
        <v>0</v>
      </c>
      <c r="R42" s="54">
        <v>0</v>
      </c>
      <c r="S42" s="66">
        <v>0</v>
      </c>
      <c r="T42" s="54">
        <v>0</v>
      </c>
      <c r="U42" s="54">
        <v>0</v>
      </c>
      <c r="V42" s="54">
        <v>0</v>
      </c>
      <c r="W42" s="54">
        <v>0</v>
      </c>
      <c r="X42" s="54">
        <v>0</v>
      </c>
      <c r="Y42" s="54">
        <v>0</v>
      </c>
      <c r="Z42" s="54">
        <v>0</v>
      </c>
      <c r="AA42" s="54">
        <v>0</v>
      </c>
      <c r="AB42" s="54">
        <v>0</v>
      </c>
      <c r="AC42" s="54">
        <v>0</v>
      </c>
      <c r="AD42" s="54">
        <v>0</v>
      </c>
      <c r="AE42" s="54">
        <v>0</v>
      </c>
      <c r="AF42" s="66">
        <v>0</v>
      </c>
      <c r="AG42" s="67">
        <v>0</v>
      </c>
      <c r="AH42" s="67">
        <v>0</v>
      </c>
      <c r="AI42" s="67">
        <v>0</v>
      </c>
      <c r="AJ42" s="67">
        <v>0</v>
      </c>
      <c r="AK42" s="67">
        <v>0</v>
      </c>
      <c r="AL42" s="67">
        <v>0</v>
      </c>
      <c r="AM42" s="67">
        <v>0</v>
      </c>
      <c r="AN42" s="67">
        <v>0</v>
      </c>
      <c r="AO42" s="67">
        <v>0</v>
      </c>
      <c r="AP42" s="67">
        <v>0</v>
      </c>
      <c r="AQ42" s="67">
        <v>0</v>
      </c>
      <c r="AR42" s="67">
        <v>0</v>
      </c>
      <c r="AS42" s="68">
        <v>0</v>
      </c>
      <c r="AT42" s="63"/>
      <c r="AU42" s="63"/>
    </row>
    <row r="43" spans="1:47" ht="12.75" hidden="1" customHeight="1" outlineLevel="1" x14ac:dyDescent="0.2">
      <c r="A43" s="61" t="s">
        <v>187</v>
      </c>
      <c r="B43" s="62">
        <v>0</v>
      </c>
      <c r="C43" s="54">
        <v>0</v>
      </c>
      <c r="D43" s="54">
        <v>0</v>
      </c>
      <c r="E43" s="63"/>
      <c r="F43" s="64"/>
      <c r="G43" s="65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54">
        <v>0</v>
      </c>
      <c r="N43" s="54">
        <v>0</v>
      </c>
      <c r="O43" s="54">
        <v>0</v>
      </c>
      <c r="P43" s="54">
        <v>0</v>
      </c>
      <c r="Q43" s="54">
        <v>0</v>
      </c>
      <c r="R43" s="54">
        <v>0</v>
      </c>
      <c r="S43" s="66">
        <v>0</v>
      </c>
      <c r="T43" s="54">
        <v>0</v>
      </c>
      <c r="U43" s="54">
        <v>0</v>
      </c>
      <c r="V43" s="54">
        <v>0</v>
      </c>
      <c r="W43" s="54">
        <v>0</v>
      </c>
      <c r="X43" s="54">
        <v>0</v>
      </c>
      <c r="Y43" s="54">
        <v>0</v>
      </c>
      <c r="Z43" s="54">
        <v>0</v>
      </c>
      <c r="AA43" s="54">
        <v>0</v>
      </c>
      <c r="AB43" s="54">
        <v>0</v>
      </c>
      <c r="AC43" s="54">
        <v>0</v>
      </c>
      <c r="AD43" s="54">
        <v>0</v>
      </c>
      <c r="AE43" s="54">
        <v>0</v>
      </c>
      <c r="AF43" s="66">
        <v>0</v>
      </c>
      <c r="AG43" s="67">
        <v>0</v>
      </c>
      <c r="AH43" s="67">
        <v>0</v>
      </c>
      <c r="AI43" s="67">
        <v>0</v>
      </c>
      <c r="AJ43" s="67">
        <v>0</v>
      </c>
      <c r="AK43" s="67">
        <v>0</v>
      </c>
      <c r="AL43" s="67">
        <v>0</v>
      </c>
      <c r="AM43" s="67">
        <v>0</v>
      </c>
      <c r="AN43" s="67">
        <v>0</v>
      </c>
      <c r="AO43" s="67">
        <v>0</v>
      </c>
      <c r="AP43" s="67">
        <v>0</v>
      </c>
      <c r="AQ43" s="67">
        <v>0</v>
      </c>
      <c r="AR43" s="67">
        <v>0</v>
      </c>
      <c r="AS43" s="68">
        <v>0</v>
      </c>
      <c r="AT43" s="63"/>
      <c r="AU43" s="63"/>
    </row>
    <row r="44" spans="1:47" ht="12.75" hidden="1" customHeight="1" outlineLevel="1" x14ac:dyDescent="0.2">
      <c r="A44" s="61" t="s">
        <v>188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61" t="s">
        <v>189</v>
      </c>
      <c r="B45" s="62"/>
      <c r="C45" s="54"/>
      <c r="D45" s="54"/>
      <c r="E45" s="63"/>
      <c r="F45" s="64"/>
      <c r="G45" s="65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66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66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8"/>
      <c r="AT45" s="63"/>
      <c r="AU45" s="63"/>
    </row>
    <row r="46" spans="1:47" ht="12.75" hidden="1" customHeight="1" outlineLevel="1" x14ac:dyDescent="0.2">
      <c r="A46" s="61" t="s">
        <v>190</v>
      </c>
      <c r="B46" s="62">
        <v>0</v>
      </c>
      <c r="C46" s="54"/>
      <c r="D46" s="54">
        <v>0</v>
      </c>
      <c r="E46" s="63"/>
      <c r="F46" s="64"/>
      <c r="G46" s="65">
        <v>0</v>
      </c>
      <c r="H46" s="54">
        <v>0</v>
      </c>
      <c r="I46" s="54">
        <v>0</v>
      </c>
      <c r="J46" s="54">
        <v>0</v>
      </c>
      <c r="K46" s="54">
        <v>0</v>
      </c>
      <c r="L46" s="54">
        <v>0</v>
      </c>
      <c r="M46" s="54">
        <v>0</v>
      </c>
      <c r="N46" s="54">
        <v>0</v>
      </c>
      <c r="O46" s="54">
        <v>0</v>
      </c>
      <c r="P46" s="54">
        <v>0</v>
      </c>
      <c r="Q46" s="54">
        <v>0</v>
      </c>
      <c r="R46" s="54">
        <v>0</v>
      </c>
      <c r="S46" s="66">
        <v>0</v>
      </c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66"/>
      <c r="AG46" s="67">
        <v>0</v>
      </c>
      <c r="AH46" s="67">
        <v>0</v>
      </c>
      <c r="AI46" s="67">
        <v>0</v>
      </c>
      <c r="AJ46" s="67">
        <v>0</v>
      </c>
      <c r="AK46" s="67">
        <v>0</v>
      </c>
      <c r="AL46" s="67">
        <v>0</v>
      </c>
      <c r="AM46" s="67">
        <v>0</v>
      </c>
      <c r="AN46" s="67">
        <v>0</v>
      </c>
      <c r="AO46" s="67">
        <v>0</v>
      </c>
      <c r="AP46" s="67">
        <v>0</v>
      </c>
      <c r="AQ46" s="67">
        <v>0</v>
      </c>
      <c r="AR46" s="67">
        <v>0</v>
      </c>
      <c r="AS46" s="68">
        <v>0</v>
      </c>
      <c r="AT46" s="63"/>
      <c r="AU46" s="63"/>
    </row>
    <row r="47" spans="1:47" ht="12.75" hidden="1" customHeight="1" outlineLevel="1" x14ac:dyDescent="0.2">
      <c r="A47" s="61" t="s">
        <v>191</v>
      </c>
      <c r="B47" s="62"/>
      <c r="C47" s="54"/>
      <c r="D47" s="54"/>
      <c r="E47" s="63"/>
      <c r="F47" s="64"/>
      <c r="G47" s="65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66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66"/>
      <c r="AG47" s="67"/>
      <c r="AH47" s="67"/>
      <c r="AI47" s="67"/>
      <c r="AJ47" s="67"/>
      <c r="AK47" s="67"/>
      <c r="AL47" s="67"/>
      <c r="AM47" s="67"/>
      <c r="AN47" s="67"/>
      <c r="AO47" s="67"/>
      <c r="AP47" s="67"/>
      <c r="AQ47" s="67"/>
      <c r="AR47" s="67"/>
      <c r="AS47" s="68"/>
      <c r="AT47" s="63"/>
      <c r="AU47" s="63"/>
    </row>
    <row r="48" spans="1:47" ht="12.75" customHeight="1" collapsed="1" x14ac:dyDescent="0.2">
      <c r="A48" s="69" t="s">
        <v>192</v>
      </c>
      <c r="B48" s="70">
        <v>0</v>
      </c>
      <c r="C48" s="71">
        <v>0</v>
      </c>
      <c r="D48" s="71">
        <v>0</v>
      </c>
      <c r="E48" s="72"/>
      <c r="F48" s="73"/>
      <c r="G48" s="70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>
        <v>0</v>
      </c>
      <c r="N48" s="71">
        <v>0</v>
      </c>
      <c r="O48" s="71">
        <v>0</v>
      </c>
      <c r="P48" s="71">
        <v>0</v>
      </c>
      <c r="Q48" s="71">
        <v>0</v>
      </c>
      <c r="R48" s="71">
        <v>0</v>
      </c>
      <c r="S48" s="71">
        <v>0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71">
        <v>0</v>
      </c>
      <c r="AE48" s="71">
        <v>0</v>
      </c>
      <c r="AF48" s="71">
        <v>0</v>
      </c>
      <c r="AG48" s="75">
        <v>0</v>
      </c>
      <c r="AH48" s="75">
        <v>0</v>
      </c>
      <c r="AI48" s="75">
        <v>0</v>
      </c>
      <c r="AJ48" s="75">
        <v>0</v>
      </c>
      <c r="AK48" s="75">
        <v>0</v>
      </c>
      <c r="AL48" s="75">
        <v>0</v>
      </c>
      <c r="AM48" s="75">
        <v>0</v>
      </c>
      <c r="AN48" s="75">
        <v>0</v>
      </c>
      <c r="AO48" s="75">
        <v>0</v>
      </c>
      <c r="AP48" s="75">
        <v>0</v>
      </c>
      <c r="AQ48" s="75">
        <v>0</v>
      </c>
      <c r="AR48" s="75">
        <v>0</v>
      </c>
      <c r="AS48" s="75">
        <v>0</v>
      </c>
      <c r="AT48" s="72"/>
      <c r="AU48" s="72"/>
    </row>
    <row r="49" spans="1:47" ht="12.75" hidden="1" customHeight="1" outlineLevel="1" x14ac:dyDescent="0.2">
      <c r="A49" s="61" t="s">
        <v>193</v>
      </c>
      <c r="B49" s="62">
        <v>0</v>
      </c>
      <c r="C49" s="54">
        <v>0</v>
      </c>
      <c r="D49" s="54">
        <v>0</v>
      </c>
      <c r="E49" s="63"/>
      <c r="F49" s="64"/>
      <c r="G49" s="65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54">
        <v>0</v>
      </c>
      <c r="N49" s="54">
        <v>0</v>
      </c>
      <c r="O49" s="54">
        <v>0</v>
      </c>
      <c r="P49" s="54">
        <v>0</v>
      </c>
      <c r="Q49" s="54">
        <v>0</v>
      </c>
      <c r="R49" s="54">
        <v>0</v>
      </c>
      <c r="S49" s="66">
        <v>0</v>
      </c>
      <c r="T49" s="54">
        <v>0</v>
      </c>
      <c r="U49" s="54">
        <v>0</v>
      </c>
      <c r="V49" s="54">
        <v>0</v>
      </c>
      <c r="W49" s="54">
        <v>0</v>
      </c>
      <c r="X49" s="54">
        <v>0</v>
      </c>
      <c r="Y49" s="54">
        <v>0</v>
      </c>
      <c r="Z49" s="54">
        <v>0</v>
      </c>
      <c r="AA49" s="54">
        <v>0</v>
      </c>
      <c r="AB49" s="54">
        <v>0</v>
      </c>
      <c r="AC49" s="54">
        <v>0</v>
      </c>
      <c r="AD49" s="54">
        <v>0</v>
      </c>
      <c r="AE49" s="54">
        <v>0</v>
      </c>
      <c r="AF49" s="66">
        <v>0</v>
      </c>
      <c r="AG49" s="67">
        <v>0</v>
      </c>
      <c r="AH49" s="67">
        <v>0</v>
      </c>
      <c r="AI49" s="67">
        <v>0</v>
      </c>
      <c r="AJ49" s="67">
        <v>0</v>
      </c>
      <c r="AK49" s="67">
        <v>0</v>
      </c>
      <c r="AL49" s="67">
        <v>0</v>
      </c>
      <c r="AM49" s="67">
        <v>0</v>
      </c>
      <c r="AN49" s="67">
        <v>0</v>
      </c>
      <c r="AO49" s="67">
        <v>0</v>
      </c>
      <c r="AP49" s="67">
        <v>0</v>
      </c>
      <c r="AQ49" s="67">
        <v>0</v>
      </c>
      <c r="AR49" s="67">
        <v>0</v>
      </c>
      <c r="AS49" s="68">
        <v>0</v>
      </c>
      <c r="AT49" s="63"/>
      <c r="AU49" s="63"/>
    </row>
    <row r="50" spans="1:47" ht="12.75" hidden="1" customHeight="1" outlineLevel="1" x14ac:dyDescent="0.2">
      <c r="A50" s="61" t="s">
        <v>194</v>
      </c>
      <c r="B50" s="62">
        <v>0</v>
      </c>
      <c r="C50" s="54">
        <v>0</v>
      </c>
      <c r="D50" s="54">
        <v>0</v>
      </c>
      <c r="E50" s="63"/>
      <c r="F50" s="64"/>
      <c r="G50" s="65">
        <v>0</v>
      </c>
      <c r="H50" s="54">
        <v>0</v>
      </c>
      <c r="I50" s="54">
        <v>0</v>
      </c>
      <c r="J50" s="54">
        <v>0</v>
      </c>
      <c r="K50" s="54">
        <v>0</v>
      </c>
      <c r="L50" s="54">
        <v>0</v>
      </c>
      <c r="M50" s="54">
        <v>0</v>
      </c>
      <c r="N50" s="54">
        <v>0</v>
      </c>
      <c r="O50" s="54">
        <v>0</v>
      </c>
      <c r="P50" s="54">
        <v>0</v>
      </c>
      <c r="Q50" s="54">
        <v>0</v>
      </c>
      <c r="R50" s="54">
        <v>0</v>
      </c>
      <c r="S50" s="66">
        <v>0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0</v>
      </c>
      <c r="AF50" s="66">
        <v>0</v>
      </c>
      <c r="AG50" s="67">
        <v>0</v>
      </c>
      <c r="AH50" s="67">
        <v>0</v>
      </c>
      <c r="AI50" s="67">
        <v>0</v>
      </c>
      <c r="AJ50" s="67">
        <v>0</v>
      </c>
      <c r="AK50" s="67">
        <v>0</v>
      </c>
      <c r="AL50" s="67">
        <v>0</v>
      </c>
      <c r="AM50" s="67">
        <v>0</v>
      </c>
      <c r="AN50" s="67">
        <v>0</v>
      </c>
      <c r="AO50" s="67">
        <v>0</v>
      </c>
      <c r="AP50" s="67">
        <v>0</v>
      </c>
      <c r="AQ50" s="67">
        <v>0</v>
      </c>
      <c r="AR50" s="67">
        <v>0</v>
      </c>
      <c r="AS50" s="68">
        <v>0</v>
      </c>
      <c r="AT50" s="63"/>
      <c r="AU50" s="63"/>
    </row>
    <row r="51" spans="1:47" ht="12.75" hidden="1" customHeight="1" outlineLevel="1" x14ac:dyDescent="0.2">
      <c r="A51" s="61" t="s">
        <v>82</v>
      </c>
      <c r="B51" s="62"/>
      <c r="C51" s="54"/>
      <c r="D51" s="54"/>
      <c r="E51" s="63"/>
      <c r="F51" s="64"/>
      <c r="G51" s="65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66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66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8"/>
      <c r="AT51" s="63"/>
      <c r="AU51" s="63"/>
    </row>
    <row r="52" spans="1:47" ht="12.75" hidden="1" customHeight="1" outlineLevel="1" x14ac:dyDescent="0.2">
      <c r="A52" s="61" t="s">
        <v>83</v>
      </c>
      <c r="B52" s="62"/>
      <c r="C52" s="54"/>
      <c r="D52" s="54"/>
      <c r="E52" s="63"/>
      <c r="F52" s="64"/>
      <c r="G52" s="65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66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66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8"/>
      <c r="AT52" s="63"/>
      <c r="AU52" s="63"/>
    </row>
    <row r="53" spans="1:47" ht="12.75" hidden="1" customHeight="1" outlineLevel="1" x14ac:dyDescent="0.2">
      <c r="A53" s="61" t="s">
        <v>84</v>
      </c>
      <c r="B53" s="62"/>
      <c r="C53" s="54"/>
      <c r="D53" s="54"/>
      <c r="E53" s="63"/>
      <c r="F53" s="64"/>
      <c r="G53" s="65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66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66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8"/>
      <c r="AT53" s="63"/>
      <c r="AU53" s="63"/>
    </row>
    <row r="54" spans="1:47" ht="12.75" hidden="1" customHeight="1" outlineLevel="1" x14ac:dyDescent="0.2">
      <c r="A54" s="61" t="s">
        <v>195</v>
      </c>
      <c r="B54" s="62"/>
      <c r="C54" s="54"/>
      <c r="D54" s="54"/>
      <c r="E54" s="63"/>
      <c r="F54" s="64"/>
      <c r="G54" s="65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66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66"/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8"/>
      <c r="AT54" s="63"/>
      <c r="AU54" s="63"/>
    </row>
    <row r="55" spans="1:47" ht="12.75" hidden="1" customHeight="1" outlineLevel="1" x14ac:dyDescent="0.2">
      <c r="A55" s="61" t="s">
        <v>86</v>
      </c>
      <c r="B55" s="62">
        <v>0</v>
      </c>
      <c r="C55" s="54"/>
      <c r="D55" s="54">
        <v>0</v>
      </c>
      <c r="E55" s="63"/>
      <c r="F55" s="64"/>
      <c r="G55" s="65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66">
        <v>0</v>
      </c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66"/>
      <c r="AG55" s="67">
        <v>0</v>
      </c>
      <c r="AH55" s="67">
        <v>0</v>
      </c>
      <c r="AI55" s="67">
        <v>0</v>
      </c>
      <c r="AJ55" s="67">
        <v>0</v>
      </c>
      <c r="AK55" s="67">
        <v>0</v>
      </c>
      <c r="AL55" s="67">
        <v>0</v>
      </c>
      <c r="AM55" s="67">
        <v>0</v>
      </c>
      <c r="AN55" s="67">
        <v>0</v>
      </c>
      <c r="AO55" s="67">
        <v>0</v>
      </c>
      <c r="AP55" s="67">
        <v>0</v>
      </c>
      <c r="AQ55" s="67">
        <v>0</v>
      </c>
      <c r="AR55" s="67">
        <v>0</v>
      </c>
      <c r="AS55" s="68">
        <v>0</v>
      </c>
      <c r="AT55" s="63"/>
      <c r="AU55" s="63"/>
    </row>
    <row r="56" spans="1:47" ht="12.75" hidden="1" customHeight="1" outlineLevel="1" x14ac:dyDescent="0.2">
      <c r="A56" s="61" t="s">
        <v>110</v>
      </c>
      <c r="B56" s="62"/>
      <c r="C56" s="54"/>
      <c r="D56" s="54"/>
      <c r="E56" s="63"/>
      <c r="F56" s="64"/>
      <c r="G56" s="65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66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66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8"/>
      <c r="AT56" s="63"/>
      <c r="AU56" s="63"/>
    </row>
    <row r="57" spans="1:47" ht="12.75" hidden="1" customHeight="1" outlineLevel="1" x14ac:dyDescent="0.2">
      <c r="A57" s="61" t="s">
        <v>196</v>
      </c>
      <c r="B57" s="62"/>
      <c r="C57" s="54"/>
      <c r="D57" s="54"/>
      <c r="E57" s="63"/>
      <c r="F57" s="64"/>
      <c r="G57" s="65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66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66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8"/>
      <c r="AT57" s="63"/>
      <c r="AU57" s="63"/>
    </row>
    <row r="58" spans="1:47" ht="12.75" hidden="1" customHeight="1" outlineLevel="1" x14ac:dyDescent="0.2">
      <c r="A58" s="61" t="s">
        <v>88</v>
      </c>
      <c r="B58" s="62">
        <v>0</v>
      </c>
      <c r="C58" s="54">
        <v>0</v>
      </c>
      <c r="D58" s="54">
        <v>0</v>
      </c>
      <c r="E58" s="63"/>
      <c r="F58" s="64"/>
      <c r="G58" s="65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0</v>
      </c>
      <c r="AI58" s="67">
        <v>0</v>
      </c>
      <c r="AJ58" s="67">
        <v>0</v>
      </c>
      <c r="AK58" s="67">
        <v>0</v>
      </c>
      <c r="AL58" s="67">
        <v>0</v>
      </c>
      <c r="AM58" s="67">
        <v>0</v>
      </c>
      <c r="AN58" s="67">
        <v>0</v>
      </c>
      <c r="AO58" s="67">
        <v>0</v>
      </c>
      <c r="AP58" s="67">
        <v>0</v>
      </c>
      <c r="AQ58" s="67">
        <v>0</v>
      </c>
      <c r="AR58" s="67">
        <v>0</v>
      </c>
      <c r="AS58" s="68">
        <v>0</v>
      </c>
      <c r="AT58" s="63"/>
      <c r="AU58" s="63"/>
    </row>
    <row r="59" spans="1:47" ht="12.75" hidden="1" customHeight="1" outlineLevel="1" x14ac:dyDescent="0.2">
      <c r="A59" s="61" t="s">
        <v>198</v>
      </c>
      <c r="B59" s="62">
        <v>0</v>
      </c>
      <c r="C59" s="54">
        <v>0</v>
      </c>
      <c r="D59" s="54">
        <v>0</v>
      </c>
      <c r="E59" s="63"/>
      <c r="F59" s="64"/>
      <c r="G59" s="65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66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66">
        <v>0</v>
      </c>
      <c r="AG59" s="67">
        <v>0</v>
      </c>
      <c r="AH59" s="67">
        <v>0</v>
      </c>
      <c r="AI59" s="67">
        <v>0</v>
      </c>
      <c r="AJ59" s="67">
        <v>0</v>
      </c>
      <c r="AK59" s="67">
        <v>0</v>
      </c>
      <c r="AL59" s="67">
        <v>0</v>
      </c>
      <c r="AM59" s="67">
        <v>0</v>
      </c>
      <c r="AN59" s="67">
        <v>0</v>
      </c>
      <c r="AO59" s="67">
        <v>0</v>
      </c>
      <c r="AP59" s="67">
        <v>0</v>
      </c>
      <c r="AQ59" s="67">
        <v>0</v>
      </c>
      <c r="AR59" s="67">
        <v>0</v>
      </c>
      <c r="AS59" s="68">
        <v>0</v>
      </c>
      <c r="AT59" s="63"/>
      <c r="AU59" s="63"/>
    </row>
    <row r="60" spans="1:47" ht="12.75" customHeight="1" collapsed="1" x14ac:dyDescent="0.2">
      <c r="A60" s="69" t="s">
        <v>89</v>
      </c>
      <c r="B60" s="70">
        <v>0</v>
      </c>
      <c r="C60" s="71">
        <v>0</v>
      </c>
      <c r="D60" s="71">
        <v>0</v>
      </c>
      <c r="E60" s="72"/>
      <c r="F60" s="73"/>
      <c r="G60" s="70">
        <v>0</v>
      </c>
      <c r="H60" s="71">
        <v>0</v>
      </c>
      <c r="I60" s="71">
        <v>0</v>
      </c>
      <c r="J60" s="71">
        <v>0</v>
      </c>
      <c r="K60" s="71">
        <v>0</v>
      </c>
      <c r="L60" s="71">
        <v>0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v>0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71">
        <v>0</v>
      </c>
      <c r="AE60" s="71">
        <v>0</v>
      </c>
      <c r="AF60" s="71">
        <v>0</v>
      </c>
      <c r="AG60" s="75">
        <v>0</v>
      </c>
      <c r="AH60" s="75">
        <v>0</v>
      </c>
      <c r="AI60" s="75">
        <v>0</v>
      </c>
      <c r="AJ60" s="75">
        <v>0</v>
      </c>
      <c r="AK60" s="75">
        <v>0</v>
      </c>
      <c r="AL60" s="75">
        <v>0</v>
      </c>
      <c r="AM60" s="75">
        <v>0</v>
      </c>
      <c r="AN60" s="75">
        <v>0</v>
      </c>
      <c r="AO60" s="75">
        <v>0</v>
      </c>
      <c r="AP60" s="75">
        <v>0</v>
      </c>
      <c r="AQ60" s="75">
        <v>0</v>
      </c>
      <c r="AR60" s="75">
        <v>0</v>
      </c>
      <c r="AS60" s="75">
        <v>0</v>
      </c>
      <c r="AT60" s="72"/>
      <c r="AU60" s="72"/>
    </row>
    <row r="61" spans="1:47" ht="12.75" customHeight="1" x14ac:dyDescent="0.2">
      <c r="A61" s="77" t="s">
        <v>201</v>
      </c>
      <c r="B61" s="78">
        <v>1892.46</v>
      </c>
      <c r="C61" s="79">
        <v>0</v>
      </c>
      <c r="D61" s="79">
        <v>59.4</v>
      </c>
      <c r="E61" s="80"/>
      <c r="F61" s="81">
        <v>3185.9595959595958</v>
      </c>
      <c r="G61" s="78">
        <v>1942.35</v>
      </c>
      <c r="H61" s="79">
        <v>1800.4</v>
      </c>
      <c r="I61" s="79">
        <v>1798.27</v>
      </c>
      <c r="J61" s="79">
        <v>1892.46</v>
      </c>
      <c r="K61" s="82">
        <v>-188.85</v>
      </c>
      <c r="L61" s="79">
        <v>0</v>
      </c>
      <c r="M61" s="79">
        <v>0</v>
      </c>
      <c r="N61" s="79">
        <v>0</v>
      </c>
      <c r="O61" s="79">
        <v>0</v>
      </c>
      <c r="P61" s="79">
        <v>0</v>
      </c>
      <c r="Q61" s="79">
        <v>0</v>
      </c>
      <c r="R61" s="79">
        <v>0</v>
      </c>
      <c r="S61" s="79">
        <v>7433.48</v>
      </c>
      <c r="T61" s="79">
        <v>0</v>
      </c>
      <c r="U61" s="79">
        <v>0</v>
      </c>
      <c r="V61" s="79">
        <v>0</v>
      </c>
      <c r="W61" s="79">
        <v>0</v>
      </c>
      <c r="X61" s="79">
        <v>0</v>
      </c>
      <c r="Y61" s="79">
        <v>0</v>
      </c>
      <c r="Z61" s="79">
        <v>0</v>
      </c>
      <c r="AA61" s="79">
        <v>0</v>
      </c>
      <c r="AB61" s="79">
        <v>0</v>
      </c>
      <c r="AC61" s="79">
        <v>0</v>
      </c>
      <c r="AD61" s="79">
        <v>0</v>
      </c>
      <c r="AE61" s="79">
        <v>0</v>
      </c>
      <c r="AF61" s="79">
        <v>0</v>
      </c>
      <c r="AG61" s="83">
        <v>2820.93</v>
      </c>
      <c r="AH61" s="83">
        <v>2882.3</v>
      </c>
      <c r="AI61" s="137">
        <v>-5703.24</v>
      </c>
      <c r="AJ61" s="83">
        <v>59.4</v>
      </c>
      <c r="AK61" s="83">
        <v>212.59</v>
      </c>
      <c r="AL61" s="83">
        <v>158.24</v>
      </c>
      <c r="AM61" s="83">
        <v>1154</v>
      </c>
      <c r="AN61" s="83">
        <v>175.23</v>
      </c>
      <c r="AO61" s="83">
        <v>469.83</v>
      </c>
      <c r="AP61" s="83">
        <v>107.92</v>
      </c>
      <c r="AQ61" s="83">
        <v>254.22</v>
      </c>
      <c r="AR61" s="83">
        <v>1559.67</v>
      </c>
      <c r="AS61" s="83">
        <v>59.39</v>
      </c>
      <c r="AT61" s="80"/>
      <c r="AU61" s="80">
        <v>12516.383229499916</v>
      </c>
    </row>
    <row r="62" spans="1:47" ht="12.75" customHeight="1" x14ac:dyDescent="0.2">
      <c r="A62" s="84" t="s">
        <v>8</v>
      </c>
      <c r="B62" s="135">
        <v>-1496.46</v>
      </c>
      <c r="C62" s="86">
        <v>0</v>
      </c>
      <c r="D62" s="86">
        <v>519.92999999999995</v>
      </c>
      <c r="E62" s="87"/>
      <c r="F62" s="88">
        <v>-287.81951416536839</v>
      </c>
      <c r="G62" s="135">
        <v>-1051.47</v>
      </c>
      <c r="H62" s="89">
        <v>-608.62</v>
      </c>
      <c r="I62" s="89">
        <v>-780.97</v>
      </c>
      <c r="J62" s="89">
        <v>-1496.46</v>
      </c>
      <c r="K62" s="86">
        <v>231.09</v>
      </c>
      <c r="L62" s="86">
        <v>0</v>
      </c>
      <c r="M62" s="86">
        <v>0</v>
      </c>
      <c r="N62" s="86">
        <v>0</v>
      </c>
      <c r="O62" s="86">
        <v>0</v>
      </c>
      <c r="P62" s="86">
        <v>0</v>
      </c>
      <c r="Q62" s="86">
        <v>0</v>
      </c>
      <c r="R62" s="86">
        <v>0</v>
      </c>
      <c r="S62" s="89">
        <v>-3937.52</v>
      </c>
      <c r="T62" s="86">
        <v>0</v>
      </c>
      <c r="U62" s="86">
        <v>0</v>
      </c>
      <c r="V62" s="86">
        <v>0</v>
      </c>
      <c r="W62" s="86">
        <v>0</v>
      </c>
      <c r="X62" s="86">
        <v>0</v>
      </c>
      <c r="Y62" s="86">
        <v>0</v>
      </c>
      <c r="Z62" s="86">
        <v>0</v>
      </c>
      <c r="AA62" s="86">
        <v>0</v>
      </c>
      <c r="AB62" s="86">
        <v>0</v>
      </c>
      <c r="AC62" s="86">
        <v>0</v>
      </c>
      <c r="AD62" s="86">
        <v>0</v>
      </c>
      <c r="AE62" s="86">
        <v>0</v>
      </c>
      <c r="AF62" s="86">
        <v>0</v>
      </c>
      <c r="AG62" s="136">
        <v>-2337.21</v>
      </c>
      <c r="AH62" s="136">
        <v>-2132.02</v>
      </c>
      <c r="AI62" s="90">
        <v>6400.68</v>
      </c>
      <c r="AJ62" s="90">
        <v>519.92999999999995</v>
      </c>
      <c r="AK62" s="90">
        <v>622.19000000000005</v>
      </c>
      <c r="AL62" s="90">
        <v>511.8</v>
      </c>
      <c r="AM62" s="136">
        <v>-671.37</v>
      </c>
      <c r="AN62" s="90">
        <v>431.68</v>
      </c>
      <c r="AO62" s="90">
        <v>214.76</v>
      </c>
      <c r="AP62" s="90">
        <v>428.21</v>
      </c>
      <c r="AQ62" s="90">
        <v>671.54</v>
      </c>
      <c r="AR62" s="136">
        <v>-770.07</v>
      </c>
      <c r="AS62" s="90">
        <v>2451.38</v>
      </c>
      <c r="AT62" s="87"/>
      <c r="AU62" s="87">
        <v>-160.62462776068989</v>
      </c>
    </row>
    <row r="66" spans="1:45" ht="15" x14ac:dyDescent="0.25">
      <c r="A66" s="16"/>
      <c r="B66" s="16"/>
      <c r="C66" s="16"/>
      <c r="D66" s="16"/>
    </row>
    <row r="67" spans="1:45" ht="15" x14ac:dyDescent="0.25">
      <c r="A67" s="16"/>
      <c r="B67" s="16"/>
      <c r="C67" s="16"/>
      <c r="D67" s="16"/>
      <c r="S67" s="26"/>
    </row>
    <row r="68" spans="1:45" ht="15" x14ac:dyDescent="0.25">
      <c r="A68" s="16"/>
      <c r="B68" s="16"/>
      <c r="C68" s="16"/>
      <c r="D68" s="16"/>
    </row>
    <row r="69" spans="1:45" ht="15" x14ac:dyDescent="0.25">
      <c r="A69" s="16"/>
      <c r="B69" s="16"/>
      <c r="C69" s="16"/>
      <c r="D69" s="16"/>
    </row>
    <row r="70" spans="1:45" ht="15" x14ac:dyDescent="0.25">
      <c r="A70" s="16"/>
      <c r="B70" s="25"/>
      <c r="C70" s="17"/>
      <c r="D70" s="25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365" t="s">
        <v>465</v>
      </c>
      <c r="AF70" s="26">
        <f>SUM(T2:AE2)</f>
        <v>0</v>
      </c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</row>
    <row r="71" spans="1:45" ht="15" x14ac:dyDescent="0.25">
      <c r="A71" s="16"/>
      <c r="B71" s="91"/>
      <c r="C71" s="16"/>
      <c r="D71" s="16"/>
      <c r="AE71" s="365"/>
      <c r="AF71" s="26">
        <f>SUM(T9:AE16)</f>
        <v>0</v>
      </c>
    </row>
    <row r="72" spans="1:45" ht="15" x14ac:dyDescent="0.25">
      <c r="A72" s="16"/>
      <c r="B72" s="16"/>
      <c r="C72" s="16"/>
      <c r="D72" s="16"/>
      <c r="AE72" s="365" t="s">
        <v>303</v>
      </c>
      <c r="AF72" s="26">
        <f>+AF70-AF71</f>
        <v>0</v>
      </c>
    </row>
    <row r="73" spans="1:45" ht="15" x14ac:dyDescent="0.25">
      <c r="A73" s="16"/>
      <c r="B73" s="16"/>
      <c r="C73" s="16"/>
      <c r="D73" s="16"/>
      <c r="AE73" s="365" t="s">
        <v>466</v>
      </c>
      <c r="AF73" s="482">
        <f>+SUM(T17:AE18)+SUM(T22:AE22)+SUM(T33:AE33)+SUM(T48:AE48)+SUM(T60:AE60)</f>
        <v>0</v>
      </c>
    </row>
    <row r="74" spans="1:45" ht="15" x14ac:dyDescent="0.25">
      <c r="A74" s="16"/>
      <c r="B74" s="16"/>
      <c r="C74" s="16"/>
      <c r="D74" s="16"/>
      <c r="AE74" s="365"/>
      <c r="AF74" s="365"/>
    </row>
    <row r="75" spans="1:45" x14ac:dyDescent="0.2">
      <c r="AE75" s="365" t="s">
        <v>419</v>
      </c>
      <c r="AF75" s="18">
        <f>+AF72-AF73</f>
        <v>0</v>
      </c>
    </row>
    <row r="76" spans="1:45" x14ac:dyDescent="0.2">
      <c r="AE76" s="365"/>
      <c r="AF76" s="482">
        <f>+AF75-SUM(T62:AE62)</f>
        <v>0</v>
      </c>
    </row>
    <row r="77" spans="1:45" x14ac:dyDescent="0.2">
      <c r="B77" s="92"/>
      <c r="G77" s="92"/>
      <c r="H77" s="92"/>
      <c r="I77" s="92"/>
      <c r="J77" s="92"/>
      <c r="S77" s="92"/>
    </row>
    <row r="78" spans="1:45" x14ac:dyDescent="0.2">
      <c r="B78" s="92"/>
      <c r="G78" s="92"/>
      <c r="H78" s="92"/>
      <c r="I78" s="92"/>
      <c r="J78" s="92"/>
      <c r="S78" s="92"/>
    </row>
    <row r="80" spans="1:45" x14ac:dyDescent="0.2">
      <c r="S80" s="93"/>
    </row>
  </sheetData>
  <hyperlinks>
    <hyperlink ref="AF73" r:id="rId1" display="+@sum(T17:AE18)+@sum(T22:AE22)+@sum(T33:AE33)+@sum(T48:AE48)+@sum(T62:AE62)"/>
    <hyperlink ref="AF76" r:id="rId2" display="+AF75-@sum(T64:AE64)"/>
  </hyperlinks>
  <pageMargins left="0.75" right="0.75" top="1" bottom="1" header="0.5" footer="0.5"/>
  <pageSetup orientation="portrait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9" tint="0.59999389629810485"/>
  </sheetPr>
  <dimension ref="A1:AX7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sqref="A1:AU61"/>
    </sheetView>
  </sheetViews>
  <sheetFormatPr defaultRowHeight="12.75" outlineLevelRow="1" outlineLevelCol="1" x14ac:dyDescent="0.2"/>
  <cols>
    <col min="1" max="1" width="66.42578125" customWidth="1"/>
    <col min="5" max="5" width="9.5703125" customWidth="1"/>
    <col min="6" max="6" width="10.5703125" customWidth="1"/>
    <col min="7" max="7" width="9.42578125" hidden="1" customWidth="1" outlineLevel="1"/>
    <col min="8" max="8" width="8.5703125" hidden="1" customWidth="1" outlineLevel="1"/>
    <col min="9" max="18" width="9.42578125" hidden="1" customWidth="1" outlineLevel="1"/>
    <col min="19" max="19" width="15.42578125" customWidth="1" collapsed="1"/>
    <col min="20" max="31" width="9.42578125" hidden="1" customWidth="1" outlineLevel="1"/>
    <col min="32" max="32" width="15.42578125" customWidth="1" collapsed="1"/>
    <col min="33" max="44" width="9.42578125" hidden="1" customWidth="1" outlineLevel="1"/>
    <col min="45" max="45" width="9.42578125" collapsed="1"/>
    <col min="46" max="47" width="10.5703125" customWidth="1"/>
    <col min="49" max="49" width="11.5703125" bestFit="1" customWidth="1"/>
  </cols>
  <sheetData>
    <row r="1" spans="1:50" ht="42.75" customHeight="1" x14ac:dyDescent="0.2">
      <c r="A1" s="366" t="s">
        <v>134</v>
      </c>
      <c r="B1" s="366" t="s">
        <v>651</v>
      </c>
      <c r="C1" s="366" t="s">
        <v>662</v>
      </c>
      <c r="D1" s="366" t="s">
        <v>27</v>
      </c>
      <c r="E1" s="366" t="s">
        <v>135</v>
      </c>
      <c r="F1" s="366" t="s">
        <v>136</v>
      </c>
      <c r="G1" s="366" t="s">
        <v>647</v>
      </c>
      <c r="H1" s="366" t="s">
        <v>649</v>
      </c>
      <c r="I1" s="366" t="s">
        <v>650</v>
      </c>
      <c r="J1" s="366" t="s">
        <v>651</v>
      </c>
      <c r="K1" s="366" t="s">
        <v>652</v>
      </c>
      <c r="L1" s="366" t="s">
        <v>653</v>
      </c>
      <c r="M1" s="366" t="s">
        <v>654</v>
      </c>
      <c r="N1" s="366" t="s">
        <v>655</v>
      </c>
      <c r="O1" s="366" t="s">
        <v>656</v>
      </c>
      <c r="P1" s="366" t="s">
        <v>657</v>
      </c>
      <c r="Q1" s="366" t="s">
        <v>658</v>
      </c>
      <c r="R1" s="366" t="s">
        <v>659</v>
      </c>
      <c r="S1" s="366" t="s">
        <v>709</v>
      </c>
      <c r="T1" s="366" t="s">
        <v>648</v>
      </c>
      <c r="U1" s="366" t="s">
        <v>660</v>
      </c>
      <c r="V1" s="366" t="s">
        <v>661</v>
      </c>
      <c r="W1" s="366" t="s">
        <v>662</v>
      </c>
      <c r="X1" s="366" t="s">
        <v>663</v>
      </c>
      <c r="Y1" s="366" t="s">
        <v>664</v>
      </c>
      <c r="Z1" s="366" t="s">
        <v>665</v>
      </c>
      <c r="AA1" s="366" t="s">
        <v>666</v>
      </c>
      <c r="AB1" s="366" t="s">
        <v>667</v>
      </c>
      <c r="AC1" s="366" t="s">
        <v>668</v>
      </c>
      <c r="AD1" s="366" t="s">
        <v>669</v>
      </c>
      <c r="AE1" s="366" t="s">
        <v>670</v>
      </c>
      <c r="AF1" s="366" t="s">
        <v>710</v>
      </c>
      <c r="AG1" s="366" t="s">
        <v>588</v>
      </c>
      <c r="AH1" s="366" t="s">
        <v>589</v>
      </c>
      <c r="AI1" s="366" t="s">
        <v>590</v>
      </c>
      <c r="AJ1" s="366" t="s">
        <v>591</v>
      </c>
      <c r="AK1" s="366" t="s">
        <v>592</v>
      </c>
      <c r="AL1" s="366" t="s">
        <v>593</v>
      </c>
      <c r="AM1" s="366" t="s">
        <v>594</v>
      </c>
      <c r="AN1" s="366" t="s">
        <v>595</v>
      </c>
      <c r="AO1" s="366" t="s">
        <v>596</v>
      </c>
      <c r="AP1" s="366" t="s">
        <v>597</v>
      </c>
      <c r="AQ1" s="366" t="s">
        <v>598</v>
      </c>
      <c r="AR1" s="366" t="s">
        <v>587</v>
      </c>
      <c r="AS1" s="366" t="s">
        <v>137</v>
      </c>
      <c r="AT1" s="366" t="s">
        <v>138</v>
      </c>
      <c r="AU1" s="366" t="s">
        <v>139</v>
      </c>
    </row>
    <row r="2" spans="1:50" s="203" customFormat="1" ht="12.75" customHeight="1" x14ac:dyDescent="0.2">
      <c r="A2" s="61" t="s">
        <v>7</v>
      </c>
      <c r="B2" s="62">
        <v>18876.419999999998</v>
      </c>
      <c r="C2" s="54">
        <v>0</v>
      </c>
      <c r="D2" s="54">
        <v>25732.25</v>
      </c>
      <c r="E2" s="63"/>
      <c r="F2" s="64">
        <v>73.357051948430467</v>
      </c>
      <c r="G2" s="65">
        <v>23224.29</v>
      </c>
      <c r="H2" s="54">
        <v>20228.77</v>
      </c>
      <c r="I2" s="54">
        <v>20902.13</v>
      </c>
      <c r="J2" s="54">
        <v>18876.419999999998</v>
      </c>
      <c r="K2" s="54">
        <v>1578.27</v>
      </c>
      <c r="L2" s="54">
        <v>0</v>
      </c>
      <c r="M2" s="54">
        <v>0</v>
      </c>
      <c r="N2" s="54">
        <v>0</v>
      </c>
      <c r="O2" s="54">
        <v>0</v>
      </c>
      <c r="P2" s="54">
        <v>0</v>
      </c>
      <c r="Q2" s="54">
        <v>0</v>
      </c>
      <c r="R2" s="54">
        <v>0</v>
      </c>
      <c r="S2" s="66">
        <v>83231.61</v>
      </c>
      <c r="T2" s="54">
        <v>0</v>
      </c>
      <c r="U2" s="54">
        <v>0</v>
      </c>
      <c r="V2" s="54">
        <v>0</v>
      </c>
      <c r="W2" s="54">
        <v>0</v>
      </c>
      <c r="X2" s="54">
        <v>0</v>
      </c>
      <c r="Y2" s="54">
        <v>0</v>
      </c>
      <c r="Z2" s="54">
        <v>0</v>
      </c>
      <c r="AA2" s="54">
        <v>0</v>
      </c>
      <c r="AB2" s="54">
        <v>0</v>
      </c>
      <c r="AC2" s="54">
        <v>0</v>
      </c>
      <c r="AD2" s="54">
        <v>0</v>
      </c>
      <c r="AE2" s="54">
        <v>0</v>
      </c>
      <c r="AF2" s="66">
        <v>0</v>
      </c>
      <c r="AG2" s="67">
        <v>17282.14</v>
      </c>
      <c r="AH2" s="67">
        <v>26279.61</v>
      </c>
      <c r="AI2" s="67">
        <v>22334.67</v>
      </c>
      <c r="AJ2" s="67">
        <v>25732.25</v>
      </c>
      <c r="AK2" s="67">
        <v>23514.080000000002</v>
      </c>
      <c r="AL2" s="67">
        <v>31665.46</v>
      </c>
      <c r="AM2" s="67">
        <v>27187.5</v>
      </c>
      <c r="AN2" s="67">
        <v>30068.93</v>
      </c>
      <c r="AO2" s="67">
        <v>25268.54</v>
      </c>
      <c r="AP2" s="67">
        <v>16787.7</v>
      </c>
      <c r="AQ2" s="67">
        <v>19268.23</v>
      </c>
      <c r="AR2" s="67">
        <v>17270.169999999998</v>
      </c>
      <c r="AS2" s="68">
        <v>91628.67</v>
      </c>
      <c r="AT2" s="63"/>
      <c r="AU2" s="63">
        <v>90.835772253378778</v>
      </c>
    </row>
    <row r="3" spans="1:50" ht="12.75" hidden="1" customHeight="1" outlineLevel="1" x14ac:dyDescent="0.2">
      <c r="A3" s="61" t="s">
        <v>160</v>
      </c>
      <c r="B3" s="62">
        <v>4045.29</v>
      </c>
      <c r="C3" s="54">
        <v>0</v>
      </c>
      <c r="D3" s="54">
        <v>12503.65</v>
      </c>
      <c r="E3" s="63"/>
      <c r="F3" s="64">
        <v>32.352872961095358</v>
      </c>
      <c r="G3" s="65">
        <v>2666.19</v>
      </c>
      <c r="H3" s="54">
        <v>4151.79</v>
      </c>
      <c r="I3" s="54">
        <v>3901.13</v>
      </c>
      <c r="J3" s="54">
        <v>4045.29</v>
      </c>
      <c r="K3" s="54">
        <v>0</v>
      </c>
      <c r="L3" s="54">
        <v>0</v>
      </c>
      <c r="M3" s="54">
        <v>0</v>
      </c>
      <c r="N3" s="54">
        <v>0</v>
      </c>
      <c r="O3" s="54">
        <v>0</v>
      </c>
      <c r="P3" s="54">
        <v>0</v>
      </c>
      <c r="Q3" s="54">
        <v>0</v>
      </c>
      <c r="R3" s="54">
        <v>0</v>
      </c>
      <c r="S3" s="66">
        <v>14764.4</v>
      </c>
      <c r="T3" s="54">
        <v>0</v>
      </c>
      <c r="U3" s="54">
        <v>0</v>
      </c>
      <c r="V3" s="54">
        <v>0</v>
      </c>
      <c r="W3" s="54">
        <v>0</v>
      </c>
      <c r="X3" s="54">
        <v>0</v>
      </c>
      <c r="Y3" s="54">
        <v>0</v>
      </c>
      <c r="Z3" s="54">
        <v>0</v>
      </c>
      <c r="AA3" s="54">
        <v>0</v>
      </c>
      <c r="AB3" s="54">
        <v>0</v>
      </c>
      <c r="AC3" s="54">
        <v>0</v>
      </c>
      <c r="AD3" s="54">
        <v>0</v>
      </c>
      <c r="AE3" s="54">
        <v>0</v>
      </c>
      <c r="AF3" s="66">
        <v>0</v>
      </c>
      <c r="AG3" s="67">
        <v>7763.68</v>
      </c>
      <c r="AH3" s="67">
        <v>8569.19</v>
      </c>
      <c r="AI3" s="67">
        <v>14411.35</v>
      </c>
      <c r="AJ3" s="67">
        <v>12503.65</v>
      </c>
      <c r="AK3" s="67">
        <v>11680.21</v>
      </c>
      <c r="AL3" s="67">
        <v>10513.31</v>
      </c>
      <c r="AM3" s="98">
        <v>-5036.47</v>
      </c>
      <c r="AN3" s="67">
        <v>6999.99</v>
      </c>
      <c r="AO3" s="98">
        <v>-5066.3900000000003</v>
      </c>
      <c r="AP3" s="67">
        <v>3222.59</v>
      </c>
      <c r="AQ3" s="67">
        <v>3555.78</v>
      </c>
      <c r="AR3" s="67">
        <v>3130.67</v>
      </c>
      <c r="AS3" s="68">
        <v>43247.87</v>
      </c>
      <c r="AT3" s="63"/>
      <c r="AU3" s="63">
        <v>34.139022337978723</v>
      </c>
    </row>
    <row r="4" spans="1:50" ht="12.75" hidden="1" customHeight="1" outlineLevel="1" x14ac:dyDescent="0.2">
      <c r="A4" s="61" t="s">
        <v>161</v>
      </c>
      <c r="B4" s="62">
        <v>346.85</v>
      </c>
      <c r="C4" s="54">
        <v>0</v>
      </c>
      <c r="D4" s="54">
        <v>651.49</v>
      </c>
      <c r="E4" s="63"/>
      <c r="F4" s="64">
        <v>53.239497152680777</v>
      </c>
      <c r="G4" s="65">
        <v>173.67</v>
      </c>
      <c r="H4" s="54">
        <v>30.6</v>
      </c>
      <c r="I4" s="54">
        <v>431.49</v>
      </c>
      <c r="J4" s="54">
        <v>346.85</v>
      </c>
      <c r="K4" s="56">
        <v>-182.03</v>
      </c>
      <c r="L4" s="54">
        <v>0</v>
      </c>
      <c r="M4" s="54">
        <v>0</v>
      </c>
      <c r="N4" s="54">
        <v>0</v>
      </c>
      <c r="O4" s="54">
        <v>0</v>
      </c>
      <c r="P4" s="54">
        <v>0</v>
      </c>
      <c r="Q4" s="54">
        <v>0</v>
      </c>
      <c r="R4" s="54">
        <v>0</v>
      </c>
      <c r="S4" s="66">
        <v>982.61</v>
      </c>
      <c r="T4" s="54">
        <v>0</v>
      </c>
      <c r="U4" s="54">
        <v>0</v>
      </c>
      <c r="V4" s="54">
        <v>0</v>
      </c>
      <c r="W4" s="54">
        <v>0</v>
      </c>
      <c r="X4" s="54">
        <v>0</v>
      </c>
      <c r="Y4" s="54">
        <v>0</v>
      </c>
      <c r="Z4" s="54">
        <v>0</v>
      </c>
      <c r="AA4" s="54">
        <v>0</v>
      </c>
      <c r="AB4" s="54">
        <v>0</v>
      </c>
      <c r="AC4" s="54">
        <v>0</v>
      </c>
      <c r="AD4" s="54">
        <v>0</v>
      </c>
      <c r="AE4" s="54">
        <v>0</v>
      </c>
      <c r="AF4" s="66">
        <v>0</v>
      </c>
      <c r="AG4" s="67">
        <v>422.07</v>
      </c>
      <c r="AH4" s="67">
        <v>469.65</v>
      </c>
      <c r="AI4" s="67">
        <v>830.97</v>
      </c>
      <c r="AJ4" s="67">
        <v>651.49</v>
      </c>
      <c r="AK4" s="67">
        <v>606.29</v>
      </c>
      <c r="AL4" s="67">
        <v>564.49</v>
      </c>
      <c r="AM4" s="67">
        <v>500.68</v>
      </c>
      <c r="AN4" s="67">
        <v>384.09</v>
      </c>
      <c r="AO4" s="98">
        <v>-32.74</v>
      </c>
      <c r="AP4" s="67">
        <v>346.76</v>
      </c>
      <c r="AQ4" s="67">
        <v>350.32</v>
      </c>
      <c r="AR4" s="67">
        <v>341.58</v>
      </c>
      <c r="AS4" s="68">
        <v>2374.1799999999998</v>
      </c>
      <c r="AT4" s="63"/>
      <c r="AU4" s="63">
        <v>41.387342156028609</v>
      </c>
    </row>
    <row r="5" spans="1:50" ht="12.75" hidden="1" customHeight="1" outlineLevel="1" x14ac:dyDescent="0.2">
      <c r="A5" s="61" t="s">
        <v>162</v>
      </c>
      <c r="B5" s="62">
        <v>139.44</v>
      </c>
      <c r="C5" s="54">
        <v>0</v>
      </c>
      <c r="D5" s="54">
        <v>251.63</v>
      </c>
      <c r="E5" s="63"/>
      <c r="F5" s="64">
        <v>55.414696180900528</v>
      </c>
      <c r="G5" s="65">
        <v>790.51</v>
      </c>
      <c r="H5" s="54">
        <v>213.29</v>
      </c>
      <c r="I5" s="54">
        <v>191.65</v>
      </c>
      <c r="J5" s="54">
        <v>139.44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66">
        <v>1334.89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66">
        <v>0</v>
      </c>
      <c r="AG5" s="67">
        <v>139.35</v>
      </c>
      <c r="AH5" s="67">
        <v>488.3</v>
      </c>
      <c r="AI5" s="98">
        <v>-339.64</v>
      </c>
      <c r="AJ5" s="67">
        <v>251.63</v>
      </c>
      <c r="AK5" s="67">
        <v>998.32</v>
      </c>
      <c r="AL5" s="67">
        <v>1376.93</v>
      </c>
      <c r="AM5" s="98">
        <v>-587.9</v>
      </c>
      <c r="AN5" s="67">
        <v>533.22</v>
      </c>
      <c r="AO5" s="67">
        <v>6967.14</v>
      </c>
      <c r="AP5" s="67">
        <v>426.1</v>
      </c>
      <c r="AQ5" s="67">
        <v>437.61</v>
      </c>
      <c r="AR5" s="67">
        <v>315.95999999999998</v>
      </c>
      <c r="AS5" s="68">
        <v>539.64</v>
      </c>
      <c r="AT5" s="63"/>
      <c r="AU5" s="63">
        <v>247.36676302720332</v>
      </c>
    </row>
    <row r="6" spans="1:50" ht="12.75" hidden="1" customHeight="1" outlineLevel="1" x14ac:dyDescent="0.2">
      <c r="A6" s="61" t="s">
        <v>163</v>
      </c>
      <c r="B6" s="62"/>
      <c r="C6" s="54"/>
      <c r="D6" s="54"/>
      <c r="E6" s="63"/>
      <c r="F6" s="64"/>
      <c r="G6" s="65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66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66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8"/>
      <c r="AT6" s="63"/>
      <c r="AU6" s="63"/>
    </row>
    <row r="7" spans="1:50" ht="12.75" hidden="1" customHeight="1" outlineLevel="1" x14ac:dyDescent="0.2">
      <c r="A7" s="61" t="s">
        <v>164</v>
      </c>
      <c r="B7" s="62">
        <v>0</v>
      </c>
      <c r="C7" s="54">
        <v>0</v>
      </c>
      <c r="D7" s="54">
        <v>99</v>
      </c>
      <c r="E7" s="63"/>
      <c r="F7" s="64">
        <v>0</v>
      </c>
      <c r="G7" s="97">
        <v>-289.56</v>
      </c>
      <c r="H7" s="54">
        <v>0</v>
      </c>
      <c r="I7" s="54">
        <v>0</v>
      </c>
      <c r="J7" s="54">
        <v>0</v>
      </c>
      <c r="K7" s="54">
        <v>0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76">
        <v>-289.56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66">
        <v>0</v>
      </c>
      <c r="AG7" s="67">
        <v>99</v>
      </c>
      <c r="AH7" s="67">
        <v>99</v>
      </c>
      <c r="AI7" s="67">
        <v>99</v>
      </c>
      <c r="AJ7" s="67">
        <v>99</v>
      </c>
      <c r="AK7" s="67">
        <v>99</v>
      </c>
      <c r="AL7" s="67">
        <v>99</v>
      </c>
      <c r="AM7" s="67">
        <v>99</v>
      </c>
      <c r="AN7" s="67">
        <v>99</v>
      </c>
      <c r="AO7" s="67">
        <v>99</v>
      </c>
      <c r="AP7" s="67">
        <v>96.52</v>
      </c>
      <c r="AQ7" s="67">
        <v>96.52</v>
      </c>
      <c r="AR7" s="67">
        <v>96.52</v>
      </c>
      <c r="AS7" s="68">
        <v>396</v>
      </c>
      <c r="AT7" s="63"/>
      <c r="AU7" s="63">
        <v>-73.121212121212125</v>
      </c>
    </row>
    <row r="8" spans="1:50" ht="12.75" hidden="1" customHeight="1" outlineLevel="1" x14ac:dyDescent="0.2">
      <c r="A8" s="61" t="s">
        <v>165</v>
      </c>
      <c r="B8" s="62">
        <v>384.04</v>
      </c>
      <c r="C8" s="54">
        <v>0</v>
      </c>
      <c r="D8" s="54">
        <v>967.73</v>
      </c>
      <c r="E8" s="63"/>
      <c r="F8" s="64">
        <v>39.684622777014248</v>
      </c>
      <c r="G8" s="65">
        <v>324.52999999999997</v>
      </c>
      <c r="H8" s="54">
        <v>423.25</v>
      </c>
      <c r="I8" s="54">
        <v>386.93</v>
      </c>
      <c r="J8" s="54">
        <v>384.04</v>
      </c>
      <c r="K8" s="54">
        <v>0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66">
        <v>1518.75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66">
        <v>0</v>
      </c>
      <c r="AG8" s="67">
        <v>662.14</v>
      </c>
      <c r="AH8" s="67">
        <v>688.14</v>
      </c>
      <c r="AI8" s="67">
        <v>1230.94</v>
      </c>
      <c r="AJ8" s="67">
        <v>967.73</v>
      </c>
      <c r="AK8" s="67">
        <v>1081.58</v>
      </c>
      <c r="AL8" s="67">
        <v>1199.3399999999999</v>
      </c>
      <c r="AM8" s="98">
        <v>-753.64</v>
      </c>
      <c r="AN8" s="67">
        <v>712.64</v>
      </c>
      <c r="AO8" s="67">
        <v>277.58</v>
      </c>
      <c r="AP8" s="67">
        <v>325.29000000000002</v>
      </c>
      <c r="AQ8" s="67">
        <v>348.44</v>
      </c>
      <c r="AR8" s="67">
        <v>294.62</v>
      </c>
      <c r="AS8" s="68">
        <v>3548.95</v>
      </c>
      <c r="AT8" s="63"/>
      <c r="AU8" s="63">
        <v>42.794347623945107</v>
      </c>
    </row>
    <row r="9" spans="1:50" ht="12.75" customHeight="1" collapsed="1" x14ac:dyDescent="0.2">
      <c r="A9" s="69" t="s">
        <v>166</v>
      </c>
      <c r="B9" s="70">
        <v>4915.62</v>
      </c>
      <c r="C9" s="71">
        <v>0</v>
      </c>
      <c r="D9" s="71">
        <v>14473.5</v>
      </c>
      <c r="E9" s="72"/>
      <c r="F9" s="73">
        <v>33.962897709607212</v>
      </c>
      <c r="G9" s="70">
        <v>3665.34</v>
      </c>
      <c r="H9" s="71">
        <v>4818.93</v>
      </c>
      <c r="I9" s="71">
        <v>4911.2</v>
      </c>
      <c r="J9" s="71">
        <v>4915.62</v>
      </c>
      <c r="K9" s="74">
        <v>-182.03</v>
      </c>
      <c r="L9" s="71">
        <v>0</v>
      </c>
      <c r="M9" s="71">
        <v>0</v>
      </c>
      <c r="N9" s="71">
        <v>0</v>
      </c>
      <c r="O9" s="71">
        <v>0</v>
      </c>
      <c r="P9" s="71">
        <v>0</v>
      </c>
      <c r="Q9" s="71">
        <v>0</v>
      </c>
      <c r="R9" s="71">
        <v>0</v>
      </c>
      <c r="S9" s="71">
        <v>18311.09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0</v>
      </c>
      <c r="AA9" s="71">
        <v>0</v>
      </c>
      <c r="AB9" s="71">
        <v>0</v>
      </c>
      <c r="AC9" s="71">
        <v>0</v>
      </c>
      <c r="AD9" s="71">
        <v>0</v>
      </c>
      <c r="AE9" s="71">
        <v>0</v>
      </c>
      <c r="AF9" s="71">
        <v>0</v>
      </c>
      <c r="AG9" s="75">
        <v>9086.24</v>
      </c>
      <c r="AH9" s="75">
        <v>10314.280000000001</v>
      </c>
      <c r="AI9" s="75">
        <v>16232.62</v>
      </c>
      <c r="AJ9" s="75">
        <v>14473.5</v>
      </c>
      <c r="AK9" s="75">
        <v>14465.4</v>
      </c>
      <c r="AL9" s="75">
        <v>13753.07</v>
      </c>
      <c r="AM9" s="134">
        <v>-5778.33</v>
      </c>
      <c r="AN9" s="75">
        <v>8728.94</v>
      </c>
      <c r="AO9" s="75">
        <v>2244.59</v>
      </c>
      <c r="AP9" s="75">
        <v>4417.26</v>
      </c>
      <c r="AQ9" s="75">
        <v>4788.67</v>
      </c>
      <c r="AR9" s="75">
        <v>4179.3500000000004</v>
      </c>
      <c r="AS9" s="75">
        <v>50106.64</v>
      </c>
      <c r="AT9" s="72"/>
      <c r="AU9" s="72">
        <v>36.5442384482376</v>
      </c>
      <c r="AW9" s="94"/>
      <c r="AX9" s="94"/>
    </row>
    <row r="10" spans="1:50" ht="12.75" customHeight="1" x14ac:dyDescent="0.2">
      <c r="A10" s="61" t="s">
        <v>167</v>
      </c>
      <c r="B10" s="62">
        <v>63</v>
      </c>
      <c r="C10" s="54">
        <v>0</v>
      </c>
      <c r="D10" s="54">
        <v>182.66</v>
      </c>
      <c r="E10" s="63"/>
      <c r="F10" s="64">
        <v>34.490309865323553</v>
      </c>
      <c r="G10" s="65">
        <v>336.91</v>
      </c>
      <c r="H10" s="54">
        <v>666.57</v>
      </c>
      <c r="I10" s="54">
        <v>0</v>
      </c>
      <c r="J10" s="54">
        <v>63</v>
      </c>
      <c r="K10" s="54">
        <v>0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66">
        <v>1066.48</v>
      </c>
      <c r="T10" s="54">
        <v>0</v>
      </c>
      <c r="U10" s="54">
        <v>0</v>
      </c>
      <c r="V10" s="54">
        <v>0</v>
      </c>
      <c r="W10" s="54">
        <v>0</v>
      </c>
      <c r="X10" s="54">
        <v>0</v>
      </c>
      <c r="Y10" s="54">
        <v>0</v>
      </c>
      <c r="Z10" s="54">
        <v>0</v>
      </c>
      <c r="AA10" s="54">
        <v>0</v>
      </c>
      <c r="AB10" s="54">
        <v>0</v>
      </c>
      <c r="AC10" s="54">
        <v>0</v>
      </c>
      <c r="AD10" s="54">
        <v>0</v>
      </c>
      <c r="AE10" s="54">
        <v>0</v>
      </c>
      <c r="AF10" s="66">
        <v>0</v>
      </c>
      <c r="AG10" s="67">
        <v>223.43</v>
      </c>
      <c r="AH10" s="67">
        <v>0</v>
      </c>
      <c r="AI10" s="67">
        <v>414</v>
      </c>
      <c r="AJ10" s="67">
        <v>182.66</v>
      </c>
      <c r="AK10" s="67">
        <v>182.66</v>
      </c>
      <c r="AL10" s="67">
        <v>773.55</v>
      </c>
      <c r="AM10" s="67">
        <v>390.8</v>
      </c>
      <c r="AN10" s="98">
        <v>-361.8</v>
      </c>
      <c r="AO10" s="98">
        <v>-29</v>
      </c>
      <c r="AP10" s="67">
        <v>690</v>
      </c>
      <c r="AQ10" s="67">
        <v>127.95</v>
      </c>
      <c r="AR10" s="67">
        <v>0</v>
      </c>
      <c r="AS10" s="68">
        <v>820.09</v>
      </c>
      <c r="AT10" s="63"/>
      <c r="AU10" s="63">
        <v>130.04426343450109</v>
      </c>
    </row>
    <row r="11" spans="1:50" ht="12.75" customHeight="1" x14ac:dyDescent="0.2">
      <c r="A11" s="61" t="s">
        <v>168</v>
      </c>
      <c r="B11" s="62">
        <v>0</v>
      </c>
      <c r="C11" s="54">
        <v>0</v>
      </c>
      <c r="D11" s="54">
        <v>0</v>
      </c>
      <c r="E11" s="63"/>
      <c r="F11" s="64"/>
      <c r="G11" s="65">
        <v>0</v>
      </c>
      <c r="H11" s="54">
        <v>14501</v>
      </c>
      <c r="I11" s="54">
        <v>0</v>
      </c>
      <c r="J11" s="54">
        <v>0</v>
      </c>
      <c r="K11" s="54">
        <v>0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0</v>
      </c>
      <c r="S11" s="66">
        <v>14501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0</v>
      </c>
      <c r="AC11" s="54">
        <v>0</v>
      </c>
      <c r="AD11" s="54">
        <v>0</v>
      </c>
      <c r="AE11" s="54">
        <v>0</v>
      </c>
      <c r="AF11" s="66">
        <v>0</v>
      </c>
      <c r="AG11" s="67">
        <v>0</v>
      </c>
      <c r="AH11" s="67">
        <v>4767</v>
      </c>
      <c r="AI11" s="67">
        <v>0</v>
      </c>
      <c r="AJ11" s="67">
        <v>0</v>
      </c>
      <c r="AK11" s="67">
        <v>7863</v>
      </c>
      <c r="AL11" s="67">
        <v>2817</v>
      </c>
      <c r="AM11" s="98">
        <v>-2817</v>
      </c>
      <c r="AN11" s="67">
        <v>5937</v>
      </c>
      <c r="AO11" s="67">
        <v>2415</v>
      </c>
      <c r="AP11" s="67">
        <v>5937</v>
      </c>
      <c r="AQ11" s="67">
        <v>7107</v>
      </c>
      <c r="AR11" s="67">
        <v>0</v>
      </c>
      <c r="AS11" s="68">
        <v>4767</v>
      </c>
      <c r="AT11" s="63"/>
      <c r="AU11" s="63">
        <v>304.1955108034403</v>
      </c>
    </row>
    <row r="12" spans="1:50" ht="12.75" customHeight="1" x14ac:dyDescent="0.2">
      <c r="A12" s="61" t="s">
        <v>169</v>
      </c>
      <c r="B12" s="62">
        <v>0</v>
      </c>
      <c r="C12" s="54">
        <v>0</v>
      </c>
      <c r="D12" s="54">
        <v>0</v>
      </c>
      <c r="E12" s="63"/>
      <c r="F12" s="64"/>
      <c r="G12" s="65">
        <v>0</v>
      </c>
      <c r="H12" s="54">
        <v>0</v>
      </c>
      <c r="I12" s="54">
        <v>0</v>
      </c>
      <c r="J12" s="54">
        <v>0</v>
      </c>
      <c r="K12" s="54">
        <v>0</v>
      </c>
      <c r="L12" s="54">
        <v>0</v>
      </c>
      <c r="M12" s="54">
        <v>0</v>
      </c>
      <c r="N12" s="54">
        <v>0</v>
      </c>
      <c r="O12" s="54">
        <v>0</v>
      </c>
      <c r="P12" s="54">
        <v>0</v>
      </c>
      <c r="Q12" s="54">
        <v>0</v>
      </c>
      <c r="R12" s="54">
        <v>0</v>
      </c>
      <c r="S12" s="66">
        <v>0</v>
      </c>
      <c r="T12" s="54">
        <v>0</v>
      </c>
      <c r="U12" s="54">
        <v>0</v>
      </c>
      <c r="V12" s="54">
        <v>0</v>
      </c>
      <c r="W12" s="54">
        <v>0</v>
      </c>
      <c r="X12" s="54">
        <v>0</v>
      </c>
      <c r="Y12" s="54">
        <v>0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66">
        <v>0</v>
      </c>
      <c r="AG12" s="67">
        <v>0</v>
      </c>
      <c r="AH12" s="67">
        <v>0</v>
      </c>
      <c r="AI12" s="67">
        <v>0</v>
      </c>
      <c r="AJ12" s="67">
        <v>0</v>
      </c>
      <c r="AK12" s="67">
        <v>0</v>
      </c>
      <c r="AL12" s="67">
        <v>0</v>
      </c>
      <c r="AM12" s="67">
        <v>0</v>
      </c>
      <c r="AN12" s="67">
        <v>0</v>
      </c>
      <c r="AO12" s="67">
        <v>0</v>
      </c>
      <c r="AP12" s="67">
        <v>0</v>
      </c>
      <c r="AQ12" s="67">
        <v>0</v>
      </c>
      <c r="AR12" s="67">
        <v>0</v>
      </c>
      <c r="AS12" s="68">
        <v>0</v>
      </c>
      <c r="AT12" s="63"/>
      <c r="AU12" s="63"/>
    </row>
    <row r="13" spans="1:50" ht="12.75" customHeight="1" x14ac:dyDescent="0.2">
      <c r="A13" s="61" t="s">
        <v>50</v>
      </c>
      <c r="B13" s="62"/>
      <c r="C13" s="54"/>
      <c r="D13" s="54"/>
      <c r="E13" s="63"/>
      <c r="F13" s="64"/>
      <c r="G13" s="65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66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66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8"/>
      <c r="AT13" s="63"/>
      <c r="AU13" s="63"/>
    </row>
    <row r="14" spans="1:50" ht="12.75" customHeight="1" x14ac:dyDescent="0.2">
      <c r="A14" s="61" t="s">
        <v>170</v>
      </c>
      <c r="B14" s="62">
        <v>0</v>
      </c>
      <c r="C14" s="54">
        <v>0</v>
      </c>
      <c r="D14" s="54">
        <v>0</v>
      </c>
      <c r="E14" s="63"/>
      <c r="F14" s="64"/>
      <c r="G14" s="65">
        <v>0</v>
      </c>
      <c r="H14" s="54">
        <v>0</v>
      </c>
      <c r="I14" s="54">
        <v>0</v>
      </c>
      <c r="J14" s="54">
        <v>0</v>
      </c>
      <c r="K14" s="54">
        <v>0</v>
      </c>
      <c r="L14" s="54">
        <v>0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54">
        <v>0</v>
      </c>
      <c r="S14" s="66">
        <v>0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66">
        <v>0</v>
      </c>
      <c r="AG14" s="67">
        <v>0</v>
      </c>
      <c r="AH14" s="67">
        <v>0</v>
      </c>
      <c r="AI14" s="67">
        <v>0</v>
      </c>
      <c r="AJ14" s="67">
        <v>0</v>
      </c>
      <c r="AK14" s="67">
        <v>0</v>
      </c>
      <c r="AL14" s="67">
        <v>0</v>
      </c>
      <c r="AM14" s="67">
        <v>0</v>
      </c>
      <c r="AN14" s="67">
        <v>0</v>
      </c>
      <c r="AO14" s="67">
        <v>0</v>
      </c>
      <c r="AP14" s="67">
        <v>0</v>
      </c>
      <c r="AQ14" s="67">
        <v>0</v>
      </c>
      <c r="AR14" s="67">
        <v>0</v>
      </c>
      <c r="AS14" s="68">
        <v>0</v>
      </c>
      <c r="AT14" s="63"/>
      <c r="AU14" s="63"/>
    </row>
    <row r="15" spans="1:50" ht="12.75" customHeight="1" x14ac:dyDescent="0.2">
      <c r="A15" s="61" t="s">
        <v>171</v>
      </c>
      <c r="B15" s="62">
        <v>6502.09</v>
      </c>
      <c r="C15" s="54">
        <v>0</v>
      </c>
      <c r="D15" s="54">
        <v>6074</v>
      </c>
      <c r="E15" s="63"/>
      <c r="F15" s="64">
        <v>107.04790912084293</v>
      </c>
      <c r="G15" s="65">
        <v>4677.54</v>
      </c>
      <c r="H15" s="54">
        <v>4143.54</v>
      </c>
      <c r="I15" s="54">
        <v>5661.54</v>
      </c>
      <c r="J15" s="54">
        <v>6502.09</v>
      </c>
      <c r="K15" s="54">
        <v>0</v>
      </c>
      <c r="L15" s="54">
        <v>0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54">
        <v>0</v>
      </c>
      <c r="S15" s="66">
        <v>20984.71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66">
        <v>0</v>
      </c>
      <c r="AG15" s="67">
        <v>1692</v>
      </c>
      <c r="AH15" s="67">
        <v>5244</v>
      </c>
      <c r="AI15" s="67">
        <v>3496</v>
      </c>
      <c r="AJ15" s="67">
        <v>6074</v>
      </c>
      <c r="AK15" s="67">
        <v>3990</v>
      </c>
      <c r="AL15" s="67">
        <v>0</v>
      </c>
      <c r="AM15" s="67">
        <v>3403.54</v>
      </c>
      <c r="AN15" s="67">
        <v>9203.4599999999991</v>
      </c>
      <c r="AO15" s="67">
        <v>1442.18</v>
      </c>
      <c r="AP15" s="67">
        <v>0</v>
      </c>
      <c r="AQ15" s="67">
        <v>5661.54</v>
      </c>
      <c r="AR15" s="67">
        <v>2243.1799999999998</v>
      </c>
      <c r="AS15" s="68">
        <v>16506</v>
      </c>
      <c r="AT15" s="63"/>
      <c r="AU15" s="63">
        <v>127.13383012237973</v>
      </c>
    </row>
    <row r="16" spans="1:50" ht="12.75" customHeight="1" x14ac:dyDescent="0.2">
      <c r="A16" s="61" t="s">
        <v>172</v>
      </c>
      <c r="B16" s="62"/>
      <c r="C16" s="54">
        <v>0</v>
      </c>
      <c r="D16" s="54"/>
      <c r="E16" s="63"/>
      <c r="F16" s="64"/>
      <c r="G16" s="65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66"/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66">
        <v>0</v>
      </c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8"/>
      <c r="AT16" s="63"/>
      <c r="AU16" s="63"/>
    </row>
    <row r="17" spans="1:47" ht="12.75" customHeight="1" x14ac:dyDescent="0.2">
      <c r="A17" s="61" t="s">
        <v>173</v>
      </c>
      <c r="B17" s="62">
        <v>4055.51</v>
      </c>
      <c r="C17" s="54">
        <v>0</v>
      </c>
      <c r="D17" s="54">
        <v>4112.71</v>
      </c>
      <c r="E17" s="63"/>
      <c r="F17" s="64">
        <v>98.609189561140951</v>
      </c>
      <c r="G17" s="65">
        <v>4062.96</v>
      </c>
      <c r="H17" s="54">
        <v>4062.96</v>
      </c>
      <c r="I17" s="54">
        <v>4062.95</v>
      </c>
      <c r="J17" s="54">
        <v>4055.51</v>
      </c>
      <c r="K17" s="54">
        <v>0</v>
      </c>
      <c r="L17" s="54">
        <v>0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54">
        <v>0</v>
      </c>
      <c r="S17" s="66">
        <v>16244.38</v>
      </c>
      <c r="T17" s="54">
        <v>0</v>
      </c>
      <c r="U17" s="54">
        <v>0</v>
      </c>
      <c r="V17" s="54">
        <v>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0</v>
      </c>
      <c r="AD17" s="54">
        <v>0</v>
      </c>
      <c r="AE17" s="54">
        <v>0</v>
      </c>
      <c r="AF17" s="66">
        <v>0</v>
      </c>
      <c r="AG17" s="67">
        <v>4112.6899999999996</v>
      </c>
      <c r="AH17" s="67">
        <v>4112.72</v>
      </c>
      <c r="AI17" s="67">
        <v>4112.68</v>
      </c>
      <c r="AJ17" s="67">
        <v>4112.71</v>
      </c>
      <c r="AK17" s="67">
        <v>4112.72</v>
      </c>
      <c r="AL17" s="67">
        <v>4080.28</v>
      </c>
      <c r="AM17" s="67">
        <v>4080.28</v>
      </c>
      <c r="AN17" s="67">
        <v>4080.31</v>
      </c>
      <c r="AO17" s="67">
        <v>4080.27</v>
      </c>
      <c r="AP17" s="67">
        <v>4080.3</v>
      </c>
      <c r="AQ17" s="67">
        <v>4080.31</v>
      </c>
      <c r="AR17" s="67">
        <v>4080.28</v>
      </c>
      <c r="AS17" s="68">
        <v>16450.8</v>
      </c>
      <c r="AT17" s="63"/>
      <c r="AU17" s="63">
        <v>98.745228195589277</v>
      </c>
    </row>
    <row r="18" spans="1:47" ht="12.75" customHeight="1" x14ac:dyDescent="0.2">
      <c r="A18" s="61" t="s">
        <v>257</v>
      </c>
      <c r="B18" s="62">
        <v>666.92</v>
      </c>
      <c r="C18" s="54">
        <v>0</v>
      </c>
      <c r="D18" s="54">
        <v>625.45000000000005</v>
      </c>
      <c r="E18" s="63"/>
      <c r="F18" s="64">
        <v>106.63042609321289</v>
      </c>
      <c r="G18" s="65">
        <v>676.64</v>
      </c>
      <c r="H18" s="54">
        <v>676.64</v>
      </c>
      <c r="I18" s="54">
        <v>676.24</v>
      </c>
      <c r="J18" s="54">
        <v>666.92</v>
      </c>
      <c r="K18" s="54"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54">
        <v>0</v>
      </c>
      <c r="S18" s="66">
        <v>2696.44</v>
      </c>
      <c r="T18" s="54">
        <v>0</v>
      </c>
      <c r="U18" s="54">
        <v>0</v>
      </c>
      <c r="V18" s="54">
        <v>0</v>
      </c>
      <c r="W18" s="54">
        <v>0</v>
      </c>
      <c r="X18" s="54">
        <v>0</v>
      </c>
      <c r="Y18" s="54">
        <v>0</v>
      </c>
      <c r="Z18" s="54">
        <v>0</v>
      </c>
      <c r="AA18" s="54">
        <v>0</v>
      </c>
      <c r="AB18" s="54">
        <v>0</v>
      </c>
      <c r="AC18" s="54">
        <v>0</v>
      </c>
      <c r="AD18" s="54">
        <v>0</v>
      </c>
      <c r="AE18" s="54">
        <v>0</v>
      </c>
      <c r="AF18" s="66">
        <v>0</v>
      </c>
      <c r="AG18" s="67">
        <v>1075.8800000000001</v>
      </c>
      <c r="AH18" s="67">
        <v>1075.8800000000001</v>
      </c>
      <c r="AI18" s="67">
        <v>835.14</v>
      </c>
      <c r="AJ18" s="67">
        <v>625.45000000000005</v>
      </c>
      <c r="AK18" s="67">
        <v>650.86</v>
      </c>
      <c r="AL18" s="67">
        <v>650.03</v>
      </c>
      <c r="AM18" s="67">
        <v>650.02</v>
      </c>
      <c r="AN18" s="67">
        <v>648.65</v>
      </c>
      <c r="AO18" s="67">
        <v>649.53</v>
      </c>
      <c r="AP18" s="67">
        <v>665.82</v>
      </c>
      <c r="AQ18" s="67">
        <v>657.66</v>
      </c>
      <c r="AR18" s="67">
        <v>694.36</v>
      </c>
      <c r="AS18" s="68">
        <v>3612.35</v>
      </c>
      <c r="AT18" s="63"/>
      <c r="AU18" s="63">
        <v>74.645037164172905</v>
      </c>
    </row>
    <row r="19" spans="1:47" ht="12.75" hidden="1" customHeight="1" outlineLevel="1" x14ac:dyDescent="0.2">
      <c r="A19" s="61" t="s">
        <v>109</v>
      </c>
      <c r="B19" s="62"/>
      <c r="C19" s="54">
        <v>0</v>
      </c>
      <c r="D19" s="54"/>
      <c r="E19" s="63"/>
      <c r="F19" s="64"/>
      <c r="G19" s="65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66"/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66">
        <v>0</v>
      </c>
      <c r="AG19" s="67"/>
      <c r="AH19" s="67"/>
      <c r="AI19" s="67"/>
      <c r="AJ19" s="67"/>
      <c r="AK19" s="67"/>
      <c r="AL19" s="67"/>
      <c r="AM19" s="67"/>
      <c r="AN19" s="67"/>
      <c r="AO19" s="67"/>
      <c r="AP19" s="67"/>
      <c r="AQ19" s="67"/>
      <c r="AR19" s="67"/>
      <c r="AS19" s="68"/>
      <c r="AT19" s="63"/>
      <c r="AU19" s="63"/>
    </row>
    <row r="20" spans="1:47" ht="12.75" hidden="1" customHeight="1" outlineLevel="1" x14ac:dyDescent="0.2">
      <c r="A20" s="61" t="s">
        <v>97</v>
      </c>
      <c r="B20" s="62"/>
      <c r="C20" s="54"/>
      <c r="D20" s="54"/>
      <c r="E20" s="63"/>
      <c r="F20" s="64"/>
      <c r="G20" s="65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66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66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8"/>
      <c r="AT20" s="63"/>
      <c r="AU20" s="63"/>
    </row>
    <row r="21" spans="1:47" ht="12.75" hidden="1" customHeight="1" outlineLevel="1" x14ac:dyDescent="0.2">
      <c r="A21" s="61" t="s">
        <v>69</v>
      </c>
      <c r="B21" s="62">
        <v>2425</v>
      </c>
      <c r="C21" s="54">
        <v>0</v>
      </c>
      <c r="D21" s="54">
        <v>0</v>
      </c>
      <c r="E21" s="63"/>
      <c r="F21" s="64"/>
      <c r="G21" s="65">
        <v>2425</v>
      </c>
      <c r="H21" s="54">
        <v>2425</v>
      </c>
      <c r="I21" s="54">
        <v>2425</v>
      </c>
      <c r="J21" s="54">
        <v>2425</v>
      </c>
      <c r="K21" s="54">
        <v>0</v>
      </c>
      <c r="L21" s="54">
        <v>0</v>
      </c>
      <c r="M21" s="54">
        <v>0</v>
      </c>
      <c r="N21" s="54">
        <v>0</v>
      </c>
      <c r="O21" s="54">
        <v>0</v>
      </c>
      <c r="P21" s="54">
        <v>0</v>
      </c>
      <c r="Q21" s="54">
        <v>0</v>
      </c>
      <c r="R21" s="54">
        <v>0</v>
      </c>
      <c r="S21" s="66">
        <v>9700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4">
        <v>0</v>
      </c>
      <c r="AB21" s="54">
        <v>0</v>
      </c>
      <c r="AC21" s="54">
        <v>0</v>
      </c>
      <c r="AD21" s="54">
        <v>0</v>
      </c>
      <c r="AE21" s="54">
        <v>0</v>
      </c>
      <c r="AF21" s="66">
        <v>0</v>
      </c>
      <c r="AG21" s="67">
        <v>2758.34</v>
      </c>
      <c r="AH21" s="67">
        <v>2758.34</v>
      </c>
      <c r="AI21" s="67">
        <v>2758.34</v>
      </c>
      <c r="AJ21" s="67">
        <v>0</v>
      </c>
      <c r="AK21" s="67">
        <v>0</v>
      </c>
      <c r="AL21" s="67">
        <v>0</v>
      </c>
      <c r="AM21" s="67">
        <v>0</v>
      </c>
      <c r="AN21" s="67">
        <v>0</v>
      </c>
      <c r="AO21" s="67">
        <v>0</v>
      </c>
      <c r="AP21" s="67">
        <v>0</v>
      </c>
      <c r="AQ21" s="67">
        <v>0</v>
      </c>
      <c r="AR21" s="67">
        <v>2425</v>
      </c>
      <c r="AS21" s="68">
        <v>8275.02</v>
      </c>
      <c r="AT21" s="63"/>
      <c r="AU21" s="63">
        <v>117.22026049483868</v>
      </c>
    </row>
    <row r="22" spans="1:47" ht="12.75" customHeight="1" collapsed="1" x14ac:dyDescent="0.2">
      <c r="A22" s="69" t="s">
        <v>70</v>
      </c>
      <c r="B22" s="70">
        <v>2425</v>
      </c>
      <c r="C22" s="71">
        <v>0</v>
      </c>
      <c r="D22" s="71">
        <v>0</v>
      </c>
      <c r="E22" s="72"/>
      <c r="F22" s="73"/>
      <c r="G22" s="70">
        <v>2425</v>
      </c>
      <c r="H22" s="71">
        <v>2425</v>
      </c>
      <c r="I22" s="71">
        <v>2425</v>
      </c>
      <c r="J22" s="71">
        <v>2425</v>
      </c>
      <c r="K22" s="71">
        <v>0</v>
      </c>
      <c r="L22" s="71">
        <v>0</v>
      </c>
      <c r="M22" s="71">
        <v>0</v>
      </c>
      <c r="N22" s="71">
        <v>0</v>
      </c>
      <c r="O22" s="71">
        <v>0</v>
      </c>
      <c r="P22" s="71">
        <v>0</v>
      </c>
      <c r="Q22" s="71">
        <v>0</v>
      </c>
      <c r="R22" s="71">
        <v>0</v>
      </c>
      <c r="S22" s="71">
        <v>9700</v>
      </c>
      <c r="T22" s="71">
        <v>0</v>
      </c>
      <c r="U22" s="71">
        <v>0</v>
      </c>
      <c r="V22" s="71">
        <v>0</v>
      </c>
      <c r="W22" s="71">
        <v>0</v>
      </c>
      <c r="X22" s="71">
        <v>0</v>
      </c>
      <c r="Y22" s="71">
        <v>0</v>
      </c>
      <c r="Z22" s="71">
        <v>0</v>
      </c>
      <c r="AA22" s="71">
        <v>0</v>
      </c>
      <c r="AB22" s="71">
        <v>0</v>
      </c>
      <c r="AC22" s="71">
        <v>0</v>
      </c>
      <c r="AD22" s="71">
        <v>0</v>
      </c>
      <c r="AE22" s="71">
        <v>0</v>
      </c>
      <c r="AF22" s="71">
        <v>0</v>
      </c>
      <c r="AG22" s="75">
        <v>2758.34</v>
      </c>
      <c r="AH22" s="75">
        <v>2758.34</v>
      </c>
      <c r="AI22" s="75">
        <v>2758.34</v>
      </c>
      <c r="AJ22" s="75">
        <v>0</v>
      </c>
      <c r="AK22" s="75">
        <v>0</v>
      </c>
      <c r="AL22" s="75">
        <v>0</v>
      </c>
      <c r="AM22" s="75">
        <v>0</v>
      </c>
      <c r="AN22" s="75">
        <v>0</v>
      </c>
      <c r="AO22" s="75">
        <v>0</v>
      </c>
      <c r="AP22" s="75">
        <v>0</v>
      </c>
      <c r="AQ22" s="75">
        <v>0</v>
      </c>
      <c r="AR22" s="75">
        <v>2425</v>
      </c>
      <c r="AS22" s="75">
        <v>8275.02</v>
      </c>
      <c r="AT22" s="72"/>
      <c r="AU22" s="72">
        <v>117.22026049483868</v>
      </c>
    </row>
    <row r="23" spans="1:47" ht="12.75" hidden="1" customHeight="1" outlineLevel="1" x14ac:dyDescent="0.2">
      <c r="A23" s="61" t="s">
        <v>174</v>
      </c>
      <c r="B23" s="62">
        <v>0</v>
      </c>
      <c r="C23" s="54">
        <v>0</v>
      </c>
      <c r="D23" s="54">
        <v>0</v>
      </c>
      <c r="E23" s="63"/>
      <c r="F23" s="64"/>
      <c r="G23" s="65">
        <v>0</v>
      </c>
      <c r="H23" s="54">
        <v>0</v>
      </c>
      <c r="I23" s="54">
        <v>0</v>
      </c>
      <c r="J23" s="54">
        <v>0</v>
      </c>
      <c r="K23" s="54">
        <v>0</v>
      </c>
      <c r="L23" s="54">
        <v>0</v>
      </c>
      <c r="M23" s="54">
        <v>0</v>
      </c>
      <c r="N23" s="54">
        <v>0</v>
      </c>
      <c r="O23" s="54">
        <v>0</v>
      </c>
      <c r="P23" s="54">
        <v>0</v>
      </c>
      <c r="Q23" s="54">
        <v>0</v>
      </c>
      <c r="R23" s="54">
        <v>0</v>
      </c>
      <c r="S23" s="66">
        <v>0</v>
      </c>
      <c r="T23" s="54">
        <v>0</v>
      </c>
      <c r="U23" s="54">
        <v>0</v>
      </c>
      <c r="V23" s="54">
        <v>0</v>
      </c>
      <c r="W23" s="54">
        <v>0</v>
      </c>
      <c r="X23" s="54">
        <v>0</v>
      </c>
      <c r="Y23" s="54">
        <v>0</v>
      </c>
      <c r="Z23" s="54">
        <v>0</v>
      </c>
      <c r="AA23" s="54">
        <v>0</v>
      </c>
      <c r="AB23" s="54">
        <v>0</v>
      </c>
      <c r="AC23" s="54">
        <v>0</v>
      </c>
      <c r="AD23" s="54">
        <v>0</v>
      </c>
      <c r="AE23" s="54">
        <v>0</v>
      </c>
      <c r="AF23" s="66">
        <v>0</v>
      </c>
      <c r="AG23" s="67">
        <v>0</v>
      </c>
      <c r="AH23" s="67">
        <v>0</v>
      </c>
      <c r="AI23" s="67">
        <v>0</v>
      </c>
      <c r="AJ23" s="67">
        <v>0</v>
      </c>
      <c r="AK23" s="67">
        <v>0</v>
      </c>
      <c r="AL23" s="67">
        <v>0</v>
      </c>
      <c r="AM23" s="67">
        <v>0</v>
      </c>
      <c r="AN23" s="67">
        <v>0</v>
      </c>
      <c r="AO23" s="67">
        <v>0</v>
      </c>
      <c r="AP23" s="67">
        <v>0</v>
      </c>
      <c r="AQ23" s="67">
        <v>0</v>
      </c>
      <c r="AR23" s="67">
        <v>0</v>
      </c>
      <c r="AS23" s="68">
        <v>0</v>
      </c>
      <c r="AT23" s="63"/>
      <c r="AU23" s="63"/>
    </row>
    <row r="24" spans="1:47" ht="12.75" hidden="1" customHeight="1" outlineLevel="1" x14ac:dyDescent="0.2">
      <c r="A24" s="61" t="s">
        <v>99</v>
      </c>
      <c r="B24" s="62">
        <v>449.54</v>
      </c>
      <c r="C24" s="54">
        <v>0</v>
      </c>
      <c r="D24" s="54">
        <v>312.11</v>
      </c>
      <c r="E24" s="63"/>
      <c r="F24" s="64">
        <v>144.03255262567686</v>
      </c>
      <c r="G24" s="65">
        <v>357.95</v>
      </c>
      <c r="H24" s="54">
        <v>0</v>
      </c>
      <c r="I24" s="54">
        <v>207</v>
      </c>
      <c r="J24" s="54">
        <v>449.54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66">
        <v>1014.49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66">
        <v>0</v>
      </c>
      <c r="AG24" s="67">
        <v>0</v>
      </c>
      <c r="AH24" s="67">
        <v>528.42999999999995</v>
      </c>
      <c r="AI24" s="98">
        <v>-10.43</v>
      </c>
      <c r="AJ24" s="67">
        <v>312.11</v>
      </c>
      <c r="AK24" s="67">
        <v>253.21</v>
      </c>
      <c r="AL24" s="67">
        <v>231.44</v>
      </c>
      <c r="AM24" s="67">
        <v>275.77</v>
      </c>
      <c r="AN24" s="67">
        <v>223.28</v>
      </c>
      <c r="AO24" s="67">
        <v>0</v>
      </c>
      <c r="AP24" s="67">
        <v>0</v>
      </c>
      <c r="AQ24" s="67">
        <v>275.39</v>
      </c>
      <c r="AR24" s="67">
        <v>0</v>
      </c>
      <c r="AS24" s="68">
        <v>830.11</v>
      </c>
      <c r="AT24" s="63"/>
      <c r="AU24" s="63">
        <v>122.21151413668068</v>
      </c>
    </row>
    <row r="25" spans="1:47" ht="12.75" hidden="1" customHeight="1" outlineLevel="1" x14ac:dyDescent="0.2">
      <c r="A25" s="61" t="s">
        <v>175</v>
      </c>
      <c r="B25" s="62"/>
      <c r="C25" s="54">
        <v>0</v>
      </c>
      <c r="D25" s="54"/>
      <c r="E25" s="63"/>
      <c r="F25" s="64"/>
      <c r="G25" s="65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66"/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66">
        <v>0</v>
      </c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8"/>
      <c r="AT25" s="63"/>
      <c r="AU25" s="63"/>
    </row>
    <row r="26" spans="1:47" ht="12.75" hidden="1" customHeight="1" outlineLevel="1" x14ac:dyDescent="0.2">
      <c r="A26" s="61" t="s">
        <v>101</v>
      </c>
      <c r="B26" s="62"/>
      <c r="C26" s="54">
        <v>0</v>
      </c>
      <c r="D26" s="54"/>
      <c r="E26" s="63"/>
      <c r="F26" s="64"/>
      <c r="G26" s="65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66"/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66">
        <v>0</v>
      </c>
      <c r="AG26" s="67"/>
      <c r="AH26" s="67"/>
      <c r="AI26" s="67"/>
      <c r="AJ26" s="67"/>
      <c r="AK26" s="67"/>
      <c r="AL26" s="67"/>
      <c r="AM26" s="67"/>
      <c r="AN26" s="67"/>
      <c r="AO26" s="67"/>
      <c r="AP26" s="67"/>
      <c r="AQ26" s="67"/>
      <c r="AR26" s="67"/>
      <c r="AS26" s="68"/>
      <c r="AT26" s="63"/>
      <c r="AU26" s="63"/>
    </row>
    <row r="27" spans="1:47" ht="12.75" hidden="1" customHeight="1" outlineLevel="1" x14ac:dyDescent="0.2">
      <c r="A27" s="61" t="s">
        <v>176</v>
      </c>
      <c r="B27" s="62"/>
      <c r="C27" s="54">
        <v>0</v>
      </c>
      <c r="D27" s="54"/>
      <c r="E27" s="63"/>
      <c r="F27" s="64"/>
      <c r="G27" s="65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66"/>
      <c r="T27" s="54">
        <v>0</v>
      </c>
      <c r="U27" s="54">
        <v>0</v>
      </c>
      <c r="V27" s="54">
        <v>0</v>
      </c>
      <c r="W27" s="54">
        <v>0</v>
      </c>
      <c r="X27" s="54">
        <v>0</v>
      </c>
      <c r="Y27" s="54">
        <v>0</v>
      </c>
      <c r="Z27" s="54">
        <v>0</v>
      </c>
      <c r="AA27" s="54">
        <v>0</v>
      </c>
      <c r="AB27" s="54">
        <v>0</v>
      </c>
      <c r="AC27" s="54">
        <v>0</v>
      </c>
      <c r="AD27" s="54">
        <v>0</v>
      </c>
      <c r="AE27" s="54">
        <v>0</v>
      </c>
      <c r="AF27" s="66">
        <v>0</v>
      </c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8"/>
      <c r="AT27" s="63"/>
      <c r="AU27" s="63"/>
    </row>
    <row r="28" spans="1:47" ht="12.75" hidden="1" customHeight="1" outlineLevel="1" x14ac:dyDescent="0.2">
      <c r="A28" s="61" t="s">
        <v>102</v>
      </c>
      <c r="B28" s="62">
        <v>232.9</v>
      </c>
      <c r="C28" s="54">
        <v>0</v>
      </c>
      <c r="D28" s="54">
        <v>232.12</v>
      </c>
      <c r="E28" s="63"/>
      <c r="F28" s="64">
        <v>100.33603308633465</v>
      </c>
      <c r="G28" s="65">
        <v>232.9</v>
      </c>
      <c r="H28" s="54">
        <v>216.83</v>
      </c>
      <c r="I28" s="54">
        <v>216.83</v>
      </c>
      <c r="J28" s="54">
        <v>232.9</v>
      </c>
      <c r="K28" s="54">
        <v>0</v>
      </c>
      <c r="L28" s="54">
        <v>0</v>
      </c>
      <c r="M28" s="54">
        <v>0</v>
      </c>
      <c r="N28" s="54">
        <v>0</v>
      </c>
      <c r="O28" s="54">
        <v>0</v>
      </c>
      <c r="P28" s="54">
        <v>0</v>
      </c>
      <c r="Q28" s="54">
        <v>0</v>
      </c>
      <c r="R28" s="54">
        <v>0</v>
      </c>
      <c r="S28" s="66">
        <v>899.46</v>
      </c>
      <c r="T28" s="54">
        <v>0</v>
      </c>
      <c r="U28" s="54">
        <v>0</v>
      </c>
      <c r="V28" s="54">
        <v>0</v>
      </c>
      <c r="W28" s="54">
        <v>0</v>
      </c>
      <c r="X28" s="54">
        <v>0</v>
      </c>
      <c r="Y28" s="54">
        <v>0</v>
      </c>
      <c r="Z28" s="54">
        <v>0</v>
      </c>
      <c r="AA28" s="54">
        <v>0</v>
      </c>
      <c r="AB28" s="54">
        <v>0</v>
      </c>
      <c r="AC28" s="54">
        <v>0</v>
      </c>
      <c r="AD28" s="54">
        <v>0</v>
      </c>
      <c r="AE28" s="54">
        <v>0</v>
      </c>
      <c r="AF28" s="66">
        <v>0</v>
      </c>
      <c r="AG28" s="67">
        <v>216.83</v>
      </c>
      <c r="AH28" s="67">
        <v>216.83</v>
      </c>
      <c r="AI28" s="67">
        <v>216.83</v>
      </c>
      <c r="AJ28" s="67">
        <v>232.12</v>
      </c>
      <c r="AK28" s="67">
        <v>216.83</v>
      </c>
      <c r="AL28" s="67">
        <v>216.83</v>
      </c>
      <c r="AM28" s="67">
        <v>216.83</v>
      </c>
      <c r="AN28" s="67">
        <v>216.83</v>
      </c>
      <c r="AO28" s="67">
        <v>216.83</v>
      </c>
      <c r="AP28" s="67">
        <v>216.83</v>
      </c>
      <c r="AQ28" s="67">
        <v>232.12</v>
      </c>
      <c r="AR28" s="67">
        <v>216.83</v>
      </c>
      <c r="AS28" s="68">
        <v>882.61</v>
      </c>
      <c r="AT28" s="63"/>
      <c r="AU28" s="63">
        <v>101.90911047914707</v>
      </c>
    </row>
    <row r="29" spans="1:47" ht="12.75" hidden="1" customHeight="1" outlineLevel="1" x14ac:dyDescent="0.2">
      <c r="A29" s="61" t="s">
        <v>75</v>
      </c>
      <c r="B29" s="62"/>
      <c r="C29" s="54">
        <v>0</v>
      </c>
      <c r="D29" s="54"/>
      <c r="E29" s="63"/>
      <c r="F29" s="64"/>
      <c r="G29" s="65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66"/>
      <c r="T29" s="54">
        <v>0</v>
      </c>
      <c r="U29" s="54">
        <v>0</v>
      </c>
      <c r="V29" s="54">
        <v>0</v>
      </c>
      <c r="W29" s="54">
        <v>0</v>
      </c>
      <c r="X29" s="54">
        <v>0</v>
      </c>
      <c r="Y29" s="54">
        <v>0</v>
      </c>
      <c r="Z29" s="54">
        <v>0</v>
      </c>
      <c r="AA29" s="54">
        <v>0</v>
      </c>
      <c r="AB29" s="54">
        <v>0</v>
      </c>
      <c r="AC29" s="54">
        <v>0</v>
      </c>
      <c r="AD29" s="54">
        <v>0</v>
      </c>
      <c r="AE29" s="54">
        <v>0</v>
      </c>
      <c r="AF29" s="66">
        <v>0</v>
      </c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8"/>
      <c r="AT29" s="63"/>
      <c r="AU29" s="63"/>
    </row>
    <row r="30" spans="1:47" ht="12.75" hidden="1" customHeight="1" outlineLevel="1" x14ac:dyDescent="0.2">
      <c r="A30" s="61" t="s">
        <v>76</v>
      </c>
      <c r="B30" s="62">
        <v>0</v>
      </c>
      <c r="C30" s="54">
        <v>0</v>
      </c>
      <c r="D30" s="54">
        <v>0</v>
      </c>
      <c r="E30" s="63"/>
      <c r="F30" s="64"/>
      <c r="G30" s="65">
        <v>0</v>
      </c>
      <c r="H30" s="54">
        <v>0</v>
      </c>
      <c r="I30" s="54">
        <v>0</v>
      </c>
      <c r="J30" s="54">
        <v>0</v>
      </c>
      <c r="K30" s="54">
        <v>0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66">
        <v>0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66">
        <v>0</v>
      </c>
      <c r="AG30" s="67">
        <v>0</v>
      </c>
      <c r="AH30" s="67">
        <v>0</v>
      </c>
      <c r="AI30" s="67">
        <v>0</v>
      </c>
      <c r="AJ30" s="67">
        <v>0</v>
      </c>
      <c r="AK30" s="67">
        <v>0</v>
      </c>
      <c r="AL30" s="67">
        <v>0</v>
      </c>
      <c r="AM30" s="67">
        <v>0</v>
      </c>
      <c r="AN30" s="67">
        <v>0</v>
      </c>
      <c r="AO30" s="67">
        <v>0</v>
      </c>
      <c r="AP30" s="67">
        <v>0</v>
      </c>
      <c r="AQ30" s="67">
        <v>0</v>
      </c>
      <c r="AR30" s="67">
        <v>0</v>
      </c>
      <c r="AS30" s="68">
        <v>0</v>
      </c>
      <c r="AT30" s="63"/>
      <c r="AU30" s="63"/>
    </row>
    <row r="31" spans="1:47" ht="12.75" hidden="1" customHeight="1" outlineLevel="1" x14ac:dyDescent="0.2">
      <c r="A31" s="61" t="s">
        <v>77</v>
      </c>
      <c r="B31" s="62">
        <v>84.27</v>
      </c>
      <c r="C31" s="54">
        <v>0</v>
      </c>
      <c r="D31" s="54">
        <v>84.27</v>
      </c>
      <c r="E31" s="63"/>
      <c r="F31" s="64">
        <v>100</v>
      </c>
      <c r="G31" s="65">
        <v>84.27</v>
      </c>
      <c r="H31" s="54">
        <v>84.27</v>
      </c>
      <c r="I31" s="54">
        <v>84.27</v>
      </c>
      <c r="J31" s="54">
        <v>84.27</v>
      </c>
      <c r="K31" s="54">
        <v>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66">
        <v>337.08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66">
        <v>0</v>
      </c>
      <c r="AG31" s="67">
        <v>84.27</v>
      </c>
      <c r="AH31" s="67">
        <v>84.27</v>
      </c>
      <c r="AI31" s="67">
        <v>84.27</v>
      </c>
      <c r="AJ31" s="67">
        <v>84.27</v>
      </c>
      <c r="AK31" s="67">
        <v>84.27</v>
      </c>
      <c r="AL31" s="67">
        <v>84.27</v>
      </c>
      <c r="AM31" s="67">
        <v>84.27</v>
      </c>
      <c r="AN31" s="67">
        <v>84.27</v>
      </c>
      <c r="AO31" s="67">
        <v>84.27</v>
      </c>
      <c r="AP31" s="67">
        <v>84.27</v>
      </c>
      <c r="AQ31" s="67">
        <v>84.27</v>
      </c>
      <c r="AR31" s="67">
        <v>84.27</v>
      </c>
      <c r="AS31" s="68">
        <v>337.08</v>
      </c>
      <c r="AT31" s="63"/>
      <c r="AU31" s="63">
        <v>100</v>
      </c>
    </row>
    <row r="32" spans="1:47" ht="12.75" customHeight="1" collapsed="1" x14ac:dyDescent="0.2">
      <c r="A32" s="69" t="s">
        <v>177</v>
      </c>
      <c r="B32" s="70">
        <v>766.71</v>
      </c>
      <c r="C32" s="71">
        <v>0</v>
      </c>
      <c r="D32" s="71">
        <v>628.5</v>
      </c>
      <c r="E32" s="72"/>
      <c r="F32" s="73">
        <v>121.99045346062053</v>
      </c>
      <c r="G32" s="70">
        <v>675.12</v>
      </c>
      <c r="H32" s="71">
        <v>301.10000000000002</v>
      </c>
      <c r="I32" s="71">
        <v>508.1</v>
      </c>
      <c r="J32" s="71">
        <v>766.71</v>
      </c>
      <c r="K32" s="71">
        <v>0</v>
      </c>
      <c r="L32" s="71">
        <v>0</v>
      </c>
      <c r="M32" s="71">
        <v>0</v>
      </c>
      <c r="N32" s="71">
        <v>0</v>
      </c>
      <c r="O32" s="71">
        <v>0</v>
      </c>
      <c r="P32" s="71">
        <v>0</v>
      </c>
      <c r="Q32" s="71">
        <v>0</v>
      </c>
      <c r="R32" s="71">
        <v>0</v>
      </c>
      <c r="S32" s="71">
        <v>2251.0300000000002</v>
      </c>
      <c r="T32" s="71">
        <v>0</v>
      </c>
      <c r="U32" s="71">
        <v>0</v>
      </c>
      <c r="V32" s="71">
        <v>0</v>
      </c>
      <c r="W32" s="71">
        <v>0</v>
      </c>
      <c r="X32" s="71">
        <v>0</v>
      </c>
      <c r="Y32" s="71">
        <v>0</v>
      </c>
      <c r="Z32" s="71">
        <v>0</v>
      </c>
      <c r="AA32" s="71">
        <v>0</v>
      </c>
      <c r="AB32" s="71">
        <v>0</v>
      </c>
      <c r="AC32" s="71">
        <v>0</v>
      </c>
      <c r="AD32" s="71">
        <v>0</v>
      </c>
      <c r="AE32" s="71">
        <v>0</v>
      </c>
      <c r="AF32" s="71">
        <v>0</v>
      </c>
      <c r="AG32" s="75">
        <v>301.10000000000002</v>
      </c>
      <c r="AH32" s="75">
        <v>829.53</v>
      </c>
      <c r="AI32" s="75">
        <v>290.67</v>
      </c>
      <c r="AJ32" s="75">
        <v>628.5</v>
      </c>
      <c r="AK32" s="75">
        <v>554.30999999999995</v>
      </c>
      <c r="AL32" s="75">
        <v>532.54</v>
      </c>
      <c r="AM32" s="75">
        <v>576.87</v>
      </c>
      <c r="AN32" s="75">
        <v>524.38</v>
      </c>
      <c r="AO32" s="75">
        <v>301.10000000000002</v>
      </c>
      <c r="AP32" s="75">
        <v>301.10000000000002</v>
      </c>
      <c r="AQ32" s="75">
        <v>591.78</v>
      </c>
      <c r="AR32" s="75">
        <v>301.10000000000002</v>
      </c>
      <c r="AS32" s="75">
        <v>2049.8000000000002</v>
      </c>
      <c r="AT32" s="72"/>
      <c r="AU32" s="72">
        <v>109.81705532247048</v>
      </c>
    </row>
    <row r="33" spans="1:47" ht="12.75" hidden="1" customHeight="1" outlineLevel="1" x14ac:dyDescent="0.2">
      <c r="A33" s="61" t="s">
        <v>178</v>
      </c>
      <c r="B33" s="62"/>
      <c r="C33" s="54"/>
      <c r="D33" s="54"/>
      <c r="E33" s="63"/>
      <c r="F33" s="64"/>
      <c r="G33" s="65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66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66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8"/>
      <c r="AT33" s="63"/>
      <c r="AU33" s="63"/>
    </row>
    <row r="34" spans="1:47" ht="12.75" hidden="1" customHeight="1" outlineLevel="1" x14ac:dyDescent="0.2">
      <c r="A34" s="61" t="s">
        <v>179</v>
      </c>
      <c r="B34" s="62"/>
      <c r="C34" s="54"/>
      <c r="D34" s="54"/>
      <c r="E34" s="63"/>
      <c r="F34" s="64"/>
      <c r="G34" s="65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66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66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8"/>
      <c r="AT34" s="63"/>
      <c r="AU34" s="63"/>
    </row>
    <row r="35" spans="1:47" ht="12.75" hidden="1" customHeight="1" outlineLevel="1" x14ac:dyDescent="0.2">
      <c r="A35" s="61" t="s">
        <v>180</v>
      </c>
      <c r="B35" s="62">
        <v>0</v>
      </c>
      <c r="C35" s="54"/>
      <c r="D35" s="54">
        <v>0</v>
      </c>
      <c r="E35" s="63"/>
      <c r="F35" s="64"/>
      <c r="G35" s="65">
        <v>0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66">
        <v>0</v>
      </c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66"/>
      <c r="AG35" s="67">
        <v>0</v>
      </c>
      <c r="AH35" s="67">
        <v>0</v>
      </c>
      <c r="AI35" s="67">
        <v>0</v>
      </c>
      <c r="AJ35" s="67">
        <v>0</v>
      </c>
      <c r="AK35" s="67">
        <v>0</v>
      </c>
      <c r="AL35" s="67">
        <v>0</v>
      </c>
      <c r="AM35" s="67">
        <v>0</v>
      </c>
      <c r="AN35" s="67">
        <v>0</v>
      </c>
      <c r="AO35" s="67">
        <v>0</v>
      </c>
      <c r="AP35" s="67">
        <v>0</v>
      </c>
      <c r="AQ35" s="67">
        <v>0</v>
      </c>
      <c r="AR35" s="67">
        <v>0</v>
      </c>
      <c r="AS35" s="68">
        <v>0</v>
      </c>
      <c r="AT35" s="63"/>
      <c r="AU35" s="63"/>
    </row>
    <row r="36" spans="1:47" ht="12.75" hidden="1" customHeight="1" outlineLevel="1" x14ac:dyDescent="0.2">
      <c r="A36" s="61" t="s">
        <v>181</v>
      </c>
      <c r="B36" s="62"/>
      <c r="C36" s="54"/>
      <c r="D36" s="54"/>
      <c r="E36" s="63"/>
      <c r="F36" s="64"/>
      <c r="G36" s="65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66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66"/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8"/>
      <c r="AT36" s="63"/>
      <c r="AU36" s="63"/>
    </row>
    <row r="37" spans="1:47" ht="12.75" hidden="1" customHeight="1" outlineLevel="1" x14ac:dyDescent="0.2">
      <c r="A37" s="61" t="s">
        <v>182</v>
      </c>
      <c r="B37" s="62">
        <v>0</v>
      </c>
      <c r="C37" s="54"/>
      <c r="D37" s="54">
        <v>0</v>
      </c>
      <c r="E37" s="63"/>
      <c r="F37" s="64"/>
      <c r="G37" s="65">
        <v>0</v>
      </c>
      <c r="H37" s="54">
        <v>0</v>
      </c>
      <c r="I37" s="54">
        <v>0</v>
      </c>
      <c r="J37" s="54">
        <v>0</v>
      </c>
      <c r="K37" s="54">
        <v>0</v>
      </c>
      <c r="L37" s="54">
        <v>0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0</v>
      </c>
      <c r="S37" s="66">
        <v>0</v>
      </c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66"/>
      <c r="AG37" s="67">
        <v>0</v>
      </c>
      <c r="AH37" s="67">
        <v>0</v>
      </c>
      <c r="AI37" s="67">
        <v>0</v>
      </c>
      <c r="AJ37" s="67">
        <v>0</v>
      </c>
      <c r="AK37" s="67">
        <v>0</v>
      </c>
      <c r="AL37" s="67">
        <v>0</v>
      </c>
      <c r="AM37" s="67">
        <v>0</v>
      </c>
      <c r="AN37" s="67">
        <v>0</v>
      </c>
      <c r="AO37" s="67">
        <v>0</v>
      </c>
      <c r="AP37" s="67">
        <v>0</v>
      </c>
      <c r="AQ37" s="67">
        <v>0</v>
      </c>
      <c r="AR37" s="67">
        <v>0</v>
      </c>
      <c r="AS37" s="68">
        <v>0</v>
      </c>
      <c r="AT37" s="63"/>
      <c r="AU37" s="63"/>
    </row>
    <row r="38" spans="1:47" ht="12.75" hidden="1" customHeight="1" outlineLevel="1" x14ac:dyDescent="0.2">
      <c r="A38" s="61" t="s">
        <v>183</v>
      </c>
      <c r="B38" s="62"/>
      <c r="C38" s="54"/>
      <c r="D38" s="54"/>
      <c r="E38" s="63"/>
      <c r="F38" s="64"/>
      <c r="G38" s="65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66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66"/>
      <c r="AG38" s="67"/>
      <c r="AH38" s="67"/>
      <c r="AI38" s="67"/>
      <c r="AJ38" s="67"/>
      <c r="AK38" s="67"/>
      <c r="AL38" s="67"/>
      <c r="AM38" s="67"/>
      <c r="AN38" s="67"/>
      <c r="AO38" s="67"/>
      <c r="AP38" s="67"/>
      <c r="AQ38" s="67"/>
      <c r="AR38" s="67"/>
      <c r="AS38" s="68"/>
      <c r="AT38" s="63"/>
      <c r="AU38" s="63"/>
    </row>
    <row r="39" spans="1:47" ht="12.75" hidden="1" customHeight="1" outlineLevel="1" x14ac:dyDescent="0.2">
      <c r="A39" s="61" t="s">
        <v>184</v>
      </c>
      <c r="B39" s="62"/>
      <c r="C39" s="54"/>
      <c r="D39" s="54"/>
      <c r="E39" s="63"/>
      <c r="F39" s="64"/>
      <c r="G39" s="65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66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66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8"/>
      <c r="AT39" s="63"/>
      <c r="AU39" s="63"/>
    </row>
    <row r="40" spans="1:47" ht="12.75" hidden="1" customHeight="1" outlineLevel="1" x14ac:dyDescent="0.2">
      <c r="A40" s="61" t="s">
        <v>185</v>
      </c>
      <c r="B40" s="62"/>
      <c r="C40" s="54"/>
      <c r="D40" s="54"/>
      <c r="E40" s="63"/>
      <c r="F40" s="64"/>
      <c r="G40" s="65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66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66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8"/>
      <c r="AT40" s="63"/>
      <c r="AU40" s="63"/>
    </row>
    <row r="41" spans="1:47" ht="12.75" hidden="1" customHeight="1" outlineLevel="1" x14ac:dyDescent="0.2">
      <c r="A41" s="61" t="s">
        <v>186</v>
      </c>
      <c r="B41" s="62"/>
      <c r="C41" s="54"/>
      <c r="D41" s="54"/>
      <c r="E41" s="63"/>
      <c r="F41" s="64"/>
      <c r="G41" s="65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66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66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8"/>
      <c r="AT41" s="63"/>
      <c r="AU41" s="63"/>
    </row>
    <row r="42" spans="1:47" ht="12.75" hidden="1" customHeight="1" outlineLevel="1" x14ac:dyDescent="0.2">
      <c r="A42" s="61" t="s">
        <v>187</v>
      </c>
      <c r="B42" s="62"/>
      <c r="C42" s="54"/>
      <c r="D42" s="54"/>
      <c r="E42" s="63"/>
      <c r="F42" s="64"/>
      <c r="G42" s="65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66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66"/>
      <c r="AG42" s="67"/>
      <c r="AH42" s="67"/>
      <c r="AI42" s="67"/>
      <c r="AJ42" s="67"/>
      <c r="AK42" s="67"/>
      <c r="AL42" s="67"/>
      <c r="AM42" s="67"/>
      <c r="AN42" s="67"/>
      <c r="AO42" s="67"/>
      <c r="AP42" s="67"/>
      <c r="AQ42" s="67"/>
      <c r="AR42" s="67"/>
      <c r="AS42" s="68"/>
      <c r="AT42" s="63"/>
      <c r="AU42" s="63"/>
    </row>
    <row r="43" spans="1:47" ht="12.75" hidden="1" customHeight="1" outlineLevel="1" x14ac:dyDescent="0.2">
      <c r="A43" s="61" t="s">
        <v>188</v>
      </c>
      <c r="B43" s="62"/>
      <c r="C43" s="54"/>
      <c r="D43" s="54"/>
      <c r="E43" s="63"/>
      <c r="F43" s="64"/>
      <c r="G43" s="65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66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66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8"/>
      <c r="AT43" s="63"/>
      <c r="AU43" s="63"/>
    </row>
    <row r="44" spans="1:47" ht="12.75" hidden="1" customHeight="1" outlineLevel="1" x14ac:dyDescent="0.2">
      <c r="A44" s="61" t="s">
        <v>189</v>
      </c>
      <c r="B44" s="62"/>
      <c r="C44" s="54"/>
      <c r="D44" s="54"/>
      <c r="E44" s="63"/>
      <c r="F44" s="64"/>
      <c r="G44" s="65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66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66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8"/>
      <c r="AT44" s="63"/>
      <c r="AU44" s="63"/>
    </row>
    <row r="45" spans="1:47" ht="12.75" hidden="1" customHeight="1" outlineLevel="1" x14ac:dyDescent="0.2">
      <c r="A45" s="61" t="s">
        <v>190</v>
      </c>
      <c r="B45" s="62">
        <v>0</v>
      </c>
      <c r="C45" s="54"/>
      <c r="D45" s="54">
        <v>0</v>
      </c>
      <c r="E45" s="63"/>
      <c r="F45" s="64"/>
      <c r="G45" s="65">
        <v>0</v>
      </c>
      <c r="H45" s="54">
        <v>0</v>
      </c>
      <c r="I45" s="54">
        <v>0</v>
      </c>
      <c r="J45" s="54">
        <v>0</v>
      </c>
      <c r="K45" s="54">
        <v>0</v>
      </c>
      <c r="L45" s="54">
        <v>0</v>
      </c>
      <c r="M45" s="54">
        <v>0</v>
      </c>
      <c r="N45" s="54">
        <v>0</v>
      </c>
      <c r="O45" s="54">
        <v>0</v>
      </c>
      <c r="P45" s="54">
        <v>0</v>
      </c>
      <c r="Q45" s="54">
        <v>0</v>
      </c>
      <c r="R45" s="54">
        <v>0</v>
      </c>
      <c r="S45" s="66">
        <v>0</v>
      </c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66"/>
      <c r="AG45" s="67">
        <v>0</v>
      </c>
      <c r="AH45" s="67">
        <v>0</v>
      </c>
      <c r="AI45" s="67">
        <v>0</v>
      </c>
      <c r="AJ45" s="67">
        <v>0</v>
      </c>
      <c r="AK45" s="67">
        <v>0</v>
      </c>
      <c r="AL45" s="67">
        <v>0</v>
      </c>
      <c r="AM45" s="67">
        <v>0</v>
      </c>
      <c r="AN45" s="67">
        <v>0</v>
      </c>
      <c r="AO45" s="67">
        <v>0</v>
      </c>
      <c r="AP45" s="67">
        <v>0</v>
      </c>
      <c r="AQ45" s="67">
        <v>0</v>
      </c>
      <c r="AR45" s="67">
        <v>0</v>
      </c>
      <c r="AS45" s="68">
        <v>0</v>
      </c>
      <c r="AT45" s="63"/>
      <c r="AU45" s="63"/>
    </row>
    <row r="46" spans="1:47" ht="12.75" hidden="1" customHeight="1" outlineLevel="1" x14ac:dyDescent="0.2">
      <c r="A46" s="61" t="s">
        <v>191</v>
      </c>
      <c r="B46" s="62"/>
      <c r="C46" s="54"/>
      <c r="D46" s="54"/>
      <c r="E46" s="63"/>
      <c r="F46" s="64"/>
      <c r="G46" s="65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66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66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8"/>
      <c r="AT46" s="63"/>
      <c r="AU46" s="63"/>
    </row>
    <row r="47" spans="1:47" ht="12.75" customHeight="1" collapsed="1" x14ac:dyDescent="0.2">
      <c r="A47" s="69" t="s">
        <v>192</v>
      </c>
      <c r="B47" s="70">
        <v>0</v>
      </c>
      <c r="C47" s="71"/>
      <c r="D47" s="71">
        <v>0</v>
      </c>
      <c r="E47" s="72"/>
      <c r="F47" s="73"/>
      <c r="G47" s="70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</v>
      </c>
      <c r="N47" s="71">
        <v>0</v>
      </c>
      <c r="O47" s="71">
        <v>0</v>
      </c>
      <c r="P47" s="71">
        <v>0</v>
      </c>
      <c r="Q47" s="71">
        <v>0</v>
      </c>
      <c r="R47" s="71">
        <v>0</v>
      </c>
      <c r="S47" s="71">
        <v>0</v>
      </c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5">
        <v>0</v>
      </c>
      <c r="AH47" s="75">
        <v>0</v>
      </c>
      <c r="AI47" s="75">
        <v>0</v>
      </c>
      <c r="AJ47" s="75">
        <v>0</v>
      </c>
      <c r="AK47" s="75">
        <v>0</v>
      </c>
      <c r="AL47" s="75">
        <v>0</v>
      </c>
      <c r="AM47" s="75">
        <v>0</v>
      </c>
      <c r="AN47" s="75">
        <v>0</v>
      </c>
      <c r="AO47" s="75">
        <v>0</v>
      </c>
      <c r="AP47" s="75">
        <v>0</v>
      </c>
      <c r="AQ47" s="75">
        <v>0</v>
      </c>
      <c r="AR47" s="75">
        <v>0</v>
      </c>
      <c r="AS47" s="75">
        <v>0</v>
      </c>
      <c r="AT47" s="72"/>
      <c r="AU47" s="72"/>
    </row>
    <row r="48" spans="1:47" ht="12.75" hidden="1" customHeight="1" outlineLevel="1" x14ac:dyDescent="0.2">
      <c r="A48" s="61" t="s">
        <v>193</v>
      </c>
      <c r="B48" s="62">
        <v>0</v>
      </c>
      <c r="C48" s="54">
        <v>0</v>
      </c>
      <c r="D48" s="54">
        <v>0</v>
      </c>
      <c r="E48" s="63"/>
      <c r="F48" s="64"/>
      <c r="G48" s="65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54">
        <v>0</v>
      </c>
      <c r="N48" s="54">
        <v>0</v>
      </c>
      <c r="O48" s="54">
        <v>0</v>
      </c>
      <c r="P48" s="54">
        <v>0</v>
      </c>
      <c r="Q48" s="54">
        <v>0</v>
      </c>
      <c r="R48" s="54">
        <v>0</v>
      </c>
      <c r="S48" s="66">
        <v>0</v>
      </c>
      <c r="T48" s="54">
        <v>0</v>
      </c>
      <c r="U48" s="54">
        <v>0</v>
      </c>
      <c r="V48" s="54">
        <v>0</v>
      </c>
      <c r="W48" s="54">
        <v>0</v>
      </c>
      <c r="X48" s="54">
        <v>0</v>
      </c>
      <c r="Y48" s="54">
        <v>0</v>
      </c>
      <c r="Z48" s="54">
        <v>0</v>
      </c>
      <c r="AA48" s="54">
        <v>0</v>
      </c>
      <c r="AB48" s="54">
        <v>0</v>
      </c>
      <c r="AC48" s="54">
        <v>0</v>
      </c>
      <c r="AD48" s="54">
        <v>0</v>
      </c>
      <c r="AE48" s="54">
        <v>0</v>
      </c>
      <c r="AF48" s="66">
        <v>0</v>
      </c>
      <c r="AG48" s="67">
        <v>0</v>
      </c>
      <c r="AH48" s="67">
        <v>0</v>
      </c>
      <c r="AI48" s="67">
        <v>0</v>
      </c>
      <c r="AJ48" s="67">
        <v>0</v>
      </c>
      <c r="AK48" s="67">
        <v>0</v>
      </c>
      <c r="AL48" s="67">
        <v>0</v>
      </c>
      <c r="AM48" s="67">
        <v>0</v>
      </c>
      <c r="AN48" s="67">
        <v>0</v>
      </c>
      <c r="AO48" s="67">
        <v>0</v>
      </c>
      <c r="AP48" s="67">
        <v>0</v>
      </c>
      <c r="AQ48" s="67">
        <v>0</v>
      </c>
      <c r="AR48" s="67">
        <v>0</v>
      </c>
      <c r="AS48" s="68">
        <v>0</v>
      </c>
      <c r="AT48" s="63"/>
      <c r="AU48" s="63"/>
    </row>
    <row r="49" spans="1:47" ht="12.75" hidden="1" customHeight="1" outlineLevel="1" x14ac:dyDescent="0.2">
      <c r="A49" s="61" t="s">
        <v>194</v>
      </c>
      <c r="B49" s="62"/>
      <c r="C49" s="54"/>
      <c r="D49" s="54"/>
      <c r="E49" s="63"/>
      <c r="F49" s="64"/>
      <c r="G49" s="65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66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66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8"/>
      <c r="AT49" s="63"/>
      <c r="AU49" s="63"/>
    </row>
    <row r="50" spans="1:47" ht="12.75" hidden="1" customHeight="1" outlineLevel="1" x14ac:dyDescent="0.2">
      <c r="A50" s="61" t="s">
        <v>82</v>
      </c>
      <c r="B50" s="62"/>
      <c r="C50" s="54"/>
      <c r="D50" s="54"/>
      <c r="E50" s="63"/>
      <c r="F50" s="64"/>
      <c r="G50" s="65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66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66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8"/>
      <c r="AT50" s="63"/>
      <c r="AU50" s="63"/>
    </row>
    <row r="51" spans="1:47" ht="12.75" hidden="1" customHeight="1" outlineLevel="1" x14ac:dyDescent="0.2">
      <c r="A51" s="61" t="s">
        <v>83</v>
      </c>
      <c r="B51" s="62"/>
      <c r="C51" s="54"/>
      <c r="D51" s="54"/>
      <c r="E51" s="63"/>
      <c r="F51" s="64"/>
      <c r="G51" s="65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66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66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8"/>
      <c r="AT51" s="63"/>
      <c r="AU51" s="63"/>
    </row>
    <row r="52" spans="1:47" ht="12.75" hidden="1" customHeight="1" outlineLevel="1" x14ac:dyDescent="0.2">
      <c r="A52" s="61" t="s">
        <v>84</v>
      </c>
      <c r="B52" s="62"/>
      <c r="C52" s="54"/>
      <c r="D52" s="54"/>
      <c r="E52" s="63"/>
      <c r="F52" s="64"/>
      <c r="G52" s="65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66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66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8"/>
      <c r="AT52" s="63"/>
      <c r="AU52" s="63"/>
    </row>
    <row r="53" spans="1:47" ht="12.75" hidden="1" customHeight="1" outlineLevel="1" x14ac:dyDescent="0.2">
      <c r="A53" s="61" t="s">
        <v>195</v>
      </c>
      <c r="B53" s="62"/>
      <c r="C53" s="54"/>
      <c r="D53" s="54"/>
      <c r="E53" s="63"/>
      <c r="F53" s="64"/>
      <c r="G53" s="65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66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66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8"/>
      <c r="AT53" s="63"/>
      <c r="AU53" s="63"/>
    </row>
    <row r="54" spans="1:47" ht="12.75" hidden="1" customHeight="1" outlineLevel="1" x14ac:dyDescent="0.2">
      <c r="A54" s="61" t="s">
        <v>86</v>
      </c>
      <c r="B54" s="62">
        <v>0</v>
      </c>
      <c r="C54" s="54"/>
      <c r="D54" s="54">
        <v>0</v>
      </c>
      <c r="E54" s="63"/>
      <c r="F54" s="64"/>
      <c r="G54" s="65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54">
        <v>0</v>
      </c>
      <c r="N54" s="54">
        <v>0</v>
      </c>
      <c r="O54" s="54">
        <v>0</v>
      </c>
      <c r="P54" s="54">
        <v>0</v>
      </c>
      <c r="Q54" s="54">
        <v>0</v>
      </c>
      <c r="R54" s="54">
        <v>0</v>
      </c>
      <c r="S54" s="66">
        <v>0</v>
      </c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66"/>
      <c r="AG54" s="67">
        <v>0</v>
      </c>
      <c r="AH54" s="67">
        <v>0</v>
      </c>
      <c r="AI54" s="67">
        <v>0</v>
      </c>
      <c r="AJ54" s="67">
        <v>0</v>
      </c>
      <c r="AK54" s="67">
        <v>0</v>
      </c>
      <c r="AL54" s="67">
        <v>0</v>
      </c>
      <c r="AM54" s="67">
        <v>0</v>
      </c>
      <c r="AN54" s="67">
        <v>0</v>
      </c>
      <c r="AO54" s="67">
        <v>0</v>
      </c>
      <c r="AP54" s="67">
        <v>0</v>
      </c>
      <c r="AQ54" s="67">
        <v>0</v>
      </c>
      <c r="AR54" s="67">
        <v>0</v>
      </c>
      <c r="AS54" s="68">
        <v>0</v>
      </c>
      <c r="AT54" s="63"/>
      <c r="AU54" s="63"/>
    </row>
    <row r="55" spans="1:47" ht="12.75" hidden="1" customHeight="1" outlineLevel="1" x14ac:dyDescent="0.2">
      <c r="A55" s="61" t="s">
        <v>110</v>
      </c>
      <c r="B55" s="62"/>
      <c r="C55" s="54"/>
      <c r="D55" s="54"/>
      <c r="E55" s="63"/>
      <c r="F55" s="64"/>
      <c r="G55" s="65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66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66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8"/>
      <c r="AT55" s="63"/>
      <c r="AU55" s="63"/>
    </row>
    <row r="56" spans="1:47" ht="12.75" hidden="1" customHeight="1" outlineLevel="1" x14ac:dyDescent="0.2">
      <c r="A56" s="61" t="s">
        <v>196</v>
      </c>
      <c r="B56" s="62">
        <v>0</v>
      </c>
      <c r="C56" s="54"/>
      <c r="D56" s="54">
        <v>0</v>
      </c>
      <c r="E56" s="63"/>
      <c r="F56" s="64"/>
      <c r="G56" s="65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66">
        <v>0</v>
      </c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66"/>
      <c r="AG56" s="67">
        <v>0</v>
      </c>
      <c r="AH56" s="67">
        <v>0</v>
      </c>
      <c r="AI56" s="67">
        <v>0</v>
      </c>
      <c r="AJ56" s="67">
        <v>0</v>
      </c>
      <c r="AK56" s="67">
        <v>0</v>
      </c>
      <c r="AL56" s="67">
        <v>0</v>
      </c>
      <c r="AM56" s="67">
        <v>0</v>
      </c>
      <c r="AN56" s="67">
        <v>0</v>
      </c>
      <c r="AO56" s="67">
        <v>0</v>
      </c>
      <c r="AP56" s="67">
        <v>0</v>
      </c>
      <c r="AQ56" s="67">
        <v>0</v>
      </c>
      <c r="AR56" s="67">
        <v>0</v>
      </c>
      <c r="AS56" s="68">
        <v>0</v>
      </c>
      <c r="AT56" s="63"/>
      <c r="AU56" s="63"/>
    </row>
    <row r="57" spans="1:47" ht="12.75" hidden="1" customHeight="1" outlineLevel="1" x14ac:dyDescent="0.2">
      <c r="A57" s="61" t="s">
        <v>88</v>
      </c>
      <c r="B57" s="62"/>
      <c r="C57" s="54"/>
      <c r="D57" s="54"/>
      <c r="E57" s="63"/>
      <c r="F57" s="64"/>
      <c r="G57" s="65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66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66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8"/>
      <c r="AT57" s="63"/>
      <c r="AU57" s="63"/>
    </row>
    <row r="58" spans="1:47" ht="12.75" hidden="1" customHeight="1" outlineLevel="1" x14ac:dyDescent="0.2">
      <c r="A58" s="61" t="s">
        <v>198</v>
      </c>
      <c r="B58" s="62">
        <v>0</v>
      </c>
      <c r="C58" s="54">
        <v>0</v>
      </c>
      <c r="D58" s="54">
        <v>0</v>
      </c>
      <c r="E58" s="63"/>
      <c r="F58" s="64"/>
      <c r="G58" s="65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66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66">
        <v>0</v>
      </c>
      <c r="AG58" s="67">
        <v>0</v>
      </c>
      <c r="AH58" s="67">
        <v>0</v>
      </c>
      <c r="AI58" s="67">
        <v>0</v>
      </c>
      <c r="AJ58" s="67">
        <v>0</v>
      </c>
      <c r="AK58" s="67">
        <v>0</v>
      </c>
      <c r="AL58" s="67">
        <v>0</v>
      </c>
      <c r="AM58" s="67">
        <v>0</v>
      </c>
      <c r="AN58" s="67">
        <v>0</v>
      </c>
      <c r="AO58" s="67">
        <v>0</v>
      </c>
      <c r="AP58" s="67">
        <v>0</v>
      </c>
      <c r="AQ58" s="67">
        <v>0</v>
      </c>
      <c r="AR58" s="67">
        <v>0</v>
      </c>
      <c r="AS58" s="68">
        <v>0</v>
      </c>
      <c r="AT58" s="63"/>
      <c r="AU58" s="63"/>
    </row>
    <row r="59" spans="1:47" ht="12.75" customHeight="1" collapsed="1" x14ac:dyDescent="0.2">
      <c r="A59" s="69" t="s">
        <v>89</v>
      </c>
      <c r="B59" s="70">
        <v>0</v>
      </c>
      <c r="C59" s="71">
        <v>0</v>
      </c>
      <c r="D59" s="71">
        <v>0</v>
      </c>
      <c r="E59" s="72"/>
      <c r="F59" s="73"/>
      <c r="G59" s="70">
        <v>0</v>
      </c>
      <c r="H59" s="71">
        <v>0</v>
      </c>
      <c r="I59" s="71">
        <v>0</v>
      </c>
      <c r="J59" s="71">
        <v>0</v>
      </c>
      <c r="K59" s="71">
        <v>0</v>
      </c>
      <c r="L59" s="71">
        <v>0</v>
      </c>
      <c r="M59" s="71">
        <v>0</v>
      </c>
      <c r="N59" s="71">
        <v>0</v>
      </c>
      <c r="O59" s="71">
        <v>0</v>
      </c>
      <c r="P59" s="71">
        <v>0</v>
      </c>
      <c r="Q59" s="71">
        <v>0</v>
      </c>
      <c r="R59" s="71">
        <v>0</v>
      </c>
      <c r="S59" s="71">
        <v>0</v>
      </c>
      <c r="T59" s="71">
        <v>0</v>
      </c>
      <c r="U59" s="71">
        <v>0</v>
      </c>
      <c r="V59" s="71">
        <v>0</v>
      </c>
      <c r="W59" s="71">
        <v>0</v>
      </c>
      <c r="X59" s="71">
        <v>0</v>
      </c>
      <c r="Y59" s="71">
        <v>0</v>
      </c>
      <c r="Z59" s="71">
        <v>0</v>
      </c>
      <c r="AA59" s="71">
        <v>0</v>
      </c>
      <c r="AB59" s="71">
        <v>0</v>
      </c>
      <c r="AC59" s="71">
        <v>0</v>
      </c>
      <c r="AD59" s="71">
        <v>0</v>
      </c>
      <c r="AE59" s="71">
        <v>0</v>
      </c>
      <c r="AF59" s="71">
        <v>0</v>
      </c>
      <c r="AG59" s="75">
        <v>0</v>
      </c>
      <c r="AH59" s="75">
        <v>0</v>
      </c>
      <c r="AI59" s="75">
        <v>0</v>
      </c>
      <c r="AJ59" s="75">
        <v>0</v>
      </c>
      <c r="AK59" s="75">
        <v>0</v>
      </c>
      <c r="AL59" s="75">
        <v>0</v>
      </c>
      <c r="AM59" s="75">
        <v>0</v>
      </c>
      <c r="AN59" s="75">
        <v>0</v>
      </c>
      <c r="AO59" s="75">
        <v>0</v>
      </c>
      <c r="AP59" s="75">
        <v>0</v>
      </c>
      <c r="AQ59" s="75">
        <v>0</v>
      </c>
      <c r="AR59" s="75">
        <v>0</v>
      </c>
      <c r="AS59" s="75">
        <v>0</v>
      </c>
      <c r="AT59" s="72"/>
      <c r="AU59" s="72"/>
    </row>
    <row r="60" spans="1:47" ht="12.75" customHeight="1" x14ac:dyDescent="0.2">
      <c r="A60" s="77" t="s">
        <v>201</v>
      </c>
      <c r="B60" s="78">
        <v>19394.849999999999</v>
      </c>
      <c r="C60" s="79">
        <v>0</v>
      </c>
      <c r="D60" s="79">
        <v>26096.82</v>
      </c>
      <c r="E60" s="80"/>
      <c r="F60" s="81">
        <v>74.318825052247746</v>
      </c>
      <c r="G60" s="78">
        <v>16519.509999999998</v>
      </c>
      <c r="H60" s="79">
        <v>31595.74</v>
      </c>
      <c r="I60" s="79">
        <v>18245.03</v>
      </c>
      <c r="J60" s="79">
        <v>19394.849999999999</v>
      </c>
      <c r="K60" s="82">
        <v>-182.03</v>
      </c>
      <c r="L60" s="79">
        <v>0</v>
      </c>
      <c r="M60" s="79">
        <v>0</v>
      </c>
      <c r="N60" s="79">
        <v>0</v>
      </c>
      <c r="O60" s="79">
        <v>0</v>
      </c>
      <c r="P60" s="79">
        <v>0</v>
      </c>
      <c r="Q60" s="79">
        <v>0</v>
      </c>
      <c r="R60" s="79">
        <v>0</v>
      </c>
      <c r="S60" s="79">
        <v>85755.13</v>
      </c>
      <c r="T60" s="79">
        <v>0</v>
      </c>
      <c r="U60" s="79">
        <v>0</v>
      </c>
      <c r="V60" s="79">
        <v>0</v>
      </c>
      <c r="W60" s="79">
        <v>0</v>
      </c>
      <c r="X60" s="79">
        <v>0</v>
      </c>
      <c r="Y60" s="79">
        <v>0</v>
      </c>
      <c r="Z60" s="79">
        <v>0</v>
      </c>
      <c r="AA60" s="79">
        <v>0</v>
      </c>
      <c r="AB60" s="79">
        <v>0</v>
      </c>
      <c r="AC60" s="79">
        <v>0</v>
      </c>
      <c r="AD60" s="79">
        <v>0</v>
      </c>
      <c r="AE60" s="79">
        <v>0</v>
      </c>
      <c r="AF60" s="79">
        <v>0</v>
      </c>
      <c r="AG60" s="83">
        <v>19249.68</v>
      </c>
      <c r="AH60" s="83">
        <v>29101.75</v>
      </c>
      <c r="AI60" s="83">
        <v>28139.45</v>
      </c>
      <c r="AJ60" s="83">
        <v>26096.82</v>
      </c>
      <c r="AK60" s="83">
        <v>31818.95</v>
      </c>
      <c r="AL60" s="83">
        <v>22606.47</v>
      </c>
      <c r="AM60" s="83">
        <v>506.18</v>
      </c>
      <c r="AN60" s="83">
        <v>28760.94</v>
      </c>
      <c r="AO60" s="83">
        <v>11103.67</v>
      </c>
      <c r="AP60" s="83">
        <v>16091.48</v>
      </c>
      <c r="AQ60" s="83">
        <v>23014.91</v>
      </c>
      <c r="AR60" s="83">
        <v>13923.27</v>
      </c>
      <c r="AS60" s="83">
        <v>102587.7</v>
      </c>
      <c r="AT60" s="80"/>
      <c r="AU60" s="80">
        <v>83.592019316155842</v>
      </c>
    </row>
    <row r="61" spans="1:47" ht="12.75" customHeight="1" x14ac:dyDescent="0.2">
      <c r="A61" s="84" t="s">
        <v>8</v>
      </c>
      <c r="B61" s="135">
        <v>-518.42999999999995</v>
      </c>
      <c r="C61" s="86">
        <v>0</v>
      </c>
      <c r="D61" s="89">
        <v>-364.57</v>
      </c>
      <c r="E61" s="87"/>
      <c r="F61" s="88">
        <v>142.20314342924542</v>
      </c>
      <c r="G61" s="85">
        <v>6704.78</v>
      </c>
      <c r="H61" s="89">
        <v>-11366.97</v>
      </c>
      <c r="I61" s="86">
        <v>2657.1</v>
      </c>
      <c r="J61" s="89">
        <v>-518.42999999999995</v>
      </c>
      <c r="K61" s="86">
        <v>1760.3</v>
      </c>
      <c r="L61" s="86">
        <v>0</v>
      </c>
      <c r="M61" s="86">
        <v>0</v>
      </c>
      <c r="N61" s="86">
        <v>0</v>
      </c>
      <c r="O61" s="86">
        <v>0</v>
      </c>
      <c r="P61" s="86">
        <v>0</v>
      </c>
      <c r="Q61" s="86">
        <v>0</v>
      </c>
      <c r="R61" s="86">
        <v>0</v>
      </c>
      <c r="S61" s="89">
        <v>-2523.52</v>
      </c>
      <c r="T61" s="86">
        <v>0</v>
      </c>
      <c r="U61" s="86">
        <v>0</v>
      </c>
      <c r="V61" s="86">
        <v>0</v>
      </c>
      <c r="W61" s="86">
        <v>0</v>
      </c>
      <c r="X61" s="86">
        <v>0</v>
      </c>
      <c r="Y61" s="86">
        <v>0</v>
      </c>
      <c r="Z61" s="86">
        <v>0</v>
      </c>
      <c r="AA61" s="86">
        <v>0</v>
      </c>
      <c r="AB61" s="86">
        <v>0</v>
      </c>
      <c r="AC61" s="86">
        <v>0</v>
      </c>
      <c r="AD61" s="86">
        <v>0</v>
      </c>
      <c r="AE61" s="86">
        <v>0</v>
      </c>
      <c r="AF61" s="86">
        <v>0</v>
      </c>
      <c r="AG61" s="136">
        <v>-1967.54</v>
      </c>
      <c r="AH61" s="136">
        <v>-2822.14</v>
      </c>
      <c r="AI61" s="136">
        <v>-5804.78</v>
      </c>
      <c r="AJ61" s="136">
        <v>-364.57</v>
      </c>
      <c r="AK61" s="136">
        <v>-8304.8700000000008</v>
      </c>
      <c r="AL61" s="90">
        <v>9058.99</v>
      </c>
      <c r="AM61" s="90">
        <v>26681.32</v>
      </c>
      <c r="AN61" s="90">
        <v>1307.99</v>
      </c>
      <c r="AO61" s="90">
        <v>14164.87</v>
      </c>
      <c r="AP61" s="90">
        <v>696.22</v>
      </c>
      <c r="AQ61" s="136">
        <v>-3746.68</v>
      </c>
      <c r="AR61" s="90">
        <v>3346.9</v>
      </c>
      <c r="AS61" s="136">
        <v>-10959.03</v>
      </c>
      <c r="AT61" s="87"/>
      <c r="AU61" s="87">
        <v>23.026855478997685</v>
      </c>
    </row>
    <row r="65" spans="1:45" ht="15" x14ac:dyDescent="0.25">
      <c r="A65" s="16"/>
      <c r="B65" s="16"/>
      <c r="C65" s="16"/>
      <c r="D65" s="16"/>
    </row>
    <row r="66" spans="1:45" ht="15" x14ac:dyDescent="0.25">
      <c r="A66" s="16"/>
      <c r="B66" s="16"/>
      <c r="C66" s="16"/>
      <c r="D66" s="16"/>
      <c r="S66" s="26"/>
    </row>
    <row r="67" spans="1:45" ht="15" x14ac:dyDescent="0.25">
      <c r="A67" s="16"/>
      <c r="B67" s="16"/>
      <c r="C67" s="16"/>
      <c r="D67" s="16"/>
    </row>
    <row r="68" spans="1:45" ht="15" x14ac:dyDescent="0.25">
      <c r="A68" s="16"/>
      <c r="B68" s="16"/>
      <c r="C68" s="16"/>
      <c r="D68" s="16"/>
    </row>
    <row r="69" spans="1:45" ht="15" x14ac:dyDescent="0.25">
      <c r="A69" s="16"/>
      <c r="B69" s="25"/>
      <c r="C69" s="17"/>
      <c r="D69" s="25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365"/>
      <c r="AF69" s="26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</row>
    <row r="70" spans="1:45" ht="15" x14ac:dyDescent="0.25">
      <c r="A70" s="16"/>
      <c r="B70" s="91"/>
      <c r="C70" s="16"/>
      <c r="D70" s="16"/>
      <c r="AE70" s="365"/>
      <c r="AF70" s="26"/>
    </row>
    <row r="71" spans="1:45" ht="15" x14ac:dyDescent="0.25">
      <c r="A71" s="16"/>
      <c r="B71" s="16"/>
      <c r="C71" s="16"/>
      <c r="D71" s="16"/>
      <c r="AE71" s="365"/>
      <c r="AF71" s="26"/>
    </row>
    <row r="72" spans="1:45" ht="15" x14ac:dyDescent="0.25">
      <c r="A72" s="16"/>
      <c r="B72" s="16"/>
      <c r="C72" s="16"/>
      <c r="D72" s="16"/>
      <c r="AE72" s="365"/>
      <c r="AF72" s="482"/>
    </row>
    <row r="73" spans="1:45" ht="15" x14ac:dyDescent="0.25">
      <c r="A73" s="16"/>
      <c r="B73" s="16"/>
      <c r="C73" s="16"/>
      <c r="D73" s="16"/>
      <c r="AE73" s="365"/>
      <c r="AF73" s="365"/>
    </row>
    <row r="74" spans="1:45" x14ac:dyDescent="0.2">
      <c r="AE74" s="365"/>
      <c r="AF74" s="18"/>
    </row>
    <row r="75" spans="1:45" x14ac:dyDescent="0.2">
      <c r="AE75" s="365"/>
      <c r="AF75" s="482"/>
    </row>
    <row r="76" spans="1:45" x14ac:dyDescent="0.2">
      <c r="B76" s="92"/>
      <c r="G76" s="92"/>
      <c r="H76" s="92"/>
      <c r="I76" s="92"/>
      <c r="J76" s="92"/>
      <c r="S76" s="92"/>
    </row>
    <row r="77" spans="1:45" x14ac:dyDescent="0.2">
      <c r="B77" s="92"/>
      <c r="G77" s="92"/>
      <c r="H77" s="92"/>
      <c r="I77" s="92"/>
      <c r="J77" s="92"/>
      <c r="S77" s="92"/>
    </row>
    <row r="79" spans="1:45" x14ac:dyDescent="0.2">
      <c r="S79" s="93"/>
    </row>
  </sheetData>
  <hyperlinks>
    <hyperlink ref="AF72" r:id="rId1" display="+@sum(T17:AE18)+@sum(T22:AE22)+@sum(T33:AE33)+@sum(T48:AE48)+@sum(T62:AE62)"/>
    <hyperlink ref="AF75" r:id="rId2" display="+AF75-@sum(T64:AE64)"/>
  </hyperlinks>
  <pageMargins left="0.75" right="0.75" top="1" bottom="1" header="0.5" footer="0.5"/>
  <pageSetup orientation="portrait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2:O209"/>
  <sheetViews>
    <sheetView workbookViewId="0">
      <selection activeCell="M17" sqref="A17:M17"/>
    </sheetView>
  </sheetViews>
  <sheetFormatPr defaultColWidth="9.42578125" defaultRowHeight="12.75" outlineLevelRow="1" x14ac:dyDescent="0.2"/>
  <cols>
    <col min="1" max="1" width="49.42578125" style="139" bestFit="1" customWidth="1"/>
    <col min="2" max="2" width="15.5703125" style="139" customWidth="1"/>
    <col min="3" max="5" width="15.42578125" style="139" customWidth="1"/>
    <col min="6" max="6" width="21.42578125" style="139" bestFit="1" customWidth="1"/>
    <col min="7" max="7" width="20.5703125" style="139" bestFit="1" customWidth="1"/>
    <col min="8" max="8" width="21.42578125" style="139" bestFit="1" customWidth="1"/>
    <col min="9" max="9" width="20.5703125" style="139" bestFit="1" customWidth="1"/>
    <col min="10" max="10" width="16.5703125" style="139" customWidth="1"/>
    <col min="11" max="11" width="11.42578125" style="139" bestFit="1" customWidth="1"/>
    <col min="12" max="12" width="12" style="139" bestFit="1" customWidth="1"/>
    <col min="13" max="13" width="15.5703125" style="139" bestFit="1" customWidth="1"/>
    <col min="14" max="14" width="14" style="139" bestFit="1" customWidth="1"/>
    <col min="15" max="15" width="12.5703125" style="139" bestFit="1" customWidth="1"/>
    <col min="16" max="16384" width="9.42578125" style="139"/>
  </cols>
  <sheetData>
    <row r="2" spans="1:9" x14ac:dyDescent="0.2">
      <c r="A2" s="138" t="s">
        <v>264</v>
      </c>
    </row>
    <row r="4" spans="1:9" ht="13.5" thickBot="1" x14ac:dyDescent="0.25"/>
    <row r="5" spans="1:9" x14ac:dyDescent="0.2">
      <c r="A5" s="140" t="s">
        <v>265</v>
      </c>
      <c r="B5" s="141" t="s">
        <v>266</v>
      </c>
      <c r="C5" s="142" t="s">
        <v>267</v>
      </c>
      <c r="D5" s="142" t="s">
        <v>268</v>
      </c>
      <c r="E5" s="142" t="s">
        <v>269</v>
      </c>
      <c r="F5" s="142" t="s">
        <v>270</v>
      </c>
      <c r="G5" s="142" t="s">
        <v>271</v>
      </c>
      <c r="H5" s="140" t="s">
        <v>272</v>
      </c>
      <c r="I5" s="143" t="s">
        <v>273</v>
      </c>
    </row>
    <row r="6" spans="1:9" ht="13.5" thickBot="1" x14ac:dyDescent="0.25">
      <c r="A6" s="144"/>
      <c r="B6" s="145"/>
      <c r="C6" s="145"/>
      <c r="D6" s="145"/>
      <c r="E6" s="145"/>
      <c r="F6" s="145"/>
      <c r="G6" s="145"/>
      <c r="H6" s="144"/>
      <c r="I6" s="146"/>
    </row>
    <row r="7" spans="1:9" x14ac:dyDescent="0.2">
      <c r="A7" s="401" t="s">
        <v>7</v>
      </c>
      <c r="B7" s="45">
        <f>'Mngt-Microbiology '!B2</f>
        <v>1291869.76</v>
      </c>
      <c r="C7" s="45">
        <f>'Mngt-Consulting Micro SC '!B2</f>
        <v>47383.79</v>
      </c>
      <c r="D7" s="3">
        <f>VLOOKUP(A7,'Mngt-Sydney Micro '!A:B,2,FALSE)</f>
        <v>408525.43</v>
      </c>
      <c r="E7" s="3">
        <f>'Mngt-Melbourne Micro '!B2</f>
        <v>525237.55000000005</v>
      </c>
      <c r="F7" s="3">
        <f>'Mngt-Brisbane Micro '!B2</f>
        <v>152344.21</v>
      </c>
      <c r="G7" s="3">
        <f>VLOOKUP(A7,'Mngt-Perth Micro '!A:B,2,FALSE)</f>
        <v>158378.78</v>
      </c>
      <c r="H7" s="38">
        <f>SUM(C7:G7)</f>
        <v>1291869.76</v>
      </c>
      <c r="I7" s="39">
        <f>B7-H7</f>
        <v>0</v>
      </c>
    </row>
    <row r="8" spans="1:9" x14ac:dyDescent="0.2">
      <c r="A8" s="147" t="s">
        <v>166</v>
      </c>
      <c r="B8" s="3">
        <f>'Mngt-Microbiology '!B10</f>
        <v>437384.56</v>
      </c>
      <c r="C8" s="45">
        <f>'Mngt-Consulting Micro SC '!B10</f>
        <v>7083.76</v>
      </c>
      <c r="D8" s="3">
        <f>VLOOKUP(A8,'Mngt-Sydney Micro '!A:B,2,FALSE)</f>
        <v>161058.5</v>
      </c>
      <c r="E8" s="45">
        <f>'Mngt-Melbourne Micro '!B10</f>
        <v>158199.49</v>
      </c>
      <c r="F8" s="45">
        <f>'Mngt-Brisbane Micro '!B10</f>
        <v>58875.79</v>
      </c>
      <c r="G8" s="3">
        <f>VLOOKUP(A8,'Mngt-Perth Micro '!A:B,2,FALSE)</f>
        <v>52167.02</v>
      </c>
      <c r="H8" s="38">
        <f>SUM(C8:G8)</f>
        <v>437384.56</v>
      </c>
      <c r="I8" s="39">
        <f>B8-H8</f>
        <v>0</v>
      </c>
    </row>
    <row r="9" spans="1:9" x14ac:dyDescent="0.2">
      <c r="A9" s="147" t="s">
        <v>167</v>
      </c>
      <c r="B9" s="3">
        <f>'Mngt-Microbiology '!S11</f>
        <v>831155.7</v>
      </c>
      <c r="C9" s="45">
        <f>'Mngt-Consulting Micro SC '!S11</f>
        <v>0</v>
      </c>
      <c r="D9" s="3">
        <f>VLOOKUP(A9,'Mngt-Sydney Micro '!A:S,19,FALSE)</f>
        <v>285800.34999999998</v>
      </c>
      <c r="E9" s="3">
        <f>'Mngt-Melbourne Micro '!S11</f>
        <v>353124.91</v>
      </c>
      <c r="F9" s="3">
        <f>'Mngt-Brisbane Micro '!S11</f>
        <v>98220.87</v>
      </c>
      <c r="G9" s="3">
        <f>VLOOKUP(A9,'Mngt-Perth Micro '!A:S,19,FALSE)</f>
        <v>94009.57</v>
      </c>
      <c r="H9" s="38">
        <f t="shared" ref="H9:H33" si="0">SUM(C9:G9)</f>
        <v>831155.7</v>
      </c>
      <c r="I9" s="39">
        <f t="shared" ref="I9:I33" si="1">B9-H9</f>
        <v>0</v>
      </c>
    </row>
    <row r="10" spans="1:9" x14ac:dyDescent="0.2">
      <c r="A10" s="147" t="s">
        <v>168</v>
      </c>
      <c r="B10" s="3">
        <f>'Mngt-Microbiology '!B12</f>
        <v>24443.77</v>
      </c>
      <c r="C10" s="45">
        <f>'Mngt-Consulting Micro SC '!B12</f>
        <v>0</v>
      </c>
      <c r="D10" s="3">
        <f>VLOOKUP(A10,'Mngt-Sydney Micro '!A:B,2,FALSE)</f>
        <v>6251.89</v>
      </c>
      <c r="E10" s="3">
        <f>'Mngt-Melbourne Micro '!B12</f>
        <v>14262.98</v>
      </c>
      <c r="F10" s="3">
        <f>'Mngt-Brisbane Micro '!B12</f>
        <v>2057.4899999999998</v>
      </c>
      <c r="G10" s="3">
        <f>VLOOKUP(A10,'Mngt-Perth Micro '!A:B,2,FALSE)</f>
        <v>1871.41</v>
      </c>
      <c r="H10" s="38">
        <f t="shared" si="0"/>
        <v>24443.77</v>
      </c>
      <c r="I10" s="39">
        <f t="shared" si="1"/>
        <v>0</v>
      </c>
    </row>
    <row r="11" spans="1:9" x14ac:dyDescent="0.2">
      <c r="A11" s="147" t="s">
        <v>169</v>
      </c>
      <c r="B11" s="3">
        <f>'Mngt-Microbiology '!B13</f>
        <v>49849.4</v>
      </c>
      <c r="C11" s="45">
        <f>'Mngt-Consulting Micro SC '!B13</f>
        <v>0</v>
      </c>
      <c r="D11" s="3">
        <f>VLOOKUP(A11,'Mngt-Sydney Micro '!A:B,2,FALSE)</f>
        <v>8484.4599999999991</v>
      </c>
      <c r="E11" s="3">
        <f>'Mngt-Melbourne Micro '!B13</f>
        <v>24883.65</v>
      </c>
      <c r="F11" s="3">
        <f>'Mngt-Brisbane Micro '!B13</f>
        <v>12320.72</v>
      </c>
      <c r="G11" s="3">
        <f>VLOOKUP(A11,'Mngt-Perth Micro '!A:B,2,FALSE)</f>
        <v>4160.57</v>
      </c>
      <c r="H11" s="38">
        <f t="shared" si="0"/>
        <v>49849.4</v>
      </c>
      <c r="I11" s="39">
        <f t="shared" si="1"/>
        <v>0</v>
      </c>
    </row>
    <row r="12" spans="1:9" x14ac:dyDescent="0.2">
      <c r="A12" s="147" t="s">
        <v>50</v>
      </c>
      <c r="B12" s="3">
        <f>'Mngt-Microbiology '!B14</f>
        <v>381.66</v>
      </c>
      <c r="C12" s="45">
        <f>'Mngt-Consulting Micro SC '!B14</f>
        <v>0</v>
      </c>
      <c r="D12" s="3">
        <f>VLOOKUP(A12,'Mngt-Sydney Micro '!A:B,2,FALSE)</f>
        <v>120.15</v>
      </c>
      <c r="E12" s="3">
        <f>'Mngt-Melbourne Micro '!B14</f>
        <v>49</v>
      </c>
      <c r="F12" s="3">
        <f>'Mngt-Brisbane Micro '!B14</f>
        <v>212.51</v>
      </c>
      <c r="G12" s="3">
        <f>VLOOKUP(A12,'Mngt-Perth Micro '!A:B,2,FALSE)</f>
        <v>0</v>
      </c>
      <c r="H12" s="38">
        <f t="shared" si="0"/>
        <v>381.65999999999997</v>
      </c>
      <c r="I12" s="39">
        <f t="shared" si="1"/>
        <v>0</v>
      </c>
    </row>
    <row r="13" spans="1:9" x14ac:dyDescent="0.2">
      <c r="A13" s="147" t="s">
        <v>170</v>
      </c>
      <c r="B13" s="3">
        <f>'Mngt-Microbiology '!B15</f>
        <v>46948.97</v>
      </c>
      <c r="C13" s="45">
        <f>'Mngt-Consulting Micro SC '!B15</f>
        <v>0</v>
      </c>
      <c r="D13" s="3">
        <f>VLOOKUP(A13,'Mngt-Sydney Micro '!A:B,2,FALSE)</f>
        <v>17588.5</v>
      </c>
      <c r="E13" s="3">
        <f>'Mngt-Melbourne Micro '!B15</f>
        <v>12083.83</v>
      </c>
      <c r="F13" s="3">
        <f>'Mngt-Brisbane Micro '!B15</f>
        <v>17964.05</v>
      </c>
      <c r="G13" s="3">
        <f>VLOOKUP(A13,'Mngt-Perth Micro '!A:B,2,FALSE)</f>
        <v>-687.41</v>
      </c>
      <c r="H13" s="38">
        <f t="shared" si="0"/>
        <v>46948.97</v>
      </c>
      <c r="I13" s="39">
        <f t="shared" si="1"/>
        <v>0</v>
      </c>
    </row>
    <row r="14" spans="1:9" x14ac:dyDescent="0.2">
      <c r="A14" s="147" t="s">
        <v>171</v>
      </c>
      <c r="B14" s="3">
        <f>'Mngt-Microbiology '!B16</f>
        <v>67307.75</v>
      </c>
      <c r="C14" s="45">
        <f>'Mngt-Consulting Micro SC '!B16</f>
        <v>0</v>
      </c>
      <c r="D14" s="3">
        <f>VLOOKUP(A14,'Mngt-Sydney Micro '!A:B,2,FALSE)</f>
        <v>17650.669999999998</v>
      </c>
      <c r="E14" s="3">
        <f>'Mngt-Melbourne Micro '!B16</f>
        <v>14749.97</v>
      </c>
      <c r="F14" s="3">
        <f>'Mngt-Brisbane Micro '!B16</f>
        <v>22560.11</v>
      </c>
      <c r="G14" s="3">
        <f>VLOOKUP(A14,'Mngt-Perth Micro '!A:B,2,FALSE)</f>
        <v>12347</v>
      </c>
      <c r="H14" s="38">
        <f t="shared" si="0"/>
        <v>67307.75</v>
      </c>
      <c r="I14" s="39">
        <f t="shared" si="1"/>
        <v>0</v>
      </c>
    </row>
    <row r="15" spans="1:9" x14ac:dyDescent="0.2">
      <c r="A15" s="147" t="s">
        <v>172</v>
      </c>
      <c r="B15" s="3">
        <f>'Mngt-Microbiology '!B17</f>
        <v>315.29000000000002</v>
      </c>
      <c r="C15" s="45">
        <f>'Mngt-Consulting Micro SC '!B17</f>
        <v>0</v>
      </c>
      <c r="D15" s="3">
        <f>VLOOKUP(A15,'Mngt-Sydney Micro '!A:B,2,FALSE)</f>
        <v>0</v>
      </c>
      <c r="E15" s="3">
        <f>'Mngt-Melbourne Micro '!B17</f>
        <v>0</v>
      </c>
      <c r="F15" s="3">
        <f>'Mngt-Brisbane Micro '!B17</f>
        <v>315.29000000000002</v>
      </c>
      <c r="G15" s="3">
        <f>VLOOKUP(A15,'Mngt-Perth Micro '!A:B,2,FALSE)</f>
        <v>0</v>
      </c>
      <c r="H15" s="38">
        <f t="shared" si="0"/>
        <v>315.29000000000002</v>
      </c>
      <c r="I15" s="39">
        <f t="shared" si="1"/>
        <v>0</v>
      </c>
    </row>
    <row r="16" spans="1:9" x14ac:dyDescent="0.2">
      <c r="A16" s="147" t="s">
        <v>173</v>
      </c>
      <c r="B16" s="3">
        <f>'Mngt-Microbiology '!B18</f>
        <v>27579.02</v>
      </c>
      <c r="C16" s="45">
        <f>'Mngt-Consulting Micro SC '!B18</f>
        <v>768.09</v>
      </c>
      <c r="D16" s="3">
        <f>VLOOKUP(A16,'Mngt-Sydney Micro '!A:B,2,FALSE)</f>
        <v>4165.07</v>
      </c>
      <c r="E16" s="3">
        <f>'Mngt-Melbourne Micro '!B18</f>
        <v>18271.87</v>
      </c>
      <c r="F16" s="3">
        <f>'Mngt-Brisbane Micro '!B18</f>
        <v>2362.6</v>
      </c>
      <c r="G16" s="3">
        <f>VLOOKUP(A16,'Mngt-Perth Micro '!A:B,2,FALSE)</f>
        <v>2011.39</v>
      </c>
      <c r="H16" s="38">
        <f t="shared" si="0"/>
        <v>27579.019999999997</v>
      </c>
      <c r="I16" s="39">
        <f t="shared" si="1"/>
        <v>0</v>
      </c>
    </row>
    <row r="17" spans="1:9" x14ac:dyDescent="0.2">
      <c r="A17" s="147" t="s">
        <v>258</v>
      </c>
      <c r="B17" s="3">
        <f>'Mngt-Microbiology '!B19</f>
        <v>31752.98</v>
      </c>
      <c r="C17" s="45">
        <f>'Mngt-Consulting Micro SC '!B19</f>
        <v>1585.41</v>
      </c>
      <c r="D17" s="3">
        <f>VLOOKUP(A17,'Mngt-Sydney Micro '!A:B,2,FALSE)</f>
        <v>9543.7099999999991</v>
      </c>
      <c r="E17" s="3">
        <f>'Mngt-Melbourne Micro '!B19</f>
        <v>11656.32</v>
      </c>
      <c r="F17" s="3">
        <f>'Mngt-Brisbane Micro '!B19</f>
        <v>4380.99</v>
      </c>
      <c r="G17" s="3">
        <f>'Mngt-Perth Micro '!B18</f>
        <v>4586.55</v>
      </c>
      <c r="H17" s="38">
        <f t="shared" si="0"/>
        <v>31752.98</v>
      </c>
      <c r="I17" s="39">
        <f t="shared" si="1"/>
        <v>0</v>
      </c>
    </row>
    <row r="18" spans="1:9" x14ac:dyDescent="0.2">
      <c r="A18" s="147" t="s">
        <v>70</v>
      </c>
      <c r="B18" s="3">
        <f>'Mngt-Microbiology '!B23</f>
        <v>29752.21</v>
      </c>
      <c r="C18" s="3">
        <f>'Mngt-Consulting Micro SC '!B23</f>
        <v>65</v>
      </c>
      <c r="D18" s="3">
        <f>VLOOKUP(A18,'Mngt-Sydney Micro '!A:B,2,FALSE)</f>
        <v>17356</v>
      </c>
      <c r="E18" s="3">
        <f>'Mngt-Melbourne Micro '!B23</f>
        <v>6570.8</v>
      </c>
      <c r="F18" s="3">
        <f>'Mngt-Brisbane Micro '!B23</f>
        <v>2384.77</v>
      </c>
      <c r="G18" s="3">
        <f>VLOOKUP(A18,'Mngt-Perth Micro '!A:B,2,FALSE)</f>
        <v>3375.64</v>
      </c>
      <c r="H18" s="38">
        <f t="shared" si="0"/>
        <v>29752.21</v>
      </c>
      <c r="I18" s="39">
        <f t="shared" si="1"/>
        <v>0</v>
      </c>
    </row>
    <row r="19" spans="1:9" s="152" customFormat="1" hidden="1" outlineLevel="1" x14ac:dyDescent="0.2">
      <c r="A19" s="148" t="s">
        <v>174</v>
      </c>
      <c r="B19" s="149">
        <f>'Mngt-Microbiology '!B23</f>
        <v>29752.21</v>
      </c>
      <c r="C19" s="3">
        <f>'Mngt-Consulting Micro SC '!B24</f>
        <v>0</v>
      </c>
      <c r="D19" s="3">
        <f>VLOOKUP(A19,'Mngt-Sydney Micro '!A:B,2,FALSE)</f>
        <v>0</v>
      </c>
      <c r="E19" s="149">
        <f>'Mngt-Melbourne Micro '!B24</f>
        <v>0</v>
      </c>
      <c r="F19" s="149">
        <f>'Mngt-Brisbane Micro '!B24</f>
        <v>0</v>
      </c>
      <c r="G19" s="3">
        <f>VLOOKUP(A19,'Mngt-Perth Micro '!A:B,2,FALSE)</f>
        <v>0</v>
      </c>
      <c r="H19" s="150">
        <f t="shared" si="0"/>
        <v>0</v>
      </c>
      <c r="I19" s="151">
        <f t="shared" si="1"/>
        <v>29752.21</v>
      </c>
    </row>
    <row r="20" spans="1:9" s="152" customFormat="1" hidden="1" outlineLevel="1" x14ac:dyDescent="0.2">
      <c r="A20" s="148" t="s">
        <v>99</v>
      </c>
      <c r="B20" s="149">
        <f>'Mngt-Microbiology '!B24</f>
        <v>0</v>
      </c>
      <c r="C20" s="3">
        <f>'Mngt-Consulting Micro SC '!B25</f>
        <v>0</v>
      </c>
      <c r="D20" s="3">
        <f>VLOOKUP(A20,'Mngt-Sydney Micro '!A:B,2,FALSE)</f>
        <v>3745.41</v>
      </c>
      <c r="E20" s="149">
        <f>'Mngt-Melbourne Micro '!B25</f>
        <v>0</v>
      </c>
      <c r="F20" s="149">
        <f>'Mngt-Brisbane Micro '!B25</f>
        <v>2922.01</v>
      </c>
      <c r="G20" s="3">
        <f>VLOOKUP(A20,'Mngt-Perth Micro '!A:B,2,FALSE)</f>
        <v>1971.22</v>
      </c>
      <c r="H20" s="150">
        <f t="shared" si="0"/>
        <v>8638.64</v>
      </c>
      <c r="I20" s="151">
        <f t="shared" si="1"/>
        <v>-8638.64</v>
      </c>
    </row>
    <row r="21" spans="1:9" s="152" customFormat="1" hidden="1" outlineLevel="1" x14ac:dyDescent="0.2">
      <c r="A21" s="148" t="s">
        <v>175</v>
      </c>
      <c r="B21" s="149">
        <f>'Mngt-Microbiology '!B25</f>
        <v>8638.64</v>
      </c>
      <c r="C21" s="3">
        <f>'Mngt-Consulting Micro SC '!B26</f>
        <v>55.66</v>
      </c>
      <c r="D21" s="3">
        <f>VLOOKUP(A21,'Mngt-Sydney Micro '!A:B,2,FALSE)</f>
        <v>0</v>
      </c>
      <c r="E21" s="149">
        <f>'Mngt-Melbourne Micro '!B26</f>
        <v>278.32</v>
      </c>
      <c r="F21" s="149">
        <f>'Mngt-Brisbane Micro '!B26</f>
        <v>0</v>
      </c>
      <c r="G21" s="3">
        <f>VLOOKUP(A21,'Mngt-Perth Micro '!A:B,2,FALSE)</f>
        <v>0</v>
      </c>
      <c r="H21" s="150">
        <f t="shared" si="0"/>
        <v>333.98</v>
      </c>
      <c r="I21" s="151">
        <f t="shared" si="1"/>
        <v>8304.66</v>
      </c>
    </row>
    <row r="22" spans="1:9" s="152" customFormat="1" hidden="1" outlineLevel="1" x14ac:dyDescent="0.2">
      <c r="A22" s="148" t="s">
        <v>100</v>
      </c>
      <c r="B22" s="149">
        <f>'Mngt-Microbiology '!B26</f>
        <v>333.98</v>
      </c>
      <c r="C22" s="3">
        <f>'Mngt-Consulting Micro SC '!B27</f>
        <v>0</v>
      </c>
      <c r="D22" s="3">
        <f>VLOOKUP(A22,'Mngt-Sydney Micro '!A:B,2,FALSE)</f>
        <v>1900.78</v>
      </c>
      <c r="E22" s="149">
        <f>'Mngt-Melbourne Micro '!B27</f>
        <v>3075.11</v>
      </c>
      <c r="F22" s="149">
        <f>'Mngt-Brisbane Micro '!B27</f>
        <v>580.54</v>
      </c>
      <c r="G22" s="3">
        <f>VLOOKUP(A22,'Mngt-Perth Micro '!A:B,2,FALSE)</f>
        <v>762.99</v>
      </c>
      <c r="H22" s="150">
        <f t="shared" si="0"/>
        <v>6319.42</v>
      </c>
      <c r="I22" s="151">
        <f t="shared" si="1"/>
        <v>-5985.4400000000005</v>
      </c>
    </row>
    <row r="23" spans="1:9" s="152" customFormat="1" hidden="1" outlineLevel="1" x14ac:dyDescent="0.2">
      <c r="A23" s="148" t="s">
        <v>101</v>
      </c>
      <c r="B23" s="149">
        <f>'Mngt-Microbiology '!B27</f>
        <v>6411.94</v>
      </c>
      <c r="C23" s="3">
        <f>'Mngt-Consulting Micro SC '!B28</f>
        <v>61.24</v>
      </c>
      <c r="D23" s="3">
        <f>VLOOKUP(A23,'Mngt-Sydney Micro '!A:B,2,FALSE)</f>
        <v>180.9</v>
      </c>
      <c r="E23" s="149">
        <f>'Mngt-Melbourne Micro '!B28</f>
        <v>40.43</v>
      </c>
      <c r="F23" s="149">
        <f>'Mngt-Brisbane Micro '!B28</f>
        <v>34.57</v>
      </c>
      <c r="G23" s="3">
        <f>VLOOKUP(A23,'Mngt-Perth Micro '!A:B,2,FALSE)</f>
        <v>34.57</v>
      </c>
      <c r="H23" s="150">
        <f t="shared" si="0"/>
        <v>351.71</v>
      </c>
      <c r="I23" s="151">
        <f t="shared" si="1"/>
        <v>6060.23</v>
      </c>
    </row>
    <row r="24" spans="1:9" s="152" customFormat="1" hidden="1" outlineLevel="1" x14ac:dyDescent="0.2">
      <c r="A24" s="148" t="s">
        <v>176</v>
      </c>
      <c r="B24" s="149">
        <f>'Mngt-Microbiology '!B28</f>
        <v>290.47000000000003</v>
      </c>
      <c r="C24" s="3">
        <f>'Mngt-Consulting Micro SC '!B29</f>
        <v>0</v>
      </c>
      <c r="D24" s="3">
        <f>VLOOKUP(A24,'Mngt-Sydney Micro '!A:B,2,FALSE)</f>
        <v>61.24</v>
      </c>
      <c r="E24" s="149">
        <f>'Mngt-Melbourne Micro '!B29</f>
        <v>61.32</v>
      </c>
      <c r="F24" s="149">
        <f>'Mngt-Brisbane Micro '!B29</f>
        <v>51.12</v>
      </c>
      <c r="G24" s="3">
        <f>VLOOKUP(A24,'Mngt-Perth Micro '!A:B,2,FALSE)</f>
        <v>22.26</v>
      </c>
      <c r="H24" s="150">
        <f t="shared" si="0"/>
        <v>195.94</v>
      </c>
      <c r="I24" s="151">
        <f t="shared" si="1"/>
        <v>94.53000000000003</v>
      </c>
    </row>
    <row r="25" spans="1:9" s="152" customFormat="1" hidden="1" outlineLevel="1" x14ac:dyDescent="0.2">
      <c r="A25" s="148" t="s">
        <v>102</v>
      </c>
      <c r="B25" s="149">
        <f>'Mngt-Microbiology '!B29</f>
        <v>257.18</v>
      </c>
      <c r="C25" s="3">
        <f>'Mngt-Consulting Micro SC '!B30</f>
        <v>106.31</v>
      </c>
      <c r="D25" s="3">
        <f>VLOOKUP(A25,'Mngt-Sydney Micro '!A:B,2,FALSE)</f>
        <v>3004.44</v>
      </c>
      <c r="E25" s="149">
        <f>'Mngt-Melbourne Micro '!B30</f>
        <v>0</v>
      </c>
      <c r="F25" s="149">
        <f>'Mngt-Brisbane Micro '!B30</f>
        <v>1341.77</v>
      </c>
      <c r="G25" s="3">
        <f>VLOOKUP(A25,'Mngt-Perth Micro '!A:B,2,FALSE)</f>
        <v>734.5</v>
      </c>
      <c r="H25" s="150">
        <f t="shared" si="0"/>
        <v>5187.0200000000004</v>
      </c>
      <c r="I25" s="151">
        <f t="shared" si="1"/>
        <v>-4929.84</v>
      </c>
    </row>
    <row r="26" spans="1:9" s="152" customFormat="1" hidden="1" outlineLevel="1" x14ac:dyDescent="0.2">
      <c r="A26" s="148" t="s">
        <v>75</v>
      </c>
      <c r="B26" s="149">
        <f>'Mngt-Microbiology '!B30</f>
        <v>5080.71</v>
      </c>
      <c r="C26" s="3">
        <f>'Mngt-Consulting Micro SC '!B31</f>
        <v>136.05000000000001</v>
      </c>
      <c r="D26" s="3">
        <f>VLOOKUP(A26,'Mngt-Sydney Micro '!A:B,2,FALSE)</f>
        <v>0</v>
      </c>
      <c r="E26" s="149">
        <f>'Mngt-Melbourne Micro '!B31</f>
        <v>681.47</v>
      </c>
      <c r="F26" s="149">
        <f>'Mngt-Brisbane Micro '!B31</f>
        <v>0</v>
      </c>
      <c r="G26" s="3">
        <f>VLOOKUP(A26,'Mngt-Perth Micro '!A:B,2,FALSE)</f>
        <v>0</v>
      </c>
      <c r="H26" s="150">
        <f t="shared" si="0"/>
        <v>817.52</v>
      </c>
      <c r="I26" s="151">
        <f t="shared" si="1"/>
        <v>4263.1900000000005</v>
      </c>
    </row>
    <row r="27" spans="1:9" s="152" customFormat="1" hidden="1" outlineLevel="1" x14ac:dyDescent="0.2">
      <c r="A27" s="148" t="s">
        <v>76</v>
      </c>
      <c r="B27" s="149">
        <f>'Mngt-Microbiology '!B31</f>
        <v>787.78</v>
      </c>
      <c r="C27" s="3">
        <f>'Mngt-Consulting Micro SC '!B32</f>
        <v>0</v>
      </c>
      <c r="D27" s="3">
        <f>VLOOKUP(A27,'Mngt-Sydney Micro '!A:B,2,FALSE)</f>
        <v>206.56</v>
      </c>
      <c r="E27" s="149">
        <f>'Mngt-Melbourne Micro '!B32</f>
        <v>616.51</v>
      </c>
      <c r="F27" s="149">
        <f>'Mngt-Brisbane Micro '!B32</f>
        <v>1738.54</v>
      </c>
      <c r="G27" s="3">
        <f>VLOOKUP(A27,'Mngt-Perth Micro '!A:B,2,FALSE)</f>
        <v>377.25</v>
      </c>
      <c r="H27" s="150">
        <f t="shared" si="0"/>
        <v>2938.8599999999997</v>
      </c>
      <c r="I27" s="151">
        <f t="shared" si="1"/>
        <v>-2151.08</v>
      </c>
    </row>
    <row r="28" spans="1:9" s="152" customFormat="1" hidden="1" outlineLevel="1" x14ac:dyDescent="0.2">
      <c r="A28" s="148" t="s">
        <v>77</v>
      </c>
      <c r="B28" s="149">
        <f>'Mngt-Microbiology '!B32</f>
        <v>3074.91</v>
      </c>
      <c r="C28" s="3">
        <f>'Mngt-Consulting Micro SC '!B32</f>
        <v>0</v>
      </c>
      <c r="D28" s="3">
        <f>VLOOKUP(A28,'Mngt-Sydney Micro '!A:B,2,FALSE)</f>
        <v>0</v>
      </c>
      <c r="E28" s="149">
        <f>'Mngt-Melbourne Micro '!B33</f>
        <v>983</v>
      </c>
      <c r="F28" s="149">
        <f>'Mngt-Brisbane Micro '!B33</f>
        <v>353.93</v>
      </c>
      <c r="G28" s="3">
        <f>VLOOKUP(A28,'Mngt-Perth Micro '!A:B,2,FALSE)</f>
        <v>0</v>
      </c>
      <c r="H28" s="150">
        <f t="shared" si="0"/>
        <v>1336.93</v>
      </c>
      <c r="I28" s="151">
        <f t="shared" si="1"/>
        <v>1737.9799999999998</v>
      </c>
    </row>
    <row r="29" spans="1:9" collapsed="1" x14ac:dyDescent="0.2">
      <c r="A29" s="147" t="s">
        <v>177</v>
      </c>
      <c r="B29" s="3">
        <f>'Mngt-Microbiology '!B34</f>
        <v>26212.54</v>
      </c>
      <c r="C29" s="3">
        <f>'Mngt-Consulting Micro SC '!B33</f>
        <v>359.26</v>
      </c>
      <c r="D29" s="3">
        <f>VLOOKUP(A29,'Mngt-Sydney Micro '!A:B,2,FALSE)</f>
        <v>9099.33</v>
      </c>
      <c r="E29" s="3">
        <f>'Mngt-Melbourne Micro '!B34</f>
        <v>5736.16</v>
      </c>
      <c r="F29" s="3">
        <f>'Mngt-Brisbane Micro '!B34</f>
        <v>7022.48</v>
      </c>
      <c r="G29" s="3">
        <f>VLOOKUP(A29,'Mngt-Perth Micro '!A:B,2,FALSE)</f>
        <v>3902.79</v>
      </c>
      <c r="H29" s="38">
        <f t="shared" si="0"/>
        <v>26120.02</v>
      </c>
      <c r="I29" s="39">
        <f t="shared" si="1"/>
        <v>92.520000000000437</v>
      </c>
    </row>
    <row r="30" spans="1:9" x14ac:dyDescent="0.2">
      <c r="A30" s="147" t="s">
        <v>192</v>
      </c>
      <c r="B30" s="3">
        <f>'Mngt-Microbiology '!B49</f>
        <v>3620.86</v>
      </c>
      <c r="C30" s="3">
        <f>'Mngt-Consulting Micro SC '!B48</f>
        <v>41.67</v>
      </c>
      <c r="D30" s="3">
        <f>VLOOKUP(A30,'Mngt-Sydney Micro '!A:B,2,FALSE)</f>
        <v>1002.71</v>
      </c>
      <c r="E30" s="3">
        <f>'Mngt-Melbourne Micro '!B49</f>
        <v>1370.01</v>
      </c>
      <c r="F30" s="3">
        <f>'Mngt-Brisbane Micro '!B49</f>
        <v>833.74</v>
      </c>
      <c r="G30" s="3">
        <f>VLOOKUP(A30,'Mngt-Perth Micro '!A:B,2,FALSE)</f>
        <v>372.73</v>
      </c>
      <c r="H30" s="38">
        <f>SUM(C30:G30)</f>
        <v>3620.86</v>
      </c>
      <c r="I30" s="39">
        <f t="shared" si="1"/>
        <v>0</v>
      </c>
    </row>
    <row r="31" spans="1:9" x14ac:dyDescent="0.2">
      <c r="A31" s="147" t="s">
        <v>89</v>
      </c>
      <c r="B31" s="3">
        <f>'Mngt-Microbiology '!B63</f>
        <v>26835.279999999999</v>
      </c>
      <c r="C31" s="3">
        <f>'Mngt-Consulting Micro SC '!B62</f>
        <v>0</v>
      </c>
      <c r="D31" s="3">
        <f>'Mngt-Sydney Micro '!B62</f>
        <v>0</v>
      </c>
      <c r="E31" s="3">
        <f>'Mngt-Melbourne Micro '!B63</f>
        <v>9062.27</v>
      </c>
      <c r="F31" s="3">
        <f>'Mngt-Brisbane Micro '!B63</f>
        <v>3109.64</v>
      </c>
      <c r="G31" s="3">
        <f>'Mngt-Perth Micro '!B62</f>
        <v>1877.94</v>
      </c>
      <c r="H31" s="38">
        <f t="shared" si="0"/>
        <v>14049.85</v>
      </c>
      <c r="I31" s="39">
        <f t="shared" si="1"/>
        <v>12785.429999999998</v>
      </c>
    </row>
    <row r="32" spans="1:9" x14ac:dyDescent="0.2">
      <c r="A32" s="147" t="s">
        <v>201</v>
      </c>
      <c r="B32" s="3">
        <f>'Mngt-Microbiology '!B64</f>
        <v>961423.86</v>
      </c>
      <c r="C32" s="3">
        <f>'Mngt-Consulting Micro SC '!B63</f>
        <v>9903.19</v>
      </c>
      <c r="D32" s="3">
        <f>VLOOKUP(A32,'Mngt-Sydney Micro '!A:B,2,FALSE)</f>
        <v>334087.92</v>
      </c>
      <c r="E32" s="3">
        <f>'Mngt-Melbourne Micro '!B64</f>
        <v>357443.93</v>
      </c>
      <c r="F32" s="3">
        <f>'Mngt-Brisbane Micro '!B64</f>
        <v>150782.81</v>
      </c>
      <c r="G32" s="3">
        <f>VLOOKUP(A32,'Mngt-Perth Micro '!A:B,2,FALSE)</f>
        <v>109113.49</v>
      </c>
      <c r="H32" s="38">
        <f t="shared" si="0"/>
        <v>961331.34000000008</v>
      </c>
      <c r="I32" s="39">
        <f t="shared" si="1"/>
        <v>92.519999999902211</v>
      </c>
    </row>
    <row r="33" spans="1:13" ht="13.5" thickBot="1" x14ac:dyDescent="0.25">
      <c r="A33" s="144" t="s">
        <v>8</v>
      </c>
      <c r="B33" s="5">
        <f>'Mngt-Microbiology '!B65</f>
        <v>330445.90000000002</v>
      </c>
      <c r="C33" s="5">
        <f>'Mngt-Consulting Micro SC '!B64</f>
        <v>37480.6</v>
      </c>
      <c r="D33" s="3">
        <f>VLOOKUP(A33,'Mngt-Sydney Micro '!A:B,2,FALSE)</f>
        <v>74437.509999999995</v>
      </c>
      <c r="E33" s="5">
        <f>'Mngt-Melbourne Micro '!B65</f>
        <v>167793.62</v>
      </c>
      <c r="F33" s="5">
        <f>'Mngt-Brisbane Micro '!B65</f>
        <v>1561.4</v>
      </c>
      <c r="G33" s="3">
        <f>VLOOKUP(A33,'Mngt-Perth Micro '!A:B,2,FALSE)</f>
        <v>49265.29</v>
      </c>
      <c r="H33" s="36">
        <f t="shared" si="0"/>
        <v>330538.42</v>
      </c>
      <c r="I33" s="37">
        <f t="shared" si="1"/>
        <v>-92.519999999960419</v>
      </c>
    </row>
    <row r="34" spans="1:13" x14ac:dyDescent="0.2">
      <c r="A34" s="153" t="s">
        <v>274</v>
      </c>
      <c r="B34" s="154">
        <f>SUM(B8:B31)-B32-SUM(B19:B28)</f>
        <v>642116.12999999966</v>
      </c>
      <c r="C34" s="154">
        <f>SUM(C8:C31)-C32-SUM(C19:C28)</f>
        <v>-1.5916157281026244E-12</v>
      </c>
      <c r="D34" s="154">
        <f t="shared" ref="D34:H34" si="2">SUM(D8:D31)-D32-SUM(D19:D28)</f>
        <v>204033.42000000007</v>
      </c>
      <c r="E34" s="154">
        <f t="shared" si="2"/>
        <v>272577.32999999996</v>
      </c>
      <c r="F34" s="154">
        <f t="shared" si="2"/>
        <v>81838.240000000005</v>
      </c>
      <c r="G34" s="154">
        <f t="shared" si="2"/>
        <v>70881.71000000005</v>
      </c>
      <c r="H34" s="155">
        <f t="shared" si="2"/>
        <v>629330.69999999972</v>
      </c>
      <c r="I34" s="156">
        <f t="shared" ref="I34" si="3">SUM(I8:I31)-I32</f>
        <v>41293.230000000098</v>
      </c>
    </row>
    <row r="35" spans="1:13" ht="13.5" thickBot="1" x14ac:dyDescent="0.25">
      <c r="A35" s="144" t="s">
        <v>275</v>
      </c>
      <c r="B35" s="5">
        <f t="shared" ref="B35:I35" si="4">B7-B32-B33</f>
        <v>0</v>
      </c>
      <c r="C35" s="5">
        <f t="shared" si="4"/>
        <v>0</v>
      </c>
      <c r="D35" s="5">
        <f t="shared" si="4"/>
        <v>0</v>
      </c>
      <c r="E35" s="5">
        <f t="shared" si="4"/>
        <v>0</v>
      </c>
      <c r="F35" s="5">
        <f t="shared" si="4"/>
        <v>-5.9117155615240335E-12</v>
      </c>
      <c r="G35" s="5">
        <f t="shared" si="4"/>
        <v>0</v>
      </c>
      <c r="H35" s="36">
        <f t="shared" si="4"/>
        <v>0</v>
      </c>
      <c r="I35" s="37">
        <f t="shared" si="4"/>
        <v>5.8207660913467407E-11</v>
      </c>
    </row>
    <row r="37" spans="1:13" ht="13.5" thickBot="1" x14ac:dyDescent="0.25"/>
    <row r="38" spans="1:13" x14ac:dyDescent="0.2">
      <c r="A38" s="140" t="s">
        <v>265</v>
      </c>
      <c r="B38" s="141" t="s">
        <v>276</v>
      </c>
      <c r="C38" s="141"/>
      <c r="D38" s="142" t="s">
        <v>268</v>
      </c>
      <c r="E38" s="142" t="s">
        <v>269</v>
      </c>
      <c r="F38" s="142" t="s">
        <v>270</v>
      </c>
      <c r="G38" s="142" t="s">
        <v>271</v>
      </c>
      <c r="H38" s="142" t="s">
        <v>277</v>
      </c>
      <c r="I38" s="142" t="s">
        <v>278</v>
      </c>
      <c r="J38" s="142" t="s">
        <v>279</v>
      </c>
      <c r="K38" s="140" t="s">
        <v>272</v>
      </c>
      <c r="L38" s="143" t="s">
        <v>273</v>
      </c>
      <c r="M38" s="143" t="s">
        <v>273</v>
      </c>
    </row>
    <row r="39" spans="1:13" ht="13.5" thickBot="1" x14ac:dyDescent="0.25">
      <c r="A39" s="144"/>
      <c r="B39" s="145"/>
      <c r="C39" s="145"/>
      <c r="D39" s="145"/>
      <c r="E39" s="145"/>
      <c r="F39" s="145"/>
      <c r="G39" s="145"/>
      <c r="H39" s="145"/>
      <c r="I39" s="145"/>
      <c r="J39" s="145"/>
      <c r="K39" s="144"/>
      <c r="L39" s="146"/>
      <c r="M39" s="157" t="s">
        <v>280</v>
      </c>
    </row>
    <row r="40" spans="1:13" x14ac:dyDescent="0.2">
      <c r="A40" s="147" t="s">
        <v>7</v>
      </c>
      <c r="B40" s="3">
        <f>'Mngt-Chemistry '!S2</f>
        <v>1040842.3</v>
      </c>
      <c r="C40" s="3"/>
      <c r="D40" s="3">
        <f>'Mngt-Sydney Chem '!S2</f>
        <v>400202.12</v>
      </c>
      <c r="E40" s="3">
        <f>'Mngt-Melb Chem External'!S2</f>
        <v>308783.63</v>
      </c>
      <c r="F40" s="3">
        <f>'Mngt-Bris Chem External'!S2</f>
        <v>79586.78</v>
      </c>
      <c r="G40" s="3">
        <f>'Mngt-Perth Chem External'!S2</f>
        <v>165542.20000000001</v>
      </c>
      <c r="H40" s="3">
        <f>'Mngt-Chem Milk Testing '!S2</f>
        <v>86727.57</v>
      </c>
      <c r="I40" s="3">
        <f>'Mngt-Melb Milk Testing'!S2</f>
        <v>3495.96</v>
      </c>
      <c r="J40" s="3">
        <f>'Mngt-Bris Milk Testing '!S2</f>
        <v>83231.61</v>
      </c>
      <c r="K40" s="38">
        <f t="shared" ref="K40:K58" si="5">SUM(D40:H40)</f>
        <v>1040842.3</v>
      </c>
      <c r="L40" s="39">
        <f t="shared" ref="L40:L59" si="6">B40-K40</f>
        <v>0</v>
      </c>
      <c r="M40" s="39">
        <f t="shared" ref="M40:M59" si="7">H40-I40-J40</f>
        <v>0</v>
      </c>
    </row>
    <row r="41" spans="1:13" x14ac:dyDescent="0.2">
      <c r="A41" s="147" t="s">
        <v>166</v>
      </c>
      <c r="B41" s="3">
        <f>'Mngt-Chemistry '!S9</f>
        <v>371835.5</v>
      </c>
      <c r="C41" s="3"/>
      <c r="D41" s="3">
        <f>'Mngt-Sydney Chem '!S9</f>
        <v>351799.05</v>
      </c>
      <c r="E41" s="3">
        <f>'Mngt-Melb Chem External'!S9</f>
        <v>0</v>
      </c>
      <c r="F41" s="3">
        <f>'Mngt-Bris Chem External'!S9</f>
        <v>594.72</v>
      </c>
      <c r="G41" s="3">
        <f>'Mngt-Perth Chem External'!S9</f>
        <v>0</v>
      </c>
      <c r="H41" s="3">
        <f>'Mngt-Chem Milk Testing '!S9</f>
        <v>19441.73</v>
      </c>
      <c r="I41" s="3">
        <f>'Mngt-Melb Milk Testing'!S9</f>
        <v>1130.6400000000001</v>
      </c>
      <c r="J41" s="3">
        <f>'Mngt-Bris Milk Testing '!S9</f>
        <v>18311.09</v>
      </c>
      <c r="K41" s="38">
        <f t="shared" si="5"/>
        <v>371835.49999999994</v>
      </c>
      <c r="L41" s="39">
        <f t="shared" si="6"/>
        <v>0</v>
      </c>
      <c r="M41" s="39">
        <f t="shared" si="7"/>
        <v>0</v>
      </c>
    </row>
    <row r="42" spans="1:13" x14ac:dyDescent="0.2">
      <c r="A42" s="147" t="s">
        <v>167</v>
      </c>
      <c r="B42" s="3">
        <f>'Mngt-Chemistry '!S10</f>
        <v>35883.65</v>
      </c>
      <c r="C42" s="3"/>
      <c r="D42" s="3">
        <f>'Mngt-Sydney Chem '!S10</f>
        <v>41592.47</v>
      </c>
      <c r="E42" s="3">
        <f>'Mngt-Melb Chem External'!S10</f>
        <v>-4941.8500000000004</v>
      </c>
      <c r="F42" s="3">
        <f>'Mngt-Bris Chem External'!S10</f>
        <v>-3066.41</v>
      </c>
      <c r="G42" s="3">
        <f>'Mngt-Perth Chem External'!S10</f>
        <v>1232.96</v>
      </c>
      <c r="H42" s="3">
        <f>'Mngt-Chem Milk Testing '!S10</f>
        <v>1066.48</v>
      </c>
      <c r="I42" s="3">
        <f>'Mngt-Melb Milk Testing'!S10</f>
        <v>0</v>
      </c>
      <c r="J42" s="3">
        <f>'Mngt-Bris Milk Testing '!S10</f>
        <v>1066.48</v>
      </c>
      <c r="K42" s="38">
        <f t="shared" si="5"/>
        <v>35883.650000000009</v>
      </c>
      <c r="L42" s="39">
        <f t="shared" si="6"/>
        <v>0</v>
      </c>
      <c r="M42" s="39">
        <f t="shared" si="7"/>
        <v>0</v>
      </c>
    </row>
    <row r="43" spans="1:13" x14ac:dyDescent="0.2">
      <c r="A43" s="147" t="s">
        <v>168</v>
      </c>
      <c r="B43" s="3">
        <f>'Mngt-Chemistry '!S11</f>
        <v>32834.400000000001</v>
      </c>
      <c r="C43" s="3"/>
      <c r="D43" s="3">
        <f>'Mngt-Sydney Chem '!S11</f>
        <v>17626</v>
      </c>
      <c r="E43" s="3">
        <f>'Mngt-Melb Chem External'!S11</f>
        <v>0</v>
      </c>
      <c r="F43" s="3">
        <f>'Mngt-Bris Chem External'!S11</f>
        <v>492.77</v>
      </c>
      <c r="G43" s="3">
        <f>'Mngt-Perth Chem External'!S11</f>
        <v>214.63</v>
      </c>
      <c r="H43" s="3">
        <f>'Mngt-Chem Milk Testing '!S11</f>
        <v>14501</v>
      </c>
      <c r="I43" s="3">
        <f>'Mngt-Melb Milk Testing'!S11</f>
        <v>0</v>
      </c>
      <c r="J43" s="3">
        <f>'Mngt-Bris Milk Testing '!S11</f>
        <v>14501</v>
      </c>
      <c r="K43" s="38">
        <f t="shared" si="5"/>
        <v>32834.400000000001</v>
      </c>
      <c r="L43" s="39">
        <f t="shared" si="6"/>
        <v>0</v>
      </c>
      <c r="M43" s="39">
        <f t="shared" si="7"/>
        <v>0</v>
      </c>
    </row>
    <row r="44" spans="1:13" x14ac:dyDescent="0.2">
      <c r="A44" s="147" t="s">
        <v>169</v>
      </c>
      <c r="B44" s="3">
        <f>'Mngt-Chemistry '!S12</f>
        <v>22812.21</v>
      </c>
      <c r="C44" s="3"/>
      <c r="D44" s="3">
        <f>'Mngt-Sydney Chem '!S12</f>
        <v>18147.54</v>
      </c>
      <c r="E44" s="3">
        <f>'Mngt-Melb Chem External'!S12</f>
        <v>4208.71</v>
      </c>
      <c r="F44" s="3">
        <f>'Mngt-Bris Chem External'!S12</f>
        <v>410.96</v>
      </c>
      <c r="G44" s="3">
        <f>'Mngt-Perth Chem External'!S12</f>
        <v>45</v>
      </c>
      <c r="H44" s="3">
        <f>'Mngt-Chem Milk Testing '!S12</f>
        <v>0</v>
      </c>
      <c r="I44" s="3">
        <f>'Mngt-Melb Milk Testing'!S12</f>
        <v>0</v>
      </c>
      <c r="J44" s="3">
        <f>'Mngt-Bris Milk Testing '!S12</f>
        <v>0</v>
      </c>
      <c r="K44" s="38">
        <f t="shared" si="5"/>
        <v>22812.21</v>
      </c>
      <c r="L44" s="39">
        <f t="shared" si="6"/>
        <v>0</v>
      </c>
      <c r="M44" s="39">
        <f t="shared" si="7"/>
        <v>0</v>
      </c>
    </row>
    <row r="45" spans="1:13" x14ac:dyDescent="0.2">
      <c r="A45" s="147" t="s">
        <v>50</v>
      </c>
      <c r="B45" s="3">
        <f>'Mngt-Chemistry '!S13</f>
        <v>64.91</v>
      </c>
      <c r="C45" s="3"/>
      <c r="D45" s="3">
        <f>'Mngt-Sydney Chem '!S13</f>
        <v>0</v>
      </c>
      <c r="E45" s="3">
        <f>'Mngt-Melb Chem External'!S13</f>
        <v>0</v>
      </c>
      <c r="F45" s="3">
        <f>'Mngt-Bris Chem External'!S13</f>
        <v>0</v>
      </c>
      <c r="G45" s="3">
        <f>'Mngt-Perth Chem External'!S13</f>
        <v>0</v>
      </c>
      <c r="H45" s="3">
        <f>'Mngt-Chem Milk Testing '!S13</f>
        <v>64.91</v>
      </c>
      <c r="I45" s="3">
        <f>'Mngt-Melb Milk Testing'!S13</f>
        <v>64.91</v>
      </c>
      <c r="J45" s="3">
        <f>'Mngt-Bris Milk Testing '!S13</f>
        <v>0</v>
      </c>
      <c r="K45" s="38">
        <f t="shared" si="5"/>
        <v>64.91</v>
      </c>
      <c r="L45" s="39">
        <f t="shared" si="6"/>
        <v>0</v>
      </c>
      <c r="M45" s="39">
        <f t="shared" si="7"/>
        <v>0</v>
      </c>
    </row>
    <row r="46" spans="1:13" x14ac:dyDescent="0.2">
      <c r="A46" s="147" t="s">
        <v>170</v>
      </c>
      <c r="B46" s="3">
        <f>'Mngt-Chemistry '!S14</f>
        <v>278308.99</v>
      </c>
      <c r="C46" s="3"/>
      <c r="D46" s="3">
        <f>'Mngt-Sydney Chem '!S14</f>
        <v>90727.81</v>
      </c>
      <c r="E46" s="3">
        <f>'Mngt-Melb Chem External'!S14</f>
        <v>88307.66</v>
      </c>
      <c r="F46" s="3">
        <f>'Mngt-Bris Chem External'!S14</f>
        <v>47148.04</v>
      </c>
      <c r="G46" s="3">
        <f>'Mngt-Perth Chem External'!S14</f>
        <v>52125.48</v>
      </c>
      <c r="H46" s="3">
        <f>'Mngt-Chem Milk Testing '!S14</f>
        <v>0</v>
      </c>
      <c r="I46" s="3">
        <f>'Mngt-Melb Milk Testing'!S14</f>
        <v>0</v>
      </c>
      <c r="J46" s="3">
        <f>'Mngt-Bris Milk Testing '!S14</f>
        <v>0</v>
      </c>
      <c r="K46" s="38">
        <f t="shared" si="5"/>
        <v>278308.99</v>
      </c>
      <c r="L46" s="39">
        <f t="shared" si="6"/>
        <v>0</v>
      </c>
      <c r="M46" s="39">
        <f t="shared" si="7"/>
        <v>0</v>
      </c>
    </row>
    <row r="47" spans="1:13" x14ac:dyDescent="0.2">
      <c r="A47" s="147" t="s">
        <v>171</v>
      </c>
      <c r="B47" s="3">
        <f>'Mngt-Chemistry '!S15</f>
        <v>30048.240000000002</v>
      </c>
      <c r="C47" s="3"/>
      <c r="D47" s="3">
        <f>'Mngt-Sydney Chem '!S15</f>
        <v>9033.5300000000007</v>
      </c>
      <c r="E47" s="3">
        <f>'Mngt-Melb Chem External'!S15</f>
        <v>30</v>
      </c>
      <c r="F47" s="3">
        <f>'Mngt-Bris Chem External'!S15</f>
        <v>0</v>
      </c>
      <c r="G47" s="3">
        <f>'Mngt-Perth Chem External'!S15</f>
        <v>0</v>
      </c>
      <c r="H47" s="3">
        <f>'Mngt-Chem Milk Testing '!S15</f>
        <v>20984.71</v>
      </c>
      <c r="I47" s="3">
        <f>'Mngt-Melb Milk Testing'!S15</f>
        <v>0</v>
      </c>
      <c r="J47" s="3">
        <f>'Mngt-Bris Milk Testing '!S15</f>
        <v>20984.71</v>
      </c>
      <c r="K47" s="38">
        <f t="shared" si="5"/>
        <v>30048.239999999998</v>
      </c>
      <c r="L47" s="39">
        <f t="shared" si="6"/>
        <v>0</v>
      </c>
      <c r="M47" s="39">
        <f t="shared" si="7"/>
        <v>0</v>
      </c>
    </row>
    <row r="48" spans="1:13" x14ac:dyDescent="0.2">
      <c r="A48" s="147" t="s">
        <v>172</v>
      </c>
      <c r="B48" s="3">
        <f>'Mngt-Chemistry '!S16</f>
        <v>887.92</v>
      </c>
      <c r="C48" s="3"/>
      <c r="D48" s="3">
        <f>'Mngt-Sydney Chem '!S16</f>
        <v>887.92</v>
      </c>
      <c r="E48" s="3">
        <f>'Mngt-Melb Chem External'!S16</f>
        <v>0</v>
      </c>
      <c r="F48" s="3">
        <f>'Mngt-Bris Chem External'!S16</f>
        <v>0</v>
      </c>
      <c r="G48" s="3">
        <f>'Mngt-Perth Chem External'!S16</f>
        <v>0</v>
      </c>
      <c r="H48" s="3">
        <f>'Mngt-Chem Milk Testing '!S16</f>
        <v>0</v>
      </c>
      <c r="I48" s="3">
        <f>'Mngt-Melb Milk Testing'!S16</f>
        <v>0</v>
      </c>
      <c r="J48" s="3">
        <f>'Mngt-Bris Milk Testing '!S16</f>
        <v>0</v>
      </c>
      <c r="K48" s="38">
        <f t="shared" si="5"/>
        <v>887.92</v>
      </c>
      <c r="L48" s="39">
        <f t="shared" si="6"/>
        <v>0</v>
      </c>
      <c r="M48" s="39">
        <f t="shared" si="7"/>
        <v>0</v>
      </c>
    </row>
    <row r="49" spans="1:13" x14ac:dyDescent="0.2">
      <c r="A49" s="147" t="s">
        <v>173</v>
      </c>
      <c r="B49" s="3">
        <f>'Mngt-Chemistry '!S17</f>
        <v>58294.75</v>
      </c>
      <c r="C49" s="3"/>
      <c r="D49" s="3">
        <f>'Mngt-Sydney Chem '!S17</f>
        <v>39058.28</v>
      </c>
      <c r="E49" s="3">
        <f>'Mngt-Melb Chem External'!S17</f>
        <v>0</v>
      </c>
      <c r="F49" s="3">
        <f>'Mngt-Bris Chem External'!S18</f>
        <v>0</v>
      </c>
      <c r="G49" s="3">
        <f>'Mngt-Perth Chem External'!S18</f>
        <v>0</v>
      </c>
      <c r="H49" s="3">
        <f>'Mngt-Chem Milk Testing '!S17</f>
        <v>16244.38</v>
      </c>
      <c r="I49" s="3">
        <f>'Mngt-Melb Milk Testing'!S17</f>
        <v>0</v>
      </c>
      <c r="J49" s="3">
        <f>'Mngt-Bris Milk Testing '!S17</f>
        <v>16244.38</v>
      </c>
      <c r="K49" s="38">
        <f>SUM(D49:H49)</f>
        <v>55302.659999999996</v>
      </c>
      <c r="L49" s="39">
        <f t="shared" si="6"/>
        <v>2992.0900000000038</v>
      </c>
      <c r="M49" s="39">
        <f t="shared" si="7"/>
        <v>0</v>
      </c>
    </row>
    <row r="50" spans="1:13" x14ac:dyDescent="0.2">
      <c r="A50" s="147" t="s">
        <v>257</v>
      </c>
      <c r="B50" s="3">
        <f>'Mngt-Chemistry '!S18</f>
        <v>28386.77</v>
      </c>
      <c r="C50" s="3"/>
      <c r="D50" s="3">
        <f>'Mngt-Sydney Chem '!S18</f>
        <v>25690.33</v>
      </c>
      <c r="E50" s="3">
        <f>'Mngt-Melb Chem External'!S18</f>
        <v>0</v>
      </c>
      <c r="F50" s="45"/>
      <c r="G50" s="45"/>
      <c r="H50" s="3">
        <f>'Mngt-Chem Milk Testing '!S18</f>
        <v>2696.44</v>
      </c>
      <c r="I50" s="3">
        <f>'Mngt-Melb Milk Testing'!S18</f>
        <v>0</v>
      </c>
      <c r="J50" s="3">
        <f>'Mngt-Bris Milk Testing '!S18</f>
        <v>2696.44</v>
      </c>
      <c r="K50" s="38">
        <f t="shared" si="5"/>
        <v>28386.77</v>
      </c>
      <c r="L50" s="39">
        <f t="shared" si="6"/>
        <v>0</v>
      </c>
      <c r="M50" s="39">
        <f t="shared" si="7"/>
        <v>0</v>
      </c>
    </row>
    <row r="51" spans="1:13" s="152" customFormat="1" hidden="1" outlineLevel="1" x14ac:dyDescent="0.2">
      <c r="A51" s="148" t="s">
        <v>109</v>
      </c>
      <c r="B51" s="149">
        <f>'Mngt-Chemistry '!S19</f>
        <v>3614.6</v>
      </c>
      <c r="C51" s="149"/>
      <c r="D51" s="149">
        <f>'Mngt-Sydney Chem '!S19</f>
        <v>3614.6</v>
      </c>
      <c r="E51" s="149">
        <f>'Mngt-Melb Chem External'!S19</f>
        <v>0</v>
      </c>
      <c r="F51" s="149">
        <f>'Mngt-Bris Chem External'!S19</f>
        <v>0</v>
      </c>
      <c r="G51" s="149">
        <f>'Mngt-Perth Chem External'!S19</f>
        <v>0</v>
      </c>
      <c r="H51" s="149">
        <f>'Mngt-Chem Milk Testing '!S19</f>
        <v>0</v>
      </c>
      <c r="I51" s="149">
        <f>'Mngt-Melb Milk Testing'!S19</f>
        <v>0</v>
      </c>
      <c r="J51" s="149">
        <f>'Mngt-Bris Milk Testing '!S19</f>
        <v>0</v>
      </c>
      <c r="K51" s="150"/>
      <c r="L51" s="151"/>
      <c r="M51" s="151">
        <f t="shared" si="7"/>
        <v>0</v>
      </c>
    </row>
    <row r="52" spans="1:13" s="152" customFormat="1" hidden="1" outlineLevel="1" x14ac:dyDescent="0.2">
      <c r="A52" s="148" t="s">
        <v>97</v>
      </c>
      <c r="B52" s="149">
        <f>'Mngt-Chemistry '!S20</f>
        <v>1084</v>
      </c>
      <c r="C52" s="149"/>
      <c r="D52" s="149">
        <f>'Mngt-Sydney Chem '!S20</f>
        <v>1084</v>
      </c>
      <c r="E52" s="149">
        <f>'Mngt-Melb Chem External'!S20</f>
        <v>0</v>
      </c>
      <c r="F52" s="149">
        <f>'Mngt-Bris Chem External'!S20</f>
        <v>0</v>
      </c>
      <c r="G52" s="149">
        <f>'Mngt-Perth Chem External'!S20</f>
        <v>0</v>
      </c>
      <c r="H52" s="149">
        <f>'Mngt-Chem Milk Testing '!S20</f>
        <v>0</v>
      </c>
      <c r="I52" s="149">
        <f>'Mngt-Melb Milk Testing'!S20</f>
        <v>0</v>
      </c>
      <c r="J52" s="149">
        <f>'Mngt-Bris Milk Testing '!S20</f>
        <v>0</v>
      </c>
      <c r="K52" s="150"/>
      <c r="L52" s="151"/>
      <c r="M52" s="151">
        <f t="shared" si="7"/>
        <v>0</v>
      </c>
    </row>
    <row r="53" spans="1:13" s="152" customFormat="1" hidden="1" outlineLevel="1" x14ac:dyDescent="0.2">
      <c r="A53" s="148" t="s">
        <v>69</v>
      </c>
      <c r="B53" s="149">
        <f>'Mngt-Chemistry '!S21</f>
        <v>50568.59</v>
      </c>
      <c r="C53" s="149"/>
      <c r="D53" s="149">
        <f>'Mngt-Sydney Chem '!S21</f>
        <v>35368.589999999997</v>
      </c>
      <c r="E53" s="149">
        <f>'Mngt-Melb Chem External'!S21</f>
        <v>0</v>
      </c>
      <c r="F53" s="149">
        <f>'Mngt-Bris Chem External'!S21</f>
        <v>0</v>
      </c>
      <c r="G53" s="149">
        <f>'Mngt-Perth Chem External'!S21</f>
        <v>0</v>
      </c>
      <c r="H53" s="149">
        <f>'Mngt-Chem Milk Testing '!S21</f>
        <v>15200</v>
      </c>
      <c r="I53" s="149">
        <f>'Mngt-Melb Milk Testing'!S21</f>
        <v>5500</v>
      </c>
      <c r="J53" s="149">
        <f>'Mngt-Bris Milk Testing '!S21</f>
        <v>9700</v>
      </c>
      <c r="K53" s="150"/>
      <c r="L53" s="151"/>
      <c r="M53" s="151">
        <f t="shared" si="7"/>
        <v>0</v>
      </c>
    </row>
    <row r="54" spans="1:13" collapsed="1" x14ac:dyDescent="0.2">
      <c r="A54" s="147" t="s">
        <v>70</v>
      </c>
      <c r="B54" s="3">
        <f>'Mngt-Chemistry '!S22</f>
        <v>55267.19</v>
      </c>
      <c r="C54" s="3"/>
      <c r="D54" s="3">
        <f>'Mngt-Sydney Chem '!S22</f>
        <v>40067.19</v>
      </c>
      <c r="E54" s="3">
        <f>'Mngt-Melb Chem External'!S22</f>
        <v>0</v>
      </c>
      <c r="F54" s="3">
        <f>'Mngt-Bris Chem External'!S22</f>
        <v>0</v>
      </c>
      <c r="G54" s="3">
        <f>'Mngt-Perth Chem External'!S22</f>
        <v>0</v>
      </c>
      <c r="H54" s="3">
        <f>'Mngt-Chem Milk Testing '!S22</f>
        <v>15200</v>
      </c>
      <c r="I54" s="3">
        <f>'Mngt-Melb Milk Testing'!S22</f>
        <v>5500</v>
      </c>
      <c r="J54" s="3">
        <f>'Mngt-Bris Milk Testing '!S22</f>
        <v>9700</v>
      </c>
      <c r="K54" s="38">
        <f t="shared" si="5"/>
        <v>55267.19</v>
      </c>
      <c r="L54" s="39">
        <f t="shared" si="6"/>
        <v>0</v>
      </c>
      <c r="M54" s="39">
        <f t="shared" si="7"/>
        <v>0</v>
      </c>
    </row>
    <row r="55" spans="1:13" x14ac:dyDescent="0.2">
      <c r="A55" s="147" t="s">
        <v>177</v>
      </c>
      <c r="B55" s="3">
        <f>'Mngt-Chemistry '!S33</f>
        <v>51192.94</v>
      </c>
      <c r="C55" s="3"/>
      <c r="D55" s="3">
        <f>'Mngt-Sydney Chem '!S33</f>
        <v>47941.87</v>
      </c>
      <c r="E55" s="3">
        <f>'Mngt-Melb Chem External'!S32</f>
        <v>262.11</v>
      </c>
      <c r="F55" s="3">
        <f>'Mngt-Bris Chem External'!S32</f>
        <v>0</v>
      </c>
      <c r="G55" s="3">
        <f>'Mngt-Perth Chem External'!S32</f>
        <v>0</v>
      </c>
      <c r="H55" s="3">
        <f>'Mngt-Chem Milk Testing '!S33</f>
        <v>2988.96</v>
      </c>
      <c r="I55" s="3">
        <f>'Mngt-Melb Milk Testing'!S33</f>
        <v>737.93</v>
      </c>
      <c r="J55" s="3">
        <f>'Mngt-Bris Milk Testing '!S32</f>
        <v>2251.0300000000002</v>
      </c>
      <c r="K55" s="38">
        <f t="shared" si="5"/>
        <v>51192.94</v>
      </c>
      <c r="L55" s="39">
        <f t="shared" si="6"/>
        <v>0</v>
      </c>
      <c r="M55" s="39">
        <f t="shared" si="7"/>
        <v>0</v>
      </c>
    </row>
    <row r="56" spans="1:13" x14ac:dyDescent="0.2">
      <c r="A56" s="147" t="s">
        <v>192</v>
      </c>
      <c r="B56" s="3">
        <f>'Mngt-Chemistry '!S48</f>
        <v>826.94</v>
      </c>
      <c r="C56" s="3"/>
      <c r="D56" s="3">
        <f>'Mngt-Sydney Chem '!S48</f>
        <v>826.94</v>
      </c>
      <c r="E56" s="3">
        <f>'Mngt-Melb Chem External'!S47</f>
        <v>0</v>
      </c>
      <c r="F56" s="3">
        <f>'Mngt-Bris Chem External'!S47</f>
        <v>0</v>
      </c>
      <c r="G56" s="3">
        <f>'Mngt-Perth Chem External'!S47</f>
        <v>0</v>
      </c>
      <c r="H56" s="3">
        <f>'Mngt-Chem Milk Testing '!S48</f>
        <v>0</v>
      </c>
      <c r="I56" s="3">
        <f>'Mngt-Melb Milk Testing'!S48</f>
        <v>0</v>
      </c>
      <c r="J56" s="3">
        <f>'Mngt-Bris Milk Testing '!S46</f>
        <v>0</v>
      </c>
      <c r="K56" s="38">
        <f t="shared" si="5"/>
        <v>826.94</v>
      </c>
      <c r="L56" s="39">
        <f t="shared" si="6"/>
        <v>0</v>
      </c>
      <c r="M56" s="39">
        <f t="shared" si="7"/>
        <v>0</v>
      </c>
    </row>
    <row r="57" spans="1:13" x14ac:dyDescent="0.2">
      <c r="A57" s="147" t="s">
        <v>89</v>
      </c>
      <c r="B57" s="3">
        <f>'Mngt-Chemistry '!S62</f>
        <v>20666.04</v>
      </c>
      <c r="C57" s="3"/>
      <c r="D57" s="3">
        <f>'Mngt-Sydney Chem '!S62</f>
        <v>15155.64</v>
      </c>
      <c r="E57" s="3">
        <f>'Mngt-Melb Chem External'!S59</f>
        <v>0</v>
      </c>
      <c r="F57" s="3">
        <f>'Mngt-Bris Chem External'!S61</f>
        <v>5510.4</v>
      </c>
      <c r="G57" s="3">
        <f>'Mngt-Perth Chem External'!S61</f>
        <v>0</v>
      </c>
      <c r="H57" s="3">
        <f>'Mngt-Chem Milk Testing '!S60</f>
        <v>0</v>
      </c>
      <c r="I57" s="3">
        <f>'Mngt-Melb Milk Testing'!S60</f>
        <v>0</v>
      </c>
      <c r="J57" s="3">
        <f>'Mngt-Bris Milk Testing '!S59</f>
        <v>0</v>
      </c>
      <c r="K57" s="38">
        <f t="shared" si="5"/>
        <v>20666.04</v>
      </c>
      <c r="L57" s="39">
        <f t="shared" si="6"/>
        <v>0</v>
      </c>
      <c r="M57" s="39">
        <f t="shared" si="7"/>
        <v>0</v>
      </c>
    </row>
    <row r="58" spans="1:13" x14ac:dyDescent="0.2">
      <c r="A58" s="147" t="s">
        <v>201</v>
      </c>
      <c r="B58" s="3">
        <f>'Mngt-Chemistry '!S63</f>
        <v>987310.45</v>
      </c>
      <c r="C58" s="3"/>
      <c r="D58" s="3">
        <f>'Mngt-Sydney Chem '!S63</f>
        <v>698554.57</v>
      </c>
      <c r="E58" s="3">
        <f>'Mngt-Melb Chem External'!S60</f>
        <v>87866.63</v>
      </c>
      <c r="F58" s="3">
        <f>'Mngt-Bris Chem External'!S62</f>
        <v>51090.48</v>
      </c>
      <c r="G58" s="3">
        <f>'Mngt-Perth Chem External'!S62</f>
        <v>56610.16</v>
      </c>
      <c r="H58" s="3">
        <f>'Mngt-Chem Milk Testing '!S61</f>
        <v>93188.61</v>
      </c>
      <c r="I58" s="3">
        <f>'Mngt-Melb Milk Testing'!S61</f>
        <v>7433.48</v>
      </c>
      <c r="J58" s="3">
        <f>'Mngt-Bris Milk Testing '!S60</f>
        <v>85755.13</v>
      </c>
      <c r="K58" s="38">
        <f t="shared" si="5"/>
        <v>987310.45</v>
      </c>
      <c r="L58" s="39">
        <f t="shared" si="6"/>
        <v>0</v>
      </c>
      <c r="M58" s="39">
        <f t="shared" si="7"/>
        <v>0</v>
      </c>
    </row>
    <row r="59" spans="1:13" ht="13.5" thickBot="1" x14ac:dyDescent="0.25">
      <c r="A59" s="144" t="s">
        <v>8</v>
      </c>
      <c r="B59" s="5">
        <f>'Mngt-Chemistry '!S64</f>
        <v>53531.85</v>
      </c>
      <c r="C59" s="5"/>
      <c r="D59" s="5">
        <f>'Mngt-Sydney Chem '!S64</f>
        <v>-298352.45</v>
      </c>
      <c r="E59" s="5">
        <f>'Mngt-Melb Chem External'!S61</f>
        <v>220917</v>
      </c>
      <c r="F59" s="5">
        <f>'Mngt-Bris Chem External'!S63</f>
        <v>28496.3</v>
      </c>
      <c r="G59" s="5">
        <f>'Mngt-Perth Chem External'!S63</f>
        <v>108932.04</v>
      </c>
      <c r="H59" s="5">
        <f>'Mngt-Chem Milk Testing '!S62</f>
        <v>-6461.04</v>
      </c>
      <c r="I59" s="5">
        <f>'Mngt-Melb Milk Testing'!S62</f>
        <v>-3937.52</v>
      </c>
      <c r="J59" s="5">
        <f>'Mngt-Bris Milk Testing '!S61</f>
        <v>-2523.52</v>
      </c>
      <c r="K59" s="36">
        <f>SUM(D59:H59)</f>
        <v>53531.849999999984</v>
      </c>
      <c r="L59" s="37">
        <f t="shared" si="6"/>
        <v>0</v>
      </c>
      <c r="M59" s="37">
        <f t="shared" si="7"/>
        <v>0</v>
      </c>
    </row>
    <row r="60" spans="1:13" x14ac:dyDescent="0.2">
      <c r="A60" s="153" t="s">
        <v>274</v>
      </c>
      <c r="B60" s="154">
        <f t="shared" ref="B60:J60" si="8">SUM(B41,B42,B43,B44,B45,B46,B47,B48,B49,B50,B54,B55,B56,B57)-B58</f>
        <v>0</v>
      </c>
      <c r="C60" s="154">
        <f t="shared" si="8"/>
        <v>0</v>
      </c>
      <c r="D60" s="154">
        <f t="shared" si="8"/>
        <v>0</v>
      </c>
      <c r="E60" s="154">
        <f t="shared" si="8"/>
        <v>0</v>
      </c>
      <c r="F60" s="154">
        <f t="shared" si="8"/>
        <v>0</v>
      </c>
      <c r="G60" s="154">
        <f t="shared" si="8"/>
        <v>-2992.0899999999965</v>
      </c>
      <c r="H60" s="154">
        <f t="shared" si="8"/>
        <v>0</v>
      </c>
      <c r="I60" s="154">
        <f t="shared" si="8"/>
        <v>0</v>
      </c>
      <c r="J60" s="154">
        <f t="shared" si="8"/>
        <v>0</v>
      </c>
      <c r="K60" s="155">
        <f>SUM(K41:K57)-K58-SUM(K51:K53)</f>
        <v>-2992.0900000000838</v>
      </c>
      <c r="L60" s="156">
        <f>SUM(L41:L57)-L58</f>
        <v>2992.0900000000038</v>
      </c>
      <c r="M60" s="156">
        <f>SUM(M41:M57)-M58</f>
        <v>0</v>
      </c>
    </row>
    <row r="61" spans="1:13" ht="13.5" thickBot="1" x14ac:dyDescent="0.25">
      <c r="A61" s="144" t="s">
        <v>275</v>
      </c>
      <c r="B61" s="5">
        <f>B40-B58-B59</f>
        <v>9.4587448984384537E-11</v>
      </c>
      <c r="C61" s="5"/>
      <c r="D61" s="5">
        <f t="shared" ref="D61:M61" si="9">D40-D58-D59</f>
        <v>0</v>
      </c>
      <c r="E61" s="5">
        <f t="shared" si="9"/>
        <v>0</v>
      </c>
      <c r="F61" s="5">
        <f t="shared" si="9"/>
        <v>0</v>
      </c>
      <c r="G61" s="5">
        <f t="shared" si="9"/>
        <v>0</v>
      </c>
      <c r="H61" s="5">
        <f t="shared" si="9"/>
        <v>0</v>
      </c>
      <c r="I61" s="5">
        <f t="shared" si="9"/>
        <v>0</v>
      </c>
      <c r="J61" s="5">
        <f t="shared" si="9"/>
        <v>-4.0927261579781771E-12</v>
      </c>
      <c r="K61" s="36">
        <f t="shared" si="9"/>
        <v>1.0913936421275139E-10</v>
      </c>
      <c r="L61" s="37">
        <f t="shared" si="9"/>
        <v>0</v>
      </c>
      <c r="M61" s="37">
        <f t="shared" si="9"/>
        <v>0</v>
      </c>
    </row>
    <row r="65" spans="1:15" ht="13.5" thickBot="1" x14ac:dyDescent="0.25"/>
    <row r="66" spans="1:15" x14ac:dyDescent="0.2">
      <c r="A66" s="153" t="s">
        <v>265</v>
      </c>
      <c r="B66" s="141" t="s">
        <v>286</v>
      </c>
      <c r="C66" s="142" t="s">
        <v>287</v>
      </c>
      <c r="D66" s="142" t="s">
        <v>288</v>
      </c>
      <c r="E66" s="142" t="s">
        <v>289</v>
      </c>
      <c r="F66" s="142" t="s">
        <v>290</v>
      </c>
      <c r="G66" s="142" t="s">
        <v>291</v>
      </c>
      <c r="H66" s="140" t="s">
        <v>272</v>
      </c>
      <c r="I66" s="143" t="s">
        <v>292</v>
      </c>
    </row>
    <row r="67" spans="1:15" x14ac:dyDescent="0.2">
      <c r="A67" s="147"/>
      <c r="B67" s="159"/>
      <c r="C67" s="159"/>
      <c r="D67" s="159"/>
      <c r="E67" s="159"/>
      <c r="F67" s="159"/>
      <c r="G67" s="159"/>
      <c r="H67" s="147"/>
      <c r="I67" s="160"/>
    </row>
    <row r="68" spans="1:15" ht="13.5" thickBot="1" x14ac:dyDescent="0.25">
      <c r="A68" s="144" t="s">
        <v>286</v>
      </c>
      <c r="B68" s="145">
        <f>'Mngt-Revenue '!S21</f>
        <v>-7901993.4699999997</v>
      </c>
      <c r="C68" s="145">
        <f>'Mngt-Microbiology '!S2</f>
        <v>5689864.7199999997</v>
      </c>
      <c r="D68" s="145">
        <f>'Mngt-Chemistry '!S2</f>
        <v>1040842.3</v>
      </c>
      <c r="E68" s="145">
        <f>'Mngt-Senior Audit '!S2</f>
        <v>1098348.3999999999</v>
      </c>
      <c r="F68" s="162">
        <f>'Mngt-Consulting '!S2</f>
        <v>5681.25</v>
      </c>
      <c r="G68" s="145">
        <f>'Mngt-Digital Solution'!S2</f>
        <v>67256.800000000003</v>
      </c>
      <c r="H68" s="144">
        <f>SUM(C68:G68)</f>
        <v>7901993.4699999997</v>
      </c>
      <c r="I68" s="146">
        <f>H68+B68</f>
        <v>0</v>
      </c>
    </row>
    <row r="70" spans="1:15" ht="13.5" thickBot="1" x14ac:dyDescent="0.25"/>
    <row r="71" spans="1:15" x14ac:dyDescent="0.2">
      <c r="A71" s="153" t="s">
        <v>265</v>
      </c>
      <c r="B71" s="141" t="s">
        <v>293</v>
      </c>
      <c r="C71" s="142" t="s">
        <v>287</v>
      </c>
      <c r="D71" s="142" t="s">
        <v>288</v>
      </c>
      <c r="E71" s="142" t="s">
        <v>289</v>
      </c>
      <c r="F71" s="142" t="s">
        <v>290</v>
      </c>
      <c r="G71" s="142" t="s">
        <v>294</v>
      </c>
      <c r="H71" s="164" t="s">
        <v>295</v>
      </c>
      <c r="I71" s="142" t="s">
        <v>296</v>
      </c>
      <c r="J71" s="142" t="s">
        <v>297</v>
      </c>
      <c r="K71" s="142" t="s">
        <v>298</v>
      </c>
      <c r="L71" s="142" t="s">
        <v>299</v>
      </c>
      <c r="M71" s="142" t="s">
        <v>300</v>
      </c>
      <c r="N71" s="140" t="s">
        <v>272</v>
      </c>
      <c r="O71" s="143" t="s">
        <v>273</v>
      </c>
    </row>
    <row r="72" spans="1:15" x14ac:dyDescent="0.2">
      <c r="A72" s="147"/>
      <c r="B72" s="159"/>
      <c r="C72" s="159"/>
      <c r="D72" s="159"/>
      <c r="E72" s="159"/>
      <c r="F72" s="159"/>
      <c r="G72" s="159"/>
      <c r="H72" s="403"/>
      <c r="I72" s="159"/>
      <c r="J72" s="159"/>
      <c r="K72" s="159"/>
      <c r="L72" s="159"/>
      <c r="M72" s="159"/>
      <c r="N72" s="147"/>
      <c r="O72" s="160"/>
    </row>
    <row r="73" spans="1:15" s="649" customFormat="1" ht="13.5" thickBot="1" x14ac:dyDescent="0.25">
      <c r="A73" s="646" t="s">
        <v>293</v>
      </c>
      <c r="B73" s="647">
        <f>'Mngt-Payroll'!S29</f>
        <v>3756350.26</v>
      </c>
      <c r="C73" s="647">
        <f>'Mngt-Microbiology '!S10</f>
        <v>1866020.84</v>
      </c>
      <c r="D73" s="402">
        <f>'Mngt-Chemistry '!S9</f>
        <v>371835.5</v>
      </c>
      <c r="E73" s="402">
        <f>'Mngt-Senior Audit '!S9</f>
        <v>214151.28</v>
      </c>
      <c r="F73" s="402">
        <f>'Mngt-Consulting '!S9</f>
        <v>-2266.16</v>
      </c>
      <c r="G73" s="402">
        <f>'Mngt-Research &amp; Development'!S9</f>
        <v>32755.48</v>
      </c>
      <c r="H73" s="402">
        <f>'Mngt-S&amp;M '!S9</f>
        <v>292525.09000000003</v>
      </c>
      <c r="I73" s="402">
        <f>'Mngt-G&amp;A Total'!S9</f>
        <v>428131.05</v>
      </c>
      <c r="J73" s="402">
        <f>'Mngt-Quality '!S8</f>
        <v>57876.63</v>
      </c>
      <c r="K73" s="402">
        <f>'Mngt-IT'!S9</f>
        <v>35090.32</v>
      </c>
      <c r="L73" s="402">
        <f>'Mngt-Lab Admin Total'!S9</f>
        <v>304482.19</v>
      </c>
      <c r="M73" s="402">
        <f>'Mngt-Customer Care Total '!S8</f>
        <v>155748.04</v>
      </c>
      <c r="N73" s="646">
        <f>SUM(C73:I73,J73:M73)</f>
        <v>3756350.2599999988</v>
      </c>
      <c r="O73" s="648">
        <f>N73-B73</f>
        <v>0</v>
      </c>
    </row>
    <row r="77" spans="1:15" ht="13.5" thickBot="1" x14ac:dyDescent="0.25">
      <c r="A77" s="163" t="s">
        <v>300</v>
      </c>
    </row>
    <row r="78" spans="1:15" x14ac:dyDescent="0.2">
      <c r="A78" s="153" t="s">
        <v>265</v>
      </c>
      <c r="B78" s="158"/>
      <c r="C78" s="142" t="s">
        <v>272</v>
      </c>
      <c r="D78" s="164" t="s">
        <v>301</v>
      </c>
      <c r="E78" s="142" t="s">
        <v>269</v>
      </c>
      <c r="F78" s="142" t="s">
        <v>268</v>
      </c>
      <c r="G78" s="142" t="s">
        <v>271</v>
      </c>
      <c r="H78" s="142" t="s">
        <v>270</v>
      </c>
      <c r="I78" s="140" t="s">
        <v>272</v>
      </c>
      <c r="J78" s="143" t="s">
        <v>292</v>
      </c>
    </row>
    <row r="79" spans="1:15" ht="13.5" thickBot="1" x14ac:dyDescent="0.25">
      <c r="A79" s="144"/>
      <c r="B79" s="145"/>
      <c r="C79" s="145"/>
      <c r="D79" s="145"/>
      <c r="E79" s="145"/>
      <c r="F79" s="145"/>
      <c r="G79" s="145"/>
      <c r="H79" s="145"/>
      <c r="I79" s="144"/>
      <c r="J79" s="146"/>
    </row>
    <row r="80" spans="1:15" hidden="1" outlineLevel="1" x14ac:dyDescent="0.2">
      <c r="A80" s="161" t="s">
        <v>160</v>
      </c>
      <c r="B80" s="159"/>
      <c r="C80" s="159">
        <f>'Mngt-Customer Care Total '!S2</f>
        <v>117252.52</v>
      </c>
      <c r="D80" s="159">
        <f>'Mngt-Central Customer Care '!S2</f>
        <v>0</v>
      </c>
      <c r="E80" s="159">
        <f>'Mngt-Melb Customer Care '!S2</f>
        <v>36032.28</v>
      </c>
      <c r="F80" s="159">
        <f>'Mngt-Sydney Customer Care '!S2</f>
        <v>36292.21</v>
      </c>
      <c r="G80" s="159">
        <f>'Mngt-Perth Customer Care '!S2</f>
        <v>20221.04</v>
      </c>
      <c r="H80" s="159">
        <f>'Mngt-Bris Customer Care '!S2</f>
        <v>24706.99</v>
      </c>
      <c r="I80" s="147">
        <f t="shared" ref="I80:I85" si="10">SUM(D80:H80)</f>
        <v>117252.52</v>
      </c>
      <c r="J80" s="160">
        <f t="shared" ref="J80:J85" si="11">I80-C80</f>
        <v>0</v>
      </c>
    </row>
    <row r="81" spans="1:10" hidden="1" outlineLevel="1" x14ac:dyDescent="0.2">
      <c r="A81" s="161" t="s">
        <v>161</v>
      </c>
      <c r="B81" s="159"/>
      <c r="C81" s="159">
        <f>'Mngt-Customer Care Total '!S3</f>
        <v>7450.07</v>
      </c>
      <c r="D81" s="159">
        <f>'Mngt-Central Customer Care '!S3</f>
        <v>0</v>
      </c>
      <c r="E81" s="159">
        <f>'Mngt-Melb Customer Care '!S3</f>
        <v>2093.75</v>
      </c>
      <c r="F81" s="159">
        <f>'Mngt-Sydney Customer Care '!S3</f>
        <v>2469.7199999999998</v>
      </c>
      <c r="G81" s="159">
        <f>'Mngt-Perth Customer Care '!S3</f>
        <v>1409.26</v>
      </c>
      <c r="H81" s="159">
        <f>'Mngt-Bris Customer Care '!S3</f>
        <v>1477.34</v>
      </c>
      <c r="I81" s="147">
        <f t="shared" si="10"/>
        <v>7450.07</v>
      </c>
      <c r="J81" s="160">
        <f t="shared" si="11"/>
        <v>0</v>
      </c>
    </row>
    <row r="82" spans="1:10" hidden="1" outlineLevel="1" x14ac:dyDescent="0.2">
      <c r="A82" s="161" t="s">
        <v>162</v>
      </c>
      <c r="B82" s="159"/>
      <c r="C82" s="159">
        <f>'Mngt-Customer Care Total '!S4</f>
        <v>15827.66</v>
      </c>
      <c r="D82" s="159">
        <f>'Mngt-Central Customer Care '!S4</f>
        <v>0</v>
      </c>
      <c r="E82" s="159">
        <f>'Mngt-Melb Customer Care '!S4</f>
        <v>3569.06</v>
      </c>
      <c r="F82" s="159">
        <f>'Mngt-Sydney Customer Care '!S4</f>
        <v>4131.6400000000003</v>
      </c>
      <c r="G82" s="159">
        <f>'Mngt-Perth Customer Care '!S4</f>
        <v>3850.64</v>
      </c>
      <c r="H82" s="159">
        <f>'Mngt-Bris Customer Care '!S4</f>
        <v>4276.32</v>
      </c>
      <c r="I82" s="147">
        <f t="shared" si="10"/>
        <v>15827.66</v>
      </c>
      <c r="J82" s="160">
        <f t="shared" si="11"/>
        <v>0</v>
      </c>
    </row>
    <row r="83" spans="1:10" hidden="1" outlineLevel="1" x14ac:dyDescent="0.2">
      <c r="A83" s="161" t="s">
        <v>163</v>
      </c>
      <c r="B83" s="159"/>
      <c r="C83" s="159">
        <f>'Mngt-Customer Care Total '!S5</f>
        <v>0</v>
      </c>
      <c r="D83" s="159">
        <f>'Mngt-Central Customer Care '!S5</f>
        <v>0</v>
      </c>
      <c r="E83" s="159">
        <f>'Mngt-Melb Customer Care '!S5</f>
        <v>0</v>
      </c>
      <c r="F83" s="159">
        <f>'Mngt-Sydney Customer Care '!S5</f>
        <v>0</v>
      </c>
      <c r="G83" s="159">
        <f>'Mngt-Perth Customer Care '!S5</f>
        <v>0</v>
      </c>
      <c r="H83" s="159">
        <f>'Mngt-Bris Customer Care '!S5</f>
        <v>0</v>
      </c>
      <c r="I83" s="147">
        <f t="shared" si="10"/>
        <v>0</v>
      </c>
      <c r="J83" s="160">
        <f t="shared" si="11"/>
        <v>0</v>
      </c>
    </row>
    <row r="84" spans="1:10" hidden="1" outlineLevel="1" x14ac:dyDescent="0.2">
      <c r="A84" s="161" t="s">
        <v>164</v>
      </c>
      <c r="B84" s="159"/>
      <c r="C84" s="159">
        <f>'Mngt-Customer Care Total '!S6</f>
        <v>1835.86</v>
      </c>
      <c r="D84" s="159">
        <f>'Mngt-Central Customer Care '!S6</f>
        <v>0</v>
      </c>
      <c r="E84" s="159">
        <f>'Mngt-Melb Customer Care '!S6</f>
        <v>1130.6400000000001</v>
      </c>
      <c r="F84" s="159">
        <f>'Mngt-Sydney Customer Care '!S6</f>
        <v>701.8</v>
      </c>
      <c r="G84" s="159">
        <f>'Mngt-Perth Customer Care '!S6</f>
        <v>152.65</v>
      </c>
      <c r="H84" s="159">
        <f>'Mngt-Bris Customer Care '!S6</f>
        <v>-149.22999999999999</v>
      </c>
      <c r="I84" s="147">
        <f t="shared" si="10"/>
        <v>1835.8600000000001</v>
      </c>
      <c r="J84" s="160">
        <f t="shared" si="11"/>
        <v>0</v>
      </c>
    </row>
    <row r="85" spans="1:10" hidden="1" outlineLevel="1" x14ac:dyDescent="0.2">
      <c r="A85" s="161" t="s">
        <v>165</v>
      </c>
      <c r="B85" s="159"/>
      <c r="C85" s="159">
        <f>'Mngt-Customer Care Total '!S7</f>
        <v>13381.93</v>
      </c>
      <c r="D85" s="159">
        <f>'Mngt-Central Customer Care '!S7</f>
        <v>0</v>
      </c>
      <c r="E85" s="159">
        <f>'Mngt-Melb Customer Care '!S7</f>
        <v>3928.81</v>
      </c>
      <c r="F85" s="159">
        <f>'Mngt-Sydney Customer Care '!S7</f>
        <v>4401.05</v>
      </c>
      <c r="G85" s="159">
        <f>'Mngt-Perth Customer Care '!S7</f>
        <v>2329.8000000000002</v>
      </c>
      <c r="H85" s="159">
        <f>'Mngt-Bris Customer Care '!S7</f>
        <v>2722.27</v>
      </c>
      <c r="I85" s="147">
        <f t="shared" si="10"/>
        <v>13381.93</v>
      </c>
      <c r="J85" s="160">
        <f t="shared" si="11"/>
        <v>0</v>
      </c>
    </row>
    <row r="86" spans="1:10" collapsed="1" x14ac:dyDescent="0.2">
      <c r="A86" s="147" t="s">
        <v>166</v>
      </c>
      <c r="B86" s="159"/>
      <c r="C86" s="159">
        <f>'Mngt-Customer Care Total '!S8</f>
        <v>155748.04</v>
      </c>
      <c r="D86" s="773">
        <f>'Mngt-Central Customer Care '!S8</f>
        <v>0</v>
      </c>
      <c r="E86" s="773">
        <f>'Mngt-Melb Customer Care '!S8</f>
        <v>46754.54</v>
      </c>
      <c r="F86" s="773">
        <f>'Mngt-Sydney Customer Care '!S8</f>
        <v>47996.42</v>
      </c>
      <c r="G86" s="773">
        <f>'Mngt-Perth Customer Care '!S8</f>
        <v>27963.39</v>
      </c>
      <c r="H86" s="159">
        <f>'Mngt-Bris Customer Care '!S8</f>
        <v>33033.69</v>
      </c>
      <c r="I86" s="147">
        <f>SUM(D86:H86)</f>
        <v>155748.03999999998</v>
      </c>
      <c r="J86" s="160">
        <f>I86-C86</f>
        <v>0</v>
      </c>
    </row>
    <row r="87" spans="1:10" x14ac:dyDescent="0.2">
      <c r="A87" s="147" t="s">
        <v>167</v>
      </c>
      <c r="B87" s="159"/>
      <c r="C87" s="159">
        <f>'Mngt-Customer Care Total '!S9</f>
        <v>0</v>
      </c>
      <c r="D87" s="159">
        <f>'Mngt-Central Customer Care '!S9</f>
        <v>0</v>
      </c>
      <c r="E87" s="159">
        <f>'Mngt-Melb Customer Care '!S9</f>
        <v>0</v>
      </c>
      <c r="F87" s="159">
        <f>'Mngt-Sydney Customer Care '!S9</f>
        <v>0</v>
      </c>
      <c r="G87" s="159">
        <f>'Mngt-Perth Customer Care '!S9</f>
        <v>0</v>
      </c>
      <c r="H87" s="159">
        <f>'Mngt-Bris Customer Care '!S9</f>
        <v>0</v>
      </c>
      <c r="I87" s="147">
        <f t="shared" ref="I87:I137" si="12">SUM(D87:H87)</f>
        <v>0</v>
      </c>
      <c r="J87" s="160">
        <f t="shared" ref="J87:J137" si="13">I87-C87</f>
        <v>0</v>
      </c>
    </row>
    <row r="88" spans="1:10" x14ac:dyDescent="0.2">
      <c r="A88" s="147" t="s">
        <v>168</v>
      </c>
      <c r="B88" s="159"/>
      <c r="C88" s="159">
        <f>'Mngt-Customer Care Total '!S10</f>
        <v>0</v>
      </c>
      <c r="D88" s="159">
        <f>'Mngt-Central Customer Care '!S10</f>
        <v>0</v>
      </c>
      <c r="E88" s="159">
        <f>'Mngt-Melb Customer Care '!S10</f>
        <v>0</v>
      </c>
      <c r="F88" s="159">
        <f>'Mngt-Sydney Customer Care '!S10</f>
        <v>0</v>
      </c>
      <c r="G88" s="159">
        <f>'Mngt-Perth Customer Care '!S10</f>
        <v>0</v>
      </c>
      <c r="H88" s="159">
        <f>'Mngt-Bris Customer Care '!S10</f>
        <v>0</v>
      </c>
      <c r="I88" s="147">
        <f t="shared" si="12"/>
        <v>0</v>
      </c>
      <c r="J88" s="160">
        <f t="shared" si="13"/>
        <v>0</v>
      </c>
    </row>
    <row r="89" spans="1:10" x14ac:dyDescent="0.2">
      <c r="A89" s="147" t="s">
        <v>169</v>
      </c>
      <c r="B89" s="159"/>
      <c r="C89" s="159">
        <f>'Mngt-Customer Care Total '!S11</f>
        <v>0</v>
      </c>
      <c r="D89" s="159">
        <f>'Mngt-Central Customer Care '!S11</f>
        <v>0</v>
      </c>
      <c r="E89" s="159">
        <f>'Mngt-Melb Customer Care '!BS11</f>
        <v>0</v>
      </c>
      <c r="F89" s="159">
        <f>'Mngt-Sydney Customer Care '!S11</f>
        <v>0</v>
      </c>
      <c r="G89" s="159">
        <f>'Mngt-Perth Customer Care '!S11</f>
        <v>0</v>
      </c>
      <c r="H89" s="159">
        <f>'Mngt-Bris Customer Care '!S11</f>
        <v>0</v>
      </c>
      <c r="I89" s="147">
        <f t="shared" si="12"/>
        <v>0</v>
      </c>
      <c r="J89" s="160">
        <f t="shared" si="13"/>
        <v>0</v>
      </c>
    </row>
    <row r="90" spans="1:10" x14ac:dyDescent="0.2">
      <c r="A90" s="147" t="s">
        <v>50</v>
      </c>
      <c r="B90" s="159"/>
      <c r="C90" s="159">
        <f>'Mngt-Customer Care Total '!S12</f>
        <v>0</v>
      </c>
      <c r="D90" s="159">
        <f>'Mngt-Central Customer Care '!S12</f>
        <v>0</v>
      </c>
      <c r="E90" s="159">
        <f>'Mngt-Melb Customer Care '!S12</f>
        <v>0</v>
      </c>
      <c r="F90" s="159">
        <f>'Mngt-Sydney Customer Care '!S12</f>
        <v>0</v>
      </c>
      <c r="G90" s="159">
        <f>'Mngt-Perth Customer Care '!S12</f>
        <v>0</v>
      </c>
      <c r="H90" s="159">
        <f>'Mngt-Bris Customer Care '!S12</f>
        <v>0</v>
      </c>
      <c r="I90" s="147">
        <f t="shared" si="12"/>
        <v>0</v>
      </c>
      <c r="J90" s="160">
        <f t="shared" si="13"/>
        <v>0</v>
      </c>
    </row>
    <row r="91" spans="1:10" x14ac:dyDescent="0.2">
      <c r="A91" s="147" t="s">
        <v>170</v>
      </c>
      <c r="B91" s="159"/>
      <c r="C91" s="159">
        <f>'Mngt-Customer Care Total '!S13</f>
        <v>0</v>
      </c>
      <c r="D91" s="159">
        <f>'Mngt-Central Customer Care '!S13</f>
        <v>0</v>
      </c>
      <c r="E91" s="159">
        <f>'Mngt-Melb Customer Care '!S13</f>
        <v>0</v>
      </c>
      <c r="F91" s="159">
        <f>'Mngt-Sydney Customer Care '!S13</f>
        <v>0</v>
      </c>
      <c r="G91" s="159">
        <f>'Mngt-Perth Customer Care '!S13</f>
        <v>0</v>
      </c>
      <c r="H91" s="159">
        <f>'Mngt-Bris Customer Care '!S13</f>
        <v>0</v>
      </c>
      <c r="I91" s="147">
        <f t="shared" si="12"/>
        <v>0</v>
      </c>
      <c r="J91" s="160">
        <f t="shared" si="13"/>
        <v>0</v>
      </c>
    </row>
    <row r="92" spans="1:10" x14ac:dyDescent="0.2">
      <c r="A92" s="147" t="s">
        <v>171</v>
      </c>
      <c r="B92" s="159"/>
      <c r="C92" s="159">
        <f>'Mngt-Customer Care Total '!S14</f>
        <v>0</v>
      </c>
      <c r="D92" s="159">
        <f>'Mngt-Central Customer Care '!S14</f>
        <v>0</v>
      </c>
      <c r="E92" s="159">
        <f>'Mngt-Melb Customer Care '!S14</f>
        <v>0</v>
      </c>
      <c r="F92" s="159">
        <f>'Mngt-Sydney Customer Care '!S14</f>
        <v>0</v>
      </c>
      <c r="G92" s="159">
        <f>'Mngt-Perth Customer Care '!S14</f>
        <v>0</v>
      </c>
      <c r="H92" s="159">
        <f>'Mngt-Bris Customer Care '!S14</f>
        <v>0</v>
      </c>
      <c r="I92" s="147">
        <f t="shared" si="12"/>
        <v>0</v>
      </c>
      <c r="J92" s="160">
        <f t="shared" si="13"/>
        <v>0</v>
      </c>
    </row>
    <row r="93" spans="1:10" x14ac:dyDescent="0.2">
      <c r="A93" s="147" t="s">
        <v>172</v>
      </c>
      <c r="B93" s="159"/>
      <c r="C93" s="159">
        <f>'Mngt-Customer Care Total '!S15</f>
        <v>0</v>
      </c>
      <c r="D93" s="159">
        <f>'Mngt-Central Customer Care '!S15</f>
        <v>0</v>
      </c>
      <c r="E93" s="159">
        <f>'Mngt-Melb Customer Care '!S15</f>
        <v>0</v>
      </c>
      <c r="F93" s="159">
        <f>'Mngt-Sydney Customer Care '!S15</f>
        <v>0</v>
      </c>
      <c r="G93" s="159">
        <f>'Mngt-Perth Customer Care '!S15</f>
        <v>0</v>
      </c>
      <c r="H93" s="159">
        <f>'Mngt-Bris Customer Care '!S15</f>
        <v>0</v>
      </c>
      <c r="I93" s="147">
        <f t="shared" si="12"/>
        <v>0</v>
      </c>
      <c r="J93" s="160">
        <f t="shared" si="13"/>
        <v>0</v>
      </c>
    </row>
    <row r="94" spans="1:10" x14ac:dyDescent="0.2">
      <c r="A94" s="147" t="s">
        <v>173</v>
      </c>
      <c r="B94" s="159"/>
      <c r="C94" s="159">
        <f>'Mngt-Customer Care Total '!S16</f>
        <v>185.03</v>
      </c>
      <c r="D94" s="159">
        <f>'Mngt-Central Customer Care '!S16</f>
        <v>0</v>
      </c>
      <c r="E94" s="159">
        <f>'Mngt-Melb Customer Care '!S16</f>
        <v>185.03</v>
      </c>
      <c r="F94" s="159">
        <f>'Mngt-Sydney Customer Care '!S16</f>
        <v>0</v>
      </c>
      <c r="G94" s="159">
        <f>'Mngt-Perth Customer Care '!S16</f>
        <v>0</v>
      </c>
      <c r="H94" s="159">
        <f>'Mngt-Bris Customer Care '!S16</f>
        <v>0</v>
      </c>
      <c r="I94" s="147">
        <f t="shared" si="12"/>
        <v>185.03</v>
      </c>
      <c r="J94" s="160">
        <f t="shared" si="13"/>
        <v>0</v>
      </c>
    </row>
    <row r="95" spans="1:10" x14ac:dyDescent="0.2">
      <c r="A95" s="147" t="s">
        <v>257</v>
      </c>
      <c r="B95" s="159"/>
      <c r="C95" s="159">
        <f>'Mngt-Customer Care Total '!S17</f>
        <v>10239.64</v>
      </c>
      <c r="D95" s="159">
        <f>'Mngt-Central Customer Care '!S17</f>
        <v>0</v>
      </c>
      <c r="E95" s="159">
        <f>'Mngt-Melb Customer Care '!S17</f>
        <v>3413.22</v>
      </c>
      <c r="F95" s="159">
        <f>'Mngt-Sydney Customer Care '!S17</f>
        <v>3413.22</v>
      </c>
      <c r="G95" s="159">
        <f>'Mngt-Perth Customer Care '!S17</f>
        <v>1706.6</v>
      </c>
      <c r="H95" s="159">
        <f>'Mngt-Bris Customer Care '!S17</f>
        <v>1706.6</v>
      </c>
      <c r="I95" s="147">
        <f t="shared" si="12"/>
        <v>10239.64</v>
      </c>
      <c r="J95" s="160">
        <f t="shared" si="13"/>
        <v>0</v>
      </c>
    </row>
    <row r="96" spans="1:10" x14ac:dyDescent="0.2">
      <c r="A96" s="147" t="s">
        <v>70</v>
      </c>
      <c r="B96" s="159"/>
      <c r="C96" s="159">
        <f>'Mngt-Customer Care Total '!S21</f>
        <v>416</v>
      </c>
      <c r="D96" s="159">
        <f>'Mngt-Central Customer Care '!S20</f>
        <v>0</v>
      </c>
      <c r="E96" s="159">
        <f>'Mngt-Melb Customer Care '!S21</f>
        <v>140</v>
      </c>
      <c r="F96" s="159">
        <f>'Mngt-Sydney Customer Care '!S21</f>
        <v>140</v>
      </c>
      <c r="G96" s="159">
        <f>'Mngt-Perth Customer Care '!S21</f>
        <v>68</v>
      </c>
      <c r="H96" s="159">
        <f>'Mngt-Bris Customer Care '!S21</f>
        <v>68</v>
      </c>
      <c r="I96" s="147">
        <f t="shared" si="12"/>
        <v>416</v>
      </c>
      <c r="J96" s="160">
        <f t="shared" si="13"/>
        <v>0</v>
      </c>
    </row>
    <row r="97" spans="1:10" hidden="1" outlineLevel="1" x14ac:dyDescent="0.2">
      <c r="A97" s="148" t="s">
        <v>174</v>
      </c>
      <c r="B97" s="159"/>
      <c r="C97" s="159">
        <f>'Mngt-Customer Care Total '!B22</f>
        <v>0</v>
      </c>
      <c r="D97" s="159"/>
      <c r="E97" s="159">
        <f>'Mngt-Melb Customer Care '!B19</f>
        <v>35</v>
      </c>
      <c r="F97" s="159"/>
      <c r="G97" s="159">
        <f>'Mngt-Perth Customer Care '!S22</f>
        <v>0</v>
      </c>
      <c r="H97" s="159">
        <f>'Mngt-Bris Customer Care '!S22</f>
        <v>0</v>
      </c>
      <c r="I97" s="147">
        <f>SUM(D97:H97)</f>
        <v>35</v>
      </c>
      <c r="J97" s="160">
        <f>I97-C97</f>
        <v>35</v>
      </c>
    </row>
    <row r="98" spans="1:10" hidden="1" outlineLevel="1" x14ac:dyDescent="0.2">
      <c r="A98" s="148" t="s">
        <v>99</v>
      </c>
      <c r="B98" s="159"/>
      <c r="C98" s="159">
        <f>'Mngt-Customer Care Total '!B23</f>
        <v>1168.58</v>
      </c>
      <c r="D98" s="159"/>
      <c r="E98" s="159">
        <f>'Mngt-Melb Customer Care '!B20</f>
        <v>0</v>
      </c>
      <c r="F98" s="159">
        <f>'Mngt-Sydney Customer Care '!S23</f>
        <v>3109.06</v>
      </c>
      <c r="G98" s="159">
        <f>'Mngt-Perth Customer Care '!S23</f>
        <v>838.36</v>
      </c>
      <c r="H98" s="159">
        <f>'Mngt-Bris Customer Care '!S23</f>
        <v>1014.49</v>
      </c>
      <c r="I98" s="147">
        <f t="shared" si="12"/>
        <v>4961.91</v>
      </c>
      <c r="J98" s="160">
        <f t="shared" si="13"/>
        <v>3793.33</v>
      </c>
    </row>
    <row r="99" spans="1:10" hidden="1" outlineLevel="1" x14ac:dyDescent="0.2">
      <c r="A99" s="148" t="s">
        <v>175</v>
      </c>
      <c r="B99" s="159"/>
      <c r="C99" s="159">
        <f>'Mngt-Customer Care Total '!B24</f>
        <v>27.83</v>
      </c>
      <c r="D99" s="159"/>
      <c r="E99" s="159">
        <f>'Mngt-Melb Customer Care '!B21</f>
        <v>35</v>
      </c>
      <c r="F99" s="159">
        <f>'Mngt-Sydney Customer Care '!S24</f>
        <v>0</v>
      </c>
      <c r="G99" s="159">
        <f>'Mngt-Perth Customer Care '!S24</f>
        <v>2.4300000000000002</v>
      </c>
      <c r="H99" s="159">
        <f>'Mngt-Bris Customer Care '!S24</f>
        <v>0</v>
      </c>
      <c r="I99" s="147">
        <f t="shared" si="12"/>
        <v>37.43</v>
      </c>
      <c r="J99" s="160">
        <f t="shared" si="13"/>
        <v>9.6000000000000014</v>
      </c>
    </row>
    <row r="100" spans="1:10" hidden="1" outlineLevel="1" x14ac:dyDescent="0.2">
      <c r="A100" s="148" t="s">
        <v>100</v>
      </c>
      <c r="B100" s="159"/>
      <c r="C100" s="159">
        <f>'Mngt-Customer Care Total '!B25</f>
        <v>271.54000000000002</v>
      </c>
      <c r="D100" s="159"/>
      <c r="E100" s="159">
        <f>'Mngt-Melb Customer Care '!B22</f>
        <v>0</v>
      </c>
      <c r="F100" s="159">
        <f>'Mngt-Sydney Customer Care '!S25</f>
        <v>2344.87</v>
      </c>
      <c r="G100" s="159">
        <f>'Mngt-Perth Customer Care '!S25</f>
        <v>0</v>
      </c>
      <c r="H100" s="159">
        <f>'Mngt-Bris Customer Care '!S25</f>
        <v>0</v>
      </c>
      <c r="I100" s="147">
        <f t="shared" si="12"/>
        <v>2344.87</v>
      </c>
      <c r="J100" s="160">
        <f t="shared" si="13"/>
        <v>2073.33</v>
      </c>
    </row>
    <row r="101" spans="1:10" hidden="1" outlineLevel="1" x14ac:dyDescent="0.2">
      <c r="A101" s="148" t="s">
        <v>101</v>
      </c>
      <c r="B101" s="159"/>
      <c r="C101" s="159">
        <f>'Mngt-Customer Care Total '!B26</f>
        <v>0</v>
      </c>
      <c r="D101" s="159"/>
      <c r="E101" s="159">
        <f>'Mngt-Melb Customer Care '!B23</f>
        <v>0</v>
      </c>
      <c r="F101" s="159">
        <f>'Mngt-Sydney Customer Care '!S26</f>
        <v>0</v>
      </c>
      <c r="G101" s="159">
        <f>'Mngt-Perth Customer Care '!S26</f>
        <v>0</v>
      </c>
      <c r="H101" s="159">
        <f>'Mngt-Bris Customer Care '!S26</f>
        <v>0</v>
      </c>
      <c r="I101" s="147">
        <f t="shared" si="12"/>
        <v>0</v>
      </c>
      <c r="J101" s="160">
        <f t="shared" si="13"/>
        <v>0</v>
      </c>
    </row>
    <row r="102" spans="1:10" hidden="1" outlineLevel="1" x14ac:dyDescent="0.2">
      <c r="A102" s="148" t="s">
        <v>176</v>
      </c>
      <c r="B102" s="159"/>
      <c r="C102" s="159">
        <f>'Mngt-Customer Care Total '!B27</f>
        <v>0</v>
      </c>
      <c r="D102" s="159"/>
      <c r="E102" s="159">
        <f>'Mngt-Melb Customer Care '!B24</f>
        <v>27.83</v>
      </c>
      <c r="F102" s="159">
        <f>'Mngt-Sydney Customer Care '!S27</f>
        <v>0</v>
      </c>
      <c r="G102" s="159">
        <f>'Mngt-Perth Customer Care '!S27</f>
        <v>0</v>
      </c>
      <c r="H102" s="159">
        <f>'Mngt-Bris Customer Care '!S27</f>
        <v>0</v>
      </c>
      <c r="I102" s="147">
        <f t="shared" si="12"/>
        <v>27.83</v>
      </c>
      <c r="J102" s="160">
        <f t="shared" si="13"/>
        <v>27.83</v>
      </c>
    </row>
    <row r="103" spans="1:10" hidden="1" outlineLevel="1" x14ac:dyDescent="0.2">
      <c r="A103" s="148" t="s">
        <v>102</v>
      </c>
      <c r="B103" s="159"/>
      <c r="C103" s="159">
        <f>'Mngt-Customer Care Total '!B28</f>
        <v>471.06</v>
      </c>
      <c r="D103" s="159"/>
      <c r="E103" s="159">
        <f>'Mngt-Melb Customer Care '!B25</f>
        <v>0</v>
      </c>
      <c r="F103" s="159">
        <f>'Mngt-Sydney Customer Care '!S28</f>
        <v>1126.24</v>
      </c>
      <c r="G103" s="159">
        <f>'Mngt-Perth Customer Care '!S28</f>
        <v>226</v>
      </c>
      <c r="H103" s="159">
        <f>'Mngt-Bris Customer Care '!S28</f>
        <v>499.86</v>
      </c>
      <c r="I103" s="147">
        <f t="shared" si="12"/>
        <v>1852.1</v>
      </c>
      <c r="J103" s="160">
        <f t="shared" si="13"/>
        <v>1381.04</v>
      </c>
    </row>
    <row r="104" spans="1:10" hidden="1" outlineLevel="1" x14ac:dyDescent="0.2">
      <c r="A104" s="148" t="s">
        <v>75</v>
      </c>
      <c r="B104" s="159"/>
      <c r="C104" s="159">
        <f>'Mngt-Customer Care Total '!B29</f>
        <v>106.36</v>
      </c>
      <c r="D104" s="159"/>
      <c r="E104" s="159">
        <f>'Mngt-Melb Customer Care '!B26</f>
        <v>0</v>
      </c>
      <c r="F104" s="159">
        <f>'Mngt-Sydney Customer Care '!S29</f>
        <v>0</v>
      </c>
      <c r="G104" s="159">
        <f>'Mngt-Perth Customer Care '!S29</f>
        <v>0</v>
      </c>
      <c r="H104" s="159">
        <f>'Mngt-Bris Customer Care '!S29</f>
        <v>137.54</v>
      </c>
      <c r="I104" s="147">
        <f t="shared" si="12"/>
        <v>137.54</v>
      </c>
      <c r="J104" s="160">
        <f t="shared" si="13"/>
        <v>31.179999999999993</v>
      </c>
    </row>
    <row r="105" spans="1:10" hidden="1" outlineLevel="1" x14ac:dyDescent="0.2">
      <c r="A105" s="148" t="s">
        <v>76</v>
      </c>
      <c r="B105" s="159"/>
      <c r="C105" s="159">
        <f>'Mngt-Customer Care Total '!B30</f>
        <v>9.1</v>
      </c>
      <c r="D105" s="159"/>
      <c r="E105" s="159">
        <f>'Mngt-Melb Customer Care '!B27</f>
        <v>0</v>
      </c>
      <c r="F105" s="159">
        <f>'Mngt-Sydney Customer Care '!S30</f>
        <v>641.35</v>
      </c>
      <c r="G105" s="159">
        <f>'Mngt-Perth Customer Care '!S30</f>
        <v>311.14</v>
      </c>
      <c r="H105" s="159">
        <f>'Mngt-Bris Customer Care '!S30</f>
        <v>0</v>
      </c>
      <c r="I105" s="147">
        <f t="shared" si="12"/>
        <v>952.49</v>
      </c>
      <c r="J105" s="160">
        <f t="shared" si="13"/>
        <v>943.39</v>
      </c>
    </row>
    <row r="106" spans="1:10" hidden="1" outlineLevel="1" x14ac:dyDescent="0.2">
      <c r="A106" s="148" t="s">
        <v>77</v>
      </c>
      <c r="B106" s="159"/>
      <c r="C106" s="159">
        <f>'Mngt-Customer Care Total '!B31</f>
        <v>113.71</v>
      </c>
      <c r="D106" s="159"/>
      <c r="E106" s="159">
        <f>'Mngt-Melb Customer Care '!B28</f>
        <v>0</v>
      </c>
      <c r="F106" s="159">
        <f>'Mngt-Sydney Customer Care '!S31</f>
        <v>0</v>
      </c>
      <c r="G106" s="159">
        <f>'Mngt-Perth Customer Care '!S31</f>
        <v>0</v>
      </c>
      <c r="H106" s="159">
        <f>'Mngt-Bris Customer Care '!S31</f>
        <v>134.84</v>
      </c>
      <c r="I106" s="147">
        <f t="shared" si="12"/>
        <v>134.84</v>
      </c>
      <c r="J106" s="160">
        <f t="shared" si="13"/>
        <v>21.13000000000001</v>
      </c>
    </row>
    <row r="107" spans="1:10" collapsed="1" x14ac:dyDescent="0.2">
      <c r="A107" s="147" t="s">
        <v>177</v>
      </c>
      <c r="B107" s="159"/>
      <c r="C107" s="159">
        <f>'Mngt-Customer Care Total '!S32</f>
        <v>11110.58</v>
      </c>
      <c r="D107" s="159">
        <f>'Mngt-Central Customer Care '!S31</f>
        <v>0</v>
      </c>
      <c r="E107" s="159">
        <f>'Mngt-Melb Customer Care '!S32</f>
        <v>724.4</v>
      </c>
      <c r="F107" s="159">
        <f>'Mngt-Sydney Customer Care '!S32</f>
        <v>7221.52</v>
      </c>
      <c r="G107" s="159">
        <f>'Mngt-Perth Customer Care '!S32</f>
        <v>1377.93</v>
      </c>
      <c r="H107" s="159">
        <f>'Mngt-Bris Customer Care '!S32</f>
        <v>1786.73</v>
      </c>
      <c r="I107" s="147">
        <f>SUM(D107:H107)</f>
        <v>11110.58</v>
      </c>
      <c r="J107" s="160">
        <f t="shared" si="13"/>
        <v>0</v>
      </c>
    </row>
    <row r="108" spans="1:10" hidden="1" outlineLevel="1" x14ac:dyDescent="0.2">
      <c r="A108" s="148" t="s">
        <v>178</v>
      </c>
      <c r="B108" s="159"/>
      <c r="C108" s="159"/>
      <c r="D108" s="159"/>
      <c r="E108" s="159"/>
      <c r="F108" s="159"/>
      <c r="G108" s="159"/>
      <c r="H108" s="159"/>
      <c r="I108" s="147">
        <f t="shared" si="12"/>
        <v>0</v>
      </c>
      <c r="J108" s="160">
        <f t="shared" si="13"/>
        <v>0</v>
      </c>
    </row>
    <row r="109" spans="1:10" hidden="1" outlineLevel="1" x14ac:dyDescent="0.2">
      <c r="A109" s="148" t="s">
        <v>179</v>
      </c>
      <c r="B109" s="159"/>
      <c r="C109" s="159"/>
      <c r="D109" s="159"/>
      <c r="E109" s="159"/>
      <c r="F109" s="159"/>
      <c r="G109" s="159"/>
      <c r="H109" s="159"/>
      <c r="I109" s="147">
        <f t="shared" si="12"/>
        <v>0</v>
      </c>
      <c r="J109" s="160">
        <f t="shared" si="13"/>
        <v>0</v>
      </c>
    </row>
    <row r="110" spans="1:10" hidden="1" outlineLevel="1" x14ac:dyDescent="0.2">
      <c r="A110" s="148" t="s">
        <v>180</v>
      </c>
      <c r="B110" s="159"/>
      <c r="C110" s="159"/>
      <c r="D110" s="159"/>
      <c r="E110" s="159"/>
      <c r="F110" s="159"/>
      <c r="G110" s="159"/>
      <c r="H110" s="159"/>
      <c r="I110" s="147">
        <f t="shared" si="12"/>
        <v>0</v>
      </c>
      <c r="J110" s="160">
        <f t="shared" si="13"/>
        <v>0</v>
      </c>
    </row>
    <row r="111" spans="1:10" hidden="1" outlineLevel="1" x14ac:dyDescent="0.2">
      <c r="A111" s="148" t="s">
        <v>181</v>
      </c>
      <c r="B111" s="159"/>
      <c r="C111" s="159"/>
      <c r="D111" s="159"/>
      <c r="E111" s="159"/>
      <c r="F111" s="159"/>
      <c r="G111" s="159"/>
      <c r="H111" s="159"/>
      <c r="I111" s="147">
        <f t="shared" si="12"/>
        <v>0</v>
      </c>
      <c r="J111" s="160">
        <f t="shared" si="13"/>
        <v>0</v>
      </c>
    </row>
    <row r="112" spans="1:10" hidden="1" outlineLevel="1" x14ac:dyDescent="0.2">
      <c r="A112" s="148" t="s">
        <v>182</v>
      </c>
      <c r="B112" s="159"/>
      <c r="C112" s="159"/>
      <c r="D112" s="159"/>
      <c r="E112" s="159"/>
      <c r="F112" s="159"/>
      <c r="G112" s="159"/>
      <c r="H112" s="159"/>
      <c r="I112" s="147">
        <f t="shared" si="12"/>
        <v>0</v>
      </c>
      <c r="J112" s="160">
        <f t="shared" si="13"/>
        <v>0</v>
      </c>
    </row>
    <row r="113" spans="1:10" hidden="1" outlineLevel="1" x14ac:dyDescent="0.2">
      <c r="A113" s="148" t="s">
        <v>183</v>
      </c>
      <c r="B113" s="159"/>
      <c r="C113" s="159"/>
      <c r="D113" s="159"/>
      <c r="E113" s="159"/>
      <c r="F113" s="159"/>
      <c r="G113" s="159"/>
      <c r="H113" s="159"/>
      <c r="I113" s="147">
        <f t="shared" si="12"/>
        <v>0</v>
      </c>
      <c r="J113" s="160">
        <f t="shared" si="13"/>
        <v>0</v>
      </c>
    </row>
    <row r="114" spans="1:10" hidden="1" outlineLevel="1" x14ac:dyDescent="0.2">
      <c r="A114" s="148" t="s">
        <v>184</v>
      </c>
      <c r="B114" s="159"/>
      <c r="C114" s="159"/>
      <c r="D114" s="159"/>
      <c r="E114" s="159"/>
      <c r="F114" s="159"/>
      <c r="G114" s="159"/>
      <c r="H114" s="159"/>
      <c r="I114" s="147">
        <f t="shared" si="12"/>
        <v>0</v>
      </c>
      <c r="J114" s="160">
        <f t="shared" si="13"/>
        <v>0</v>
      </c>
    </row>
    <row r="115" spans="1:10" hidden="1" outlineLevel="1" x14ac:dyDescent="0.2">
      <c r="A115" s="148" t="s">
        <v>185</v>
      </c>
      <c r="B115" s="159"/>
      <c r="C115" s="159"/>
      <c r="D115" s="159"/>
      <c r="E115" s="159"/>
      <c r="F115" s="159"/>
      <c r="G115" s="159"/>
      <c r="H115" s="159"/>
      <c r="I115" s="147">
        <f t="shared" si="12"/>
        <v>0</v>
      </c>
      <c r="J115" s="160">
        <f t="shared" si="13"/>
        <v>0</v>
      </c>
    </row>
    <row r="116" spans="1:10" hidden="1" outlineLevel="1" x14ac:dyDescent="0.2">
      <c r="A116" s="148" t="s">
        <v>186</v>
      </c>
      <c r="B116" s="159"/>
      <c r="C116" s="159"/>
      <c r="D116" s="159"/>
      <c r="E116" s="159"/>
      <c r="F116" s="159"/>
      <c r="G116" s="159"/>
      <c r="H116" s="159"/>
      <c r="I116" s="147">
        <f t="shared" si="12"/>
        <v>0</v>
      </c>
      <c r="J116" s="160">
        <f t="shared" si="13"/>
        <v>0</v>
      </c>
    </row>
    <row r="117" spans="1:10" hidden="1" outlineLevel="1" x14ac:dyDescent="0.2">
      <c r="A117" s="148" t="s">
        <v>187</v>
      </c>
      <c r="B117" s="159"/>
      <c r="C117" s="159"/>
      <c r="D117" s="159"/>
      <c r="E117" s="159"/>
      <c r="F117" s="159"/>
      <c r="G117" s="159"/>
      <c r="H117" s="159"/>
      <c r="I117" s="147">
        <f t="shared" si="12"/>
        <v>0</v>
      </c>
      <c r="J117" s="160">
        <f t="shared" si="13"/>
        <v>0</v>
      </c>
    </row>
    <row r="118" spans="1:10" hidden="1" outlineLevel="1" x14ac:dyDescent="0.2">
      <c r="A118" s="148" t="s">
        <v>188</v>
      </c>
      <c r="B118" s="159"/>
      <c r="C118" s="159"/>
      <c r="D118" s="159"/>
      <c r="E118" s="159"/>
      <c r="F118" s="159"/>
      <c r="G118" s="159"/>
      <c r="H118" s="159"/>
      <c r="I118" s="147">
        <f t="shared" si="12"/>
        <v>0</v>
      </c>
      <c r="J118" s="160">
        <f t="shared" si="13"/>
        <v>0</v>
      </c>
    </row>
    <row r="119" spans="1:10" hidden="1" outlineLevel="1" x14ac:dyDescent="0.2">
      <c r="A119" s="148" t="s">
        <v>189</v>
      </c>
      <c r="B119" s="159"/>
      <c r="C119" s="159"/>
      <c r="D119" s="159"/>
      <c r="E119" s="159"/>
      <c r="F119" s="159"/>
      <c r="G119" s="159"/>
      <c r="H119" s="159"/>
      <c r="I119" s="147">
        <f t="shared" si="12"/>
        <v>0</v>
      </c>
      <c r="J119" s="160">
        <f t="shared" si="13"/>
        <v>0</v>
      </c>
    </row>
    <row r="120" spans="1:10" hidden="1" outlineLevel="1" x14ac:dyDescent="0.2">
      <c r="A120" s="148" t="s">
        <v>190</v>
      </c>
      <c r="B120" s="159"/>
      <c r="C120" s="159"/>
      <c r="D120" s="159"/>
      <c r="E120" s="159"/>
      <c r="F120" s="159"/>
      <c r="G120" s="159"/>
      <c r="H120" s="159"/>
      <c r="I120" s="147">
        <f t="shared" si="12"/>
        <v>0</v>
      </c>
      <c r="J120" s="160">
        <f t="shared" si="13"/>
        <v>0</v>
      </c>
    </row>
    <row r="121" spans="1:10" hidden="1" outlineLevel="1" x14ac:dyDescent="0.2">
      <c r="A121" s="148" t="s">
        <v>191</v>
      </c>
      <c r="B121" s="159"/>
      <c r="C121" s="159"/>
      <c r="D121" s="159"/>
      <c r="E121" s="159"/>
      <c r="F121" s="159"/>
      <c r="G121" s="159"/>
      <c r="H121" s="159"/>
      <c r="I121" s="147">
        <f t="shared" si="12"/>
        <v>0</v>
      </c>
      <c r="J121" s="160">
        <f t="shared" si="13"/>
        <v>0</v>
      </c>
    </row>
    <row r="122" spans="1:10" collapsed="1" x14ac:dyDescent="0.2">
      <c r="A122" s="147" t="s">
        <v>192</v>
      </c>
      <c r="B122" s="159"/>
      <c r="C122" s="159">
        <f>'Mngt-Customer Care Total '!S47</f>
        <v>765.57</v>
      </c>
      <c r="D122" s="159">
        <f>'Mngt-Central Customer Care '!S46</f>
        <v>0</v>
      </c>
      <c r="E122" s="159">
        <f>'Mngt-Melb Customer Care '!S47</f>
        <v>-254.23</v>
      </c>
      <c r="F122" s="159">
        <f>'Mngt-Sydney Customer Care '!S47</f>
        <v>0</v>
      </c>
      <c r="G122" s="159">
        <f>'Mngt-Perth Customer Care '!S47</f>
        <v>145.44</v>
      </c>
      <c r="H122" s="159">
        <f>'Mngt-Bris Customer Care '!S47</f>
        <v>874.36</v>
      </c>
      <c r="I122" s="147">
        <f t="shared" si="12"/>
        <v>765.57</v>
      </c>
      <c r="J122" s="160">
        <f t="shared" si="13"/>
        <v>0</v>
      </c>
    </row>
    <row r="123" spans="1:10" hidden="1" outlineLevel="1" x14ac:dyDescent="0.2">
      <c r="A123" s="148" t="s">
        <v>193</v>
      </c>
      <c r="B123" s="159"/>
      <c r="C123" s="159"/>
      <c r="D123" s="159"/>
      <c r="E123" s="159"/>
      <c r="F123" s="159"/>
      <c r="G123" s="159"/>
      <c r="H123" s="159"/>
      <c r="I123" s="147">
        <f t="shared" si="12"/>
        <v>0</v>
      </c>
      <c r="J123" s="160">
        <f t="shared" si="13"/>
        <v>0</v>
      </c>
    </row>
    <row r="124" spans="1:10" hidden="1" outlineLevel="1" x14ac:dyDescent="0.2">
      <c r="A124" s="148" t="s">
        <v>194</v>
      </c>
      <c r="B124" s="159"/>
      <c r="C124" s="159"/>
      <c r="D124" s="159"/>
      <c r="E124" s="159"/>
      <c r="F124" s="159"/>
      <c r="G124" s="159"/>
      <c r="H124" s="159"/>
      <c r="I124" s="147">
        <f t="shared" si="12"/>
        <v>0</v>
      </c>
      <c r="J124" s="160">
        <f t="shared" si="13"/>
        <v>0</v>
      </c>
    </row>
    <row r="125" spans="1:10" hidden="1" outlineLevel="1" x14ac:dyDescent="0.2">
      <c r="A125" s="148" t="s">
        <v>82</v>
      </c>
      <c r="B125" s="159"/>
      <c r="C125" s="159"/>
      <c r="D125" s="159"/>
      <c r="E125" s="159"/>
      <c r="F125" s="159"/>
      <c r="G125" s="159"/>
      <c r="H125" s="159"/>
      <c r="I125" s="147">
        <f t="shared" si="12"/>
        <v>0</v>
      </c>
      <c r="J125" s="160">
        <f t="shared" si="13"/>
        <v>0</v>
      </c>
    </row>
    <row r="126" spans="1:10" hidden="1" outlineLevel="1" x14ac:dyDescent="0.2">
      <c r="A126" s="148" t="s">
        <v>83</v>
      </c>
      <c r="B126" s="159"/>
      <c r="C126" s="159"/>
      <c r="D126" s="159"/>
      <c r="E126" s="159"/>
      <c r="F126" s="159"/>
      <c r="G126" s="159"/>
      <c r="H126" s="159"/>
      <c r="I126" s="147">
        <f t="shared" si="12"/>
        <v>0</v>
      </c>
      <c r="J126" s="160">
        <f t="shared" si="13"/>
        <v>0</v>
      </c>
    </row>
    <row r="127" spans="1:10" hidden="1" outlineLevel="1" x14ac:dyDescent="0.2">
      <c r="A127" s="148" t="s">
        <v>84</v>
      </c>
      <c r="B127" s="159"/>
      <c r="C127" s="159"/>
      <c r="D127" s="159"/>
      <c r="E127" s="159"/>
      <c r="F127" s="159"/>
      <c r="G127" s="159"/>
      <c r="H127" s="159"/>
      <c r="I127" s="147">
        <f t="shared" si="12"/>
        <v>0</v>
      </c>
      <c r="J127" s="160">
        <f t="shared" si="13"/>
        <v>0</v>
      </c>
    </row>
    <row r="128" spans="1:10" hidden="1" outlineLevel="1" x14ac:dyDescent="0.2">
      <c r="A128" s="148" t="s">
        <v>195</v>
      </c>
      <c r="B128" s="159"/>
      <c r="C128" s="159"/>
      <c r="D128" s="159"/>
      <c r="E128" s="159"/>
      <c r="F128" s="159"/>
      <c r="G128" s="159"/>
      <c r="H128" s="159"/>
      <c r="I128" s="147">
        <f t="shared" si="12"/>
        <v>0</v>
      </c>
      <c r="J128" s="160">
        <f t="shared" si="13"/>
        <v>0</v>
      </c>
    </row>
    <row r="129" spans="1:10" hidden="1" outlineLevel="1" x14ac:dyDescent="0.2">
      <c r="A129" s="148" t="s">
        <v>86</v>
      </c>
      <c r="B129" s="159"/>
      <c r="C129" s="159"/>
      <c r="D129" s="159"/>
      <c r="E129" s="159"/>
      <c r="F129" s="159"/>
      <c r="G129" s="159"/>
      <c r="H129" s="159"/>
      <c r="I129" s="147">
        <f t="shared" si="12"/>
        <v>0</v>
      </c>
      <c r="J129" s="160">
        <f t="shared" si="13"/>
        <v>0</v>
      </c>
    </row>
    <row r="130" spans="1:10" hidden="1" outlineLevel="1" x14ac:dyDescent="0.2">
      <c r="A130" s="148" t="s">
        <v>110</v>
      </c>
      <c r="B130" s="159"/>
      <c r="C130" s="159"/>
      <c r="D130" s="159"/>
      <c r="E130" s="159"/>
      <c r="F130" s="159"/>
      <c r="G130" s="159"/>
      <c r="H130" s="159"/>
      <c r="I130" s="147">
        <f t="shared" si="12"/>
        <v>0</v>
      </c>
      <c r="J130" s="160">
        <f t="shared" si="13"/>
        <v>0</v>
      </c>
    </row>
    <row r="131" spans="1:10" hidden="1" outlineLevel="1" x14ac:dyDescent="0.2">
      <c r="A131" s="148" t="s">
        <v>196</v>
      </c>
      <c r="B131" s="159"/>
      <c r="C131" s="159"/>
      <c r="D131" s="159"/>
      <c r="E131" s="159"/>
      <c r="F131" s="159"/>
      <c r="G131" s="159"/>
      <c r="H131" s="159"/>
      <c r="I131" s="147">
        <f t="shared" si="12"/>
        <v>0</v>
      </c>
      <c r="J131" s="160">
        <f t="shared" si="13"/>
        <v>0</v>
      </c>
    </row>
    <row r="132" spans="1:10" hidden="1" outlineLevel="1" x14ac:dyDescent="0.2">
      <c r="A132" s="148" t="s">
        <v>197</v>
      </c>
      <c r="B132" s="159"/>
      <c r="C132" s="159"/>
      <c r="D132" s="159"/>
      <c r="E132" s="159"/>
      <c r="F132" s="159"/>
      <c r="G132" s="159"/>
      <c r="H132" s="159"/>
      <c r="I132" s="147">
        <f t="shared" si="12"/>
        <v>0</v>
      </c>
      <c r="J132" s="160">
        <f t="shared" si="13"/>
        <v>0</v>
      </c>
    </row>
    <row r="133" spans="1:10" hidden="1" outlineLevel="1" x14ac:dyDescent="0.2">
      <c r="A133" s="148" t="s">
        <v>198</v>
      </c>
      <c r="B133" s="159"/>
      <c r="C133" s="159"/>
      <c r="D133" s="159"/>
      <c r="E133" s="159"/>
      <c r="F133" s="159"/>
      <c r="G133" s="159"/>
      <c r="H133" s="159"/>
      <c r="I133" s="147">
        <f t="shared" si="12"/>
        <v>0</v>
      </c>
      <c r="J133" s="160">
        <f t="shared" si="13"/>
        <v>0</v>
      </c>
    </row>
    <row r="134" spans="1:10" hidden="1" outlineLevel="1" x14ac:dyDescent="0.2">
      <c r="A134" s="148" t="s">
        <v>199</v>
      </c>
      <c r="B134" s="159"/>
      <c r="C134" s="159"/>
      <c r="D134" s="159"/>
      <c r="E134" s="159"/>
      <c r="F134" s="159"/>
      <c r="G134" s="159"/>
      <c r="H134" s="159"/>
      <c r="I134" s="147">
        <f t="shared" si="12"/>
        <v>0</v>
      </c>
      <c r="J134" s="160">
        <f t="shared" si="13"/>
        <v>0</v>
      </c>
    </row>
    <row r="135" spans="1:10" hidden="1" outlineLevel="1" x14ac:dyDescent="0.2">
      <c r="A135" s="148" t="s">
        <v>200</v>
      </c>
      <c r="B135" s="159"/>
      <c r="C135" s="159"/>
      <c r="D135" s="159"/>
      <c r="E135" s="159"/>
      <c r="F135" s="159"/>
      <c r="G135" s="159"/>
      <c r="H135" s="159"/>
      <c r="I135" s="147">
        <f t="shared" si="12"/>
        <v>0</v>
      </c>
      <c r="J135" s="160">
        <f t="shared" si="13"/>
        <v>0</v>
      </c>
    </row>
    <row r="136" spans="1:10" collapsed="1" x14ac:dyDescent="0.2">
      <c r="A136" s="147" t="s">
        <v>89</v>
      </c>
      <c r="B136" s="159"/>
      <c r="C136" s="159">
        <f>'Mngt-Customer Care Total '!S61</f>
        <v>937.98</v>
      </c>
      <c r="D136" s="159">
        <f>'Mngt-Central Customer Care '!S60</f>
        <v>0</v>
      </c>
      <c r="E136" s="159">
        <f>'Mngt-Melb Customer Care '!S61</f>
        <v>937.98</v>
      </c>
      <c r="F136" s="159">
        <f>'Mngt-Sydney Customer Care '!S61</f>
        <v>0</v>
      </c>
      <c r="G136" s="159">
        <f>'Mngt-Perth Customer Care '!S61</f>
        <v>0</v>
      </c>
      <c r="H136" s="159">
        <f>'Mngt-Bris Customer Care '!S61</f>
        <v>0</v>
      </c>
      <c r="I136" s="147">
        <f t="shared" si="12"/>
        <v>937.98</v>
      </c>
      <c r="J136" s="160">
        <f t="shared" si="13"/>
        <v>0</v>
      </c>
    </row>
    <row r="137" spans="1:10" x14ac:dyDescent="0.2">
      <c r="A137" s="147" t="s">
        <v>201</v>
      </c>
      <c r="B137" s="159"/>
      <c r="C137" s="159">
        <f>'Mngt-Customer Care Total '!S62</f>
        <v>179402.84</v>
      </c>
      <c r="D137" s="159">
        <f>'Mngt-Central Customer Care '!S61</f>
        <v>0</v>
      </c>
      <c r="E137" s="159">
        <f>'Mngt-Melb Customer Care '!S62</f>
        <v>51900.94</v>
      </c>
      <c r="F137" s="159">
        <f>'Mngt-Sydney Customer Care '!S62</f>
        <v>58771.16</v>
      </c>
      <c r="G137" s="159">
        <f>'Mngt-Perth Customer Care '!S62</f>
        <v>31261.360000000001</v>
      </c>
      <c r="H137" s="159">
        <f>'Mngt-Bris Customer Care '!S62</f>
        <v>37469.379999999997</v>
      </c>
      <c r="I137" s="147">
        <f t="shared" si="12"/>
        <v>179402.84000000003</v>
      </c>
      <c r="J137" s="160">
        <f t="shared" si="13"/>
        <v>0</v>
      </c>
    </row>
    <row r="138" spans="1:10" x14ac:dyDescent="0.2">
      <c r="A138" s="147"/>
      <c r="B138" s="159"/>
      <c r="C138" s="159"/>
      <c r="D138" s="159"/>
      <c r="E138" s="159"/>
      <c r="F138" s="159"/>
      <c r="G138" s="159"/>
      <c r="H138" s="159"/>
      <c r="I138" s="147"/>
      <c r="J138" s="160"/>
    </row>
    <row r="139" spans="1:10" x14ac:dyDescent="0.2">
      <c r="A139" s="147"/>
      <c r="B139" s="159"/>
      <c r="C139" s="159"/>
      <c r="D139" s="159"/>
      <c r="E139" s="159"/>
      <c r="F139" s="159"/>
      <c r="G139" s="159"/>
      <c r="H139" s="159"/>
      <c r="I139" s="147"/>
      <c r="J139" s="160"/>
    </row>
    <row r="140" spans="1:10" x14ac:dyDescent="0.2">
      <c r="A140" s="147"/>
      <c r="B140" s="159"/>
      <c r="C140" s="159"/>
      <c r="D140" s="159"/>
      <c r="E140" s="159"/>
      <c r="F140" s="159"/>
      <c r="G140" s="159"/>
      <c r="H140" s="159"/>
      <c r="I140" s="147"/>
      <c r="J140" s="160"/>
    </row>
    <row r="141" spans="1:10" ht="13.5" thickBot="1" x14ac:dyDescent="0.25">
      <c r="A141" s="144"/>
      <c r="B141" s="145"/>
      <c r="C141" s="145"/>
      <c r="D141" s="145"/>
      <c r="E141" s="145"/>
      <c r="F141" s="145"/>
      <c r="G141" s="145"/>
      <c r="H141" s="145"/>
      <c r="I141" s="144"/>
      <c r="J141" s="146"/>
    </row>
    <row r="146" spans="1:10" ht="13.5" thickBot="1" x14ac:dyDescent="0.25">
      <c r="A146" s="163" t="s">
        <v>299</v>
      </c>
    </row>
    <row r="147" spans="1:10" x14ac:dyDescent="0.2">
      <c r="A147" s="153" t="s">
        <v>265</v>
      </c>
      <c r="B147" s="158"/>
      <c r="C147" s="142" t="s">
        <v>272</v>
      </c>
      <c r="D147" s="164" t="s">
        <v>301</v>
      </c>
      <c r="E147" s="142" t="s">
        <v>269</v>
      </c>
      <c r="F147" s="142" t="s">
        <v>268</v>
      </c>
      <c r="G147" s="142" t="s">
        <v>271</v>
      </c>
      <c r="H147" s="142" t="s">
        <v>270</v>
      </c>
      <c r="I147" s="140" t="s">
        <v>272</v>
      </c>
      <c r="J147" s="143" t="s">
        <v>292</v>
      </c>
    </row>
    <row r="148" spans="1:10" ht="13.5" thickBot="1" x14ac:dyDescent="0.25">
      <c r="A148" s="144"/>
      <c r="B148" s="145"/>
      <c r="C148" s="145"/>
      <c r="D148" s="145"/>
      <c r="E148" s="145"/>
      <c r="F148" s="145"/>
      <c r="G148" s="145"/>
      <c r="H148" s="145"/>
      <c r="I148" s="144"/>
      <c r="J148" s="146"/>
    </row>
    <row r="149" spans="1:10" hidden="1" outlineLevel="1" x14ac:dyDescent="0.2">
      <c r="A149" s="161" t="s">
        <v>160</v>
      </c>
      <c r="B149" s="159"/>
      <c r="C149" s="159">
        <f>'Mngt-Customer Care Total '!S71</f>
        <v>0</v>
      </c>
      <c r="D149" s="159">
        <f>'Mngt-Central Customer Care '!S71</f>
        <v>0</v>
      </c>
      <c r="E149" s="159">
        <f>'Mngt-Melb Customer Care '!S71</f>
        <v>0</v>
      </c>
      <c r="F149" s="159">
        <f>'Mngt-Sydney Customer Care '!S71</f>
        <v>0</v>
      </c>
      <c r="G149" s="159">
        <f>'Mngt-Perth Customer Care '!S71</f>
        <v>0</v>
      </c>
      <c r="H149" s="159">
        <f>'Mngt-Bris Customer Care '!S71</f>
        <v>0</v>
      </c>
      <c r="I149" s="147">
        <f t="shared" ref="I149:I154" si="14">SUM(D149:H149)</f>
        <v>0</v>
      </c>
      <c r="J149" s="160">
        <f t="shared" ref="J149:J154" si="15">I149-C149</f>
        <v>0</v>
      </c>
    </row>
    <row r="150" spans="1:10" hidden="1" outlineLevel="1" x14ac:dyDescent="0.2">
      <c r="A150" s="161" t="s">
        <v>161</v>
      </c>
      <c r="B150" s="159"/>
      <c r="C150" s="159">
        <f>'Mngt-Customer Care Total '!S72</f>
        <v>0</v>
      </c>
      <c r="D150" s="159">
        <f>'Mngt-Central Customer Care '!S72</f>
        <v>0</v>
      </c>
      <c r="E150" s="159">
        <f>'Mngt-Melb Customer Care '!S72</f>
        <v>0</v>
      </c>
      <c r="F150" s="159">
        <f>'Mngt-Sydney Customer Care '!S72</f>
        <v>0</v>
      </c>
      <c r="G150" s="159">
        <f>'Mngt-Perth Customer Care '!S72</f>
        <v>0</v>
      </c>
      <c r="H150" s="159">
        <f>'Mngt-Bris Customer Care '!S72</f>
        <v>0</v>
      </c>
      <c r="I150" s="147">
        <f t="shared" si="14"/>
        <v>0</v>
      </c>
      <c r="J150" s="160">
        <f t="shared" si="15"/>
        <v>0</v>
      </c>
    </row>
    <row r="151" spans="1:10" hidden="1" outlineLevel="1" x14ac:dyDescent="0.2">
      <c r="A151" s="161" t="s">
        <v>162</v>
      </c>
      <c r="B151" s="159"/>
      <c r="C151" s="159">
        <f>'Mngt-Customer Care Total '!S73</f>
        <v>0</v>
      </c>
      <c r="D151" s="159">
        <f>'Mngt-Central Customer Care '!S73</f>
        <v>0</v>
      </c>
      <c r="E151" s="159">
        <f>'Mngt-Melb Customer Care '!S73</f>
        <v>0</v>
      </c>
      <c r="F151" s="159">
        <f>'Mngt-Sydney Customer Care '!S73</f>
        <v>0</v>
      </c>
      <c r="G151" s="159">
        <f>'Mngt-Perth Customer Care '!S73</f>
        <v>0</v>
      </c>
      <c r="H151" s="159">
        <f>'Mngt-Bris Customer Care '!S73</f>
        <v>0</v>
      </c>
      <c r="I151" s="147">
        <f t="shared" si="14"/>
        <v>0</v>
      </c>
      <c r="J151" s="160">
        <f t="shared" si="15"/>
        <v>0</v>
      </c>
    </row>
    <row r="152" spans="1:10" hidden="1" outlineLevel="1" x14ac:dyDescent="0.2">
      <c r="A152" s="161" t="s">
        <v>163</v>
      </c>
      <c r="B152" s="159"/>
      <c r="C152" s="159">
        <f>'Mngt-Customer Care Total '!S74</f>
        <v>0</v>
      </c>
      <c r="D152" s="159">
        <f>'Mngt-Central Customer Care '!S74</f>
        <v>0</v>
      </c>
      <c r="E152" s="159">
        <f>'Mngt-Melb Customer Care '!S74</f>
        <v>0</v>
      </c>
      <c r="F152" s="159">
        <f>'Mngt-Sydney Customer Care '!S74</f>
        <v>0</v>
      </c>
      <c r="G152" s="159">
        <f>'Mngt-Perth Customer Care '!S74</f>
        <v>0</v>
      </c>
      <c r="H152" s="159">
        <f>'Mngt-Bris Customer Care '!S74</f>
        <v>0</v>
      </c>
      <c r="I152" s="147">
        <f t="shared" si="14"/>
        <v>0</v>
      </c>
      <c r="J152" s="160">
        <f t="shared" si="15"/>
        <v>0</v>
      </c>
    </row>
    <row r="153" spans="1:10" hidden="1" outlineLevel="1" x14ac:dyDescent="0.2">
      <c r="A153" s="161" t="s">
        <v>164</v>
      </c>
      <c r="B153" s="159"/>
      <c r="C153" s="159">
        <f>'Mngt-Customer Care Total '!S75</f>
        <v>0</v>
      </c>
      <c r="D153" s="159">
        <f>'Mngt-Central Customer Care '!S75</f>
        <v>0</v>
      </c>
      <c r="E153" s="159">
        <f>'Mngt-Melb Customer Care '!S75</f>
        <v>0</v>
      </c>
      <c r="F153" s="159">
        <f>'Mngt-Sydney Customer Care '!S75</f>
        <v>0</v>
      </c>
      <c r="G153" s="159">
        <f>'Mngt-Perth Customer Care '!S75</f>
        <v>0</v>
      </c>
      <c r="H153" s="159">
        <f>'Mngt-Bris Customer Care '!S75</f>
        <v>0</v>
      </c>
      <c r="I153" s="147">
        <f t="shared" si="14"/>
        <v>0</v>
      </c>
      <c r="J153" s="160">
        <f t="shared" si="15"/>
        <v>0</v>
      </c>
    </row>
    <row r="154" spans="1:10" hidden="1" outlineLevel="1" x14ac:dyDescent="0.2">
      <c r="A154" s="161" t="s">
        <v>165</v>
      </c>
      <c r="B154" s="159"/>
      <c r="C154" s="159">
        <f>'Mngt-Customer Care Total '!S76</f>
        <v>0</v>
      </c>
      <c r="D154" s="159">
        <f>'Mngt-Central Customer Care '!S76</f>
        <v>0</v>
      </c>
      <c r="E154" s="159">
        <f>'Mngt-Melb Customer Care '!S76</f>
        <v>0</v>
      </c>
      <c r="F154" s="159">
        <f>'Mngt-Sydney Customer Care '!S76</f>
        <v>0</v>
      </c>
      <c r="G154" s="159">
        <f>'Mngt-Perth Customer Care '!S76</f>
        <v>0</v>
      </c>
      <c r="H154" s="159">
        <f>'Mngt-Bris Customer Care '!S76</f>
        <v>0</v>
      </c>
      <c r="I154" s="147">
        <f t="shared" si="14"/>
        <v>0</v>
      </c>
      <c r="J154" s="160">
        <f t="shared" si="15"/>
        <v>0</v>
      </c>
    </row>
    <row r="155" spans="1:10" collapsed="1" x14ac:dyDescent="0.2">
      <c r="A155" s="147" t="s">
        <v>166</v>
      </c>
      <c r="B155" s="159"/>
      <c r="C155" s="159">
        <f>'Mngt-Lab Admin Total'!S9</f>
        <v>304482.19</v>
      </c>
      <c r="D155" s="403">
        <f>'Mngt-Central Lab Admin '!S8</f>
        <v>176449.57</v>
      </c>
      <c r="E155" s="403">
        <f>'Mngt-Melb Lab Admin '!S8</f>
        <v>39669.57</v>
      </c>
      <c r="F155" s="403">
        <f>'Mngt-Sydney Lab Admin '!S8</f>
        <v>0</v>
      </c>
      <c r="G155" s="403">
        <f>'Mngt-Perth Lab Admin'!S8</f>
        <v>3055.01</v>
      </c>
      <c r="H155" s="403">
        <f>'Mngt-Bris Lab Admin '!S9</f>
        <v>0</v>
      </c>
      <c r="I155" s="147">
        <f>SUM(D155:H155)</f>
        <v>219174.15000000002</v>
      </c>
      <c r="J155" s="160">
        <f>I155-C155</f>
        <v>-85308.039999999979</v>
      </c>
    </row>
    <row r="156" spans="1:10" x14ac:dyDescent="0.2">
      <c r="A156" s="147" t="s">
        <v>167</v>
      </c>
      <c r="B156" s="159"/>
      <c r="C156" s="159">
        <f>'Mngt-Lab Admin Total'!S10</f>
        <v>459.89</v>
      </c>
      <c r="D156" s="159">
        <f>'Mngt-Central Lab Admin '!S9</f>
        <v>459.89</v>
      </c>
      <c r="E156" s="159">
        <f>'Mngt-Melb Lab Admin '!S9</f>
        <v>0</v>
      </c>
      <c r="F156" s="159">
        <f>'Mngt-Sydney Lab Admin '!S9</f>
        <v>25772.7</v>
      </c>
      <c r="G156" s="159">
        <f>'Mngt-Perth Lab Admin'!S9</f>
        <v>0</v>
      </c>
      <c r="H156" s="159">
        <f>'Mngt-Bris Lab Admin '!S10</f>
        <v>0</v>
      </c>
      <c r="I156" s="147">
        <f t="shared" ref="I156:I165" si="16">SUM(D156:H156)</f>
        <v>26232.59</v>
      </c>
      <c r="J156" s="160">
        <f t="shared" ref="J156:J165" si="17">I156-C156</f>
        <v>25772.7</v>
      </c>
    </row>
    <row r="157" spans="1:10" x14ac:dyDescent="0.2">
      <c r="A157" s="147" t="s">
        <v>168</v>
      </c>
      <c r="B157" s="159"/>
      <c r="C157" s="159">
        <f>'Mngt-Lab Admin Total'!S11</f>
        <v>-0.02</v>
      </c>
      <c r="D157" s="159">
        <f>'Mngt-Central Lab Admin '!S10</f>
        <v>-0.02</v>
      </c>
      <c r="E157" s="159">
        <f>'Mngt-Melb Lab Admin '!S10</f>
        <v>0</v>
      </c>
      <c r="F157" s="159">
        <f>'Mngt-Sydney Lab Admin '!S10</f>
        <v>0</v>
      </c>
      <c r="G157" s="159">
        <f>'Mngt-Perth Lab Admin'!S10</f>
        <v>0</v>
      </c>
      <c r="H157" s="159">
        <f>'Mngt-Bris Lab Admin '!S11</f>
        <v>2913.45</v>
      </c>
      <c r="I157" s="147">
        <f t="shared" si="16"/>
        <v>2913.43</v>
      </c>
      <c r="J157" s="160">
        <f t="shared" si="17"/>
        <v>2913.45</v>
      </c>
    </row>
    <row r="158" spans="1:10" x14ac:dyDescent="0.2">
      <c r="A158" s="147" t="s">
        <v>169</v>
      </c>
      <c r="B158" s="159"/>
      <c r="C158" s="159">
        <f>'Mngt-Lab Admin Total'!S12</f>
        <v>25067.759999999998</v>
      </c>
      <c r="D158" s="159">
        <f>'Mngt-Central Lab Admin '!S11</f>
        <v>3602.6</v>
      </c>
      <c r="E158" s="159">
        <f>'Mngt-Melb Lab Admin '!S11</f>
        <v>10159.870000000001</v>
      </c>
      <c r="F158" s="159">
        <f>'Mngt-Sydney Lab Admin '!S11</f>
        <v>0</v>
      </c>
      <c r="G158" s="159">
        <f>'Mngt-Perth Lab Admin'!S11</f>
        <v>1810.57</v>
      </c>
      <c r="H158" s="159">
        <f>'Mngt-Bris Lab Admin '!S12</f>
        <v>0</v>
      </c>
      <c r="I158" s="147">
        <f t="shared" si="16"/>
        <v>15573.04</v>
      </c>
      <c r="J158" s="160">
        <f t="shared" si="17"/>
        <v>-9494.7199999999975</v>
      </c>
    </row>
    <row r="159" spans="1:10" x14ac:dyDescent="0.2">
      <c r="A159" s="147" t="s">
        <v>50</v>
      </c>
      <c r="B159" s="159"/>
      <c r="C159" s="159">
        <f>'Mngt-Lab Admin Total'!S13</f>
        <v>0</v>
      </c>
      <c r="D159" s="159">
        <f>'Mngt-Central Lab Admin '!S12</f>
        <v>0</v>
      </c>
      <c r="E159" s="159">
        <f>'Mngt-Melb Lab Admin '!S12</f>
        <v>0</v>
      </c>
      <c r="F159" s="159">
        <f>'Mngt-Sydney Lab Admin '!S12</f>
        <v>6581.27</v>
      </c>
      <c r="G159" s="159">
        <f>'Mngt-Perth Lab Admin'!S12</f>
        <v>0</v>
      </c>
      <c r="H159" s="159">
        <f>'Mngt-Bris Lab Admin '!S13</f>
        <v>0</v>
      </c>
      <c r="I159" s="147">
        <f t="shared" si="16"/>
        <v>6581.27</v>
      </c>
      <c r="J159" s="160">
        <f t="shared" si="17"/>
        <v>6581.27</v>
      </c>
    </row>
    <row r="160" spans="1:10" x14ac:dyDescent="0.2">
      <c r="A160" s="147" t="s">
        <v>170</v>
      </c>
      <c r="B160" s="159"/>
      <c r="C160" s="159">
        <f>'Mngt-Lab Admin Total'!S14</f>
        <v>0</v>
      </c>
      <c r="D160" s="159">
        <f>'Mngt-Central Lab Admin '!S13</f>
        <v>0</v>
      </c>
      <c r="E160" s="159">
        <f>'Mngt-Melb Lab Admin '!S13</f>
        <v>0</v>
      </c>
      <c r="F160" s="159">
        <f>'Mngt-Sydney Lab Admin '!S13</f>
        <v>0</v>
      </c>
      <c r="G160" s="159">
        <f>'Mngt-Perth Lab Admin'!S13</f>
        <v>0</v>
      </c>
      <c r="H160" s="159">
        <f>'Mngt-Bris Lab Admin '!S14</f>
        <v>0</v>
      </c>
      <c r="I160" s="147">
        <f t="shared" si="16"/>
        <v>0</v>
      </c>
      <c r="J160" s="160">
        <f t="shared" si="17"/>
        <v>0</v>
      </c>
    </row>
    <row r="161" spans="1:10" x14ac:dyDescent="0.2">
      <c r="A161" s="147" t="s">
        <v>171</v>
      </c>
      <c r="B161" s="159"/>
      <c r="C161" s="159">
        <f>'Mngt-Lab Admin Total'!S15</f>
        <v>6550.18</v>
      </c>
      <c r="D161" s="159">
        <f>'Mngt-Central Lab Admin '!S14</f>
        <v>0</v>
      </c>
      <c r="E161" s="159">
        <f>'Mngt-Melb Lab Admin '!S14</f>
        <v>0</v>
      </c>
      <c r="F161" s="159">
        <f>'Mngt-Sydney Lab Admin '!S14</f>
        <v>0</v>
      </c>
      <c r="G161" s="159">
        <f>'Mngt-Perth Lab Admin'!S14</f>
        <v>0</v>
      </c>
      <c r="H161" s="159">
        <f>'Mngt-Bris Lab Admin '!S15</f>
        <v>0</v>
      </c>
      <c r="I161" s="147">
        <f t="shared" si="16"/>
        <v>0</v>
      </c>
      <c r="J161" s="160">
        <f t="shared" si="17"/>
        <v>-6550.18</v>
      </c>
    </row>
    <row r="162" spans="1:10" x14ac:dyDescent="0.2">
      <c r="A162" s="147" t="s">
        <v>172</v>
      </c>
      <c r="B162" s="159"/>
      <c r="C162" s="159">
        <f>'Mngt-Lab Admin Total'!S16</f>
        <v>0</v>
      </c>
      <c r="D162" s="159">
        <f>'Mngt-Central Lab Admin '!S15</f>
        <v>0</v>
      </c>
      <c r="E162" s="159">
        <f>'Mngt-Melb Lab Admin '!S15</f>
        <v>0</v>
      </c>
      <c r="F162" s="159">
        <f>'Mngt-Sydney Lab Admin '!S15</f>
        <v>6550.18</v>
      </c>
      <c r="G162" s="159">
        <f>'Mngt-Perth Lab Admin'!S15</f>
        <v>0</v>
      </c>
      <c r="H162" s="159">
        <f>'Mngt-Bris Lab Admin '!S16</f>
        <v>367.41</v>
      </c>
      <c r="I162" s="147">
        <f t="shared" si="16"/>
        <v>6917.59</v>
      </c>
      <c r="J162" s="160">
        <f t="shared" si="17"/>
        <v>6917.59</v>
      </c>
    </row>
    <row r="163" spans="1:10" x14ac:dyDescent="0.2">
      <c r="A163" s="147" t="s">
        <v>173</v>
      </c>
      <c r="B163" s="159"/>
      <c r="C163" s="159">
        <f>'Mngt-Lab Admin Total'!S17</f>
        <v>5012.53</v>
      </c>
      <c r="D163" s="159">
        <f>'Mngt-Central Lab Admin '!S16</f>
        <v>2991.53</v>
      </c>
      <c r="E163" s="159">
        <f>'Mngt-Melb Lab Admin '!S16</f>
        <v>1024.1500000000001</v>
      </c>
      <c r="F163" s="159">
        <f>'Mngt-Sydney Lab Admin '!S16</f>
        <v>0</v>
      </c>
      <c r="G163" s="159">
        <f>'Mngt-Perth Lab Admin'!S16</f>
        <v>164.89</v>
      </c>
      <c r="H163" s="159">
        <f>'Mngt-Bris Lab Admin '!S17</f>
        <v>1706.6</v>
      </c>
      <c r="I163" s="147">
        <f t="shared" si="16"/>
        <v>5887.17</v>
      </c>
      <c r="J163" s="160">
        <f t="shared" si="17"/>
        <v>874.64000000000033</v>
      </c>
    </row>
    <row r="164" spans="1:10" x14ac:dyDescent="0.2">
      <c r="A164" s="147" t="s">
        <v>257</v>
      </c>
      <c r="B164" s="159"/>
      <c r="C164" s="159">
        <f>'Mngt-Lab Admin Total'!S18</f>
        <v>14676.84</v>
      </c>
      <c r="D164" s="159">
        <f>'Mngt-Central Lab Admin '!S17</f>
        <v>6826.44</v>
      </c>
      <c r="E164" s="159">
        <f>'Mngt-Melb Lab Admin '!S17</f>
        <v>2730.58</v>
      </c>
      <c r="F164" s="159">
        <f>'Mngt-Sydney Lab Admin '!S17</f>
        <v>464.55</v>
      </c>
      <c r="G164" s="159" t="e">
        <f>'Mngt-Perth Lab Admin'!#REF!</f>
        <v>#REF!</v>
      </c>
      <c r="H164" s="159">
        <f>'Mngt-Bris Lab Admin '!S18</f>
        <v>0</v>
      </c>
      <c r="I164" s="147" t="e">
        <f t="shared" si="16"/>
        <v>#REF!</v>
      </c>
      <c r="J164" s="160" t="e">
        <f t="shared" si="17"/>
        <v>#REF!</v>
      </c>
    </row>
    <row r="165" spans="1:10" x14ac:dyDescent="0.2">
      <c r="A165" s="147" t="s">
        <v>70</v>
      </c>
      <c r="B165" s="159"/>
      <c r="C165" s="159">
        <f>'Mngt-Lab Admin Total'!S22</f>
        <v>3981.26</v>
      </c>
      <c r="D165" s="159">
        <f>'Mngt-Central Lab Admin '!S21</f>
        <v>680</v>
      </c>
      <c r="E165" s="159">
        <f>'Mngt-Melb Lab Admin '!S21</f>
        <v>1556.26</v>
      </c>
      <c r="F165" s="159">
        <f>'Mngt-Sydney Lab Admin '!S21</f>
        <v>490</v>
      </c>
      <c r="G165" s="159">
        <f>'Mngt-Perth Lab Admin'!S20</f>
        <v>0</v>
      </c>
      <c r="H165" s="159">
        <f>'Mngt-Bris Lab Admin '!S22</f>
        <v>0</v>
      </c>
      <c r="I165" s="147">
        <f t="shared" si="16"/>
        <v>2726.26</v>
      </c>
      <c r="J165" s="160">
        <f t="shared" si="17"/>
        <v>-1255</v>
      </c>
    </row>
    <row r="166" spans="1:10" hidden="1" outlineLevel="1" x14ac:dyDescent="0.2">
      <c r="A166" s="148" t="s">
        <v>174</v>
      </c>
      <c r="B166" s="159"/>
      <c r="C166" s="159">
        <f>'Mngt-Customer Care Total '!B91</f>
        <v>0</v>
      </c>
      <c r="D166" s="159"/>
      <c r="E166" s="159">
        <f>'Mngt-Melb Customer Care '!B88</f>
        <v>0</v>
      </c>
      <c r="F166" s="159"/>
      <c r="G166" s="159">
        <f>'Mngt-Perth Customer Care '!S91</f>
        <v>0</v>
      </c>
      <c r="H166" s="159">
        <f>'Mngt-Bris Lab Admin '!S20</f>
        <v>1047</v>
      </c>
      <c r="I166" s="147">
        <f>SUM(D166:H166)</f>
        <v>1047</v>
      </c>
      <c r="J166" s="160">
        <f>I166-C166</f>
        <v>1047</v>
      </c>
    </row>
    <row r="167" spans="1:10" hidden="1" outlineLevel="1" x14ac:dyDescent="0.2">
      <c r="A167" s="148" t="s">
        <v>99</v>
      </c>
      <c r="B167" s="159"/>
      <c r="C167" s="159">
        <f>'Mngt-Customer Care Total '!B92</f>
        <v>0</v>
      </c>
      <c r="D167" s="159"/>
      <c r="E167" s="159">
        <f>'Mngt-Melb Customer Care '!B89</f>
        <v>0</v>
      </c>
      <c r="F167" s="159">
        <f>'Mngt-Sydney Customer Care '!S92</f>
        <v>0</v>
      </c>
      <c r="G167" s="159">
        <f>'Mngt-Perth Customer Care '!S92</f>
        <v>0</v>
      </c>
      <c r="H167" s="159">
        <f>'Mngt-Bris Lab Admin '!S21</f>
        <v>1115</v>
      </c>
      <c r="I167" s="147">
        <f t="shared" ref="I167:I175" si="18">SUM(D167:H167)</f>
        <v>1115</v>
      </c>
      <c r="J167" s="160">
        <f t="shared" ref="J167:J205" si="19">I167-C167</f>
        <v>1115</v>
      </c>
    </row>
    <row r="168" spans="1:10" hidden="1" outlineLevel="1" x14ac:dyDescent="0.2">
      <c r="A168" s="148" t="s">
        <v>175</v>
      </c>
      <c r="B168" s="159"/>
      <c r="C168" s="159">
        <f>'Mngt-Customer Care Total '!B93</f>
        <v>0</v>
      </c>
      <c r="D168" s="159"/>
      <c r="E168" s="159">
        <f>'Mngt-Melb Customer Care '!B90</f>
        <v>0</v>
      </c>
      <c r="F168" s="159">
        <f>'Mngt-Sydney Customer Care '!S93</f>
        <v>0</v>
      </c>
      <c r="G168" s="159">
        <f>'Mngt-Perth Customer Care '!S93</f>
        <v>0</v>
      </c>
      <c r="H168" s="159">
        <f>'Mngt-Bris Lab Admin '!S22</f>
        <v>0</v>
      </c>
      <c r="I168" s="147">
        <f t="shared" si="18"/>
        <v>0</v>
      </c>
      <c r="J168" s="160">
        <f t="shared" si="19"/>
        <v>0</v>
      </c>
    </row>
    <row r="169" spans="1:10" hidden="1" outlineLevel="1" x14ac:dyDescent="0.2">
      <c r="A169" s="148" t="s">
        <v>100</v>
      </c>
      <c r="B169" s="159"/>
      <c r="C169" s="159">
        <f>'Mngt-Customer Care Total '!B94</f>
        <v>0</v>
      </c>
      <c r="D169" s="159"/>
      <c r="E169" s="159">
        <f>'Mngt-Melb Customer Care '!B91</f>
        <v>0</v>
      </c>
      <c r="F169" s="159">
        <f>'Mngt-Sydney Customer Care '!S94</f>
        <v>0</v>
      </c>
      <c r="G169" s="159">
        <f>'Mngt-Perth Customer Care '!S94</f>
        <v>0</v>
      </c>
      <c r="H169" s="159">
        <f>'Mngt-Bris Lab Admin '!S23</f>
        <v>507.24</v>
      </c>
      <c r="I169" s="147">
        <f t="shared" si="18"/>
        <v>507.24</v>
      </c>
      <c r="J169" s="160">
        <f t="shared" si="19"/>
        <v>507.24</v>
      </c>
    </row>
    <row r="170" spans="1:10" hidden="1" outlineLevel="1" x14ac:dyDescent="0.2">
      <c r="A170" s="148" t="s">
        <v>101</v>
      </c>
      <c r="B170" s="159"/>
      <c r="C170" s="159">
        <f>'Mngt-Customer Care Total '!B95</f>
        <v>0</v>
      </c>
      <c r="D170" s="159"/>
      <c r="E170" s="159">
        <f>'Mngt-Melb Customer Care '!B92</f>
        <v>0</v>
      </c>
      <c r="F170" s="159">
        <f>'Mngt-Sydney Customer Care '!S95</f>
        <v>0</v>
      </c>
      <c r="G170" s="159">
        <f>'Mngt-Perth Customer Care '!S95</f>
        <v>0</v>
      </c>
      <c r="H170" s="159">
        <f>'Mngt-Bris Lab Admin '!S24</f>
        <v>0</v>
      </c>
      <c r="I170" s="147">
        <f t="shared" si="18"/>
        <v>0</v>
      </c>
      <c r="J170" s="160">
        <f t="shared" si="19"/>
        <v>0</v>
      </c>
    </row>
    <row r="171" spans="1:10" hidden="1" outlineLevel="1" x14ac:dyDescent="0.2">
      <c r="A171" s="148" t="s">
        <v>176</v>
      </c>
      <c r="B171" s="159"/>
      <c r="C171" s="159">
        <f>'Mngt-Customer Care Total '!B96</f>
        <v>0</v>
      </c>
      <c r="D171" s="159"/>
      <c r="E171" s="159">
        <f>'Mngt-Melb Customer Care '!B93</f>
        <v>0</v>
      </c>
      <c r="F171" s="159">
        <f>'Mngt-Sydney Customer Care '!S96</f>
        <v>0</v>
      </c>
      <c r="G171" s="159">
        <f>'Mngt-Perth Customer Care '!S96</f>
        <v>0</v>
      </c>
      <c r="H171" s="159">
        <f>'Mngt-Bris Lab Admin '!S26</f>
        <v>137.4</v>
      </c>
      <c r="I171" s="147">
        <f t="shared" si="18"/>
        <v>137.4</v>
      </c>
      <c r="J171" s="160">
        <f t="shared" si="19"/>
        <v>137.4</v>
      </c>
    </row>
    <row r="172" spans="1:10" hidden="1" outlineLevel="1" x14ac:dyDescent="0.2">
      <c r="A172" s="148" t="s">
        <v>102</v>
      </c>
      <c r="B172" s="159"/>
      <c r="C172" s="159">
        <f>'Mngt-Customer Care Total '!B97</f>
        <v>0</v>
      </c>
      <c r="D172" s="159"/>
      <c r="E172" s="159">
        <f>'Mngt-Melb Customer Care '!B94</f>
        <v>0</v>
      </c>
      <c r="F172" s="159">
        <f>'Mngt-Sydney Customer Care '!S97</f>
        <v>0</v>
      </c>
      <c r="G172" s="159">
        <f>'Mngt-Perth Customer Care '!S97</f>
        <v>0</v>
      </c>
      <c r="H172" s="159">
        <f>'Mngt-Bris Lab Admin '!S27</f>
        <v>0</v>
      </c>
      <c r="I172" s="147">
        <f t="shared" si="18"/>
        <v>0</v>
      </c>
      <c r="J172" s="160">
        <f t="shared" si="19"/>
        <v>0</v>
      </c>
    </row>
    <row r="173" spans="1:10" hidden="1" outlineLevel="1" x14ac:dyDescent="0.2">
      <c r="A173" s="148" t="s">
        <v>75</v>
      </c>
      <c r="B173" s="159"/>
      <c r="C173" s="159">
        <f>'Mngt-Customer Care Total '!B98</f>
        <v>0</v>
      </c>
      <c r="D173" s="159"/>
      <c r="E173" s="159">
        <f>'Mngt-Melb Customer Care '!B95</f>
        <v>0</v>
      </c>
      <c r="F173" s="159">
        <f>'Mngt-Sydney Customer Care '!S98</f>
        <v>0</v>
      </c>
      <c r="G173" s="159">
        <f>'Mngt-Perth Customer Care '!S98</f>
        <v>0</v>
      </c>
      <c r="H173" s="159">
        <f>'Mngt-Bris Lab Admin '!S28</f>
        <v>399.84</v>
      </c>
      <c r="I173" s="147">
        <f t="shared" si="18"/>
        <v>399.84</v>
      </c>
      <c r="J173" s="160">
        <f t="shared" si="19"/>
        <v>399.84</v>
      </c>
    </row>
    <row r="174" spans="1:10" hidden="1" outlineLevel="1" x14ac:dyDescent="0.2">
      <c r="A174" s="148" t="s">
        <v>76</v>
      </c>
      <c r="B174" s="159"/>
      <c r="C174" s="159">
        <f>'Mngt-Customer Care Total '!B99</f>
        <v>0</v>
      </c>
      <c r="D174" s="159"/>
      <c r="E174" s="159">
        <f>'Mngt-Melb Customer Care '!B96</f>
        <v>0</v>
      </c>
      <c r="F174" s="159">
        <f>'Mngt-Sydney Customer Care '!S99</f>
        <v>0</v>
      </c>
      <c r="G174" s="159">
        <f>'Mngt-Perth Customer Care '!S99</f>
        <v>0</v>
      </c>
      <c r="H174" s="159">
        <f>'Mngt-Bris Lab Admin '!S29</f>
        <v>177.18</v>
      </c>
      <c r="I174" s="147">
        <f t="shared" si="18"/>
        <v>177.18</v>
      </c>
      <c r="J174" s="160">
        <f t="shared" si="19"/>
        <v>177.18</v>
      </c>
    </row>
    <row r="175" spans="1:10" hidden="1" outlineLevel="1" x14ac:dyDescent="0.2">
      <c r="A175" s="148" t="s">
        <v>77</v>
      </c>
      <c r="B175" s="159"/>
      <c r="C175" s="159">
        <f>'Mngt-Customer Care Total '!B100</f>
        <v>0</v>
      </c>
      <c r="D175" s="159"/>
      <c r="E175" s="159">
        <f>'Mngt-Melb Customer Care '!B97</f>
        <v>0</v>
      </c>
      <c r="F175" s="159">
        <f>'Mngt-Sydney Customer Care '!S100</f>
        <v>0</v>
      </c>
      <c r="G175" s="159">
        <f>'Mngt-Perth Customer Care '!S100</f>
        <v>0</v>
      </c>
      <c r="H175" s="159">
        <f>'Mngt-Bris Lab Admin '!S30</f>
        <v>5440.72</v>
      </c>
      <c r="I175" s="147">
        <f t="shared" si="18"/>
        <v>5440.72</v>
      </c>
      <c r="J175" s="160">
        <f t="shared" si="19"/>
        <v>5440.72</v>
      </c>
    </row>
    <row r="176" spans="1:10" collapsed="1" x14ac:dyDescent="0.2">
      <c r="A176" s="147" t="s">
        <v>177</v>
      </c>
      <c r="B176" s="159"/>
      <c r="C176" s="159">
        <f>'Mngt-Lab Admin Total'!S33</f>
        <v>68226.64</v>
      </c>
      <c r="D176" s="159">
        <f>'Mngt-Central Lab Admin '!S32</f>
        <v>10276.89</v>
      </c>
      <c r="E176" s="159">
        <f>'Mngt-Melb Lab Admin '!S32</f>
        <v>16325.43</v>
      </c>
      <c r="F176" s="159">
        <f>'Mngt-Sydney Lab Admin '!S32</f>
        <v>0</v>
      </c>
      <c r="G176" s="159">
        <f>'Mngt-Perth Lab Admin'!S30</f>
        <v>7332.91</v>
      </c>
      <c r="H176" s="159">
        <f>'Mngt-Bris Lab Admin '!S33</f>
        <v>1180.6099999999999</v>
      </c>
      <c r="I176" s="147">
        <f>SUM(D176:H176)</f>
        <v>35115.839999999997</v>
      </c>
      <c r="J176" s="160">
        <f t="shared" si="19"/>
        <v>-33110.800000000003</v>
      </c>
    </row>
    <row r="177" spans="1:10" hidden="1" outlineLevel="1" x14ac:dyDescent="0.2">
      <c r="A177" s="148" t="s">
        <v>178</v>
      </c>
      <c r="B177" s="159"/>
      <c r="C177" s="159"/>
      <c r="D177" s="159"/>
      <c r="E177" s="159"/>
      <c r="F177" s="159"/>
      <c r="G177" s="159"/>
      <c r="H177" s="159"/>
      <c r="I177" s="147">
        <f t="shared" ref="I177:I205" si="20">SUM(D177:H177)</f>
        <v>0</v>
      </c>
      <c r="J177" s="160">
        <f t="shared" si="19"/>
        <v>0</v>
      </c>
    </row>
    <row r="178" spans="1:10" hidden="1" outlineLevel="1" x14ac:dyDescent="0.2">
      <c r="A178" s="148" t="s">
        <v>179</v>
      </c>
      <c r="B178" s="159"/>
      <c r="C178" s="159"/>
      <c r="D178" s="159"/>
      <c r="E178" s="159"/>
      <c r="F178" s="159"/>
      <c r="G178" s="159"/>
      <c r="H178" s="159"/>
      <c r="I178" s="147">
        <f t="shared" si="20"/>
        <v>0</v>
      </c>
      <c r="J178" s="160">
        <f t="shared" si="19"/>
        <v>0</v>
      </c>
    </row>
    <row r="179" spans="1:10" hidden="1" outlineLevel="1" x14ac:dyDescent="0.2">
      <c r="A179" s="148" t="s">
        <v>180</v>
      </c>
      <c r="B179" s="159"/>
      <c r="C179" s="159"/>
      <c r="D179" s="159"/>
      <c r="E179" s="159"/>
      <c r="F179" s="159"/>
      <c r="G179" s="159"/>
      <c r="H179" s="159"/>
      <c r="I179" s="147">
        <f t="shared" si="20"/>
        <v>0</v>
      </c>
      <c r="J179" s="160">
        <f t="shared" si="19"/>
        <v>0</v>
      </c>
    </row>
    <row r="180" spans="1:10" hidden="1" outlineLevel="1" x14ac:dyDescent="0.2">
      <c r="A180" s="148" t="s">
        <v>181</v>
      </c>
      <c r="B180" s="159"/>
      <c r="C180" s="159"/>
      <c r="D180" s="159"/>
      <c r="E180" s="159"/>
      <c r="F180" s="159"/>
      <c r="G180" s="159"/>
      <c r="H180" s="159"/>
      <c r="I180" s="147">
        <f t="shared" si="20"/>
        <v>0</v>
      </c>
      <c r="J180" s="160">
        <f t="shared" si="19"/>
        <v>0</v>
      </c>
    </row>
    <row r="181" spans="1:10" hidden="1" outlineLevel="1" x14ac:dyDescent="0.2">
      <c r="A181" s="148" t="s">
        <v>182</v>
      </c>
      <c r="B181" s="159"/>
      <c r="C181" s="159"/>
      <c r="D181" s="159"/>
      <c r="E181" s="159"/>
      <c r="F181" s="159"/>
      <c r="G181" s="159"/>
      <c r="H181" s="159"/>
      <c r="I181" s="147">
        <f t="shared" si="20"/>
        <v>0</v>
      </c>
      <c r="J181" s="160">
        <f t="shared" si="19"/>
        <v>0</v>
      </c>
    </row>
    <row r="182" spans="1:10" hidden="1" outlineLevel="1" x14ac:dyDescent="0.2">
      <c r="A182" s="148" t="s">
        <v>183</v>
      </c>
      <c r="B182" s="159"/>
      <c r="C182" s="159"/>
      <c r="D182" s="159"/>
      <c r="E182" s="159"/>
      <c r="F182" s="159"/>
      <c r="G182" s="159"/>
      <c r="H182" s="159"/>
      <c r="I182" s="147">
        <f t="shared" si="20"/>
        <v>0</v>
      </c>
      <c r="J182" s="160">
        <f t="shared" si="19"/>
        <v>0</v>
      </c>
    </row>
    <row r="183" spans="1:10" hidden="1" outlineLevel="1" x14ac:dyDescent="0.2">
      <c r="A183" s="148" t="s">
        <v>184</v>
      </c>
      <c r="B183" s="159"/>
      <c r="C183" s="159"/>
      <c r="D183" s="159"/>
      <c r="E183" s="159"/>
      <c r="F183" s="159"/>
      <c r="G183" s="159"/>
      <c r="H183" s="159"/>
      <c r="I183" s="147">
        <f t="shared" si="20"/>
        <v>0</v>
      </c>
      <c r="J183" s="160">
        <f t="shared" si="19"/>
        <v>0</v>
      </c>
    </row>
    <row r="184" spans="1:10" hidden="1" outlineLevel="1" x14ac:dyDescent="0.2">
      <c r="A184" s="148" t="s">
        <v>185</v>
      </c>
      <c r="B184" s="159"/>
      <c r="C184" s="159"/>
      <c r="D184" s="159"/>
      <c r="E184" s="159"/>
      <c r="F184" s="159"/>
      <c r="G184" s="159"/>
      <c r="H184" s="159"/>
      <c r="I184" s="147">
        <f t="shared" si="20"/>
        <v>0</v>
      </c>
      <c r="J184" s="160">
        <f t="shared" si="19"/>
        <v>0</v>
      </c>
    </row>
    <row r="185" spans="1:10" hidden="1" outlineLevel="1" x14ac:dyDescent="0.2">
      <c r="A185" s="148" t="s">
        <v>186</v>
      </c>
      <c r="B185" s="159"/>
      <c r="C185" s="159"/>
      <c r="D185" s="159"/>
      <c r="E185" s="159"/>
      <c r="F185" s="159"/>
      <c r="G185" s="159"/>
      <c r="H185" s="159"/>
      <c r="I185" s="147">
        <f t="shared" si="20"/>
        <v>0</v>
      </c>
      <c r="J185" s="160">
        <f t="shared" si="19"/>
        <v>0</v>
      </c>
    </row>
    <row r="186" spans="1:10" hidden="1" outlineLevel="1" x14ac:dyDescent="0.2">
      <c r="A186" s="148" t="s">
        <v>187</v>
      </c>
      <c r="B186" s="159"/>
      <c r="C186" s="159"/>
      <c r="D186" s="159"/>
      <c r="E186" s="159"/>
      <c r="F186" s="159"/>
      <c r="G186" s="159"/>
      <c r="H186" s="159"/>
      <c r="I186" s="147">
        <f t="shared" si="20"/>
        <v>0</v>
      </c>
      <c r="J186" s="160">
        <f t="shared" si="19"/>
        <v>0</v>
      </c>
    </row>
    <row r="187" spans="1:10" hidden="1" outlineLevel="1" x14ac:dyDescent="0.2">
      <c r="A187" s="148" t="s">
        <v>188</v>
      </c>
      <c r="B187" s="159"/>
      <c r="C187" s="159"/>
      <c r="D187" s="159"/>
      <c r="E187" s="159"/>
      <c r="F187" s="159"/>
      <c r="G187" s="159"/>
      <c r="H187" s="159"/>
      <c r="I187" s="147">
        <f t="shared" si="20"/>
        <v>0</v>
      </c>
      <c r="J187" s="160">
        <f t="shared" si="19"/>
        <v>0</v>
      </c>
    </row>
    <row r="188" spans="1:10" hidden="1" outlineLevel="1" x14ac:dyDescent="0.2">
      <c r="A188" s="148" t="s">
        <v>189</v>
      </c>
      <c r="B188" s="159"/>
      <c r="C188" s="159"/>
      <c r="D188" s="159"/>
      <c r="E188" s="159"/>
      <c r="F188" s="159"/>
      <c r="G188" s="159"/>
      <c r="H188" s="159"/>
      <c r="I188" s="147">
        <f t="shared" si="20"/>
        <v>0</v>
      </c>
      <c r="J188" s="160">
        <f t="shared" si="19"/>
        <v>0</v>
      </c>
    </row>
    <row r="189" spans="1:10" hidden="1" outlineLevel="1" x14ac:dyDescent="0.2">
      <c r="A189" s="148" t="s">
        <v>190</v>
      </c>
      <c r="B189" s="159"/>
      <c r="C189" s="159"/>
      <c r="D189" s="159"/>
      <c r="E189" s="159"/>
      <c r="F189" s="159"/>
      <c r="G189" s="159"/>
      <c r="H189" s="159"/>
      <c r="I189" s="147">
        <f t="shared" si="20"/>
        <v>0</v>
      </c>
      <c r="J189" s="160">
        <f t="shared" si="19"/>
        <v>0</v>
      </c>
    </row>
    <row r="190" spans="1:10" hidden="1" outlineLevel="1" x14ac:dyDescent="0.2">
      <c r="A190" s="148" t="s">
        <v>191</v>
      </c>
      <c r="B190" s="159"/>
      <c r="C190" s="159"/>
      <c r="D190" s="159"/>
      <c r="E190" s="159"/>
      <c r="F190" s="159"/>
      <c r="G190" s="159"/>
      <c r="H190" s="159"/>
      <c r="I190" s="147">
        <f t="shared" si="20"/>
        <v>0</v>
      </c>
      <c r="J190" s="160">
        <f t="shared" si="19"/>
        <v>0</v>
      </c>
    </row>
    <row r="191" spans="1:10" collapsed="1" x14ac:dyDescent="0.2">
      <c r="A191" s="147" t="s">
        <v>192</v>
      </c>
      <c r="B191" s="159"/>
      <c r="C191" s="159">
        <f>'Mngt-Lab Admin Total'!S48</f>
        <v>8343.74</v>
      </c>
      <c r="D191" s="159">
        <f>'Mngt-Central Lab Admin '!S47</f>
        <v>-626.24</v>
      </c>
      <c r="E191" s="159">
        <f>'Mngt-Melb Lab Admin '!S47</f>
        <v>3504.72</v>
      </c>
      <c r="F191" s="159">
        <f>'Mngt-Sydney Lab Admin '!S47</f>
        <v>0</v>
      </c>
      <c r="G191" s="159">
        <f>'Mngt-Perth Lab Admin'!S45</f>
        <v>254.56</v>
      </c>
      <c r="H191" s="159">
        <f>'Mngt-Bris Lab Admin '!S48</f>
        <v>0</v>
      </c>
      <c r="I191" s="147">
        <f t="shared" si="20"/>
        <v>3133.0399999999995</v>
      </c>
      <c r="J191" s="160">
        <f t="shared" si="19"/>
        <v>-5210.7000000000007</v>
      </c>
    </row>
    <row r="192" spans="1:10" hidden="1" outlineLevel="1" x14ac:dyDescent="0.2">
      <c r="A192" s="148" t="s">
        <v>193</v>
      </c>
      <c r="B192" s="159"/>
      <c r="C192" s="159">
        <f>'Mngt-Lab Admin Total'!S49</f>
        <v>0</v>
      </c>
      <c r="D192" s="159">
        <f>'Mngt-Central Lab Admin '!S48</f>
        <v>0</v>
      </c>
      <c r="E192" s="159">
        <f>'Mngt-Melb Lab Admin '!S48</f>
        <v>0</v>
      </c>
      <c r="F192" s="159">
        <f>'Mngt-Sydney Lab Admin '!S48</f>
        <v>523.34</v>
      </c>
      <c r="G192" s="159">
        <f>'Mngt-Perth Lab Admin'!S44</f>
        <v>0</v>
      </c>
      <c r="H192" s="159">
        <f>'Mngt-Bris Lab Admin '!S49</f>
        <v>0</v>
      </c>
      <c r="I192" s="147">
        <f t="shared" si="20"/>
        <v>523.34</v>
      </c>
      <c r="J192" s="160">
        <f t="shared" si="19"/>
        <v>523.34</v>
      </c>
    </row>
    <row r="193" spans="1:10" hidden="1" outlineLevel="1" x14ac:dyDescent="0.2">
      <c r="A193" s="148" t="s">
        <v>194</v>
      </c>
      <c r="B193" s="159"/>
      <c r="C193" s="159">
        <f>'Mngt-Lab Admin Total'!S50</f>
        <v>1176.68</v>
      </c>
      <c r="D193" s="159">
        <f>'Mngt-Central Lab Admin '!S49</f>
        <v>0</v>
      </c>
      <c r="E193" s="159">
        <f>'Mngt-Melb Lab Admin '!S49</f>
        <v>1176.68</v>
      </c>
      <c r="F193" s="159">
        <f>'Mngt-Sydney Lab Admin '!S49</f>
        <v>0</v>
      </c>
      <c r="G193" s="159">
        <f>'Mngt-Perth Lab Admin'!S47</f>
        <v>0</v>
      </c>
      <c r="H193" s="159">
        <f>'Mngt-Bris Lab Admin '!S47</f>
        <v>4687.3599999999997</v>
      </c>
      <c r="I193" s="147">
        <f t="shared" si="20"/>
        <v>5864.04</v>
      </c>
      <c r="J193" s="160">
        <f t="shared" si="19"/>
        <v>4687.3599999999997</v>
      </c>
    </row>
    <row r="194" spans="1:10" hidden="1" outlineLevel="1" x14ac:dyDescent="0.2">
      <c r="A194" s="148" t="s">
        <v>82</v>
      </c>
      <c r="B194" s="159"/>
      <c r="C194" s="159">
        <f>'Mngt-Lab Admin Total'!S51</f>
        <v>683.97</v>
      </c>
      <c r="D194" s="159">
        <f>'Mngt-Central Lab Admin '!S50</f>
        <v>0</v>
      </c>
      <c r="E194" s="159">
        <f>'Mngt-Melb Lab Admin '!S50</f>
        <v>0</v>
      </c>
      <c r="F194" s="159">
        <f>'Mngt-Sydney Lab Admin '!S50</f>
        <v>0</v>
      </c>
      <c r="G194" s="159">
        <f>'Mngt-Perth Lab Admin'!S46</f>
        <v>0</v>
      </c>
      <c r="H194" s="159">
        <f>'Mngt-Bris Lab Admin '!S51</f>
        <v>0</v>
      </c>
      <c r="I194" s="147">
        <f t="shared" si="20"/>
        <v>0</v>
      </c>
      <c r="J194" s="160">
        <f t="shared" si="19"/>
        <v>-683.97</v>
      </c>
    </row>
    <row r="195" spans="1:10" hidden="1" outlineLevel="1" x14ac:dyDescent="0.2">
      <c r="A195" s="148" t="s">
        <v>83</v>
      </c>
      <c r="B195" s="159"/>
      <c r="C195" s="159">
        <f>'Mngt-Lab Admin Total'!S52</f>
        <v>0</v>
      </c>
      <c r="D195" s="159">
        <f>'Mngt-Central Lab Admin '!S51</f>
        <v>0</v>
      </c>
      <c r="E195" s="159">
        <f>'Mngt-Melb Lab Admin '!S51</f>
        <v>0</v>
      </c>
      <c r="F195" s="159">
        <f>'Mngt-Sydney Lab Admin '!S51</f>
        <v>683.97</v>
      </c>
      <c r="G195" s="159">
        <f>'Mngt-Perth Lab Admin'!S47</f>
        <v>0</v>
      </c>
      <c r="H195" s="159">
        <f>'Mngt-Bris Lab Admin '!S49</f>
        <v>0</v>
      </c>
      <c r="I195" s="147">
        <f t="shared" si="20"/>
        <v>683.97</v>
      </c>
      <c r="J195" s="160">
        <f t="shared" si="19"/>
        <v>683.97</v>
      </c>
    </row>
    <row r="196" spans="1:10" hidden="1" outlineLevel="1" x14ac:dyDescent="0.2">
      <c r="A196" s="148" t="s">
        <v>84</v>
      </c>
      <c r="B196" s="159"/>
      <c r="C196" s="159">
        <f>'Mngt-Lab Admin Total'!S53</f>
        <v>0</v>
      </c>
      <c r="D196" s="159">
        <f>'Mngt-Central Lab Admin '!S52</f>
        <v>0</v>
      </c>
      <c r="E196" s="159">
        <f>'Mngt-Melb Lab Admin '!S52</f>
        <v>0</v>
      </c>
      <c r="F196" s="159">
        <f>'Mngt-Sydney Lab Admin '!S52</f>
        <v>0</v>
      </c>
      <c r="G196" s="159">
        <f>'Mngt-Perth Lab Admin'!S48</f>
        <v>0</v>
      </c>
      <c r="H196" s="159">
        <f>'Mngt-Bris Lab Admin '!S50</f>
        <v>0</v>
      </c>
      <c r="I196" s="147">
        <f t="shared" si="20"/>
        <v>0</v>
      </c>
      <c r="J196" s="160">
        <f t="shared" si="19"/>
        <v>0</v>
      </c>
    </row>
    <row r="197" spans="1:10" hidden="1" outlineLevel="1" x14ac:dyDescent="0.2">
      <c r="A197" s="148" t="s">
        <v>195</v>
      </c>
      <c r="B197" s="159"/>
      <c r="D197" s="159">
        <v>0</v>
      </c>
      <c r="E197" s="159">
        <f>'Mngt-Melb Lab Admin '!S53</f>
        <v>0</v>
      </c>
      <c r="F197" s="159">
        <f>'Mngt-Sydney Lab Admin '!S53</f>
        <v>0</v>
      </c>
      <c r="G197" s="159">
        <f>'Mngt-Perth Lab Admin'!S49</f>
        <v>0</v>
      </c>
      <c r="H197" s="159">
        <v>0</v>
      </c>
      <c r="I197" s="147">
        <f t="shared" si="20"/>
        <v>0</v>
      </c>
      <c r="J197" s="160">
        <f t="shared" si="19"/>
        <v>0</v>
      </c>
    </row>
    <row r="198" spans="1:10" hidden="1" outlineLevel="1" x14ac:dyDescent="0.2">
      <c r="A198" s="148" t="s">
        <v>86</v>
      </c>
      <c r="B198" s="159"/>
      <c r="C198" s="159">
        <f>'Mngt-Lab Admin Total'!S56</f>
        <v>20933.919999999998</v>
      </c>
      <c r="D198" s="159">
        <f>'Mngt-Central Lab Admin '!S55</f>
        <v>270</v>
      </c>
      <c r="E198" s="159">
        <f>'Mngt-Melb Lab Admin '!S54</f>
        <v>3530.6</v>
      </c>
      <c r="F198" s="159">
        <f>'Mngt-Sydney Lab Admin '!S54</f>
        <v>0</v>
      </c>
      <c r="G198" s="159">
        <f>'Mngt-Perth Lab Admin'!S52</f>
        <v>5860.84</v>
      </c>
      <c r="H198" s="159">
        <f>'Mngt-Bris Lab Admin '!S55</f>
        <v>0</v>
      </c>
      <c r="I198" s="147">
        <f t="shared" si="20"/>
        <v>9661.44</v>
      </c>
      <c r="J198" s="160">
        <f t="shared" si="19"/>
        <v>-11272.479999999998</v>
      </c>
    </row>
    <row r="199" spans="1:10" hidden="1" outlineLevel="1" x14ac:dyDescent="0.2">
      <c r="A199" s="148" t="s">
        <v>110</v>
      </c>
      <c r="B199" s="159"/>
      <c r="D199" s="159">
        <f>'Mngt-Central Lab Admin '!S56</f>
        <v>0</v>
      </c>
      <c r="E199" s="159">
        <f>'Mngt-Melb Lab Admin '!S55</f>
        <v>0</v>
      </c>
      <c r="F199" s="159">
        <f>'Mngt-Sydney Lab Admin '!S55</f>
        <v>8057.73</v>
      </c>
      <c r="G199" s="159">
        <f>'Mngt-Perth Lab Admin'!S51</f>
        <v>0</v>
      </c>
      <c r="H199" s="159">
        <f>'Mngt-Bris Lab Admin '!S53</f>
        <v>0</v>
      </c>
      <c r="I199" s="147">
        <f t="shared" si="20"/>
        <v>8057.73</v>
      </c>
      <c r="J199" s="160">
        <f t="shared" si="19"/>
        <v>8057.73</v>
      </c>
    </row>
    <row r="200" spans="1:10" hidden="1" outlineLevel="1" x14ac:dyDescent="0.2">
      <c r="A200" s="148" t="s">
        <v>196</v>
      </c>
      <c r="B200" s="159"/>
      <c r="C200" s="159">
        <f>'Mngt-Lab Admin Total'!S58</f>
        <v>0</v>
      </c>
      <c r="D200" s="159">
        <f>'Mngt-Central Lab Admin '!S56</f>
        <v>0</v>
      </c>
      <c r="E200" s="159">
        <f>'Mngt-Melb Lab Admin '!S56</f>
        <v>0</v>
      </c>
      <c r="F200" s="159">
        <f>'Mngt-Sydney Lab Admin '!S56</f>
        <v>0</v>
      </c>
      <c r="G200" s="159">
        <f>'Mngt-Perth Lab Admin'!S54</f>
        <v>0</v>
      </c>
      <c r="H200" s="159">
        <f>'Mngt-Bris Lab Admin '!S54</f>
        <v>3214.75</v>
      </c>
      <c r="I200" s="147">
        <f t="shared" si="20"/>
        <v>3214.75</v>
      </c>
      <c r="J200" s="160">
        <f t="shared" si="19"/>
        <v>3214.75</v>
      </c>
    </row>
    <row r="201" spans="1:10" hidden="1" outlineLevel="1" x14ac:dyDescent="0.2">
      <c r="A201" s="148" t="s">
        <v>197</v>
      </c>
      <c r="B201" s="159"/>
      <c r="C201" s="159">
        <f>'Mngt-Lab Admin Total'!S59</f>
        <v>12624.5</v>
      </c>
      <c r="D201" s="159">
        <f>'Mngt-Central Lab Admin '!S57</f>
        <v>0</v>
      </c>
      <c r="E201" s="159">
        <f>'Mngt-Melb Lab Admin '!S57</f>
        <v>16858.740000000002</v>
      </c>
      <c r="F201" s="159">
        <f>'Mngt-Sydney Lab Admin '!S57</f>
        <v>0</v>
      </c>
      <c r="G201" s="159">
        <f>'Mngt-Perth Lab Admin'!S55</f>
        <v>0</v>
      </c>
      <c r="H201" s="159">
        <v>0</v>
      </c>
      <c r="I201" s="147">
        <f t="shared" si="20"/>
        <v>16858.740000000002</v>
      </c>
      <c r="J201" s="160">
        <f t="shared" si="19"/>
        <v>4234.2400000000016</v>
      </c>
    </row>
    <row r="202" spans="1:10" hidden="1" outlineLevel="1" x14ac:dyDescent="0.2">
      <c r="A202" s="148" t="s">
        <v>198</v>
      </c>
      <c r="B202" s="159"/>
      <c r="C202" s="159">
        <f>'Mngt-Lab Admin Total'!S60</f>
        <v>2891.99</v>
      </c>
      <c r="D202" s="159">
        <f>'Mngt-Central Lab Admin '!S58</f>
        <v>7645.76</v>
      </c>
      <c r="E202" s="159">
        <f>'Mngt-Melb Lab Admin '!S58</f>
        <v>1123.92</v>
      </c>
      <c r="F202" s="159">
        <f>'Mngt-Sydney Lab Admin '!S58</f>
        <v>-11880</v>
      </c>
      <c r="G202" s="159" t="e">
        <f>'Mngt-Perth Lab Admin'!#REF!</f>
        <v>#REF!</v>
      </c>
      <c r="H202" s="159">
        <f>'Mngt-Bris Lab Admin '!S59</f>
        <v>4404.95</v>
      </c>
      <c r="I202" s="147" t="e">
        <f t="shared" si="20"/>
        <v>#REF!</v>
      </c>
      <c r="J202" s="160" t="e">
        <f t="shared" si="19"/>
        <v>#REF!</v>
      </c>
    </row>
    <row r="203" spans="1:10" hidden="1" outlineLevel="1" x14ac:dyDescent="0.2">
      <c r="A203" s="148" t="s">
        <v>199</v>
      </c>
      <c r="B203" s="159"/>
      <c r="C203" s="159">
        <f>'Mngt-Lab Admin Total'!S54</f>
        <v>0</v>
      </c>
      <c r="D203" s="159">
        <f>'Mngt-Central Lab Admin '!S53</f>
        <v>0</v>
      </c>
      <c r="E203" s="159">
        <v>0</v>
      </c>
      <c r="F203" s="159">
        <v>0</v>
      </c>
      <c r="G203" s="159">
        <f>'Mngt-Perth Lab Admin'!S55</f>
        <v>0</v>
      </c>
      <c r="H203" s="159">
        <f>'Mngt-Bris Lab Admin '!S57</f>
        <v>0</v>
      </c>
      <c r="I203" s="147">
        <f t="shared" si="20"/>
        <v>0</v>
      </c>
      <c r="J203" s="160">
        <f t="shared" si="19"/>
        <v>0</v>
      </c>
    </row>
    <row r="204" spans="1:10" collapsed="1" x14ac:dyDescent="0.2">
      <c r="A204" s="147" t="s">
        <v>89</v>
      </c>
      <c r="B204" s="159"/>
      <c r="C204" s="159">
        <f>'Mngt-Lab Admin Total'!S61</f>
        <v>38311.06</v>
      </c>
      <c r="D204" s="159">
        <f>'Mngt-Central Lab Admin '!S59</f>
        <v>0</v>
      </c>
      <c r="E204" s="159">
        <f>'Mngt-Melb Lab Admin '!S59</f>
        <v>22689.94</v>
      </c>
      <c r="F204" s="159">
        <f>'Mngt-Sydney Lab Admin '!S59</f>
        <v>577.87</v>
      </c>
      <c r="G204" s="159">
        <f>'Mngt-Perth Lab Admin'!S56</f>
        <v>5860.84</v>
      </c>
      <c r="H204" s="159">
        <f>'Mngt-Bris Lab Admin '!S60</f>
        <v>82156.34</v>
      </c>
      <c r="I204" s="147">
        <f t="shared" si="20"/>
        <v>111284.98999999999</v>
      </c>
      <c r="J204" s="160">
        <f t="shared" si="19"/>
        <v>72973.929999999993</v>
      </c>
    </row>
    <row r="205" spans="1:10" x14ac:dyDescent="0.2">
      <c r="A205" s="147" t="s">
        <v>201</v>
      </c>
      <c r="B205" s="159"/>
      <c r="C205" s="159">
        <f>'Mngt-Lab Admin Total'!S62</f>
        <v>475112.07</v>
      </c>
      <c r="D205" s="159">
        <f>'Mngt-Central Lab Admin '!S60</f>
        <v>7915.76</v>
      </c>
      <c r="E205" s="159">
        <f>'Mngt-Melb Lab Admin '!S60</f>
        <v>97660.52</v>
      </c>
      <c r="F205" s="159">
        <f>'Mngt-Sydney Lab Admin '!S60</f>
        <v>-2560.4299999999998</v>
      </c>
      <c r="G205" s="159">
        <f>'Mngt-Perth Lab Admin'!S57</f>
        <v>18478.78</v>
      </c>
      <c r="H205" s="159">
        <f>'Mngt-Bris Lab Admin '!S61</f>
        <v>0</v>
      </c>
      <c r="I205" s="147">
        <f t="shared" si="20"/>
        <v>121494.63</v>
      </c>
      <c r="J205" s="160">
        <f t="shared" si="19"/>
        <v>-353617.44</v>
      </c>
    </row>
    <row r="206" spans="1:10" x14ac:dyDescent="0.2">
      <c r="A206" s="147"/>
      <c r="B206" s="159"/>
      <c r="C206" s="159"/>
      <c r="D206" s="159"/>
      <c r="E206" s="159"/>
      <c r="F206" s="159"/>
      <c r="G206" s="159"/>
      <c r="H206" s="159"/>
      <c r="I206" s="147"/>
      <c r="J206" s="160"/>
    </row>
    <row r="207" spans="1:10" x14ac:dyDescent="0.2">
      <c r="A207" s="147"/>
      <c r="B207" s="159"/>
      <c r="C207" s="159"/>
      <c r="D207" s="159"/>
      <c r="E207" s="159"/>
      <c r="F207" s="159"/>
      <c r="G207" s="159"/>
      <c r="H207" s="159"/>
      <c r="I207" s="147"/>
      <c r="J207" s="160"/>
    </row>
    <row r="208" spans="1:10" x14ac:dyDescent="0.2">
      <c r="A208" s="147"/>
      <c r="B208" s="159"/>
      <c r="C208" s="159"/>
      <c r="D208" s="159"/>
      <c r="E208" s="159"/>
      <c r="F208" s="159"/>
      <c r="G208" s="159"/>
      <c r="H208" s="159"/>
      <c r="I208" s="147"/>
      <c r="J208" s="160"/>
    </row>
    <row r="209" spans="1:10" ht="13.5" thickBot="1" x14ac:dyDescent="0.25">
      <c r="A209" s="144"/>
      <c r="B209" s="145"/>
      <c r="C209" s="145"/>
      <c r="D209" s="145"/>
      <c r="E209" s="145"/>
      <c r="F209" s="145"/>
      <c r="G209" s="145"/>
      <c r="H209" s="145"/>
      <c r="I209" s="144"/>
      <c r="J209" s="146"/>
    </row>
  </sheetData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2:O209"/>
  <sheetViews>
    <sheetView topLeftCell="D61" workbookViewId="0">
      <selection activeCell="M89" sqref="M89:N89"/>
    </sheetView>
  </sheetViews>
  <sheetFormatPr defaultColWidth="9.42578125" defaultRowHeight="12.75" outlineLevelRow="1" x14ac:dyDescent="0.2"/>
  <cols>
    <col min="1" max="1" width="49.42578125" style="169" bestFit="1" customWidth="1"/>
    <col min="2" max="2" width="15.5703125" style="169" customWidth="1"/>
    <col min="3" max="5" width="15.42578125" style="169" customWidth="1"/>
    <col min="6" max="6" width="21.42578125" style="169" bestFit="1" customWidth="1"/>
    <col min="7" max="7" width="20.5703125" style="169" bestFit="1" customWidth="1"/>
    <col min="8" max="8" width="21.42578125" style="169" bestFit="1" customWidth="1"/>
    <col min="9" max="9" width="20.5703125" style="169" bestFit="1" customWidth="1"/>
    <col min="10" max="10" width="16.5703125" style="169" customWidth="1"/>
    <col min="11" max="11" width="11.42578125" style="169" bestFit="1" customWidth="1"/>
    <col min="12" max="12" width="12" style="169" bestFit="1" customWidth="1"/>
    <col min="13" max="13" width="15.5703125" style="169" bestFit="1" customWidth="1"/>
    <col min="14" max="14" width="14" style="169" bestFit="1" customWidth="1"/>
    <col min="15" max="15" width="11.42578125" style="169" customWidth="1"/>
    <col min="16" max="16384" width="9.42578125" style="169"/>
  </cols>
  <sheetData>
    <row r="2" spans="1:9" x14ac:dyDescent="0.2">
      <c r="A2" s="511" t="s">
        <v>354</v>
      </c>
    </row>
    <row r="4" spans="1:9" ht="13.5" thickBot="1" x14ac:dyDescent="0.25"/>
    <row r="5" spans="1:9" x14ac:dyDescent="0.2">
      <c r="A5" s="512" t="s">
        <v>265</v>
      </c>
      <c r="B5" s="513" t="s">
        <v>266</v>
      </c>
      <c r="C5" s="514" t="s">
        <v>267</v>
      </c>
      <c r="D5" s="514" t="s">
        <v>268</v>
      </c>
      <c r="E5" s="514" t="s">
        <v>269</v>
      </c>
      <c r="F5" s="514" t="s">
        <v>270</v>
      </c>
      <c r="G5" s="514" t="s">
        <v>271</v>
      </c>
      <c r="H5" s="512" t="s">
        <v>272</v>
      </c>
      <c r="I5" s="515" t="s">
        <v>273</v>
      </c>
    </row>
    <row r="6" spans="1:9" ht="13.5" thickBot="1" x14ac:dyDescent="0.25">
      <c r="A6" s="516"/>
      <c r="B6" s="162"/>
      <c r="C6" s="162"/>
      <c r="D6" s="162"/>
      <c r="E6" s="162"/>
      <c r="F6" s="162"/>
      <c r="G6" s="162"/>
      <c r="H6" s="516"/>
      <c r="I6" s="517"/>
    </row>
    <row r="7" spans="1:9" x14ac:dyDescent="0.2">
      <c r="A7" s="401" t="s">
        <v>7</v>
      </c>
      <c r="B7" s="220">
        <f>'Mngt-Microbiology '!C2</f>
        <v>0</v>
      </c>
      <c r="C7" s="220">
        <f>'Mngt-Consulting Micro SC '!C2</f>
        <v>0</v>
      </c>
      <c r="D7" s="220">
        <f>'Mngt-Sydney Micro '!C2</f>
        <v>0</v>
      </c>
      <c r="E7" s="220">
        <f>'Mngt-Melbourne Micro '!C2</f>
        <v>0</v>
      </c>
      <c r="F7" s="220">
        <f>'Mngt-Brisbane Micro '!C2</f>
        <v>0</v>
      </c>
      <c r="G7" s="220">
        <f>'Mngt-Perth Micro '!C2</f>
        <v>0</v>
      </c>
      <c r="H7" s="354">
        <f>SUM(C7:G7)</f>
        <v>0</v>
      </c>
      <c r="I7" s="355">
        <f>B7-H7</f>
        <v>0</v>
      </c>
    </row>
    <row r="8" spans="1:9" x14ac:dyDescent="0.2">
      <c r="A8" s="401" t="s">
        <v>166</v>
      </c>
      <c r="B8" s="220">
        <f>'Mngt-Microbiology '!C9</f>
        <v>0</v>
      </c>
      <c r="C8" s="220">
        <f>'Mngt-Consulting Micro SC '!C10</f>
        <v>0</v>
      </c>
      <c r="D8" s="220">
        <f>'Mngt-Sydney Micro '!C9</f>
        <v>0</v>
      </c>
      <c r="E8" s="220">
        <f>'Mngt-Melbourne Micro '!C10</f>
        <v>0</v>
      </c>
      <c r="F8" s="220">
        <f>'Mngt-Brisbane Micro '!C10</f>
        <v>0</v>
      </c>
      <c r="G8" s="220">
        <f>'Mngt-Perth Micro '!C9</f>
        <v>0</v>
      </c>
      <c r="H8" s="354">
        <f>SUM(C8:G8)</f>
        <v>0</v>
      </c>
      <c r="I8" s="355">
        <f>B8-H8</f>
        <v>0</v>
      </c>
    </row>
    <row r="9" spans="1:9" x14ac:dyDescent="0.2">
      <c r="A9" s="401" t="s">
        <v>167</v>
      </c>
      <c r="B9" s="220">
        <f>'Mngt-Microbiology '!C10</f>
        <v>0</v>
      </c>
      <c r="C9" s="220">
        <f>'Mngt-Consulting Micro SC '!C11</f>
        <v>0</v>
      </c>
      <c r="D9" s="220">
        <f>'Mngt-Sydney Micro '!C10</f>
        <v>0</v>
      </c>
      <c r="E9" s="220">
        <f>'Mngt-Melbourne Micro '!C11</f>
        <v>0</v>
      </c>
      <c r="F9" s="220">
        <f>'Mngt-Brisbane Micro '!C11</f>
        <v>0</v>
      </c>
      <c r="G9" s="220">
        <f>'Mngt-Perth Micro '!C10</f>
        <v>0</v>
      </c>
      <c r="H9" s="354">
        <f t="shared" ref="H9:H33" si="0">SUM(C9:G9)</f>
        <v>0</v>
      </c>
      <c r="I9" s="355">
        <f t="shared" ref="I9:I33" si="1">B9-H9</f>
        <v>0</v>
      </c>
    </row>
    <row r="10" spans="1:9" x14ac:dyDescent="0.2">
      <c r="A10" s="401" t="s">
        <v>168</v>
      </c>
      <c r="B10" s="220">
        <f>'Mngt-Microbiology '!C11</f>
        <v>0</v>
      </c>
      <c r="C10" s="220">
        <f>'Mngt-Consulting Micro SC '!C12</f>
        <v>0</v>
      </c>
      <c r="D10" s="220">
        <f>'Mngt-Sydney Micro '!C11</f>
        <v>0</v>
      </c>
      <c r="E10" s="220">
        <f>'Mngt-Melbourne Micro '!C12</f>
        <v>0</v>
      </c>
      <c r="F10" s="220">
        <f>'Mngt-Brisbane Micro '!C12</f>
        <v>0</v>
      </c>
      <c r="G10" s="220">
        <f>'Mngt-Perth Micro '!C11</f>
        <v>0</v>
      </c>
      <c r="H10" s="354">
        <f t="shared" si="0"/>
        <v>0</v>
      </c>
      <c r="I10" s="355">
        <f t="shared" si="1"/>
        <v>0</v>
      </c>
    </row>
    <row r="11" spans="1:9" x14ac:dyDescent="0.2">
      <c r="A11" s="401" t="s">
        <v>169</v>
      </c>
      <c r="B11" s="220">
        <f>'Mngt-Microbiology '!C12</f>
        <v>0</v>
      </c>
      <c r="C11" s="220">
        <f>'Mngt-Consulting Micro SC '!C13</f>
        <v>0</v>
      </c>
      <c r="D11" s="220">
        <f>'Mngt-Sydney Micro '!C12</f>
        <v>0</v>
      </c>
      <c r="E11" s="220">
        <f>'Mngt-Melbourne Micro '!C13</f>
        <v>0</v>
      </c>
      <c r="F11" s="220">
        <f>'Mngt-Brisbane Micro '!C13</f>
        <v>0</v>
      </c>
      <c r="G11" s="220">
        <f>'Mngt-Perth Micro '!C12</f>
        <v>0</v>
      </c>
      <c r="H11" s="354">
        <f t="shared" si="0"/>
        <v>0</v>
      </c>
      <c r="I11" s="355">
        <f t="shared" si="1"/>
        <v>0</v>
      </c>
    </row>
    <row r="12" spans="1:9" x14ac:dyDescent="0.2">
      <c r="A12" s="401" t="s">
        <v>50</v>
      </c>
      <c r="B12" s="165">
        <f>'Mngt-Microbiology '!C13</f>
        <v>0</v>
      </c>
      <c r="C12" s="165">
        <f>'Mngt-Consulting Micro SC '!C14</f>
        <v>0</v>
      </c>
      <c r="D12" s="165">
        <f>'Mngt-Sydney Micro '!C13</f>
        <v>0</v>
      </c>
      <c r="E12" s="165">
        <f>'Mngt-Melbourne Micro '!C14</f>
        <v>0</v>
      </c>
      <c r="F12" s="165">
        <f>'Mngt-Brisbane Micro '!C14</f>
        <v>0</v>
      </c>
      <c r="G12" s="165">
        <f>'Mngt-Perth Micro '!C13</f>
        <v>0</v>
      </c>
      <c r="H12" s="354">
        <f t="shared" si="0"/>
        <v>0</v>
      </c>
      <c r="I12" s="355">
        <f t="shared" si="1"/>
        <v>0</v>
      </c>
    </row>
    <row r="13" spans="1:9" x14ac:dyDescent="0.2">
      <c r="A13" s="401" t="s">
        <v>170</v>
      </c>
      <c r="B13" s="165">
        <f>'Mngt-Microbiology '!C14</f>
        <v>0</v>
      </c>
      <c r="C13" s="165">
        <f>'Mngt-Consulting Micro SC '!C15</f>
        <v>0</v>
      </c>
      <c r="D13" s="165">
        <f>'Mngt-Sydney Micro '!C14</f>
        <v>0</v>
      </c>
      <c r="E13" s="165">
        <f>'Mngt-Melbourne Micro '!C15</f>
        <v>0</v>
      </c>
      <c r="F13" s="165">
        <f>'Mngt-Brisbane Micro '!C15</f>
        <v>0</v>
      </c>
      <c r="G13" s="165">
        <f>'Mngt-Perth Micro '!C14</f>
        <v>0</v>
      </c>
      <c r="H13" s="354">
        <f t="shared" si="0"/>
        <v>0</v>
      </c>
      <c r="I13" s="355">
        <f t="shared" si="1"/>
        <v>0</v>
      </c>
    </row>
    <row r="14" spans="1:9" x14ac:dyDescent="0.2">
      <c r="A14" s="401" t="s">
        <v>171</v>
      </c>
      <c r="B14" s="165">
        <f>'Mngt-Microbiology '!C15</f>
        <v>0</v>
      </c>
      <c r="C14" s="165">
        <f>'Mngt-Consulting Micro SC '!C16</f>
        <v>0</v>
      </c>
      <c r="D14" s="165">
        <f>'Mngt-Sydney Micro '!C15</f>
        <v>0</v>
      </c>
      <c r="E14" s="165">
        <f>'Mngt-Melbourne Micro '!C16</f>
        <v>0</v>
      </c>
      <c r="F14" s="165">
        <f>'Mngt-Brisbane Micro '!C16</f>
        <v>0</v>
      </c>
      <c r="G14" s="165">
        <f>'Mngt-Perth Micro '!C15</f>
        <v>0</v>
      </c>
      <c r="H14" s="354">
        <f t="shared" si="0"/>
        <v>0</v>
      </c>
      <c r="I14" s="355">
        <f t="shared" si="1"/>
        <v>0</v>
      </c>
    </row>
    <row r="15" spans="1:9" x14ac:dyDescent="0.2">
      <c r="A15" s="401" t="s">
        <v>172</v>
      </c>
      <c r="B15" s="165">
        <f>'Mngt-Microbiology '!C16</f>
        <v>0</v>
      </c>
      <c r="C15" s="165">
        <f>'Mngt-Consulting Micro SC '!C17</f>
        <v>0</v>
      </c>
      <c r="D15" s="165">
        <f>'Mngt-Sydney Micro '!C16</f>
        <v>0</v>
      </c>
      <c r="E15" s="165">
        <f>'Mngt-Melbourne Micro '!C17</f>
        <v>0</v>
      </c>
      <c r="F15" s="165">
        <f>'Mngt-Brisbane Micro '!C17</f>
        <v>0</v>
      </c>
      <c r="G15" s="165">
        <f>'Mngt-Perth Micro '!C16</f>
        <v>0</v>
      </c>
      <c r="H15" s="354">
        <f t="shared" si="0"/>
        <v>0</v>
      </c>
      <c r="I15" s="355">
        <f t="shared" si="1"/>
        <v>0</v>
      </c>
    </row>
    <row r="16" spans="1:9" x14ac:dyDescent="0.2">
      <c r="A16" s="401" t="s">
        <v>173</v>
      </c>
      <c r="B16" s="165">
        <f>'Mngt-Microbiology '!C17</f>
        <v>0</v>
      </c>
      <c r="C16" s="165">
        <f>'Mngt-Consulting Micro SC '!C18</f>
        <v>0</v>
      </c>
      <c r="D16" s="165">
        <f>'Mngt-Sydney Micro '!C17</f>
        <v>0</v>
      </c>
      <c r="E16" s="165">
        <f>'Mngt-Melbourne Micro '!C18</f>
        <v>0</v>
      </c>
      <c r="F16" s="165">
        <f>'Mngt-Brisbane Micro '!C18</f>
        <v>0</v>
      </c>
      <c r="G16" s="165">
        <f>'Mngt-Perth Micro '!C17</f>
        <v>0</v>
      </c>
      <c r="H16" s="354">
        <f t="shared" si="0"/>
        <v>0</v>
      </c>
      <c r="I16" s="355">
        <f t="shared" si="1"/>
        <v>0</v>
      </c>
    </row>
    <row r="17" spans="1:9" x14ac:dyDescent="0.2">
      <c r="A17" s="401" t="s">
        <v>257</v>
      </c>
      <c r="B17" s="165">
        <f>'Mngt-Microbiology '!C18</f>
        <v>0</v>
      </c>
      <c r="C17" s="165">
        <f>'Mngt-Consulting Micro SC '!C19</f>
        <v>0</v>
      </c>
      <c r="D17" s="165">
        <f>'Mngt-Sydney Micro '!C18</f>
        <v>0</v>
      </c>
      <c r="E17" s="165">
        <f>'Mngt-Melbourne Micro '!C19</f>
        <v>0</v>
      </c>
      <c r="F17" s="165">
        <f>'Mngt-Brisbane Micro '!C19</f>
        <v>0</v>
      </c>
      <c r="G17" s="165">
        <f>'Mngt-Perth Micro '!C18</f>
        <v>0</v>
      </c>
      <c r="H17" s="354">
        <f t="shared" si="0"/>
        <v>0</v>
      </c>
      <c r="I17" s="355">
        <f t="shared" si="1"/>
        <v>0</v>
      </c>
    </row>
    <row r="18" spans="1:9" x14ac:dyDescent="0.2">
      <c r="A18" s="401" t="s">
        <v>70</v>
      </c>
      <c r="B18" s="165">
        <f>'Mngt-Microbiology '!C22</f>
        <v>0</v>
      </c>
      <c r="C18" s="165">
        <f>'Mngt-Consulting Micro SC '!C23</f>
        <v>0</v>
      </c>
      <c r="D18" s="165">
        <f>'Mngt-Sydney Micro '!C22</f>
        <v>0</v>
      </c>
      <c r="E18" s="165">
        <f>'Mngt-Melbourne Micro '!C23</f>
        <v>0</v>
      </c>
      <c r="F18" s="165">
        <f>'Mngt-Brisbane Micro '!C23</f>
        <v>0</v>
      </c>
      <c r="G18" s="165">
        <f>'Mngt-Perth Micro '!C22</f>
        <v>0</v>
      </c>
      <c r="H18" s="354">
        <f t="shared" si="0"/>
        <v>0</v>
      </c>
      <c r="I18" s="355">
        <f t="shared" si="1"/>
        <v>0</v>
      </c>
    </row>
    <row r="19" spans="1:9" outlineLevel="1" x14ac:dyDescent="0.2">
      <c r="A19" s="401" t="s">
        <v>174</v>
      </c>
      <c r="B19" s="165">
        <f>'Mngt-Microbiology '!C23</f>
        <v>0</v>
      </c>
      <c r="C19" s="165">
        <f>'Mngt-Consulting Micro SC '!C24</f>
        <v>0</v>
      </c>
      <c r="D19" s="165">
        <f>'Mngt-Sydney Micro '!C23</f>
        <v>0</v>
      </c>
      <c r="E19" s="165">
        <f>'Mngt-Melbourne Micro '!C24</f>
        <v>0</v>
      </c>
      <c r="F19" s="165">
        <f>'Mngt-Brisbane Micro '!C24</f>
        <v>0</v>
      </c>
      <c r="G19" s="165">
        <f>'Mngt-Perth Micro '!C23</f>
        <v>0</v>
      </c>
      <c r="H19" s="354">
        <f t="shared" si="0"/>
        <v>0</v>
      </c>
      <c r="I19" s="355">
        <f t="shared" si="1"/>
        <v>0</v>
      </c>
    </row>
    <row r="20" spans="1:9" outlineLevel="1" x14ac:dyDescent="0.2">
      <c r="A20" s="401" t="s">
        <v>99</v>
      </c>
      <c r="B20" s="165">
        <f>'Mngt-Microbiology '!C24</f>
        <v>0</v>
      </c>
      <c r="C20" s="165">
        <f>'Mngt-Consulting Micro SC '!C25</f>
        <v>0</v>
      </c>
      <c r="D20" s="165">
        <f>'Mngt-Sydney Micro '!C24</f>
        <v>0</v>
      </c>
      <c r="E20" s="165">
        <f>'Mngt-Melbourne Micro '!C25</f>
        <v>0</v>
      </c>
      <c r="F20" s="165">
        <f>'Mngt-Brisbane Micro '!C25</f>
        <v>0</v>
      </c>
      <c r="G20" s="165">
        <f>'Mngt-Perth Micro '!C24</f>
        <v>0</v>
      </c>
      <c r="H20" s="354">
        <f t="shared" si="0"/>
        <v>0</v>
      </c>
      <c r="I20" s="355">
        <f t="shared" si="1"/>
        <v>0</v>
      </c>
    </row>
    <row r="21" spans="1:9" outlineLevel="1" x14ac:dyDescent="0.2">
      <c r="A21" s="401" t="s">
        <v>175</v>
      </c>
      <c r="B21" s="165">
        <f>'Mngt-Microbiology '!C25</f>
        <v>0</v>
      </c>
      <c r="C21" s="165">
        <f>'Mngt-Consulting Micro SC '!C26</f>
        <v>0</v>
      </c>
      <c r="D21" s="165">
        <f>'Mngt-Sydney Micro '!C25</f>
        <v>0</v>
      </c>
      <c r="E21" s="165">
        <f>'Mngt-Melbourne Micro '!C26</f>
        <v>0</v>
      </c>
      <c r="F21" s="165">
        <f>'Mngt-Brisbane Micro '!C26</f>
        <v>0</v>
      </c>
      <c r="G21" s="165">
        <f>'Mngt-Perth Micro '!C25</f>
        <v>0</v>
      </c>
      <c r="H21" s="354">
        <f t="shared" si="0"/>
        <v>0</v>
      </c>
      <c r="I21" s="355">
        <f t="shared" si="1"/>
        <v>0</v>
      </c>
    </row>
    <row r="22" spans="1:9" outlineLevel="1" x14ac:dyDescent="0.2">
      <c r="A22" s="401" t="s">
        <v>100</v>
      </c>
      <c r="B22" s="165">
        <f>'Mngt-Microbiology '!C26</f>
        <v>0</v>
      </c>
      <c r="C22" s="165">
        <f>'Mngt-Consulting Micro SC '!C27</f>
        <v>0</v>
      </c>
      <c r="D22" s="165">
        <f>'Mngt-Sydney Micro '!C26</f>
        <v>0</v>
      </c>
      <c r="E22" s="165">
        <f>'Mngt-Melbourne Micro '!C27</f>
        <v>0</v>
      </c>
      <c r="F22" s="165">
        <f>'Mngt-Brisbane Micro '!C27</f>
        <v>0</v>
      </c>
      <c r="G22" s="165">
        <f>'Mngt-Perth Micro '!C26</f>
        <v>0</v>
      </c>
      <c r="H22" s="354">
        <f t="shared" si="0"/>
        <v>0</v>
      </c>
      <c r="I22" s="355">
        <f t="shared" si="1"/>
        <v>0</v>
      </c>
    </row>
    <row r="23" spans="1:9" outlineLevel="1" x14ac:dyDescent="0.2">
      <c r="A23" s="401" t="s">
        <v>101</v>
      </c>
      <c r="B23" s="165">
        <f>'Mngt-Microbiology '!C27</f>
        <v>0</v>
      </c>
      <c r="C23" s="165">
        <f>'Mngt-Consulting Micro SC '!C28</f>
        <v>0</v>
      </c>
      <c r="D23" s="165">
        <f>'Mngt-Sydney Micro '!C27</f>
        <v>0</v>
      </c>
      <c r="E23" s="165">
        <f>'Mngt-Melbourne Micro '!C28</f>
        <v>0</v>
      </c>
      <c r="F23" s="165">
        <f>'Mngt-Brisbane Micro '!C28</f>
        <v>0</v>
      </c>
      <c r="G23" s="165">
        <f>'Mngt-Perth Micro '!C27</f>
        <v>0</v>
      </c>
      <c r="H23" s="354">
        <f t="shared" si="0"/>
        <v>0</v>
      </c>
      <c r="I23" s="355">
        <f t="shared" si="1"/>
        <v>0</v>
      </c>
    </row>
    <row r="24" spans="1:9" outlineLevel="1" x14ac:dyDescent="0.2">
      <c r="A24" s="401" t="s">
        <v>176</v>
      </c>
      <c r="B24" s="165">
        <f>'Mngt-Microbiology '!C28</f>
        <v>0</v>
      </c>
      <c r="C24" s="165">
        <f>'Mngt-Consulting Micro SC '!C29</f>
        <v>0</v>
      </c>
      <c r="D24" s="165">
        <f>'Mngt-Sydney Micro '!C28</f>
        <v>0</v>
      </c>
      <c r="E24" s="165">
        <f>'Mngt-Melbourne Micro '!C29</f>
        <v>0</v>
      </c>
      <c r="F24" s="165">
        <f>'Mngt-Brisbane Micro '!C29</f>
        <v>0</v>
      </c>
      <c r="G24" s="165">
        <f>'Mngt-Perth Micro '!C28</f>
        <v>0</v>
      </c>
      <c r="H24" s="354">
        <f t="shared" si="0"/>
        <v>0</v>
      </c>
      <c r="I24" s="355">
        <f t="shared" si="1"/>
        <v>0</v>
      </c>
    </row>
    <row r="25" spans="1:9" outlineLevel="1" x14ac:dyDescent="0.2">
      <c r="A25" s="401" t="s">
        <v>102</v>
      </c>
      <c r="B25" s="165">
        <f>'Mngt-Microbiology '!C29</f>
        <v>0</v>
      </c>
      <c r="C25" s="165">
        <f>'Mngt-Consulting Micro SC '!C30</f>
        <v>0</v>
      </c>
      <c r="D25" s="165">
        <f>'Mngt-Sydney Micro '!C29</f>
        <v>0</v>
      </c>
      <c r="E25" s="165">
        <f>'Mngt-Melbourne Micro '!C30</f>
        <v>0</v>
      </c>
      <c r="F25" s="165">
        <f>'Mngt-Brisbane Micro '!C30</f>
        <v>0</v>
      </c>
      <c r="G25" s="165">
        <f>'Mngt-Perth Micro '!C29</f>
        <v>0</v>
      </c>
      <c r="H25" s="354">
        <f t="shared" si="0"/>
        <v>0</v>
      </c>
      <c r="I25" s="355">
        <f t="shared" si="1"/>
        <v>0</v>
      </c>
    </row>
    <row r="26" spans="1:9" outlineLevel="1" x14ac:dyDescent="0.2">
      <c r="A26" s="401" t="s">
        <v>75</v>
      </c>
      <c r="B26" s="165">
        <f>'Mngt-Microbiology '!C30</f>
        <v>0</v>
      </c>
      <c r="C26" s="165">
        <f>'Mngt-Consulting Micro SC '!C31</f>
        <v>0</v>
      </c>
      <c r="D26" s="165">
        <f>'Mngt-Sydney Micro '!C30</f>
        <v>0</v>
      </c>
      <c r="E26" s="165">
        <f>'Mngt-Melbourne Micro '!C31</f>
        <v>0</v>
      </c>
      <c r="F26" s="165">
        <f>'Mngt-Brisbane Micro '!C31</f>
        <v>0</v>
      </c>
      <c r="G26" s="165">
        <f>'Mngt-Perth Micro '!C30</f>
        <v>0</v>
      </c>
      <c r="H26" s="354">
        <f t="shared" si="0"/>
        <v>0</v>
      </c>
      <c r="I26" s="355">
        <f t="shared" si="1"/>
        <v>0</v>
      </c>
    </row>
    <row r="27" spans="1:9" outlineLevel="1" x14ac:dyDescent="0.2">
      <c r="A27" s="401" t="s">
        <v>76</v>
      </c>
      <c r="B27" s="165">
        <f>'Mngt-Microbiology '!C31</f>
        <v>0</v>
      </c>
      <c r="C27" s="165">
        <f>'Mngt-Consulting Micro SC '!C32</f>
        <v>0</v>
      </c>
      <c r="D27" s="165">
        <f>'Mngt-Sydney Micro '!C31</f>
        <v>0</v>
      </c>
      <c r="E27" s="165">
        <f>'Mngt-Melbourne Micro '!C32</f>
        <v>0</v>
      </c>
      <c r="F27" s="165">
        <f>'Mngt-Brisbane Micro '!C32</f>
        <v>0</v>
      </c>
      <c r="G27" s="165">
        <f>'Mngt-Perth Micro '!C31</f>
        <v>0</v>
      </c>
      <c r="H27" s="354">
        <f t="shared" si="0"/>
        <v>0</v>
      </c>
      <c r="I27" s="355">
        <f t="shared" si="1"/>
        <v>0</v>
      </c>
    </row>
    <row r="28" spans="1:9" outlineLevel="1" x14ac:dyDescent="0.2">
      <c r="A28" s="401" t="s">
        <v>77</v>
      </c>
      <c r="B28" s="165">
        <f>'Mngt-Microbiology '!C32</f>
        <v>0</v>
      </c>
      <c r="C28" s="165" t="e">
        <f>'Mngt-Consulting Micro SC '!#REF!</f>
        <v>#REF!</v>
      </c>
      <c r="D28" s="165">
        <f>'Mngt-Sydney Micro '!C32</f>
        <v>0</v>
      </c>
      <c r="E28" s="165">
        <f>'Mngt-Melbourne Micro '!C33</f>
        <v>0</v>
      </c>
      <c r="F28" s="165">
        <f>'Mngt-Brisbane Micro '!C33</f>
        <v>0</v>
      </c>
      <c r="G28" s="165">
        <f>'Mngt-Perth Micro '!C32</f>
        <v>0</v>
      </c>
      <c r="H28" s="354" t="e">
        <f t="shared" si="0"/>
        <v>#REF!</v>
      </c>
      <c r="I28" s="355" t="e">
        <f t="shared" si="1"/>
        <v>#REF!</v>
      </c>
    </row>
    <row r="29" spans="1:9" x14ac:dyDescent="0.2">
      <c r="A29" s="401" t="s">
        <v>177</v>
      </c>
      <c r="B29" s="165">
        <f>'Mngt-Microbiology '!C33</f>
        <v>0</v>
      </c>
      <c r="C29" s="165">
        <f>'Mngt-Consulting Micro SC '!C33</f>
        <v>0</v>
      </c>
      <c r="D29" s="165">
        <f>'Mngt-Sydney Micro '!C33</f>
        <v>0</v>
      </c>
      <c r="E29" s="165">
        <f>'Mngt-Melbourne Micro '!C34</f>
        <v>0</v>
      </c>
      <c r="F29" s="165">
        <f>'Mngt-Brisbane Micro '!C34</f>
        <v>0</v>
      </c>
      <c r="G29" s="165">
        <f>'Mngt-Perth Micro '!C33</f>
        <v>0</v>
      </c>
      <c r="H29" s="354">
        <f t="shared" si="0"/>
        <v>0</v>
      </c>
      <c r="I29" s="355">
        <f t="shared" si="1"/>
        <v>0</v>
      </c>
    </row>
    <row r="30" spans="1:9" x14ac:dyDescent="0.2">
      <c r="A30" s="401" t="s">
        <v>192</v>
      </c>
      <c r="B30" s="165">
        <f>'Mngt-Microbiology '!C48</f>
        <v>0</v>
      </c>
      <c r="C30" s="165">
        <f>'Mngt-Consulting Micro SC '!C48</f>
        <v>0</v>
      </c>
      <c r="D30" s="165">
        <f>'Mngt-Sydney Micro '!C48</f>
        <v>0</v>
      </c>
      <c r="E30" s="165">
        <f>'Mngt-Melbourne Micro '!C49</f>
        <v>0</v>
      </c>
      <c r="F30" s="165">
        <f>'Mngt-Brisbane Micro '!C49</f>
        <v>0</v>
      </c>
      <c r="G30" s="165">
        <f>'Mngt-Perth Micro '!C48</f>
        <v>0</v>
      </c>
      <c r="H30" s="354">
        <f t="shared" si="0"/>
        <v>0</v>
      </c>
      <c r="I30" s="355">
        <f t="shared" si="1"/>
        <v>0</v>
      </c>
    </row>
    <row r="31" spans="1:9" x14ac:dyDescent="0.2">
      <c r="A31" s="401" t="s">
        <v>89</v>
      </c>
      <c r="B31" s="165">
        <f>'Mngt-Microbiology '!C62</f>
        <v>0</v>
      </c>
      <c r="C31" s="165">
        <f>'Mngt-Consulting Micro SC '!C62</f>
        <v>0</v>
      </c>
      <c r="D31" s="165">
        <f>'Mngt-Sydney Micro '!C62</f>
        <v>0</v>
      </c>
      <c r="E31" s="165">
        <f>'Mngt-Melbourne Micro '!C63</f>
        <v>0</v>
      </c>
      <c r="F31" s="165">
        <f>'Mngt-Brisbane Micro '!C63</f>
        <v>0</v>
      </c>
      <c r="G31" s="165">
        <f>'Mngt-Perth Micro '!C62</f>
        <v>0</v>
      </c>
      <c r="H31" s="354">
        <f t="shared" si="0"/>
        <v>0</v>
      </c>
      <c r="I31" s="355">
        <f t="shared" si="1"/>
        <v>0</v>
      </c>
    </row>
    <row r="32" spans="1:9" x14ac:dyDescent="0.2">
      <c r="A32" s="401" t="s">
        <v>201</v>
      </c>
      <c r="B32" s="165">
        <f>'Mngt-Microbiology '!C63</f>
        <v>0</v>
      </c>
      <c r="C32" s="165">
        <f>'Mngt-Consulting Micro SC '!C63</f>
        <v>0</v>
      </c>
      <c r="D32" s="165">
        <f>'Mngt-Sydney Micro '!C63</f>
        <v>0</v>
      </c>
      <c r="E32" s="165">
        <f>'Mngt-Melbourne Micro '!C64</f>
        <v>0</v>
      </c>
      <c r="F32" s="165">
        <f>'Mngt-Brisbane Micro '!C64</f>
        <v>0</v>
      </c>
      <c r="G32" s="165">
        <f>'Mngt-Perth Micro '!C63</f>
        <v>0</v>
      </c>
      <c r="H32" s="354">
        <f t="shared" si="0"/>
        <v>0</v>
      </c>
      <c r="I32" s="355">
        <f t="shared" si="1"/>
        <v>0</v>
      </c>
    </row>
    <row r="33" spans="1:13" ht="13.5" thickBot="1" x14ac:dyDescent="0.25">
      <c r="A33" s="516" t="s">
        <v>8</v>
      </c>
      <c r="B33" s="349">
        <f>'Mngt-Microbiology '!C64</f>
        <v>0</v>
      </c>
      <c r="C33" s="349">
        <f>'Mngt-Consulting Micro SC '!C64</f>
        <v>0</v>
      </c>
      <c r="D33" s="349">
        <f>'Mngt-Sydney Micro '!C64</f>
        <v>0</v>
      </c>
      <c r="E33" s="349">
        <f>'Mngt-Melbourne Micro '!C65</f>
        <v>0</v>
      </c>
      <c r="F33" s="349">
        <f>'Mngt-Brisbane Micro '!C65</f>
        <v>0</v>
      </c>
      <c r="G33" s="349">
        <f>'Mngt-Perth Micro '!C64</f>
        <v>0</v>
      </c>
      <c r="H33" s="356">
        <f t="shared" si="0"/>
        <v>0</v>
      </c>
      <c r="I33" s="357">
        <f t="shared" si="1"/>
        <v>0</v>
      </c>
    </row>
    <row r="34" spans="1:13" x14ac:dyDescent="0.2">
      <c r="A34" s="518" t="s">
        <v>274</v>
      </c>
      <c r="B34" s="519">
        <f>SUM(B8:B31)-B32-SUM(B19:B28)</f>
        <v>0</v>
      </c>
      <c r="C34" s="519" t="e">
        <f t="shared" ref="C34:H34" si="2">SUM(C8:C31)-C32-SUM(C19:C28)</f>
        <v>#REF!</v>
      </c>
      <c r="D34" s="519">
        <f t="shared" si="2"/>
        <v>0</v>
      </c>
      <c r="E34" s="519">
        <f t="shared" si="2"/>
        <v>0</v>
      </c>
      <c r="F34" s="519">
        <f t="shared" si="2"/>
        <v>0</v>
      </c>
      <c r="G34" s="519">
        <f t="shared" si="2"/>
        <v>0</v>
      </c>
      <c r="H34" s="520" t="e">
        <f t="shared" si="2"/>
        <v>#REF!</v>
      </c>
      <c r="I34" s="521" t="e">
        <f t="shared" ref="I34" si="3">SUM(I8:I31)-I32</f>
        <v>#REF!</v>
      </c>
    </row>
    <row r="35" spans="1:13" ht="13.5" thickBot="1" x14ac:dyDescent="0.25">
      <c r="A35" s="516" t="s">
        <v>275</v>
      </c>
      <c r="B35" s="349">
        <f t="shared" ref="B35:I35" si="4">B7-B32-B33</f>
        <v>0</v>
      </c>
      <c r="C35" s="349">
        <f t="shared" si="4"/>
        <v>0</v>
      </c>
      <c r="D35" s="349">
        <f t="shared" si="4"/>
        <v>0</v>
      </c>
      <c r="E35" s="349">
        <f t="shared" si="4"/>
        <v>0</v>
      </c>
      <c r="F35" s="349">
        <f t="shared" si="4"/>
        <v>0</v>
      </c>
      <c r="G35" s="349">
        <f t="shared" si="4"/>
        <v>0</v>
      </c>
      <c r="H35" s="356">
        <f t="shared" si="4"/>
        <v>0</v>
      </c>
      <c r="I35" s="357">
        <f t="shared" si="4"/>
        <v>0</v>
      </c>
    </row>
    <row r="37" spans="1:13" ht="13.5" thickBot="1" x14ac:dyDescent="0.25"/>
    <row r="38" spans="1:13" x14ac:dyDescent="0.2">
      <c r="A38" s="512" t="s">
        <v>265</v>
      </c>
      <c r="B38" s="513" t="s">
        <v>276</v>
      </c>
      <c r="C38" s="513"/>
      <c r="D38" s="514" t="s">
        <v>268</v>
      </c>
      <c r="E38" s="514" t="s">
        <v>269</v>
      </c>
      <c r="F38" s="514" t="s">
        <v>270</v>
      </c>
      <c r="G38" s="514" t="s">
        <v>271</v>
      </c>
      <c r="H38" s="514" t="s">
        <v>277</v>
      </c>
      <c r="I38" s="514" t="s">
        <v>278</v>
      </c>
      <c r="J38" s="514" t="s">
        <v>279</v>
      </c>
      <c r="K38" s="512" t="s">
        <v>272</v>
      </c>
      <c r="L38" s="515" t="s">
        <v>273</v>
      </c>
      <c r="M38" s="515" t="s">
        <v>273</v>
      </c>
    </row>
    <row r="39" spans="1:13" ht="13.5" thickBot="1" x14ac:dyDescent="0.25">
      <c r="A39" s="516"/>
      <c r="B39" s="162"/>
      <c r="C39" s="162"/>
      <c r="D39" s="162"/>
      <c r="E39" s="162"/>
      <c r="F39" s="162"/>
      <c r="G39" s="162"/>
      <c r="H39" s="162"/>
      <c r="I39" s="162"/>
      <c r="J39" s="162"/>
      <c r="K39" s="516"/>
      <c r="L39" s="517"/>
      <c r="M39" s="522" t="s">
        <v>280</v>
      </c>
    </row>
    <row r="40" spans="1:13" x14ac:dyDescent="0.2">
      <c r="A40" s="401" t="s">
        <v>7</v>
      </c>
      <c r="B40" s="165">
        <f>'Mngt-Chemistry '!C2</f>
        <v>0</v>
      </c>
      <c r="C40" s="165"/>
      <c r="D40" s="165">
        <f>'Mngt-Sydney Chem '!C2</f>
        <v>0</v>
      </c>
      <c r="E40" s="165">
        <f>'Mngt-Melb Chem External'!C2</f>
        <v>0</v>
      </c>
      <c r="F40" s="165">
        <f>'Mngt-Bris Chem External'!C2</f>
        <v>0</v>
      </c>
      <c r="G40" s="165">
        <f>'Mngt-Perth Chem External'!C2</f>
        <v>0</v>
      </c>
      <c r="H40" s="165">
        <f>'Mngt-Chem Milk Testing '!C2</f>
        <v>0</v>
      </c>
      <c r="I40" s="165">
        <f>'Mngt-Melb Milk Testing'!C2</f>
        <v>0</v>
      </c>
      <c r="J40" s="165">
        <f>'Mngt-Bris Milk Testing '!C2</f>
        <v>0</v>
      </c>
      <c r="K40" s="354">
        <f t="shared" ref="K40:K59" si="5">SUM(D40:H40)</f>
        <v>0</v>
      </c>
      <c r="L40" s="355">
        <f t="shared" ref="L40:L59" si="6">B40-K40</f>
        <v>0</v>
      </c>
      <c r="M40" s="355">
        <f t="shared" ref="M40:M59" si="7">H40-I40-J40</f>
        <v>0</v>
      </c>
    </row>
    <row r="41" spans="1:13" x14ac:dyDescent="0.2">
      <c r="A41" s="401" t="s">
        <v>166</v>
      </c>
      <c r="B41" s="165">
        <f>'Mngt-Chemistry '!C9</f>
        <v>0</v>
      </c>
      <c r="C41" s="165"/>
      <c r="D41" s="165">
        <f>'Mngt-Sydney Chem '!C9</f>
        <v>0</v>
      </c>
      <c r="E41" s="165">
        <f>'Mngt-Melb Chem External'!C9</f>
        <v>0</v>
      </c>
      <c r="F41" s="165">
        <f>'Mngt-Bris Chem External'!C9</f>
        <v>0</v>
      </c>
      <c r="G41" s="165">
        <f>'Mngt-Perth Chem External'!C9</f>
        <v>0</v>
      </c>
      <c r="H41" s="165">
        <f>'Mngt-Chem Milk Testing '!C9</f>
        <v>0</v>
      </c>
      <c r="I41" s="165">
        <f>'Mngt-Melb Milk Testing'!C9</f>
        <v>0</v>
      </c>
      <c r="J41" s="165">
        <f>'Mngt-Bris Milk Testing '!C9</f>
        <v>0</v>
      </c>
      <c r="K41" s="354">
        <f t="shared" si="5"/>
        <v>0</v>
      </c>
      <c r="L41" s="355">
        <f t="shared" si="6"/>
        <v>0</v>
      </c>
      <c r="M41" s="355">
        <f t="shared" si="7"/>
        <v>0</v>
      </c>
    </row>
    <row r="42" spans="1:13" x14ac:dyDescent="0.2">
      <c r="A42" s="401" t="s">
        <v>167</v>
      </c>
      <c r="B42" s="165">
        <f>'Mngt-Chemistry '!C10</f>
        <v>0</v>
      </c>
      <c r="C42" s="165"/>
      <c r="D42" s="165">
        <f>'Mngt-Sydney Chem '!C10</f>
        <v>0</v>
      </c>
      <c r="E42" s="165">
        <f>'Mngt-Melb Chem External'!C10</f>
        <v>0</v>
      </c>
      <c r="F42" s="165">
        <f>'Mngt-Bris Chem External'!C10</f>
        <v>0</v>
      </c>
      <c r="G42" s="165">
        <f>'Mngt-Perth Chem External'!C10</f>
        <v>0</v>
      </c>
      <c r="H42" s="165">
        <f>'Mngt-Chem Milk Testing '!C10</f>
        <v>0</v>
      </c>
      <c r="I42" s="165">
        <f>'Mngt-Melb Milk Testing'!C10</f>
        <v>0</v>
      </c>
      <c r="J42" s="165">
        <f>'Mngt-Bris Milk Testing '!C10</f>
        <v>0</v>
      </c>
      <c r="K42" s="354">
        <f t="shared" si="5"/>
        <v>0</v>
      </c>
      <c r="L42" s="355">
        <f t="shared" si="6"/>
        <v>0</v>
      </c>
      <c r="M42" s="355">
        <f t="shared" si="7"/>
        <v>0</v>
      </c>
    </row>
    <row r="43" spans="1:13" x14ac:dyDescent="0.2">
      <c r="A43" s="401" t="s">
        <v>168</v>
      </c>
      <c r="B43" s="165">
        <f>'Mngt-Chemistry '!C11</f>
        <v>0</v>
      </c>
      <c r="C43" s="165"/>
      <c r="D43" s="165">
        <f>'Mngt-Sydney Chem '!C11</f>
        <v>0</v>
      </c>
      <c r="E43" s="165">
        <f>'Mngt-Melb Chem External'!C11</f>
        <v>0</v>
      </c>
      <c r="F43" s="165">
        <f>'Mngt-Bris Chem External'!C11</f>
        <v>0</v>
      </c>
      <c r="G43" s="165">
        <f>'Mngt-Perth Chem External'!C11</f>
        <v>0</v>
      </c>
      <c r="H43" s="165">
        <f>'Mngt-Chem Milk Testing '!C11</f>
        <v>0</v>
      </c>
      <c r="I43" s="165">
        <f>'Mngt-Melb Milk Testing'!C11</f>
        <v>0</v>
      </c>
      <c r="J43" s="165">
        <f>'Mngt-Bris Milk Testing '!C11</f>
        <v>0</v>
      </c>
      <c r="K43" s="354">
        <f t="shared" si="5"/>
        <v>0</v>
      </c>
      <c r="L43" s="355">
        <f t="shared" si="6"/>
        <v>0</v>
      </c>
      <c r="M43" s="355">
        <f t="shared" si="7"/>
        <v>0</v>
      </c>
    </row>
    <row r="44" spans="1:13" x14ac:dyDescent="0.2">
      <c r="A44" s="401" t="s">
        <v>169</v>
      </c>
      <c r="B44" s="165">
        <f>'Mngt-Chemistry '!C12</f>
        <v>0</v>
      </c>
      <c r="C44" s="165"/>
      <c r="D44" s="165">
        <f>'Mngt-Sydney Chem '!C12</f>
        <v>0</v>
      </c>
      <c r="E44" s="165">
        <f>'Mngt-Melb Chem External'!C12</f>
        <v>0</v>
      </c>
      <c r="F44" s="165">
        <f>'Mngt-Bris Chem External'!C12</f>
        <v>0</v>
      </c>
      <c r="G44" s="165">
        <f>'Mngt-Perth Chem External'!C12</f>
        <v>0</v>
      </c>
      <c r="H44" s="165">
        <f>'Mngt-Chem Milk Testing '!C12</f>
        <v>0</v>
      </c>
      <c r="I44" s="165">
        <f>'Mngt-Melb Milk Testing'!C12</f>
        <v>0</v>
      </c>
      <c r="J44" s="165">
        <f>'Mngt-Bris Milk Testing '!C12</f>
        <v>0</v>
      </c>
      <c r="K44" s="354">
        <f t="shared" si="5"/>
        <v>0</v>
      </c>
      <c r="L44" s="355">
        <f t="shared" si="6"/>
        <v>0</v>
      </c>
      <c r="M44" s="355">
        <f t="shared" si="7"/>
        <v>0</v>
      </c>
    </row>
    <row r="45" spans="1:13" x14ac:dyDescent="0.2">
      <c r="A45" s="401" t="s">
        <v>50</v>
      </c>
      <c r="B45" s="165">
        <f>'Mngt-Chemistry '!C13</f>
        <v>0</v>
      </c>
      <c r="C45" s="165"/>
      <c r="D45" s="165">
        <f>'Mngt-Sydney Chem '!C13</f>
        <v>0</v>
      </c>
      <c r="E45" s="165">
        <f>'Mngt-Melb Chem External'!C13</f>
        <v>0</v>
      </c>
      <c r="F45" s="165">
        <f>'Mngt-Bris Chem External'!C13</f>
        <v>0</v>
      </c>
      <c r="G45" s="165">
        <f>'Mngt-Perth Chem External'!C13</f>
        <v>0</v>
      </c>
      <c r="H45" s="165">
        <f>'Mngt-Chem Milk Testing '!C13</f>
        <v>0</v>
      </c>
      <c r="I45" s="165">
        <f>'Mngt-Melb Milk Testing'!C13</f>
        <v>0</v>
      </c>
      <c r="J45" s="165">
        <f>'Mngt-Bris Milk Testing '!C13</f>
        <v>0</v>
      </c>
      <c r="K45" s="354">
        <f t="shared" si="5"/>
        <v>0</v>
      </c>
      <c r="L45" s="355">
        <f t="shared" si="6"/>
        <v>0</v>
      </c>
      <c r="M45" s="355">
        <f t="shared" si="7"/>
        <v>0</v>
      </c>
    </row>
    <row r="46" spans="1:13" x14ac:dyDescent="0.2">
      <c r="A46" s="401" t="s">
        <v>170</v>
      </c>
      <c r="B46" s="165">
        <f>'Mngt-Chemistry '!C14</f>
        <v>0</v>
      </c>
      <c r="C46" s="165"/>
      <c r="D46" s="165">
        <f>'Mngt-Sydney Chem '!C14</f>
        <v>0</v>
      </c>
      <c r="E46" s="165">
        <f>'Mngt-Melb Chem External'!C14</f>
        <v>0</v>
      </c>
      <c r="F46" s="165">
        <f>'Mngt-Bris Chem External'!C14</f>
        <v>0</v>
      </c>
      <c r="G46" s="165">
        <f>'Mngt-Perth Chem External'!C14</f>
        <v>0</v>
      </c>
      <c r="H46" s="165">
        <f>'Mngt-Chem Milk Testing '!C14</f>
        <v>0</v>
      </c>
      <c r="I46" s="165">
        <f>'Mngt-Melb Milk Testing'!C14</f>
        <v>0</v>
      </c>
      <c r="J46" s="165">
        <f>'Mngt-Bris Milk Testing '!C14</f>
        <v>0</v>
      </c>
      <c r="K46" s="354">
        <f t="shared" si="5"/>
        <v>0</v>
      </c>
      <c r="L46" s="355">
        <f t="shared" si="6"/>
        <v>0</v>
      </c>
      <c r="M46" s="355">
        <f t="shared" si="7"/>
        <v>0</v>
      </c>
    </row>
    <row r="47" spans="1:13" x14ac:dyDescent="0.2">
      <c r="A47" s="401" t="s">
        <v>171</v>
      </c>
      <c r="B47" s="165">
        <f>'Mngt-Chemistry '!C15</f>
        <v>0</v>
      </c>
      <c r="C47" s="165"/>
      <c r="D47" s="165">
        <f>'Mngt-Sydney Chem '!C15</f>
        <v>0</v>
      </c>
      <c r="E47" s="165">
        <f>'Mngt-Melb Chem External'!C15</f>
        <v>0</v>
      </c>
      <c r="F47" s="165">
        <f>'Mngt-Bris Chem External'!C15</f>
        <v>0</v>
      </c>
      <c r="G47" s="165">
        <f>'Mngt-Perth Chem External'!C15</f>
        <v>0</v>
      </c>
      <c r="H47" s="165">
        <f>'Mngt-Chem Milk Testing '!C15</f>
        <v>0</v>
      </c>
      <c r="I47" s="165">
        <f>'Mngt-Melb Milk Testing'!C15</f>
        <v>0</v>
      </c>
      <c r="J47" s="165">
        <f>'Mngt-Bris Milk Testing '!C15</f>
        <v>0</v>
      </c>
      <c r="K47" s="354">
        <f t="shared" si="5"/>
        <v>0</v>
      </c>
      <c r="L47" s="355">
        <f t="shared" si="6"/>
        <v>0</v>
      </c>
      <c r="M47" s="355">
        <f t="shared" si="7"/>
        <v>0</v>
      </c>
    </row>
    <row r="48" spans="1:13" x14ac:dyDescent="0.2">
      <c r="A48" s="401" t="s">
        <v>172</v>
      </c>
      <c r="B48" s="165">
        <f>'Mngt-Chemistry '!C16</f>
        <v>0</v>
      </c>
      <c r="C48" s="165"/>
      <c r="D48" s="165">
        <f>'Mngt-Sydney Chem '!C16</f>
        <v>0</v>
      </c>
      <c r="E48" s="165">
        <f>'Mngt-Melb Chem External'!C16</f>
        <v>0</v>
      </c>
      <c r="F48" s="165">
        <f>'Mngt-Bris Chem External'!C16</f>
        <v>0</v>
      </c>
      <c r="G48" s="165">
        <f>'Mngt-Perth Chem External'!C16</f>
        <v>0</v>
      </c>
      <c r="H48" s="165">
        <f>'Mngt-Chem Milk Testing '!C16</f>
        <v>0</v>
      </c>
      <c r="I48" s="165">
        <f>'Mngt-Melb Milk Testing'!C16</f>
        <v>0</v>
      </c>
      <c r="J48" s="165">
        <f>'Mngt-Bris Milk Testing '!C16</f>
        <v>0</v>
      </c>
      <c r="K48" s="354">
        <f t="shared" si="5"/>
        <v>0</v>
      </c>
      <c r="L48" s="355">
        <f t="shared" si="6"/>
        <v>0</v>
      </c>
      <c r="M48" s="355">
        <f t="shared" si="7"/>
        <v>0</v>
      </c>
    </row>
    <row r="49" spans="1:13" x14ac:dyDescent="0.2">
      <c r="A49" s="401" t="s">
        <v>173</v>
      </c>
      <c r="B49" s="165">
        <f>'Mngt-Chemistry '!C17</f>
        <v>0</v>
      </c>
      <c r="C49" s="165"/>
      <c r="D49" s="165">
        <f>'Mngt-Sydney Chem '!C17</f>
        <v>0</v>
      </c>
      <c r="E49" s="165">
        <f>'Mngt-Melb Chem External'!C18</f>
        <v>0</v>
      </c>
      <c r="F49" s="165">
        <f>'Mngt-Bris Chem External'!C18</f>
        <v>0</v>
      </c>
      <c r="G49" s="165">
        <f>'Mngt-Perth Chem External'!C18</f>
        <v>0</v>
      </c>
      <c r="H49" s="165">
        <f>'Mngt-Chem Milk Testing '!C17</f>
        <v>0</v>
      </c>
      <c r="I49" s="165">
        <f>'Mngt-Melb Milk Testing'!C17</f>
        <v>0</v>
      </c>
      <c r="J49" s="165">
        <f>'Mngt-Bris Milk Testing '!C17</f>
        <v>0</v>
      </c>
      <c r="K49" s="354">
        <f>SUM(D49:H49)</f>
        <v>0</v>
      </c>
      <c r="L49" s="355">
        <f t="shared" si="6"/>
        <v>0</v>
      </c>
      <c r="M49" s="355">
        <f t="shared" si="7"/>
        <v>0</v>
      </c>
    </row>
    <row r="50" spans="1:13" x14ac:dyDescent="0.2">
      <c r="A50" s="401" t="s">
        <v>257</v>
      </c>
      <c r="B50" s="165">
        <f>'Mngt-Chemistry '!C18</f>
        <v>0</v>
      </c>
      <c r="C50" s="165"/>
      <c r="D50" s="165">
        <f>'Mngt-Sydney Chem '!C18</f>
        <v>0</v>
      </c>
      <c r="E50" s="220"/>
      <c r="F50" s="220"/>
      <c r="G50" s="220"/>
      <c r="H50" s="165">
        <f>'Mngt-Chem Milk Testing '!C18</f>
        <v>0</v>
      </c>
      <c r="I50" s="165">
        <f>'Mngt-Melb Milk Testing'!C18</f>
        <v>0</v>
      </c>
      <c r="J50" s="165">
        <f>'Mngt-Bris Milk Testing '!C18</f>
        <v>0</v>
      </c>
      <c r="K50" s="354">
        <f t="shared" si="5"/>
        <v>0</v>
      </c>
      <c r="L50" s="355">
        <f t="shared" si="6"/>
        <v>0</v>
      </c>
      <c r="M50" s="355">
        <f t="shared" si="7"/>
        <v>0</v>
      </c>
    </row>
    <row r="51" spans="1:13" outlineLevel="1" x14ac:dyDescent="0.2">
      <c r="A51" s="401" t="s">
        <v>109</v>
      </c>
      <c r="B51" s="165">
        <f>'Mngt-Chemistry '!C19</f>
        <v>0</v>
      </c>
      <c r="C51" s="165"/>
      <c r="D51" s="165">
        <f>'Mngt-Sydney Chem '!C19</f>
        <v>0</v>
      </c>
      <c r="E51" s="165">
        <f>'Mngt-Melb Chem External'!C19</f>
        <v>0</v>
      </c>
      <c r="F51" s="165">
        <f>'Mngt-Bris Chem External'!C19</f>
        <v>0</v>
      </c>
      <c r="G51" s="165">
        <f>'Mngt-Perth Chem External'!C19</f>
        <v>0</v>
      </c>
      <c r="H51" s="165">
        <f>'Mngt-Chem Milk Testing '!C19</f>
        <v>0</v>
      </c>
      <c r="I51" s="165">
        <f>'Mngt-Melb Milk Testing'!C19</f>
        <v>0</v>
      </c>
      <c r="J51" s="165">
        <f>'Mngt-Bris Milk Testing '!C19</f>
        <v>0</v>
      </c>
      <c r="K51" s="354">
        <f t="shared" si="5"/>
        <v>0</v>
      </c>
      <c r="L51" s="355">
        <f t="shared" si="6"/>
        <v>0</v>
      </c>
      <c r="M51" s="355">
        <f t="shared" si="7"/>
        <v>0</v>
      </c>
    </row>
    <row r="52" spans="1:13" outlineLevel="1" x14ac:dyDescent="0.2">
      <c r="A52" s="401" t="s">
        <v>97</v>
      </c>
      <c r="B52" s="165">
        <f>'Mngt-Chemistry '!C20</f>
        <v>0</v>
      </c>
      <c r="C52" s="165"/>
      <c r="D52" s="165">
        <f>'Mngt-Sydney Chem '!C20</f>
        <v>0</v>
      </c>
      <c r="E52" s="165">
        <f>'Mngt-Melb Chem External'!C20</f>
        <v>0</v>
      </c>
      <c r="F52" s="165">
        <f>'Mngt-Bris Chem External'!C20</f>
        <v>0</v>
      </c>
      <c r="G52" s="165">
        <f>'Mngt-Perth Chem External'!C20</f>
        <v>0</v>
      </c>
      <c r="H52" s="165">
        <f>'Mngt-Chem Milk Testing '!C20</f>
        <v>0</v>
      </c>
      <c r="I52" s="165">
        <f>'Mngt-Melb Milk Testing'!C20</f>
        <v>0</v>
      </c>
      <c r="J52" s="165">
        <f>'Mngt-Bris Milk Testing '!C20</f>
        <v>0</v>
      </c>
      <c r="K52" s="354">
        <f t="shared" si="5"/>
        <v>0</v>
      </c>
      <c r="L52" s="355">
        <f t="shared" si="6"/>
        <v>0</v>
      </c>
      <c r="M52" s="355">
        <f t="shared" si="7"/>
        <v>0</v>
      </c>
    </row>
    <row r="53" spans="1:13" outlineLevel="1" x14ac:dyDescent="0.2">
      <c r="A53" s="401" t="s">
        <v>69</v>
      </c>
      <c r="B53" s="165">
        <f>'Mngt-Chemistry '!C21</f>
        <v>0</v>
      </c>
      <c r="C53" s="165"/>
      <c r="D53" s="165">
        <f>'Mngt-Sydney Chem '!C21</f>
        <v>0</v>
      </c>
      <c r="E53" s="165">
        <f>'Mngt-Melb Chem External'!C21</f>
        <v>0</v>
      </c>
      <c r="F53" s="165">
        <f>'Mngt-Bris Chem External'!C21</f>
        <v>0</v>
      </c>
      <c r="G53" s="165">
        <f>'Mngt-Perth Chem External'!C21</f>
        <v>0</v>
      </c>
      <c r="H53" s="165">
        <f>'Mngt-Chem Milk Testing '!C21</f>
        <v>0</v>
      </c>
      <c r="I53" s="165">
        <f>'Mngt-Melb Milk Testing'!C21</f>
        <v>0</v>
      </c>
      <c r="J53" s="165">
        <f>'Mngt-Bris Milk Testing '!C21</f>
        <v>0</v>
      </c>
      <c r="K53" s="354">
        <f t="shared" si="5"/>
        <v>0</v>
      </c>
      <c r="L53" s="355">
        <f t="shared" si="6"/>
        <v>0</v>
      </c>
      <c r="M53" s="355">
        <f t="shared" si="7"/>
        <v>0</v>
      </c>
    </row>
    <row r="54" spans="1:13" x14ac:dyDescent="0.2">
      <c r="A54" s="401" t="s">
        <v>70</v>
      </c>
      <c r="B54" s="165">
        <f>'Mngt-Chemistry '!C22</f>
        <v>0</v>
      </c>
      <c r="C54" s="165"/>
      <c r="D54" s="165">
        <f>'Mngt-Sydney Chem '!C22</f>
        <v>0</v>
      </c>
      <c r="E54" s="165">
        <f>'Mngt-Melb Chem External'!C22</f>
        <v>0</v>
      </c>
      <c r="F54" s="165">
        <f>'Mngt-Bris Chem External'!C22</f>
        <v>0</v>
      </c>
      <c r="G54" s="165">
        <f>'Mngt-Perth Chem External'!C22</f>
        <v>0</v>
      </c>
      <c r="H54" s="165">
        <f>'Mngt-Chem Milk Testing '!C22</f>
        <v>0</v>
      </c>
      <c r="I54" s="165">
        <f>'Mngt-Melb Milk Testing'!C22</f>
        <v>0</v>
      </c>
      <c r="J54" s="165">
        <f>'Mngt-Bris Milk Testing '!C22</f>
        <v>0</v>
      </c>
      <c r="K54" s="354">
        <f t="shared" si="5"/>
        <v>0</v>
      </c>
      <c r="L54" s="355">
        <f t="shared" si="6"/>
        <v>0</v>
      </c>
      <c r="M54" s="355">
        <f t="shared" si="7"/>
        <v>0</v>
      </c>
    </row>
    <row r="55" spans="1:13" x14ac:dyDescent="0.2">
      <c r="A55" s="401" t="s">
        <v>177</v>
      </c>
      <c r="B55" s="165">
        <f>'Mngt-Chemistry '!C33</f>
        <v>0</v>
      </c>
      <c r="C55" s="165"/>
      <c r="D55" s="165">
        <f>'Mngt-Sydney Chem '!C33</f>
        <v>0</v>
      </c>
      <c r="E55" s="165">
        <f>'Mngt-Melb Chem External'!C32</f>
        <v>0</v>
      </c>
      <c r="F55" s="165">
        <f>'Mngt-Bris Chem External'!C32</f>
        <v>0</v>
      </c>
      <c r="G55" s="165">
        <f>'Mngt-Perth Chem External'!C32</f>
        <v>0</v>
      </c>
      <c r="H55" s="165">
        <f>'Mngt-Chem Milk Testing '!C33</f>
        <v>0</v>
      </c>
      <c r="I55" s="165">
        <f>'Mngt-Melb Milk Testing'!C33</f>
        <v>0</v>
      </c>
      <c r="J55" s="165">
        <f>'Mngt-Bris Milk Testing '!C32</f>
        <v>0</v>
      </c>
      <c r="K55" s="354">
        <f>SUM(D55:H55)</f>
        <v>0</v>
      </c>
      <c r="L55" s="355">
        <f t="shared" si="6"/>
        <v>0</v>
      </c>
      <c r="M55" s="355">
        <f t="shared" si="7"/>
        <v>0</v>
      </c>
    </row>
    <row r="56" spans="1:13" x14ac:dyDescent="0.2">
      <c r="A56" s="401" t="s">
        <v>192</v>
      </c>
      <c r="B56" s="165">
        <f>'Mngt-Chemistry '!C48</f>
        <v>0</v>
      </c>
      <c r="C56" s="165"/>
      <c r="D56" s="165">
        <f>'Mngt-Sydney Chem '!C48</f>
        <v>0</v>
      </c>
      <c r="E56" s="165">
        <f>'Mngt-Melb Chem External'!C47</f>
        <v>0</v>
      </c>
      <c r="F56" s="165">
        <f>'Mngt-Bris Chem External'!C47</f>
        <v>0</v>
      </c>
      <c r="G56" s="165">
        <f>'Mngt-Perth Chem External'!C47</f>
        <v>0</v>
      </c>
      <c r="H56" s="165">
        <f>'Mngt-Chem Milk Testing '!C48</f>
        <v>0</v>
      </c>
      <c r="I56" s="165">
        <f>'Mngt-Melb Milk Testing'!C48</f>
        <v>0</v>
      </c>
      <c r="J56" s="165">
        <f>'Mngt-Bris Milk Testing '!C46</f>
        <v>0</v>
      </c>
      <c r="K56" s="354">
        <f t="shared" si="5"/>
        <v>0</v>
      </c>
      <c r="L56" s="355">
        <f t="shared" si="6"/>
        <v>0</v>
      </c>
      <c r="M56" s="355">
        <f t="shared" si="7"/>
        <v>0</v>
      </c>
    </row>
    <row r="57" spans="1:13" x14ac:dyDescent="0.2">
      <c r="A57" s="401" t="s">
        <v>89</v>
      </c>
      <c r="B57" s="165">
        <f>'Mngt-Chemistry '!C62</f>
        <v>0</v>
      </c>
      <c r="C57" s="165"/>
      <c r="D57" s="165">
        <f>'Mngt-Sydney Chem '!C62</f>
        <v>0</v>
      </c>
      <c r="E57" s="165">
        <f>'Mngt-Melb Chem External'!C59</f>
        <v>0</v>
      </c>
      <c r="F57" s="165">
        <f>'Mngt-Bris Chem External'!C61</f>
        <v>0</v>
      </c>
      <c r="G57" s="165">
        <f>'Mngt-Perth Chem External'!C61</f>
        <v>0</v>
      </c>
      <c r="H57" s="165">
        <f>'Mngt-Chem Milk Testing '!C60</f>
        <v>0</v>
      </c>
      <c r="I57" s="165">
        <f>'Mngt-Melb Milk Testing'!C60</f>
        <v>0</v>
      </c>
      <c r="J57" s="165">
        <f>'Mngt-Bris Milk Testing '!C59</f>
        <v>0</v>
      </c>
      <c r="K57" s="354">
        <f t="shared" si="5"/>
        <v>0</v>
      </c>
      <c r="L57" s="355">
        <f t="shared" si="6"/>
        <v>0</v>
      </c>
      <c r="M57" s="355">
        <f t="shared" si="7"/>
        <v>0</v>
      </c>
    </row>
    <row r="58" spans="1:13" x14ac:dyDescent="0.2">
      <c r="A58" s="401" t="s">
        <v>201</v>
      </c>
      <c r="B58" s="165">
        <f>'Mngt-Chemistry '!C63</f>
        <v>0</v>
      </c>
      <c r="C58" s="165"/>
      <c r="D58" s="165">
        <f>'Mngt-Sydney Chem '!C63</f>
        <v>0</v>
      </c>
      <c r="E58" s="165">
        <f>'Mngt-Melb Chem External'!C60</f>
        <v>0</v>
      </c>
      <c r="F58" s="165">
        <f>'Mngt-Bris Chem External'!C62</f>
        <v>0</v>
      </c>
      <c r="G58" s="165">
        <f>'Mngt-Perth Chem External'!C62</f>
        <v>0</v>
      </c>
      <c r="H58" s="165">
        <f>'Mngt-Chem Milk Testing '!C61</f>
        <v>0</v>
      </c>
      <c r="I58" s="165">
        <f>'Mngt-Melb Milk Testing'!C61</f>
        <v>0</v>
      </c>
      <c r="J58" s="165">
        <f>'Mngt-Bris Milk Testing '!C60</f>
        <v>0</v>
      </c>
      <c r="K58" s="354">
        <f t="shared" si="5"/>
        <v>0</v>
      </c>
      <c r="L58" s="355">
        <f t="shared" si="6"/>
        <v>0</v>
      </c>
      <c r="M58" s="355">
        <f t="shared" si="7"/>
        <v>0</v>
      </c>
    </row>
    <row r="59" spans="1:13" ht="13.5" thickBot="1" x14ac:dyDescent="0.25">
      <c r="A59" s="516" t="s">
        <v>8</v>
      </c>
      <c r="B59" s="349">
        <f>'Mngt-Chemistry '!C64</f>
        <v>0</v>
      </c>
      <c r="C59" s="349"/>
      <c r="D59" s="349">
        <f>'Mngt-Sydney Chem '!C64</f>
        <v>0</v>
      </c>
      <c r="E59" s="349">
        <f>'Mngt-Melb Chem External'!C61</f>
        <v>0</v>
      </c>
      <c r="F59" s="349">
        <f>'Mngt-Bris Chem External'!C63</f>
        <v>0</v>
      </c>
      <c r="G59" s="349">
        <f>'Mngt-Perth Chem External'!C63</f>
        <v>0</v>
      </c>
      <c r="H59" s="349">
        <f>'Mngt-Chem Milk Testing '!C62</f>
        <v>0</v>
      </c>
      <c r="I59" s="349">
        <f>'Mngt-Melb Milk Testing'!C62</f>
        <v>0</v>
      </c>
      <c r="J59" s="349">
        <f>'Mngt-Bris Milk Testing '!C61</f>
        <v>0</v>
      </c>
      <c r="K59" s="356">
        <f t="shared" si="5"/>
        <v>0</v>
      </c>
      <c r="L59" s="357">
        <f t="shared" si="6"/>
        <v>0</v>
      </c>
      <c r="M59" s="357">
        <f t="shared" si="7"/>
        <v>0</v>
      </c>
    </row>
    <row r="60" spans="1:13" x14ac:dyDescent="0.2">
      <c r="A60" s="518" t="s">
        <v>274</v>
      </c>
      <c r="B60" s="519">
        <f t="shared" ref="B60:J60" si="8">SUM(B41,B42,B43,B44,B45,B46,B47,B48,B49,B50,B54,B55,B56,B57)-B58</f>
        <v>0</v>
      </c>
      <c r="C60" s="519">
        <f t="shared" si="8"/>
        <v>0</v>
      </c>
      <c r="D60" s="519">
        <f t="shared" si="8"/>
        <v>0</v>
      </c>
      <c r="E60" s="519">
        <f t="shared" si="8"/>
        <v>0</v>
      </c>
      <c r="F60" s="519">
        <f t="shared" si="8"/>
        <v>0</v>
      </c>
      <c r="G60" s="519">
        <f t="shared" si="8"/>
        <v>0</v>
      </c>
      <c r="H60" s="519">
        <f t="shared" si="8"/>
        <v>0</v>
      </c>
      <c r="I60" s="519">
        <f t="shared" si="8"/>
        <v>0</v>
      </c>
      <c r="J60" s="519">
        <f t="shared" si="8"/>
        <v>0</v>
      </c>
      <c r="K60" s="520">
        <f>SUM(K41:K57)-K58-SUM(K51:K53)</f>
        <v>0</v>
      </c>
      <c r="L60" s="521">
        <f>SUM(L41:L57)-L58</f>
        <v>0</v>
      </c>
      <c r="M60" s="521">
        <f>SUM(M41:M57)-M58</f>
        <v>0</v>
      </c>
    </row>
    <row r="61" spans="1:13" ht="13.5" thickBot="1" x14ac:dyDescent="0.25">
      <c r="A61" s="516" t="s">
        <v>275</v>
      </c>
      <c r="B61" s="349">
        <f>B40-B58-B59</f>
        <v>0</v>
      </c>
      <c r="C61" s="349"/>
      <c r="D61" s="349">
        <f t="shared" ref="D61:M61" si="9">D40-D58-D59</f>
        <v>0</v>
      </c>
      <c r="E61" s="349">
        <f t="shared" si="9"/>
        <v>0</v>
      </c>
      <c r="F61" s="349">
        <f t="shared" si="9"/>
        <v>0</v>
      </c>
      <c r="G61" s="349">
        <f t="shared" si="9"/>
        <v>0</v>
      </c>
      <c r="H61" s="349">
        <f t="shared" si="9"/>
        <v>0</v>
      </c>
      <c r="I61" s="349">
        <f t="shared" si="9"/>
        <v>0</v>
      </c>
      <c r="J61" s="349">
        <f t="shared" si="9"/>
        <v>0</v>
      </c>
      <c r="K61" s="356">
        <f t="shared" si="9"/>
        <v>0</v>
      </c>
      <c r="L61" s="357">
        <f t="shared" si="9"/>
        <v>0</v>
      </c>
      <c r="M61" s="357">
        <f t="shared" si="9"/>
        <v>0</v>
      </c>
    </row>
    <row r="65" spans="1:15" ht="13.5" thickBot="1" x14ac:dyDescent="0.25"/>
    <row r="66" spans="1:15" x14ac:dyDescent="0.2">
      <c r="A66" s="518" t="s">
        <v>265</v>
      </c>
      <c r="B66" s="513" t="s">
        <v>286</v>
      </c>
      <c r="C66" s="514" t="s">
        <v>287</v>
      </c>
      <c r="D66" s="514" t="s">
        <v>288</v>
      </c>
      <c r="E66" s="514" t="s">
        <v>289</v>
      </c>
      <c r="F66" s="514" t="s">
        <v>290</v>
      </c>
      <c r="G66" s="514" t="s">
        <v>291</v>
      </c>
      <c r="H66" s="512" t="s">
        <v>272</v>
      </c>
      <c r="I66" s="515" t="s">
        <v>292</v>
      </c>
    </row>
    <row r="67" spans="1:15" x14ac:dyDescent="0.2">
      <c r="A67" s="401"/>
      <c r="B67" s="523"/>
      <c r="C67" s="523"/>
      <c r="D67" s="523"/>
      <c r="E67" s="523"/>
      <c r="F67" s="523"/>
      <c r="G67" s="523"/>
      <c r="H67" s="401"/>
      <c r="I67" s="524"/>
    </row>
    <row r="68" spans="1:15" ht="13.5" thickBot="1" x14ac:dyDescent="0.25">
      <c r="A68" s="516" t="s">
        <v>286</v>
      </c>
      <c r="B68" s="162">
        <f>'Mngt-Revenue '!C21</f>
        <v>0</v>
      </c>
      <c r="C68" s="162">
        <f>'Mngt-Microbiology '!C2</f>
        <v>0</v>
      </c>
      <c r="D68" s="162">
        <f>'Mngt-Chemistry '!C2</f>
        <v>0</v>
      </c>
      <c r="E68" s="162">
        <f>'Mngt-Senior Audit '!C2</f>
        <v>0</v>
      </c>
      <c r="F68" s="162">
        <f>'Mngt-Consulting '!C2</f>
        <v>0</v>
      </c>
      <c r="G68" s="162">
        <f>'Mngt-Digital Solution'!C2</f>
        <v>0</v>
      </c>
      <c r="H68" s="516">
        <f>SUM(C68:G68)</f>
        <v>0</v>
      </c>
      <c r="I68" s="517">
        <f>H68+B68</f>
        <v>0</v>
      </c>
    </row>
    <row r="70" spans="1:15" ht="13.5" thickBot="1" x14ac:dyDescent="0.25"/>
    <row r="71" spans="1:15" x14ac:dyDescent="0.2">
      <c r="A71" s="518" t="s">
        <v>265</v>
      </c>
      <c r="B71" s="513" t="s">
        <v>293</v>
      </c>
      <c r="C71" s="514" t="s">
        <v>287</v>
      </c>
      <c r="D71" s="514" t="s">
        <v>288</v>
      </c>
      <c r="E71" s="514" t="s">
        <v>289</v>
      </c>
      <c r="F71" s="514" t="s">
        <v>290</v>
      </c>
      <c r="G71" s="514" t="s">
        <v>294</v>
      </c>
      <c r="H71" s="514" t="s">
        <v>295</v>
      </c>
      <c r="I71" s="514" t="s">
        <v>296</v>
      </c>
      <c r="J71" s="514" t="s">
        <v>297</v>
      </c>
      <c r="K71" s="514" t="s">
        <v>298</v>
      </c>
      <c r="L71" s="514" t="s">
        <v>299</v>
      </c>
      <c r="M71" s="514" t="s">
        <v>300</v>
      </c>
      <c r="N71" s="512" t="s">
        <v>272</v>
      </c>
      <c r="O71" s="515" t="s">
        <v>273</v>
      </c>
    </row>
    <row r="72" spans="1:15" x14ac:dyDescent="0.2">
      <c r="A72" s="401"/>
      <c r="B72" s="523"/>
      <c r="C72" s="523"/>
      <c r="D72" s="523"/>
      <c r="E72" s="523"/>
      <c r="F72" s="523"/>
      <c r="G72" s="523"/>
      <c r="H72" s="523"/>
      <c r="I72" s="523"/>
      <c r="J72" s="523"/>
      <c r="K72" s="523"/>
      <c r="L72" s="523"/>
      <c r="M72" s="523"/>
      <c r="N72" s="401"/>
      <c r="O72" s="524"/>
    </row>
    <row r="73" spans="1:15" ht="13.5" thickBot="1" x14ac:dyDescent="0.25">
      <c r="A73" s="516" t="s">
        <v>293</v>
      </c>
      <c r="B73" s="162">
        <f>'Mngt-Payroll'!T29</f>
        <v>0</v>
      </c>
      <c r="C73" s="162">
        <f>'Mngt-Microbiology '!S9</f>
        <v>152777.57999999999</v>
      </c>
      <c r="D73" s="162">
        <f>'Mngt-Chemistry '!S9</f>
        <v>371835.5</v>
      </c>
      <c r="E73" s="162">
        <f>'Mngt-Senior Audit '!S9</f>
        <v>214151.28</v>
      </c>
      <c r="F73" s="162">
        <f>'Mngt-Consulting '!S9</f>
        <v>-2266.16</v>
      </c>
      <c r="G73" s="162">
        <f>'Mngt-Research &amp; Development'!S9</f>
        <v>32755.48</v>
      </c>
      <c r="H73" s="162">
        <f>'Mngt-S&amp;M '!S9</f>
        <v>292525.09000000003</v>
      </c>
      <c r="I73" s="162">
        <f>'Mngt-G&amp;A Total'!S9</f>
        <v>428131.05</v>
      </c>
      <c r="J73" s="162">
        <f>'Mngt-Quality '!S8</f>
        <v>57876.63</v>
      </c>
      <c r="K73" s="162">
        <f>'Mngt-IT'!S9</f>
        <v>35090.32</v>
      </c>
      <c r="L73" s="162">
        <f>'Mngt-Lab Admin Total'!S9</f>
        <v>304482.19</v>
      </c>
      <c r="M73" s="402">
        <f>'Mngt-Customer Care Total '!S8</f>
        <v>155748.04</v>
      </c>
      <c r="N73" s="516">
        <f>SUM(C73:I73,J73:M73)</f>
        <v>2043107</v>
      </c>
      <c r="O73" s="517">
        <f>N73-B73</f>
        <v>2043107</v>
      </c>
    </row>
    <row r="77" spans="1:15" ht="13.5" thickBot="1" x14ac:dyDescent="0.25">
      <c r="A77" s="525" t="s">
        <v>300</v>
      </c>
    </row>
    <row r="78" spans="1:15" x14ac:dyDescent="0.2">
      <c r="A78" s="518" t="s">
        <v>265</v>
      </c>
      <c r="B78" s="526"/>
      <c r="C78" s="514" t="s">
        <v>272</v>
      </c>
      <c r="D78" s="527" t="s">
        <v>301</v>
      </c>
      <c r="E78" s="514" t="s">
        <v>269</v>
      </c>
      <c r="F78" s="514" t="s">
        <v>268</v>
      </c>
      <c r="G78" s="514" t="s">
        <v>271</v>
      </c>
      <c r="H78" s="514" t="s">
        <v>270</v>
      </c>
      <c r="I78" s="512" t="s">
        <v>272</v>
      </c>
      <c r="J78" s="515" t="s">
        <v>292</v>
      </c>
    </row>
    <row r="79" spans="1:15" ht="13.5" thickBot="1" x14ac:dyDescent="0.25">
      <c r="A79" s="516"/>
      <c r="B79" s="162"/>
      <c r="C79" s="162"/>
      <c r="D79" s="162"/>
      <c r="E79" s="162"/>
      <c r="F79" s="162"/>
      <c r="G79" s="162"/>
      <c r="H79" s="162"/>
      <c r="I79" s="516"/>
      <c r="J79" s="517"/>
    </row>
    <row r="80" spans="1:15" hidden="1" outlineLevel="1" x14ac:dyDescent="0.2">
      <c r="A80" s="528" t="s">
        <v>160</v>
      </c>
      <c r="B80" s="523"/>
      <c r="C80" s="523">
        <f>'Mngt-Customer Care Total '!S2</f>
        <v>117252.52</v>
      </c>
      <c r="D80" s="523">
        <f>'Mngt-Central Customer Care '!S2</f>
        <v>0</v>
      </c>
      <c r="E80" s="523">
        <f>'Mngt-Melb Customer Care '!S2</f>
        <v>36032.28</v>
      </c>
      <c r="F80" s="523">
        <f>'Mngt-Sydney Customer Care '!S2</f>
        <v>36292.21</v>
      </c>
      <c r="G80" s="523">
        <f>'Mngt-Perth Customer Care '!S2</f>
        <v>20221.04</v>
      </c>
      <c r="H80" s="523">
        <f>'Mngt-Bris Customer Care '!S2</f>
        <v>24706.99</v>
      </c>
      <c r="I80" s="401">
        <f t="shared" ref="I80:I85" si="10">SUM(D80:H80)</f>
        <v>117252.52</v>
      </c>
      <c r="J80" s="524">
        <f t="shared" ref="J80:J85" si="11">I80-C80</f>
        <v>0</v>
      </c>
    </row>
    <row r="81" spans="1:10" hidden="1" outlineLevel="1" x14ac:dyDescent="0.2">
      <c r="A81" s="528" t="s">
        <v>161</v>
      </c>
      <c r="B81" s="523"/>
      <c r="C81" s="523">
        <f>'Mngt-Customer Care Total '!S3</f>
        <v>7450.07</v>
      </c>
      <c r="D81" s="523">
        <f>'Mngt-Central Customer Care '!S3</f>
        <v>0</v>
      </c>
      <c r="E81" s="523">
        <f>'Mngt-Melb Customer Care '!S3</f>
        <v>2093.75</v>
      </c>
      <c r="F81" s="523">
        <f>'Mngt-Sydney Customer Care '!S3</f>
        <v>2469.7199999999998</v>
      </c>
      <c r="G81" s="523">
        <f>'Mngt-Perth Customer Care '!S3</f>
        <v>1409.26</v>
      </c>
      <c r="H81" s="523">
        <f>'Mngt-Bris Customer Care '!S3</f>
        <v>1477.34</v>
      </c>
      <c r="I81" s="401">
        <f t="shared" si="10"/>
        <v>7450.07</v>
      </c>
      <c r="J81" s="524">
        <f t="shared" si="11"/>
        <v>0</v>
      </c>
    </row>
    <row r="82" spans="1:10" hidden="1" outlineLevel="1" x14ac:dyDescent="0.2">
      <c r="A82" s="528" t="s">
        <v>162</v>
      </c>
      <c r="B82" s="523"/>
      <c r="C82" s="523">
        <f>'Mngt-Customer Care Total '!S4</f>
        <v>15827.66</v>
      </c>
      <c r="D82" s="523">
        <f>'Mngt-Central Customer Care '!S4</f>
        <v>0</v>
      </c>
      <c r="E82" s="523">
        <f>'Mngt-Melb Customer Care '!S4</f>
        <v>3569.06</v>
      </c>
      <c r="F82" s="523">
        <f>'Mngt-Sydney Customer Care '!S4</f>
        <v>4131.6400000000003</v>
      </c>
      <c r="G82" s="523">
        <f>'Mngt-Perth Customer Care '!S4</f>
        <v>3850.64</v>
      </c>
      <c r="H82" s="523">
        <f>'Mngt-Bris Customer Care '!S4</f>
        <v>4276.32</v>
      </c>
      <c r="I82" s="401">
        <f t="shared" si="10"/>
        <v>15827.66</v>
      </c>
      <c r="J82" s="524">
        <f t="shared" si="11"/>
        <v>0</v>
      </c>
    </row>
    <row r="83" spans="1:10" hidden="1" outlineLevel="1" x14ac:dyDescent="0.2">
      <c r="A83" s="528" t="s">
        <v>163</v>
      </c>
      <c r="B83" s="523"/>
      <c r="C83" s="523">
        <f>'Mngt-Customer Care Total '!S5</f>
        <v>0</v>
      </c>
      <c r="D83" s="523">
        <f>'Mngt-Central Customer Care '!S5</f>
        <v>0</v>
      </c>
      <c r="E83" s="523">
        <f>'Mngt-Melb Customer Care '!S5</f>
        <v>0</v>
      </c>
      <c r="F83" s="523">
        <f>'Mngt-Sydney Customer Care '!S5</f>
        <v>0</v>
      </c>
      <c r="G83" s="523">
        <f>'Mngt-Perth Customer Care '!S5</f>
        <v>0</v>
      </c>
      <c r="H83" s="523">
        <f>'Mngt-Bris Customer Care '!S5</f>
        <v>0</v>
      </c>
      <c r="I83" s="401">
        <f t="shared" si="10"/>
        <v>0</v>
      </c>
      <c r="J83" s="524">
        <f t="shared" si="11"/>
        <v>0</v>
      </c>
    </row>
    <row r="84" spans="1:10" hidden="1" outlineLevel="1" x14ac:dyDescent="0.2">
      <c r="A84" s="528" t="s">
        <v>164</v>
      </c>
      <c r="B84" s="523"/>
      <c r="C84" s="523">
        <f>'Mngt-Customer Care Total '!S6</f>
        <v>1835.86</v>
      </c>
      <c r="D84" s="523">
        <f>'Mngt-Central Customer Care '!S6</f>
        <v>0</v>
      </c>
      <c r="E84" s="523">
        <f>'Mngt-Melb Customer Care '!S6</f>
        <v>1130.6400000000001</v>
      </c>
      <c r="F84" s="523">
        <f>'Mngt-Sydney Customer Care '!S6</f>
        <v>701.8</v>
      </c>
      <c r="G84" s="523">
        <f>'Mngt-Perth Customer Care '!S6</f>
        <v>152.65</v>
      </c>
      <c r="H84" s="523">
        <f>'Mngt-Bris Customer Care '!S6</f>
        <v>-149.22999999999999</v>
      </c>
      <c r="I84" s="401">
        <f t="shared" si="10"/>
        <v>1835.8600000000001</v>
      </c>
      <c r="J84" s="524">
        <f t="shared" si="11"/>
        <v>0</v>
      </c>
    </row>
    <row r="85" spans="1:10" hidden="1" outlineLevel="1" x14ac:dyDescent="0.2">
      <c r="A85" s="528" t="s">
        <v>165</v>
      </c>
      <c r="B85" s="523"/>
      <c r="C85" s="523">
        <f>'Mngt-Customer Care Total '!S7</f>
        <v>13381.93</v>
      </c>
      <c r="D85" s="523">
        <f>'Mngt-Central Customer Care '!S7</f>
        <v>0</v>
      </c>
      <c r="E85" s="523">
        <f>'Mngt-Melb Customer Care '!S7</f>
        <v>3928.81</v>
      </c>
      <c r="F85" s="523">
        <f>'Mngt-Sydney Customer Care '!S7</f>
        <v>4401.05</v>
      </c>
      <c r="G85" s="523">
        <f>'Mngt-Perth Customer Care '!S7</f>
        <v>2329.8000000000002</v>
      </c>
      <c r="H85" s="523">
        <f>'Mngt-Bris Customer Care '!S7</f>
        <v>2722.27</v>
      </c>
      <c r="I85" s="401">
        <f t="shared" si="10"/>
        <v>13381.93</v>
      </c>
      <c r="J85" s="524">
        <f t="shared" si="11"/>
        <v>0</v>
      </c>
    </row>
    <row r="86" spans="1:10" collapsed="1" x14ac:dyDescent="0.2">
      <c r="A86" s="401" t="s">
        <v>166</v>
      </c>
      <c r="B86" s="523"/>
      <c r="C86" s="523">
        <f>'Mngt-Customer Care Total '!C8</f>
        <v>0</v>
      </c>
      <c r="D86" s="523">
        <f>'Mngt-Central Customer Care '!C8</f>
        <v>0</v>
      </c>
      <c r="E86" s="523">
        <f>'Mngt-Melb Customer Care '!C8</f>
        <v>0</v>
      </c>
      <c r="F86" s="523">
        <f>'Mngt-Sydney Customer Care '!C8</f>
        <v>0</v>
      </c>
      <c r="G86" s="523">
        <f>'Mngt-Perth Customer Care '!C8</f>
        <v>0</v>
      </c>
      <c r="H86" s="523">
        <f>'Mngt-Bris Customer Care '!C8</f>
        <v>0</v>
      </c>
      <c r="I86" s="401">
        <f>SUM(D86:H86)</f>
        <v>0</v>
      </c>
      <c r="J86" s="524">
        <f>I86-C86</f>
        <v>0</v>
      </c>
    </row>
    <row r="87" spans="1:10" x14ac:dyDescent="0.2">
      <c r="A87" s="401" t="s">
        <v>167</v>
      </c>
      <c r="B87" s="523"/>
      <c r="C87" s="523">
        <f>'Mngt-Customer Care Total '!C9</f>
        <v>0</v>
      </c>
      <c r="D87" s="523">
        <f>'Mngt-Central Customer Care '!C9</f>
        <v>0</v>
      </c>
      <c r="E87" s="523">
        <f>'Mngt-Melb Customer Care '!C9</f>
        <v>0</v>
      </c>
      <c r="F87" s="523">
        <f>'Mngt-Sydney Customer Care '!C9</f>
        <v>0</v>
      </c>
      <c r="G87" s="523">
        <f>'Mngt-Perth Customer Care '!C9</f>
        <v>0</v>
      </c>
      <c r="H87" s="523">
        <f>'Mngt-Bris Customer Care '!C9</f>
        <v>0</v>
      </c>
      <c r="I87" s="401">
        <f t="shared" ref="I87:I137" si="12">SUM(D87:H87)</f>
        <v>0</v>
      </c>
      <c r="J87" s="524">
        <f t="shared" ref="J87:J137" si="13">I87-C87</f>
        <v>0</v>
      </c>
    </row>
    <row r="88" spans="1:10" x14ac:dyDescent="0.2">
      <c r="A88" s="401" t="s">
        <v>168</v>
      </c>
      <c r="B88" s="523"/>
      <c r="C88" s="523">
        <f>'Mngt-Customer Care Total '!C10</f>
        <v>0</v>
      </c>
      <c r="D88" s="523">
        <f>'Mngt-Central Customer Care '!C10</f>
        <v>0</v>
      </c>
      <c r="E88" s="523">
        <f>'Mngt-Melb Customer Care '!C10</f>
        <v>0</v>
      </c>
      <c r="F88" s="523">
        <f>'Mngt-Sydney Customer Care '!C10</f>
        <v>0</v>
      </c>
      <c r="G88" s="523">
        <f>'Mngt-Perth Customer Care '!C10</f>
        <v>0</v>
      </c>
      <c r="H88" s="523">
        <f>'Mngt-Bris Customer Care '!C10</f>
        <v>0</v>
      </c>
      <c r="I88" s="401">
        <f t="shared" si="12"/>
        <v>0</v>
      </c>
      <c r="J88" s="524">
        <f t="shared" si="13"/>
        <v>0</v>
      </c>
    </row>
    <row r="89" spans="1:10" x14ac:dyDescent="0.2">
      <c r="A89" s="401" t="s">
        <v>169</v>
      </c>
      <c r="B89" s="523"/>
      <c r="C89" s="523">
        <f>'Mngt-Customer Care Total '!C11</f>
        <v>0</v>
      </c>
      <c r="D89" s="523">
        <f>'Mngt-Central Customer Care '!C11</f>
        <v>0</v>
      </c>
      <c r="E89" s="523">
        <f>'Mngt-Melb Customer Care '!BS11</f>
        <v>0</v>
      </c>
      <c r="F89" s="523">
        <f>'Mngt-Sydney Customer Care '!C11</f>
        <v>0</v>
      </c>
      <c r="G89" s="523">
        <f>'Mngt-Perth Customer Care '!C11</f>
        <v>0</v>
      </c>
      <c r="H89" s="523">
        <f>'Mngt-Bris Customer Care '!C11</f>
        <v>0</v>
      </c>
      <c r="I89" s="401">
        <f t="shared" si="12"/>
        <v>0</v>
      </c>
      <c r="J89" s="524">
        <f t="shared" si="13"/>
        <v>0</v>
      </c>
    </row>
    <row r="90" spans="1:10" x14ac:dyDescent="0.2">
      <c r="A90" s="401" t="s">
        <v>50</v>
      </c>
      <c r="B90" s="523"/>
      <c r="C90" s="523">
        <f>'Mngt-Customer Care Total '!C12</f>
        <v>0</v>
      </c>
      <c r="D90" s="523">
        <f>'Mngt-Central Customer Care '!C12</f>
        <v>0</v>
      </c>
      <c r="E90" s="523">
        <f>'Mngt-Melb Customer Care '!C12</f>
        <v>0</v>
      </c>
      <c r="F90" s="523">
        <f>'Mngt-Sydney Customer Care '!C12</f>
        <v>0</v>
      </c>
      <c r="G90" s="523">
        <f>'Mngt-Perth Customer Care '!C12</f>
        <v>0</v>
      </c>
      <c r="H90" s="523">
        <f>'Mngt-Bris Customer Care '!C12</f>
        <v>0</v>
      </c>
      <c r="I90" s="401">
        <f t="shared" si="12"/>
        <v>0</v>
      </c>
      <c r="J90" s="524">
        <f t="shared" si="13"/>
        <v>0</v>
      </c>
    </row>
    <row r="91" spans="1:10" x14ac:dyDescent="0.2">
      <c r="A91" s="401" t="s">
        <v>170</v>
      </c>
      <c r="B91" s="523"/>
      <c r="C91" s="523">
        <f>'Mngt-Customer Care Total '!C13</f>
        <v>0</v>
      </c>
      <c r="D91" s="523">
        <f>'Mngt-Central Customer Care '!C13</f>
        <v>0</v>
      </c>
      <c r="E91" s="523">
        <f>'Mngt-Melb Customer Care '!C13</f>
        <v>0</v>
      </c>
      <c r="F91" s="523">
        <f>'Mngt-Sydney Customer Care '!C13</f>
        <v>0</v>
      </c>
      <c r="G91" s="523">
        <f>'Mngt-Perth Customer Care '!C13</f>
        <v>0</v>
      </c>
      <c r="H91" s="523">
        <f>'Mngt-Bris Customer Care '!C13</f>
        <v>0</v>
      </c>
      <c r="I91" s="401">
        <f t="shared" si="12"/>
        <v>0</v>
      </c>
      <c r="J91" s="524">
        <f t="shared" si="13"/>
        <v>0</v>
      </c>
    </row>
    <row r="92" spans="1:10" x14ac:dyDescent="0.2">
      <c r="A92" s="401" t="s">
        <v>171</v>
      </c>
      <c r="B92" s="523"/>
      <c r="C92" s="523">
        <f>'Mngt-Customer Care Total '!C14</f>
        <v>0</v>
      </c>
      <c r="D92" s="523">
        <f>'Mngt-Central Customer Care '!C14</f>
        <v>0</v>
      </c>
      <c r="E92" s="523">
        <f>'Mngt-Melb Customer Care '!C14</f>
        <v>0</v>
      </c>
      <c r="F92" s="523">
        <f>'Mngt-Sydney Customer Care '!C14</f>
        <v>0</v>
      </c>
      <c r="G92" s="523">
        <f>'Mngt-Perth Customer Care '!C14</f>
        <v>0</v>
      </c>
      <c r="H92" s="523">
        <f>'Mngt-Bris Customer Care '!C14</f>
        <v>0</v>
      </c>
      <c r="I92" s="401">
        <f t="shared" si="12"/>
        <v>0</v>
      </c>
      <c r="J92" s="524">
        <f t="shared" si="13"/>
        <v>0</v>
      </c>
    </row>
    <row r="93" spans="1:10" x14ac:dyDescent="0.2">
      <c r="A93" s="401" t="s">
        <v>172</v>
      </c>
      <c r="B93" s="523"/>
      <c r="C93" s="523">
        <f>'Mngt-Customer Care Total '!C15</f>
        <v>0</v>
      </c>
      <c r="D93" s="523">
        <f>'Mngt-Central Customer Care '!C15</f>
        <v>0</v>
      </c>
      <c r="E93" s="523">
        <f>'Mngt-Melb Customer Care '!C15</f>
        <v>0</v>
      </c>
      <c r="F93" s="523">
        <f>'Mngt-Sydney Customer Care '!C15</f>
        <v>0</v>
      </c>
      <c r="G93" s="523">
        <f>'Mngt-Perth Customer Care '!C15</f>
        <v>0</v>
      </c>
      <c r="H93" s="523">
        <f>'Mngt-Bris Customer Care '!C15</f>
        <v>0</v>
      </c>
      <c r="I93" s="401">
        <f t="shared" si="12"/>
        <v>0</v>
      </c>
      <c r="J93" s="524">
        <f t="shared" si="13"/>
        <v>0</v>
      </c>
    </row>
    <row r="94" spans="1:10" x14ac:dyDescent="0.2">
      <c r="A94" s="401" t="s">
        <v>173</v>
      </c>
      <c r="B94" s="523"/>
      <c r="C94" s="523">
        <f>'Mngt-Customer Care Total '!C16</f>
        <v>0</v>
      </c>
      <c r="D94" s="523">
        <f>'Mngt-Central Customer Care '!C16</f>
        <v>0</v>
      </c>
      <c r="E94" s="523">
        <f>'Mngt-Melb Customer Care '!C16</f>
        <v>0</v>
      </c>
      <c r="F94" s="523">
        <f>'Mngt-Sydney Customer Care '!C16</f>
        <v>0</v>
      </c>
      <c r="G94" s="523">
        <f>'Mngt-Perth Customer Care '!C16</f>
        <v>0</v>
      </c>
      <c r="H94" s="523">
        <f>'Mngt-Bris Customer Care '!C16</f>
        <v>0</v>
      </c>
      <c r="I94" s="401">
        <f t="shared" si="12"/>
        <v>0</v>
      </c>
      <c r="J94" s="524">
        <f t="shared" si="13"/>
        <v>0</v>
      </c>
    </row>
    <row r="95" spans="1:10" x14ac:dyDescent="0.2">
      <c r="A95" s="401" t="s">
        <v>257</v>
      </c>
      <c r="B95" s="523"/>
      <c r="C95" s="523">
        <f>'Mngt-Customer Care Total '!C17</f>
        <v>0</v>
      </c>
      <c r="D95" s="523">
        <f>'Mngt-Central Customer Care '!C17</f>
        <v>0</v>
      </c>
      <c r="E95" s="523">
        <f>'Mngt-Melb Customer Care '!C17</f>
        <v>0</v>
      </c>
      <c r="F95" s="523">
        <f>'Mngt-Sydney Customer Care '!C17</f>
        <v>0</v>
      </c>
      <c r="G95" s="523">
        <f>'Mngt-Perth Customer Care '!C17</f>
        <v>0</v>
      </c>
      <c r="H95" s="523">
        <f>'Mngt-Bris Customer Care '!C17</f>
        <v>0</v>
      </c>
      <c r="I95" s="401">
        <f t="shared" si="12"/>
        <v>0</v>
      </c>
      <c r="J95" s="524">
        <f t="shared" si="13"/>
        <v>0</v>
      </c>
    </row>
    <row r="96" spans="1:10" x14ac:dyDescent="0.2">
      <c r="A96" s="401" t="s">
        <v>70</v>
      </c>
      <c r="B96" s="523"/>
      <c r="C96" s="523">
        <f>'Mngt-Customer Care Total '!C21</f>
        <v>0</v>
      </c>
      <c r="D96" s="523">
        <f>'Mngt-Central Customer Care '!C20</f>
        <v>0</v>
      </c>
      <c r="E96" s="523">
        <f>'Mngt-Melb Customer Care '!C21</f>
        <v>0</v>
      </c>
      <c r="F96" s="523">
        <f>'Mngt-Sydney Customer Care '!C21</f>
        <v>0</v>
      </c>
      <c r="G96" s="523">
        <f>'Mngt-Perth Customer Care '!C21</f>
        <v>0</v>
      </c>
      <c r="H96" s="523">
        <f>'Mngt-Bris Customer Care '!C21</f>
        <v>0</v>
      </c>
      <c r="I96" s="401">
        <f t="shared" si="12"/>
        <v>0</v>
      </c>
      <c r="J96" s="524">
        <f t="shared" si="13"/>
        <v>0</v>
      </c>
    </row>
    <row r="97" spans="1:10" hidden="1" outlineLevel="1" x14ac:dyDescent="0.2">
      <c r="A97" s="401" t="s">
        <v>174</v>
      </c>
      <c r="B97" s="523"/>
      <c r="C97" s="523">
        <f>'Mngt-Customer Care Total '!B22</f>
        <v>0</v>
      </c>
      <c r="D97" s="523"/>
      <c r="E97" s="523">
        <f>'Mngt-Melb Customer Care '!B19</f>
        <v>35</v>
      </c>
      <c r="F97" s="523"/>
      <c r="G97" s="523">
        <f>'Mngt-Perth Customer Care '!C22</f>
        <v>0</v>
      </c>
      <c r="H97" s="523">
        <f>'Mngt-Bris Customer Care '!C22</f>
        <v>0</v>
      </c>
      <c r="I97" s="401">
        <f>SUM(D97:H97)</f>
        <v>35</v>
      </c>
      <c r="J97" s="524">
        <f>I97-C97</f>
        <v>35</v>
      </c>
    </row>
    <row r="98" spans="1:10" hidden="1" outlineLevel="1" x14ac:dyDescent="0.2">
      <c r="A98" s="401" t="s">
        <v>99</v>
      </c>
      <c r="B98" s="523"/>
      <c r="C98" s="523">
        <f>'Mngt-Customer Care Total '!B23</f>
        <v>1168.58</v>
      </c>
      <c r="D98" s="523"/>
      <c r="E98" s="523">
        <f>'Mngt-Melb Customer Care '!B20</f>
        <v>0</v>
      </c>
      <c r="F98" s="523">
        <f>'Mngt-Sydney Customer Care '!C23</f>
        <v>0</v>
      </c>
      <c r="G98" s="523">
        <f>'Mngt-Perth Customer Care '!C23</f>
        <v>0</v>
      </c>
      <c r="H98" s="523">
        <f>'Mngt-Bris Customer Care '!C23</f>
        <v>0</v>
      </c>
      <c r="I98" s="401">
        <f t="shared" si="12"/>
        <v>0</v>
      </c>
      <c r="J98" s="524">
        <f t="shared" si="13"/>
        <v>-1168.58</v>
      </c>
    </row>
    <row r="99" spans="1:10" hidden="1" outlineLevel="1" x14ac:dyDescent="0.2">
      <c r="A99" s="401" t="s">
        <v>175</v>
      </c>
      <c r="B99" s="523"/>
      <c r="C99" s="523">
        <f>'Mngt-Customer Care Total '!B24</f>
        <v>27.83</v>
      </c>
      <c r="D99" s="523"/>
      <c r="E99" s="523">
        <f>'Mngt-Melb Customer Care '!B21</f>
        <v>35</v>
      </c>
      <c r="F99" s="523">
        <f>'Mngt-Sydney Customer Care '!C24</f>
        <v>0</v>
      </c>
      <c r="G99" s="523">
        <f>'Mngt-Perth Customer Care '!C24</f>
        <v>0</v>
      </c>
      <c r="H99" s="523">
        <f>'Mngt-Bris Customer Care '!C24</f>
        <v>0</v>
      </c>
      <c r="I99" s="401">
        <f t="shared" si="12"/>
        <v>35</v>
      </c>
      <c r="J99" s="524">
        <f t="shared" si="13"/>
        <v>7.1700000000000017</v>
      </c>
    </row>
    <row r="100" spans="1:10" hidden="1" outlineLevel="1" x14ac:dyDescent="0.2">
      <c r="A100" s="401" t="s">
        <v>100</v>
      </c>
      <c r="B100" s="523"/>
      <c r="C100" s="523">
        <f>'Mngt-Customer Care Total '!B25</f>
        <v>271.54000000000002</v>
      </c>
      <c r="D100" s="523"/>
      <c r="E100" s="523">
        <f>'Mngt-Melb Customer Care '!B22</f>
        <v>0</v>
      </c>
      <c r="F100" s="523">
        <f>'Mngt-Sydney Customer Care '!C25</f>
        <v>0</v>
      </c>
      <c r="G100" s="523">
        <f>'Mngt-Perth Customer Care '!C25</f>
        <v>0</v>
      </c>
      <c r="H100" s="523">
        <f>'Mngt-Bris Customer Care '!C25</f>
        <v>0</v>
      </c>
      <c r="I100" s="401">
        <f t="shared" si="12"/>
        <v>0</v>
      </c>
      <c r="J100" s="524">
        <f t="shared" si="13"/>
        <v>-271.54000000000002</v>
      </c>
    </row>
    <row r="101" spans="1:10" hidden="1" outlineLevel="1" x14ac:dyDescent="0.2">
      <c r="A101" s="401" t="s">
        <v>101</v>
      </c>
      <c r="B101" s="523"/>
      <c r="C101" s="523">
        <f>'Mngt-Customer Care Total '!B26</f>
        <v>0</v>
      </c>
      <c r="D101" s="523"/>
      <c r="E101" s="523">
        <f>'Mngt-Melb Customer Care '!B23</f>
        <v>0</v>
      </c>
      <c r="F101" s="523">
        <f>'Mngt-Sydney Customer Care '!C26</f>
        <v>0</v>
      </c>
      <c r="G101" s="523">
        <f>'Mngt-Perth Customer Care '!C26</f>
        <v>0</v>
      </c>
      <c r="H101" s="523">
        <f>'Mngt-Bris Customer Care '!C26</f>
        <v>0</v>
      </c>
      <c r="I101" s="401">
        <f t="shared" si="12"/>
        <v>0</v>
      </c>
      <c r="J101" s="524">
        <f t="shared" si="13"/>
        <v>0</v>
      </c>
    </row>
    <row r="102" spans="1:10" hidden="1" outlineLevel="1" x14ac:dyDescent="0.2">
      <c r="A102" s="401" t="s">
        <v>176</v>
      </c>
      <c r="B102" s="523"/>
      <c r="C102" s="523">
        <f>'Mngt-Customer Care Total '!B27</f>
        <v>0</v>
      </c>
      <c r="D102" s="523"/>
      <c r="E102" s="523">
        <f>'Mngt-Melb Customer Care '!B24</f>
        <v>27.83</v>
      </c>
      <c r="F102" s="523">
        <f>'Mngt-Sydney Customer Care '!C27</f>
        <v>0</v>
      </c>
      <c r="G102" s="523">
        <f>'Mngt-Perth Customer Care '!C27</f>
        <v>0</v>
      </c>
      <c r="H102" s="523">
        <f>'Mngt-Bris Customer Care '!C27</f>
        <v>0</v>
      </c>
      <c r="I102" s="401">
        <f t="shared" si="12"/>
        <v>27.83</v>
      </c>
      <c r="J102" s="524">
        <f t="shared" si="13"/>
        <v>27.83</v>
      </c>
    </row>
    <row r="103" spans="1:10" hidden="1" outlineLevel="1" x14ac:dyDescent="0.2">
      <c r="A103" s="401" t="s">
        <v>102</v>
      </c>
      <c r="B103" s="523"/>
      <c r="C103" s="523">
        <f>'Mngt-Customer Care Total '!B28</f>
        <v>471.06</v>
      </c>
      <c r="D103" s="523"/>
      <c r="E103" s="523">
        <f>'Mngt-Melb Customer Care '!B25</f>
        <v>0</v>
      </c>
      <c r="F103" s="523">
        <f>'Mngt-Sydney Customer Care '!C28</f>
        <v>0</v>
      </c>
      <c r="G103" s="523">
        <f>'Mngt-Perth Customer Care '!C28</f>
        <v>0</v>
      </c>
      <c r="H103" s="523">
        <f>'Mngt-Bris Customer Care '!C28</f>
        <v>0</v>
      </c>
      <c r="I103" s="401">
        <f t="shared" si="12"/>
        <v>0</v>
      </c>
      <c r="J103" s="524">
        <f t="shared" si="13"/>
        <v>-471.06</v>
      </c>
    </row>
    <row r="104" spans="1:10" hidden="1" outlineLevel="1" x14ac:dyDescent="0.2">
      <c r="A104" s="401" t="s">
        <v>75</v>
      </c>
      <c r="B104" s="523"/>
      <c r="C104" s="523">
        <f>'Mngt-Customer Care Total '!B29</f>
        <v>106.36</v>
      </c>
      <c r="D104" s="523"/>
      <c r="E104" s="523">
        <f>'Mngt-Melb Customer Care '!B26</f>
        <v>0</v>
      </c>
      <c r="F104" s="523">
        <f>'Mngt-Sydney Customer Care '!C29</f>
        <v>0</v>
      </c>
      <c r="G104" s="523">
        <f>'Mngt-Perth Customer Care '!C29</f>
        <v>0</v>
      </c>
      <c r="H104" s="523">
        <f>'Mngt-Bris Customer Care '!C29</f>
        <v>0</v>
      </c>
      <c r="I104" s="401">
        <f t="shared" si="12"/>
        <v>0</v>
      </c>
      <c r="J104" s="524">
        <f t="shared" si="13"/>
        <v>-106.36</v>
      </c>
    </row>
    <row r="105" spans="1:10" hidden="1" outlineLevel="1" x14ac:dyDescent="0.2">
      <c r="A105" s="401" t="s">
        <v>76</v>
      </c>
      <c r="B105" s="523"/>
      <c r="C105" s="523">
        <f>'Mngt-Customer Care Total '!B30</f>
        <v>9.1</v>
      </c>
      <c r="D105" s="523"/>
      <c r="E105" s="523">
        <f>'Mngt-Melb Customer Care '!B27</f>
        <v>0</v>
      </c>
      <c r="F105" s="523">
        <f>'Mngt-Sydney Customer Care '!C30</f>
        <v>0</v>
      </c>
      <c r="G105" s="523">
        <f>'Mngt-Perth Customer Care '!C30</f>
        <v>0</v>
      </c>
      <c r="H105" s="523">
        <f>'Mngt-Bris Customer Care '!C30</f>
        <v>0</v>
      </c>
      <c r="I105" s="401">
        <f t="shared" si="12"/>
        <v>0</v>
      </c>
      <c r="J105" s="524">
        <f t="shared" si="13"/>
        <v>-9.1</v>
      </c>
    </row>
    <row r="106" spans="1:10" hidden="1" outlineLevel="1" x14ac:dyDescent="0.2">
      <c r="A106" s="401" t="s">
        <v>77</v>
      </c>
      <c r="B106" s="523"/>
      <c r="C106" s="523">
        <f>'Mngt-Customer Care Total '!B31</f>
        <v>113.71</v>
      </c>
      <c r="D106" s="523"/>
      <c r="E106" s="523">
        <f>'Mngt-Melb Customer Care '!B28</f>
        <v>0</v>
      </c>
      <c r="F106" s="523">
        <f>'Mngt-Sydney Customer Care '!C31</f>
        <v>0</v>
      </c>
      <c r="G106" s="523">
        <f>'Mngt-Perth Customer Care '!C31</f>
        <v>0</v>
      </c>
      <c r="H106" s="523">
        <f>'Mngt-Bris Customer Care '!C31</f>
        <v>0</v>
      </c>
      <c r="I106" s="401">
        <f t="shared" si="12"/>
        <v>0</v>
      </c>
      <c r="J106" s="524">
        <f t="shared" si="13"/>
        <v>-113.71</v>
      </c>
    </row>
    <row r="107" spans="1:10" collapsed="1" x14ac:dyDescent="0.2">
      <c r="A107" s="401" t="s">
        <v>177</v>
      </c>
      <c r="B107" s="523"/>
      <c r="C107" s="523">
        <f>'Mngt-Customer Care Total '!C32</f>
        <v>0</v>
      </c>
      <c r="D107" s="523">
        <f>'Mngt-Central Customer Care '!C31</f>
        <v>0</v>
      </c>
      <c r="E107" s="523">
        <f>'Mngt-Melb Customer Care '!C32</f>
        <v>0</v>
      </c>
      <c r="F107" s="523">
        <f>'Mngt-Sydney Customer Care '!C32</f>
        <v>0</v>
      </c>
      <c r="G107" s="523">
        <f>'Mngt-Perth Customer Care '!C32</f>
        <v>0</v>
      </c>
      <c r="H107" s="523">
        <f>'Mngt-Bris Customer Care '!C32</f>
        <v>0</v>
      </c>
      <c r="I107" s="401">
        <f>SUM(D107:H107)</f>
        <v>0</v>
      </c>
      <c r="J107" s="524">
        <f t="shared" si="13"/>
        <v>0</v>
      </c>
    </row>
    <row r="108" spans="1:10" hidden="1" outlineLevel="1" x14ac:dyDescent="0.2">
      <c r="A108" s="401" t="s">
        <v>178</v>
      </c>
      <c r="B108" s="523"/>
      <c r="C108" s="523"/>
      <c r="D108" s="523"/>
      <c r="E108" s="523"/>
      <c r="F108" s="523"/>
      <c r="G108" s="523"/>
      <c r="H108" s="523"/>
      <c r="I108" s="401">
        <f t="shared" si="12"/>
        <v>0</v>
      </c>
      <c r="J108" s="524">
        <f t="shared" si="13"/>
        <v>0</v>
      </c>
    </row>
    <row r="109" spans="1:10" hidden="1" outlineLevel="1" x14ac:dyDescent="0.2">
      <c r="A109" s="401" t="s">
        <v>179</v>
      </c>
      <c r="B109" s="523"/>
      <c r="C109" s="523"/>
      <c r="D109" s="523"/>
      <c r="E109" s="523"/>
      <c r="F109" s="523"/>
      <c r="G109" s="523"/>
      <c r="H109" s="523"/>
      <c r="I109" s="401">
        <f t="shared" si="12"/>
        <v>0</v>
      </c>
      <c r="J109" s="524">
        <f t="shared" si="13"/>
        <v>0</v>
      </c>
    </row>
    <row r="110" spans="1:10" hidden="1" outlineLevel="1" x14ac:dyDescent="0.2">
      <c r="A110" s="401" t="s">
        <v>180</v>
      </c>
      <c r="B110" s="523"/>
      <c r="C110" s="523"/>
      <c r="D110" s="523"/>
      <c r="E110" s="523"/>
      <c r="F110" s="523"/>
      <c r="G110" s="523"/>
      <c r="H110" s="523"/>
      <c r="I110" s="401">
        <f t="shared" si="12"/>
        <v>0</v>
      </c>
      <c r="J110" s="524">
        <f t="shared" si="13"/>
        <v>0</v>
      </c>
    </row>
    <row r="111" spans="1:10" hidden="1" outlineLevel="1" x14ac:dyDescent="0.2">
      <c r="A111" s="401" t="s">
        <v>181</v>
      </c>
      <c r="B111" s="523"/>
      <c r="C111" s="523"/>
      <c r="D111" s="523"/>
      <c r="E111" s="523"/>
      <c r="F111" s="523"/>
      <c r="G111" s="523"/>
      <c r="H111" s="523"/>
      <c r="I111" s="401">
        <f t="shared" si="12"/>
        <v>0</v>
      </c>
      <c r="J111" s="524">
        <f t="shared" si="13"/>
        <v>0</v>
      </c>
    </row>
    <row r="112" spans="1:10" hidden="1" outlineLevel="1" x14ac:dyDescent="0.2">
      <c r="A112" s="401" t="s">
        <v>182</v>
      </c>
      <c r="B112" s="523"/>
      <c r="C112" s="523"/>
      <c r="D112" s="523"/>
      <c r="E112" s="523"/>
      <c r="F112" s="523"/>
      <c r="G112" s="523"/>
      <c r="H112" s="523"/>
      <c r="I112" s="401">
        <f t="shared" si="12"/>
        <v>0</v>
      </c>
      <c r="J112" s="524">
        <f t="shared" si="13"/>
        <v>0</v>
      </c>
    </row>
    <row r="113" spans="1:10" hidden="1" outlineLevel="1" x14ac:dyDescent="0.2">
      <c r="A113" s="401" t="s">
        <v>183</v>
      </c>
      <c r="B113" s="523"/>
      <c r="C113" s="523"/>
      <c r="D113" s="523"/>
      <c r="E113" s="523"/>
      <c r="F113" s="523"/>
      <c r="G113" s="523"/>
      <c r="H113" s="523"/>
      <c r="I113" s="401">
        <f t="shared" si="12"/>
        <v>0</v>
      </c>
      <c r="J113" s="524">
        <f t="shared" si="13"/>
        <v>0</v>
      </c>
    </row>
    <row r="114" spans="1:10" hidden="1" outlineLevel="1" x14ac:dyDescent="0.2">
      <c r="A114" s="401" t="s">
        <v>184</v>
      </c>
      <c r="B114" s="523"/>
      <c r="C114" s="523"/>
      <c r="D114" s="523"/>
      <c r="E114" s="523"/>
      <c r="F114" s="523"/>
      <c r="G114" s="523"/>
      <c r="H114" s="523"/>
      <c r="I114" s="401">
        <f t="shared" si="12"/>
        <v>0</v>
      </c>
      <c r="J114" s="524">
        <f t="shared" si="13"/>
        <v>0</v>
      </c>
    </row>
    <row r="115" spans="1:10" hidden="1" outlineLevel="1" x14ac:dyDescent="0.2">
      <c r="A115" s="401" t="s">
        <v>185</v>
      </c>
      <c r="B115" s="523"/>
      <c r="C115" s="523"/>
      <c r="D115" s="523"/>
      <c r="E115" s="523"/>
      <c r="F115" s="523"/>
      <c r="G115" s="523"/>
      <c r="H115" s="523"/>
      <c r="I115" s="401">
        <f t="shared" si="12"/>
        <v>0</v>
      </c>
      <c r="J115" s="524">
        <f t="shared" si="13"/>
        <v>0</v>
      </c>
    </row>
    <row r="116" spans="1:10" hidden="1" outlineLevel="1" x14ac:dyDescent="0.2">
      <c r="A116" s="401" t="s">
        <v>186</v>
      </c>
      <c r="B116" s="523"/>
      <c r="C116" s="523"/>
      <c r="D116" s="523"/>
      <c r="E116" s="523"/>
      <c r="F116" s="523"/>
      <c r="G116" s="523"/>
      <c r="H116" s="523"/>
      <c r="I116" s="401">
        <f t="shared" si="12"/>
        <v>0</v>
      </c>
      <c r="J116" s="524">
        <f t="shared" si="13"/>
        <v>0</v>
      </c>
    </row>
    <row r="117" spans="1:10" hidden="1" outlineLevel="1" x14ac:dyDescent="0.2">
      <c r="A117" s="401" t="s">
        <v>187</v>
      </c>
      <c r="B117" s="523"/>
      <c r="C117" s="523"/>
      <c r="D117" s="523"/>
      <c r="E117" s="523"/>
      <c r="F117" s="523"/>
      <c r="G117" s="523"/>
      <c r="H117" s="523"/>
      <c r="I117" s="401">
        <f t="shared" si="12"/>
        <v>0</v>
      </c>
      <c r="J117" s="524">
        <f t="shared" si="13"/>
        <v>0</v>
      </c>
    </row>
    <row r="118" spans="1:10" hidden="1" outlineLevel="1" x14ac:dyDescent="0.2">
      <c r="A118" s="401" t="s">
        <v>188</v>
      </c>
      <c r="B118" s="523"/>
      <c r="C118" s="523"/>
      <c r="D118" s="523"/>
      <c r="E118" s="523"/>
      <c r="F118" s="523"/>
      <c r="G118" s="523"/>
      <c r="H118" s="523"/>
      <c r="I118" s="401">
        <f t="shared" si="12"/>
        <v>0</v>
      </c>
      <c r="J118" s="524">
        <f t="shared" si="13"/>
        <v>0</v>
      </c>
    </row>
    <row r="119" spans="1:10" hidden="1" outlineLevel="1" x14ac:dyDescent="0.2">
      <c r="A119" s="401" t="s">
        <v>189</v>
      </c>
      <c r="B119" s="523"/>
      <c r="C119" s="523"/>
      <c r="D119" s="523"/>
      <c r="E119" s="523"/>
      <c r="F119" s="523"/>
      <c r="G119" s="523"/>
      <c r="H119" s="523"/>
      <c r="I119" s="401">
        <f t="shared" si="12"/>
        <v>0</v>
      </c>
      <c r="J119" s="524">
        <f t="shared" si="13"/>
        <v>0</v>
      </c>
    </row>
    <row r="120" spans="1:10" hidden="1" outlineLevel="1" x14ac:dyDescent="0.2">
      <c r="A120" s="401" t="s">
        <v>190</v>
      </c>
      <c r="B120" s="523"/>
      <c r="C120" s="523"/>
      <c r="D120" s="523"/>
      <c r="E120" s="523"/>
      <c r="F120" s="523"/>
      <c r="G120" s="523"/>
      <c r="H120" s="523"/>
      <c r="I120" s="401">
        <f t="shared" si="12"/>
        <v>0</v>
      </c>
      <c r="J120" s="524">
        <f t="shared" si="13"/>
        <v>0</v>
      </c>
    </row>
    <row r="121" spans="1:10" hidden="1" outlineLevel="1" x14ac:dyDescent="0.2">
      <c r="A121" s="401" t="s">
        <v>191</v>
      </c>
      <c r="B121" s="523"/>
      <c r="C121" s="523"/>
      <c r="D121" s="523"/>
      <c r="E121" s="523"/>
      <c r="F121" s="523"/>
      <c r="G121" s="523"/>
      <c r="H121" s="523"/>
      <c r="I121" s="401">
        <f t="shared" si="12"/>
        <v>0</v>
      </c>
      <c r="J121" s="524">
        <f t="shared" si="13"/>
        <v>0</v>
      </c>
    </row>
    <row r="122" spans="1:10" collapsed="1" x14ac:dyDescent="0.2">
      <c r="A122" s="401" t="s">
        <v>192</v>
      </c>
      <c r="B122" s="523"/>
      <c r="C122" s="523">
        <f>'Mngt-Customer Care Total '!C47</f>
        <v>0</v>
      </c>
      <c r="D122" s="523">
        <f>'Mngt-Central Customer Care '!C46</f>
        <v>0</v>
      </c>
      <c r="E122" s="523">
        <f>'Mngt-Melb Customer Care '!C47</f>
        <v>0</v>
      </c>
      <c r="F122" s="523">
        <f>'Mngt-Sydney Customer Care '!C47</f>
        <v>0</v>
      </c>
      <c r="G122" s="523">
        <f>'Mngt-Perth Customer Care '!C47</f>
        <v>0</v>
      </c>
      <c r="H122" s="523">
        <f>'Mngt-Bris Customer Care '!C47</f>
        <v>0</v>
      </c>
      <c r="I122" s="401">
        <f t="shared" si="12"/>
        <v>0</v>
      </c>
      <c r="J122" s="524">
        <f t="shared" si="13"/>
        <v>0</v>
      </c>
    </row>
    <row r="123" spans="1:10" hidden="1" outlineLevel="1" x14ac:dyDescent="0.2">
      <c r="A123" s="401" t="s">
        <v>193</v>
      </c>
      <c r="B123" s="523"/>
      <c r="C123" s="523"/>
      <c r="D123" s="523"/>
      <c r="E123" s="523"/>
      <c r="F123" s="523"/>
      <c r="G123" s="523"/>
      <c r="H123" s="523"/>
      <c r="I123" s="401">
        <f t="shared" si="12"/>
        <v>0</v>
      </c>
      <c r="J123" s="524">
        <f t="shared" si="13"/>
        <v>0</v>
      </c>
    </row>
    <row r="124" spans="1:10" hidden="1" outlineLevel="1" x14ac:dyDescent="0.2">
      <c r="A124" s="401" t="s">
        <v>194</v>
      </c>
      <c r="B124" s="523"/>
      <c r="C124" s="523"/>
      <c r="D124" s="523"/>
      <c r="E124" s="523"/>
      <c r="F124" s="523"/>
      <c r="G124" s="523"/>
      <c r="H124" s="523"/>
      <c r="I124" s="401">
        <f t="shared" si="12"/>
        <v>0</v>
      </c>
      <c r="J124" s="524">
        <f t="shared" si="13"/>
        <v>0</v>
      </c>
    </row>
    <row r="125" spans="1:10" hidden="1" outlineLevel="1" x14ac:dyDescent="0.2">
      <c r="A125" s="401" t="s">
        <v>82</v>
      </c>
      <c r="B125" s="523"/>
      <c r="C125" s="523"/>
      <c r="D125" s="523"/>
      <c r="E125" s="523"/>
      <c r="F125" s="523"/>
      <c r="G125" s="523"/>
      <c r="H125" s="523"/>
      <c r="I125" s="401">
        <f t="shared" si="12"/>
        <v>0</v>
      </c>
      <c r="J125" s="524">
        <f t="shared" si="13"/>
        <v>0</v>
      </c>
    </row>
    <row r="126" spans="1:10" hidden="1" outlineLevel="1" x14ac:dyDescent="0.2">
      <c r="A126" s="401" t="s">
        <v>83</v>
      </c>
      <c r="B126" s="523"/>
      <c r="C126" s="523"/>
      <c r="D126" s="523"/>
      <c r="E126" s="523"/>
      <c r="F126" s="523"/>
      <c r="G126" s="523"/>
      <c r="H126" s="523"/>
      <c r="I126" s="401">
        <f t="shared" si="12"/>
        <v>0</v>
      </c>
      <c r="J126" s="524">
        <f t="shared" si="13"/>
        <v>0</v>
      </c>
    </row>
    <row r="127" spans="1:10" hidden="1" outlineLevel="1" x14ac:dyDescent="0.2">
      <c r="A127" s="401" t="s">
        <v>84</v>
      </c>
      <c r="B127" s="523"/>
      <c r="C127" s="523"/>
      <c r="D127" s="523"/>
      <c r="E127" s="523"/>
      <c r="F127" s="523"/>
      <c r="G127" s="523"/>
      <c r="H127" s="523"/>
      <c r="I127" s="401">
        <f t="shared" si="12"/>
        <v>0</v>
      </c>
      <c r="J127" s="524">
        <f t="shared" si="13"/>
        <v>0</v>
      </c>
    </row>
    <row r="128" spans="1:10" hidden="1" outlineLevel="1" x14ac:dyDescent="0.2">
      <c r="A128" s="401" t="s">
        <v>195</v>
      </c>
      <c r="B128" s="523"/>
      <c r="C128" s="523"/>
      <c r="D128" s="523"/>
      <c r="E128" s="523"/>
      <c r="F128" s="523"/>
      <c r="G128" s="523"/>
      <c r="H128" s="523"/>
      <c r="I128" s="401">
        <f t="shared" si="12"/>
        <v>0</v>
      </c>
      <c r="J128" s="524">
        <f t="shared" si="13"/>
        <v>0</v>
      </c>
    </row>
    <row r="129" spans="1:10" hidden="1" outlineLevel="1" x14ac:dyDescent="0.2">
      <c r="A129" s="401" t="s">
        <v>86</v>
      </c>
      <c r="B129" s="523"/>
      <c r="C129" s="523"/>
      <c r="D129" s="523"/>
      <c r="E129" s="523"/>
      <c r="F129" s="523"/>
      <c r="G129" s="523"/>
      <c r="H129" s="523"/>
      <c r="I129" s="401">
        <f t="shared" si="12"/>
        <v>0</v>
      </c>
      <c r="J129" s="524">
        <f t="shared" si="13"/>
        <v>0</v>
      </c>
    </row>
    <row r="130" spans="1:10" hidden="1" outlineLevel="1" x14ac:dyDescent="0.2">
      <c r="A130" s="401" t="s">
        <v>110</v>
      </c>
      <c r="B130" s="523"/>
      <c r="C130" s="523"/>
      <c r="D130" s="523"/>
      <c r="E130" s="523"/>
      <c r="F130" s="523"/>
      <c r="G130" s="523"/>
      <c r="H130" s="523"/>
      <c r="I130" s="401">
        <f t="shared" si="12"/>
        <v>0</v>
      </c>
      <c r="J130" s="524">
        <f t="shared" si="13"/>
        <v>0</v>
      </c>
    </row>
    <row r="131" spans="1:10" hidden="1" outlineLevel="1" x14ac:dyDescent="0.2">
      <c r="A131" s="401" t="s">
        <v>196</v>
      </c>
      <c r="B131" s="523"/>
      <c r="C131" s="523"/>
      <c r="D131" s="523"/>
      <c r="E131" s="523"/>
      <c r="F131" s="523"/>
      <c r="G131" s="523"/>
      <c r="H131" s="523"/>
      <c r="I131" s="401">
        <f t="shared" si="12"/>
        <v>0</v>
      </c>
      <c r="J131" s="524">
        <f t="shared" si="13"/>
        <v>0</v>
      </c>
    </row>
    <row r="132" spans="1:10" hidden="1" outlineLevel="1" x14ac:dyDescent="0.2">
      <c r="A132" s="401" t="s">
        <v>197</v>
      </c>
      <c r="B132" s="523"/>
      <c r="C132" s="523"/>
      <c r="D132" s="523"/>
      <c r="E132" s="523"/>
      <c r="F132" s="523"/>
      <c r="G132" s="523"/>
      <c r="H132" s="523"/>
      <c r="I132" s="401">
        <f t="shared" si="12"/>
        <v>0</v>
      </c>
      <c r="J132" s="524">
        <f t="shared" si="13"/>
        <v>0</v>
      </c>
    </row>
    <row r="133" spans="1:10" hidden="1" outlineLevel="1" x14ac:dyDescent="0.2">
      <c r="A133" s="401" t="s">
        <v>198</v>
      </c>
      <c r="B133" s="523"/>
      <c r="C133" s="523"/>
      <c r="D133" s="523"/>
      <c r="E133" s="523"/>
      <c r="F133" s="523"/>
      <c r="G133" s="523"/>
      <c r="H133" s="523"/>
      <c r="I133" s="401">
        <f t="shared" si="12"/>
        <v>0</v>
      </c>
      <c r="J133" s="524">
        <f t="shared" si="13"/>
        <v>0</v>
      </c>
    </row>
    <row r="134" spans="1:10" hidden="1" outlineLevel="1" x14ac:dyDescent="0.2">
      <c r="A134" s="401" t="s">
        <v>199</v>
      </c>
      <c r="B134" s="523"/>
      <c r="C134" s="523"/>
      <c r="D134" s="523"/>
      <c r="E134" s="523"/>
      <c r="F134" s="523"/>
      <c r="G134" s="523"/>
      <c r="H134" s="523"/>
      <c r="I134" s="401">
        <f t="shared" si="12"/>
        <v>0</v>
      </c>
      <c r="J134" s="524">
        <f t="shared" si="13"/>
        <v>0</v>
      </c>
    </row>
    <row r="135" spans="1:10" hidden="1" outlineLevel="1" x14ac:dyDescent="0.2">
      <c r="A135" s="401" t="s">
        <v>200</v>
      </c>
      <c r="B135" s="523"/>
      <c r="C135" s="523"/>
      <c r="D135" s="523"/>
      <c r="E135" s="523"/>
      <c r="F135" s="523"/>
      <c r="G135" s="523"/>
      <c r="H135" s="523"/>
      <c r="I135" s="401">
        <f t="shared" si="12"/>
        <v>0</v>
      </c>
      <c r="J135" s="524">
        <f t="shared" si="13"/>
        <v>0</v>
      </c>
    </row>
    <row r="136" spans="1:10" collapsed="1" x14ac:dyDescent="0.2">
      <c r="A136" s="401" t="s">
        <v>89</v>
      </c>
      <c r="B136" s="523"/>
      <c r="C136" s="523">
        <f>'Mngt-Customer Care Total '!C61</f>
        <v>0</v>
      </c>
      <c r="D136" s="523">
        <f>'Mngt-Central Customer Care '!C60</f>
        <v>0</v>
      </c>
      <c r="E136" s="523">
        <f>'Mngt-Melb Customer Care '!C61</f>
        <v>0</v>
      </c>
      <c r="F136" s="523">
        <f>'Mngt-Sydney Customer Care '!C61</f>
        <v>0</v>
      </c>
      <c r="G136" s="523">
        <f>'Mngt-Perth Customer Care '!C61</f>
        <v>0</v>
      </c>
      <c r="H136" s="523">
        <f>'Mngt-Bris Customer Care '!C61</f>
        <v>0</v>
      </c>
      <c r="I136" s="401">
        <f t="shared" si="12"/>
        <v>0</v>
      </c>
      <c r="J136" s="524">
        <f t="shared" si="13"/>
        <v>0</v>
      </c>
    </row>
    <row r="137" spans="1:10" x14ac:dyDescent="0.2">
      <c r="A137" s="401" t="s">
        <v>201</v>
      </c>
      <c r="B137" s="523"/>
      <c r="C137" s="523">
        <f>'Mngt-Customer Care Total '!C62</f>
        <v>0</v>
      </c>
      <c r="D137" s="523">
        <f>'Mngt-Central Customer Care '!C61</f>
        <v>0</v>
      </c>
      <c r="E137" s="523">
        <f>'Mngt-Melb Customer Care '!C62</f>
        <v>0</v>
      </c>
      <c r="F137" s="523">
        <f>'Mngt-Sydney Customer Care '!C62</f>
        <v>0</v>
      </c>
      <c r="G137" s="523">
        <f>'Mngt-Perth Customer Care '!C62</f>
        <v>0</v>
      </c>
      <c r="H137" s="523">
        <f>'Mngt-Bris Customer Care '!C62</f>
        <v>0</v>
      </c>
      <c r="I137" s="401">
        <f t="shared" si="12"/>
        <v>0</v>
      </c>
      <c r="J137" s="524">
        <f t="shared" si="13"/>
        <v>0</v>
      </c>
    </row>
    <row r="138" spans="1:10" x14ac:dyDescent="0.2">
      <c r="A138" s="401"/>
      <c r="B138" s="523"/>
      <c r="C138" s="523"/>
      <c r="D138" s="523"/>
      <c r="E138" s="523"/>
      <c r="F138" s="523"/>
      <c r="G138" s="523"/>
      <c r="H138" s="523"/>
      <c r="I138" s="401"/>
      <c r="J138" s="524"/>
    </row>
    <row r="139" spans="1:10" x14ac:dyDescent="0.2">
      <c r="A139" s="401"/>
      <c r="B139" s="523"/>
      <c r="C139" s="523"/>
      <c r="D139" s="523"/>
      <c r="E139" s="523"/>
      <c r="F139" s="523"/>
      <c r="G139" s="523"/>
      <c r="H139" s="523"/>
      <c r="I139" s="401"/>
      <c r="J139" s="524"/>
    </row>
    <row r="140" spans="1:10" x14ac:dyDescent="0.2">
      <c r="A140" s="401"/>
      <c r="B140" s="523"/>
      <c r="C140" s="523"/>
      <c r="D140" s="523"/>
      <c r="E140" s="523"/>
      <c r="F140" s="523"/>
      <c r="G140" s="523"/>
      <c r="H140" s="523"/>
      <c r="I140" s="401"/>
      <c r="J140" s="524"/>
    </row>
    <row r="141" spans="1:10" ht="13.5" thickBot="1" x14ac:dyDescent="0.25">
      <c r="A141" s="516"/>
      <c r="B141" s="162"/>
      <c r="C141" s="162"/>
      <c r="D141" s="162"/>
      <c r="E141" s="162"/>
      <c r="F141" s="162"/>
      <c r="G141" s="162"/>
      <c r="H141" s="162"/>
      <c r="I141" s="516"/>
      <c r="J141" s="517"/>
    </row>
    <row r="146" spans="1:10" ht="13.5" thickBot="1" x14ac:dyDescent="0.25">
      <c r="A146" s="525" t="s">
        <v>299</v>
      </c>
    </row>
    <row r="147" spans="1:10" x14ac:dyDescent="0.2">
      <c r="A147" s="518" t="s">
        <v>265</v>
      </c>
      <c r="B147" s="526"/>
      <c r="C147" s="514" t="s">
        <v>272</v>
      </c>
      <c r="D147" s="527" t="s">
        <v>301</v>
      </c>
      <c r="E147" s="514" t="s">
        <v>269</v>
      </c>
      <c r="F147" s="514" t="s">
        <v>268</v>
      </c>
      <c r="G147" s="514" t="s">
        <v>271</v>
      </c>
      <c r="H147" s="514" t="s">
        <v>270</v>
      </c>
      <c r="I147" s="512" t="s">
        <v>272</v>
      </c>
      <c r="J147" s="515" t="s">
        <v>292</v>
      </c>
    </row>
    <row r="148" spans="1:10" ht="13.5" thickBot="1" x14ac:dyDescent="0.25">
      <c r="A148" s="516"/>
      <c r="B148" s="162"/>
      <c r="C148" s="162"/>
      <c r="D148" s="162"/>
      <c r="E148" s="162"/>
      <c r="F148" s="162"/>
      <c r="G148" s="162"/>
      <c r="H148" s="162"/>
      <c r="I148" s="516"/>
      <c r="J148" s="517"/>
    </row>
    <row r="149" spans="1:10" hidden="1" outlineLevel="1" x14ac:dyDescent="0.2">
      <c r="A149" s="528" t="s">
        <v>160</v>
      </c>
      <c r="B149" s="523"/>
      <c r="C149" s="523">
        <f>'Mngt-Customer Care Total '!S71</f>
        <v>0</v>
      </c>
      <c r="D149" s="523">
        <f>'Mngt-Central Customer Care '!S71</f>
        <v>0</v>
      </c>
      <c r="E149" s="523">
        <f>'Mngt-Melb Customer Care '!S71</f>
        <v>0</v>
      </c>
      <c r="F149" s="523">
        <f>'Mngt-Sydney Customer Care '!S71</f>
        <v>0</v>
      </c>
      <c r="G149" s="523">
        <f>'Mngt-Perth Customer Care '!S71</f>
        <v>0</v>
      </c>
      <c r="H149" s="523">
        <f>'Mngt-Bris Customer Care '!S71</f>
        <v>0</v>
      </c>
      <c r="I149" s="401">
        <f t="shared" ref="I149:I154" si="14">SUM(D149:H149)</f>
        <v>0</v>
      </c>
      <c r="J149" s="524">
        <f t="shared" ref="J149:J154" si="15">I149-C149</f>
        <v>0</v>
      </c>
    </row>
    <row r="150" spans="1:10" hidden="1" outlineLevel="1" x14ac:dyDescent="0.2">
      <c r="A150" s="528" t="s">
        <v>161</v>
      </c>
      <c r="B150" s="523"/>
      <c r="C150" s="523">
        <f>'Mngt-Customer Care Total '!S72</f>
        <v>0</v>
      </c>
      <c r="D150" s="523">
        <f>'Mngt-Central Customer Care '!S72</f>
        <v>0</v>
      </c>
      <c r="E150" s="523">
        <f>'Mngt-Melb Customer Care '!S72</f>
        <v>0</v>
      </c>
      <c r="F150" s="523">
        <f>'Mngt-Sydney Customer Care '!S72</f>
        <v>0</v>
      </c>
      <c r="G150" s="523">
        <f>'Mngt-Perth Customer Care '!S72</f>
        <v>0</v>
      </c>
      <c r="H150" s="523">
        <f>'Mngt-Bris Customer Care '!S72</f>
        <v>0</v>
      </c>
      <c r="I150" s="401">
        <f t="shared" si="14"/>
        <v>0</v>
      </c>
      <c r="J150" s="524">
        <f t="shared" si="15"/>
        <v>0</v>
      </c>
    </row>
    <row r="151" spans="1:10" hidden="1" outlineLevel="1" x14ac:dyDescent="0.2">
      <c r="A151" s="528" t="s">
        <v>162</v>
      </c>
      <c r="B151" s="523"/>
      <c r="C151" s="523">
        <f>'Mngt-Customer Care Total '!S73</f>
        <v>0</v>
      </c>
      <c r="D151" s="523">
        <f>'Mngt-Central Customer Care '!S73</f>
        <v>0</v>
      </c>
      <c r="E151" s="523">
        <f>'Mngt-Melb Customer Care '!S73</f>
        <v>0</v>
      </c>
      <c r="F151" s="523">
        <f>'Mngt-Sydney Customer Care '!S73</f>
        <v>0</v>
      </c>
      <c r="G151" s="523">
        <f>'Mngt-Perth Customer Care '!S73</f>
        <v>0</v>
      </c>
      <c r="H151" s="523">
        <f>'Mngt-Bris Customer Care '!S73</f>
        <v>0</v>
      </c>
      <c r="I151" s="401">
        <f t="shared" si="14"/>
        <v>0</v>
      </c>
      <c r="J151" s="524">
        <f t="shared" si="15"/>
        <v>0</v>
      </c>
    </row>
    <row r="152" spans="1:10" hidden="1" outlineLevel="1" x14ac:dyDescent="0.2">
      <c r="A152" s="528" t="s">
        <v>163</v>
      </c>
      <c r="B152" s="523"/>
      <c r="C152" s="523">
        <f>'Mngt-Customer Care Total '!S74</f>
        <v>0</v>
      </c>
      <c r="D152" s="523">
        <f>'Mngt-Central Customer Care '!S74</f>
        <v>0</v>
      </c>
      <c r="E152" s="523">
        <f>'Mngt-Melb Customer Care '!S74</f>
        <v>0</v>
      </c>
      <c r="F152" s="523">
        <f>'Mngt-Sydney Customer Care '!S74</f>
        <v>0</v>
      </c>
      <c r="G152" s="523">
        <f>'Mngt-Perth Customer Care '!S74</f>
        <v>0</v>
      </c>
      <c r="H152" s="523">
        <f>'Mngt-Bris Customer Care '!S74</f>
        <v>0</v>
      </c>
      <c r="I152" s="401">
        <f t="shared" si="14"/>
        <v>0</v>
      </c>
      <c r="J152" s="524">
        <f t="shared" si="15"/>
        <v>0</v>
      </c>
    </row>
    <row r="153" spans="1:10" hidden="1" outlineLevel="1" x14ac:dyDescent="0.2">
      <c r="A153" s="528" t="s">
        <v>164</v>
      </c>
      <c r="B153" s="523"/>
      <c r="C153" s="523">
        <f>'Mngt-Customer Care Total '!S75</f>
        <v>0</v>
      </c>
      <c r="D153" s="523">
        <f>'Mngt-Central Customer Care '!S75</f>
        <v>0</v>
      </c>
      <c r="E153" s="523">
        <f>'Mngt-Melb Customer Care '!S75</f>
        <v>0</v>
      </c>
      <c r="F153" s="523">
        <f>'Mngt-Sydney Customer Care '!S75</f>
        <v>0</v>
      </c>
      <c r="G153" s="523">
        <f>'Mngt-Perth Customer Care '!S75</f>
        <v>0</v>
      </c>
      <c r="H153" s="523">
        <f>'Mngt-Bris Customer Care '!S75</f>
        <v>0</v>
      </c>
      <c r="I153" s="401">
        <f t="shared" si="14"/>
        <v>0</v>
      </c>
      <c r="J153" s="524">
        <f t="shared" si="15"/>
        <v>0</v>
      </c>
    </row>
    <row r="154" spans="1:10" hidden="1" outlineLevel="1" x14ac:dyDescent="0.2">
      <c r="A154" s="528" t="s">
        <v>165</v>
      </c>
      <c r="B154" s="523"/>
      <c r="C154" s="523">
        <f>'Mngt-Customer Care Total '!S76</f>
        <v>0</v>
      </c>
      <c r="D154" s="523">
        <f>'Mngt-Central Customer Care '!S76</f>
        <v>0</v>
      </c>
      <c r="E154" s="523">
        <f>'Mngt-Melb Customer Care '!S76</f>
        <v>0</v>
      </c>
      <c r="F154" s="523">
        <f>'Mngt-Sydney Customer Care '!S76</f>
        <v>0</v>
      </c>
      <c r="G154" s="523">
        <f>'Mngt-Perth Customer Care '!S76</f>
        <v>0</v>
      </c>
      <c r="H154" s="523">
        <f>'Mngt-Bris Customer Care '!S76</f>
        <v>0</v>
      </c>
      <c r="I154" s="401">
        <f t="shared" si="14"/>
        <v>0</v>
      </c>
      <c r="J154" s="524">
        <f t="shared" si="15"/>
        <v>0</v>
      </c>
    </row>
    <row r="155" spans="1:10" collapsed="1" x14ac:dyDescent="0.2">
      <c r="A155" s="401" t="s">
        <v>166</v>
      </c>
      <c r="B155" s="523"/>
      <c r="C155" s="523">
        <f>'Mngt-Lab Admin Total'!C9</f>
        <v>0</v>
      </c>
      <c r="D155" s="529">
        <f>'Mngt-Central Lab Admin '!C8</f>
        <v>0</v>
      </c>
      <c r="E155" s="529">
        <f>'Mngt-Melb Lab Admin '!C8</f>
        <v>0</v>
      </c>
      <c r="F155" s="529">
        <f>'Mngt-Sydney Lab Admin '!C8</f>
        <v>0</v>
      </c>
      <c r="G155" s="529">
        <f>'Mngt-Perth Lab Admin'!C8</f>
        <v>0</v>
      </c>
      <c r="H155" s="529">
        <f>'Mngt-Bris Lab Admin '!C9</f>
        <v>0</v>
      </c>
      <c r="I155" s="401">
        <f>SUM(D155:H155)</f>
        <v>0</v>
      </c>
      <c r="J155" s="524">
        <f>I155-C155</f>
        <v>0</v>
      </c>
    </row>
    <row r="156" spans="1:10" x14ac:dyDescent="0.2">
      <c r="A156" s="401" t="s">
        <v>167</v>
      </c>
      <c r="B156" s="523"/>
      <c r="C156" s="523">
        <f>'Mngt-Lab Admin Total'!C10</f>
        <v>0</v>
      </c>
      <c r="D156" s="523">
        <f>'Mngt-Central Lab Admin '!C9</f>
        <v>0</v>
      </c>
      <c r="E156" s="523">
        <f>'Mngt-Melb Lab Admin '!C9</f>
        <v>0</v>
      </c>
      <c r="F156" s="523">
        <f>'Mngt-Sydney Lab Admin '!C9</f>
        <v>0</v>
      </c>
      <c r="G156" s="523">
        <f>'Mngt-Perth Lab Admin'!C9</f>
        <v>0</v>
      </c>
      <c r="H156" s="523">
        <f>'Mngt-Bris Lab Admin '!C10</f>
        <v>0</v>
      </c>
      <c r="I156" s="401">
        <f t="shared" ref="I156:I165" si="16">SUM(D156:H156)</f>
        <v>0</v>
      </c>
      <c r="J156" s="524">
        <f t="shared" ref="J156:J165" si="17">I156-C156</f>
        <v>0</v>
      </c>
    </row>
    <row r="157" spans="1:10" x14ac:dyDescent="0.2">
      <c r="A157" s="401" t="s">
        <v>168</v>
      </c>
      <c r="B157" s="523"/>
      <c r="C157" s="523">
        <f>'Mngt-Lab Admin Total'!C11</f>
        <v>0</v>
      </c>
      <c r="D157" s="523">
        <f>'Mngt-Central Lab Admin '!C10</f>
        <v>0</v>
      </c>
      <c r="E157" s="523">
        <f>'Mngt-Melb Lab Admin '!C10</f>
        <v>0</v>
      </c>
      <c r="F157" s="523">
        <f>'Mngt-Sydney Lab Admin '!C10</f>
        <v>0</v>
      </c>
      <c r="G157" s="523">
        <f>'Mngt-Perth Lab Admin'!C10</f>
        <v>0</v>
      </c>
      <c r="H157" s="523">
        <f>'Mngt-Bris Lab Admin '!C11</f>
        <v>0</v>
      </c>
      <c r="I157" s="401">
        <f t="shared" si="16"/>
        <v>0</v>
      </c>
      <c r="J157" s="524">
        <f t="shared" si="17"/>
        <v>0</v>
      </c>
    </row>
    <row r="158" spans="1:10" x14ac:dyDescent="0.2">
      <c r="A158" s="401" t="s">
        <v>169</v>
      </c>
      <c r="B158" s="523"/>
      <c r="C158" s="523">
        <f>'Mngt-Lab Admin Total'!C12</f>
        <v>0</v>
      </c>
      <c r="D158" s="523">
        <f>'Mngt-Central Lab Admin '!C11</f>
        <v>0</v>
      </c>
      <c r="E158" s="523">
        <f>'Mngt-Melb Lab Admin '!C11</f>
        <v>0</v>
      </c>
      <c r="F158" s="523">
        <f>'Mngt-Sydney Lab Admin '!C11</f>
        <v>0</v>
      </c>
      <c r="G158" s="523">
        <f>'Mngt-Perth Lab Admin'!C11</f>
        <v>0</v>
      </c>
      <c r="H158" s="523">
        <f>'Mngt-Bris Lab Admin '!C12</f>
        <v>0</v>
      </c>
      <c r="I158" s="401">
        <f t="shared" si="16"/>
        <v>0</v>
      </c>
      <c r="J158" s="524">
        <f t="shared" si="17"/>
        <v>0</v>
      </c>
    </row>
    <row r="159" spans="1:10" x14ac:dyDescent="0.2">
      <c r="A159" s="401" t="s">
        <v>50</v>
      </c>
      <c r="B159" s="523"/>
      <c r="C159" s="523">
        <f>'Mngt-Lab Admin Total'!C13</f>
        <v>0</v>
      </c>
      <c r="D159" s="523">
        <f>'Mngt-Central Lab Admin '!C12</f>
        <v>0</v>
      </c>
      <c r="E159" s="523">
        <f>'Mngt-Melb Lab Admin '!C12</f>
        <v>0</v>
      </c>
      <c r="F159" s="523">
        <f>'Mngt-Sydney Lab Admin '!C12</f>
        <v>0</v>
      </c>
      <c r="G159" s="523">
        <f>'Mngt-Perth Lab Admin'!C12</f>
        <v>0</v>
      </c>
      <c r="H159" s="523">
        <f>'Mngt-Bris Lab Admin '!C13</f>
        <v>0</v>
      </c>
      <c r="I159" s="401">
        <f t="shared" si="16"/>
        <v>0</v>
      </c>
      <c r="J159" s="524">
        <f t="shared" si="17"/>
        <v>0</v>
      </c>
    </row>
    <row r="160" spans="1:10" x14ac:dyDescent="0.2">
      <c r="A160" s="401" t="s">
        <v>170</v>
      </c>
      <c r="B160" s="523"/>
      <c r="C160" s="523">
        <f>'Mngt-Lab Admin Total'!C14</f>
        <v>0</v>
      </c>
      <c r="D160" s="523">
        <f>'Mngt-Central Lab Admin '!C13</f>
        <v>0</v>
      </c>
      <c r="E160" s="523">
        <f>'Mngt-Melb Lab Admin '!C13</f>
        <v>0</v>
      </c>
      <c r="F160" s="523">
        <f>'Mngt-Sydney Lab Admin '!C13</f>
        <v>0</v>
      </c>
      <c r="G160" s="523">
        <f>'Mngt-Perth Lab Admin'!C13</f>
        <v>0</v>
      </c>
      <c r="H160" s="523">
        <f>'Mngt-Bris Lab Admin '!C14</f>
        <v>0</v>
      </c>
      <c r="I160" s="401">
        <f t="shared" si="16"/>
        <v>0</v>
      </c>
      <c r="J160" s="524">
        <f t="shared" si="17"/>
        <v>0</v>
      </c>
    </row>
    <row r="161" spans="1:10" x14ac:dyDescent="0.2">
      <c r="A161" s="401" t="s">
        <v>171</v>
      </c>
      <c r="B161" s="523"/>
      <c r="C161" s="523">
        <f>'Mngt-Lab Admin Total'!C15</f>
        <v>0</v>
      </c>
      <c r="D161" s="523">
        <f>'Mngt-Central Lab Admin '!C14</f>
        <v>0</v>
      </c>
      <c r="E161" s="523">
        <f>'Mngt-Melb Lab Admin '!C14</f>
        <v>0</v>
      </c>
      <c r="F161" s="523">
        <f>'Mngt-Sydney Lab Admin '!C14</f>
        <v>0</v>
      </c>
      <c r="G161" s="523">
        <f>'Mngt-Perth Lab Admin'!C14</f>
        <v>0</v>
      </c>
      <c r="H161" s="523">
        <f>'Mngt-Bris Lab Admin '!C15</f>
        <v>0</v>
      </c>
      <c r="I161" s="401">
        <f t="shared" si="16"/>
        <v>0</v>
      </c>
      <c r="J161" s="524">
        <f t="shared" si="17"/>
        <v>0</v>
      </c>
    </row>
    <row r="162" spans="1:10" x14ac:dyDescent="0.2">
      <c r="A162" s="401" t="s">
        <v>172</v>
      </c>
      <c r="B162" s="523"/>
      <c r="C162" s="523">
        <f>'Mngt-Lab Admin Total'!C16</f>
        <v>0</v>
      </c>
      <c r="D162" s="523">
        <f>'Mngt-Central Lab Admin '!C15</f>
        <v>0</v>
      </c>
      <c r="E162" s="523">
        <f>'Mngt-Melb Lab Admin '!C15</f>
        <v>0</v>
      </c>
      <c r="F162" s="523">
        <f>'Mngt-Sydney Lab Admin '!C15</f>
        <v>0</v>
      </c>
      <c r="G162" s="523">
        <f>'Mngt-Perth Lab Admin'!C15</f>
        <v>0</v>
      </c>
      <c r="H162" s="523">
        <f>'Mngt-Bris Lab Admin '!C16</f>
        <v>0</v>
      </c>
      <c r="I162" s="401">
        <f t="shared" si="16"/>
        <v>0</v>
      </c>
      <c r="J162" s="524">
        <f t="shared" si="17"/>
        <v>0</v>
      </c>
    </row>
    <row r="163" spans="1:10" x14ac:dyDescent="0.2">
      <c r="A163" s="401" t="s">
        <v>173</v>
      </c>
      <c r="B163" s="523"/>
      <c r="C163" s="523">
        <f>'Mngt-Lab Admin Total'!C17</f>
        <v>0</v>
      </c>
      <c r="D163" s="523">
        <f>'Mngt-Central Lab Admin '!C16</f>
        <v>0</v>
      </c>
      <c r="E163" s="523">
        <f>'Mngt-Melb Lab Admin '!C16</f>
        <v>0</v>
      </c>
      <c r="F163" s="523">
        <f>'Mngt-Sydney Lab Admin '!C16</f>
        <v>0</v>
      </c>
      <c r="G163" s="523">
        <f>'Mngt-Perth Lab Admin'!C16</f>
        <v>0</v>
      </c>
      <c r="H163" s="523">
        <f>'Mngt-Bris Lab Admin '!C17</f>
        <v>0</v>
      </c>
      <c r="I163" s="401">
        <f t="shared" si="16"/>
        <v>0</v>
      </c>
      <c r="J163" s="524">
        <f t="shared" si="17"/>
        <v>0</v>
      </c>
    </row>
    <row r="164" spans="1:10" x14ac:dyDescent="0.2">
      <c r="A164" s="401" t="s">
        <v>257</v>
      </c>
      <c r="B164" s="523"/>
      <c r="C164" s="523">
        <f>'Mngt-Lab Admin Total'!C18</f>
        <v>0</v>
      </c>
      <c r="D164" s="523">
        <f>'Mngt-Central Lab Admin '!C17</f>
        <v>0</v>
      </c>
      <c r="E164" s="523">
        <f>'Mngt-Melb Lab Admin '!C17</f>
        <v>0</v>
      </c>
      <c r="F164" s="523">
        <f>'Mngt-Sydney Lab Admin '!C17</f>
        <v>0</v>
      </c>
      <c r="G164" s="523" t="e">
        <f>'Mngt-Perth Lab Admin'!#REF!</f>
        <v>#REF!</v>
      </c>
      <c r="H164" s="523">
        <f>'Mngt-Bris Lab Admin '!C18</f>
        <v>0</v>
      </c>
      <c r="I164" s="401" t="e">
        <f t="shared" si="16"/>
        <v>#REF!</v>
      </c>
      <c r="J164" s="524" t="e">
        <f t="shared" si="17"/>
        <v>#REF!</v>
      </c>
    </row>
    <row r="165" spans="1:10" x14ac:dyDescent="0.2">
      <c r="A165" s="401" t="s">
        <v>70</v>
      </c>
      <c r="B165" s="523"/>
      <c r="C165" s="523">
        <f>'Mngt-Lab Admin Total'!C22</f>
        <v>0</v>
      </c>
      <c r="D165" s="523">
        <f>'Mngt-Central Lab Admin '!C21</f>
        <v>0</v>
      </c>
      <c r="E165" s="523">
        <f>'Mngt-Melb Lab Admin '!C21</f>
        <v>0</v>
      </c>
      <c r="F165" s="523">
        <f>'Mngt-Sydney Lab Admin '!C21</f>
        <v>0</v>
      </c>
      <c r="G165" s="523">
        <f>'Mngt-Perth Lab Admin'!C20</f>
        <v>0</v>
      </c>
      <c r="H165" s="523">
        <f>'Mngt-Bris Lab Admin '!C22</f>
        <v>0</v>
      </c>
      <c r="I165" s="401">
        <f t="shared" si="16"/>
        <v>0</v>
      </c>
      <c r="J165" s="524">
        <f t="shared" si="17"/>
        <v>0</v>
      </c>
    </row>
    <row r="166" spans="1:10" hidden="1" outlineLevel="1" x14ac:dyDescent="0.2">
      <c r="A166" s="401" t="s">
        <v>174</v>
      </c>
      <c r="B166" s="523"/>
      <c r="C166" s="523">
        <f>'Mngt-Customer Care Total '!B91</f>
        <v>0</v>
      </c>
      <c r="D166" s="523"/>
      <c r="E166" s="523">
        <f>'Mngt-Melb Customer Care '!B88</f>
        <v>0</v>
      </c>
      <c r="F166" s="523"/>
      <c r="G166" s="523">
        <f>'Mngt-Perth Customer Care '!C91</f>
        <v>0</v>
      </c>
      <c r="H166" s="523">
        <f>'Mngt-Bris Lab Admin '!C20</f>
        <v>0</v>
      </c>
      <c r="I166" s="401">
        <f>SUM(D166:H166)</f>
        <v>0</v>
      </c>
      <c r="J166" s="524">
        <f>I166-C166</f>
        <v>0</v>
      </c>
    </row>
    <row r="167" spans="1:10" hidden="1" outlineLevel="1" x14ac:dyDescent="0.2">
      <c r="A167" s="401" t="s">
        <v>99</v>
      </c>
      <c r="B167" s="523"/>
      <c r="C167" s="523">
        <f>'Mngt-Customer Care Total '!B92</f>
        <v>0</v>
      </c>
      <c r="D167" s="523"/>
      <c r="E167" s="523">
        <f>'Mngt-Melb Customer Care '!B89</f>
        <v>0</v>
      </c>
      <c r="F167" s="523">
        <f>'Mngt-Sydney Customer Care '!C92</f>
        <v>0</v>
      </c>
      <c r="G167" s="523">
        <f>'Mngt-Perth Customer Care '!C92</f>
        <v>0</v>
      </c>
      <c r="H167" s="523">
        <f>'Mngt-Bris Lab Admin '!C21</f>
        <v>0</v>
      </c>
      <c r="I167" s="401">
        <f t="shared" ref="I167:I175" si="18">SUM(D167:H167)</f>
        <v>0</v>
      </c>
      <c r="J167" s="524">
        <f t="shared" ref="J167:J205" si="19">I167-C167</f>
        <v>0</v>
      </c>
    </row>
    <row r="168" spans="1:10" hidden="1" outlineLevel="1" x14ac:dyDescent="0.2">
      <c r="A168" s="401" t="s">
        <v>175</v>
      </c>
      <c r="B168" s="523"/>
      <c r="C168" s="523">
        <f>'Mngt-Customer Care Total '!B93</f>
        <v>0</v>
      </c>
      <c r="D168" s="523"/>
      <c r="E168" s="523">
        <f>'Mngt-Melb Customer Care '!B90</f>
        <v>0</v>
      </c>
      <c r="F168" s="523">
        <f>'Mngt-Sydney Customer Care '!C93</f>
        <v>0</v>
      </c>
      <c r="G168" s="523">
        <f>'Mngt-Perth Customer Care '!C93</f>
        <v>0</v>
      </c>
      <c r="H168" s="523">
        <f>'Mngt-Bris Lab Admin '!C22</f>
        <v>0</v>
      </c>
      <c r="I168" s="401">
        <f t="shared" si="18"/>
        <v>0</v>
      </c>
      <c r="J168" s="524">
        <f t="shared" si="19"/>
        <v>0</v>
      </c>
    </row>
    <row r="169" spans="1:10" hidden="1" outlineLevel="1" x14ac:dyDescent="0.2">
      <c r="A169" s="401" t="s">
        <v>100</v>
      </c>
      <c r="B169" s="523"/>
      <c r="C169" s="523">
        <f>'Mngt-Customer Care Total '!B94</f>
        <v>0</v>
      </c>
      <c r="D169" s="523"/>
      <c r="E169" s="523">
        <f>'Mngt-Melb Customer Care '!B91</f>
        <v>0</v>
      </c>
      <c r="F169" s="523">
        <f>'Mngt-Sydney Customer Care '!C94</f>
        <v>0</v>
      </c>
      <c r="G169" s="523">
        <f>'Mngt-Perth Customer Care '!C94</f>
        <v>0</v>
      </c>
      <c r="H169" s="523">
        <f>'Mngt-Bris Lab Admin '!C23</f>
        <v>0</v>
      </c>
      <c r="I169" s="401">
        <f t="shared" si="18"/>
        <v>0</v>
      </c>
      <c r="J169" s="524">
        <f t="shared" si="19"/>
        <v>0</v>
      </c>
    </row>
    <row r="170" spans="1:10" hidden="1" outlineLevel="1" x14ac:dyDescent="0.2">
      <c r="A170" s="401" t="s">
        <v>101</v>
      </c>
      <c r="B170" s="523"/>
      <c r="C170" s="523">
        <f>'Mngt-Customer Care Total '!B95</f>
        <v>0</v>
      </c>
      <c r="D170" s="523"/>
      <c r="E170" s="523">
        <f>'Mngt-Melb Customer Care '!B92</f>
        <v>0</v>
      </c>
      <c r="F170" s="523">
        <f>'Mngt-Sydney Customer Care '!C95</f>
        <v>0</v>
      </c>
      <c r="G170" s="523">
        <f>'Mngt-Perth Customer Care '!C95</f>
        <v>0</v>
      </c>
      <c r="H170" s="523">
        <f>'Mngt-Bris Lab Admin '!C24</f>
        <v>0</v>
      </c>
      <c r="I170" s="401">
        <f t="shared" si="18"/>
        <v>0</v>
      </c>
      <c r="J170" s="524">
        <f t="shared" si="19"/>
        <v>0</v>
      </c>
    </row>
    <row r="171" spans="1:10" hidden="1" outlineLevel="1" x14ac:dyDescent="0.2">
      <c r="A171" s="401" t="s">
        <v>176</v>
      </c>
      <c r="B171" s="523"/>
      <c r="C171" s="523">
        <f>'Mngt-Customer Care Total '!B96</f>
        <v>0</v>
      </c>
      <c r="D171" s="523"/>
      <c r="E171" s="523">
        <f>'Mngt-Melb Customer Care '!B93</f>
        <v>0</v>
      </c>
      <c r="F171" s="523">
        <f>'Mngt-Sydney Customer Care '!C96</f>
        <v>0</v>
      </c>
      <c r="G171" s="523">
        <f>'Mngt-Perth Customer Care '!C96</f>
        <v>0</v>
      </c>
      <c r="H171" s="523">
        <f>'Mngt-Bris Lab Admin '!C26</f>
        <v>0</v>
      </c>
      <c r="I171" s="401">
        <f t="shared" si="18"/>
        <v>0</v>
      </c>
      <c r="J171" s="524">
        <f t="shared" si="19"/>
        <v>0</v>
      </c>
    </row>
    <row r="172" spans="1:10" hidden="1" outlineLevel="1" x14ac:dyDescent="0.2">
      <c r="A172" s="401" t="s">
        <v>102</v>
      </c>
      <c r="B172" s="523"/>
      <c r="C172" s="523">
        <f>'Mngt-Customer Care Total '!B97</f>
        <v>0</v>
      </c>
      <c r="D172" s="523"/>
      <c r="E172" s="523">
        <f>'Mngt-Melb Customer Care '!B94</f>
        <v>0</v>
      </c>
      <c r="F172" s="523">
        <f>'Mngt-Sydney Customer Care '!C97</f>
        <v>0</v>
      </c>
      <c r="G172" s="523">
        <f>'Mngt-Perth Customer Care '!C97</f>
        <v>0</v>
      </c>
      <c r="H172" s="523">
        <f>'Mngt-Bris Lab Admin '!C27</f>
        <v>0</v>
      </c>
      <c r="I172" s="401">
        <f t="shared" si="18"/>
        <v>0</v>
      </c>
      <c r="J172" s="524">
        <f t="shared" si="19"/>
        <v>0</v>
      </c>
    </row>
    <row r="173" spans="1:10" hidden="1" outlineLevel="1" x14ac:dyDescent="0.2">
      <c r="A173" s="401" t="s">
        <v>75</v>
      </c>
      <c r="B173" s="523"/>
      <c r="C173" s="523">
        <f>'Mngt-Customer Care Total '!B98</f>
        <v>0</v>
      </c>
      <c r="D173" s="523"/>
      <c r="E173" s="523">
        <f>'Mngt-Melb Customer Care '!B95</f>
        <v>0</v>
      </c>
      <c r="F173" s="523">
        <f>'Mngt-Sydney Customer Care '!C98</f>
        <v>0</v>
      </c>
      <c r="G173" s="523">
        <f>'Mngt-Perth Customer Care '!C98</f>
        <v>0</v>
      </c>
      <c r="H173" s="523">
        <f>'Mngt-Bris Lab Admin '!C28</f>
        <v>0</v>
      </c>
      <c r="I173" s="401">
        <f t="shared" si="18"/>
        <v>0</v>
      </c>
      <c r="J173" s="524">
        <f t="shared" si="19"/>
        <v>0</v>
      </c>
    </row>
    <row r="174" spans="1:10" hidden="1" outlineLevel="1" x14ac:dyDescent="0.2">
      <c r="A174" s="401" t="s">
        <v>76</v>
      </c>
      <c r="B174" s="523"/>
      <c r="C174" s="523">
        <f>'Mngt-Customer Care Total '!B99</f>
        <v>0</v>
      </c>
      <c r="D174" s="523"/>
      <c r="E174" s="523">
        <f>'Mngt-Melb Customer Care '!B96</f>
        <v>0</v>
      </c>
      <c r="F174" s="523">
        <f>'Mngt-Sydney Customer Care '!C99</f>
        <v>0</v>
      </c>
      <c r="G174" s="523">
        <f>'Mngt-Perth Customer Care '!C99</f>
        <v>0</v>
      </c>
      <c r="H174" s="523">
        <f>'Mngt-Bris Lab Admin '!C29</f>
        <v>0</v>
      </c>
      <c r="I174" s="401">
        <f t="shared" si="18"/>
        <v>0</v>
      </c>
      <c r="J174" s="524">
        <f t="shared" si="19"/>
        <v>0</v>
      </c>
    </row>
    <row r="175" spans="1:10" hidden="1" outlineLevel="1" x14ac:dyDescent="0.2">
      <c r="A175" s="401" t="s">
        <v>77</v>
      </c>
      <c r="B175" s="523"/>
      <c r="C175" s="523">
        <f>'Mngt-Customer Care Total '!B100</f>
        <v>0</v>
      </c>
      <c r="D175" s="523"/>
      <c r="E175" s="523">
        <f>'Mngt-Melb Customer Care '!B97</f>
        <v>0</v>
      </c>
      <c r="F175" s="523">
        <f>'Mngt-Sydney Customer Care '!C100</f>
        <v>0</v>
      </c>
      <c r="G175" s="523">
        <f>'Mngt-Perth Customer Care '!C100</f>
        <v>0</v>
      </c>
      <c r="H175" s="523">
        <f>'Mngt-Bris Lab Admin '!C30</f>
        <v>0</v>
      </c>
      <c r="I175" s="401">
        <f t="shared" si="18"/>
        <v>0</v>
      </c>
      <c r="J175" s="524">
        <f t="shared" si="19"/>
        <v>0</v>
      </c>
    </row>
    <row r="176" spans="1:10" collapsed="1" x14ac:dyDescent="0.2">
      <c r="A176" s="401" t="s">
        <v>177</v>
      </c>
      <c r="B176" s="523"/>
      <c r="C176" s="523">
        <f>'Mngt-Lab Admin Total'!C33</f>
        <v>0</v>
      </c>
      <c r="D176" s="523">
        <f>'Mngt-Central Lab Admin '!C32</f>
        <v>0</v>
      </c>
      <c r="E176" s="523">
        <f>'Mngt-Melb Lab Admin '!C32</f>
        <v>0</v>
      </c>
      <c r="F176" s="523">
        <f>'Mngt-Sydney Lab Admin '!C32</f>
        <v>0</v>
      </c>
      <c r="G176" s="523">
        <f>'Mngt-Perth Lab Admin'!C30</f>
        <v>0</v>
      </c>
      <c r="H176" s="523">
        <f>'Mngt-Bris Lab Admin '!C33</f>
        <v>0</v>
      </c>
      <c r="I176" s="401">
        <f>SUM(D176:H176)</f>
        <v>0</v>
      </c>
      <c r="J176" s="524">
        <f t="shared" si="19"/>
        <v>0</v>
      </c>
    </row>
    <row r="177" spans="1:10" hidden="1" outlineLevel="1" x14ac:dyDescent="0.2">
      <c r="A177" s="401" t="s">
        <v>178</v>
      </c>
      <c r="B177" s="523"/>
      <c r="C177" s="523"/>
      <c r="D177" s="523"/>
      <c r="E177" s="523"/>
      <c r="F177" s="523"/>
      <c r="G177" s="523"/>
      <c r="H177" s="523"/>
      <c r="I177" s="401">
        <f t="shared" ref="I177:I205" si="20">SUM(D177:H177)</f>
        <v>0</v>
      </c>
      <c r="J177" s="524">
        <f t="shared" si="19"/>
        <v>0</v>
      </c>
    </row>
    <row r="178" spans="1:10" hidden="1" outlineLevel="1" x14ac:dyDescent="0.2">
      <c r="A178" s="401" t="s">
        <v>179</v>
      </c>
      <c r="B178" s="523"/>
      <c r="C178" s="523"/>
      <c r="D178" s="523"/>
      <c r="E178" s="523"/>
      <c r="F178" s="523"/>
      <c r="G178" s="523"/>
      <c r="H178" s="523"/>
      <c r="I178" s="401">
        <f t="shared" si="20"/>
        <v>0</v>
      </c>
      <c r="J178" s="524">
        <f t="shared" si="19"/>
        <v>0</v>
      </c>
    </row>
    <row r="179" spans="1:10" hidden="1" outlineLevel="1" x14ac:dyDescent="0.2">
      <c r="A179" s="401" t="s">
        <v>180</v>
      </c>
      <c r="B179" s="523"/>
      <c r="C179" s="523"/>
      <c r="D179" s="523"/>
      <c r="E179" s="523"/>
      <c r="F179" s="523"/>
      <c r="G179" s="523"/>
      <c r="H179" s="523"/>
      <c r="I179" s="401">
        <f t="shared" si="20"/>
        <v>0</v>
      </c>
      <c r="J179" s="524">
        <f t="shared" si="19"/>
        <v>0</v>
      </c>
    </row>
    <row r="180" spans="1:10" hidden="1" outlineLevel="1" x14ac:dyDescent="0.2">
      <c r="A180" s="401" t="s">
        <v>181</v>
      </c>
      <c r="B180" s="523"/>
      <c r="C180" s="523"/>
      <c r="D180" s="523"/>
      <c r="E180" s="523"/>
      <c r="F180" s="523"/>
      <c r="G180" s="523"/>
      <c r="H180" s="523"/>
      <c r="I180" s="401">
        <f t="shared" si="20"/>
        <v>0</v>
      </c>
      <c r="J180" s="524">
        <f t="shared" si="19"/>
        <v>0</v>
      </c>
    </row>
    <row r="181" spans="1:10" hidden="1" outlineLevel="1" x14ac:dyDescent="0.2">
      <c r="A181" s="401" t="s">
        <v>182</v>
      </c>
      <c r="B181" s="523"/>
      <c r="C181" s="523"/>
      <c r="D181" s="523"/>
      <c r="E181" s="523"/>
      <c r="F181" s="523"/>
      <c r="G181" s="523"/>
      <c r="H181" s="523"/>
      <c r="I181" s="401">
        <f t="shared" si="20"/>
        <v>0</v>
      </c>
      <c r="J181" s="524">
        <f t="shared" si="19"/>
        <v>0</v>
      </c>
    </row>
    <row r="182" spans="1:10" hidden="1" outlineLevel="1" x14ac:dyDescent="0.2">
      <c r="A182" s="401" t="s">
        <v>183</v>
      </c>
      <c r="B182" s="523"/>
      <c r="C182" s="523"/>
      <c r="D182" s="523"/>
      <c r="E182" s="523"/>
      <c r="F182" s="523"/>
      <c r="G182" s="523"/>
      <c r="H182" s="523"/>
      <c r="I182" s="401">
        <f t="shared" si="20"/>
        <v>0</v>
      </c>
      <c r="J182" s="524">
        <f t="shared" si="19"/>
        <v>0</v>
      </c>
    </row>
    <row r="183" spans="1:10" hidden="1" outlineLevel="1" x14ac:dyDescent="0.2">
      <c r="A183" s="401" t="s">
        <v>184</v>
      </c>
      <c r="B183" s="523"/>
      <c r="C183" s="523"/>
      <c r="D183" s="523"/>
      <c r="E183" s="523"/>
      <c r="F183" s="523"/>
      <c r="G183" s="523"/>
      <c r="H183" s="523"/>
      <c r="I183" s="401">
        <f t="shared" si="20"/>
        <v>0</v>
      </c>
      <c r="J183" s="524">
        <f t="shared" si="19"/>
        <v>0</v>
      </c>
    </row>
    <row r="184" spans="1:10" hidden="1" outlineLevel="1" x14ac:dyDescent="0.2">
      <c r="A184" s="401" t="s">
        <v>185</v>
      </c>
      <c r="B184" s="523"/>
      <c r="C184" s="523"/>
      <c r="D184" s="523"/>
      <c r="E184" s="523"/>
      <c r="F184" s="523"/>
      <c r="G184" s="523"/>
      <c r="H184" s="523"/>
      <c r="I184" s="401">
        <f t="shared" si="20"/>
        <v>0</v>
      </c>
      <c r="J184" s="524">
        <f t="shared" si="19"/>
        <v>0</v>
      </c>
    </row>
    <row r="185" spans="1:10" hidden="1" outlineLevel="1" x14ac:dyDescent="0.2">
      <c r="A185" s="401" t="s">
        <v>186</v>
      </c>
      <c r="B185" s="523"/>
      <c r="C185" s="523"/>
      <c r="D185" s="523"/>
      <c r="E185" s="523"/>
      <c r="F185" s="523"/>
      <c r="G185" s="523"/>
      <c r="H185" s="523"/>
      <c r="I185" s="401">
        <f t="shared" si="20"/>
        <v>0</v>
      </c>
      <c r="J185" s="524">
        <f t="shared" si="19"/>
        <v>0</v>
      </c>
    </row>
    <row r="186" spans="1:10" hidden="1" outlineLevel="1" x14ac:dyDescent="0.2">
      <c r="A186" s="401" t="s">
        <v>187</v>
      </c>
      <c r="B186" s="523"/>
      <c r="C186" s="523"/>
      <c r="D186" s="523"/>
      <c r="E186" s="523"/>
      <c r="F186" s="523"/>
      <c r="G186" s="523"/>
      <c r="H186" s="523"/>
      <c r="I186" s="401">
        <f t="shared" si="20"/>
        <v>0</v>
      </c>
      <c r="J186" s="524">
        <f t="shared" si="19"/>
        <v>0</v>
      </c>
    </row>
    <row r="187" spans="1:10" hidden="1" outlineLevel="1" x14ac:dyDescent="0.2">
      <c r="A187" s="401" t="s">
        <v>188</v>
      </c>
      <c r="B187" s="523"/>
      <c r="C187" s="523"/>
      <c r="D187" s="523"/>
      <c r="E187" s="523"/>
      <c r="F187" s="523"/>
      <c r="G187" s="523"/>
      <c r="H187" s="523"/>
      <c r="I187" s="401">
        <f t="shared" si="20"/>
        <v>0</v>
      </c>
      <c r="J187" s="524">
        <f t="shared" si="19"/>
        <v>0</v>
      </c>
    </row>
    <row r="188" spans="1:10" hidden="1" outlineLevel="1" x14ac:dyDescent="0.2">
      <c r="A188" s="401" t="s">
        <v>189</v>
      </c>
      <c r="B188" s="523"/>
      <c r="C188" s="523"/>
      <c r="D188" s="523"/>
      <c r="E188" s="523"/>
      <c r="F188" s="523"/>
      <c r="G188" s="523"/>
      <c r="H188" s="523"/>
      <c r="I188" s="401">
        <f t="shared" si="20"/>
        <v>0</v>
      </c>
      <c r="J188" s="524">
        <f t="shared" si="19"/>
        <v>0</v>
      </c>
    </row>
    <row r="189" spans="1:10" hidden="1" outlineLevel="1" x14ac:dyDescent="0.2">
      <c r="A189" s="401" t="s">
        <v>190</v>
      </c>
      <c r="B189" s="523"/>
      <c r="C189" s="523"/>
      <c r="D189" s="523"/>
      <c r="E189" s="523"/>
      <c r="F189" s="523"/>
      <c r="G189" s="523"/>
      <c r="H189" s="523"/>
      <c r="I189" s="401">
        <f t="shared" si="20"/>
        <v>0</v>
      </c>
      <c r="J189" s="524">
        <f t="shared" si="19"/>
        <v>0</v>
      </c>
    </row>
    <row r="190" spans="1:10" hidden="1" outlineLevel="1" x14ac:dyDescent="0.2">
      <c r="A190" s="401" t="s">
        <v>191</v>
      </c>
      <c r="B190" s="523"/>
      <c r="C190" s="523"/>
      <c r="D190" s="523"/>
      <c r="E190" s="523"/>
      <c r="F190" s="523"/>
      <c r="G190" s="523"/>
      <c r="H190" s="523"/>
      <c r="I190" s="401">
        <f t="shared" si="20"/>
        <v>0</v>
      </c>
      <c r="J190" s="524">
        <f t="shared" si="19"/>
        <v>0</v>
      </c>
    </row>
    <row r="191" spans="1:10" collapsed="1" x14ac:dyDescent="0.2">
      <c r="A191" s="401" t="s">
        <v>192</v>
      </c>
      <c r="B191" s="523"/>
      <c r="C191" s="523">
        <f>'Mngt-Lab Admin Total'!C48</f>
        <v>0</v>
      </c>
      <c r="D191" s="523">
        <f>'Mngt-Central Lab Admin '!C47</f>
        <v>0</v>
      </c>
      <c r="E191" s="523">
        <f>'Mngt-Melb Lab Admin '!C47</f>
        <v>0</v>
      </c>
      <c r="F191" s="523">
        <f>'Mngt-Sydney Lab Admin '!C47</f>
        <v>0</v>
      </c>
      <c r="G191" s="523">
        <f>'Mngt-Perth Lab Admin'!C45</f>
        <v>0</v>
      </c>
      <c r="H191" s="523">
        <f>'Mngt-Bris Lab Admin '!C48</f>
        <v>0</v>
      </c>
      <c r="I191" s="401">
        <f t="shared" si="20"/>
        <v>0</v>
      </c>
      <c r="J191" s="524">
        <f t="shared" si="19"/>
        <v>0</v>
      </c>
    </row>
    <row r="192" spans="1:10" hidden="1" outlineLevel="1" x14ac:dyDescent="0.2">
      <c r="A192" s="401" t="s">
        <v>193</v>
      </c>
      <c r="B192" s="523"/>
      <c r="C192" s="523">
        <f>'Mngt-Lab Admin Total'!C49</f>
        <v>0</v>
      </c>
      <c r="D192" s="523">
        <f>'Mngt-Central Lab Admin '!C48</f>
        <v>0</v>
      </c>
      <c r="E192" s="523">
        <f>'Mngt-Melb Lab Admin '!C48</f>
        <v>0</v>
      </c>
      <c r="F192" s="523">
        <f>'Mngt-Sydney Lab Admin '!C48</f>
        <v>0</v>
      </c>
      <c r="G192" s="523">
        <f>'Mngt-Perth Lab Admin'!C44</f>
        <v>0</v>
      </c>
      <c r="H192" s="523">
        <f>'Mngt-Bris Lab Admin '!C49</f>
        <v>0</v>
      </c>
      <c r="I192" s="401">
        <f t="shared" si="20"/>
        <v>0</v>
      </c>
      <c r="J192" s="524">
        <f t="shared" si="19"/>
        <v>0</v>
      </c>
    </row>
    <row r="193" spans="1:10" hidden="1" outlineLevel="1" x14ac:dyDescent="0.2">
      <c r="A193" s="401" t="s">
        <v>194</v>
      </c>
      <c r="B193" s="523"/>
      <c r="C193" s="523">
        <f>'Mngt-Lab Admin Total'!C50</f>
        <v>0</v>
      </c>
      <c r="D193" s="523">
        <f>'Mngt-Central Lab Admin '!C49</f>
        <v>0</v>
      </c>
      <c r="E193" s="523">
        <f>'Mngt-Melb Lab Admin '!C49</f>
        <v>0</v>
      </c>
      <c r="F193" s="523">
        <f>'Mngt-Sydney Lab Admin '!C49</f>
        <v>0</v>
      </c>
      <c r="G193" s="523">
        <f>'Mngt-Perth Lab Admin'!C47</f>
        <v>0</v>
      </c>
      <c r="H193" s="523">
        <f>'Mngt-Bris Lab Admin '!C47</f>
        <v>0</v>
      </c>
      <c r="I193" s="401">
        <f t="shared" si="20"/>
        <v>0</v>
      </c>
      <c r="J193" s="524">
        <f t="shared" si="19"/>
        <v>0</v>
      </c>
    </row>
    <row r="194" spans="1:10" hidden="1" outlineLevel="1" x14ac:dyDescent="0.2">
      <c r="A194" s="401" t="s">
        <v>82</v>
      </c>
      <c r="B194" s="523"/>
      <c r="C194" s="523">
        <f>'Mngt-Lab Admin Total'!C51</f>
        <v>0</v>
      </c>
      <c r="D194" s="523">
        <f>'Mngt-Central Lab Admin '!C50</f>
        <v>0</v>
      </c>
      <c r="E194" s="523">
        <f>'Mngt-Melb Lab Admin '!C50</f>
        <v>0</v>
      </c>
      <c r="F194" s="523">
        <f>'Mngt-Sydney Lab Admin '!C50</f>
        <v>0</v>
      </c>
      <c r="G194" s="523">
        <f>'Mngt-Perth Lab Admin'!C46</f>
        <v>0</v>
      </c>
      <c r="H194" s="523">
        <f>'Mngt-Bris Lab Admin '!C51</f>
        <v>0</v>
      </c>
      <c r="I194" s="401">
        <f t="shared" si="20"/>
        <v>0</v>
      </c>
      <c r="J194" s="524">
        <f t="shared" si="19"/>
        <v>0</v>
      </c>
    </row>
    <row r="195" spans="1:10" hidden="1" outlineLevel="1" x14ac:dyDescent="0.2">
      <c r="A195" s="401" t="s">
        <v>83</v>
      </c>
      <c r="B195" s="523"/>
      <c r="C195" s="523">
        <f>'Mngt-Lab Admin Total'!C52</f>
        <v>0</v>
      </c>
      <c r="D195" s="523">
        <f>'Mngt-Central Lab Admin '!C51</f>
        <v>0</v>
      </c>
      <c r="E195" s="523">
        <f>'Mngt-Melb Lab Admin '!C51</f>
        <v>0</v>
      </c>
      <c r="F195" s="523">
        <f>'Mngt-Sydney Lab Admin '!C51</f>
        <v>0</v>
      </c>
      <c r="G195" s="523">
        <f>'Mngt-Perth Lab Admin'!C47</f>
        <v>0</v>
      </c>
      <c r="H195" s="523">
        <f>'Mngt-Bris Lab Admin '!C49</f>
        <v>0</v>
      </c>
      <c r="I195" s="401">
        <f t="shared" si="20"/>
        <v>0</v>
      </c>
      <c r="J195" s="524">
        <f t="shared" si="19"/>
        <v>0</v>
      </c>
    </row>
    <row r="196" spans="1:10" hidden="1" outlineLevel="1" x14ac:dyDescent="0.2">
      <c r="A196" s="401" t="s">
        <v>84</v>
      </c>
      <c r="B196" s="523"/>
      <c r="C196" s="523">
        <f>'Mngt-Lab Admin Total'!C53</f>
        <v>0</v>
      </c>
      <c r="D196" s="523">
        <f>'Mngt-Central Lab Admin '!C52</f>
        <v>0</v>
      </c>
      <c r="E196" s="523">
        <f>'Mngt-Melb Lab Admin '!C52</f>
        <v>0</v>
      </c>
      <c r="F196" s="523">
        <f>'Mngt-Sydney Lab Admin '!C52</f>
        <v>0</v>
      </c>
      <c r="G196" s="523">
        <f>'Mngt-Perth Lab Admin'!C48</f>
        <v>0</v>
      </c>
      <c r="H196" s="523">
        <f>'Mngt-Bris Lab Admin '!C50</f>
        <v>0</v>
      </c>
      <c r="I196" s="401">
        <f t="shared" si="20"/>
        <v>0</v>
      </c>
      <c r="J196" s="524">
        <f t="shared" si="19"/>
        <v>0</v>
      </c>
    </row>
    <row r="197" spans="1:10" hidden="1" outlineLevel="1" x14ac:dyDescent="0.2">
      <c r="A197" s="401" t="s">
        <v>195</v>
      </c>
      <c r="B197" s="523"/>
      <c r="D197" s="523">
        <v>0</v>
      </c>
      <c r="E197" s="523">
        <f>'Mngt-Melb Lab Admin '!C53</f>
        <v>0</v>
      </c>
      <c r="F197" s="523">
        <f>'Mngt-Sydney Lab Admin '!C53</f>
        <v>0</v>
      </c>
      <c r="G197" s="523">
        <f>'Mngt-Perth Lab Admin'!C49</f>
        <v>0</v>
      </c>
      <c r="H197" s="523">
        <v>0</v>
      </c>
      <c r="I197" s="401">
        <f t="shared" si="20"/>
        <v>0</v>
      </c>
      <c r="J197" s="524">
        <f t="shared" si="19"/>
        <v>0</v>
      </c>
    </row>
    <row r="198" spans="1:10" hidden="1" outlineLevel="1" x14ac:dyDescent="0.2">
      <c r="A198" s="401" t="s">
        <v>86</v>
      </c>
      <c r="B198" s="523"/>
      <c r="C198" s="523">
        <f>'Mngt-Lab Admin Total'!C56</f>
        <v>0</v>
      </c>
      <c r="D198" s="523">
        <f>'Mngt-Central Lab Admin '!C55</f>
        <v>0</v>
      </c>
      <c r="E198" s="523">
        <f>'Mngt-Melb Lab Admin '!C54</f>
        <v>0</v>
      </c>
      <c r="F198" s="523">
        <f>'Mngt-Sydney Lab Admin '!C54</f>
        <v>0</v>
      </c>
      <c r="G198" s="523">
        <f>'Mngt-Perth Lab Admin'!C52</f>
        <v>0</v>
      </c>
      <c r="H198" s="523">
        <f>'Mngt-Bris Lab Admin '!C55</f>
        <v>0</v>
      </c>
      <c r="I198" s="401">
        <f t="shared" si="20"/>
        <v>0</v>
      </c>
      <c r="J198" s="524">
        <f t="shared" si="19"/>
        <v>0</v>
      </c>
    </row>
    <row r="199" spans="1:10" hidden="1" outlineLevel="1" x14ac:dyDescent="0.2">
      <c r="A199" s="401" t="s">
        <v>110</v>
      </c>
      <c r="B199" s="523"/>
      <c r="D199" s="523">
        <f>'Mngt-Central Lab Admin '!C56</f>
        <v>0</v>
      </c>
      <c r="E199" s="523">
        <f>'Mngt-Melb Lab Admin '!C55</f>
        <v>0</v>
      </c>
      <c r="F199" s="523">
        <f>'Mngt-Sydney Lab Admin '!C55</f>
        <v>0</v>
      </c>
      <c r="G199" s="523">
        <f>'Mngt-Perth Lab Admin'!C51</f>
        <v>0</v>
      </c>
      <c r="H199" s="523">
        <f>'Mngt-Bris Lab Admin '!C53</f>
        <v>0</v>
      </c>
      <c r="I199" s="401">
        <f t="shared" si="20"/>
        <v>0</v>
      </c>
      <c r="J199" s="524">
        <f t="shared" si="19"/>
        <v>0</v>
      </c>
    </row>
    <row r="200" spans="1:10" hidden="1" outlineLevel="1" x14ac:dyDescent="0.2">
      <c r="A200" s="401" t="s">
        <v>196</v>
      </c>
      <c r="B200" s="523"/>
      <c r="C200" s="523">
        <f>'Mngt-Lab Admin Total'!C58</f>
        <v>0</v>
      </c>
      <c r="D200" s="523">
        <f>'Mngt-Central Lab Admin '!C56</f>
        <v>0</v>
      </c>
      <c r="E200" s="523">
        <f>'Mngt-Melb Lab Admin '!C56</f>
        <v>0</v>
      </c>
      <c r="F200" s="523">
        <f>'Mngt-Sydney Lab Admin '!C56</f>
        <v>0</v>
      </c>
      <c r="G200" s="523">
        <f>'Mngt-Perth Lab Admin'!C54</f>
        <v>0</v>
      </c>
      <c r="H200" s="523">
        <f>'Mngt-Bris Lab Admin '!C54</f>
        <v>0</v>
      </c>
      <c r="I200" s="401">
        <f t="shared" si="20"/>
        <v>0</v>
      </c>
      <c r="J200" s="524">
        <f t="shared" si="19"/>
        <v>0</v>
      </c>
    </row>
    <row r="201" spans="1:10" hidden="1" outlineLevel="1" x14ac:dyDescent="0.2">
      <c r="A201" s="401" t="s">
        <v>197</v>
      </c>
      <c r="B201" s="523"/>
      <c r="C201" s="523">
        <f>'Mngt-Lab Admin Total'!C59</f>
        <v>0</v>
      </c>
      <c r="D201" s="523">
        <f>'Mngt-Central Lab Admin '!C57</f>
        <v>0</v>
      </c>
      <c r="E201" s="523">
        <f>'Mngt-Melb Lab Admin '!C57</f>
        <v>0</v>
      </c>
      <c r="F201" s="523">
        <f>'Mngt-Sydney Lab Admin '!C57</f>
        <v>0</v>
      </c>
      <c r="G201" s="523">
        <f>'Mngt-Perth Lab Admin'!C55</f>
        <v>0</v>
      </c>
      <c r="H201" s="523">
        <v>0</v>
      </c>
      <c r="I201" s="401">
        <f t="shared" si="20"/>
        <v>0</v>
      </c>
      <c r="J201" s="524">
        <f t="shared" si="19"/>
        <v>0</v>
      </c>
    </row>
    <row r="202" spans="1:10" hidden="1" outlineLevel="1" x14ac:dyDescent="0.2">
      <c r="A202" s="401" t="s">
        <v>198</v>
      </c>
      <c r="B202" s="523"/>
      <c r="C202" s="523">
        <f>'Mngt-Lab Admin Total'!C60</f>
        <v>0</v>
      </c>
      <c r="D202" s="523">
        <f>'Mngt-Central Lab Admin '!C58</f>
        <v>0</v>
      </c>
      <c r="E202" s="523">
        <f>'Mngt-Melb Lab Admin '!C58</f>
        <v>0</v>
      </c>
      <c r="F202" s="523">
        <f>'Mngt-Sydney Lab Admin '!C58</f>
        <v>0</v>
      </c>
      <c r="G202" s="523" t="e">
        <f>'Mngt-Perth Lab Admin'!#REF!</f>
        <v>#REF!</v>
      </c>
      <c r="H202" s="523">
        <f>'Mngt-Bris Lab Admin '!C59</f>
        <v>0</v>
      </c>
      <c r="I202" s="401" t="e">
        <f t="shared" si="20"/>
        <v>#REF!</v>
      </c>
      <c r="J202" s="524" t="e">
        <f t="shared" si="19"/>
        <v>#REF!</v>
      </c>
    </row>
    <row r="203" spans="1:10" hidden="1" outlineLevel="1" x14ac:dyDescent="0.2">
      <c r="A203" s="401" t="s">
        <v>199</v>
      </c>
      <c r="B203" s="523"/>
      <c r="C203" s="523">
        <f>'Mngt-Lab Admin Total'!C54</f>
        <v>0</v>
      </c>
      <c r="D203" s="523">
        <f>'Mngt-Central Lab Admin '!C53</f>
        <v>0</v>
      </c>
      <c r="E203" s="523">
        <v>0</v>
      </c>
      <c r="F203" s="523">
        <v>0</v>
      </c>
      <c r="G203" s="523">
        <f>'Mngt-Perth Lab Admin'!C55</f>
        <v>0</v>
      </c>
      <c r="H203" s="523">
        <f>'Mngt-Bris Lab Admin '!C57</f>
        <v>0</v>
      </c>
      <c r="I203" s="401">
        <f t="shared" si="20"/>
        <v>0</v>
      </c>
      <c r="J203" s="524">
        <f t="shared" si="19"/>
        <v>0</v>
      </c>
    </row>
    <row r="204" spans="1:10" collapsed="1" x14ac:dyDescent="0.2">
      <c r="A204" s="401" t="s">
        <v>89</v>
      </c>
      <c r="B204" s="523"/>
      <c r="C204" s="523">
        <f>'Mngt-Lab Admin Total'!C61</f>
        <v>0</v>
      </c>
      <c r="D204" s="523">
        <f>'Mngt-Central Lab Admin '!C59</f>
        <v>0</v>
      </c>
      <c r="E204" s="523">
        <f>'Mngt-Melb Lab Admin '!C59</f>
        <v>0</v>
      </c>
      <c r="F204" s="523">
        <f>'Mngt-Sydney Lab Admin '!C59</f>
        <v>0</v>
      </c>
      <c r="G204" s="523">
        <f>'Mngt-Perth Lab Admin'!C56</f>
        <v>0</v>
      </c>
      <c r="H204" s="523">
        <f>'Mngt-Bris Lab Admin '!C60</f>
        <v>0</v>
      </c>
      <c r="I204" s="401">
        <f t="shared" si="20"/>
        <v>0</v>
      </c>
      <c r="J204" s="524">
        <f t="shared" si="19"/>
        <v>0</v>
      </c>
    </row>
    <row r="205" spans="1:10" x14ac:dyDescent="0.2">
      <c r="A205" s="401" t="s">
        <v>201</v>
      </c>
      <c r="B205" s="523"/>
      <c r="C205" s="523">
        <f>'Mngt-Lab Admin Total'!C62</f>
        <v>0</v>
      </c>
      <c r="D205" s="523">
        <f>'Mngt-Central Lab Admin '!C60</f>
        <v>0</v>
      </c>
      <c r="E205" s="523">
        <f>'Mngt-Melb Lab Admin '!C60</f>
        <v>0</v>
      </c>
      <c r="F205" s="523">
        <f>'Mngt-Sydney Lab Admin '!C60</f>
        <v>0</v>
      </c>
      <c r="G205" s="523">
        <f>'Mngt-Perth Lab Admin'!C57</f>
        <v>0</v>
      </c>
      <c r="H205" s="523">
        <f>'Mngt-Bris Lab Admin '!C61</f>
        <v>0</v>
      </c>
      <c r="I205" s="401">
        <f t="shared" si="20"/>
        <v>0</v>
      </c>
      <c r="J205" s="524">
        <f t="shared" si="19"/>
        <v>0</v>
      </c>
    </row>
    <row r="206" spans="1:10" x14ac:dyDescent="0.2">
      <c r="A206" s="401"/>
      <c r="B206" s="523"/>
      <c r="C206" s="523"/>
      <c r="D206" s="523"/>
      <c r="E206" s="523"/>
      <c r="F206" s="523"/>
      <c r="G206" s="523"/>
      <c r="H206" s="523"/>
      <c r="I206" s="401"/>
      <c r="J206" s="524"/>
    </row>
    <row r="207" spans="1:10" x14ac:dyDescent="0.2">
      <c r="A207" s="401"/>
      <c r="B207" s="523"/>
      <c r="C207" s="523"/>
      <c r="D207" s="523"/>
      <c r="E207" s="523"/>
      <c r="F207" s="523"/>
      <c r="G207" s="523"/>
      <c r="H207" s="523"/>
      <c r="I207" s="401"/>
      <c r="J207" s="524"/>
    </row>
    <row r="208" spans="1:10" x14ac:dyDescent="0.2">
      <c r="A208" s="401"/>
      <c r="B208" s="523"/>
      <c r="C208" s="523"/>
      <c r="D208" s="523"/>
      <c r="E208" s="523"/>
      <c r="F208" s="523"/>
      <c r="G208" s="523"/>
      <c r="H208" s="523"/>
      <c r="I208" s="401"/>
      <c r="J208" s="524"/>
    </row>
    <row r="209" spans="1:10" ht="13.5" thickBot="1" x14ac:dyDescent="0.25">
      <c r="A209" s="516"/>
      <c r="B209" s="162"/>
      <c r="C209" s="162"/>
      <c r="D209" s="162"/>
      <c r="E209" s="162"/>
      <c r="F209" s="162"/>
      <c r="G209" s="162"/>
      <c r="H209" s="162"/>
      <c r="I209" s="516"/>
      <c r="J209" s="517"/>
    </row>
  </sheetData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2:O209"/>
  <sheetViews>
    <sheetView topLeftCell="A52" workbookViewId="0">
      <selection activeCell="K32" sqref="K32"/>
    </sheetView>
  </sheetViews>
  <sheetFormatPr defaultColWidth="9.42578125" defaultRowHeight="12.75" outlineLevelRow="1" x14ac:dyDescent="0.2"/>
  <cols>
    <col min="1" max="1" width="49.42578125" style="169" bestFit="1" customWidth="1"/>
    <col min="2" max="2" width="15.5703125" style="169" customWidth="1"/>
    <col min="3" max="5" width="15.42578125" style="169" customWidth="1"/>
    <col min="6" max="6" width="21.42578125" style="169" bestFit="1" customWidth="1"/>
    <col min="7" max="7" width="20.5703125" style="169" bestFit="1" customWidth="1"/>
    <col min="8" max="8" width="21.42578125" style="169" bestFit="1" customWidth="1"/>
    <col min="9" max="9" width="20.5703125" style="169" bestFit="1" customWidth="1"/>
    <col min="10" max="10" width="16.5703125" style="169" customWidth="1"/>
    <col min="11" max="11" width="11.42578125" style="169" bestFit="1" customWidth="1"/>
    <col min="12" max="12" width="12" style="169" bestFit="1" customWidth="1"/>
    <col min="13" max="13" width="15.5703125" style="169" bestFit="1" customWidth="1"/>
    <col min="14" max="14" width="12.5703125" style="169" bestFit="1" customWidth="1"/>
    <col min="15" max="15" width="11.42578125" style="169" customWidth="1"/>
    <col min="16" max="16384" width="9.42578125" style="169"/>
  </cols>
  <sheetData>
    <row r="2" spans="1:9" x14ac:dyDescent="0.2">
      <c r="A2" s="511" t="s">
        <v>355</v>
      </c>
    </row>
    <row r="4" spans="1:9" ht="13.5" thickBot="1" x14ac:dyDescent="0.25"/>
    <row r="5" spans="1:9" x14ac:dyDescent="0.2">
      <c r="A5" s="512" t="s">
        <v>265</v>
      </c>
      <c r="B5" s="513" t="s">
        <v>266</v>
      </c>
      <c r="C5" s="514" t="s">
        <v>267</v>
      </c>
      <c r="D5" s="514" t="s">
        <v>268</v>
      </c>
      <c r="E5" s="514" t="s">
        <v>269</v>
      </c>
      <c r="F5" s="514" t="s">
        <v>270</v>
      </c>
      <c r="G5" s="514" t="s">
        <v>271</v>
      </c>
      <c r="H5" s="512" t="s">
        <v>272</v>
      </c>
      <c r="I5" s="515" t="s">
        <v>273</v>
      </c>
    </row>
    <row r="6" spans="1:9" ht="13.5" thickBot="1" x14ac:dyDescent="0.25">
      <c r="A6" s="516"/>
      <c r="B6" s="162"/>
      <c r="C6" s="162"/>
      <c r="D6" s="162"/>
      <c r="E6" s="162"/>
      <c r="F6" s="162"/>
      <c r="G6" s="162"/>
      <c r="H6" s="516"/>
      <c r="I6" s="517"/>
    </row>
    <row r="7" spans="1:9" x14ac:dyDescent="0.2">
      <c r="A7" s="401" t="s">
        <v>7</v>
      </c>
      <c r="B7" s="220">
        <f>'Mngt-Microbiology '!D2</f>
        <v>989506.28</v>
      </c>
      <c r="C7" s="220">
        <f>'Mngt-Consulting Micro SC '!D2</f>
        <v>21254.76</v>
      </c>
      <c r="D7" s="165">
        <f>'Mngt-Sydney Micro '!D2</f>
        <v>322015.90999999997</v>
      </c>
      <c r="E7" s="165">
        <f>'Mngt-Melbourne Micro '!D2</f>
        <v>329344.84000000003</v>
      </c>
      <c r="F7" s="165">
        <f>'Mngt-Brisbane Micro '!D2</f>
        <v>176395.13</v>
      </c>
      <c r="G7" s="165">
        <f>'Mngt-Perth Micro '!D2</f>
        <v>140495.64000000001</v>
      </c>
      <c r="H7" s="354">
        <f>SUM(C7:G7)</f>
        <v>989506.28</v>
      </c>
      <c r="I7" s="355">
        <f>B7-H7</f>
        <v>0</v>
      </c>
    </row>
    <row r="8" spans="1:9" x14ac:dyDescent="0.2">
      <c r="A8" s="401" t="s">
        <v>166</v>
      </c>
      <c r="B8" s="165">
        <f>'Mngt-Microbiology '!D9</f>
        <v>35993.96</v>
      </c>
      <c r="C8" s="165">
        <f>'Mngt-Consulting Micro SC '!D10</f>
        <v>23677.03</v>
      </c>
      <c r="D8" s="165">
        <f>'Mngt-Sydney Micro '!D9</f>
        <v>13101.44</v>
      </c>
      <c r="E8" s="165">
        <f>'Mngt-Melbourne Micro '!D10</f>
        <v>151897.49</v>
      </c>
      <c r="F8" s="165">
        <f>'Mngt-Brisbane Micro '!D10</f>
        <v>71883.679999999993</v>
      </c>
      <c r="G8" s="165">
        <f>'Mngt-Perth Micro '!D9</f>
        <v>64482.01</v>
      </c>
      <c r="H8" s="354">
        <f>SUM(C8:G8)</f>
        <v>325041.64999999997</v>
      </c>
      <c r="I8" s="355">
        <f>B8-H8</f>
        <v>-289047.68999999994</v>
      </c>
    </row>
    <row r="9" spans="1:9" x14ac:dyDescent="0.2">
      <c r="A9" s="401" t="s">
        <v>167</v>
      </c>
      <c r="B9" s="165">
        <f>'Mngt-Microbiology '!D10</f>
        <v>453164.18</v>
      </c>
      <c r="C9" s="165">
        <f>'Mngt-Consulting Micro SC '!D11</f>
        <v>0</v>
      </c>
      <c r="D9" s="165">
        <f>'Mngt-Sydney Micro '!D10</f>
        <v>141223.97</v>
      </c>
      <c r="E9" s="165">
        <f>'Mngt-Melbourne Micro '!D11</f>
        <v>76724.28</v>
      </c>
      <c r="F9" s="165">
        <f>'Mngt-Brisbane Micro '!D11</f>
        <v>19998.919999999998</v>
      </c>
      <c r="G9" s="165">
        <f>'Mngt-Perth Micro '!D10</f>
        <v>6157.31</v>
      </c>
      <c r="H9" s="354">
        <f t="shared" ref="H9:H33" si="0">SUM(C9:G9)</f>
        <v>244104.47999999998</v>
      </c>
      <c r="I9" s="355">
        <f t="shared" ref="I9:I33" si="1">B9-H9</f>
        <v>209059.7</v>
      </c>
    </row>
    <row r="10" spans="1:9" x14ac:dyDescent="0.2">
      <c r="A10" s="401" t="s">
        <v>168</v>
      </c>
      <c r="B10" s="165">
        <f>'Mngt-Microbiology '!D11</f>
        <v>124490.29</v>
      </c>
      <c r="C10" s="165">
        <f>'Mngt-Consulting Micro SC '!D12</f>
        <v>0</v>
      </c>
      <c r="D10" s="165">
        <f>'Mngt-Sydney Micro '!D11</f>
        <v>21609.78</v>
      </c>
      <c r="E10" s="165">
        <f>'Mngt-Melbourne Micro '!D12</f>
        <v>21458.76</v>
      </c>
      <c r="F10" s="165">
        <f>'Mngt-Brisbane Micro '!D12</f>
        <v>2308.37</v>
      </c>
      <c r="G10" s="165">
        <f>'Mngt-Perth Micro '!D11</f>
        <v>-629.29</v>
      </c>
      <c r="H10" s="354">
        <f t="shared" si="0"/>
        <v>44747.619999999995</v>
      </c>
      <c r="I10" s="355">
        <f t="shared" si="1"/>
        <v>79742.67</v>
      </c>
    </row>
    <row r="11" spans="1:9" x14ac:dyDescent="0.2">
      <c r="A11" s="401" t="s">
        <v>169</v>
      </c>
      <c r="B11" s="165">
        <f>'Mngt-Microbiology '!D12</f>
        <v>29803.43</v>
      </c>
      <c r="C11" s="165">
        <f>'Mngt-Consulting Micro SC '!D13</f>
        <v>0</v>
      </c>
      <c r="D11" s="165">
        <f>'Mngt-Sydney Micro '!D12</f>
        <v>6665.59</v>
      </c>
      <c r="E11" s="165">
        <f>'Mngt-Melbourne Micro '!D13</f>
        <v>15802.52</v>
      </c>
      <c r="F11" s="165">
        <f>'Mngt-Brisbane Micro '!D13</f>
        <v>9993.5400000000009</v>
      </c>
      <c r="G11" s="165">
        <f>'Mngt-Perth Micro '!D12</f>
        <v>4364.28</v>
      </c>
      <c r="H11" s="354">
        <f t="shared" si="0"/>
        <v>36825.93</v>
      </c>
      <c r="I11" s="355">
        <f t="shared" si="1"/>
        <v>-7022.5</v>
      </c>
    </row>
    <row r="12" spans="1:9" x14ac:dyDescent="0.2">
      <c r="A12" s="401" t="s">
        <v>50</v>
      </c>
      <c r="B12" s="165">
        <f>'Mngt-Microbiology '!D13</f>
        <v>33846.9</v>
      </c>
      <c r="C12" s="165">
        <f>'Mngt-Consulting Micro SC '!D14</f>
        <v>0</v>
      </c>
      <c r="D12" s="165">
        <f>'Mngt-Sydney Micro '!D13</f>
        <v>3686.56</v>
      </c>
      <c r="E12" s="165">
        <f>'Mngt-Melbourne Micro '!D14</f>
        <v>426.95</v>
      </c>
      <c r="F12" s="165">
        <f>'Mngt-Brisbane Micro '!D14</f>
        <v>360.46</v>
      </c>
      <c r="G12" s="165">
        <f>'Mngt-Perth Micro '!D13</f>
        <v>718.27</v>
      </c>
      <c r="H12" s="354">
        <f t="shared" si="0"/>
        <v>5192.24</v>
      </c>
      <c r="I12" s="355">
        <f t="shared" si="1"/>
        <v>28654.660000000003</v>
      </c>
    </row>
    <row r="13" spans="1:9" x14ac:dyDescent="0.2">
      <c r="A13" s="401" t="s">
        <v>170</v>
      </c>
      <c r="B13" s="165">
        <f>'Mngt-Microbiology '!D14</f>
        <v>1572.29</v>
      </c>
      <c r="C13" s="165">
        <f>'Mngt-Consulting Micro SC '!AS15</f>
        <v>0</v>
      </c>
      <c r="D13" s="165">
        <f>'Mngt-Sydney Micro '!D14</f>
        <v>66.61</v>
      </c>
      <c r="E13" s="165">
        <f>'Mngt-Melbourne Micro '!D15</f>
        <v>7618.8</v>
      </c>
      <c r="F13" s="165">
        <f>'Mngt-Brisbane Micro '!D15</f>
        <v>0</v>
      </c>
      <c r="G13" s="165">
        <f>'Mngt-Perth Micro '!D14</f>
        <v>1182.95</v>
      </c>
      <c r="H13" s="354">
        <f t="shared" si="0"/>
        <v>8868.36</v>
      </c>
      <c r="I13" s="355">
        <f t="shared" si="1"/>
        <v>-7296.0700000000006</v>
      </c>
    </row>
    <row r="14" spans="1:9" x14ac:dyDescent="0.2">
      <c r="A14" s="401" t="s">
        <v>171</v>
      </c>
      <c r="B14" s="165">
        <f>'Mngt-Microbiology '!D15</f>
        <v>17865.62</v>
      </c>
      <c r="C14" s="165">
        <f>'Mngt-Consulting Micro SC '!AS16</f>
        <v>0</v>
      </c>
      <c r="D14" s="165">
        <f>'Mngt-Sydney Micro '!D15</f>
        <v>9063.8700000000008</v>
      </c>
      <c r="E14" s="165">
        <f>'Mngt-Melbourne Micro '!D16</f>
        <v>39924.76</v>
      </c>
      <c r="F14" s="165">
        <f>'Mngt-Brisbane Micro '!D16</f>
        <v>26971.74</v>
      </c>
      <c r="G14" s="165">
        <f>'Mngt-Perth Micro '!D15</f>
        <v>11104.17</v>
      </c>
      <c r="H14" s="354">
        <f t="shared" si="0"/>
        <v>87064.540000000008</v>
      </c>
      <c r="I14" s="355">
        <f t="shared" si="1"/>
        <v>-69198.920000000013</v>
      </c>
    </row>
    <row r="15" spans="1:9" x14ac:dyDescent="0.2">
      <c r="A15" s="401" t="s">
        <v>172</v>
      </c>
      <c r="B15" s="165">
        <f>'Mngt-Microbiology '!D16</f>
        <v>83900.13</v>
      </c>
      <c r="C15" s="165">
        <f>'Mngt-Consulting Micro SC '!D17</f>
        <v>0</v>
      </c>
      <c r="D15" s="165">
        <f>'Mngt-Sydney Micro '!D16</f>
        <v>5899.46</v>
      </c>
      <c r="E15" s="165">
        <f>'Mngt-Melbourne Micro '!D17</f>
        <v>0</v>
      </c>
      <c r="F15" s="165">
        <f>'Mngt-Brisbane Micro '!D17</f>
        <v>1911.91</v>
      </c>
      <c r="G15" s="165">
        <f>'Mngt-Perth Micro '!D16</f>
        <v>0</v>
      </c>
      <c r="H15" s="354">
        <f t="shared" si="0"/>
        <v>7811.37</v>
      </c>
      <c r="I15" s="355">
        <f t="shared" si="1"/>
        <v>76088.760000000009</v>
      </c>
    </row>
    <row r="16" spans="1:9" x14ac:dyDescent="0.2">
      <c r="A16" s="401" t="s">
        <v>173</v>
      </c>
      <c r="B16" s="165">
        <f>'Mngt-Microbiology '!D17</f>
        <v>2361.9499999999998</v>
      </c>
      <c r="C16" s="165">
        <f>'Mngt-Consulting Micro SC '!D18</f>
        <v>162.11000000000001</v>
      </c>
      <c r="D16" s="165">
        <f>'Mngt-Sydney Micro '!D17</f>
        <v>450.04</v>
      </c>
      <c r="E16" s="165">
        <f>'Mngt-Melbourne Micro '!D18</f>
        <v>20022.05</v>
      </c>
      <c r="F16" s="165">
        <f>'Mngt-Brisbane Micro '!D18</f>
        <v>3480.38</v>
      </c>
      <c r="G16" s="165">
        <f>'Mngt-Perth Micro '!D17</f>
        <v>2008.52</v>
      </c>
      <c r="H16" s="354">
        <f t="shared" si="0"/>
        <v>26123.100000000002</v>
      </c>
      <c r="I16" s="355">
        <f t="shared" si="1"/>
        <v>-23761.15</v>
      </c>
    </row>
    <row r="17" spans="1:9" x14ac:dyDescent="0.2">
      <c r="A17" s="401" t="s">
        <v>257</v>
      </c>
      <c r="B17" s="165">
        <f>'Mngt-Microbiology '!D18</f>
        <v>31439.02</v>
      </c>
      <c r="C17" s="165">
        <f>'Mngt-Consulting Micro SC '!D19</f>
        <v>1486.83</v>
      </c>
      <c r="D17" s="165">
        <f>'Mngt-Sydney Micro '!D18</f>
        <v>5282.51</v>
      </c>
      <c r="E17" s="165">
        <f>'Mngt-Melbourne Micro '!D19</f>
        <v>10931.52</v>
      </c>
      <c r="F17" s="165">
        <f>'Mngt-Brisbane Micro '!D19</f>
        <v>4108.57</v>
      </c>
      <c r="G17" s="165">
        <f>'Mngt-Perth Micro '!D18</f>
        <v>4301.3500000000004</v>
      </c>
      <c r="H17" s="354">
        <f t="shared" si="0"/>
        <v>26110.78</v>
      </c>
      <c r="I17" s="355">
        <f t="shared" si="1"/>
        <v>5328.2400000000016</v>
      </c>
    </row>
    <row r="18" spans="1:9" x14ac:dyDescent="0.2">
      <c r="A18" s="401" t="s">
        <v>70</v>
      </c>
      <c r="B18" s="165">
        <f>'Mngt-Microbiology '!D22</f>
        <v>2949.59</v>
      </c>
      <c r="C18" s="165">
        <f>'Mngt-Consulting Micro SC '!D23</f>
        <v>65</v>
      </c>
      <c r="D18" s="165">
        <f>'Mngt-Sydney Micro '!D22</f>
        <v>656.59</v>
      </c>
      <c r="E18" s="165">
        <f>'Mngt-Melbourne Micro '!D23</f>
        <v>2431.67</v>
      </c>
      <c r="F18" s="165">
        <f>'Mngt-Brisbane Micro '!D23</f>
        <v>5584.58</v>
      </c>
      <c r="G18" s="165">
        <f>'Mngt-Perth Micro '!D22</f>
        <v>1460.26</v>
      </c>
      <c r="H18" s="354">
        <f t="shared" si="0"/>
        <v>10198.1</v>
      </c>
      <c r="I18" s="355">
        <f t="shared" si="1"/>
        <v>-7248.51</v>
      </c>
    </row>
    <row r="19" spans="1:9" outlineLevel="1" x14ac:dyDescent="0.2">
      <c r="A19" s="401" t="s">
        <v>174</v>
      </c>
      <c r="B19" s="165">
        <f>'Mngt-Microbiology '!D23</f>
        <v>11534.77</v>
      </c>
      <c r="C19" s="165">
        <f>'Mngt-Consulting Micro SC '!D24</f>
        <v>0</v>
      </c>
      <c r="D19" s="165">
        <f>'Mngt-Sydney Micro '!D23</f>
        <v>1993.26</v>
      </c>
      <c r="E19" s="165">
        <f>'Mngt-Melbourne Micro '!D24</f>
        <v>0</v>
      </c>
      <c r="F19" s="165">
        <f>'Mngt-Brisbane Micro '!D24</f>
        <v>0</v>
      </c>
      <c r="G19" s="165">
        <f>'Mngt-Perth Micro '!D23</f>
        <v>0</v>
      </c>
      <c r="H19" s="354">
        <f t="shared" si="0"/>
        <v>1993.26</v>
      </c>
      <c r="I19" s="355">
        <f t="shared" si="1"/>
        <v>9541.51</v>
      </c>
    </row>
    <row r="20" spans="1:9" outlineLevel="1" x14ac:dyDescent="0.2">
      <c r="A20" s="401" t="s">
        <v>99</v>
      </c>
      <c r="B20" s="165">
        <f>'Mngt-Microbiology '!D24</f>
        <v>0</v>
      </c>
      <c r="C20" s="165">
        <f>'Mngt-Consulting Micro SC '!D25</f>
        <v>433.89</v>
      </c>
      <c r="D20" s="165">
        <f>'Mngt-Sydney Micro '!D24</f>
        <v>0</v>
      </c>
      <c r="E20" s="165">
        <f>'Mngt-Melbourne Micro '!D25</f>
        <v>2169.46</v>
      </c>
      <c r="F20" s="165">
        <f>'Mngt-Brisbane Micro '!D25</f>
        <v>2028.72</v>
      </c>
      <c r="G20" s="165">
        <f>'Mngt-Perth Micro '!D24</f>
        <v>1798.94</v>
      </c>
      <c r="H20" s="354">
        <f t="shared" si="0"/>
        <v>6431.01</v>
      </c>
      <c r="I20" s="355">
        <f t="shared" si="1"/>
        <v>-6431.01</v>
      </c>
    </row>
    <row r="21" spans="1:9" outlineLevel="1" x14ac:dyDescent="0.2">
      <c r="A21" s="401" t="s">
        <v>175</v>
      </c>
      <c r="B21" s="165">
        <f>'Mngt-Microbiology '!D25</f>
        <v>10900.19</v>
      </c>
      <c r="C21" s="165">
        <f>'Mngt-Consulting Micro SC '!D26</f>
        <v>0</v>
      </c>
      <c r="D21" s="165">
        <f>'Mngt-Sydney Micro '!D25</f>
        <v>4469.18</v>
      </c>
      <c r="E21" s="165">
        <f>'Mngt-Melbourne Micro '!D26</f>
        <v>0</v>
      </c>
      <c r="F21" s="165">
        <f>'Mngt-Brisbane Micro '!D26</f>
        <v>0</v>
      </c>
      <c r="G21" s="165">
        <f>'Mngt-Perth Micro '!D25</f>
        <v>0</v>
      </c>
      <c r="H21" s="354">
        <f t="shared" si="0"/>
        <v>4469.18</v>
      </c>
      <c r="I21" s="355">
        <f t="shared" si="1"/>
        <v>6431.01</v>
      </c>
    </row>
    <row r="22" spans="1:9" outlineLevel="1" x14ac:dyDescent="0.2">
      <c r="A22" s="401" t="s">
        <v>100</v>
      </c>
      <c r="B22" s="165">
        <f>'Mngt-Microbiology '!D26</f>
        <v>0</v>
      </c>
      <c r="C22" s="165">
        <f>'Mngt-Consulting Micro SC '!D27</f>
        <v>0</v>
      </c>
      <c r="D22" s="165">
        <f>'Mngt-Sydney Micro '!D26</f>
        <v>0</v>
      </c>
      <c r="E22" s="165">
        <f>'Mngt-Melbourne Micro '!D27</f>
        <v>6602.75</v>
      </c>
      <c r="F22" s="165">
        <f>'Mngt-Brisbane Micro '!D27</f>
        <v>543.04999999999995</v>
      </c>
      <c r="G22" s="165">
        <f>'Mngt-Perth Micro '!D26</f>
        <v>2453.66</v>
      </c>
      <c r="H22" s="354">
        <f t="shared" si="0"/>
        <v>9599.4599999999991</v>
      </c>
      <c r="I22" s="355">
        <f t="shared" si="1"/>
        <v>-9599.4599999999991</v>
      </c>
    </row>
    <row r="23" spans="1:9" outlineLevel="1" x14ac:dyDescent="0.2">
      <c r="A23" s="401" t="s">
        <v>101</v>
      </c>
      <c r="B23" s="165">
        <f>'Mngt-Microbiology '!D27</f>
        <v>12449.43</v>
      </c>
      <c r="C23" s="165">
        <f>'Mngt-Consulting Micro SC '!D28</f>
        <v>0</v>
      </c>
      <c r="D23" s="165">
        <f>'Mngt-Sydney Micro '!D27</f>
        <v>2721.17</v>
      </c>
      <c r="E23" s="165">
        <f>'Mngt-Melbourne Micro '!D28</f>
        <v>69.86</v>
      </c>
      <c r="F23" s="165">
        <f>'Mngt-Brisbane Micro '!D28</f>
        <v>49.03</v>
      </c>
      <c r="G23" s="165">
        <f>'Mngt-Perth Micro '!D27</f>
        <v>49.03</v>
      </c>
      <c r="H23" s="354">
        <f t="shared" si="0"/>
        <v>2889.0900000000006</v>
      </c>
      <c r="I23" s="355">
        <f t="shared" si="1"/>
        <v>9560.34</v>
      </c>
    </row>
    <row r="24" spans="1:9" outlineLevel="1" x14ac:dyDescent="0.2">
      <c r="A24" s="401" t="s">
        <v>176</v>
      </c>
      <c r="B24" s="165">
        <f>'Mngt-Microbiology '!D28</f>
        <v>341.04</v>
      </c>
      <c r="C24" s="165">
        <f>'Mngt-Consulting Micro SC '!D29</f>
        <v>0</v>
      </c>
      <c r="D24" s="165">
        <f>'Mngt-Sydney Micro '!D28</f>
        <v>173.12</v>
      </c>
      <c r="E24" s="165">
        <f>'Mngt-Melbourne Micro '!D29</f>
        <v>0</v>
      </c>
      <c r="F24" s="165">
        <f>'Mngt-Brisbane Micro '!D29</f>
        <v>0</v>
      </c>
      <c r="G24" s="165">
        <f>'Mngt-Perth Micro '!D28</f>
        <v>0</v>
      </c>
      <c r="H24" s="354">
        <f t="shared" si="0"/>
        <v>173.12</v>
      </c>
      <c r="I24" s="355">
        <f t="shared" si="1"/>
        <v>167.92000000000002</v>
      </c>
    </row>
    <row r="25" spans="1:9" outlineLevel="1" x14ac:dyDescent="0.2">
      <c r="A25" s="401" t="s">
        <v>102</v>
      </c>
      <c r="B25" s="165">
        <f>'Mngt-Microbiology '!D29</f>
        <v>0</v>
      </c>
      <c r="C25" s="165">
        <f>'Mngt-Consulting Micro SC '!D30</f>
        <v>0</v>
      </c>
      <c r="D25" s="165">
        <f>'Mngt-Sydney Micro '!D29</f>
        <v>0</v>
      </c>
      <c r="E25" s="165">
        <f>'Mngt-Melbourne Micro '!D30</f>
        <v>0</v>
      </c>
      <c r="F25" s="165">
        <f>'Mngt-Brisbane Micro '!D30</f>
        <v>1336.68</v>
      </c>
      <c r="G25" s="165">
        <f>'Mngt-Perth Micro '!D29</f>
        <v>734.5</v>
      </c>
      <c r="H25" s="354">
        <f t="shared" si="0"/>
        <v>2071.1800000000003</v>
      </c>
      <c r="I25" s="355">
        <f t="shared" si="1"/>
        <v>-2071.1800000000003</v>
      </c>
    </row>
    <row r="26" spans="1:9" outlineLevel="1" x14ac:dyDescent="0.2">
      <c r="A26" s="401" t="s">
        <v>75</v>
      </c>
      <c r="B26" s="165">
        <f>'Mngt-Microbiology '!D30</f>
        <v>5075.62</v>
      </c>
      <c r="C26" s="165">
        <f>'Mngt-Consulting Micro SC '!D31</f>
        <v>251.83</v>
      </c>
      <c r="D26" s="165">
        <f>'Mngt-Sydney Micro '!D30</f>
        <v>3004.44</v>
      </c>
      <c r="E26" s="165">
        <f>'Mngt-Melbourne Micro '!D31</f>
        <v>0</v>
      </c>
      <c r="F26" s="165">
        <f>'Mngt-Brisbane Micro '!D31</f>
        <v>0</v>
      </c>
      <c r="G26" s="165">
        <f>'Mngt-Perth Micro '!D30</f>
        <v>0</v>
      </c>
      <c r="H26" s="354">
        <f t="shared" si="0"/>
        <v>3256.27</v>
      </c>
      <c r="I26" s="355">
        <f t="shared" si="1"/>
        <v>1819.35</v>
      </c>
    </row>
    <row r="27" spans="1:9" outlineLevel="1" x14ac:dyDescent="0.2">
      <c r="A27" s="401" t="s">
        <v>76</v>
      </c>
      <c r="B27" s="165">
        <f>'Mngt-Microbiology '!D31</f>
        <v>0</v>
      </c>
      <c r="C27" s="165">
        <f>'Mngt-Consulting Micro SC '!D32</f>
        <v>0</v>
      </c>
      <c r="D27" s="165">
        <f>'Mngt-Sydney Micro '!D31</f>
        <v>0</v>
      </c>
      <c r="E27" s="165">
        <f>'Mngt-Melbourne Micro '!D32</f>
        <v>1199.0899999999999</v>
      </c>
      <c r="F27" s="165">
        <f>'Mngt-Brisbane Micro '!D32</f>
        <v>1625.7</v>
      </c>
      <c r="G27" s="165">
        <f>'Mngt-Perth Micro '!D31</f>
        <v>1123.5899999999999</v>
      </c>
      <c r="H27" s="354">
        <f t="shared" si="0"/>
        <v>3948.38</v>
      </c>
      <c r="I27" s="355">
        <f t="shared" si="1"/>
        <v>-3948.38</v>
      </c>
    </row>
    <row r="28" spans="1:9" outlineLevel="1" x14ac:dyDescent="0.2">
      <c r="A28" s="401" t="s">
        <v>77</v>
      </c>
      <c r="B28" s="165">
        <f>'Mngt-Microbiology '!D32</f>
        <v>5207.18</v>
      </c>
      <c r="C28" s="165" t="e">
        <f>'Mngt-Consulting Micro SC '!#REF!</f>
        <v>#REF!</v>
      </c>
      <c r="D28" s="165">
        <f>'Mngt-Sydney Micro '!D32</f>
        <v>1006.97</v>
      </c>
      <c r="E28" s="165">
        <f>'Mngt-Melbourne Micro '!D33</f>
        <v>983</v>
      </c>
      <c r="F28" s="165">
        <f>'Mngt-Brisbane Micro '!D33</f>
        <v>353.93</v>
      </c>
      <c r="G28" s="165">
        <f>'Mngt-Perth Micro '!D32</f>
        <v>0</v>
      </c>
      <c r="H28" s="354" t="e">
        <f t="shared" si="0"/>
        <v>#REF!</v>
      </c>
      <c r="I28" s="355" t="e">
        <f t="shared" si="1"/>
        <v>#REF!</v>
      </c>
    </row>
    <row r="29" spans="1:9" x14ac:dyDescent="0.2">
      <c r="A29" s="401" t="s">
        <v>177</v>
      </c>
      <c r="B29" s="165">
        <f>'Mngt-Microbiology '!D33</f>
        <v>1336.93</v>
      </c>
      <c r="C29" s="165">
        <f>'Mngt-Consulting Micro SC '!D33</f>
        <v>685.72</v>
      </c>
      <c r="D29" s="165">
        <f>'Mngt-Sydney Micro '!D33</f>
        <v>0</v>
      </c>
      <c r="E29" s="165">
        <f>'Mngt-Melbourne Micro '!D34</f>
        <v>11024.16</v>
      </c>
      <c r="F29" s="165">
        <f>'Mngt-Brisbane Micro '!D34</f>
        <v>5937.11</v>
      </c>
      <c r="G29" s="165">
        <f>'Mngt-Perth Micro '!D33</f>
        <v>6159.72</v>
      </c>
      <c r="H29" s="354">
        <f t="shared" si="0"/>
        <v>23806.71</v>
      </c>
      <c r="I29" s="355">
        <f t="shared" si="1"/>
        <v>-22469.78</v>
      </c>
    </row>
    <row r="30" spans="1:9" x14ac:dyDescent="0.2">
      <c r="A30" s="401" t="s">
        <v>192</v>
      </c>
      <c r="B30" s="165">
        <f>'Mngt-Microbiology '!D48</f>
        <v>0</v>
      </c>
      <c r="C30" s="165">
        <f>'Mngt-Consulting Micro SC '!D48</f>
        <v>25</v>
      </c>
      <c r="D30" s="165">
        <f>'Mngt-Sydney Micro '!D48</f>
        <v>0</v>
      </c>
      <c r="E30" s="165">
        <f>'Mngt-Melbourne Micro '!D49</f>
        <v>145.22999999999999</v>
      </c>
      <c r="F30" s="165">
        <f>'Mngt-Brisbane Micro '!D49</f>
        <v>72.95</v>
      </c>
      <c r="G30" s="165">
        <f>'Mngt-Perth Micro '!D48</f>
        <v>41</v>
      </c>
      <c r="H30" s="354">
        <f t="shared" si="0"/>
        <v>284.18</v>
      </c>
      <c r="I30" s="355">
        <f t="shared" si="1"/>
        <v>-284.18</v>
      </c>
    </row>
    <row r="31" spans="1:9" x14ac:dyDescent="0.2">
      <c r="A31" s="401" t="s">
        <v>89</v>
      </c>
      <c r="B31" s="165">
        <f>'Mngt-Microbiology '!D62</f>
        <v>0</v>
      </c>
      <c r="C31" s="165">
        <f>'Mngt-Consulting Micro SC '!D62</f>
        <v>0</v>
      </c>
      <c r="D31" s="165">
        <f>'Mngt-Sydney Micro '!D62</f>
        <v>0</v>
      </c>
      <c r="E31" s="165">
        <f>'Mngt-Melbourne Micro '!D63</f>
        <v>10894.04</v>
      </c>
      <c r="F31" s="165">
        <f>'Mngt-Brisbane Micro '!D63</f>
        <v>9218.5</v>
      </c>
      <c r="G31" s="165">
        <f>'Mngt-Perth Micro '!D62</f>
        <v>1248.6400000000001</v>
      </c>
      <c r="H31" s="354">
        <f t="shared" si="0"/>
        <v>21361.18</v>
      </c>
      <c r="I31" s="355">
        <f t="shared" si="1"/>
        <v>-21361.18</v>
      </c>
    </row>
    <row r="32" spans="1:9" x14ac:dyDescent="0.2">
      <c r="A32" s="401" t="s">
        <v>201</v>
      </c>
      <c r="B32" s="165">
        <f>'Mngt-Microbiology '!D63</f>
        <v>27088.23</v>
      </c>
      <c r="C32" s="165">
        <f>'Mngt-Consulting Micro SC '!D63</f>
        <v>26101.69</v>
      </c>
      <c r="D32" s="165">
        <f>'Mngt-Sydney Micro '!D63</f>
        <v>5727.05</v>
      </c>
      <c r="E32" s="165">
        <f>'Mngt-Melbourne Micro '!D64</f>
        <v>369302.23</v>
      </c>
      <c r="F32" s="165">
        <f>'Mngt-Brisbane Micro '!D64</f>
        <v>161830.71</v>
      </c>
      <c r="G32" s="165">
        <f>'Mngt-Perth Micro '!D63</f>
        <v>102599.19</v>
      </c>
      <c r="H32" s="354">
        <f t="shared" si="0"/>
        <v>665560.86999999988</v>
      </c>
      <c r="I32" s="355">
        <f t="shared" si="1"/>
        <v>-638472.6399999999</v>
      </c>
    </row>
    <row r="33" spans="1:13" ht="13.5" thickBot="1" x14ac:dyDescent="0.25">
      <c r="A33" s="516" t="s">
        <v>8</v>
      </c>
      <c r="B33" s="349">
        <f>'Mngt-Microbiology '!D64</f>
        <v>882525.43</v>
      </c>
      <c r="C33" s="349">
        <f>'Mngt-Consulting Micro SC '!D64</f>
        <v>-4846.93</v>
      </c>
      <c r="D33" s="349">
        <f>'Mngt-Sydney Micro '!D64</f>
        <v>222097.59</v>
      </c>
      <c r="E33" s="349">
        <f>'Mngt-Melbourne Micro '!D65</f>
        <v>-39957.39</v>
      </c>
      <c r="F33" s="349">
        <f>'Mngt-Brisbane Micro '!D65</f>
        <v>14564.42</v>
      </c>
      <c r="G33" s="349">
        <f>'Mngt-Perth Micro '!D64</f>
        <v>37896.449999999997</v>
      </c>
      <c r="H33" s="356">
        <f t="shared" si="0"/>
        <v>229754.14</v>
      </c>
      <c r="I33" s="357">
        <f t="shared" si="1"/>
        <v>652771.29</v>
      </c>
    </row>
    <row r="34" spans="1:13" x14ac:dyDescent="0.2">
      <c r="A34" s="518" t="s">
        <v>274</v>
      </c>
      <c r="B34" s="519">
        <f>SUM(B8:B31)-B32-SUM(B19:B28)</f>
        <v>791636.06000000029</v>
      </c>
      <c r="C34" s="519" t="e">
        <f t="shared" ref="C34:H34" si="2">SUM(C8:C31)-C32-SUM(C19:C28)</f>
        <v>#REF!</v>
      </c>
      <c r="D34" s="519">
        <f t="shared" si="2"/>
        <v>201979.37</v>
      </c>
      <c r="E34" s="519">
        <f t="shared" si="2"/>
        <v>-2.5465851649641991E-11</v>
      </c>
      <c r="F34" s="519">
        <f t="shared" si="2"/>
        <v>-1.4551915228366852E-11</v>
      </c>
      <c r="G34" s="519">
        <f t="shared" si="2"/>
        <v>1.546140993013978E-11</v>
      </c>
      <c r="H34" s="520" t="e">
        <f t="shared" si="2"/>
        <v>#REF!</v>
      </c>
      <c r="I34" s="521" t="e">
        <f t="shared" ref="I34" si="3">SUM(I8:I31)-I32</f>
        <v>#REF!</v>
      </c>
    </row>
    <row r="35" spans="1:13" ht="13.5" thickBot="1" x14ac:dyDescent="0.25">
      <c r="A35" s="516" t="s">
        <v>275</v>
      </c>
      <c r="B35" s="349">
        <f t="shared" ref="B35:I35" si="4">B7-B32-B33</f>
        <v>79892.62</v>
      </c>
      <c r="C35" s="349">
        <f t="shared" si="4"/>
        <v>0</v>
      </c>
      <c r="D35" s="349">
        <f t="shared" si="4"/>
        <v>94191.26999999999</v>
      </c>
      <c r="E35" s="349">
        <f t="shared" si="4"/>
        <v>0</v>
      </c>
      <c r="F35" s="349">
        <f t="shared" si="4"/>
        <v>0</v>
      </c>
      <c r="G35" s="349">
        <f t="shared" si="4"/>
        <v>0</v>
      </c>
      <c r="H35" s="356">
        <f t="shared" si="4"/>
        <v>94191.270000000135</v>
      </c>
      <c r="I35" s="357">
        <f t="shared" si="4"/>
        <v>-14298.65000000014</v>
      </c>
    </row>
    <row r="37" spans="1:13" ht="13.5" thickBot="1" x14ac:dyDescent="0.25"/>
    <row r="38" spans="1:13" x14ac:dyDescent="0.2">
      <c r="A38" s="512" t="s">
        <v>265</v>
      </c>
      <c r="B38" s="513" t="s">
        <v>276</v>
      </c>
      <c r="C38" s="513"/>
      <c r="D38" s="514" t="s">
        <v>268</v>
      </c>
      <c r="E38" s="514" t="s">
        <v>269</v>
      </c>
      <c r="F38" s="514" t="s">
        <v>270</v>
      </c>
      <c r="G38" s="514" t="s">
        <v>271</v>
      </c>
      <c r="H38" s="514" t="s">
        <v>277</v>
      </c>
      <c r="I38" s="514" t="s">
        <v>278</v>
      </c>
      <c r="J38" s="514" t="s">
        <v>279</v>
      </c>
      <c r="K38" s="512" t="s">
        <v>272</v>
      </c>
      <c r="L38" s="515" t="s">
        <v>273</v>
      </c>
      <c r="M38" s="515" t="s">
        <v>273</v>
      </c>
    </row>
    <row r="39" spans="1:13" ht="13.5" thickBot="1" x14ac:dyDescent="0.25">
      <c r="A39" s="516"/>
      <c r="B39" s="162"/>
      <c r="C39" s="162"/>
      <c r="D39" s="162"/>
      <c r="E39" s="162"/>
      <c r="F39" s="162"/>
      <c r="G39" s="162"/>
      <c r="H39" s="162"/>
      <c r="I39" s="162"/>
      <c r="J39" s="162"/>
      <c r="K39" s="516"/>
      <c r="L39" s="517"/>
      <c r="M39" s="522" t="s">
        <v>280</v>
      </c>
    </row>
    <row r="40" spans="1:13" x14ac:dyDescent="0.2">
      <c r="A40" s="401" t="s">
        <v>7</v>
      </c>
      <c r="B40" s="165">
        <f>'Mngt-Chemistry '!D2</f>
        <v>226026.5</v>
      </c>
      <c r="C40" s="165"/>
      <c r="D40" s="165">
        <f>'Mngt-Sydney Chem '!D2</f>
        <v>72545.03</v>
      </c>
      <c r="E40" s="165">
        <f>'Mngt-Melb Chem External'!D2</f>
        <v>75763.539999999994</v>
      </c>
      <c r="F40" s="165">
        <f>'Mngt-Bris Chem External'!D2</f>
        <v>12200.1</v>
      </c>
      <c r="G40" s="165">
        <f>'Mngt-Perth Chem External'!D2</f>
        <v>39206.25</v>
      </c>
      <c r="H40" s="165">
        <f>'Mngt-Chem Milk Testing '!D2</f>
        <v>26311.58</v>
      </c>
      <c r="I40" s="165">
        <f>'Mngt-Melb Milk Testing'!D2</f>
        <v>579.33000000000004</v>
      </c>
      <c r="J40" s="165">
        <f>'Mngt-Bris Milk Testing '!D2</f>
        <v>25732.25</v>
      </c>
      <c r="K40" s="354">
        <f t="shared" ref="K40:K59" si="5">SUM(D40:H40)</f>
        <v>226026.5</v>
      </c>
      <c r="L40" s="355">
        <f t="shared" ref="L40:L59" si="6">B40-K40</f>
        <v>0</v>
      </c>
      <c r="M40" s="355">
        <f t="shared" ref="M40:M59" si="7">H40-I40-J40</f>
        <v>0</v>
      </c>
    </row>
    <row r="41" spans="1:13" x14ac:dyDescent="0.2">
      <c r="A41" s="401" t="s">
        <v>166</v>
      </c>
      <c r="B41" s="165">
        <f>'Mngt-Chemistry '!D9</f>
        <v>91474.75</v>
      </c>
      <c r="C41" s="165"/>
      <c r="D41" s="165">
        <f>'Mngt-Sydney Chem '!D9</f>
        <v>77001.25</v>
      </c>
      <c r="E41" s="165">
        <f>'Mngt-Melb Chem External'!D9</f>
        <v>0</v>
      </c>
      <c r="F41" s="165">
        <f>'Mngt-Bris Chem External'!D9</f>
        <v>0</v>
      </c>
      <c r="G41" s="165">
        <f>'Mngt-Perth Chem External'!D9</f>
        <v>0</v>
      </c>
      <c r="H41" s="165">
        <f>'Mngt-Chem Milk Testing '!D9</f>
        <v>14473.5</v>
      </c>
      <c r="I41" s="165">
        <f>'Mngt-Melb Milk Testing'!D9</f>
        <v>0</v>
      </c>
      <c r="J41" s="165">
        <f>'Mngt-Bris Milk Testing '!D9</f>
        <v>14473.5</v>
      </c>
      <c r="K41" s="354">
        <f t="shared" si="5"/>
        <v>91474.75</v>
      </c>
      <c r="L41" s="355">
        <f t="shared" si="6"/>
        <v>0</v>
      </c>
      <c r="M41" s="355">
        <f t="shared" si="7"/>
        <v>0</v>
      </c>
    </row>
    <row r="42" spans="1:13" x14ac:dyDescent="0.2">
      <c r="A42" s="401" t="s">
        <v>167</v>
      </c>
      <c r="B42" s="165">
        <f>'Mngt-Chemistry '!D10</f>
        <v>16217.78</v>
      </c>
      <c r="C42" s="165"/>
      <c r="D42" s="165">
        <f>'Mngt-Sydney Chem '!D10</f>
        <v>12466.63</v>
      </c>
      <c r="E42" s="165">
        <f>'Mngt-Melb Chem External'!D10</f>
        <v>1799.77</v>
      </c>
      <c r="F42" s="165">
        <f>'Mngt-Bris Chem External'!D10</f>
        <v>1482.23</v>
      </c>
      <c r="G42" s="165">
        <f>'Mngt-Perth Chem External'!D10</f>
        <v>286.49</v>
      </c>
      <c r="H42" s="165">
        <f>'Mngt-Chem Milk Testing '!D10</f>
        <v>182.66</v>
      </c>
      <c r="I42" s="165">
        <f>'Mngt-Melb Milk Testing'!D10</f>
        <v>0</v>
      </c>
      <c r="J42" s="165">
        <f>'Mngt-Bris Milk Testing '!D10</f>
        <v>182.66</v>
      </c>
      <c r="K42" s="354">
        <f t="shared" si="5"/>
        <v>16217.779999999999</v>
      </c>
      <c r="L42" s="355">
        <f t="shared" si="6"/>
        <v>0</v>
      </c>
      <c r="M42" s="355">
        <f t="shared" si="7"/>
        <v>0</v>
      </c>
    </row>
    <row r="43" spans="1:13" x14ac:dyDescent="0.2">
      <c r="A43" s="401" t="s">
        <v>168</v>
      </c>
      <c r="B43" s="165">
        <f>'Mngt-Chemistry '!D11</f>
        <v>4075.04</v>
      </c>
      <c r="C43" s="165"/>
      <c r="D43" s="165">
        <f>'Mngt-Sydney Chem '!D11</f>
        <v>3323.1</v>
      </c>
      <c r="E43" s="165">
        <f>'Mngt-Melb Chem External'!D11</f>
        <v>632.9</v>
      </c>
      <c r="F43" s="165">
        <f>'Mngt-Bris Chem External'!D11</f>
        <v>119.04</v>
      </c>
      <c r="G43" s="165">
        <f>'Mngt-Perth Chem External'!D11</f>
        <v>0</v>
      </c>
      <c r="H43" s="165">
        <f>'Mngt-Chem Milk Testing '!D11</f>
        <v>0</v>
      </c>
      <c r="I43" s="165">
        <f>'Mngt-Melb Milk Testing'!D11</f>
        <v>0</v>
      </c>
      <c r="J43" s="165">
        <f>'Mngt-Bris Milk Testing '!D11</f>
        <v>0</v>
      </c>
      <c r="K43" s="354">
        <f t="shared" si="5"/>
        <v>4075.04</v>
      </c>
      <c r="L43" s="355">
        <f t="shared" si="6"/>
        <v>0</v>
      </c>
      <c r="M43" s="355">
        <f t="shared" si="7"/>
        <v>0</v>
      </c>
    </row>
    <row r="44" spans="1:13" x14ac:dyDescent="0.2">
      <c r="A44" s="401" t="s">
        <v>169</v>
      </c>
      <c r="B44" s="165">
        <f>'Mngt-Chemistry '!D12</f>
        <v>5300.19</v>
      </c>
      <c r="C44" s="165"/>
      <c r="D44" s="165">
        <f>'Mngt-Sydney Chem '!D12</f>
        <v>3849.98</v>
      </c>
      <c r="E44" s="165">
        <f>'Mngt-Melb Chem External'!D12</f>
        <v>1450.21</v>
      </c>
      <c r="F44" s="165">
        <f>'Mngt-Bris Chem External'!D12</f>
        <v>0</v>
      </c>
      <c r="G44" s="165">
        <f>'Mngt-Perth Chem External'!D12</f>
        <v>0</v>
      </c>
      <c r="H44" s="165">
        <f>'Mngt-Chem Milk Testing '!D12</f>
        <v>0</v>
      </c>
      <c r="I44" s="165">
        <f>'Mngt-Melb Milk Testing'!D12</f>
        <v>0</v>
      </c>
      <c r="J44" s="165">
        <f>'Mngt-Bris Milk Testing '!D12</f>
        <v>0</v>
      </c>
      <c r="K44" s="354">
        <f t="shared" si="5"/>
        <v>5300.1900000000005</v>
      </c>
      <c r="L44" s="355">
        <f t="shared" si="6"/>
        <v>0</v>
      </c>
      <c r="M44" s="355">
        <f t="shared" si="7"/>
        <v>0</v>
      </c>
    </row>
    <row r="45" spans="1:13" x14ac:dyDescent="0.2">
      <c r="A45" s="401" t="s">
        <v>50</v>
      </c>
      <c r="B45" s="165">
        <f>'Mngt-Chemistry '!D13</f>
        <v>59.4</v>
      </c>
      <c r="C45" s="165"/>
      <c r="D45" s="165">
        <f>'Mngt-Sydney Chem '!D13</f>
        <v>0</v>
      </c>
      <c r="E45" s="165">
        <f>'Mngt-Melb Chem External'!D13</f>
        <v>0</v>
      </c>
      <c r="F45" s="165">
        <f>'Mngt-Bris Chem External'!D13</f>
        <v>0</v>
      </c>
      <c r="G45" s="165">
        <f>'Mngt-Perth Chem External'!D13</f>
        <v>0</v>
      </c>
      <c r="H45" s="165">
        <f>'Mngt-Chem Milk Testing '!D13</f>
        <v>59.4</v>
      </c>
      <c r="I45" s="165">
        <f>'Mngt-Melb Milk Testing'!D13</f>
        <v>59.4</v>
      </c>
      <c r="J45" s="165">
        <f>'Mngt-Bris Milk Testing '!D13</f>
        <v>0</v>
      </c>
      <c r="K45" s="354">
        <f t="shared" si="5"/>
        <v>59.4</v>
      </c>
      <c r="L45" s="355">
        <f t="shared" si="6"/>
        <v>0</v>
      </c>
      <c r="M45" s="355">
        <f t="shared" si="7"/>
        <v>0</v>
      </c>
    </row>
    <row r="46" spans="1:13" x14ac:dyDescent="0.2">
      <c r="A46" s="401" t="s">
        <v>170</v>
      </c>
      <c r="B46" s="165">
        <f>'Mngt-Chemistry '!D14</f>
        <v>57572.56</v>
      </c>
      <c r="C46" s="165"/>
      <c r="D46" s="165">
        <f>'Mngt-Sydney Chem '!D14</f>
        <v>16282.85</v>
      </c>
      <c r="E46" s="165">
        <f>'Mngt-Melb Chem External'!D14</f>
        <v>28733.22</v>
      </c>
      <c r="F46" s="165">
        <f>'Mngt-Bris Chem External'!D14</f>
        <v>1952</v>
      </c>
      <c r="G46" s="165">
        <f>'Mngt-Perth Chem External'!D14</f>
        <v>10604.49</v>
      </c>
      <c r="H46" s="165">
        <f>'Mngt-Chem Milk Testing '!D14</f>
        <v>0</v>
      </c>
      <c r="I46" s="165">
        <f>'Mngt-Melb Milk Testing'!D14</f>
        <v>0</v>
      </c>
      <c r="J46" s="165">
        <f>'Mngt-Bris Milk Testing '!D14</f>
        <v>0</v>
      </c>
      <c r="K46" s="354">
        <f t="shared" si="5"/>
        <v>57572.56</v>
      </c>
      <c r="L46" s="355">
        <f t="shared" si="6"/>
        <v>0</v>
      </c>
      <c r="M46" s="355">
        <f t="shared" si="7"/>
        <v>0</v>
      </c>
    </row>
    <row r="47" spans="1:13" x14ac:dyDescent="0.2">
      <c r="A47" s="401" t="s">
        <v>171</v>
      </c>
      <c r="B47" s="165">
        <f>'Mngt-Chemistry '!D15</f>
        <v>11529.59</v>
      </c>
      <c r="C47" s="165"/>
      <c r="D47" s="165">
        <f>'Mngt-Sydney Chem '!D15</f>
        <v>5107.21</v>
      </c>
      <c r="E47" s="165">
        <f>'Mngt-Melb Chem External'!D15</f>
        <v>348.38</v>
      </c>
      <c r="F47" s="165">
        <f>'Mngt-Bris Chem External'!D15</f>
        <v>0</v>
      </c>
      <c r="G47" s="165">
        <f>'Mngt-Perth Chem External'!D15</f>
        <v>0</v>
      </c>
      <c r="H47" s="165">
        <f>'Mngt-Chem Milk Testing '!D15</f>
        <v>6074</v>
      </c>
      <c r="I47" s="165">
        <f>'Mngt-Melb Milk Testing'!D15</f>
        <v>0</v>
      </c>
      <c r="J47" s="165">
        <f>'Mngt-Bris Milk Testing '!D15</f>
        <v>6074</v>
      </c>
      <c r="K47" s="354">
        <f t="shared" si="5"/>
        <v>11529.59</v>
      </c>
      <c r="L47" s="355">
        <f t="shared" si="6"/>
        <v>0</v>
      </c>
      <c r="M47" s="355">
        <f t="shared" si="7"/>
        <v>0</v>
      </c>
    </row>
    <row r="48" spans="1:13" x14ac:dyDescent="0.2">
      <c r="A48" s="401" t="s">
        <v>172</v>
      </c>
      <c r="B48" s="165">
        <f>'Mngt-Chemistry '!D16</f>
        <v>215.1</v>
      </c>
      <c r="C48" s="165"/>
      <c r="D48" s="165">
        <f>'Mngt-Sydney Chem '!D16</f>
        <v>215.1</v>
      </c>
      <c r="E48" s="165">
        <f>'Mngt-Melb Chem External'!D16</f>
        <v>0</v>
      </c>
      <c r="F48" s="165">
        <f>'Mngt-Bris Chem External'!D16</f>
        <v>0</v>
      </c>
      <c r="G48" s="165">
        <f>'Mngt-Perth Chem External'!D16</f>
        <v>0</v>
      </c>
      <c r="H48" s="165">
        <f>'Mngt-Chem Milk Testing '!D16</f>
        <v>0</v>
      </c>
      <c r="I48" s="165">
        <f>'Mngt-Melb Milk Testing'!D16</f>
        <v>0</v>
      </c>
      <c r="J48" s="165">
        <f>'Mngt-Bris Milk Testing '!D16</f>
        <v>0</v>
      </c>
      <c r="K48" s="354">
        <f t="shared" si="5"/>
        <v>215.1</v>
      </c>
      <c r="L48" s="355">
        <f t="shared" si="6"/>
        <v>0</v>
      </c>
      <c r="M48" s="355">
        <f t="shared" si="7"/>
        <v>0</v>
      </c>
    </row>
    <row r="49" spans="1:13" x14ac:dyDescent="0.2">
      <c r="A49" s="401" t="s">
        <v>173</v>
      </c>
      <c r="B49" s="165">
        <f>'Mngt-Chemistry '!D17</f>
        <v>21257.14</v>
      </c>
      <c r="C49" s="165"/>
      <c r="D49" s="165">
        <f>'Mngt-Sydney Chem '!D17</f>
        <v>17057.810000000001</v>
      </c>
      <c r="E49" s="165">
        <f>'Mngt-Melb Chem External'!D17</f>
        <v>86.62</v>
      </c>
      <c r="F49" s="165">
        <f>'Mngt-Bris Chem External'!D18</f>
        <v>0</v>
      </c>
      <c r="G49" s="165">
        <f>'Mngt-Perth Chem External'!D18</f>
        <v>0</v>
      </c>
      <c r="H49" s="165">
        <f>'Mngt-Chem Milk Testing '!D17</f>
        <v>4112.71</v>
      </c>
      <c r="I49" s="165">
        <f>'Mngt-Melb Milk Testing'!D17</f>
        <v>0</v>
      </c>
      <c r="J49" s="165">
        <f>'Mngt-Bris Milk Testing '!D17</f>
        <v>4112.71</v>
      </c>
      <c r="K49" s="354">
        <f>SUM(D49:H49)</f>
        <v>21257.14</v>
      </c>
      <c r="L49" s="355">
        <f t="shared" si="6"/>
        <v>0</v>
      </c>
      <c r="M49" s="355">
        <f t="shared" si="7"/>
        <v>0</v>
      </c>
    </row>
    <row r="50" spans="1:13" x14ac:dyDescent="0.2">
      <c r="A50" s="401" t="s">
        <v>257</v>
      </c>
      <c r="B50" s="165">
        <f>'Mngt-Chemistry '!D18</f>
        <v>6584.42</v>
      </c>
      <c r="C50" s="165"/>
      <c r="D50" s="165">
        <f>'Mngt-Sydney Chem '!D18</f>
        <v>5958.97</v>
      </c>
      <c r="E50" s="165">
        <f>'Mngt-Melb Chem External'!D18</f>
        <v>0</v>
      </c>
      <c r="F50" s="220"/>
      <c r="G50" s="220"/>
      <c r="H50" s="165">
        <f>'Mngt-Chem Milk Testing '!D18</f>
        <v>625.45000000000005</v>
      </c>
      <c r="I50" s="165">
        <f>'Mngt-Melb Milk Testing'!D18</f>
        <v>0</v>
      </c>
      <c r="J50" s="165">
        <f>'Mngt-Bris Milk Testing '!D18</f>
        <v>625.45000000000005</v>
      </c>
      <c r="K50" s="354">
        <f t="shared" si="5"/>
        <v>6584.42</v>
      </c>
      <c r="L50" s="355">
        <f t="shared" si="6"/>
        <v>0</v>
      </c>
      <c r="M50" s="355">
        <f t="shared" si="7"/>
        <v>0</v>
      </c>
    </row>
    <row r="51" spans="1:13" outlineLevel="1" x14ac:dyDescent="0.2">
      <c r="A51" s="401" t="s">
        <v>109</v>
      </c>
      <c r="B51" s="165">
        <f>'Mngt-Chemistry '!D19</f>
        <v>0</v>
      </c>
      <c r="C51" s="165"/>
      <c r="D51" s="165">
        <f>'Mngt-Sydney Chem '!D19</f>
        <v>0</v>
      </c>
      <c r="E51" s="165">
        <f>'Mngt-Melb Chem External'!D19</f>
        <v>0</v>
      </c>
      <c r="F51" s="165">
        <f>'Mngt-Bris Chem External'!D19</f>
        <v>0</v>
      </c>
      <c r="G51" s="165">
        <f>'Mngt-Perth Chem External'!D19</f>
        <v>0</v>
      </c>
      <c r="H51" s="165">
        <f>'Mngt-Chem Milk Testing '!D19</f>
        <v>0</v>
      </c>
      <c r="I51" s="165">
        <f>'Mngt-Melb Milk Testing'!D19</f>
        <v>0</v>
      </c>
      <c r="J51" s="165">
        <f>'Mngt-Bris Milk Testing '!D19</f>
        <v>0</v>
      </c>
      <c r="K51" s="354">
        <f t="shared" si="5"/>
        <v>0</v>
      </c>
      <c r="L51" s="355">
        <f t="shared" si="6"/>
        <v>0</v>
      </c>
      <c r="M51" s="355">
        <f t="shared" si="7"/>
        <v>0</v>
      </c>
    </row>
    <row r="52" spans="1:13" outlineLevel="1" x14ac:dyDescent="0.2">
      <c r="A52" s="401" t="s">
        <v>97</v>
      </c>
      <c r="B52" s="165">
        <f>'Mngt-Chemistry '!D20</f>
        <v>271</v>
      </c>
      <c r="C52" s="165"/>
      <c r="D52" s="165">
        <f>'Mngt-Sydney Chem '!D20</f>
        <v>271</v>
      </c>
      <c r="E52" s="165">
        <f>'Mngt-Melb Chem External'!D20</f>
        <v>0</v>
      </c>
      <c r="F52" s="165">
        <f>'Mngt-Bris Chem External'!D20</f>
        <v>0</v>
      </c>
      <c r="G52" s="165">
        <f>'Mngt-Perth Chem External'!D20</f>
        <v>0</v>
      </c>
      <c r="H52" s="165">
        <f>'Mngt-Chem Milk Testing '!D20</f>
        <v>0</v>
      </c>
      <c r="I52" s="165">
        <f>'Mngt-Melb Milk Testing'!D20</f>
        <v>0</v>
      </c>
      <c r="J52" s="165">
        <f>'Mngt-Bris Milk Testing '!D20</f>
        <v>0</v>
      </c>
      <c r="K52" s="354">
        <f t="shared" si="5"/>
        <v>271</v>
      </c>
      <c r="L52" s="355">
        <f t="shared" si="6"/>
        <v>0</v>
      </c>
      <c r="M52" s="355">
        <f t="shared" si="7"/>
        <v>0</v>
      </c>
    </row>
    <row r="53" spans="1:13" outlineLevel="1" x14ac:dyDescent="0.2">
      <c r="A53" s="401" t="s">
        <v>69</v>
      </c>
      <c r="B53" s="165">
        <f>'Mngt-Chemistry '!D21</f>
        <v>4696.83</v>
      </c>
      <c r="C53" s="165"/>
      <c r="D53" s="165">
        <f>'Mngt-Sydney Chem '!D21</f>
        <v>4696.83</v>
      </c>
      <c r="E53" s="165">
        <f>'Mngt-Melb Chem External'!D21</f>
        <v>0</v>
      </c>
      <c r="F53" s="165">
        <f>'Mngt-Bris Chem External'!D21</f>
        <v>0</v>
      </c>
      <c r="G53" s="165">
        <f>'Mngt-Perth Chem External'!D21</f>
        <v>0</v>
      </c>
      <c r="H53" s="165">
        <f>'Mngt-Chem Milk Testing '!D21</f>
        <v>0</v>
      </c>
      <c r="I53" s="165">
        <f>'Mngt-Melb Milk Testing'!D21</f>
        <v>0</v>
      </c>
      <c r="J53" s="165">
        <f>'Mngt-Bris Milk Testing '!D21</f>
        <v>0</v>
      </c>
      <c r="K53" s="354">
        <f t="shared" si="5"/>
        <v>4696.83</v>
      </c>
      <c r="L53" s="355">
        <f t="shared" si="6"/>
        <v>0</v>
      </c>
      <c r="M53" s="355">
        <f t="shared" si="7"/>
        <v>0</v>
      </c>
    </row>
    <row r="54" spans="1:13" x14ac:dyDescent="0.2">
      <c r="A54" s="401" t="s">
        <v>70</v>
      </c>
      <c r="B54" s="165">
        <f>'Mngt-Chemistry '!D22</f>
        <v>4967.83</v>
      </c>
      <c r="C54" s="165"/>
      <c r="D54" s="165">
        <f>'Mngt-Sydney Chem '!D22</f>
        <v>4967.83</v>
      </c>
      <c r="E54" s="165">
        <f>'Mngt-Melb Chem External'!D22</f>
        <v>0</v>
      </c>
      <c r="F54" s="165">
        <f>'Mngt-Bris Chem External'!D22</f>
        <v>0</v>
      </c>
      <c r="G54" s="165">
        <f>'Mngt-Perth Chem External'!D22</f>
        <v>0</v>
      </c>
      <c r="H54" s="165">
        <f>'Mngt-Chem Milk Testing '!D22</f>
        <v>0</v>
      </c>
      <c r="I54" s="165">
        <f>'Mngt-Melb Milk Testing'!D22</f>
        <v>0</v>
      </c>
      <c r="J54" s="165">
        <f>'Mngt-Bris Milk Testing '!D22</f>
        <v>0</v>
      </c>
      <c r="K54" s="354">
        <f t="shared" si="5"/>
        <v>4967.83</v>
      </c>
      <c r="L54" s="355">
        <f t="shared" si="6"/>
        <v>0</v>
      </c>
      <c r="M54" s="355">
        <f t="shared" si="7"/>
        <v>0</v>
      </c>
    </row>
    <row r="55" spans="1:13" x14ac:dyDescent="0.2">
      <c r="A55" s="401" t="s">
        <v>177</v>
      </c>
      <c r="B55" s="165">
        <f>'Mngt-Chemistry '!D33</f>
        <v>9714.89</v>
      </c>
      <c r="C55" s="165"/>
      <c r="D55" s="165">
        <f>'Mngt-Sydney Chem '!D33</f>
        <v>9002.65</v>
      </c>
      <c r="E55" s="165">
        <f>'Mngt-Melb Chem External'!D32</f>
        <v>83.74</v>
      </c>
      <c r="F55" s="165">
        <f>'Mngt-Bris Chem External'!D32</f>
        <v>0</v>
      </c>
      <c r="G55" s="165">
        <f>'Mngt-Perth Chem External'!D32</f>
        <v>0</v>
      </c>
      <c r="H55" s="165">
        <f>'Mngt-Chem Milk Testing '!D33</f>
        <v>628.5</v>
      </c>
      <c r="I55" s="165">
        <f>'Mngt-Melb Milk Testing'!D33</f>
        <v>0</v>
      </c>
      <c r="J55" s="165">
        <f>'Mngt-Bris Milk Testing '!D32</f>
        <v>628.5</v>
      </c>
      <c r="K55" s="354">
        <f t="shared" si="5"/>
        <v>9714.89</v>
      </c>
      <c r="L55" s="355">
        <f t="shared" si="6"/>
        <v>0</v>
      </c>
      <c r="M55" s="355">
        <f t="shared" si="7"/>
        <v>0</v>
      </c>
    </row>
    <row r="56" spans="1:13" x14ac:dyDescent="0.2">
      <c r="A56" s="401" t="s">
        <v>192</v>
      </c>
      <c r="B56" s="165">
        <f>'Mngt-Chemistry '!D48</f>
        <v>0</v>
      </c>
      <c r="C56" s="165"/>
      <c r="D56" s="165">
        <f>'Mngt-Sydney Chem '!D48</f>
        <v>0</v>
      </c>
      <c r="E56" s="165">
        <f>'Mngt-Melb Chem External'!D47</f>
        <v>0</v>
      </c>
      <c r="F56" s="165">
        <f>'Mngt-Bris Chem External'!D47</f>
        <v>0</v>
      </c>
      <c r="G56" s="165">
        <f>'Mngt-Perth Chem External'!D47</f>
        <v>0</v>
      </c>
      <c r="H56" s="165">
        <f>'Mngt-Chem Milk Testing '!D48</f>
        <v>0</v>
      </c>
      <c r="I56" s="165">
        <f>'Mngt-Melb Milk Testing'!D48</f>
        <v>0</v>
      </c>
      <c r="J56" s="165">
        <f>'Mngt-Bris Milk Testing '!D46</f>
        <v>0</v>
      </c>
      <c r="K56" s="354">
        <f t="shared" si="5"/>
        <v>0</v>
      </c>
      <c r="L56" s="355">
        <f t="shared" si="6"/>
        <v>0</v>
      </c>
      <c r="M56" s="355">
        <f t="shared" si="7"/>
        <v>0</v>
      </c>
    </row>
    <row r="57" spans="1:13" x14ac:dyDescent="0.2">
      <c r="A57" s="401" t="s">
        <v>89</v>
      </c>
      <c r="B57" s="165">
        <f>'Mngt-Chemistry '!D62</f>
        <v>2198.79</v>
      </c>
      <c r="C57" s="165"/>
      <c r="D57" s="165">
        <f>'Mngt-Sydney Chem '!D62</f>
        <v>-431.31</v>
      </c>
      <c r="E57" s="165">
        <f>'Mngt-Melb Chem External'!D59</f>
        <v>0</v>
      </c>
      <c r="F57" s="165">
        <f>'Mngt-Bris Chem External'!D61</f>
        <v>2630.1</v>
      </c>
      <c r="G57" s="165">
        <f>'Mngt-Perth Chem External'!D61</f>
        <v>0</v>
      </c>
      <c r="H57" s="165">
        <f>'Mngt-Chem Milk Testing '!D60</f>
        <v>0</v>
      </c>
      <c r="I57" s="165">
        <f>'Mngt-Melb Milk Testing'!D60</f>
        <v>0</v>
      </c>
      <c r="J57" s="165">
        <f>'Mngt-Bris Milk Testing '!D59</f>
        <v>0</v>
      </c>
      <c r="K57" s="354">
        <f t="shared" si="5"/>
        <v>2198.79</v>
      </c>
      <c r="L57" s="355">
        <f t="shared" si="6"/>
        <v>0</v>
      </c>
      <c r="M57" s="355">
        <f t="shared" si="7"/>
        <v>0</v>
      </c>
    </row>
    <row r="58" spans="1:13" x14ac:dyDescent="0.2">
      <c r="A58" s="401" t="s">
        <v>201</v>
      </c>
      <c r="B58" s="165">
        <f>'Mngt-Chemistry '!D63</f>
        <v>231167.48</v>
      </c>
      <c r="C58" s="165"/>
      <c r="D58" s="165">
        <f>'Mngt-Sydney Chem '!D63</f>
        <v>154802.07</v>
      </c>
      <c r="E58" s="165">
        <f>'Mngt-Melb Chem External'!D60</f>
        <v>33134.839999999997</v>
      </c>
      <c r="F58" s="165">
        <f>'Mngt-Bris Chem External'!D62</f>
        <v>6183.37</v>
      </c>
      <c r="G58" s="165">
        <f>'Mngt-Perth Chem External'!D62</f>
        <v>10890.98</v>
      </c>
      <c r="H58" s="165">
        <f>'Mngt-Chem Milk Testing '!D61</f>
        <v>26156.22</v>
      </c>
      <c r="I58" s="165">
        <f>'Mngt-Melb Milk Testing'!D61</f>
        <v>59.4</v>
      </c>
      <c r="J58" s="165">
        <f>'Mngt-Bris Milk Testing '!D60</f>
        <v>26096.82</v>
      </c>
      <c r="K58" s="354">
        <f t="shared" si="5"/>
        <v>231167.48</v>
      </c>
      <c r="L58" s="355">
        <f t="shared" si="6"/>
        <v>0</v>
      </c>
      <c r="M58" s="355">
        <f t="shared" si="7"/>
        <v>0</v>
      </c>
    </row>
    <row r="59" spans="1:13" ht="13.5" thickBot="1" x14ac:dyDescent="0.25">
      <c r="A59" s="516" t="s">
        <v>8</v>
      </c>
      <c r="B59" s="349">
        <f>'Mngt-Chemistry '!D64</f>
        <v>-5140.9799999999996</v>
      </c>
      <c r="C59" s="349"/>
      <c r="D59" s="349">
        <f>'Mngt-Sydney Chem '!D64</f>
        <v>-82257.039999999994</v>
      </c>
      <c r="E59" s="349">
        <f>'Mngt-Melb Chem External'!D61</f>
        <v>42628.7</v>
      </c>
      <c r="F59" s="349">
        <f>'Mngt-Bris Chem External'!D63</f>
        <v>6016.73</v>
      </c>
      <c r="G59" s="349">
        <f>'Mngt-Perth Chem External'!D63</f>
        <v>28315.27</v>
      </c>
      <c r="H59" s="349">
        <f>'Mngt-Chem Milk Testing '!D62</f>
        <v>155.36000000000001</v>
      </c>
      <c r="I59" s="349">
        <f>'Mngt-Melb Milk Testing'!D62</f>
        <v>519.92999999999995</v>
      </c>
      <c r="J59" s="349">
        <f>'Mngt-Bris Milk Testing '!D61</f>
        <v>-364.57</v>
      </c>
      <c r="K59" s="356">
        <f t="shared" si="5"/>
        <v>-5140.9800000000005</v>
      </c>
      <c r="L59" s="357">
        <f t="shared" si="6"/>
        <v>0</v>
      </c>
      <c r="M59" s="357">
        <f t="shared" si="7"/>
        <v>0</v>
      </c>
    </row>
    <row r="60" spans="1:13" x14ac:dyDescent="0.2">
      <c r="A60" s="518" t="s">
        <v>274</v>
      </c>
      <c r="B60" s="519">
        <f t="shared" ref="B60:J60" si="8">SUM(B41,B42,B43,B44,B45,B46,B47,B48,B49,B50,B54,B55,B56,B57)-B58</f>
        <v>0</v>
      </c>
      <c r="C60" s="519">
        <f t="shared" si="8"/>
        <v>0</v>
      </c>
      <c r="D60" s="519">
        <f t="shared" si="8"/>
        <v>0</v>
      </c>
      <c r="E60" s="519">
        <f t="shared" si="8"/>
        <v>0</v>
      </c>
      <c r="F60" s="519">
        <f t="shared" si="8"/>
        <v>0</v>
      </c>
      <c r="G60" s="519">
        <f t="shared" si="8"/>
        <v>0</v>
      </c>
      <c r="H60" s="519">
        <f t="shared" si="8"/>
        <v>0</v>
      </c>
      <c r="I60" s="519">
        <f t="shared" si="8"/>
        <v>0</v>
      </c>
      <c r="J60" s="519">
        <f t="shared" si="8"/>
        <v>0</v>
      </c>
      <c r="K60" s="520">
        <f>SUM(K41:K57)-K58-SUM(K51:K53)</f>
        <v>-4.1836756281554699E-11</v>
      </c>
      <c r="L60" s="521">
        <f>SUM(L41:L57)-L58</f>
        <v>0</v>
      </c>
      <c r="M60" s="521">
        <f>SUM(M41:M57)-M58</f>
        <v>0</v>
      </c>
    </row>
    <row r="61" spans="1:13" ht="13.5" thickBot="1" x14ac:dyDescent="0.25">
      <c r="A61" s="516" t="s">
        <v>275</v>
      </c>
      <c r="B61" s="349">
        <f>B40-B58-B59</f>
        <v>-1.0913936421275139E-11</v>
      </c>
      <c r="C61" s="349"/>
      <c r="D61" s="349">
        <f t="shared" ref="D61:M61" si="9">D40-D58-D59</f>
        <v>0</v>
      </c>
      <c r="E61" s="349">
        <f t="shared" si="9"/>
        <v>0</v>
      </c>
      <c r="F61" s="349">
        <f t="shared" si="9"/>
        <v>0</v>
      </c>
      <c r="G61" s="349">
        <f t="shared" si="9"/>
        <v>0</v>
      </c>
      <c r="H61" s="349">
        <f t="shared" si="9"/>
        <v>5.6843418860808015E-13</v>
      </c>
      <c r="I61" s="349">
        <f t="shared" si="9"/>
        <v>0</v>
      </c>
      <c r="J61" s="349">
        <f t="shared" si="9"/>
        <v>0</v>
      </c>
      <c r="K61" s="356">
        <f t="shared" si="9"/>
        <v>-1.0004441719502211E-11</v>
      </c>
      <c r="L61" s="357">
        <f t="shared" si="9"/>
        <v>0</v>
      </c>
      <c r="M61" s="357">
        <f t="shared" si="9"/>
        <v>0</v>
      </c>
    </row>
    <row r="65" spans="1:15" ht="13.5" thickBot="1" x14ac:dyDescent="0.25"/>
    <row r="66" spans="1:15" x14ac:dyDescent="0.2">
      <c r="A66" s="518" t="s">
        <v>265</v>
      </c>
      <c r="B66" s="513" t="s">
        <v>286</v>
      </c>
      <c r="C66" s="514" t="s">
        <v>287</v>
      </c>
      <c r="D66" s="514" t="s">
        <v>288</v>
      </c>
      <c r="E66" s="514" t="s">
        <v>289</v>
      </c>
      <c r="F66" s="514" t="s">
        <v>290</v>
      </c>
      <c r="G66" s="514" t="s">
        <v>291</v>
      </c>
      <c r="H66" s="512" t="s">
        <v>272</v>
      </c>
      <c r="I66" s="515" t="s">
        <v>292</v>
      </c>
    </row>
    <row r="67" spans="1:15" x14ac:dyDescent="0.2">
      <c r="A67" s="401"/>
      <c r="B67" s="523"/>
      <c r="C67" s="523"/>
      <c r="D67" s="523"/>
      <c r="E67" s="523"/>
      <c r="F67" s="523"/>
      <c r="G67" s="523"/>
      <c r="H67" s="401"/>
      <c r="I67" s="524"/>
    </row>
    <row r="68" spans="1:15" ht="13.5" thickBot="1" x14ac:dyDescent="0.25">
      <c r="A68" s="516" t="s">
        <v>286</v>
      </c>
      <c r="B68" s="162">
        <f>'Mngt-Revenue '!D21</f>
        <v>-1390493.78</v>
      </c>
      <c r="C68" s="162">
        <f>'Mngt-Microbiology '!D2</f>
        <v>989506.28</v>
      </c>
      <c r="D68" s="162">
        <f>'Mngt-Chemistry '!D2</f>
        <v>226026.5</v>
      </c>
      <c r="E68" s="162">
        <f>'Mngt-Senior Audit '!D2</f>
        <v>157609.29999999999</v>
      </c>
      <c r="F68" s="162">
        <f>'Mngt-Consulting '!D2</f>
        <v>0</v>
      </c>
      <c r="G68" s="162">
        <f>'Mngt-Digital Solution'!D2</f>
        <v>17351.7</v>
      </c>
      <c r="H68" s="516">
        <f>SUM(C68:G68)</f>
        <v>1390493.78</v>
      </c>
      <c r="I68" s="517">
        <f>H68+B68</f>
        <v>0</v>
      </c>
    </row>
    <row r="70" spans="1:15" ht="13.5" thickBot="1" x14ac:dyDescent="0.25"/>
    <row r="71" spans="1:15" x14ac:dyDescent="0.2">
      <c r="A71" s="518" t="s">
        <v>265</v>
      </c>
      <c r="B71" s="513" t="s">
        <v>293</v>
      </c>
      <c r="C71" s="514" t="s">
        <v>287</v>
      </c>
      <c r="D71" s="514" t="s">
        <v>288</v>
      </c>
      <c r="E71" s="514" t="s">
        <v>289</v>
      </c>
      <c r="F71" s="514" t="s">
        <v>290</v>
      </c>
      <c r="G71" s="514" t="s">
        <v>294</v>
      </c>
      <c r="H71" s="514" t="s">
        <v>295</v>
      </c>
      <c r="I71" s="514" t="s">
        <v>296</v>
      </c>
      <c r="J71" s="514" t="s">
        <v>297</v>
      </c>
      <c r="K71" s="514" t="s">
        <v>298</v>
      </c>
      <c r="L71" s="514" t="s">
        <v>299</v>
      </c>
      <c r="M71" s="514" t="s">
        <v>300</v>
      </c>
      <c r="N71" s="512" t="s">
        <v>272</v>
      </c>
      <c r="O71" s="515" t="s">
        <v>273</v>
      </c>
    </row>
    <row r="72" spans="1:15" x14ac:dyDescent="0.2">
      <c r="A72" s="401"/>
      <c r="B72" s="523"/>
      <c r="C72" s="523"/>
      <c r="D72" s="530"/>
      <c r="E72" s="530"/>
      <c r="F72" s="530"/>
      <c r="G72" s="530"/>
      <c r="H72" s="530"/>
      <c r="I72" s="530"/>
      <c r="J72" s="530"/>
      <c r="K72" s="530"/>
      <c r="L72" s="530"/>
      <c r="M72" s="530"/>
      <c r="N72" s="401"/>
      <c r="O72" s="524"/>
    </row>
    <row r="73" spans="1:15" ht="13.5" thickBot="1" x14ac:dyDescent="0.25">
      <c r="A73" s="516" t="s">
        <v>293</v>
      </c>
      <c r="B73" s="162">
        <f>'Mngt-Payroll'!D29</f>
        <v>920034.08</v>
      </c>
      <c r="C73" s="162">
        <f>'Mngt-Microbiology '!D9</f>
        <v>35993.96</v>
      </c>
      <c r="D73" s="402">
        <f>'Mngt-Chemistry '!D9</f>
        <v>91474.75</v>
      </c>
      <c r="E73" s="402">
        <f>'Mngt-Senior Audit '!D9</f>
        <v>38500.629999999997</v>
      </c>
      <c r="F73" s="402">
        <f>'Mngt-Consulting '!D9</f>
        <v>390.72</v>
      </c>
      <c r="G73" s="402">
        <f>'Mngt-Research &amp; Development'!D9</f>
        <v>8196.25</v>
      </c>
      <c r="H73" s="402">
        <f>'Mngt-S&amp;M '!D9</f>
        <v>55426.54</v>
      </c>
      <c r="I73" s="402">
        <f>'Mngt-G&amp;A Total'!D9</f>
        <v>98047.57</v>
      </c>
      <c r="J73" s="402">
        <f>'Mngt-Quality '!D8</f>
        <v>20848.490000000002</v>
      </c>
      <c r="K73" s="402">
        <f>'Mngt-IT'!D9</f>
        <v>20589.240000000002</v>
      </c>
      <c r="L73" s="402">
        <f>'Mngt-Lab Admin Total'!D9</f>
        <v>83506.22</v>
      </c>
      <c r="M73" s="402">
        <f>'Mngt-Customer Care Total '!D8</f>
        <v>49889.49</v>
      </c>
      <c r="N73" s="516">
        <f>SUM(C73:I73,J73:M73)</f>
        <v>502863.86</v>
      </c>
      <c r="O73" s="517">
        <f>N73-B73</f>
        <v>-417170.22</v>
      </c>
    </row>
    <row r="74" spans="1:15" x14ac:dyDescent="0.2">
      <c r="A74" s="169" t="s">
        <v>273</v>
      </c>
      <c r="C74" s="169">
        <f>SUM('Mngt-Payroll'!D8:D11,'Mngt-Payroll'!D7)-C73</f>
        <v>417170.22000000003</v>
      </c>
      <c r="D74" s="168">
        <f>SUM('Mngt-Payroll'!D2:D6)-D73</f>
        <v>0</v>
      </c>
      <c r="E74" s="168">
        <f>'Mngt-Payroll'!D26-E73</f>
        <v>0</v>
      </c>
      <c r="F74" s="168">
        <f>'Mngt-Payroll'!D27-F73</f>
        <v>0</v>
      </c>
      <c r="G74" s="168">
        <f>'Mngt-Payroll'!D28-G73</f>
        <v>0</v>
      </c>
      <c r="H74" s="168">
        <f>'Mngt-Payroll'!D24-'Consistency Check - Prior'!H73</f>
        <v>0</v>
      </c>
      <c r="I74" s="168">
        <f>SUM('Mngt-Payroll'!D23-'Consistency Check - Prior'!I73)</f>
        <v>0</v>
      </c>
      <c r="J74" s="168">
        <f>'Mngt-Payroll'!D22-'Consistency Check - Prior'!J73</f>
        <v>0</v>
      </c>
      <c r="K74" s="168">
        <f>'Mngt-Payroll'!D25-'Consistency Check - Prior'!K73</f>
        <v>0</v>
      </c>
      <c r="L74" s="168">
        <f>SUM('Mngt-Payroll'!D12:D16)-L73</f>
        <v>0</v>
      </c>
      <c r="M74" s="168">
        <f>SUM('Mngt-Payroll'!D17:D21)-'Consistency Check - Prior'!M73</f>
        <v>0</v>
      </c>
    </row>
    <row r="75" spans="1:15" x14ac:dyDescent="0.2">
      <c r="D75" s="168"/>
      <c r="E75" s="168"/>
      <c r="F75" s="168"/>
      <c r="G75" s="168"/>
      <c r="H75" s="168"/>
      <c r="I75" s="168"/>
      <c r="J75" s="168"/>
      <c r="K75" s="168"/>
      <c r="L75" s="168"/>
      <c r="M75" s="168"/>
    </row>
    <row r="76" spans="1:15" x14ac:dyDescent="0.2">
      <c r="D76" s="168"/>
      <c r="E76" s="168"/>
      <c r="F76" s="168"/>
      <c r="G76" s="168"/>
      <c r="H76" s="168"/>
      <c r="I76" s="168"/>
      <c r="J76" s="168"/>
      <c r="K76" s="168"/>
      <c r="L76" s="168"/>
      <c r="M76" s="168"/>
    </row>
    <row r="77" spans="1:15" ht="13.5" thickBot="1" x14ac:dyDescent="0.25">
      <c r="A77" s="525" t="s">
        <v>300</v>
      </c>
      <c r="D77" s="168"/>
      <c r="E77" s="168"/>
      <c r="F77" s="168"/>
      <c r="G77" s="168"/>
      <c r="H77" s="168"/>
      <c r="I77" s="168"/>
      <c r="J77" s="168"/>
      <c r="K77" s="168"/>
      <c r="L77" s="168"/>
      <c r="M77" s="168"/>
    </row>
    <row r="78" spans="1:15" x14ac:dyDescent="0.2">
      <c r="A78" s="518" t="s">
        <v>265</v>
      </c>
      <c r="B78" s="526"/>
      <c r="C78" s="514" t="s">
        <v>272</v>
      </c>
      <c r="D78" s="527" t="s">
        <v>301</v>
      </c>
      <c r="E78" s="527" t="s">
        <v>269</v>
      </c>
      <c r="F78" s="527" t="s">
        <v>268</v>
      </c>
      <c r="G78" s="527" t="s">
        <v>271</v>
      </c>
      <c r="H78" s="527" t="s">
        <v>270</v>
      </c>
      <c r="I78" s="531" t="s">
        <v>272</v>
      </c>
      <c r="J78" s="532" t="s">
        <v>292</v>
      </c>
      <c r="K78" s="168"/>
      <c r="L78" s="168"/>
      <c r="M78" s="168"/>
    </row>
    <row r="79" spans="1:15" ht="13.5" thickBot="1" x14ac:dyDescent="0.25">
      <c r="A79" s="516"/>
      <c r="B79" s="162"/>
      <c r="C79" s="162"/>
      <c r="D79" s="402"/>
      <c r="E79" s="402"/>
      <c r="F79" s="402"/>
      <c r="G79" s="402"/>
      <c r="H79" s="402"/>
      <c r="I79" s="533"/>
      <c r="J79" s="534"/>
      <c r="K79" s="168"/>
      <c r="L79" s="168"/>
      <c r="M79" s="168"/>
    </row>
    <row r="80" spans="1:15" hidden="1" outlineLevel="1" x14ac:dyDescent="0.2">
      <c r="A80" s="528" t="s">
        <v>160</v>
      </c>
      <c r="B80" s="523"/>
      <c r="C80" s="523">
        <f>'Mngt-Customer Care Total '!S2</f>
        <v>117252.52</v>
      </c>
      <c r="D80" s="530">
        <f>'Mngt-Central Customer Care '!S2</f>
        <v>0</v>
      </c>
      <c r="E80" s="530">
        <f>'Mngt-Melb Customer Care '!S2</f>
        <v>36032.28</v>
      </c>
      <c r="F80" s="530">
        <f>'Mngt-Sydney Customer Care '!S2</f>
        <v>36292.21</v>
      </c>
      <c r="G80" s="530">
        <f>'Mngt-Perth Customer Care '!S2</f>
        <v>20221.04</v>
      </c>
      <c r="H80" s="530">
        <f>'Mngt-Bris Customer Care '!S2</f>
        <v>24706.99</v>
      </c>
      <c r="I80" s="528">
        <f t="shared" ref="I80:I85" si="10">SUM(D80:H80)</f>
        <v>117252.52</v>
      </c>
      <c r="J80" s="535">
        <f t="shared" ref="J80:J85" si="11">I80-C80</f>
        <v>0</v>
      </c>
      <c r="K80" s="168"/>
      <c r="L80" s="168"/>
      <c r="M80" s="168"/>
    </row>
    <row r="81" spans="1:13" hidden="1" outlineLevel="1" x14ac:dyDescent="0.2">
      <c r="A81" s="528" t="s">
        <v>161</v>
      </c>
      <c r="B81" s="523"/>
      <c r="C81" s="523">
        <f>'Mngt-Customer Care Total '!S3</f>
        <v>7450.07</v>
      </c>
      <c r="D81" s="530">
        <f>'Mngt-Central Customer Care '!S3</f>
        <v>0</v>
      </c>
      <c r="E81" s="530">
        <f>'Mngt-Melb Customer Care '!S3</f>
        <v>2093.75</v>
      </c>
      <c r="F81" s="530">
        <f>'Mngt-Sydney Customer Care '!S3</f>
        <v>2469.7199999999998</v>
      </c>
      <c r="G81" s="530">
        <f>'Mngt-Perth Customer Care '!S3</f>
        <v>1409.26</v>
      </c>
      <c r="H81" s="530">
        <f>'Mngt-Bris Customer Care '!S3</f>
        <v>1477.34</v>
      </c>
      <c r="I81" s="528">
        <f t="shared" si="10"/>
        <v>7450.07</v>
      </c>
      <c r="J81" s="535">
        <f t="shared" si="11"/>
        <v>0</v>
      </c>
      <c r="K81" s="168"/>
      <c r="L81" s="168"/>
      <c r="M81" s="168"/>
    </row>
    <row r="82" spans="1:13" hidden="1" outlineLevel="1" x14ac:dyDescent="0.2">
      <c r="A82" s="528" t="s">
        <v>162</v>
      </c>
      <c r="B82" s="523"/>
      <c r="C82" s="523">
        <f>'Mngt-Customer Care Total '!S4</f>
        <v>15827.66</v>
      </c>
      <c r="D82" s="530">
        <f>'Mngt-Central Customer Care '!S4</f>
        <v>0</v>
      </c>
      <c r="E82" s="530">
        <f>'Mngt-Melb Customer Care '!S4</f>
        <v>3569.06</v>
      </c>
      <c r="F82" s="530">
        <f>'Mngt-Sydney Customer Care '!S4</f>
        <v>4131.6400000000003</v>
      </c>
      <c r="G82" s="530">
        <f>'Mngt-Perth Customer Care '!S4</f>
        <v>3850.64</v>
      </c>
      <c r="H82" s="530">
        <f>'Mngt-Bris Customer Care '!S4</f>
        <v>4276.32</v>
      </c>
      <c r="I82" s="528">
        <f t="shared" si="10"/>
        <v>15827.66</v>
      </c>
      <c r="J82" s="535">
        <f t="shared" si="11"/>
        <v>0</v>
      </c>
      <c r="K82" s="168"/>
      <c r="L82" s="168"/>
      <c r="M82" s="168"/>
    </row>
    <row r="83" spans="1:13" hidden="1" outlineLevel="1" x14ac:dyDescent="0.2">
      <c r="A83" s="528" t="s">
        <v>163</v>
      </c>
      <c r="B83" s="523"/>
      <c r="C83" s="523">
        <f>'Mngt-Customer Care Total '!S5</f>
        <v>0</v>
      </c>
      <c r="D83" s="530">
        <f>'Mngt-Central Customer Care '!S5</f>
        <v>0</v>
      </c>
      <c r="E83" s="530">
        <f>'Mngt-Melb Customer Care '!S5</f>
        <v>0</v>
      </c>
      <c r="F83" s="530">
        <f>'Mngt-Sydney Customer Care '!S5</f>
        <v>0</v>
      </c>
      <c r="G83" s="530">
        <f>'Mngt-Perth Customer Care '!S5</f>
        <v>0</v>
      </c>
      <c r="H83" s="530">
        <f>'Mngt-Bris Customer Care '!S5</f>
        <v>0</v>
      </c>
      <c r="I83" s="528">
        <f t="shared" si="10"/>
        <v>0</v>
      </c>
      <c r="J83" s="535">
        <f t="shared" si="11"/>
        <v>0</v>
      </c>
      <c r="K83" s="168"/>
      <c r="L83" s="168"/>
      <c r="M83" s="168"/>
    </row>
    <row r="84" spans="1:13" hidden="1" outlineLevel="1" x14ac:dyDescent="0.2">
      <c r="A84" s="528" t="s">
        <v>164</v>
      </c>
      <c r="B84" s="523"/>
      <c r="C84" s="523">
        <f>'Mngt-Customer Care Total '!S6</f>
        <v>1835.86</v>
      </c>
      <c r="D84" s="530">
        <f>'Mngt-Central Customer Care '!S6</f>
        <v>0</v>
      </c>
      <c r="E84" s="530">
        <f>'Mngt-Melb Customer Care '!S6</f>
        <v>1130.6400000000001</v>
      </c>
      <c r="F84" s="530">
        <f>'Mngt-Sydney Customer Care '!S6</f>
        <v>701.8</v>
      </c>
      <c r="G84" s="530">
        <f>'Mngt-Perth Customer Care '!S6</f>
        <v>152.65</v>
      </c>
      <c r="H84" s="530">
        <f>'Mngt-Bris Customer Care '!S6</f>
        <v>-149.22999999999999</v>
      </c>
      <c r="I84" s="528">
        <f t="shared" si="10"/>
        <v>1835.8600000000001</v>
      </c>
      <c r="J84" s="535">
        <f t="shared" si="11"/>
        <v>0</v>
      </c>
      <c r="K84" s="168"/>
      <c r="L84" s="168"/>
      <c r="M84" s="168"/>
    </row>
    <row r="85" spans="1:13" hidden="1" outlineLevel="1" x14ac:dyDescent="0.2">
      <c r="A85" s="528" t="s">
        <v>165</v>
      </c>
      <c r="B85" s="523"/>
      <c r="C85" s="523">
        <f>'Mngt-Customer Care Total '!S7</f>
        <v>13381.93</v>
      </c>
      <c r="D85" s="530">
        <f>'Mngt-Central Customer Care '!S7</f>
        <v>0</v>
      </c>
      <c r="E85" s="530">
        <f>'Mngt-Melb Customer Care '!S7</f>
        <v>3928.81</v>
      </c>
      <c r="F85" s="530">
        <f>'Mngt-Sydney Customer Care '!S7</f>
        <v>4401.05</v>
      </c>
      <c r="G85" s="530">
        <f>'Mngt-Perth Customer Care '!S7</f>
        <v>2329.8000000000002</v>
      </c>
      <c r="H85" s="530">
        <f>'Mngt-Bris Customer Care '!S7</f>
        <v>2722.27</v>
      </c>
      <c r="I85" s="528">
        <f t="shared" si="10"/>
        <v>13381.93</v>
      </c>
      <c r="J85" s="535">
        <f t="shared" si="11"/>
        <v>0</v>
      </c>
      <c r="K85" s="168"/>
      <c r="L85" s="168"/>
      <c r="M85" s="168"/>
    </row>
    <row r="86" spans="1:13" collapsed="1" x14ac:dyDescent="0.2">
      <c r="A86" s="401" t="s">
        <v>166</v>
      </c>
      <c r="B86" s="523"/>
      <c r="C86" s="523">
        <f>'Mngt-Customer Care Total '!D8</f>
        <v>49889.49</v>
      </c>
      <c r="D86" s="530">
        <f>'Mngt-Central Customer Care '!D8</f>
        <v>1368.95</v>
      </c>
      <c r="E86" s="530">
        <f>'Mngt-Melb Customer Care '!D8</f>
        <v>21207.68</v>
      </c>
      <c r="F86" s="530">
        <f>'Mngt-Sydney Customer Care '!D8</f>
        <v>12401.13</v>
      </c>
      <c r="G86" s="530">
        <f>'Mngt-Perth Customer Care '!D8</f>
        <v>6530.06</v>
      </c>
      <c r="H86" s="530">
        <f>'Mngt-Bris Customer Care '!D8</f>
        <v>8381.67</v>
      </c>
      <c r="I86" s="528">
        <f>SUM(D86:H86)</f>
        <v>49889.49</v>
      </c>
      <c r="J86" s="535">
        <f>I86-C86</f>
        <v>0</v>
      </c>
      <c r="K86" s="168"/>
      <c r="L86" s="168"/>
      <c r="M86" s="168"/>
    </row>
    <row r="87" spans="1:13" x14ac:dyDescent="0.2">
      <c r="A87" s="401" t="s">
        <v>167</v>
      </c>
      <c r="B87" s="523"/>
      <c r="C87" s="523">
        <f>'Mngt-Customer Care Total '!D9</f>
        <v>0</v>
      </c>
      <c r="D87" s="530">
        <f>'Mngt-Central Customer Care '!D9</f>
        <v>0</v>
      </c>
      <c r="E87" s="530">
        <f>'Mngt-Melb Customer Care '!D9</f>
        <v>0</v>
      </c>
      <c r="F87" s="530">
        <f>'Mngt-Sydney Customer Care '!D9</f>
        <v>0</v>
      </c>
      <c r="G87" s="530">
        <f>'Mngt-Perth Customer Care '!D9</f>
        <v>0</v>
      </c>
      <c r="H87" s="530">
        <f>'Mngt-Bris Customer Care '!D9</f>
        <v>0</v>
      </c>
      <c r="I87" s="528">
        <f t="shared" ref="I87:I137" si="12">SUM(D87:H87)</f>
        <v>0</v>
      </c>
      <c r="J87" s="535">
        <f t="shared" ref="J87:J137" si="13">I87-C87</f>
        <v>0</v>
      </c>
      <c r="K87" s="168"/>
      <c r="L87" s="168"/>
      <c r="M87" s="168"/>
    </row>
    <row r="88" spans="1:13" x14ac:dyDescent="0.2">
      <c r="A88" s="401" t="s">
        <v>168</v>
      </c>
      <c r="B88" s="523"/>
      <c r="C88" s="523">
        <f>'Mngt-Customer Care Total '!D10</f>
        <v>0</v>
      </c>
      <c r="D88" s="530">
        <f>'Mngt-Central Customer Care '!D10</f>
        <v>0</v>
      </c>
      <c r="E88" s="530">
        <f>'Mngt-Melb Customer Care '!D10</f>
        <v>0</v>
      </c>
      <c r="F88" s="530">
        <f>'Mngt-Sydney Customer Care '!D10</f>
        <v>0</v>
      </c>
      <c r="G88" s="530">
        <f>'Mngt-Perth Customer Care '!D10</f>
        <v>0</v>
      </c>
      <c r="H88" s="530">
        <f>'Mngt-Bris Customer Care '!D10</f>
        <v>0</v>
      </c>
      <c r="I88" s="528">
        <f t="shared" si="12"/>
        <v>0</v>
      </c>
      <c r="J88" s="535">
        <f t="shared" si="13"/>
        <v>0</v>
      </c>
      <c r="K88" s="168"/>
      <c r="L88" s="168"/>
      <c r="M88" s="168"/>
    </row>
    <row r="89" spans="1:13" x14ac:dyDescent="0.2">
      <c r="A89" s="401" t="s">
        <v>169</v>
      </c>
      <c r="B89" s="523"/>
      <c r="C89" s="523">
        <f>'Mngt-Customer Care Total '!D11</f>
        <v>0</v>
      </c>
      <c r="D89" s="530">
        <f>'Mngt-Central Customer Care '!D11</f>
        <v>0</v>
      </c>
      <c r="E89" s="530">
        <f>'Mngt-Melb Customer Care '!BS11</f>
        <v>0</v>
      </c>
      <c r="F89" s="530">
        <f>'Mngt-Sydney Customer Care '!D11</f>
        <v>0</v>
      </c>
      <c r="G89" s="530">
        <f>'Mngt-Perth Customer Care '!D11</f>
        <v>0</v>
      </c>
      <c r="H89" s="530">
        <f>'Mngt-Bris Customer Care '!D11</f>
        <v>0</v>
      </c>
      <c r="I89" s="528">
        <f t="shared" si="12"/>
        <v>0</v>
      </c>
      <c r="J89" s="535">
        <f t="shared" si="13"/>
        <v>0</v>
      </c>
      <c r="K89" s="168"/>
      <c r="L89" s="168"/>
      <c r="M89" s="168"/>
    </row>
    <row r="90" spans="1:13" x14ac:dyDescent="0.2">
      <c r="A90" s="401" t="s">
        <v>50</v>
      </c>
      <c r="B90" s="523"/>
      <c r="C90" s="523">
        <f>'Mngt-Customer Care Total '!D12</f>
        <v>0</v>
      </c>
      <c r="D90" s="530">
        <f>'Mngt-Central Customer Care '!D12</f>
        <v>0</v>
      </c>
      <c r="E90" s="530">
        <f>'Mngt-Melb Customer Care '!D12</f>
        <v>0</v>
      </c>
      <c r="F90" s="530">
        <f>'Mngt-Sydney Customer Care '!D12</f>
        <v>0</v>
      </c>
      <c r="G90" s="530">
        <f>'Mngt-Perth Customer Care '!D12</f>
        <v>0</v>
      </c>
      <c r="H90" s="530">
        <f>'Mngt-Bris Customer Care '!D12</f>
        <v>0</v>
      </c>
      <c r="I90" s="528">
        <f t="shared" si="12"/>
        <v>0</v>
      </c>
      <c r="J90" s="535">
        <f t="shared" si="13"/>
        <v>0</v>
      </c>
      <c r="K90" s="168"/>
      <c r="L90" s="168"/>
      <c r="M90" s="168"/>
    </row>
    <row r="91" spans="1:13" x14ac:dyDescent="0.2">
      <c r="A91" s="401" t="s">
        <v>170</v>
      </c>
      <c r="B91" s="523"/>
      <c r="C91" s="523">
        <f>'Mngt-Customer Care Total '!D13</f>
        <v>0</v>
      </c>
      <c r="D91" s="530">
        <f>'Mngt-Central Customer Care '!D13</f>
        <v>0</v>
      </c>
      <c r="E91" s="530">
        <f>'Mngt-Melb Customer Care '!D13</f>
        <v>0</v>
      </c>
      <c r="F91" s="530">
        <f>'Mngt-Sydney Customer Care '!D13</f>
        <v>0</v>
      </c>
      <c r="G91" s="530">
        <f>'Mngt-Perth Customer Care '!D13</f>
        <v>0</v>
      </c>
      <c r="H91" s="530">
        <f>'Mngt-Bris Customer Care '!D13</f>
        <v>0</v>
      </c>
      <c r="I91" s="528">
        <f t="shared" si="12"/>
        <v>0</v>
      </c>
      <c r="J91" s="535">
        <f t="shared" si="13"/>
        <v>0</v>
      </c>
      <c r="K91" s="168"/>
      <c r="L91" s="168"/>
      <c r="M91" s="168"/>
    </row>
    <row r="92" spans="1:13" x14ac:dyDescent="0.2">
      <c r="A92" s="401" t="s">
        <v>171</v>
      </c>
      <c r="B92" s="523"/>
      <c r="C92" s="523">
        <f>'Mngt-Customer Care Total '!D14</f>
        <v>0</v>
      </c>
      <c r="D92" s="530">
        <f>'Mngt-Central Customer Care '!D14</f>
        <v>0</v>
      </c>
      <c r="E92" s="530">
        <f>'Mngt-Melb Customer Care '!D14</f>
        <v>0</v>
      </c>
      <c r="F92" s="530">
        <f>'Mngt-Sydney Customer Care '!D14</f>
        <v>0</v>
      </c>
      <c r="G92" s="530">
        <f>'Mngt-Perth Customer Care '!D14</f>
        <v>0</v>
      </c>
      <c r="H92" s="530">
        <f>'Mngt-Bris Customer Care '!D14</f>
        <v>0</v>
      </c>
      <c r="I92" s="528">
        <f t="shared" si="12"/>
        <v>0</v>
      </c>
      <c r="J92" s="535">
        <f t="shared" si="13"/>
        <v>0</v>
      </c>
      <c r="K92" s="168"/>
      <c r="L92" s="168"/>
      <c r="M92" s="168"/>
    </row>
    <row r="93" spans="1:13" x14ac:dyDescent="0.2">
      <c r="A93" s="401" t="s">
        <v>172</v>
      </c>
      <c r="B93" s="523"/>
      <c r="C93" s="523">
        <f>'Mngt-Customer Care Total '!D15</f>
        <v>0</v>
      </c>
      <c r="D93" s="530">
        <f>'Mngt-Central Customer Care '!D15</f>
        <v>0</v>
      </c>
      <c r="E93" s="530">
        <f>'Mngt-Melb Customer Care '!D15</f>
        <v>0</v>
      </c>
      <c r="F93" s="530">
        <f>'Mngt-Sydney Customer Care '!D15</f>
        <v>0</v>
      </c>
      <c r="G93" s="530">
        <f>'Mngt-Perth Customer Care '!D15</f>
        <v>0</v>
      </c>
      <c r="H93" s="530">
        <f>'Mngt-Bris Customer Care '!D15</f>
        <v>0</v>
      </c>
      <c r="I93" s="528">
        <f t="shared" si="12"/>
        <v>0</v>
      </c>
      <c r="J93" s="535">
        <f t="shared" si="13"/>
        <v>0</v>
      </c>
      <c r="K93" s="168"/>
      <c r="L93" s="168"/>
      <c r="M93" s="168"/>
    </row>
    <row r="94" spans="1:13" x14ac:dyDescent="0.2">
      <c r="A94" s="401" t="s">
        <v>173</v>
      </c>
      <c r="B94" s="523"/>
      <c r="C94" s="523">
        <f>'Mngt-Customer Care Total '!D16</f>
        <v>95.35</v>
      </c>
      <c r="D94" s="530">
        <f>'Mngt-Central Customer Care '!D16</f>
        <v>0</v>
      </c>
      <c r="E94" s="530">
        <f>'Mngt-Melb Customer Care '!D16</f>
        <v>95.35</v>
      </c>
      <c r="F94" s="530">
        <f>'Mngt-Sydney Customer Care '!D16</f>
        <v>0</v>
      </c>
      <c r="G94" s="530">
        <f>'Mngt-Perth Customer Care '!D16</f>
        <v>0</v>
      </c>
      <c r="H94" s="530">
        <f>'Mngt-Bris Customer Care '!D16</f>
        <v>0</v>
      </c>
      <c r="I94" s="528">
        <f t="shared" si="12"/>
        <v>95.35</v>
      </c>
      <c r="J94" s="535">
        <f t="shared" si="13"/>
        <v>0</v>
      </c>
      <c r="K94" s="168"/>
      <c r="L94" s="168"/>
      <c r="M94" s="168"/>
    </row>
    <row r="95" spans="1:13" x14ac:dyDescent="0.2">
      <c r="A95" s="401" t="s">
        <v>257</v>
      </c>
      <c r="B95" s="523"/>
      <c r="C95" s="523">
        <f>'Mngt-Customer Care Total '!D17</f>
        <v>2375.12</v>
      </c>
      <c r="D95" s="530">
        <f>'Mngt-Central Customer Care '!D17</f>
        <v>0</v>
      </c>
      <c r="E95" s="530">
        <f>'Mngt-Melb Customer Care '!D17</f>
        <v>791.71</v>
      </c>
      <c r="F95" s="530">
        <f>'Mngt-Sydney Customer Care '!D17</f>
        <v>791.71</v>
      </c>
      <c r="G95" s="530">
        <f>'Mngt-Perth Customer Care '!D17</f>
        <v>395.85</v>
      </c>
      <c r="H95" s="530">
        <f>'Mngt-Bris Customer Care '!D17</f>
        <v>395.85</v>
      </c>
      <c r="I95" s="528">
        <f t="shared" si="12"/>
        <v>2375.12</v>
      </c>
      <c r="J95" s="535">
        <f t="shared" si="13"/>
        <v>0</v>
      </c>
      <c r="K95" s="168"/>
      <c r="L95" s="168"/>
      <c r="M95" s="168"/>
    </row>
    <row r="96" spans="1:13" x14ac:dyDescent="0.2">
      <c r="A96" s="401" t="s">
        <v>70</v>
      </c>
      <c r="B96" s="523"/>
      <c r="C96" s="523">
        <f>'Mngt-Customer Care Total '!D21</f>
        <v>104</v>
      </c>
      <c r="D96" s="530">
        <f>'Mngt-Central Customer Care '!D20</f>
        <v>0</v>
      </c>
      <c r="E96" s="530">
        <f>'Mngt-Melb Customer Care '!D21</f>
        <v>35</v>
      </c>
      <c r="F96" s="530">
        <f>'Mngt-Sydney Customer Care '!D21</f>
        <v>35</v>
      </c>
      <c r="G96" s="530">
        <f>'Mngt-Perth Customer Care '!D21</f>
        <v>17</v>
      </c>
      <c r="H96" s="530">
        <f>'Mngt-Bris Customer Care '!D21</f>
        <v>17</v>
      </c>
      <c r="I96" s="528">
        <f t="shared" si="12"/>
        <v>104</v>
      </c>
      <c r="J96" s="535">
        <f t="shared" si="13"/>
        <v>0</v>
      </c>
      <c r="K96" s="168"/>
      <c r="L96" s="168"/>
      <c r="M96" s="168"/>
    </row>
    <row r="97" spans="1:13" hidden="1" outlineLevel="1" x14ac:dyDescent="0.2">
      <c r="A97" s="401" t="s">
        <v>174</v>
      </c>
      <c r="B97" s="523"/>
      <c r="C97" s="523">
        <f>'Mngt-Customer Care Total '!B22</f>
        <v>0</v>
      </c>
      <c r="D97" s="530"/>
      <c r="E97" s="530">
        <f>'Mngt-Melb Customer Care '!B19</f>
        <v>35</v>
      </c>
      <c r="F97" s="530"/>
      <c r="G97" s="530">
        <f>'Mngt-Perth Customer Care '!D22</f>
        <v>0</v>
      </c>
      <c r="H97" s="530">
        <f>'Mngt-Bris Customer Care '!D22</f>
        <v>0</v>
      </c>
      <c r="I97" s="528">
        <f>SUM(D97:H97)</f>
        <v>35</v>
      </c>
      <c r="J97" s="535">
        <f>I97-C97</f>
        <v>35</v>
      </c>
      <c r="K97" s="168"/>
      <c r="L97" s="168"/>
      <c r="M97" s="168"/>
    </row>
    <row r="98" spans="1:13" hidden="1" outlineLevel="1" x14ac:dyDescent="0.2">
      <c r="A98" s="401" t="s">
        <v>99</v>
      </c>
      <c r="B98" s="523"/>
      <c r="C98" s="523">
        <f>'Mngt-Customer Care Total '!B23</f>
        <v>1168.58</v>
      </c>
      <c r="D98" s="530"/>
      <c r="E98" s="530">
        <f>'Mngt-Melb Customer Care '!B20</f>
        <v>0</v>
      </c>
      <c r="F98" s="530">
        <f>'Mngt-Sydney Customer Care '!D23</f>
        <v>638.45000000000005</v>
      </c>
      <c r="G98" s="530">
        <f>'Mngt-Perth Customer Care '!D23</f>
        <v>167.9</v>
      </c>
      <c r="H98" s="530">
        <f>'Mngt-Bris Customer Care '!D23</f>
        <v>312.11</v>
      </c>
      <c r="I98" s="528">
        <f t="shared" si="12"/>
        <v>1118.46</v>
      </c>
      <c r="J98" s="535">
        <f t="shared" si="13"/>
        <v>-50.119999999999891</v>
      </c>
      <c r="K98" s="168"/>
      <c r="L98" s="168"/>
      <c r="M98" s="168"/>
    </row>
    <row r="99" spans="1:13" hidden="1" outlineLevel="1" x14ac:dyDescent="0.2">
      <c r="A99" s="401" t="s">
        <v>175</v>
      </c>
      <c r="B99" s="523"/>
      <c r="C99" s="523">
        <f>'Mngt-Customer Care Total '!B24</f>
        <v>27.83</v>
      </c>
      <c r="D99" s="530"/>
      <c r="E99" s="530">
        <f>'Mngt-Melb Customer Care '!B21</f>
        <v>35</v>
      </c>
      <c r="F99" s="530">
        <f>'Mngt-Sydney Customer Care '!D24</f>
        <v>0</v>
      </c>
      <c r="G99" s="530">
        <f>'Mngt-Perth Customer Care '!D24</f>
        <v>0</v>
      </c>
      <c r="H99" s="530">
        <f>'Mngt-Bris Customer Care '!D24</f>
        <v>0</v>
      </c>
      <c r="I99" s="528">
        <f t="shared" si="12"/>
        <v>35</v>
      </c>
      <c r="J99" s="535">
        <f t="shared" si="13"/>
        <v>7.1700000000000017</v>
      </c>
      <c r="K99" s="168"/>
      <c r="L99" s="168"/>
      <c r="M99" s="168"/>
    </row>
    <row r="100" spans="1:13" hidden="1" outlineLevel="1" x14ac:dyDescent="0.2">
      <c r="A100" s="401" t="s">
        <v>100</v>
      </c>
      <c r="B100" s="523"/>
      <c r="C100" s="523">
        <f>'Mngt-Customer Care Total '!B25</f>
        <v>271.54000000000002</v>
      </c>
      <c r="D100" s="530"/>
      <c r="E100" s="530">
        <f>'Mngt-Melb Customer Care '!B22</f>
        <v>0</v>
      </c>
      <c r="F100" s="530">
        <f>'Mngt-Sydney Customer Care '!D25</f>
        <v>388.74</v>
      </c>
      <c r="G100" s="530">
        <f>'Mngt-Perth Customer Care '!D25</f>
        <v>0</v>
      </c>
      <c r="H100" s="530">
        <f>'Mngt-Bris Customer Care '!D25</f>
        <v>0</v>
      </c>
      <c r="I100" s="528">
        <f t="shared" si="12"/>
        <v>388.74</v>
      </c>
      <c r="J100" s="535">
        <f t="shared" si="13"/>
        <v>117.19999999999999</v>
      </c>
      <c r="K100" s="168"/>
      <c r="L100" s="168"/>
      <c r="M100" s="168"/>
    </row>
    <row r="101" spans="1:13" hidden="1" outlineLevel="1" x14ac:dyDescent="0.2">
      <c r="A101" s="401" t="s">
        <v>101</v>
      </c>
      <c r="B101" s="523"/>
      <c r="C101" s="523">
        <f>'Mngt-Customer Care Total '!B26</f>
        <v>0</v>
      </c>
      <c r="D101" s="530"/>
      <c r="E101" s="530">
        <f>'Mngt-Melb Customer Care '!B23</f>
        <v>0</v>
      </c>
      <c r="F101" s="530">
        <f>'Mngt-Sydney Customer Care '!D26</f>
        <v>0</v>
      </c>
      <c r="G101" s="530">
        <f>'Mngt-Perth Customer Care '!D26</f>
        <v>0</v>
      </c>
      <c r="H101" s="530">
        <f>'Mngt-Bris Customer Care '!D26</f>
        <v>0</v>
      </c>
      <c r="I101" s="528">
        <f t="shared" si="12"/>
        <v>0</v>
      </c>
      <c r="J101" s="535">
        <f t="shared" si="13"/>
        <v>0</v>
      </c>
      <c r="K101" s="168"/>
      <c r="L101" s="168"/>
      <c r="M101" s="168"/>
    </row>
    <row r="102" spans="1:13" hidden="1" outlineLevel="1" x14ac:dyDescent="0.2">
      <c r="A102" s="401" t="s">
        <v>176</v>
      </c>
      <c r="B102" s="523"/>
      <c r="C102" s="523">
        <f>'Mngt-Customer Care Total '!B27</f>
        <v>0</v>
      </c>
      <c r="D102" s="530"/>
      <c r="E102" s="530">
        <f>'Mngt-Melb Customer Care '!B24</f>
        <v>27.83</v>
      </c>
      <c r="F102" s="530">
        <f>'Mngt-Sydney Customer Care '!D27</f>
        <v>0</v>
      </c>
      <c r="G102" s="530">
        <f>'Mngt-Perth Customer Care '!D27</f>
        <v>0</v>
      </c>
      <c r="H102" s="530">
        <f>'Mngt-Bris Customer Care '!D27</f>
        <v>0</v>
      </c>
      <c r="I102" s="528">
        <f t="shared" si="12"/>
        <v>27.83</v>
      </c>
      <c r="J102" s="535">
        <f t="shared" si="13"/>
        <v>27.83</v>
      </c>
      <c r="K102" s="168"/>
      <c r="L102" s="168"/>
      <c r="M102" s="168"/>
    </row>
    <row r="103" spans="1:13" hidden="1" outlineLevel="1" x14ac:dyDescent="0.2">
      <c r="A103" s="401" t="s">
        <v>102</v>
      </c>
      <c r="B103" s="523"/>
      <c r="C103" s="523">
        <f>'Mngt-Customer Care Total '!B28</f>
        <v>471.06</v>
      </c>
      <c r="D103" s="530"/>
      <c r="E103" s="530">
        <f>'Mngt-Melb Customer Care '!B25</f>
        <v>0</v>
      </c>
      <c r="F103" s="530">
        <f>'Mngt-Sydney Customer Care '!D28</f>
        <v>281.56</v>
      </c>
      <c r="G103" s="530">
        <f>'Mngt-Perth Customer Care '!D28</f>
        <v>56.5</v>
      </c>
      <c r="H103" s="530">
        <f>'Mngt-Bris Customer Care '!D28</f>
        <v>132.22</v>
      </c>
      <c r="I103" s="528">
        <f t="shared" si="12"/>
        <v>470.28</v>
      </c>
      <c r="J103" s="535">
        <f t="shared" si="13"/>
        <v>-0.78000000000002956</v>
      </c>
      <c r="K103" s="168"/>
      <c r="L103" s="168"/>
      <c r="M103" s="168"/>
    </row>
    <row r="104" spans="1:13" hidden="1" outlineLevel="1" x14ac:dyDescent="0.2">
      <c r="A104" s="401" t="s">
        <v>75</v>
      </c>
      <c r="B104" s="523"/>
      <c r="C104" s="523">
        <f>'Mngt-Customer Care Total '!B29</f>
        <v>106.36</v>
      </c>
      <c r="D104" s="530"/>
      <c r="E104" s="530">
        <f>'Mngt-Melb Customer Care '!B26</f>
        <v>0</v>
      </c>
      <c r="F104" s="530">
        <f>'Mngt-Sydney Customer Care '!D29</f>
        <v>0</v>
      </c>
      <c r="G104" s="530">
        <f>'Mngt-Perth Customer Care '!D29</f>
        <v>0</v>
      </c>
      <c r="H104" s="530">
        <f>'Mngt-Bris Customer Care '!D29</f>
        <v>0</v>
      </c>
      <c r="I104" s="528">
        <f t="shared" si="12"/>
        <v>0</v>
      </c>
      <c r="J104" s="535">
        <f t="shared" si="13"/>
        <v>-106.36</v>
      </c>
      <c r="K104" s="168"/>
      <c r="L104" s="168"/>
      <c r="M104" s="168"/>
    </row>
    <row r="105" spans="1:13" hidden="1" outlineLevel="1" x14ac:dyDescent="0.2">
      <c r="A105" s="401" t="s">
        <v>76</v>
      </c>
      <c r="B105" s="523"/>
      <c r="C105" s="523">
        <f>'Mngt-Customer Care Total '!B30</f>
        <v>9.1</v>
      </c>
      <c r="D105" s="530"/>
      <c r="E105" s="530">
        <f>'Mngt-Melb Customer Care '!B27</f>
        <v>0</v>
      </c>
      <c r="F105" s="530">
        <f>'Mngt-Sydney Customer Care '!D30</f>
        <v>124.63</v>
      </c>
      <c r="G105" s="530">
        <f>'Mngt-Perth Customer Care '!D30</f>
        <v>71.72</v>
      </c>
      <c r="H105" s="530">
        <f>'Mngt-Bris Customer Care '!D30</f>
        <v>0</v>
      </c>
      <c r="I105" s="528">
        <f t="shared" si="12"/>
        <v>196.35</v>
      </c>
      <c r="J105" s="535">
        <f t="shared" si="13"/>
        <v>187.25</v>
      </c>
      <c r="K105" s="168"/>
      <c r="L105" s="168"/>
      <c r="M105" s="168"/>
    </row>
    <row r="106" spans="1:13" hidden="1" outlineLevel="1" x14ac:dyDescent="0.2">
      <c r="A106" s="401" t="s">
        <v>77</v>
      </c>
      <c r="B106" s="523"/>
      <c r="C106" s="523">
        <f>'Mngt-Customer Care Total '!B31</f>
        <v>113.71</v>
      </c>
      <c r="D106" s="530"/>
      <c r="E106" s="530">
        <f>'Mngt-Melb Customer Care '!B28</f>
        <v>0</v>
      </c>
      <c r="F106" s="530">
        <f>'Mngt-Sydney Customer Care '!D31</f>
        <v>0</v>
      </c>
      <c r="G106" s="530">
        <f>'Mngt-Perth Customer Care '!D31</f>
        <v>0</v>
      </c>
      <c r="H106" s="530">
        <f>'Mngt-Bris Customer Care '!D31</f>
        <v>33.71</v>
      </c>
      <c r="I106" s="528">
        <f t="shared" si="12"/>
        <v>33.71</v>
      </c>
      <c r="J106" s="535">
        <f t="shared" si="13"/>
        <v>-80</v>
      </c>
      <c r="K106" s="168"/>
      <c r="L106" s="168"/>
      <c r="M106" s="168"/>
    </row>
    <row r="107" spans="1:13" collapsed="1" x14ac:dyDescent="0.2">
      <c r="A107" s="401" t="s">
        <v>177</v>
      </c>
      <c r="B107" s="523"/>
      <c r="C107" s="523">
        <f>'Mngt-Customer Care Total '!D32</f>
        <v>2566.34</v>
      </c>
      <c r="D107" s="530">
        <f>'Mngt-Central Customer Care '!D31</f>
        <v>0</v>
      </c>
      <c r="E107" s="530">
        <f>'Mngt-Melb Customer Care '!D32</f>
        <v>358.8</v>
      </c>
      <c r="F107" s="530">
        <f>'Mngt-Sydney Customer Care '!D32</f>
        <v>1433.38</v>
      </c>
      <c r="G107" s="530">
        <f>'Mngt-Perth Customer Care '!D32</f>
        <v>296.12</v>
      </c>
      <c r="H107" s="530">
        <f>'Mngt-Bris Customer Care '!D32</f>
        <v>478.04</v>
      </c>
      <c r="I107" s="528">
        <f>SUM(D107:H107)</f>
        <v>2566.34</v>
      </c>
      <c r="J107" s="535">
        <f t="shared" si="13"/>
        <v>0</v>
      </c>
      <c r="K107" s="168"/>
      <c r="L107" s="168"/>
      <c r="M107" s="168"/>
    </row>
    <row r="108" spans="1:13" hidden="1" outlineLevel="1" x14ac:dyDescent="0.2">
      <c r="A108" s="401" t="s">
        <v>178</v>
      </c>
      <c r="B108" s="523"/>
      <c r="C108" s="523"/>
      <c r="D108" s="530"/>
      <c r="E108" s="530"/>
      <c r="F108" s="530"/>
      <c r="G108" s="530"/>
      <c r="H108" s="530"/>
      <c r="I108" s="528">
        <f t="shared" si="12"/>
        <v>0</v>
      </c>
      <c r="J108" s="535">
        <f t="shared" si="13"/>
        <v>0</v>
      </c>
      <c r="K108" s="168"/>
      <c r="L108" s="168"/>
      <c r="M108" s="168"/>
    </row>
    <row r="109" spans="1:13" hidden="1" outlineLevel="1" x14ac:dyDescent="0.2">
      <c r="A109" s="401" t="s">
        <v>179</v>
      </c>
      <c r="B109" s="523"/>
      <c r="C109" s="523"/>
      <c r="D109" s="530"/>
      <c r="E109" s="530"/>
      <c r="F109" s="530"/>
      <c r="G109" s="530"/>
      <c r="H109" s="530"/>
      <c r="I109" s="528">
        <f t="shared" si="12"/>
        <v>0</v>
      </c>
      <c r="J109" s="535">
        <f t="shared" si="13"/>
        <v>0</v>
      </c>
      <c r="K109" s="168"/>
      <c r="L109" s="168"/>
      <c r="M109" s="168"/>
    </row>
    <row r="110" spans="1:13" hidden="1" outlineLevel="1" x14ac:dyDescent="0.2">
      <c r="A110" s="401" t="s">
        <v>180</v>
      </c>
      <c r="B110" s="523"/>
      <c r="C110" s="523"/>
      <c r="D110" s="530"/>
      <c r="E110" s="530"/>
      <c r="F110" s="530"/>
      <c r="G110" s="530"/>
      <c r="H110" s="530"/>
      <c r="I110" s="528">
        <f t="shared" si="12"/>
        <v>0</v>
      </c>
      <c r="J110" s="535">
        <f t="shared" si="13"/>
        <v>0</v>
      </c>
      <c r="K110" s="168"/>
      <c r="L110" s="168"/>
      <c r="M110" s="168"/>
    </row>
    <row r="111" spans="1:13" hidden="1" outlineLevel="1" x14ac:dyDescent="0.2">
      <c r="A111" s="401" t="s">
        <v>181</v>
      </c>
      <c r="B111" s="523"/>
      <c r="C111" s="523"/>
      <c r="D111" s="530"/>
      <c r="E111" s="530"/>
      <c r="F111" s="530"/>
      <c r="G111" s="530"/>
      <c r="H111" s="530"/>
      <c r="I111" s="528">
        <f t="shared" si="12"/>
        <v>0</v>
      </c>
      <c r="J111" s="535">
        <f t="shared" si="13"/>
        <v>0</v>
      </c>
      <c r="K111" s="168"/>
      <c r="L111" s="168"/>
      <c r="M111" s="168"/>
    </row>
    <row r="112" spans="1:13" hidden="1" outlineLevel="1" x14ac:dyDescent="0.2">
      <c r="A112" s="401" t="s">
        <v>182</v>
      </c>
      <c r="B112" s="523"/>
      <c r="C112" s="523"/>
      <c r="D112" s="530"/>
      <c r="E112" s="530"/>
      <c r="F112" s="530"/>
      <c r="G112" s="530"/>
      <c r="H112" s="530"/>
      <c r="I112" s="528">
        <f t="shared" si="12"/>
        <v>0</v>
      </c>
      <c r="J112" s="535">
        <f t="shared" si="13"/>
        <v>0</v>
      </c>
      <c r="K112" s="168"/>
      <c r="L112" s="168"/>
      <c r="M112" s="168"/>
    </row>
    <row r="113" spans="1:13" hidden="1" outlineLevel="1" x14ac:dyDescent="0.2">
      <c r="A113" s="401" t="s">
        <v>183</v>
      </c>
      <c r="B113" s="523"/>
      <c r="C113" s="523"/>
      <c r="D113" s="530"/>
      <c r="E113" s="530"/>
      <c r="F113" s="530"/>
      <c r="G113" s="530"/>
      <c r="H113" s="530"/>
      <c r="I113" s="528">
        <f t="shared" si="12"/>
        <v>0</v>
      </c>
      <c r="J113" s="535">
        <f t="shared" si="13"/>
        <v>0</v>
      </c>
      <c r="K113" s="168"/>
      <c r="L113" s="168"/>
      <c r="M113" s="168"/>
    </row>
    <row r="114" spans="1:13" hidden="1" outlineLevel="1" x14ac:dyDescent="0.2">
      <c r="A114" s="401" t="s">
        <v>184</v>
      </c>
      <c r="B114" s="523"/>
      <c r="C114" s="523"/>
      <c r="D114" s="530"/>
      <c r="E114" s="530"/>
      <c r="F114" s="530"/>
      <c r="G114" s="530"/>
      <c r="H114" s="530"/>
      <c r="I114" s="528">
        <f t="shared" si="12"/>
        <v>0</v>
      </c>
      <c r="J114" s="535">
        <f t="shared" si="13"/>
        <v>0</v>
      </c>
      <c r="K114" s="168"/>
      <c r="L114" s="168"/>
      <c r="M114" s="168"/>
    </row>
    <row r="115" spans="1:13" hidden="1" outlineLevel="1" x14ac:dyDescent="0.2">
      <c r="A115" s="401" t="s">
        <v>185</v>
      </c>
      <c r="B115" s="523"/>
      <c r="C115" s="523"/>
      <c r="D115" s="530"/>
      <c r="E115" s="530"/>
      <c r="F115" s="530"/>
      <c r="G115" s="530"/>
      <c r="H115" s="530"/>
      <c r="I115" s="528">
        <f t="shared" si="12"/>
        <v>0</v>
      </c>
      <c r="J115" s="535">
        <f t="shared" si="13"/>
        <v>0</v>
      </c>
      <c r="K115" s="168"/>
      <c r="L115" s="168"/>
      <c r="M115" s="168"/>
    </row>
    <row r="116" spans="1:13" hidden="1" outlineLevel="1" x14ac:dyDescent="0.2">
      <c r="A116" s="401" t="s">
        <v>186</v>
      </c>
      <c r="B116" s="523"/>
      <c r="C116" s="523"/>
      <c r="D116" s="530"/>
      <c r="E116" s="530"/>
      <c r="F116" s="530"/>
      <c r="G116" s="530"/>
      <c r="H116" s="530"/>
      <c r="I116" s="528">
        <f t="shared" si="12"/>
        <v>0</v>
      </c>
      <c r="J116" s="535">
        <f t="shared" si="13"/>
        <v>0</v>
      </c>
      <c r="K116" s="168"/>
      <c r="L116" s="168"/>
      <c r="M116" s="168"/>
    </row>
    <row r="117" spans="1:13" hidden="1" outlineLevel="1" x14ac:dyDescent="0.2">
      <c r="A117" s="401" t="s">
        <v>187</v>
      </c>
      <c r="B117" s="523"/>
      <c r="C117" s="523"/>
      <c r="D117" s="530"/>
      <c r="E117" s="530"/>
      <c r="F117" s="530"/>
      <c r="G117" s="530"/>
      <c r="H117" s="530"/>
      <c r="I117" s="528">
        <f t="shared" si="12"/>
        <v>0</v>
      </c>
      <c r="J117" s="535">
        <f t="shared" si="13"/>
        <v>0</v>
      </c>
      <c r="K117" s="168"/>
      <c r="L117" s="168"/>
      <c r="M117" s="168"/>
    </row>
    <row r="118" spans="1:13" hidden="1" outlineLevel="1" x14ac:dyDescent="0.2">
      <c r="A118" s="401" t="s">
        <v>188</v>
      </c>
      <c r="B118" s="523"/>
      <c r="C118" s="523"/>
      <c r="D118" s="530"/>
      <c r="E118" s="530"/>
      <c r="F118" s="530"/>
      <c r="G118" s="530"/>
      <c r="H118" s="530"/>
      <c r="I118" s="528">
        <f t="shared" si="12"/>
        <v>0</v>
      </c>
      <c r="J118" s="535">
        <f t="shared" si="13"/>
        <v>0</v>
      </c>
      <c r="K118" s="168"/>
      <c r="L118" s="168"/>
      <c r="M118" s="168"/>
    </row>
    <row r="119" spans="1:13" hidden="1" outlineLevel="1" x14ac:dyDescent="0.2">
      <c r="A119" s="401" t="s">
        <v>189</v>
      </c>
      <c r="B119" s="523"/>
      <c r="C119" s="523"/>
      <c r="D119" s="530"/>
      <c r="E119" s="530"/>
      <c r="F119" s="530"/>
      <c r="G119" s="530"/>
      <c r="H119" s="530"/>
      <c r="I119" s="528">
        <f t="shared" si="12"/>
        <v>0</v>
      </c>
      <c r="J119" s="535">
        <f t="shared" si="13"/>
        <v>0</v>
      </c>
      <c r="K119" s="168"/>
      <c r="L119" s="168"/>
      <c r="M119" s="168"/>
    </row>
    <row r="120" spans="1:13" hidden="1" outlineLevel="1" x14ac:dyDescent="0.2">
      <c r="A120" s="401" t="s">
        <v>190</v>
      </c>
      <c r="B120" s="523"/>
      <c r="C120" s="523"/>
      <c r="D120" s="530"/>
      <c r="E120" s="530"/>
      <c r="F120" s="530"/>
      <c r="G120" s="530"/>
      <c r="H120" s="530"/>
      <c r="I120" s="528">
        <f t="shared" si="12"/>
        <v>0</v>
      </c>
      <c r="J120" s="535">
        <f t="shared" si="13"/>
        <v>0</v>
      </c>
      <c r="K120" s="168"/>
      <c r="L120" s="168"/>
      <c r="M120" s="168"/>
    </row>
    <row r="121" spans="1:13" hidden="1" outlineLevel="1" x14ac:dyDescent="0.2">
      <c r="A121" s="401" t="s">
        <v>191</v>
      </c>
      <c r="B121" s="523"/>
      <c r="C121" s="523"/>
      <c r="D121" s="530"/>
      <c r="E121" s="530"/>
      <c r="F121" s="530"/>
      <c r="G121" s="530"/>
      <c r="H121" s="530"/>
      <c r="I121" s="528">
        <f t="shared" si="12"/>
        <v>0</v>
      </c>
      <c r="J121" s="535">
        <f t="shared" si="13"/>
        <v>0</v>
      </c>
      <c r="K121" s="168"/>
      <c r="L121" s="168"/>
      <c r="M121" s="168"/>
    </row>
    <row r="122" spans="1:13" collapsed="1" x14ac:dyDescent="0.2">
      <c r="A122" s="401" t="s">
        <v>192</v>
      </c>
      <c r="B122" s="523"/>
      <c r="C122" s="523">
        <f>'Mngt-Customer Care Total '!D47</f>
        <v>17</v>
      </c>
      <c r="D122" s="530">
        <f>'Mngt-Central Customer Care '!D46</f>
        <v>0</v>
      </c>
      <c r="E122" s="530">
        <f>'Mngt-Melb Customer Care '!D47</f>
        <v>13</v>
      </c>
      <c r="F122" s="530">
        <f>'Mngt-Sydney Customer Care '!D47</f>
        <v>0</v>
      </c>
      <c r="G122" s="530">
        <f>'Mngt-Perth Customer Care '!D47</f>
        <v>4</v>
      </c>
      <c r="H122" s="530">
        <f>'Mngt-Bris Customer Care '!D47</f>
        <v>0</v>
      </c>
      <c r="I122" s="528">
        <f t="shared" si="12"/>
        <v>17</v>
      </c>
      <c r="J122" s="535">
        <f t="shared" si="13"/>
        <v>0</v>
      </c>
      <c r="K122" s="168"/>
      <c r="L122" s="168"/>
      <c r="M122" s="168"/>
    </row>
    <row r="123" spans="1:13" hidden="1" outlineLevel="1" x14ac:dyDescent="0.2">
      <c r="A123" s="401" t="s">
        <v>193</v>
      </c>
      <c r="B123" s="523"/>
      <c r="C123" s="523"/>
      <c r="D123" s="530"/>
      <c r="E123" s="530"/>
      <c r="F123" s="530"/>
      <c r="G123" s="530"/>
      <c r="H123" s="530"/>
      <c r="I123" s="528">
        <f t="shared" si="12"/>
        <v>0</v>
      </c>
      <c r="J123" s="535">
        <f t="shared" si="13"/>
        <v>0</v>
      </c>
      <c r="K123" s="168"/>
      <c r="L123" s="168"/>
      <c r="M123" s="168"/>
    </row>
    <row r="124" spans="1:13" hidden="1" outlineLevel="1" x14ac:dyDescent="0.2">
      <c r="A124" s="401" t="s">
        <v>194</v>
      </c>
      <c r="B124" s="523"/>
      <c r="C124" s="523"/>
      <c r="D124" s="530"/>
      <c r="E124" s="530"/>
      <c r="F124" s="530"/>
      <c r="G124" s="530"/>
      <c r="H124" s="530"/>
      <c r="I124" s="528">
        <f t="shared" si="12"/>
        <v>0</v>
      </c>
      <c r="J124" s="535">
        <f t="shared" si="13"/>
        <v>0</v>
      </c>
      <c r="K124" s="168"/>
      <c r="L124" s="168"/>
      <c r="M124" s="168"/>
    </row>
    <row r="125" spans="1:13" hidden="1" outlineLevel="1" x14ac:dyDescent="0.2">
      <c r="A125" s="401" t="s">
        <v>82</v>
      </c>
      <c r="B125" s="523"/>
      <c r="C125" s="523"/>
      <c r="D125" s="530"/>
      <c r="E125" s="530"/>
      <c r="F125" s="530"/>
      <c r="G125" s="530"/>
      <c r="H125" s="530"/>
      <c r="I125" s="528">
        <f t="shared" si="12"/>
        <v>0</v>
      </c>
      <c r="J125" s="535">
        <f t="shared" si="13"/>
        <v>0</v>
      </c>
      <c r="K125" s="168"/>
      <c r="L125" s="168"/>
      <c r="M125" s="168"/>
    </row>
    <row r="126" spans="1:13" hidden="1" outlineLevel="1" x14ac:dyDescent="0.2">
      <c r="A126" s="401" t="s">
        <v>83</v>
      </c>
      <c r="B126" s="523"/>
      <c r="C126" s="523"/>
      <c r="D126" s="530"/>
      <c r="E126" s="530"/>
      <c r="F126" s="530"/>
      <c r="G126" s="530"/>
      <c r="H126" s="530"/>
      <c r="I126" s="528">
        <f t="shared" si="12"/>
        <v>0</v>
      </c>
      <c r="J126" s="535">
        <f t="shared" si="13"/>
        <v>0</v>
      </c>
      <c r="K126" s="168"/>
      <c r="L126" s="168"/>
      <c r="M126" s="168"/>
    </row>
    <row r="127" spans="1:13" hidden="1" outlineLevel="1" x14ac:dyDescent="0.2">
      <c r="A127" s="401" t="s">
        <v>84</v>
      </c>
      <c r="B127" s="523"/>
      <c r="C127" s="523"/>
      <c r="D127" s="530"/>
      <c r="E127" s="530"/>
      <c r="F127" s="530"/>
      <c r="G127" s="530"/>
      <c r="H127" s="530"/>
      <c r="I127" s="528">
        <f t="shared" si="12"/>
        <v>0</v>
      </c>
      <c r="J127" s="535">
        <f t="shared" si="13"/>
        <v>0</v>
      </c>
      <c r="K127" s="168"/>
      <c r="L127" s="168"/>
      <c r="M127" s="168"/>
    </row>
    <row r="128" spans="1:13" hidden="1" outlineLevel="1" x14ac:dyDescent="0.2">
      <c r="A128" s="401" t="s">
        <v>195</v>
      </c>
      <c r="B128" s="523"/>
      <c r="C128" s="523"/>
      <c r="D128" s="530"/>
      <c r="E128" s="530"/>
      <c r="F128" s="530"/>
      <c r="G128" s="530"/>
      <c r="H128" s="530"/>
      <c r="I128" s="528">
        <f t="shared" si="12"/>
        <v>0</v>
      </c>
      <c r="J128" s="535">
        <f t="shared" si="13"/>
        <v>0</v>
      </c>
      <c r="K128" s="168"/>
      <c r="L128" s="168"/>
      <c r="M128" s="168"/>
    </row>
    <row r="129" spans="1:13" hidden="1" outlineLevel="1" x14ac:dyDescent="0.2">
      <c r="A129" s="401" t="s">
        <v>86</v>
      </c>
      <c r="B129" s="523"/>
      <c r="C129" s="523"/>
      <c r="D129" s="530"/>
      <c r="E129" s="530"/>
      <c r="F129" s="530"/>
      <c r="G129" s="530"/>
      <c r="H129" s="530"/>
      <c r="I129" s="528">
        <f t="shared" si="12"/>
        <v>0</v>
      </c>
      <c r="J129" s="535">
        <f t="shared" si="13"/>
        <v>0</v>
      </c>
      <c r="K129" s="168"/>
      <c r="L129" s="168"/>
      <c r="M129" s="168"/>
    </row>
    <row r="130" spans="1:13" hidden="1" outlineLevel="1" x14ac:dyDescent="0.2">
      <c r="A130" s="401" t="s">
        <v>110</v>
      </c>
      <c r="B130" s="523"/>
      <c r="C130" s="523"/>
      <c r="D130" s="530"/>
      <c r="E130" s="530"/>
      <c r="F130" s="530"/>
      <c r="G130" s="530"/>
      <c r="H130" s="530"/>
      <c r="I130" s="528">
        <f t="shared" si="12"/>
        <v>0</v>
      </c>
      <c r="J130" s="535">
        <f t="shared" si="13"/>
        <v>0</v>
      </c>
      <c r="K130" s="168"/>
      <c r="L130" s="168"/>
      <c r="M130" s="168"/>
    </row>
    <row r="131" spans="1:13" hidden="1" outlineLevel="1" x14ac:dyDescent="0.2">
      <c r="A131" s="401" t="s">
        <v>196</v>
      </c>
      <c r="B131" s="523"/>
      <c r="C131" s="523"/>
      <c r="D131" s="530"/>
      <c r="E131" s="530"/>
      <c r="F131" s="530"/>
      <c r="G131" s="530"/>
      <c r="H131" s="530"/>
      <c r="I131" s="528">
        <f t="shared" si="12"/>
        <v>0</v>
      </c>
      <c r="J131" s="535">
        <f t="shared" si="13"/>
        <v>0</v>
      </c>
      <c r="K131" s="168"/>
      <c r="L131" s="168"/>
      <c r="M131" s="168"/>
    </row>
    <row r="132" spans="1:13" hidden="1" outlineLevel="1" x14ac:dyDescent="0.2">
      <c r="A132" s="401" t="s">
        <v>197</v>
      </c>
      <c r="B132" s="523"/>
      <c r="C132" s="523"/>
      <c r="D132" s="530"/>
      <c r="E132" s="530"/>
      <c r="F132" s="530"/>
      <c r="G132" s="530"/>
      <c r="H132" s="530"/>
      <c r="I132" s="528">
        <f t="shared" si="12"/>
        <v>0</v>
      </c>
      <c r="J132" s="535">
        <f t="shared" si="13"/>
        <v>0</v>
      </c>
      <c r="K132" s="168"/>
      <c r="L132" s="168"/>
      <c r="M132" s="168"/>
    </row>
    <row r="133" spans="1:13" hidden="1" outlineLevel="1" x14ac:dyDescent="0.2">
      <c r="A133" s="401" t="s">
        <v>198</v>
      </c>
      <c r="B133" s="523"/>
      <c r="C133" s="523"/>
      <c r="D133" s="530"/>
      <c r="E133" s="530"/>
      <c r="F133" s="530"/>
      <c r="G133" s="530"/>
      <c r="H133" s="530"/>
      <c r="I133" s="528">
        <f t="shared" si="12"/>
        <v>0</v>
      </c>
      <c r="J133" s="535">
        <f t="shared" si="13"/>
        <v>0</v>
      </c>
      <c r="K133" s="168"/>
      <c r="L133" s="168"/>
      <c r="M133" s="168"/>
    </row>
    <row r="134" spans="1:13" hidden="1" outlineLevel="1" x14ac:dyDescent="0.2">
      <c r="A134" s="401" t="s">
        <v>199</v>
      </c>
      <c r="B134" s="523"/>
      <c r="C134" s="523"/>
      <c r="D134" s="530"/>
      <c r="E134" s="530"/>
      <c r="F134" s="530"/>
      <c r="G134" s="530"/>
      <c r="H134" s="530"/>
      <c r="I134" s="528">
        <f t="shared" si="12"/>
        <v>0</v>
      </c>
      <c r="J134" s="535">
        <f t="shared" si="13"/>
        <v>0</v>
      </c>
      <c r="K134" s="168"/>
      <c r="L134" s="168"/>
      <c r="M134" s="168"/>
    </row>
    <row r="135" spans="1:13" hidden="1" outlineLevel="1" x14ac:dyDescent="0.2">
      <c r="A135" s="401" t="s">
        <v>200</v>
      </c>
      <c r="B135" s="523"/>
      <c r="C135" s="523"/>
      <c r="D135" s="530"/>
      <c r="E135" s="530"/>
      <c r="F135" s="530"/>
      <c r="G135" s="530"/>
      <c r="H135" s="530"/>
      <c r="I135" s="528">
        <f t="shared" si="12"/>
        <v>0</v>
      </c>
      <c r="J135" s="535">
        <f t="shared" si="13"/>
        <v>0</v>
      </c>
      <c r="K135" s="168"/>
      <c r="L135" s="168"/>
      <c r="M135" s="168"/>
    </row>
    <row r="136" spans="1:13" collapsed="1" x14ac:dyDescent="0.2">
      <c r="A136" s="401" t="s">
        <v>89</v>
      </c>
      <c r="B136" s="523"/>
      <c r="C136" s="523">
        <f>'Mngt-Customer Care Total '!D61</f>
        <v>0</v>
      </c>
      <c r="D136" s="530">
        <f>'Mngt-Central Customer Care '!D60</f>
        <v>0</v>
      </c>
      <c r="E136" s="530">
        <f>'Mngt-Melb Customer Care '!D61</f>
        <v>0</v>
      </c>
      <c r="F136" s="530">
        <f>'Mngt-Sydney Customer Care '!D61</f>
        <v>0</v>
      </c>
      <c r="G136" s="530">
        <f>'Mngt-Perth Customer Care '!D61</f>
        <v>0</v>
      </c>
      <c r="H136" s="530">
        <f>'Mngt-Bris Customer Care '!D61</f>
        <v>0</v>
      </c>
      <c r="I136" s="528">
        <f t="shared" si="12"/>
        <v>0</v>
      </c>
      <c r="J136" s="535">
        <f t="shared" si="13"/>
        <v>0</v>
      </c>
      <c r="K136" s="168"/>
      <c r="L136" s="168"/>
      <c r="M136" s="168"/>
    </row>
    <row r="137" spans="1:13" x14ac:dyDescent="0.2">
      <c r="A137" s="401" t="s">
        <v>201</v>
      </c>
      <c r="B137" s="523"/>
      <c r="C137" s="523">
        <f>'Mngt-Customer Care Total '!D62</f>
        <v>55047.3</v>
      </c>
      <c r="D137" s="530">
        <f>'Mngt-Central Customer Care '!D61</f>
        <v>1368.95</v>
      </c>
      <c r="E137" s="530">
        <f>'Mngt-Melb Customer Care '!D62</f>
        <v>22501.54</v>
      </c>
      <c r="F137" s="530">
        <f>'Mngt-Sydney Customer Care '!D62</f>
        <v>14661.22</v>
      </c>
      <c r="G137" s="530">
        <f>'Mngt-Perth Customer Care '!D62</f>
        <v>7243.03</v>
      </c>
      <c r="H137" s="530">
        <f>'Mngt-Bris Customer Care '!D62</f>
        <v>9272.56</v>
      </c>
      <c r="I137" s="528">
        <f t="shared" si="12"/>
        <v>55047.299999999996</v>
      </c>
      <c r="J137" s="535">
        <f t="shared" si="13"/>
        <v>0</v>
      </c>
      <c r="K137" s="168"/>
      <c r="L137" s="168"/>
      <c r="M137" s="168"/>
    </row>
    <row r="138" spans="1:13" x14ac:dyDescent="0.2">
      <c r="A138" s="401"/>
      <c r="B138" s="523"/>
      <c r="C138" s="523"/>
      <c r="D138" s="530"/>
      <c r="E138" s="530"/>
      <c r="F138" s="530"/>
      <c r="G138" s="530"/>
      <c r="H138" s="530"/>
      <c r="I138" s="528"/>
      <c r="J138" s="535"/>
      <c r="K138" s="168"/>
      <c r="L138" s="168"/>
      <c r="M138" s="168"/>
    </row>
    <row r="139" spans="1:13" x14ac:dyDescent="0.2">
      <c r="A139" s="401"/>
      <c r="B139" s="523"/>
      <c r="C139" s="523"/>
      <c r="D139" s="530"/>
      <c r="E139" s="530"/>
      <c r="F139" s="530"/>
      <c r="G139" s="530"/>
      <c r="H139" s="530"/>
      <c r="I139" s="528"/>
      <c r="J139" s="535"/>
      <c r="K139" s="168"/>
      <c r="L139" s="168"/>
      <c r="M139" s="168"/>
    </row>
    <row r="140" spans="1:13" x14ac:dyDescent="0.2">
      <c r="A140" s="401"/>
      <c r="B140" s="523"/>
      <c r="C140" s="523"/>
      <c r="D140" s="530"/>
      <c r="E140" s="530"/>
      <c r="F140" s="530"/>
      <c r="G140" s="530"/>
      <c r="H140" s="530"/>
      <c r="I140" s="528"/>
      <c r="J140" s="535"/>
      <c r="K140" s="168"/>
      <c r="L140" s="168"/>
      <c r="M140" s="168"/>
    </row>
    <row r="141" spans="1:13" ht="13.5" thickBot="1" x14ac:dyDescent="0.25">
      <c r="A141" s="516"/>
      <c r="B141" s="162"/>
      <c r="C141" s="162"/>
      <c r="D141" s="402"/>
      <c r="E141" s="402"/>
      <c r="F141" s="402"/>
      <c r="G141" s="402"/>
      <c r="H141" s="402"/>
      <c r="I141" s="533"/>
      <c r="J141" s="534"/>
      <c r="K141" s="168"/>
      <c r="L141" s="168"/>
      <c r="M141" s="168"/>
    </row>
    <row r="142" spans="1:13" x14ac:dyDescent="0.2">
      <c r="D142" s="168"/>
      <c r="E142" s="168"/>
      <c r="F142" s="168"/>
      <c r="G142" s="168"/>
      <c r="H142" s="168"/>
      <c r="I142" s="168"/>
      <c r="J142" s="168"/>
      <c r="K142" s="168"/>
      <c r="L142" s="168"/>
      <c r="M142" s="168"/>
    </row>
    <row r="143" spans="1:13" x14ac:dyDescent="0.2">
      <c r="D143" s="168"/>
      <c r="E143" s="168"/>
      <c r="F143" s="168"/>
      <c r="G143" s="168"/>
      <c r="H143" s="168"/>
      <c r="I143" s="168"/>
      <c r="J143" s="168"/>
      <c r="K143" s="168"/>
      <c r="L143" s="168"/>
      <c r="M143" s="168"/>
    </row>
    <row r="144" spans="1:13" x14ac:dyDescent="0.2">
      <c r="D144" s="168"/>
      <c r="E144" s="168"/>
      <c r="F144" s="168"/>
      <c r="G144" s="168"/>
      <c r="H144" s="168"/>
      <c r="I144" s="168"/>
      <c r="J144" s="168"/>
      <c r="K144" s="168"/>
      <c r="L144" s="168"/>
      <c r="M144" s="168"/>
    </row>
    <row r="145" spans="1:13" x14ac:dyDescent="0.2">
      <c r="D145" s="168"/>
      <c r="E145" s="168"/>
      <c r="F145" s="168"/>
      <c r="G145" s="168"/>
      <c r="H145" s="168"/>
      <c r="I145" s="168"/>
      <c r="J145" s="168"/>
      <c r="K145" s="168"/>
      <c r="L145" s="168"/>
      <c r="M145" s="168"/>
    </row>
    <row r="146" spans="1:13" ht="13.5" thickBot="1" x14ac:dyDescent="0.25">
      <c r="A146" s="525" t="s">
        <v>299</v>
      </c>
      <c r="D146" s="168"/>
      <c r="E146" s="168"/>
      <c r="F146" s="168"/>
      <c r="G146" s="168"/>
      <c r="H146" s="168"/>
      <c r="I146" s="168"/>
      <c r="J146" s="168"/>
      <c r="K146" s="168"/>
      <c r="L146" s="168"/>
      <c r="M146" s="168"/>
    </row>
    <row r="147" spans="1:13" x14ac:dyDescent="0.2">
      <c r="A147" s="518" t="s">
        <v>265</v>
      </c>
      <c r="B147" s="526"/>
      <c r="C147" s="514" t="s">
        <v>272</v>
      </c>
      <c r="D147" s="527" t="s">
        <v>301</v>
      </c>
      <c r="E147" s="527" t="s">
        <v>269</v>
      </c>
      <c r="F147" s="527" t="s">
        <v>268</v>
      </c>
      <c r="G147" s="527" t="s">
        <v>271</v>
      </c>
      <c r="H147" s="527" t="s">
        <v>270</v>
      </c>
      <c r="I147" s="531" t="s">
        <v>272</v>
      </c>
      <c r="J147" s="532" t="s">
        <v>292</v>
      </c>
      <c r="K147" s="168"/>
      <c r="L147" s="168"/>
      <c r="M147" s="168"/>
    </row>
    <row r="148" spans="1:13" ht="13.5" thickBot="1" x14ac:dyDescent="0.25">
      <c r="A148" s="516"/>
      <c r="B148" s="162"/>
      <c r="C148" s="162"/>
      <c r="D148" s="402"/>
      <c r="E148" s="402"/>
      <c r="F148" s="402"/>
      <c r="G148" s="402"/>
      <c r="H148" s="402"/>
      <c r="I148" s="533"/>
      <c r="J148" s="534"/>
      <c r="K148" s="168"/>
      <c r="L148" s="168"/>
      <c r="M148" s="168"/>
    </row>
    <row r="149" spans="1:13" hidden="1" outlineLevel="1" x14ac:dyDescent="0.2">
      <c r="A149" s="528" t="s">
        <v>160</v>
      </c>
      <c r="B149" s="523"/>
      <c r="C149" s="523">
        <f>'Mngt-Customer Care Total '!S71</f>
        <v>0</v>
      </c>
      <c r="D149" s="530">
        <f>'Mngt-Central Customer Care '!S71</f>
        <v>0</v>
      </c>
      <c r="E149" s="530">
        <f>'Mngt-Melb Customer Care '!S71</f>
        <v>0</v>
      </c>
      <c r="F149" s="530">
        <f>'Mngt-Sydney Customer Care '!S71</f>
        <v>0</v>
      </c>
      <c r="G149" s="530">
        <f>'Mngt-Perth Customer Care '!S71</f>
        <v>0</v>
      </c>
      <c r="H149" s="530">
        <f>'Mngt-Bris Customer Care '!S71</f>
        <v>0</v>
      </c>
      <c r="I149" s="528">
        <f t="shared" ref="I149:I154" si="14">SUM(D149:H149)</f>
        <v>0</v>
      </c>
      <c r="J149" s="535">
        <f t="shared" ref="J149:J154" si="15">I149-C149</f>
        <v>0</v>
      </c>
      <c r="K149" s="168"/>
      <c r="L149" s="168"/>
      <c r="M149" s="168"/>
    </row>
    <row r="150" spans="1:13" hidden="1" outlineLevel="1" x14ac:dyDescent="0.2">
      <c r="A150" s="528" t="s">
        <v>161</v>
      </c>
      <c r="B150" s="523"/>
      <c r="C150" s="523">
        <f>'Mngt-Customer Care Total '!S72</f>
        <v>0</v>
      </c>
      <c r="D150" s="530">
        <f>'Mngt-Central Customer Care '!S72</f>
        <v>0</v>
      </c>
      <c r="E150" s="530">
        <f>'Mngt-Melb Customer Care '!S72</f>
        <v>0</v>
      </c>
      <c r="F150" s="530">
        <f>'Mngt-Sydney Customer Care '!S72</f>
        <v>0</v>
      </c>
      <c r="G150" s="530">
        <f>'Mngt-Perth Customer Care '!S72</f>
        <v>0</v>
      </c>
      <c r="H150" s="530">
        <f>'Mngt-Bris Customer Care '!S72</f>
        <v>0</v>
      </c>
      <c r="I150" s="528">
        <f t="shared" si="14"/>
        <v>0</v>
      </c>
      <c r="J150" s="535">
        <f t="shared" si="15"/>
        <v>0</v>
      </c>
      <c r="K150" s="168"/>
      <c r="L150" s="168"/>
      <c r="M150" s="168"/>
    </row>
    <row r="151" spans="1:13" hidden="1" outlineLevel="1" x14ac:dyDescent="0.2">
      <c r="A151" s="528" t="s">
        <v>162</v>
      </c>
      <c r="B151" s="523"/>
      <c r="C151" s="523">
        <f>'Mngt-Customer Care Total '!S73</f>
        <v>0</v>
      </c>
      <c r="D151" s="530">
        <f>'Mngt-Central Customer Care '!S73</f>
        <v>0</v>
      </c>
      <c r="E151" s="530">
        <f>'Mngt-Melb Customer Care '!S73</f>
        <v>0</v>
      </c>
      <c r="F151" s="530">
        <f>'Mngt-Sydney Customer Care '!S73</f>
        <v>0</v>
      </c>
      <c r="G151" s="530">
        <f>'Mngt-Perth Customer Care '!S73</f>
        <v>0</v>
      </c>
      <c r="H151" s="530">
        <f>'Mngt-Bris Customer Care '!S73</f>
        <v>0</v>
      </c>
      <c r="I151" s="528">
        <f t="shared" si="14"/>
        <v>0</v>
      </c>
      <c r="J151" s="535">
        <f t="shared" si="15"/>
        <v>0</v>
      </c>
      <c r="K151" s="168"/>
      <c r="L151" s="168"/>
      <c r="M151" s="168"/>
    </row>
    <row r="152" spans="1:13" hidden="1" outlineLevel="1" x14ac:dyDescent="0.2">
      <c r="A152" s="528" t="s">
        <v>163</v>
      </c>
      <c r="B152" s="523"/>
      <c r="C152" s="523">
        <f>'Mngt-Customer Care Total '!S74</f>
        <v>0</v>
      </c>
      <c r="D152" s="530">
        <f>'Mngt-Central Customer Care '!S74</f>
        <v>0</v>
      </c>
      <c r="E152" s="530">
        <f>'Mngt-Melb Customer Care '!S74</f>
        <v>0</v>
      </c>
      <c r="F152" s="530">
        <f>'Mngt-Sydney Customer Care '!S74</f>
        <v>0</v>
      </c>
      <c r="G152" s="530">
        <f>'Mngt-Perth Customer Care '!S74</f>
        <v>0</v>
      </c>
      <c r="H152" s="530">
        <f>'Mngt-Bris Customer Care '!S74</f>
        <v>0</v>
      </c>
      <c r="I152" s="528">
        <f t="shared" si="14"/>
        <v>0</v>
      </c>
      <c r="J152" s="535">
        <f t="shared" si="15"/>
        <v>0</v>
      </c>
      <c r="K152" s="168"/>
      <c r="L152" s="168"/>
      <c r="M152" s="168"/>
    </row>
    <row r="153" spans="1:13" hidden="1" outlineLevel="1" x14ac:dyDescent="0.2">
      <c r="A153" s="528" t="s">
        <v>164</v>
      </c>
      <c r="B153" s="523"/>
      <c r="C153" s="523">
        <f>'Mngt-Customer Care Total '!S75</f>
        <v>0</v>
      </c>
      <c r="D153" s="530">
        <f>'Mngt-Central Customer Care '!S75</f>
        <v>0</v>
      </c>
      <c r="E153" s="530">
        <f>'Mngt-Melb Customer Care '!S75</f>
        <v>0</v>
      </c>
      <c r="F153" s="530">
        <f>'Mngt-Sydney Customer Care '!S75</f>
        <v>0</v>
      </c>
      <c r="G153" s="530">
        <f>'Mngt-Perth Customer Care '!S75</f>
        <v>0</v>
      </c>
      <c r="H153" s="530">
        <f>'Mngt-Bris Customer Care '!S75</f>
        <v>0</v>
      </c>
      <c r="I153" s="528">
        <f t="shared" si="14"/>
        <v>0</v>
      </c>
      <c r="J153" s="535">
        <f t="shared" si="15"/>
        <v>0</v>
      </c>
      <c r="K153" s="168"/>
      <c r="L153" s="168"/>
      <c r="M153" s="168"/>
    </row>
    <row r="154" spans="1:13" hidden="1" outlineLevel="1" x14ac:dyDescent="0.2">
      <c r="A154" s="528" t="s">
        <v>165</v>
      </c>
      <c r="B154" s="523"/>
      <c r="C154" s="523">
        <f>'Mngt-Customer Care Total '!S76</f>
        <v>0</v>
      </c>
      <c r="D154" s="530">
        <f>'Mngt-Central Customer Care '!S76</f>
        <v>0</v>
      </c>
      <c r="E154" s="530">
        <f>'Mngt-Melb Customer Care '!S76</f>
        <v>0</v>
      </c>
      <c r="F154" s="530">
        <f>'Mngt-Sydney Customer Care '!S76</f>
        <v>0</v>
      </c>
      <c r="G154" s="530">
        <f>'Mngt-Perth Customer Care '!S76</f>
        <v>0</v>
      </c>
      <c r="H154" s="530">
        <f>'Mngt-Bris Customer Care '!S76</f>
        <v>0</v>
      </c>
      <c r="I154" s="528">
        <f t="shared" si="14"/>
        <v>0</v>
      </c>
      <c r="J154" s="535">
        <f t="shared" si="15"/>
        <v>0</v>
      </c>
      <c r="K154" s="168"/>
      <c r="L154" s="168"/>
      <c r="M154" s="168"/>
    </row>
    <row r="155" spans="1:13" collapsed="1" x14ac:dyDescent="0.2">
      <c r="A155" s="401" t="s">
        <v>166</v>
      </c>
      <c r="B155" s="523"/>
      <c r="C155" s="523">
        <f>'Mngt-Lab Admin Total'!D9</f>
        <v>83506.22</v>
      </c>
      <c r="D155" s="530">
        <f>'Mngt-Central Lab Admin '!D8</f>
        <v>56742.83</v>
      </c>
      <c r="E155" s="530">
        <f>'Mngt-Melb Lab Admin '!D8</f>
        <v>8602.82</v>
      </c>
      <c r="F155" s="530">
        <f>'Mngt-Sydney Lab Admin '!D8</f>
        <v>0</v>
      </c>
      <c r="G155" s="530">
        <f>'Mngt-Perth Lab Admin'!D8</f>
        <v>0</v>
      </c>
      <c r="H155" s="530">
        <f>'Mngt-Bris Lab Admin '!D9</f>
        <v>0</v>
      </c>
      <c r="I155" s="528">
        <f>SUM(D155:H155)</f>
        <v>65345.65</v>
      </c>
      <c r="J155" s="535">
        <f>I155-C155</f>
        <v>-18160.57</v>
      </c>
      <c r="K155" s="168"/>
      <c r="L155" s="168"/>
      <c r="M155" s="168"/>
    </row>
    <row r="156" spans="1:13" x14ac:dyDescent="0.2">
      <c r="A156" s="401" t="s">
        <v>167</v>
      </c>
      <c r="B156" s="523"/>
      <c r="C156" s="523">
        <f>'Mngt-Lab Admin Total'!D10</f>
        <v>759.9</v>
      </c>
      <c r="D156" s="530">
        <f>'Mngt-Central Lab Admin '!D9</f>
        <v>759.9</v>
      </c>
      <c r="E156" s="530">
        <f>'Mngt-Melb Lab Admin '!D9</f>
        <v>0</v>
      </c>
      <c r="F156" s="530">
        <f>'Mngt-Sydney Lab Admin '!D9</f>
        <v>10306.31</v>
      </c>
      <c r="G156" s="530">
        <f>'Mngt-Perth Lab Admin'!D9</f>
        <v>0</v>
      </c>
      <c r="H156" s="530">
        <f>'Mngt-Bris Lab Admin '!D10</f>
        <v>0</v>
      </c>
      <c r="I156" s="528">
        <f t="shared" ref="I156:I165" si="16">SUM(D156:H156)</f>
        <v>11066.21</v>
      </c>
      <c r="J156" s="535">
        <f t="shared" ref="J156:J165" si="17">I156-C156</f>
        <v>10306.31</v>
      </c>
      <c r="K156" s="168"/>
      <c r="L156" s="168"/>
      <c r="M156" s="168"/>
    </row>
    <row r="157" spans="1:13" x14ac:dyDescent="0.2">
      <c r="A157" s="401" t="s">
        <v>168</v>
      </c>
      <c r="B157" s="523"/>
      <c r="C157" s="523">
        <f>'Mngt-Lab Admin Total'!D11</f>
        <v>0</v>
      </c>
      <c r="D157" s="530">
        <f>'Mngt-Central Lab Admin '!D10</f>
        <v>0</v>
      </c>
      <c r="E157" s="530">
        <f>'Mngt-Melb Lab Admin '!D10</f>
        <v>0</v>
      </c>
      <c r="F157" s="530">
        <f>'Mngt-Sydney Lab Admin '!D10</f>
        <v>0</v>
      </c>
      <c r="G157" s="530">
        <f>'Mngt-Perth Lab Admin'!D10</f>
        <v>0</v>
      </c>
      <c r="H157" s="530">
        <f>'Mngt-Bris Lab Admin '!D11</f>
        <v>509.92</v>
      </c>
      <c r="I157" s="528">
        <f t="shared" si="16"/>
        <v>509.92</v>
      </c>
      <c r="J157" s="535">
        <f t="shared" si="17"/>
        <v>509.92</v>
      </c>
      <c r="K157" s="168"/>
      <c r="L157" s="168"/>
      <c r="M157" s="168"/>
    </row>
    <row r="158" spans="1:13" x14ac:dyDescent="0.2">
      <c r="A158" s="401" t="s">
        <v>169</v>
      </c>
      <c r="B158" s="523"/>
      <c r="C158" s="523">
        <f>'Mngt-Lab Admin Total'!D12</f>
        <v>3533.07</v>
      </c>
      <c r="D158" s="530">
        <f>'Mngt-Central Lab Admin '!D11</f>
        <v>195.73</v>
      </c>
      <c r="E158" s="530">
        <f>'Mngt-Melb Lab Admin '!D11</f>
        <v>1201.77</v>
      </c>
      <c r="F158" s="530">
        <f>'Mngt-Sydney Lab Admin '!D11</f>
        <v>0</v>
      </c>
      <c r="G158" s="530">
        <f>'Mngt-Perth Lab Admin'!D11</f>
        <v>889.7</v>
      </c>
      <c r="H158" s="530">
        <f>'Mngt-Bris Lab Admin '!D12</f>
        <v>0</v>
      </c>
      <c r="I158" s="528">
        <f t="shared" si="16"/>
        <v>2287.1999999999998</v>
      </c>
      <c r="J158" s="535">
        <f t="shared" si="17"/>
        <v>-1245.8700000000003</v>
      </c>
      <c r="K158" s="168"/>
      <c r="L158" s="168"/>
      <c r="M158" s="168"/>
    </row>
    <row r="159" spans="1:13" x14ac:dyDescent="0.2">
      <c r="A159" s="401" t="s">
        <v>50</v>
      </c>
      <c r="B159" s="523"/>
      <c r="C159" s="523">
        <f>'Mngt-Lab Admin Total'!D13</f>
        <v>0</v>
      </c>
      <c r="D159" s="530">
        <f>'Mngt-Central Lab Admin '!D12</f>
        <v>0</v>
      </c>
      <c r="E159" s="530">
        <f>'Mngt-Melb Lab Admin '!D12</f>
        <v>0</v>
      </c>
      <c r="F159" s="530">
        <f>'Mngt-Sydney Lab Admin '!D12</f>
        <v>735.95</v>
      </c>
      <c r="G159" s="530">
        <f>'Mngt-Perth Lab Admin'!D12</f>
        <v>0</v>
      </c>
      <c r="H159" s="530">
        <f>'Mngt-Bris Lab Admin '!D13</f>
        <v>0</v>
      </c>
      <c r="I159" s="528">
        <f t="shared" si="16"/>
        <v>735.95</v>
      </c>
      <c r="J159" s="535">
        <f t="shared" si="17"/>
        <v>735.95</v>
      </c>
      <c r="K159" s="168"/>
      <c r="L159" s="168"/>
      <c r="M159" s="168"/>
    </row>
    <row r="160" spans="1:13" x14ac:dyDescent="0.2">
      <c r="A160" s="401" t="s">
        <v>170</v>
      </c>
      <c r="B160" s="523"/>
      <c r="C160" s="523">
        <f>'Mngt-Lab Admin Total'!D14</f>
        <v>0</v>
      </c>
      <c r="D160" s="523">
        <f>'Mngt-Central Lab Admin '!D13</f>
        <v>0</v>
      </c>
      <c r="E160" s="523">
        <f>'Mngt-Melb Lab Admin '!D13</f>
        <v>0</v>
      </c>
      <c r="F160" s="523">
        <f>'Mngt-Sydney Lab Admin '!D13</f>
        <v>0</v>
      </c>
      <c r="G160" s="523">
        <f>'Mngt-Perth Lab Admin'!D13</f>
        <v>0</v>
      </c>
      <c r="H160" s="523">
        <f>'Mngt-Bris Lab Admin '!D14</f>
        <v>0</v>
      </c>
      <c r="I160" s="401">
        <f t="shared" si="16"/>
        <v>0</v>
      </c>
      <c r="J160" s="524">
        <f t="shared" si="17"/>
        <v>0</v>
      </c>
    </row>
    <row r="161" spans="1:10" x14ac:dyDescent="0.2">
      <c r="A161" s="401" t="s">
        <v>171</v>
      </c>
      <c r="B161" s="523"/>
      <c r="C161" s="523">
        <f>'Mngt-Lab Admin Total'!D15</f>
        <v>5107.18</v>
      </c>
      <c r="D161" s="523">
        <f>'Mngt-Central Lab Admin '!D14</f>
        <v>0</v>
      </c>
      <c r="E161" s="523">
        <f>'Mngt-Melb Lab Admin '!D14</f>
        <v>0</v>
      </c>
      <c r="F161" s="523">
        <f>'Mngt-Sydney Lab Admin '!D14</f>
        <v>0</v>
      </c>
      <c r="G161" s="523">
        <f>'Mngt-Perth Lab Admin'!D14</f>
        <v>0</v>
      </c>
      <c r="H161" s="523">
        <f>'Mngt-Bris Lab Admin '!D15</f>
        <v>0</v>
      </c>
      <c r="I161" s="401">
        <f t="shared" si="16"/>
        <v>0</v>
      </c>
      <c r="J161" s="524">
        <f t="shared" si="17"/>
        <v>-5107.18</v>
      </c>
    </row>
    <row r="162" spans="1:10" x14ac:dyDescent="0.2">
      <c r="A162" s="401" t="s">
        <v>172</v>
      </c>
      <c r="B162" s="523"/>
      <c r="C162" s="523">
        <f>'Mngt-Lab Admin Total'!D16</f>
        <v>0</v>
      </c>
      <c r="D162" s="523">
        <f>'Mngt-Central Lab Admin '!D15</f>
        <v>0</v>
      </c>
      <c r="E162" s="523">
        <f>'Mngt-Melb Lab Admin '!D15</f>
        <v>0</v>
      </c>
      <c r="F162" s="523">
        <f>'Mngt-Sydney Lab Admin '!D15</f>
        <v>5107.18</v>
      </c>
      <c r="G162" s="523">
        <f>'Mngt-Perth Lab Admin'!D15</f>
        <v>0</v>
      </c>
      <c r="H162" s="523">
        <f>'Mngt-Bris Lab Admin '!D16</f>
        <v>92.01</v>
      </c>
      <c r="I162" s="401">
        <f t="shared" si="16"/>
        <v>5199.1900000000005</v>
      </c>
      <c r="J162" s="524">
        <f t="shared" si="17"/>
        <v>5199.1900000000005</v>
      </c>
    </row>
    <row r="163" spans="1:10" x14ac:dyDescent="0.2">
      <c r="A163" s="401" t="s">
        <v>173</v>
      </c>
      <c r="B163" s="523"/>
      <c r="C163" s="523">
        <f>'Mngt-Lab Admin Total'!D17</f>
        <v>1461.15</v>
      </c>
      <c r="D163" s="523">
        <f>'Mngt-Central Lab Admin '!D16</f>
        <v>793.73</v>
      </c>
      <c r="E163" s="523">
        <f>'Mngt-Melb Lab Admin '!D16</f>
        <v>305.13</v>
      </c>
      <c r="F163" s="523">
        <f>'Mngt-Sydney Lab Admin '!D16</f>
        <v>0</v>
      </c>
      <c r="G163" s="523">
        <f>'Mngt-Perth Lab Admin'!D16</f>
        <v>108.29</v>
      </c>
      <c r="H163" s="523">
        <f>'Mngt-Bris Lab Admin '!D17</f>
        <v>395.85</v>
      </c>
      <c r="I163" s="401">
        <f t="shared" si="16"/>
        <v>1603</v>
      </c>
      <c r="J163" s="524">
        <f t="shared" si="17"/>
        <v>141.84999999999991</v>
      </c>
    </row>
    <row r="164" spans="1:10" x14ac:dyDescent="0.2">
      <c r="A164" s="401" t="s">
        <v>257</v>
      </c>
      <c r="B164" s="523"/>
      <c r="C164" s="523">
        <f>'Mngt-Lab Admin Total'!D18</f>
        <v>3404.35</v>
      </c>
      <c r="D164" s="523">
        <f>'Mngt-Central Lab Admin '!D17</f>
        <v>1583.42</v>
      </c>
      <c r="E164" s="523">
        <f>'Mngt-Melb Lab Admin '!D17</f>
        <v>633.37</v>
      </c>
      <c r="F164" s="523">
        <f>'Mngt-Sydney Lab Admin '!D17</f>
        <v>161.99</v>
      </c>
      <c r="G164" s="523">
        <f>IFERROR('Consistency Check - Actual'!D17,0)</f>
        <v>9543.7099999999991</v>
      </c>
      <c r="H164" s="523">
        <f>'Mngt-Bris Lab Admin '!D18</f>
        <v>0</v>
      </c>
      <c r="I164" s="401">
        <f t="shared" si="16"/>
        <v>11922.489999999998</v>
      </c>
      <c r="J164" s="524">
        <f t="shared" si="17"/>
        <v>8518.1399999999976</v>
      </c>
    </row>
    <row r="165" spans="1:10" x14ac:dyDescent="0.2">
      <c r="A165" s="401" t="s">
        <v>70</v>
      </c>
      <c r="B165" s="523"/>
      <c r="C165" s="523">
        <f>'Mngt-Lab Admin Total'!D22</f>
        <v>3048</v>
      </c>
      <c r="D165" s="523">
        <f>'Mngt-Central Lab Admin '!D21</f>
        <v>170</v>
      </c>
      <c r="E165" s="523">
        <f>'Mngt-Melb Lab Admin '!D21</f>
        <v>62</v>
      </c>
      <c r="F165" s="523">
        <f>'Mngt-Sydney Lab Admin '!D21</f>
        <v>0</v>
      </c>
      <c r="G165" s="523">
        <f>'Mngt-Perth Lab Admin'!D20</f>
        <v>2764</v>
      </c>
      <c r="H165" s="523">
        <f>'Mngt-Bris Lab Admin '!D22</f>
        <v>0</v>
      </c>
      <c r="I165" s="401">
        <f t="shared" si="16"/>
        <v>2996</v>
      </c>
      <c r="J165" s="524">
        <f t="shared" si="17"/>
        <v>-52</v>
      </c>
    </row>
    <row r="166" spans="1:10" hidden="1" outlineLevel="1" x14ac:dyDescent="0.2">
      <c r="A166" s="401" t="s">
        <v>174</v>
      </c>
      <c r="B166" s="523"/>
      <c r="C166" s="523">
        <f>'Mngt-Customer Care Total '!B91</f>
        <v>0</v>
      </c>
      <c r="D166" s="523"/>
      <c r="E166" s="523">
        <f>'Mngt-Melb Customer Care '!B88</f>
        <v>0</v>
      </c>
      <c r="F166" s="523"/>
      <c r="G166" s="523">
        <f>'Mngt-Perth Customer Care '!D91</f>
        <v>0</v>
      </c>
      <c r="H166" s="523">
        <f>'Mngt-Bris Lab Admin '!D20</f>
        <v>0</v>
      </c>
      <c r="I166" s="401">
        <f>SUM(D166:H166)</f>
        <v>0</v>
      </c>
      <c r="J166" s="524">
        <f>I166-C166</f>
        <v>0</v>
      </c>
    </row>
    <row r="167" spans="1:10" hidden="1" outlineLevel="1" x14ac:dyDescent="0.2">
      <c r="A167" s="401" t="s">
        <v>99</v>
      </c>
      <c r="B167" s="523"/>
      <c r="C167" s="523">
        <f>'Mngt-Customer Care Total '!B92</f>
        <v>0</v>
      </c>
      <c r="D167" s="523"/>
      <c r="E167" s="523">
        <f>'Mngt-Melb Customer Care '!B89</f>
        <v>0</v>
      </c>
      <c r="F167" s="523">
        <f>'Mngt-Sydney Customer Care '!D92</f>
        <v>0</v>
      </c>
      <c r="G167" s="523">
        <f>'Mngt-Perth Customer Care '!D92</f>
        <v>0</v>
      </c>
      <c r="H167" s="523">
        <f>'Mngt-Bris Lab Admin '!D21</f>
        <v>17</v>
      </c>
      <c r="I167" s="401">
        <f t="shared" ref="I167:I175" si="18">SUM(D167:H167)</f>
        <v>17</v>
      </c>
      <c r="J167" s="524">
        <f t="shared" ref="J167:J205" si="19">I167-C167</f>
        <v>17</v>
      </c>
    </row>
    <row r="168" spans="1:10" hidden="1" outlineLevel="1" x14ac:dyDescent="0.2">
      <c r="A168" s="401" t="s">
        <v>175</v>
      </c>
      <c r="B168" s="523"/>
      <c r="C168" s="523">
        <f>'Mngt-Customer Care Total '!B93</f>
        <v>0</v>
      </c>
      <c r="D168" s="523"/>
      <c r="E168" s="523">
        <f>'Mngt-Melb Customer Care '!B90</f>
        <v>0</v>
      </c>
      <c r="F168" s="523">
        <f>'Mngt-Sydney Customer Care '!D93</f>
        <v>0</v>
      </c>
      <c r="G168" s="523">
        <f>'Mngt-Perth Customer Care '!D93</f>
        <v>0</v>
      </c>
      <c r="H168" s="523">
        <f>'Mngt-Bris Lab Admin '!D22</f>
        <v>0</v>
      </c>
      <c r="I168" s="401">
        <f t="shared" si="18"/>
        <v>0</v>
      </c>
      <c r="J168" s="524">
        <f t="shared" si="19"/>
        <v>0</v>
      </c>
    </row>
    <row r="169" spans="1:10" hidden="1" outlineLevel="1" x14ac:dyDescent="0.2">
      <c r="A169" s="401" t="s">
        <v>100</v>
      </c>
      <c r="B169" s="523"/>
      <c r="C169" s="523">
        <f>'Mngt-Customer Care Total '!B94</f>
        <v>0</v>
      </c>
      <c r="D169" s="523"/>
      <c r="E169" s="523">
        <f>'Mngt-Melb Customer Care '!B91</f>
        <v>0</v>
      </c>
      <c r="F169" s="523">
        <f>'Mngt-Sydney Customer Care '!D94</f>
        <v>0</v>
      </c>
      <c r="G169" s="523">
        <f>'Mngt-Perth Customer Care '!D94</f>
        <v>0</v>
      </c>
      <c r="H169" s="523">
        <f>'Mngt-Bris Lab Admin '!D23</f>
        <v>156.06</v>
      </c>
      <c r="I169" s="401">
        <f t="shared" si="18"/>
        <v>156.06</v>
      </c>
      <c r="J169" s="524">
        <f t="shared" si="19"/>
        <v>156.06</v>
      </c>
    </row>
    <row r="170" spans="1:10" hidden="1" outlineLevel="1" x14ac:dyDescent="0.2">
      <c r="A170" s="401" t="s">
        <v>101</v>
      </c>
      <c r="B170" s="523"/>
      <c r="C170" s="523">
        <f>'Mngt-Customer Care Total '!B95</f>
        <v>0</v>
      </c>
      <c r="D170" s="523"/>
      <c r="E170" s="523">
        <f>'Mngt-Melb Customer Care '!B92</f>
        <v>0</v>
      </c>
      <c r="F170" s="523">
        <f>'Mngt-Sydney Customer Care '!D95</f>
        <v>0</v>
      </c>
      <c r="G170" s="523">
        <f>'Mngt-Perth Customer Care '!D95</f>
        <v>0</v>
      </c>
      <c r="H170" s="523">
        <f>'Mngt-Bris Lab Admin '!D24</f>
        <v>0</v>
      </c>
      <c r="I170" s="401">
        <f t="shared" si="18"/>
        <v>0</v>
      </c>
      <c r="J170" s="524">
        <f t="shared" si="19"/>
        <v>0</v>
      </c>
    </row>
    <row r="171" spans="1:10" hidden="1" outlineLevel="1" x14ac:dyDescent="0.2">
      <c r="A171" s="401" t="s">
        <v>176</v>
      </c>
      <c r="B171" s="523"/>
      <c r="C171" s="523">
        <f>'Mngt-Customer Care Total '!B96</f>
        <v>0</v>
      </c>
      <c r="D171" s="523"/>
      <c r="E171" s="523">
        <f>'Mngt-Melb Customer Care '!B93</f>
        <v>0</v>
      </c>
      <c r="F171" s="523">
        <f>'Mngt-Sydney Customer Care '!D96</f>
        <v>0</v>
      </c>
      <c r="G171" s="523">
        <f>'Mngt-Perth Customer Care '!D96</f>
        <v>0</v>
      </c>
      <c r="H171" s="523">
        <f>'Mngt-Bris Lab Admin '!D26</f>
        <v>49.03</v>
      </c>
      <c r="I171" s="401">
        <f t="shared" si="18"/>
        <v>49.03</v>
      </c>
      <c r="J171" s="524">
        <f t="shared" si="19"/>
        <v>49.03</v>
      </c>
    </row>
    <row r="172" spans="1:10" hidden="1" outlineLevel="1" x14ac:dyDescent="0.2">
      <c r="A172" s="401" t="s">
        <v>102</v>
      </c>
      <c r="B172" s="523"/>
      <c r="C172" s="523">
        <f>'Mngt-Customer Care Total '!B97</f>
        <v>0</v>
      </c>
      <c r="D172" s="523"/>
      <c r="E172" s="523">
        <f>'Mngt-Melb Customer Care '!B94</f>
        <v>0</v>
      </c>
      <c r="F172" s="523">
        <f>'Mngt-Sydney Customer Care '!D97</f>
        <v>0</v>
      </c>
      <c r="G172" s="523">
        <f>'Mngt-Perth Customer Care '!D97</f>
        <v>0</v>
      </c>
      <c r="H172" s="523">
        <f>'Mngt-Bris Lab Admin '!D27</f>
        <v>0</v>
      </c>
      <c r="I172" s="401">
        <f t="shared" si="18"/>
        <v>0</v>
      </c>
      <c r="J172" s="524">
        <f t="shared" si="19"/>
        <v>0</v>
      </c>
    </row>
    <row r="173" spans="1:10" hidden="1" outlineLevel="1" x14ac:dyDescent="0.2">
      <c r="A173" s="401" t="s">
        <v>75</v>
      </c>
      <c r="B173" s="523"/>
      <c r="C173" s="523">
        <f>'Mngt-Customer Care Total '!B98</f>
        <v>0</v>
      </c>
      <c r="D173" s="523"/>
      <c r="E173" s="523">
        <f>'Mngt-Melb Customer Care '!B95</f>
        <v>0</v>
      </c>
      <c r="F173" s="523">
        <f>'Mngt-Sydney Customer Care '!D98</f>
        <v>0</v>
      </c>
      <c r="G173" s="523">
        <f>'Mngt-Perth Customer Care '!D98</f>
        <v>0</v>
      </c>
      <c r="H173" s="523">
        <f>'Mngt-Bris Lab Admin '!D28</f>
        <v>103.58</v>
      </c>
      <c r="I173" s="401">
        <f t="shared" si="18"/>
        <v>103.58</v>
      </c>
      <c r="J173" s="524">
        <f t="shared" si="19"/>
        <v>103.58</v>
      </c>
    </row>
    <row r="174" spans="1:10" hidden="1" outlineLevel="1" x14ac:dyDescent="0.2">
      <c r="A174" s="401" t="s">
        <v>76</v>
      </c>
      <c r="B174" s="523"/>
      <c r="C174" s="523">
        <f>'Mngt-Customer Care Total '!B99</f>
        <v>0</v>
      </c>
      <c r="D174" s="523"/>
      <c r="E174" s="523">
        <f>'Mngt-Melb Customer Care '!B96</f>
        <v>0</v>
      </c>
      <c r="F174" s="523">
        <f>'Mngt-Sydney Customer Care '!D99</f>
        <v>0</v>
      </c>
      <c r="G174" s="523">
        <f>'Mngt-Perth Customer Care '!D99</f>
        <v>0</v>
      </c>
      <c r="H174" s="523">
        <f>'Mngt-Bris Lab Admin '!D29</f>
        <v>0</v>
      </c>
      <c r="I174" s="401">
        <f t="shared" si="18"/>
        <v>0</v>
      </c>
      <c r="J174" s="524">
        <f t="shared" si="19"/>
        <v>0</v>
      </c>
    </row>
    <row r="175" spans="1:10" hidden="1" outlineLevel="1" x14ac:dyDescent="0.2">
      <c r="A175" s="401" t="s">
        <v>77</v>
      </c>
      <c r="B175" s="523"/>
      <c r="C175" s="523">
        <f>'Mngt-Customer Care Total '!B100</f>
        <v>0</v>
      </c>
      <c r="D175" s="523"/>
      <c r="E175" s="523">
        <f>'Mngt-Melb Customer Care '!B97</f>
        <v>0</v>
      </c>
      <c r="F175" s="523">
        <f>'Mngt-Sydney Customer Care '!D100</f>
        <v>0</v>
      </c>
      <c r="G175" s="523">
        <f>'Mngt-Perth Customer Care '!D100</f>
        <v>0</v>
      </c>
      <c r="H175" s="523">
        <f>'Mngt-Bris Lab Admin '!D30</f>
        <v>2419.33</v>
      </c>
      <c r="I175" s="401">
        <f t="shared" si="18"/>
        <v>2419.33</v>
      </c>
      <c r="J175" s="524">
        <f t="shared" si="19"/>
        <v>2419.33</v>
      </c>
    </row>
    <row r="176" spans="1:10" collapsed="1" x14ac:dyDescent="0.2">
      <c r="A176" s="401" t="s">
        <v>177</v>
      </c>
      <c r="B176" s="523"/>
      <c r="C176" s="523">
        <f>'Mngt-Lab Admin Total'!D33</f>
        <v>16582.400000000001</v>
      </c>
      <c r="D176" s="523">
        <f>'Mngt-Central Lab Admin '!D32</f>
        <v>1671.14</v>
      </c>
      <c r="E176" s="523">
        <f>'Mngt-Melb Lab Admin '!D32</f>
        <v>3949.62</v>
      </c>
      <c r="F176" s="523">
        <f>'Mngt-Sydney Lab Admin '!D32</f>
        <v>0</v>
      </c>
      <c r="G176" s="523">
        <f>'Mngt-Perth Lab Admin'!D30</f>
        <v>3720.91</v>
      </c>
      <c r="H176" s="523">
        <f>'Mngt-Bris Lab Admin '!D33</f>
        <v>0</v>
      </c>
      <c r="I176" s="401">
        <f>SUM(D176:H176)</f>
        <v>9341.67</v>
      </c>
      <c r="J176" s="524">
        <f t="shared" si="19"/>
        <v>-7240.7300000000014</v>
      </c>
    </row>
    <row r="177" spans="1:10" hidden="1" outlineLevel="1" x14ac:dyDescent="0.2">
      <c r="A177" s="401" t="s">
        <v>178</v>
      </c>
      <c r="B177" s="523"/>
      <c r="C177" s="523"/>
      <c r="D177" s="523"/>
      <c r="E177" s="523"/>
      <c r="F177" s="523"/>
      <c r="G177" s="523"/>
      <c r="H177" s="523"/>
      <c r="I177" s="401">
        <f t="shared" ref="I177:I205" si="20">SUM(D177:H177)</f>
        <v>0</v>
      </c>
      <c r="J177" s="524">
        <f t="shared" si="19"/>
        <v>0</v>
      </c>
    </row>
    <row r="178" spans="1:10" hidden="1" outlineLevel="1" x14ac:dyDescent="0.2">
      <c r="A178" s="401" t="s">
        <v>179</v>
      </c>
      <c r="B178" s="523"/>
      <c r="C178" s="523"/>
      <c r="D178" s="523"/>
      <c r="E178" s="523"/>
      <c r="F178" s="523"/>
      <c r="G178" s="523"/>
      <c r="H178" s="523"/>
      <c r="I178" s="401">
        <f t="shared" si="20"/>
        <v>0</v>
      </c>
      <c r="J178" s="524">
        <f t="shared" si="19"/>
        <v>0</v>
      </c>
    </row>
    <row r="179" spans="1:10" hidden="1" outlineLevel="1" x14ac:dyDescent="0.2">
      <c r="A179" s="401" t="s">
        <v>180</v>
      </c>
      <c r="B179" s="523"/>
      <c r="C179" s="523"/>
      <c r="D179" s="523"/>
      <c r="E179" s="523"/>
      <c r="F179" s="523"/>
      <c r="G179" s="523"/>
      <c r="H179" s="523"/>
      <c r="I179" s="401">
        <f t="shared" si="20"/>
        <v>0</v>
      </c>
      <c r="J179" s="524">
        <f t="shared" si="19"/>
        <v>0</v>
      </c>
    </row>
    <row r="180" spans="1:10" hidden="1" outlineLevel="1" x14ac:dyDescent="0.2">
      <c r="A180" s="401" t="s">
        <v>181</v>
      </c>
      <c r="B180" s="523"/>
      <c r="C180" s="523"/>
      <c r="D180" s="523"/>
      <c r="E180" s="523"/>
      <c r="F180" s="523"/>
      <c r="G180" s="523"/>
      <c r="H180" s="523"/>
      <c r="I180" s="401">
        <f t="shared" si="20"/>
        <v>0</v>
      </c>
      <c r="J180" s="524">
        <f t="shared" si="19"/>
        <v>0</v>
      </c>
    </row>
    <row r="181" spans="1:10" hidden="1" outlineLevel="1" x14ac:dyDescent="0.2">
      <c r="A181" s="401" t="s">
        <v>182</v>
      </c>
      <c r="B181" s="523"/>
      <c r="C181" s="523"/>
      <c r="D181" s="523"/>
      <c r="E181" s="523"/>
      <c r="F181" s="523"/>
      <c r="G181" s="523"/>
      <c r="H181" s="523"/>
      <c r="I181" s="401">
        <f t="shared" si="20"/>
        <v>0</v>
      </c>
      <c r="J181" s="524">
        <f t="shared" si="19"/>
        <v>0</v>
      </c>
    </row>
    <row r="182" spans="1:10" hidden="1" outlineLevel="1" x14ac:dyDescent="0.2">
      <c r="A182" s="401" t="s">
        <v>183</v>
      </c>
      <c r="B182" s="523"/>
      <c r="C182" s="523"/>
      <c r="D182" s="523"/>
      <c r="E182" s="523"/>
      <c r="F182" s="523"/>
      <c r="G182" s="523"/>
      <c r="H182" s="523"/>
      <c r="I182" s="401">
        <f t="shared" si="20"/>
        <v>0</v>
      </c>
      <c r="J182" s="524">
        <f t="shared" si="19"/>
        <v>0</v>
      </c>
    </row>
    <row r="183" spans="1:10" hidden="1" outlineLevel="1" x14ac:dyDescent="0.2">
      <c r="A183" s="401" t="s">
        <v>184</v>
      </c>
      <c r="B183" s="523"/>
      <c r="C183" s="523"/>
      <c r="D183" s="523"/>
      <c r="E183" s="523"/>
      <c r="F183" s="523"/>
      <c r="G183" s="523"/>
      <c r="H183" s="523"/>
      <c r="I183" s="401">
        <f t="shared" si="20"/>
        <v>0</v>
      </c>
      <c r="J183" s="524">
        <f t="shared" si="19"/>
        <v>0</v>
      </c>
    </row>
    <row r="184" spans="1:10" hidden="1" outlineLevel="1" x14ac:dyDescent="0.2">
      <c r="A184" s="401" t="s">
        <v>185</v>
      </c>
      <c r="B184" s="523"/>
      <c r="C184" s="523"/>
      <c r="D184" s="523"/>
      <c r="E184" s="523"/>
      <c r="F184" s="523"/>
      <c r="G184" s="523"/>
      <c r="H184" s="523"/>
      <c r="I184" s="401">
        <f t="shared" si="20"/>
        <v>0</v>
      </c>
      <c r="J184" s="524">
        <f t="shared" si="19"/>
        <v>0</v>
      </c>
    </row>
    <row r="185" spans="1:10" hidden="1" outlineLevel="1" x14ac:dyDescent="0.2">
      <c r="A185" s="401" t="s">
        <v>186</v>
      </c>
      <c r="B185" s="523"/>
      <c r="C185" s="523"/>
      <c r="D185" s="523"/>
      <c r="E185" s="523"/>
      <c r="F185" s="523"/>
      <c r="G185" s="523"/>
      <c r="H185" s="523"/>
      <c r="I185" s="401">
        <f t="shared" si="20"/>
        <v>0</v>
      </c>
      <c r="J185" s="524">
        <f t="shared" si="19"/>
        <v>0</v>
      </c>
    </row>
    <row r="186" spans="1:10" hidden="1" outlineLevel="1" x14ac:dyDescent="0.2">
      <c r="A186" s="401" t="s">
        <v>187</v>
      </c>
      <c r="B186" s="523"/>
      <c r="C186" s="523"/>
      <c r="D186" s="523"/>
      <c r="E186" s="523"/>
      <c r="F186" s="523"/>
      <c r="G186" s="523"/>
      <c r="H186" s="523"/>
      <c r="I186" s="401">
        <f t="shared" si="20"/>
        <v>0</v>
      </c>
      <c r="J186" s="524">
        <f t="shared" si="19"/>
        <v>0</v>
      </c>
    </row>
    <row r="187" spans="1:10" hidden="1" outlineLevel="1" x14ac:dyDescent="0.2">
      <c r="A187" s="401" t="s">
        <v>188</v>
      </c>
      <c r="B187" s="523"/>
      <c r="C187" s="523"/>
      <c r="D187" s="523"/>
      <c r="E187" s="523"/>
      <c r="F187" s="523"/>
      <c r="G187" s="523"/>
      <c r="H187" s="523"/>
      <c r="I187" s="401">
        <f t="shared" si="20"/>
        <v>0</v>
      </c>
      <c r="J187" s="524">
        <f t="shared" si="19"/>
        <v>0</v>
      </c>
    </row>
    <row r="188" spans="1:10" hidden="1" outlineLevel="1" x14ac:dyDescent="0.2">
      <c r="A188" s="401" t="s">
        <v>189</v>
      </c>
      <c r="B188" s="523"/>
      <c r="C188" s="523"/>
      <c r="D188" s="523"/>
      <c r="E188" s="523"/>
      <c r="F188" s="523"/>
      <c r="G188" s="523"/>
      <c r="H188" s="523"/>
      <c r="I188" s="401">
        <f t="shared" si="20"/>
        <v>0</v>
      </c>
      <c r="J188" s="524">
        <f t="shared" si="19"/>
        <v>0</v>
      </c>
    </row>
    <row r="189" spans="1:10" hidden="1" outlineLevel="1" x14ac:dyDescent="0.2">
      <c r="A189" s="401" t="s">
        <v>190</v>
      </c>
      <c r="B189" s="523"/>
      <c r="C189" s="523"/>
      <c r="D189" s="523"/>
      <c r="E189" s="523"/>
      <c r="F189" s="523"/>
      <c r="G189" s="523"/>
      <c r="H189" s="523"/>
      <c r="I189" s="401">
        <f t="shared" si="20"/>
        <v>0</v>
      </c>
      <c r="J189" s="524">
        <f t="shared" si="19"/>
        <v>0</v>
      </c>
    </row>
    <row r="190" spans="1:10" hidden="1" outlineLevel="1" x14ac:dyDescent="0.2">
      <c r="A190" s="401" t="s">
        <v>191</v>
      </c>
      <c r="B190" s="523"/>
      <c r="C190" s="523"/>
      <c r="D190" s="523"/>
      <c r="E190" s="523"/>
      <c r="F190" s="523"/>
      <c r="G190" s="523"/>
      <c r="H190" s="523"/>
      <c r="I190" s="401">
        <f t="shared" si="20"/>
        <v>0</v>
      </c>
      <c r="J190" s="524">
        <f t="shared" si="19"/>
        <v>0</v>
      </c>
    </row>
    <row r="191" spans="1:10" collapsed="1" x14ac:dyDescent="0.2">
      <c r="A191" s="401" t="s">
        <v>192</v>
      </c>
      <c r="B191" s="523"/>
      <c r="C191" s="523">
        <f>'Mngt-Lab Admin Total'!D48</f>
        <v>381.47</v>
      </c>
      <c r="D191" s="523">
        <f>'Mngt-Central Lab Admin '!D47</f>
        <v>17.010000000000002</v>
      </c>
      <c r="E191" s="523">
        <f>'Mngt-Melb Lab Admin '!D47</f>
        <v>232.37</v>
      </c>
      <c r="F191" s="523">
        <f>'Mngt-Sydney Lab Admin '!D47</f>
        <v>0</v>
      </c>
      <c r="G191" s="523">
        <f>'Mngt-Perth Lab Admin'!D45</f>
        <v>7</v>
      </c>
      <c r="H191" s="523">
        <f>'Mngt-Bris Lab Admin '!D48</f>
        <v>0</v>
      </c>
      <c r="I191" s="401">
        <f t="shared" si="20"/>
        <v>256.38</v>
      </c>
      <c r="J191" s="524">
        <f t="shared" si="19"/>
        <v>-125.09000000000003</v>
      </c>
    </row>
    <row r="192" spans="1:10" hidden="1" outlineLevel="1" x14ac:dyDescent="0.2">
      <c r="A192" s="401" t="s">
        <v>193</v>
      </c>
      <c r="B192" s="523"/>
      <c r="C192" s="523">
        <f>'Mngt-Lab Admin Total'!D49</f>
        <v>0</v>
      </c>
      <c r="D192" s="523">
        <f>'Mngt-Central Lab Admin '!D48</f>
        <v>0</v>
      </c>
      <c r="E192" s="523">
        <f>'Mngt-Melb Lab Admin '!D48</f>
        <v>0</v>
      </c>
      <c r="F192" s="523">
        <f>'Mngt-Sydney Lab Admin '!D48</f>
        <v>52.92</v>
      </c>
      <c r="G192" s="523">
        <f>'Mngt-Perth Lab Admin'!D44</f>
        <v>0</v>
      </c>
      <c r="H192" s="523">
        <f>'Mngt-Bris Lab Admin '!D49</f>
        <v>275</v>
      </c>
      <c r="I192" s="401">
        <f t="shared" si="20"/>
        <v>327.92</v>
      </c>
      <c r="J192" s="524">
        <f t="shared" si="19"/>
        <v>327.92</v>
      </c>
    </row>
    <row r="193" spans="1:10" hidden="1" outlineLevel="1" x14ac:dyDescent="0.2">
      <c r="A193" s="401" t="s">
        <v>194</v>
      </c>
      <c r="B193" s="523"/>
      <c r="C193" s="523">
        <f>'Mngt-Lab Admin Total'!D50</f>
        <v>569.16999999999996</v>
      </c>
      <c r="D193" s="523">
        <f>'Mngt-Central Lab Admin '!D49</f>
        <v>0</v>
      </c>
      <c r="E193" s="523">
        <f>'Mngt-Melb Lab Admin '!D49</f>
        <v>294.17</v>
      </c>
      <c r="F193" s="523">
        <f>'Mngt-Sydney Lab Admin '!D49</f>
        <v>0</v>
      </c>
      <c r="G193" s="523">
        <f>'Mngt-Perth Lab Admin'!D47</f>
        <v>0</v>
      </c>
      <c r="H193" s="523">
        <f>'Mngt-Bris Lab Admin '!D47</f>
        <v>72.17</v>
      </c>
      <c r="I193" s="401">
        <f t="shared" si="20"/>
        <v>366.34000000000003</v>
      </c>
      <c r="J193" s="524">
        <f t="shared" si="19"/>
        <v>-202.82999999999993</v>
      </c>
    </row>
    <row r="194" spans="1:10" hidden="1" outlineLevel="1" x14ac:dyDescent="0.2">
      <c r="A194" s="401" t="s">
        <v>82</v>
      </c>
      <c r="B194" s="523"/>
      <c r="C194" s="523">
        <f>'Mngt-Lab Admin Total'!D51</f>
        <v>171.82</v>
      </c>
      <c r="D194" s="523">
        <f>'Mngt-Central Lab Admin '!D50</f>
        <v>0</v>
      </c>
      <c r="E194" s="523">
        <f>'Mngt-Melb Lab Admin '!D50</f>
        <v>0</v>
      </c>
      <c r="F194" s="523">
        <f>'Mngt-Sydney Lab Admin '!D50</f>
        <v>0</v>
      </c>
      <c r="G194" s="523">
        <f>'Mngt-Perth Lab Admin'!D46</f>
        <v>0</v>
      </c>
      <c r="H194" s="523">
        <f>'Mngt-Bris Lab Admin '!D51</f>
        <v>0</v>
      </c>
      <c r="I194" s="401">
        <f t="shared" si="20"/>
        <v>0</v>
      </c>
      <c r="J194" s="524">
        <f t="shared" si="19"/>
        <v>-171.82</v>
      </c>
    </row>
    <row r="195" spans="1:10" hidden="1" outlineLevel="1" x14ac:dyDescent="0.2">
      <c r="A195" s="401" t="s">
        <v>83</v>
      </c>
      <c r="B195" s="523"/>
      <c r="C195" s="523">
        <f>'Mngt-Lab Admin Total'!D52</f>
        <v>0</v>
      </c>
      <c r="D195" s="523">
        <f>'Mngt-Central Lab Admin '!D51</f>
        <v>0</v>
      </c>
      <c r="E195" s="523">
        <f>'Mngt-Melb Lab Admin '!D51</f>
        <v>0</v>
      </c>
      <c r="F195" s="523">
        <f>'Mngt-Sydney Lab Admin '!D51</f>
        <v>171.82</v>
      </c>
      <c r="G195" s="523">
        <f>'Mngt-Perth Lab Admin'!D47</f>
        <v>0</v>
      </c>
      <c r="H195" s="523">
        <f>'Mngt-Bris Lab Admin '!D49</f>
        <v>275</v>
      </c>
      <c r="I195" s="401">
        <f t="shared" si="20"/>
        <v>446.82</v>
      </c>
      <c r="J195" s="524">
        <f t="shared" si="19"/>
        <v>446.82</v>
      </c>
    </row>
    <row r="196" spans="1:10" hidden="1" outlineLevel="1" x14ac:dyDescent="0.2">
      <c r="A196" s="401" t="s">
        <v>84</v>
      </c>
      <c r="B196" s="523"/>
      <c r="C196" s="523">
        <f>'Mngt-Lab Admin Total'!D53</f>
        <v>0</v>
      </c>
      <c r="D196" s="523">
        <f>'Mngt-Central Lab Admin '!D52</f>
        <v>0</v>
      </c>
      <c r="E196" s="523">
        <f>'Mngt-Melb Lab Admin '!D52</f>
        <v>0</v>
      </c>
      <c r="F196" s="523">
        <f>'Mngt-Sydney Lab Admin '!D52</f>
        <v>0</v>
      </c>
      <c r="G196" s="523">
        <f>'Mngt-Perth Lab Admin'!D48</f>
        <v>0</v>
      </c>
      <c r="H196" s="523">
        <f>'Mngt-Bris Lab Admin '!D50</f>
        <v>0</v>
      </c>
      <c r="I196" s="401">
        <f t="shared" si="20"/>
        <v>0</v>
      </c>
      <c r="J196" s="524">
        <f t="shared" si="19"/>
        <v>0</v>
      </c>
    </row>
    <row r="197" spans="1:10" hidden="1" outlineLevel="1" x14ac:dyDescent="0.2">
      <c r="A197" s="401" t="s">
        <v>195</v>
      </c>
      <c r="B197" s="523"/>
      <c r="D197" s="523">
        <v>0</v>
      </c>
      <c r="E197" s="523">
        <f>'Mngt-Melb Lab Admin '!D53</f>
        <v>0</v>
      </c>
      <c r="F197" s="523">
        <f>'Mngt-Sydney Lab Admin '!D53</f>
        <v>0</v>
      </c>
      <c r="G197" s="523">
        <f>'Mngt-Perth Lab Admin'!D49</f>
        <v>0</v>
      </c>
      <c r="H197" s="523">
        <v>0</v>
      </c>
      <c r="I197" s="401">
        <f t="shared" si="20"/>
        <v>0</v>
      </c>
      <c r="J197" s="524">
        <f t="shared" si="19"/>
        <v>0</v>
      </c>
    </row>
    <row r="198" spans="1:10" hidden="1" outlineLevel="1" x14ac:dyDescent="0.2">
      <c r="A198" s="401" t="s">
        <v>86</v>
      </c>
      <c r="B198" s="523"/>
      <c r="C198" s="523">
        <f>'Mngt-Lab Admin Total'!D56</f>
        <v>4563.45</v>
      </c>
      <c r="D198" s="523">
        <f>'Mngt-Central Lab Admin '!D55</f>
        <v>90</v>
      </c>
      <c r="E198" s="523">
        <f>'Mngt-Melb Lab Admin '!D54</f>
        <v>1823.01</v>
      </c>
      <c r="F198" s="523">
        <f>'Mngt-Sydney Lab Admin '!D54</f>
        <v>0</v>
      </c>
      <c r="G198" s="523">
        <f>'Mngt-Perth Lab Admin'!D52</f>
        <v>789.75</v>
      </c>
      <c r="H198" s="523">
        <f>'Mngt-Bris Lab Admin '!D55</f>
        <v>0</v>
      </c>
      <c r="I198" s="401">
        <f t="shared" si="20"/>
        <v>2702.76</v>
      </c>
      <c r="J198" s="524">
        <f t="shared" si="19"/>
        <v>-1860.6899999999996</v>
      </c>
    </row>
    <row r="199" spans="1:10" hidden="1" outlineLevel="1" x14ac:dyDescent="0.2">
      <c r="A199" s="401" t="s">
        <v>110</v>
      </c>
      <c r="B199" s="523"/>
      <c r="D199" s="523">
        <f>'Mngt-Central Lab Admin '!D56</f>
        <v>0</v>
      </c>
      <c r="E199" s="523">
        <f>'Mngt-Melb Lab Admin '!D55</f>
        <v>0</v>
      </c>
      <c r="F199" s="523">
        <f>'Mngt-Sydney Lab Admin '!D55</f>
        <v>1909.44</v>
      </c>
      <c r="G199" s="523">
        <f>'Mngt-Perth Lab Admin'!D51</f>
        <v>0</v>
      </c>
      <c r="H199" s="523">
        <f>'Mngt-Bris Lab Admin '!D53</f>
        <v>0</v>
      </c>
      <c r="I199" s="401">
        <f t="shared" si="20"/>
        <v>1909.44</v>
      </c>
      <c r="J199" s="524">
        <f t="shared" si="19"/>
        <v>1909.44</v>
      </c>
    </row>
    <row r="200" spans="1:10" hidden="1" outlineLevel="1" x14ac:dyDescent="0.2">
      <c r="A200" s="401" t="s">
        <v>196</v>
      </c>
      <c r="B200" s="523"/>
      <c r="C200" s="523">
        <f>'Mngt-Lab Admin Total'!D58</f>
        <v>1019.87</v>
      </c>
      <c r="D200" s="523">
        <f>'Mngt-Central Lab Admin '!D56</f>
        <v>0</v>
      </c>
      <c r="E200" s="523">
        <f>'Mngt-Melb Lab Admin '!D56</f>
        <v>0</v>
      </c>
      <c r="F200" s="523">
        <f>'Mngt-Sydney Lab Admin '!D56</f>
        <v>0</v>
      </c>
      <c r="G200" s="523">
        <f>'Mngt-Perth Lab Admin'!D54</f>
        <v>0</v>
      </c>
      <c r="H200" s="523">
        <f>'Mngt-Bris Lab Admin '!D54</f>
        <v>-48.75</v>
      </c>
      <c r="I200" s="401">
        <f t="shared" si="20"/>
        <v>-48.75</v>
      </c>
      <c r="J200" s="524">
        <f t="shared" si="19"/>
        <v>-1068.6199999999999</v>
      </c>
    </row>
    <row r="201" spans="1:10" hidden="1" outlineLevel="1" x14ac:dyDescent="0.2">
      <c r="A201" s="401" t="s">
        <v>197</v>
      </c>
      <c r="B201" s="523"/>
      <c r="C201" s="523">
        <f>'Mngt-Lab Admin Total'!D59</f>
        <v>4854.54</v>
      </c>
      <c r="D201" s="523">
        <f>'Mngt-Central Lab Admin '!D57</f>
        <v>1019.87</v>
      </c>
      <c r="E201" s="523">
        <f>'Mngt-Melb Lab Admin '!D57</f>
        <v>4854.54</v>
      </c>
      <c r="F201" s="523">
        <f>'Mngt-Sydney Lab Admin '!D57</f>
        <v>0</v>
      </c>
      <c r="G201" s="523">
        <f>'Mngt-Perth Lab Admin'!D55</f>
        <v>0</v>
      </c>
      <c r="H201" s="523">
        <v>0</v>
      </c>
      <c r="I201" s="401">
        <f t="shared" si="20"/>
        <v>5874.41</v>
      </c>
      <c r="J201" s="524">
        <f t="shared" si="19"/>
        <v>1019.8699999999999</v>
      </c>
    </row>
    <row r="202" spans="1:10" hidden="1" outlineLevel="1" x14ac:dyDescent="0.2">
      <c r="A202" s="401" t="s">
        <v>198</v>
      </c>
      <c r="B202" s="523"/>
      <c r="C202" s="523">
        <f>'Mngt-Lab Admin Total'!D60</f>
        <v>31.4</v>
      </c>
      <c r="D202" s="523">
        <f>'Mngt-Central Lab Admin '!D58</f>
        <v>0</v>
      </c>
      <c r="E202" s="523">
        <f>'Mngt-Melb Lab Admin '!D58</f>
        <v>31.4</v>
      </c>
      <c r="F202" s="523">
        <f>'Mngt-Sydney Lab Admin '!D58</f>
        <v>0</v>
      </c>
      <c r="G202" s="523" t="e">
        <f>'Mngt-Perth Lab Admin'!#REF!</f>
        <v>#REF!</v>
      </c>
      <c r="H202" s="523">
        <f>'Mngt-Bris Lab Admin '!D59</f>
        <v>226.25</v>
      </c>
      <c r="I202" s="401" t="e">
        <f t="shared" si="20"/>
        <v>#REF!</v>
      </c>
      <c r="J202" s="524" t="e">
        <f t="shared" si="19"/>
        <v>#REF!</v>
      </c>
    </row>
    <row r="203" spans="1:10" hidden="1" outlineLevel="1" x14ac:dyDescent="0.2">
      <c r="A203" s="401" t="s">
        <v>199</v>
      </c>
      <c r="B203" s="523"/>
      <c r="C203" s="523">
        <f>'Mngt-Lab Admin Total'!D54</f>
        <v>0</v>
      </c>
      <c r="D203" s="523">
        <f>'Mngt-Central Lab Admin '!D53</f>
        <v>0</v>
      </c>
      <c r="E203" s="523">
        <v>0</v>
      </c>
      <c r="F203" s="523">
        <v>0</v>
      </c>
      <c r="G203" s="523">
        <f>'Mngt-Perth Lab Admin'!D55</f>
        <v>0</v>
      </c>
      <c r="H203" s="523">
        <f>'Mngt-Bris Lab Admin '!D57</f>
        <v>0</v>
      </c>
      <c r="I203" s="401">
        <f t="shared" si="20"/>
        <v>0</v>
      </c>
      <c r="J203" s="524">
        <f t="shared" si="19"/>
        <v>0</v>
      </c>
    </row>
    <row r="204" spans="1:10" collapsed="1" x14ac:dyDescent="0.2">
      <c r="A204" s="401" t="s">
        <v>89</v>
      </c>
      <c r="B204" s="523"/>
      <c r="C204" s="523">
        <f>'Mngt-Lab Admin Total'!D61</f>
        <v>11210.25</v>
      </c>
      <c r="D204" s="523">
        <f>'Mngt-Central Lab Admin '!D59</f>
        <v>0</v>
      </c>
      <c r="E204" s="523">
        <f>'Mngt-Melb Lab Admin '!D59</f>
        <v>7003.12</v>
      </c>
      <c r="F204" s="523">
        <f>'Mngt-Sydney Lab Admin '!D59</f>
        <v>0</v>
      </c>
      <c r="G204" s="523">
        <f>'Mngt-Perth Lab Admin'!D56</f>
        <v>789.75</v>
      </c>
      <c r="H204" s="523">
        <f>'Mngt-Bris Lab Admin '!D60</f>
        <v>12134.74</v>
      </c>
      <c r="I204" s="401">
        <f t="shared" si="20"/>
        <v>19927.61</v>
      </c>
      <c r="J204" s="524">
        <f t="shared" si="19"/>
        <v>8717.36</v>
      </c>
    </row>
    <row r="205" spans="1:10" x14ac:dyDescent="0.2">
      <c r="A205" s="401" t="s">
        <v>201</v>
      </c>
      <c r="B205" s="523"/>
      <c r="C205" s="523">
        <f>'Mngt-Lab Admin Total'!D62</f>
        <v>128993.99</v>
      </c>
      <c r="D205" s="523">
        <f>'Mngt-Central Lab Admin '!D60</f>
        <v>1109.8699999999999</v>
      </c>
      <c r="E205" s="523">
        <f>'Mngt-Melb Lab Admin '!D60</f>
        <v>21990.2</v>
      </c>
      <c r="F205" s="523">
        <f>'Mngt-Sydney Lab Admin '!D60</f>
        <v>2081.2600000000002</v>
      </c>
      <c r="G205" s="523">
        <f>'Mngt-Perth Lab Admin'!D57</f>
        <v>8279.65</v>
      </c>
      <c r="H205" s="523">
        <f>'Mngt-Bris Lab Admin '!D61</f>
        <v>0</v>
      </c>
      <c r="I205" s="401">
        <f t="shared" si="20"/>
        <v>33460.980000000003</v>
      </c>
      <c r="J205" s="524">
        <f t="shared" si="19"/>
        <v>-95533.010000000009</v>
      </c>
    </row>
    <row r="206" spans="1:10" x14ac:dyDescent="0.2">
      <c r="A206" s="401"/>
      <c r="B206" s="523"/>
      <c r="C206" s="523"/>
      <c r="D206" s="523"/>
      <c r="E206" s="523"/>
      <c r="F206" s="523"/>
      <c r="G206" s="523"/>
      <c r="H206" s="523"/>
      <c r="I206" s="401"/>
      <c r="J206" s="524"/>
    </row>
    <row r="207" spans="1:10" x14ac:dyDescent="0.2">
      <c r="A207" s="401"/>
      <c r="B207" s="523"/>
      <c r="C207" s="523"/>
      <c r="D207" s="523"/>
      <c r="E207" s="523"/>
      <c r="F207" s="523"/>
      <c r="G207" s="523"/>
      <c r="H207" s="523"/>
      <c r="I207" s="401"/>
      <c r="J207" s="524"/>
    </row>
    <row r="208" spans="1:10" x14ac:dyDescent="0.2">
      <c r="A208" s="401"/>
      <c r="B208" s="523"/>
      <c r="C208" s="523"/>
      <c r="D208" s="523"/>
      <c r="E208" s="523"/>
      <c r="F208" s="523"/>
      <c r="G208" s="523"/>
      <c r="H208" s="523"/>
      <c r="I208" s="401"/>
      <c r="J208" s="524"/>
    </row>
    <row r="209" spans="1:10" ht="13.5" thickBot="1" x14ac:dyDescent="0.25">
      <c r="A209" s="516"/>
      <c r="B209" s="162"/>
      <c r="C209" s="162"/>
      <c r="D209" s="162"/>
      <c r="E209" s="162"/>
      <c r="F209" s="162"/>
      <c r="G209" s="162"/>
      <c r="H209" s="162"/>
      <c r="I209" s="516"/>
      <c r="J209" s="517"/>
    </row>
  </sheetData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>
    <tabColor rgb="FF00FFFF"/>
  </sheetPr>
  <dimension ref="A1:DH175"/>
  <sheetViews>
    <sheetView zoomScaleNormal="100" workbookViewId="0">
      <pane xSplit="1" ySplit="3" topLeftCell="B4" activePane="bottomRight" state="frozen"/>
      <selection activeCell="AV85" sqref="AV85"/>
      <selection pane="topRight" activeCell="AV85" sqref="AV85"/>
      <selection pane="bottomLeft" activeCell="AV85" sqref="AV85"/>
      <selection pane="bottomRight" activeCell="J10" sqref="J10"/>
    </sheetView>
  </sheetViews>
  <sheetFormatPr defaultColWidth="9.42578125" defaultRowHeight="15" outlineLevelRow="1" outlineLevelCol="1" x14ac:dyDescent="0.25"/>
  <cols>
    <col min="1" max="1" width="33.42578125" style="574" customWidth="1"/>
    <col min="2" max="2" width="18.5703125" style="574" customWidth="1"/>
    <col min="3" max="3" width="16.5703125" style="574" hidden="1" customWidth="1"/>
    <col min="4" max="5" width="16.42578125" style="574" customWidth="1"/>
    <col min="6" max="6" width="6" style="574" customWidth="1"/>
    <col min="7" max="7" width="10.5703125" style="574" customWidth="1" outlineLevel="1"/>
    <col min="8" max="8" width="9.42578125" style="574" customWidth="1" outlineLevel="1"/>
    <col min="9" max="9" width="9.42578125" style="576" customWidth="1" outlineLevel="1"/>
    <col min="10" max="12" width="9.42578125" style="574" customWidth="1" outlineLevel="1"/>
    <col min="13" max="13" width="9.42578125" style="181" customWidth="1" outlineLevel="1"/>
    <col min="14" max="14" width="9.42578125" style="574" customWidth="1" outlineLevel="1"/>
    <col min="15" max="15" width="9.42578125" style="177" customWidth="1" outlineLevel="1" collapsed="1"/>
    <col min="16" max="17" width="9.42578125" style="574" customWidth="1" outlineLevel="1"/>
    <col min="18" max="18" width="10.42578125" style="574" customWidth="1" outlineLevel="1"/>
    <col min="19" max="19" width="16.42578125" style="574" customWidth="1"/>
    <col min="20" max="31" width="9.42578125" style="574" hidden="1" customWidth="1" outlineLevel="1"/>
    <col min="32" max="32" width="16.5703125" style="574" hidden="1" customWidth="1" collapsed="1"/>
    <col min="33" max="42" width="9.42578125" style="574" customWidth="1" outlineLevel="1"/>
    <col min="43" max="44" width="10" style="574" customWidth="1" outlineLevel="1"/>
    <col min="45" max="45" width="16.5703125" style="574" customWidth="1"/>
    <col min="46" max="46" width="15.42578125" style="574" bestFit="1" customWidth="1"/>
    <col min="47" max="47" width="9.42578125" style="574" bestFit="1" customWidth="1"/>
    <col min="48" max="64" width="9.42578125" style="574"/>
    <col min="65" max="76" width="9.42578125" style="574" bestFit="1" customWidth="1"/>
    <col min="77" max="77" width="10.5703125" style="574" bestFit="1" customWidth="1"/>
    <col min="78" max="89" width="9.42578125" style="574" bestFit="1" customWidth="1"/>
    <col min="90" max="90" width="10.5703125" style="574" bestFit="1" customWidth="1"/>
    <col min="91" max="102" width="9.42578125" style="574" bestFit="1" customWidth="1"/>
    <col min="103" max="103" width="10.5703125" style="574" bestFit="1" customWidth="1"/>
    <col min="104" max="112" width="9.42578125" style="574" bestFit="1" customWidth="1"/>
    <col min="113" max="16384" width="9.42578125" style="574"/>
  </cols>
  <sheetData>
    <row r="1" spans="1:112" x14ac:dyDescent="0.25">
      <c r="T1" s="574" t="s">
        <v>346</v>
      </c>
      <c r="U1" s="574" t="s">
        <v>346</v>
      </c>
      <c r="V1" s="574" t="s">
        <v>346</v>
      </c>
      <c r="W1" s="574" t="s">
        <v>346</v>
      </c>
      <c r="X1" s="574" t="s">
        <v>346</v>
      </c>
      <c r="Y1" s="574" t="s">
        <v>346</v>
      </c>
      <c r="Z1" s="574" t="s">
        <v>346</v>
      </c>
      <c r="AA1" s="574" t="s">
        <v>346</v>
      </c>
      <c r="AB1" s="574" t="s">
        <v>346</v>
      </c>
      <c r="AC1" s="574" t="s">
        <v>346</v>
      </c>
      <c r="AD1" s="574" t="s">
        <v>346</v>
      </c>
      <c r="AE1" s="574" t="s">
        <v>346</v>
      </c>
      <c r="AF1" s="574" t="s">
        <v>346</v>
      </c>
      <c r="AG1" s="576" t="str">
        <f>T1</f>
        <v>A</v>
      </c>
      <c r="AH1" s="833" t="s">
        <v>672</v>
      </c>
      <c r="AI1" s="834" t="s">
        <v>672</v>
      </c>
      <c r="AJ1" s="776"/>
      <c r="AK1" s="776"/>
      <c r="AL1" s="777"/>
      <c r="AM1" s="680"/>
      <c r="AN1" s="690"/>
      <c r="AO1" s="691"/>
      <c r="AP1" s="760"/>
      <c r="AQ1" s="784"/>
      <c r="AR1" s="784"/>
      <c r="AS1" s="574" t="s">
        <v>346</v>
      </c>
    </row>
    <row r="2" spans="1:112" x14ac:dyDescent="0.25">
      <c r="A2" s="182" t="s">
        <v>339</v>
      </c>
      <c r="B2" s="183">
        <v>44896</v>
      </c>
      <c r="D2" s="184">
        <v>44531</v>
      </c>
      <c r="E2" s="184"/>
      <c r="G2" s="858" t="s">
        <v>556</v>
      </c>
      <c r="H2" s="859"/>
      <c r="I2" s="859"/>
      <c r="J2" s="859"/>
      <c r="K2" s="859"/>
      <c r="L2" s="859"/>
      <c r="M2" s="859"/>
      <c r="N2" s="859"/>
      <c r="O2" s="859"/>
      <c r="P2" s="859"/>
      <c r="Q2" s="859"/>
      <c r="R2" s="859"/>
      <c r="S2" s="860"/>
      <c r="T2" s="861" t="s">
        <v>309</v>
      </c>
      <c r="U2" s="862"/>
      <c r="V2" s="862"/>
      <c r="W2" s="862"/>
      <c r="X2" s="862"/>
      <c r="Y2" s="862"/>
      <c r="Z2" s="862"/>
      <c r="AA2" s="862"/>
      <c r="AB2" s="862"/>
      <c r="AC2" s="862"/>
      <c r="AD2" s="862"/>
      <c r="AE2" s="862"/>
      <c r="AF2" s="863"/>
      <c r="AG2" s="864" t="s">
        <v>310</v>
      </c>
      <c r="AH2" s="865"/>
      <c r="AI2" s="865"/>
      <c r="AJ2" s="865"/>
      <c r="AK2" s="865"/>
      <c r="AL2" s="865"/>
      <c r="AM2" s="865"/>
      <c r="AN2" s="865"/>
      <c r="AO2" s="865"/>
      <c r="AP2" s="865"/>
      <c r="AQ2" s="865"/>
      <c r="AR2" s="865"/>
      <c r="AS2" s="866"/>
    </row>
    <row r="3" spans="1:112" s="185" customFormat="1" x14ac:dyDescent="0.25">
      <c r="B3" s="186" t="s">
        <v>312</v>
      </c>
      <c r="C3" s="186" t="s">
        <v>313</v>
      </c>
      <c r="D3" s="186" t="s">
        <v>314</v>
      </c>
      <c r="E3" s="558"/>
      <c r="G3" s="667">
        <v>44835</v>
      </c>
      <c r="H3" s="667">
        <v>44866</v>
      </c>
      <c r="I3" s="667">
        <v>44896</v>
      </c>
      <c r="J3" s="667">
        <v>44927</v>
      </c>
      <c r="K3" s="667">
        <v>44958</v>
      </c>
      <c r="L3" s="667">
        <v>44986</v>
      </c>
      <c r="M3" s="667">
        <v>45017</v>
      </c>
      <c r="N3" s="667">
        <v>45047</v>
      </c>
      <c r="O3" s="667">
        <v>45078</v>
      </c>
      <c r="P3" s="667">
        <v>45108</v>
      </c>
      <c r="Q3" s="667">
        <v>45139</v>
      </c>
      <c r="R3" s="667">
        <v>45170</v>
      </c>
      <c r="S3" s="575" t="s">
        <v>272</v>
      </c>
      <c r="T3" s="577">
        <v>44470</v>
      </c>
      <c r="U3" s="577">
        <v>44501</v>
      </c>
      <c r="V3" s="577">
        <v>44531</v>
      </c>
      <c r="W3" s="577">
        <v>44562</v>
      </c>
      <c r="X3" s="577">
        <v>44593</v>
      </c>
      <c r="Y3" s="577">
        <v>44621</v>
      </c>
      <c r="Z3" s="577">
        <v>44652</v>
      </c>
      <c r="AA3" s="577">
        <v>44682</v>
      </c>
      <c r="AB3" s="577">
        <v>44713</v>
      </c>
      <c r="AC3" s="577">
        <v>44743</v>
      </c>
      <c r="AD3" s="577">
        <v>44774</v>
      </c>
      <c r="AE3" s="577">
        <v>44805</v>
      </c>
      <c r="AF3" s="187" t="s">
        <v>272</v>
      </c>
      <c r="AG3" s="577">
        <v>44470</v>
      </c>
      <c r="AH3" s="577">
        <v>44501</v>
      </c>
      <c r="AI3" s="577">
        <v>44531</v>
      </c>
      <c r="AJ3" s="577">
        <v>44562</v>
      </c>
      <c r="AK3" s="577">
        <v>44593</v>
      </c>
      <c r="AL3" s="577">
        <v>44621</v>
      </c>
      <c r="AM3" s="577">
        <v>44652</v>
      </c>
      <c r="AN3" s="577">
        <v>44682</v>
      </c>
      <c r="AO3" s="577">
        <v>44713</v>
      </c>
      <c r="AP3" s="577">
        <v>44743</v>
      </c>
      <c r="AQ3" s="577">
        <v>44774</v>
      </c>
      <c r="AR3" s="577">
        <v>44805</v>
      </c>
      <c r="AS3" s="187" t="s">
        <v>272</v>
      </c>
      <c r="AT3" s="185" t="s">
        <v>477</v>
      </c>
      <c r="AU3" s="185" t="s">
        <v>478</v>
      </c>
    </row>
    <row r="4" spans="1:112" s="576" customFormat="1" ht="15" customHeight="1" x14ac:dyDescent="0.25">
      <c r="A4" s="179" t="s">
        <v>316</v>
      </c>
      <c r="B4" s="582">
        <f t="shared" ref="B4:B37" si="0">SUMIF($G$3:$R$3,$B$2,G4:R4)</f>
        <v>6635</v>
      </c>
      <c r="C4" s="582">
        <f>SUMIF($T$3:$AE$3,$B$2,T4:AE4)</f>
        <v>0</v>
      </c>
      <c r="D4" s="582">
        <f t="shared" ref="D4:D37" si="1">SUMIF($AG$3:$AR$3,$D$2,AG4:AR4)</f>
        <v>6986</v>
      </c>
      <c r="E4" s="580">
        <f>+B4/D4</f>
        <v>0.94975665616948179</v>
      </c>
      <c r="F4" s="578"/>
      <c r="G4" s="828">
        <v>6988</v>
      </c>
      <c r="H4" s="828">
        <v>6503</v>
      </c>
      <c r="I4" s="828">
        <v>6635</v>
      </c>
      <c r="J4" s="828">
        <v>6755</v>
      </c>
      <c r="K4" s="829"/>
      <c r="L4" s="829"/>
      <c r="M4" s="830"/>
      <c r="N4" s="829"/>
      <c r="O4" s="830"/>
      <c r="P4" s="829"/>
      <c r="Q4" s="829"/>
      <c r="R4" s="829"/>
      <c r="S4" s="584">
        <f>SUM(G4:R4)</f>
        <v>26881</v>
      </c>
      <c r="T4" s="582"/>
      <c r="U4" s="582"/>
      <c r="V4" s="582"/>
      <c r="W4" s="582"/>
      <c r="X4" s="582"/>
      <c r="Y4" s="582"/>
      <c r="Z4" s="582"/>
      <c r="AA4" s="582"/>
      <c r="AB4" s="582"/>
      <c r="AC4" s="582"/>
      <c r="AD4" s="582"/>
      <c r="AE4" s="582"/>
      <c r="AF4" s="582">
        <f>SUMIF($T$1:$AE$1,$AF$1,$T4:$AE4)</f>
        <v>0</v>
      </c>
      <c r="AG4" s="582">
        <v>6236</v>
      </c>
      <c r="AH4" s="582">
        <v>7042</v>
      </c>
      <c r="AI4" s="582">
        <v>6986</v>
      </c>
      <c r="AJ4" s="582">
        <v>6279</v>
      </c>
      <c r="AK4" s="582">
        <v>5982</v>
      </c>
      <c r="AL4" s="582">
        <v>7431</v>
      </c>
      <c r="AM4" s="188">
        <v>6785</v>
      </c>
      <c r="AN4" s="582">
        <v>7785</v>
      </c>
      <c r="AO4" s="188">
        <v>6294</v>
      </c>
      <c r="AP4" s="582">
        <v>5970</v>
      </c>
      <c r="AQ4" s="582">
        <v>7041</v>
      </c>
      <c r="AR4" s="188">
        <v>6419</v>
      </c>
      <c r="AS4" s="582">
        <f t="shared" ref="AS4:AS13" si="2">SUMIF($AG$1:$AR$1,$AS$1,$AG4:$AR4)</f>
        <v>20264</v>
      </c>
      <c r="AT4" s="642">
        <f>+(O4-AO4)/AO4</f>
        <v>-1</v>
      </c>
      <c r="AU4" s="642">
        <f>+(S4-AS4)/AS4</f>
        <v>0.32653967627319386</v>
      </c>
    </row>
    <row r="5" spans="1:112" s="576" customFormat="1" ht="15" customHeight="1" x14ac:dyDescent="0.25">
      <c r="A5" s="179" t="s">
        <v>317</v>
      </c>
      <c r="B5" s="582">
        <f t="shared" si="0"/>
        <v>107</v>
      </c>
      <c r="C5" s="582">
        <f>SUMIF($T$3:$AE$3,$B$2,T5:AE5)</f>
        <v>0</v>
      </c>
      <c r="D5" s="582">
        <f t="shared" si="1"/>
        <v>111</v>
      </c>
      <c r="E5" s="580">
        <f t="shared" ref="E5:E38" si="3">+B5/D5</f>
        <v>0.963963963963964</v>
      </c>
      <c r="F5" s="578"/>
      <c r="G5" s="828">
        <f>6+57</f>
        <v>63</v>
      </c>
      <c r="H5" s="828">
        <f>112+7</f>
        <v>119</v>
      </c>
      <c r="I5" s="828">
        <f>99+8</f>
        <v>107</v>
      </c>
      <c r="J5" s="828">
        <v>101</v>
      </c>
      <c r="K5" s="828"/>
      <c r="L5" s="828"/>
      <c r="M5" s="828"/>
      <c r="N5" s="828"/>
      <c r="O5" s="828"/>
      <c r="P5" s="828"/>
      <c r="Q5" s="828"/>
      <c r="R5" s="828"/>
      <c r="S5" s="584">
        <f t="shared" ref="S5:S38" si="4">SUM(G5:R5)</f>
        <v>390</v>
      </c>
      <c r="T5" s="582"/>
      <c r="U5" s="582"/>
      <c r="V5" s="582"/>
      <c r="W5" s="582"/>
      <c r="X5" s="582"/>
      <c r="Y5" s="582"/>
      <c r="Z5" s="582"/>
      <c r="AA5" s="582"/>
      <c r="AB5" s="582"/>
      <c r="AC5" s="582"/>
      <c r="AD5" s="582"/>
      <c r="AE5" s="582"/>
      <c r="AF5" s="582">
        <f t="shared" ref="AF5:AF37" si="5">SUMIF($T$1:$AE$1,$AF$1,$T5:$AE5)</f>
        <v>0</v>
      </c>
      <c r="AG5" s="582">
        <v>75</v>
      </c>
      <c r="AH5" s="582">
        <v>114</v>
      </c>
      <c r="AI5" s="582">
        <v>111</v>
      </c>
      <c r="AJ5" s="582">
        <v>84</v>
      </c>
      <c r="AK5" s="582">
        <v>98</v>
      </c>
      <c r="AL5" s="582">
        <v>98</v>
      </c>
      <c r="AM5" s="188">
        <v>64</v>
      </c>
      <c r="AN5" s="582">
        <v>54</v>
      </c>
      <c r="AO5" s="188">
        <v>55</v>
      </c>
      <c r="AP5" s="582">
        <v>37</v>
      </c>
      <c r="AQ5" s="582">
        <v>33</v>
      </c>
      <c r="AR5" s="188">
        <v>40</v>
      </c>
      <c r="AS5" s="582">
        <f t="shared" si="2"/>
        <v>300</v>
      </c>
      <c r="AT5" s="642">
        <f>+(O5-AO5)/AO5</f>
        <v>-1</v>
      </c>
      <c r="AU5" s="642">
        <f>+(S5-AS5)/AS5</f>
        <v>0.3</v>
      </c>
    </row>
    <row r="6" spans="1:112" s="576" customFormat="1" ht="15" customHeight="1" x14ac:dyDescent="0.25">
      <c r="A6" s="179" t="s">
        <v>318</v>
      </c>
      <c r="B6" s="582">
        <f t="shared" si="0"/>
        <v>6742</v>
      </c>
      <c r="C6" s="582">
        <f t="shared" ref="C6:C37" si="6">SUMIF($T$3:$AE$3,$B$2,T6:AE6)</f>
        <v>0</v>
      </c>
      <c r="D6" s="582">
        <f t="shared" si="1"/>
        <v>7097</v>
      </c>
      <c r="E6" s="580">
        <f t="shared" si="3"/>
        <v>0.94997886430886291</v>
      </c>
      <c r="F6" s="578"/>
      <c r="G6" s="825">
        <f>G4+G5</f>
        <v>7051</v>
      </c>
      <c r="H6" s="825">
        <f t="shared" ref="H6:R6" si="7">H4+H5</f>
        <v>6622</v>
      </c>
      <c r="I6" s="825">
        <f t="shared" si="7"/>
        <v>6742</v>
      </c>
      <c r="J6" s="825">
        <f t="shared" si="7"/>
        <v>6856</v>
      </c>
      <c r="K6" s="825">
        <f t="shared" si="7"/>
        <v>0</v>
      </c>
      <c r="L6" s="825">
        <f t="shared" si="7"/>
        <v>0</v>
      </c>
      <c r="M6" s="825">
        <f t="shared" si="7"/>
        <v>0</v>
      </c>
      <c r="N6" s="825">
        <f t="shared" si="7"/>
        <v>0</v>
      </c>
      <c r="O6" s="825">
        <f t="shared" si="7"/>
        <v>0</v>
      </c>
      <c r="P6" s="825">
        <f t="shared" si="7"/>
        <v>0</v>
      </c>
      <c r="Q6" s="825">
        <f t="shared" si="7"/>
        <v>0</v>
      </c>
      <c r="R6" s="825">
        <f t="shared" si="7"/>
        <v>0</v>
      </c>
      <c r="S6" s="584">
        <f t="shared" si="4"/>
        <v>27271</v>
      </c>
      <c r="T6" s="188"/>
      <c r="U6" s="188"/>
      <c r="V6" s="188"/>
      <c r="W6" s="188"/>
      <c r="X6" s="188"/>
      <c r="Y6" s="188"/>
      <c r="Z6" s="188"/>
      <c r="AA6" s="188"/>
      <c r="AB6" s="188"/>
      <c r="AC6" s="188"/>
      <c r="AD6" s="188"/>
      <c r="AE6" s="188"/>
      <c r="AF6" s="582">
        <f t="shared" si="5"/>
        <v>0</v>
      </c>
      <c r="AG6" s="188">
        <v>6311</v>
      </c>
      <c r="AH6" s="188">
        <v>7156</v>
      </c>
      <c r="AI6" s="188">
        <v>7097</v>
      </c>
      <c r="AJ6" s="188">
        <v>6363</v>
      </c>
      <c r="AK6" s="188">
        <v>6080</v>
      </c>
      <c r="AL6" s="188">
        <v>7529</v>
      </c>
      <c r="AM6" s="188">
        <v>6849</v>
      </c>
      <c r="AN6" s="188">
        <v>7839</v>
      </c>
      <c r="AO6" s="188">
        <v>6349</v>
      </c>
      <c r="AP6" s="188">
        <v>6007</v>
      </c>
      <c r="AQ6" s="188">
        <v>7074</v>
      </c>
      <c r="AR6" s="188">
        <v>6459</v>
      </c>
      <c r="AS6" s="582">
        <f>SUMIF($AG$1:$AR$1,$AS$1,$AG6:$AR6)</f>
        <v>20564</v>
      </c>
      <c r="AT6" s="642">
        <f>+(O6-AO6)/AO6</f>
        <v>-1</v>
      </c>
      <c r="AU6" s="642">
        <f>+(S6-AS6)/AS6</f>
        <v>0.32615249951371328</v>
      </c>
    </row>
    <row r="7" spans="1:112" s="576" customFormat="1" ht="15" customHeight="1" x14ac:dyDescent="0.25">
      <c r="A7" s="179" t="s">
        <v>407</v>
      </c>
      <c r="B7" s="582">
        <f t="shared" si="0"/>
        <v>516</v>
      </c>
      <c r="C7" s="582">
        <f t="shared" si="6"/>
        <v>0</v>
      </c>
      <c r="D7" s="582">
        <f t="shared" si="1"/>
        <v>321</v>
      </c>
      <c r="E7" s="580">
        <f t="shared" si="3"/>
        <v>1.6074766355140186</v>
      </c>
      <c r="F7" s="578"/>
      <c r="G7" s="828">
        <v>366</v>
      </c>
      <c r="H7" s="828">
        <v>474</v>
      </c>
      <c r="I7" s="828">
        <v>516</v>
      </c>
      <c r="J7" s="828">
        <v>498</v>
      </c>
      <c r="K7" s="828"/>
      <c r="L7" s="828"/>
      <c r="M7" s="828"/>
      <c r="N7" s="828"/>
      <c r="O7" s="828"/>
      <c r="P7" s="828"/>
      <c r="Q7" s="828"/>
      <c r="R7" s="828"/>
      <c r="S7" s="584">
        <f t="shared" si="4"/>
        <v>1854</v>
      </c>
      <c r="T7" s="582"/>
      <c r="U7" s="582"/>
      <c r="V7" s="582"/>
      <c r="W7" s="582"/>
      <c r="X7" s="582"/>
      <c r="Y7" s="582"/>
      <c r="Z7" s="582"/>
      <c r="AA7" s="582"/>
      <c r="AB7" s="582"/>
      <c r="AC7" s="582"/>
      <c r="AD7" s="582"/>
      <c r="AE7" s="582"/>
      <c r="AF7" s="582">
        <f t="shared" si="5"/>
        <v>0</v>
      </c>
      <c r="AG7" s="582">
        <v>391</v>
      </c>
      <c r="AH7" s="582">
        <v>339</v>
      </c>
      <c r="AI7" s="582">
        <v>321</v>
      </c>
      <c r="AJ7" s="582">
        <v>401</v>
      </c>
      <c r="AK7" s="582">
        <v>506</v>
      </c>
      <c r="AL7" s="582">
        <v>549</v>
      </c>
      <c r="AM7" s="471">
        <v>460</v>
      </c>
      <c r="AN7" s="584">
        <v>748</v>
      </c>
      <c r="AO7" s="471">
        <v>529</v>
      </c>
      <c r="AP7" s="584">
        <v>644</v>
      </c>
      <c r="AQ7" s="584">
        <v>579</v>
      </c>
      <c r="AR7" s="188">
        <v>637</v>
      </c>
      <c r="AS7" s="582">
        <f t="shared" si="2"/>
        <v>1051</v>
      </c>
      <c r="AT7" s="642">
        <f t="shared" ref="AT7:AT14" si="8">+(O7-AO7)/AO7</f>
        <v>-1</v>
      </c>
      <c r="AU7" s="642">
        <f t="shared" ref="AU7:AU14" si="9">+(S7-AS7)/AS7</f>
        <v>0.764034253092293</v>
      </c>
    </row>
    <row r="8" spans="1:112" s="576" customFormat="1" ht="15" customHeight="1" x14ac:dyDescent="0.25">
      <c r="A8" s="179" t="s">
        <v>406</v>
      </c>
      <c r="B8" s="582">
        <f t="shared" si="0"/>
        <v>740</v>
      </c>
      <c r="C8" s="582">
        <f>SUMIF($T$3:$AE$3,$B$2,T8:AE8)</f>
        <v>0</v>
      </c>
      <c r="D8" s="582">
        <f t="shared" si="1"/>
        <v>512</v>
      </c>
      <c r="E8" s="580">
        <f t="shared" si="3"/>
        <v>1.4453125</v>
      </c>
      <c r="F8" s="578"/>
      <c r="G8" s="828">
        <v>675</v>
      </c>
      <c r="H8" s="828">
        <v>691</v>
      </c>
      <c r="I8" s="828">
        <v>740</v>
      </c>
      <c r="J8" s="828">
        <v>806</v>
      </c>
      <c r="K8" s="828"/>
      <c r="L8" s="828"/>
      <c r="M8" s="828"/>
      <c r="N8" s="828"/>
      <c r="O8" s="828"/>
      <c r="P8" s="828"/>
      <c r="Q8" s="828"/>
      <c r="R8" s="828"/>
      <c r="S8" s="584">
        <f t="shared" si="4"/>
        <v>2912</v>
      </c>
      <c r="T8" s="582"/>
      <c r="U8" s="582"/>
      <c r="V8" s="582"/>
      <c r="W8" s="582"/>
      <c r="X8" s="582"/>
      <c r="Y8" s="582"/>
      <c r="Z8" s="582"/>
      <c r="AA8" s="582"/>
      <c r="AB8" s="582"/>
      <c r="AC8" s="582"/>
      <c r="AD8" s="582"/>
      <c r="AE8" s="582"/>
      <c r="AF8" s="582">
        <f>SUMIF($T$1:$AE$1,$AF$1,$T8:$AE8)</f>
        <v>0</v>
      </c>
      <c r="AG8" s="582">
        <v>330</v>
      </c>
      <c r="AH8" s="582">
        <v>866</v>
      </c>
      <c r="AI8" s="582">
        <v>512</v>
      </c>
      <c r="AJ8" s="582">
        <v>389</v>
      </c>
      <c r="AK8" s="582">
        <v>702</v>
      </c>
      <c r="AL8" s="582">
        <v>615</v>
      </c>
      <c r="AM8" s="188">
        <v>590</v>
      </c>
      <c r="AN8" s="582">
        <v>901</v>
      </c>
      <c r="AO8" s="188">
        <v>827</v>
      </c>
      <c r="AP8" s="582">
        <v>541</v>
      </c>
      <c r="AQ8" s="582">
        <v>937</v>
      </c>
      <c r="AR8" s="188">
        <v>537</v>
      </c>
      <c r="AS8" s="582">
        <f t="shared" si="2"/>
        <v>1708</v>
      </c>
      <c r="AT8" s="642">
        <f t="shared" si="8"/>
        <v>-1</v>
      </c>
      <c r="AU8" s="642">
        <f t="shared" si="9"/>
        <v>0.70491803278688525</v>
      </c>
    </row>
    <row r="9" spans="1:112" s="576" customFormat="1" ht="15" customHeight="1" x14ac:dyDescent="0.25">
      <c r="A9" s="179" t="s">
        <v>321</v>
      </c>
      <c r="B9" s="582">
        <f t="shared" si="0"/>
        <v>270</v>
      </c>
      <c r="C9" s="582">
        <f t="shared" si="6"/>
        <v>0</v>
      </c>
      <c r="D9" s="582">
        <f t="shared" si="1"/>
        <v>40</v>
      </c>
      <c r="E9" s="580">
        <f t="shared" si="3"/>
        <v>6.75</v>
      </c>
      <c r="F9" s="578"/>
      <c r="G9" s="828">
        <v>277</v>
      </c>
      <c r="H9" s="828">
        <v>265</v>
      </c>
      <c r="I9" s="828">
        <v>270</v>
      </c>
      <c r="J9" s="828">
        <v>209</v>
      </c>
      <c r="K9" s="828"/>
      <c r="L9" s="828"/>
      <c r="M9" s="828"/>
      <c r="N9" s="828"/>
      <c r="O9" s="828"/>
      <c r="P9" s="828"/>
      <c r="Q9" s="828"/>
      <c r="R9" s="828"/>
      <c r="S9" s="584">
        <f t="shared" si="4"/>
        <v>1021</v>
      </c>
      <c r="T9" s="582"/>
      <c r="U9" s="582"/>
      <c r="V9" s="582"/>
      <c r="W9" s="582"/>
      <c r="X9" s="582"/>
      <c r="Y9" s="582"/>
      <c r="Z9" s="582"/>
      <c r="AA9" s="582"/>
      <c r="AB9" s="582"/>
      <c r="AC9" s="582"/>
      <c r="AD9" s="582"/>
      <c r="AE9" s="582"/>
      <c r="AF9" s="582">
        <f t="shared" si="5"/>
        <v>0</v>
      </c>
      <c r="AG9" s="582">
        <v>52</v>
      </c>
      <c r="AH9" s="582">
        <v>20</v>
      </c>
      <c r="AI9" s="582">
        <v>40</v>
      </c>
      <c r="AJ9" s="582">
        <v>29</v>
      </c>
      <c r="AK9" s="582">
        <v>82</v>
      </c>
      <c r="AL9" s="582">
        <v>70</v>
      </c>
      <c r="AM9" s="188">
        <v>11</v>
      </c>
      <c r="AN9" s="582">
        <v>61</v>
      </c>
      <c r="AO9" s="188">
        <v>148</v>
      </c>
      <c r="AP9" s="582">
        <v>358</v>
      </c>
      <c r="AQ9" s="582">
        <v>316</v>
      </c>
      <c r="AR9" s="188">
        <v>328</v>
      </c>
      <c r="AS9" s="582">
        <f t="shared" si="2"/>
        <v>112</v>
      </c>
      <c r="AT9" s="642">
        <f t="shared" si="8"/>
        <v>-1</v>
      </c>
      <c r="AU9" s="642">
        <f t="shared" si="9"/>
        <v>8.1160714285714288</v>
      </c>
    </row>
    <row r="10" spans="1:112" s="179" customFormat="1" ht="15" customHeight="1" x14ac:dyDescent="0.25">
      <c r="A10" s="179" t="s">
        <v>349</v>
      </c>
      <c r="B10" s="188">
        <f>SUMIF($G$3:$R$3,$B$2,G10:R10)</f>
        <v>125</v>
      </c>
      <c r="C10" s="188">
        <f t="shared" ref="C10" si="10">SUMIF($T$3:$AE$3,$B$2,T10:AE10)</f>
        <v>0</v>
      </c>
      <c r="D10" s="188">
        <f t="shared" ref="D10" si="11">SUMIF($AG$3:$AR$3,$D$2,AG10:AR10)</f>
        <v>139</v>
      </c>
      <c r="E10" s="580">
        <f t="shared" si="3"/>
        <v>0.89928057553956831</v>
      </c>
      <c r="F10" s="180"/>
      <c r="G10" s="828">
        <v>129</v>
      </c>
      <c r="H10" s="828">
        <v>366</v>
      </c>
      <c r="I10" s="828">
        <v>125</v>
      </c>
      <c r="J10" s="828">
        <v>171</v>
      </c>
      <c r="K10" s="828"/>
      <c r="L10" s="828"/>
      <c r="M10" s="828"/>
      <c r="N10" s="828"/>
      <c r="O10" s="828"/>
      <c r="P10" s="828"/>
      <c r="Q10" s="828"/>
      <c r="R10" s="828"/>
      <c r="S10" s="471">
        <f t="shared" si="4"/>
        <v>791</v>
      </c>
      <c r="T10" s="582"/>
      <c r="U10" s="582"/>
      <c r="V10" s="582"/>
      <c r="W10" s="582"/>
      <c r="X10" s="582"/>
      <c r="Y10" s="582"/>
      <c r="Z10" s="582"/>
      <c r="AA10" s="582"/>
      <c r="AB10" s="582"/>
      <c r="AC10" s="582"/>
      <c r="AD10" s="582"/>
      <c r="AE10" s="582"/>
      <c r="AF10" s="188">
        <f t="shared" si="5"/>
        <v>0</v>
      </c>
      <c r="AG10" s="188">
        <v>139</v>
      </c>
      <c r="AH10" s="188">
        <v>277</v>
      </c>
      <c r="AI10" s="188">
        <v>139</v>
      </c>
      <c r="AJ10" s="188">
        <v>193</v>
      </c>
      <c r="AK10" s="188">
        <v>82</v>
      </c>
      <c r="AL10" s="188">
        <v>135</v>
      </c>
      <c r="AM10" s="188">
        <v>134</v>
      </c>
      <c r="AN10" s="188">
        <v>370</v>
      </c>
      <c r="AO10" s="188">
        <v>197</v>
      </c>
      <c r="AP10" s="188">
        <v>77</v>
      </c>
      <c r="AQ10" s="188">
        <v>168</v>
      </c>
      <c r="AR10" s="188">
        <v>234</v>
      </c>
      <c r="AS10" s="188">
        <f t="shared" si="2"/>
        <v>555</v>
      </c>
      <c r="AT10" s="642">
        <f t="shared" si="8"/>
        <v>-1</v>
      </c>
      <c r="AU10" s="642">
        <f t="shared" si="9"/>
        <v>0.42522522522522521</v>
      </c>
    </row>
    <row r="11" spans="1:112" s="179" customFormat="1" x14ac:dyDescent="0.25">
      <c r="A11" s="179" t="s">
        <v>348</v>
      </c>
      <c r="B11" s="188">
        <f>SUMIF($G$3:$R$3,$B$2,G11:R11)</f>
        <v>2332</v>
      </c>
      <c r="C11" s="188">
        <f t="shared" si="6"/>
        <v>0</v>
      </c>
      <c r="D11" s="188">
        <f t="shared" si="1"/>
        <v>2781</v>
      </c>
      <c r="E11" s="580">
        <f t="shared" si="3"/>
        <v>0.83854728514922694</v>
      </c>
      <c r="F11" s="180"/>
      <c r="G11" s="828">
        <v>3466</v>
      </c>
      <c r="H11" s="828">
        <v>3274</v>
      </c>
      <c r="I11" s="828">
        <v>2332</v>
      </c>
      <c r="J11" s="828">
        <v>2059</v>
      </c>
      <c r="K11" s="828"/>
      <c r="L11" s="828"/>
      <c r="M11" s="828"/>
      <c r="N11" s="828"/>
      <c r="O11" s="828"/>
      <c r="P11" s="828"/>
      <c r="Q11" s="828"/>
      <c r="R11" s="828"/>
      <c r="S11" s="471">
        <f t="shared" si="4"/>
        <v>11131</v>
      </c>
      <c r="T11" s="188"/>
      <c r="U11" s="188"/>
      <c r="V11" s="188"/>
      <c r="W11" s="188"/>
      <c r="X11" s="188"/>
      <c r="Y11" s="188"/>
      <c r="Z11" s="188"/>
      <c r="AA11" s="188"/>
      <c r="AB11" s="188"/>
      <c r="AC11" s="188"/>
      <c r="AD11" s="188"/>
      <c r="AE11" s="188"/>
      <c r="AF11" s="188">
        <f t="shared" si="5"/>
        <v>0</v>
      </c>
      <c r="AG11" s="188">
        <v>3304</v>
      </c>
      <c r="AH11" s="188">
        <v>2760</v>
      </c>
      <c r="AI11" s="188">
        <v>2781</v>
      </c>
      <c r="AJ11" s="471">
        <v>1629</v>
      </c>
      <c r="AK11" s="471">
        <v>2867</v>
      </c>
      <c r="AL11" s="471">
        <v>3529</v>
      </c>
      <c r="AM11" s="471">
        <v>3520</v>
      </c>
      <c r="AN11" s="471">
        <v>3027</v>
      </c>
      <c r="AO11" s="471">
        <v>3974</v>
      </c>
      <c r="AP11" s="188">
        <v>4065</v>
      </c>
      <c r="AQ11" s="188">
        <v>3874</v>
      </c>
      <c r="AR11" s="188">
        <v>4180</v>
      </c>
      <c r="AS11" s="188">
        <f>SUMIF($AG$1:$AR$1,$AS$1,$AG11:$AR11)</f>
        <v>8845</v>
      </c>
      <c r="AT11" s="642">
        <f t="shared" si="8"/>
        <v>-1</v>
      </c>
      <c r="AU11" s="642">
        <f t="shared" si="9"/>
        <v>0.25845110231769364</v>
      </c>
    </row>
    <row r="12" spans="1:112" s="179" customFormat="1" ht="15" hidden="1" customHeight="1" outlineLevel="1" x14ac:dyDescent="0.25">
      <c r="A12" s="179" t="s">
        <v>340</v>
      </c>
      <c r="B12" s="188">
        <f t="shared" si="0"/>
        <v>0</v>
      </c>
      <c r="C12" s="188">
        <f t="shared" si="6"/>
        <v>0</v>
      </c>
      <c r="D12" s="188">
        <f t="shared" si="1"/>
        <v>0</v>
      </c>
      <c r="E12" s="580" t="e">
        <f t="shared" si="3"/>
        <v>#DIV/0!</v>
      </c>
      <c r="F12" s="180"/>
      <c r="G12" s="828"/>
      <c r="H12" s="828"/>
      <c r="I12" s="828"/>
      <c r="J12" s="828"/>
      <c r="K12" s="828"/>
      <c r="L12" s="828"/>
      <c r="M12" s="828"/>
      <c r="N12" s="828"/>
      <c r="O12" s="828"/>
      <c r="P12" s="828"/>
      <c r="Q12" s="828"/>
      <c r="R12" s="828"/>
      <c r="S12" s="471">
        <f t="shared" si="4"/>
        <v>0</v>
      </c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>
        <f t="shared" si="5"/>
        <v>0</v>
      </c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>
        <f t="shared" si="2"/>
        <v>0</v>
      </c>
      <c r="AT12" s="642" t="e">
        <f t="shared" si="8"/>
        <v>#DIV/0!</v>
      </c>
      <c r="AU12" s="642" t="e">
        <f t="shared" si="9"/>
        <v>#DIV/0!</v>
      </c>
    </row>
    <row r="13" spans="1:112" s="179" customFormat="1" ht="15" customHeight="1" collapsed="1" x14ac:dyDescent="0.25">
      <c r="A13" s="179" t="s">
        <v>324</v>
      </c>
      <c r="B13" s="188">
        <f t="shared" si="0"/>
        <v>8105</v>
      </c>
      <c r="C13" s="188">
        <f t="shared" si="6"/>
        <v>0</v>
      </c>
      <c r="D13" s="188">
        <f t="shared" si="1"/>
        <v>10219</v>
      </c>
      <c r="E13" s="580">
        <f t="shared" si="3"/>
        <v>0.79313044329190718</v>
      </c>
      <c r="F13" s="180"/>
      <c r="G13" s="828">
        <v>7926</v>
      </c>
      <c r="H13" s="828">
        <v>9060</v>
      </c>
      <c r="I13" s="828">
        <v>8105</v>
      </c>
      <c r="J13" s="828">
        <v>6861</v>
      </c>
      <c r="K13" s="828"/>
      <c r="L13" s="828"/>
      <c r="M13" s="828"/>
      <c r="N13" s="828"/>
      <c r="O13" s="828"/>
      <c r="P13" s="828"/>
      <c r="Q13" s="828"/>
      <c r="R13" s="828"/>
      <c r="S13" s="471">
        <f t="shared" si="4"/>
        <v>31952</v>
      </c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>
        <f t="shared" si="5"/>
        <v>0</v>
      </c>
      <c r="AG13" s="188">
        <v>8043</v>
      </c>
      <c r="AH13" s="188">
        <v>9223</v>
      </c>
      <c r="AI13" s="188">
        <v>10219</v>
      </c>
      <c r="AJ13" s="188">
        <v>9803</v>
      </c>
      <c r="AK13" s="188">
        <v>10274</v>
      </c>
      <c r="AL13" s="188">
        <v>9631</v>
      </c>
      <c r="AM13" s="188">
        <v>10245</v>
      </c>
      <c r="AN13" s="188">
        <v>10410</v>
      </c>
      <c r="AO13" s="188">
        <v>8447</v>
      </c>
      <c r="AP13" s="188">
        <v>11061</v>
      </c>
      <c r="AQ13" s="188">
        <v>8693</v>
      </c>
      <c r="AR13" s="188">
        <v>8896</v>
      </c>
      <c r="AS13" s="188">
        <f t="shared" si="2"/>
        <v>27485</v>
      </c>
      <c r="AT13" s="642">
        <f t="shared" si="8"/>
        <v>-1</v>
      </c>
      <c r="AU13" s="642">
        <f t="shared" si="9"/>
        <v>0.1625250136438057</v>
      </c>
      <c r="BL13" s="581"/>
      <c r="BM13" s="581">
        <v>399511</v>
      </c>
      <c r="BN13" s="581">
        <v>361442</v>
      </c>
      <c r="BO13" s="581">
        <v>343837</v>
      </c>
      <c r="BP13" s="581">
        <v>314218</v>
      </c>
      <c r="BQ13" s="581">
        <v>287192</v>
      </c>
      <c r="BR13" s="581">
        <v>350666</v>
      </c>
      <c r="BS13" s="581">
        <v>279848</v>
      </c>
      <c r="BT13" s="581">
        <v>365355</v>
      </c>
      <c r="BU13" s="581">
        <v>381065.00022524968</v>
      </c>
      <c r="BV13" s="581">
        <v>395694.36491628224</v>
      </c>
      <c r="BW13" s="581">
        <v>373213.90116921259</v>
      </c>
      <c r="BX13" s="581">
        <v>393205.54260805727</v>
      </c>
      <c r="BY13" s="581">
        <v>4245247.8089188021</v>
      </c>
      <c r="BZ13" s="581">
        <v>436870</v>
      </c>
      <c r="CA13" s="581">
        <v>400866</v>
      </c>
      <c r="CB13" s="581">
        <v>364843</v>
      </c>
      <c r="CC13" s="581">
        <v>405549</v>
      </c>
      <c r="CD13" s="581">
        <v>390017</v>
      </c>
      <c r="CE13" s="581">
        <v>394553</v>
      </c>
      <c r="CF13" s="581">
        <v>379135</v>
      </c>
      <c r="CG13" s="581">
        <v>464169</v>
      </c>
      <c r="CH13" s="581">
        <v>388471</v>
      </c>
      <c r="CI13" s="581">
        <v>476341</v>
      </c>
      <c r="CJ13" s="581">
        <v>461451</v>
      </c>
      <c r="CK13" s="581">
        <v>424898</v>
      </c>
      <c r="CL13" s="581">
        <v>4987163</v>
      </c>
      <c r="CM13" s="581">
        <v>288660</v>
      </c>
      <c r="CN13" s="581">
        <v>418290</v>
      </c>
      <c r="CO13" s="581">
        <v>383834</v>
      </c>
      <c r="CP13" s="581">
        <v>298219</v>
      </c>
      <c r="CQ13" s="581">
        <v>369303</v>
      </c>
      <c r="CR13" s="581">
        <v>372562</v>
      </c>
      <c r="CS13" s="581">
        <v>306679</v>
      </c>
      <c r="CT13" s="581">
        <v>301671</v>
      </c>
      <c r="CU13" s="581">
        <v>323400</v>
      </c>
      <c r="CV13" s="581">
        <v>386231</v>
      </c>
      <c r="CW13" s="581">
        <v>318833</v>
      </c>
      <c r="CX13" s="581">
        <v>376173</v>
      </c>
      <c r="CY13" s="581">
        <v>4143855</v>
      </c>
      <c r="CZ13" s="581">
        <v>390108.34592904028</v>
      </c>
      <c r="DA13" s="581">
        <v>362891.48458515375</v>
      </c>
      <c r="DB13" s="581">
        <v>362891.48458515375</v>
      </c>
      <c r="DC13" s="581">
        <v>381036.0588144114</v>
      </c>
      <c r="DD13" s="581">
        <v>353819.19747052487</v>
      </c>
      <c r="DE13" s="581">
        <v>381036.0588144114</v>
      </c>
      <c r="DF13" s="581">
        <v>344746.91035589605</v>
      </c>
      <c r="DG13" s="581">
        <v>381036.0588144114</v>
      </c>
      <c r="DH13" s="581">
        <v>399180.63304366911</v>
      </c>
    </row>
    <row r="14" spans="1:112" s="576" customFormat="1" ht="15" customHeight="1" x14ac:dyDescent="0.25">
      <c r="A14" s="179" t="s">
        <v>325</v>
      </c>
      <c r="B14" s="582">
        <f t="shared" si="0"/>
        <v>7815</v>
      </c>
      <c r="C14" s="582">
        <f t="shared" si="6"/>
        <v>0</v>
      </c>
      <c r="D14" s="582">
        <f t="shared" si="1"/>
        <v>6922</v>
      </c>
      <c r="E14" s="580">
        <f t="shared" si="3"/>
        <v>1.1290089569488586</v>
      </c>
      <c r="F14" s="578"/>
      <c r="G14" s="828">
        <v>7536</v>
      </c>
      <c r="H14" s="828">
        <v>6329</v>
      </c>
      <c r="I14" s="828">
        <v>7815</v>
      </c>
      <c r="J14" s="828">
        <v>5808</v>
      </c>
      <c r="K14" s="828"/>
      <c r="L14" s="828"/>
      <c r="M14" s="828"/>
      <c r="N14" s="828"/>
      <c r="O14" s="828"/>
      <c r="P14" s="828"/>
      <c r="Q14" s="828"/>
      <c r="R14" s="828"/>
      <c r="S14" s="584">
        <f t="shared" si="4"/>
        <v>27488</v>
      </c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582">
        <f>SUMIF($T$1:$AE$1,$AF$1,$T14:$AE14)</f>
        <v>0</v>
      </c>
      <c r="AG14" s="188">
        <v>6215</v>
      </c>
      <c r="AH14" s="188">
        <v>6476</v>
      </c>
      <c r="AI14" s="656">
        <v>6922</v>
      </c>
      <c r="AJ14" s="656">
        <v>5610</v>
      </c>
      <c r="AK14" s="656">
        <v>5837</v>
      </c>
      <c r="AL14" s="656">
        <v>5945</v>
      </c>
      <c r="AM14" s="188">
        <v>5671</v>
      </c>
      <c r="AN14" s="656">
        <v>6155</v>
      </c>
      <c r="AO14" s="188">
        <v>5649</v>
      </c>
      <c r="AP14" s="656">
        <v>6587</v>
      </c>
      <c r="AQ14" s="656">
        <v>6973</v>
      </c>
      <c r="AR14" s="188">
        <v>5450</v>
      </c>
      <c r="AS14" s="582">
        <f>SUMIF($AG$1:$AR$1,$AS$1,$AG14:$AR14)</f>
        <v>19613</v>
      </c>
      <c r="AT14" s="642">
        <f t="shared" si="8"/>
        <v>-1</v>
      </c>
      <c r="AU14" s="642">
        <f t="shared" si="9"/>
        <v>0.4015194003976954</v>
      </c>
      <c r="BL14" s="581"/>
      <c r="BM14" s="581">
        <v>423359</v>
      </c>
      <c r="BN14" s="581">
        <v>393671</v>
      </c>
      <c r="BO14" s="581">
        <v>395101</v>
      </c>
      <c r="BP14" s="581">
        <v>343315</v>
      </c>
      <c r="BQ14" s="581">
        <v>469397</v>
      </c>
      <c r="BR14" s="581">
        <v>453220</v>
      </c>
      <c r="BS14" s="581">
        <v>415494</v>
      </c>
      <c r="BT14" s="581">
        <v>443605</v>
      </c>
      <c r="BU14" s="581">
        <v>438070.80355901842</v>
      </c>
      <c r="BV14" s="581">
        <v>476975.28698149038</v>
      </c>
      <c r="BW14" s="581">
        <v>488662.48702147545</v>
      </c>
      <c r="BX14" s="581">
        <v>470304.43696494814</v>
      </c>
      <c r="BY14" s="581">
        <v>5211175.0145269316</v>
      </c>
      <c r="BZ14" s="581">
        <v>432807</v>
      </c>
      <c r="CA14" s="581">
        <v>397137</v>
      </c>
      <c r="CB14" s="581">
        <v>361449</v>
      </c>
      <c r="CC14" s="581">
        <v>401777</v>
      </c>
      <c r="CD14" s="581">
        <v>386390</v>
      </c>
      <c r="CE14" s="581">
        <v>390883</v>
      </c>
      <c r="CF14" s="581">
        <v>375608</v>
      </c>
      <c r="CG14" s="581">
        <v>459852</v>
      </c>
      <c r="CH14" s="581">
        <v>384858</v>
      </c>
      <c r="CI14" s="581">
        <v>471910</v>
      </c>
      <c r="CJ14" s="581">
        <v>457159</v>
      </c>
      <c r="CK14" s="581">
        <v>420842</v>
      </c>
      <c r="CL14" s="581">
        <v>4940672</v>
      </c>
      <c r="CM14" s="581">
        <v>472312</v>
      </c>
      <c r="CN14" s="581">
        <v>396302</v>
      </c>
      <c r="CO14" s="581">
        <v>421992</v>
      </c>
      <c r="CP14" s="581">
        <v>281713</v>
      </c>
      <c r="CQ14" s="581">
        <v>365528</v>
      </c>
      <c r="CR14" s="581">
        <v>396291</v>
      </c>
      <c r="CS14" s="581">
        <v>369968</v>
      </c>
      <c r="CT14" s="581">
        <v>446144</v>
      </c>
      <c r="CU14" s="581">
        <v>387460</v>
      </c>
      <c r="CV14" s="581">
        <v>513432</v>
      </c>
      <c r="CW14" s="581">
        <v>337623</v>
      </c>
      <c r="CX14" s="581">
        <v>402365</v>
      </c>
      <c r="CY14" s="581">
        <v>4791130</v>
      </c>
      <c r="CZ14" s="581">
        <v>477715.43798388238</v>
      </c>
      <c r="DA14" s="581">
        <v>444386.45393849525</v>
      </c>
      <c r="DB14" s="581">
        <v>444386.45393849525</v>
      </c>
      <c r="DC14" s="581">
        <v>466605.77663542004</v>
      </c>
      <c r="DD14" s="581">
        <v>433276.79259003286</v>
      </c>
      <c r="DE14" s="581">
        <v>466605.77663542004</v>
      </c>
      <c r="DF14" s="581">
        <v>422167.13124157046</v>
      </c>
      <c r="DG14" s="581">
        <v>466605.77663542004</v>
      </c>
      <c r="DH14" s="581">
        <v>488825.09933234478</v>
      </c>
    </row>
    <row r="15" spans="1:112" s="576" customFormat="1" x14ac:dyDescent="0.25">
      <c r="A15" s="179" t="s">
        <v>326</v>
      </c>
      <c r="B15" s="582">
        <f t="shared" si="0"/>
        <v>15339</v>
      </c>
      <c r="C15" s="582">
        <f t="shared" si="6"/>
        <v>0</v>
      </c>
      <c r="D15" s="582">
        <f t="shared" si="1"/>
        <v>14405</v>
      </c>
      <c r="E15" s="580">
        <f t="shared" si="3"/>
        <v>1.0648385977091288</v>
      </c>
      <c r="F15" s="578"/>
      <c r="G15" s="828">
        <v>16537</v>
      </c>
      <c r="H15" s="828">
        <v>15215</v>
      </c>
      <c r="I15" s="828">
        <v>15339</v>
      </c>
      <c r="J15" s="828">
        <f>7342+5744</f>
        <v>13086</v>
      </c>
      <c r="K15" s="828"/>
      <c r="L15" s="828"/>
      <c r="M15" s="828"/>
      <c r="N15" s="828"/>
      <c r="O15" s="828"/>
      <c r="P15" s="828"/>
      <c r="Q15" s="828"/>
      <c r="R15" s="828"/>
      <c r="S15" s="584">
        <f t="shared" si="4"/>
        <v>60177</v>
      </c>
      <c r="T15" s="188"/>
      <c r="U15" s="188"/>
      <c r="V15" s="188"/>
      <c r="W15" s="188"/>
      <c r="X15" s="188"/>
      <c r="Y15" s="188"/>
      <c r="Z15" s="188"/>
      <c r="AA15" s="188"/>
      <c r="AB15" s="188"/>
      <c r="AC15" s="188"/>
      <c r="AD15" s="188"/>
      <c r="AE15" s="188"/>
      <c r="AF15" s="582">
        <f t="shared" si="5"/>
        <v>0</v>
      </c>
      <c r="AG15" s="188">
        <v>17232</v>
      </c>
      <c r="AH15" s="188">
        <v>15164</v>
      </c>
      <c r="AI15" s="656">
        <v>14405</v>
      </c>
      <c r="AJ15" s="656">
        <v>11232</v>
      </c>
      <c r="AK15" s="656">
        <v>14401</v>
      </c>
      <c r="AL15" s="656">
        <v>16998</v>
      </c>
      <c r="AM15" s="188">
        <v>17018</v>
      </c>
      <c r="AN15" s="656">
        <v>15995</v>
      </c>
      <c r="AO15" s="188">
        <v>15593</v>
      </c>
      <c r="AP15" s="656">
        <v>16101</v>
      </c>
      <c r="AQ15" s="656">
        <v>16121</v>
      </c>
      <c r="AR15" s="188">
        <v>14207</v>
      </c>
      <c r="AS15" s="582">
        <f t="shared" ref="AS15:AS37" si="12">SUMIF($AG$1:$AR$1,$AS$1,$AG15:$AR15)</f>
        <v>46801</v>
      </c>
      <c r="AT15" s="642">
        <f>+(O15-AO15)/AO15</f>
        <v>-1</v>
      </c>
      <c r="AU15" s="642">
        <f>+(S15-AS15)/AS15</f>
        <v>0.28580585884916987</v>
      </c>
      <c r="BL15" s="581"/>
      <c r="BM15" s="581">
        <v>172696</v>
      </c>
      <c r="BN15" s="581">
        <v>168430</v>
      </c>
      <c r="BO15" s="581">
        <v>147003</v>
      </c>
      <c r="BP15" s="581">
        <v>140481</v>
      </c>
      <c r="BQ15" s="581">
        <v>146187</v>
      </c>
      <c r="BR15" s="581">
        <v>159809</v>
      </c>
      <c r="BS15" s="581">
        <v>158475</v>
      </c>
      <c r="BT15" s="581">
        <v>145038</v>
      </c>
      <c r="BU15" s="581">
        <v>160931.36781386432</v>
      </c>
      <c r="BV15" s="581">
        <v>169916.18230915177</v>
      </c>
      <c r="BW15" s="581">
        <v>164402.91433121506</v>
      </c>
      <c r="BX15" s="581">
        <v>173088.56225034682</v>
      </c>
      <c r="BY15" s="581">
        <v>1906458.026704578</v>
      </c>
      <c r="BZ15" s="581">
        <v>226344</v>
      </c>
      <c r="CA15" s="581">
        <v>207690</v>
      </c>
      <c r="CB15" s="581">
        <v>189026</v>
      </c>
      <c r="CC15" s="581">
        <v>210116</v>
      </c>
      <c r="CD15" s="581">
        <v>202069</v>
      </c>
      <c r="CE15" s="581">
        <v>204419</v>
      </c>
      <c r="CF15" s="581">
        <v>196431</v>
      </c>
      <c r="CG15" s="581">
        <v>240487</v>
      </c>
      <c r="CH15" s="581">
        <v>201268</v>
      </c>
      <c r="CI15" s="581">
        <v>246793</v>
      </c>
      <c r="CJ15" s="581">
        <v>239079</v>
      </c>
      <c r="CK15" s="581">
        <v>220086</v>
      </c>
      <c r="CL15" s="581">
        <v>2583808</v>
      </c>
      <c r="CM15" s="581">
        <v>251561</v>
      </c>
      <c r="CN15" s="581">
        <v>201737</v>
      </c>
      <c r="CO15" s="581">
        <v>243477</v>
      </c>
      <c r="CP15" s="581">
        <v>211100</v>
      </c>
      <c r="CQ15" s="581">
        <v>195614</v>
      </c>
      <c r="CR15" s="581">
        <v>189891</v>
      </c>
      <c r="CS15" s="581">
        <v>172009</v>
      </c>
      <c r="CT15" s="581">
        <v>198534</v>
      </c>
      <c r="CU15" s="581">
        <v>175655</v>
      </c>
      <c r="CV15" s="581">
        <v>210677</v>
      </c>
      <c r="CW15" s="581">
        <v>170751</v>
      </c>
      <c r="CX15" s="581">
        <v>192404</v>
      </c>
      <c r="CY15" s="581">
        <v>2413410</v>
      </c>
      <c r="CZ15" s="581">
        <v>175426.90431021751</v>
      </c>
      <c r="DA15" s="581">
        <v>163187.81796299302</v>
      </c>
      <c r="DB15" s="581">
        <v>163187.81796299302</v>
      </c>
      <c r="DC15" s="581">
        <v>171347.20886114269</v>
      </c>
      <c r="DD15" s="581">
        <v>159108.12251391821</v>
      </c>
      <c r="DE15" s="581">
        <v>171347.20886114269</v>
      </c>
      <c r="DF15" s="581">
        <v>155028.42706484339</v>
      </c>
      <c r="DG15" s="581">
        <v>171347.20886114269</v>
      </c>
      <c r="DH15" s="581">
        <v>179506.59975929232</v>
      </c>
    </row>
    <row r="16" spans="1:112" s="576" customFormat="1" ht="15" customHeight="1" x14ac:dyDescent="0.25">
      <c r="A16" s="179" t="s">
        <v>327</v>
      </c>
      <c r="B16" s="582">
        <f t="shared" si="0"/>
        <v>22034</v>
      </c>
      <c r="C16" s="582">
        <f t="shared" si="6"/>
        <v>0</v>
      </c>
      <c r="D16" s="582">
        <f t="shared" si="1"/>
        <v>19583</v>
      </c>
      <c r="E16" s="580">
        <f t="shared" si="3"/>
        <v>1.1251595771842926</v>
      </c>
      <c r="F16" s="578"/>
      <c r="G16" s="828">
        <v>26128</v>
      </c>
      <c r="H16" s="828">
        <v>23506</v>
      </c>
      <c r="I16" s="828">
        <v>22034</v>
      </c>
      <c r="J16" s="828">
        <v>19771</v>
      </c>
      <c r="K16" s="828"/>
      <c r="L16" s="828"/>
      <c r="M16" s="828"/>
      <c r="N16" s="828"/>
      <c r="O16" s="828"/>
      <c r="P16" s="828"/>
      <c r="Q16" s="828"/>
      <c r="R16" s="828"/>
      <c r="S16" s="584">
        <f t="shared" si="4"/>
        <v>91439</v>
      </c>
      <c r="T16" s="188"/>
      <c r="U16" s="188"/>
      <c r="V16" s="188"/>
      <c r="W16" s="188"/>
      <c r="X16" s="188"/>
      <c r="Y16" s="188"/>
      <c r="Z16" s="188"/>
      <c r="AA16" s="188"/>
      <c r="AB16" s="188"/>
      <c r="AC16" s="188"/>
      <c r="AD16" s="188"/>
      <c r="AE16" s="188"/>
      <c r="AF16" s="582">
        <f t="shared" si="5"/>
        <v>0</v>
      </c>
      <c r="AG16" s="188">
        <v>21525</v>
      </c>
      <c r="AH16" s="188">
        <v>23250</v>
      </c>
      <c r="AI16" s="656">
        <v>19583</v>
      </c>
      <c r="AJ16" s="656">
        <v>14674</v>
      </c>
      <c r="AK16" s="656">
        <v>16665</v>
      </c>
      <c r="AL16" s="656">
        <v>18258</v>
      </c>
      <c r="AM16" s="188">
        <v>18048</v>
      </c>
      <c r="AN16" s="656">
        <v>21313</v>
      </c>
      <c r="AO16" s="188">
        <v>19087</v>
      </c>
      <c r="AP16" s="656">
        <v>20455</v>
      </c>
      <c r="AQ16" s="656">
        <v>20213</v>
      </c>
      <c r="AR16" s="188">
        <v>19366</v>
      </c>
      <c r="AS16" s="582">
        <f t="shared" si="12"/>
        <v>64358</v>
      </c>
      <c r="AT16" s="642">
        <f>+(O16-AO16)/AO16</f>
        <v>-1</v>
      </c>
      <c r="AU16" s="642">
        <f>+(S16-AS16)/AS16</f>
        <v>0.42078684856583487</v>
      </c>
      <c r="BL16" s="581"/>
      <c r="BM16" s="581">
        <v>204841</v>
      </c>
      <c r="BN16" s="581">
        <v>219136</v>
      </c>
      <c r="BO16" s="581">
        <v>191561</v>
      </c>
      <c r="BP16" s="581">
        <v>175098</v>
      </c>
      <c r="BQ16" s="581">
        <v>186058</v>
      </c>
      <c r="BR16" s="581">
        <v>209461</v>
      </c>
      <c r="BS16" s="581">
        <v>234706</v>
      </c>
      <c r="BT16" s="581">
        <v>270913</v>
      </c>
      <c r="BU16" s="581">
        <v>272086.11640839325</v>
      </c>
      <c r="BV16" s="581">
        <v>257412.68509305257</v>
      </c>
      <c r="BW16" s="581">
        <v>255182.57028064053</v>
      </c>
      <c r="BX16" s="581">
        <v>261157.25750908276</v>
      </c>
      <c r="BY16" s="581">
        <v>2737612.6292911689</v>
      </c>
      <c r="BZ16" s="581">
        <v>239893</v>
      </c>
      <c r="CA16" s="581">
        <v>220123</v>
      </c>
      <c r="CB16" s="581">
        <v>200342</v>
      </c>
      <c r="CC16" s="581">
        <v>222694</v>
      </c>
      <c r="CD16" s="581">
        <v>214166</v>
      </c>
      <c r="CE16" s="581">
        <v>216656</v>
      </c>
      <c r="CF16" s="581">
        <v>208190</v>
      </c>
      <c r="CG16" s="581">
        <v>254884</v>
      </c>
      <c r="CH16" s="581">
        <v>213317</v>
      </c>
      <c r="CI16" s="581">
        <v>261567</v>
      </c>
      <c r="CJ16" s="581">
        <v>253391</v>
      </c>
      <c r="CK16" s="581">
        <v>233262</v>
      </c>
      <c r="CL16" s="581">
        <v>2738485</v>
      </c>
      <c r="CM16" s="581">
        <v>197821</v>
      </c>
      <c r="CN16" s="581">
        <v>195879</v>
      </c>
      <c r="CO16" s="581">
        <v>197743</v>
      </c>
      <c r="CP16" s="581">
        <v>202111</v>
      </c>
      <c r="CQ16" s="581">
        <v>182564</v>
      </c>
      <c r="CR16" s="581">
        <v>234811</v>
      </c>
      <c r="CS16" s="581">
        <v>190740</v>
      </c>
      <c r="CT16" s="581">
        <v>208262</v>
      </c>
      <c r="CU16" s="581">
        <v>204239</v>
      </c>
      <c r="CV16" s="581">
        <v>217513</v>
      </c>
      <c r="CW16" s="581">
        <v>230452</v>
      </c>
      <c r="CX16" s="581">
        <v>217250</v>
      </c>
      <c r="CY16" s="581">
        <v>2479385</v>
      </c>
      <c r="CZ16" s="581">
        <v>259819.73895507507</v>
      </c>
      <c r="DA16" s="581">
        <v>241692.78042332563</v>
      </c>
      <c r="DB16" s="581">
        <v>241692.78042332563</v>
      </c>
      <c r="DC16" s="581">
        <v>253777.41944449191</v>
      </c>
      <c r="DD16" s="581">
        <v>235650.46091274251</v>
      </c>
      <c r="DE16" s="581">
        <v>253777.41944449191</v>
      </c>
      <c r="DF16" s="581">
        <v>229608.14140215935</v>
      </c>
      <c r="DG16" s="581">
        <v>253777.41944449191</v>
      </c>
      <c r="DH16" s="581">
        <v>265862.05846565822</v>
      </c>
    </row>
    <row r="17" spans="1:112" s="576" customFormat="1" ht="15" hidden="1" customHeight="1" outlineLevel="1" x14ac:dyDescent="0.25">
      <c r="A17" s="179" t="s">
        <v>328</v>
      </c>
      <c r="B17" s="582">
        <f t="shared" si="0"/>
        <v>0</v>
      </c>
      <c r="C17" s="582">
        <f t="shared" si="6"/>
        <v>0</v>
      </c>
      <c r="D17" s="582">
        <f t="shared" si="1"/>
        <v>0</v>
      </c>
      <c r="E17" s="580" t="e">
        <f t="shared" si="3"/>
        <v>#DIV/0!</v>
      </c>
      <c r="F17" s="578"/>
      <c r="G17" s="828"/>
      <c r="H17" s="828"/>
      <c r="I17" s="828"/>
      <c r="J17" s="828"/>
      <c r="K17" s="828"/>
      <c r="L17" s="828"/>
      <c r="M17" s="828"/>
      <c r="N17" s="828"/>
      <c r="O17" s="828"/>
      <c r="P17" s="828"/>
      <c r="Q17" s="828"/>
      <c r="R17" s="828"/>
      <c r="S17" s="584">
        <f t="shared" si="4"/>
        <v>0</v>
      </c>
      <c r="T17" s="582"/>
      <c r="U17" s="582"/>
      <c r="V17" s="582"/>
      <c r="W17" s="582"/>
      <c r="X17" s="582"/>
      <c r="Y17" s="582"/>
      <c r="Z17" s="582"/>
      <c r="AA17" s="582"/>
      <c r="AB17" s="582"/>
      <c r="AC17" s="582"/>
      <c r="AD17" s="582"/>
      <c r="AE17" s="582"/>
      <c r="AF17" s="582">
        <f t="shared" si="5"/>
        <v>0</v>
      </c>
      <c r="AG17" s="656"/>
      <c r="AH17" s="656"/>
      <c r="AI17" s="656"/>
      <c r="AJ17" s="656"/>
      <c r="AK17" s="656"/>
      <c r="AL17" s="656"/>
      <c r="AM17" s="188"/>
      <c r="AN17" s="656"/>
      <c r="AO17" s="188"/>
      <c r="AP17" s="656"/>
      <c r="AQ17" s="656"/>
      <c r="AR17" s="188"/>
      <c r="AS17" s="582">
        <f t="shared" si="12"/>
        <v>0</v>
      </c>
      <c r="AT17" s="579"/>
      <c r="BL17" s="581"/>
      <c r="BM17" s="581">
        <v>23939</v>
      </c>
      <c r="BN17" s="581">
        <v>19400</v>
      </c>
      <c r="BO17" s="581">
        <v>10027</v>
      </c>
      <c r="BP17" s="581">
        <v>32078</v>
      </c>
      <c r="BQ17" s="581">
        <v>24143</v>
      </c>
      <c r="BR17" s="581">
        <v>28134</v>
      </c>
      <c r="BS17" s="581">
        <v>19766</v>
      </c>
      <c r="BT17" s="581">
        <v>29251</v>
      </c>
      <c r="BU17" s="581">
        <v>29431.6510613543</v>
      </c>
      <c r="BV17" s="581">
        <v>30344.865010875543</v>
      </c>
      <c r="BW17" s="581">
        <v>26391.534190258852</v>
      </c>
      <c r="BX17" s="581">
        <v>24551.714121348356</v>
      </c>
      <c r="BY17" s="581">
        <v>297457.764383837</v>
      </c>
      <c r="BZ17" s="581">
        <v>28704</v>
      </c>
      <c r="CA17" s="581">
        <v>26208</v>
      </c>
      <c r="CB17" s="581">
        <v>27269</v>
      </c>
      <c r="CC17" s="581">
        <v>21228</v>
      </c>
      <c r="CD17" s="581">
        <v>24960</v>
      </c>
      <c r="CE17" s="581">
        <v>24960</v>
      </c>
      <c r="CF17" s="581">
        <v>23712</v>
      </c>
      <c r="CG17" s="581">
        <v>28704</v>
      </c>
      <c r="CH17" s="581">
        <v>24186</v>
      </c>
      <c r="CI17" s="581">
        <v>28080</v>
      </c>
      <c r="CJ17" s="581">
        <v>28280</v>
      </c>
      <c r="CK17" s="581">
        <v>25709</v>
      </c>
      <c r="CL17" s="581">
        <v>312000</v>
      </c>
      <c r="CM17" s="581">
        <v>14408</v>
      </c>
      <c r="CN17" s="581">
        <v>32682</v>
      </c>
      <c r="CO17" s="581">
        <v>51245</v>
      </c>
      <c r="CP17" s="581">
        <v>18161</v>
      </c>
      <c r="CQ17" s="581">
        <v>25282</v>
      </c>
      <c r="CR17" s="581">
        <v>51645</v>
      </c>
      <c r="CS17" s="581">
        <v>26493</v>
      </c>
      <c r="CT17" s="581">
        <v>24034</v>
      </c>
      <c r="CU17" s="581">
        <v>35924</v>
      </c>
      <c r="CV17" s="581">
        <v>22443</v>
      </c>
      <c r="CW17" s="581">
        <v>31234</v>
      </c>
      <c r="CX17" s="581">
        <v>24674</v>
      </c>
      <c r="CY17" s="581">
        <v>358225</v>
      </c>
      <c r="CZ17" s="581">
        <v>25797.849454157647</v>
      </c>
      <c r="DA17" s="581">
        <v>23997.999492239673</v>
      </c>
      <c r="DB17" s="581">
        <v>23997.999492239673</v>
      </c>
      <c r="DC17" s="581">
        <v>25197.899466851657</v>
      </c>
      <c r="DD17" s="581">
        <v>23398.049504933682</v>
      </c>
      <c r="DE17" s="581">
        <v>25197.899466851657</v>
      </c>
      <c r="DF17" s="581">
        <v>22798.099517627688</v>
      </c>
      <c r="DG17" s="581">
        <v>25197.899466851657</v>
      </c>
      <c r="DH17" s="581">
        <v>26397.799441463641</v>
      </c>
    </row>
    <row r="18" spans="1:112" s="576" customFormat="1" ht="15" hidden="1" customHeight="1" outlineLevel="1" x14ac:dyDescent="0.25">
      <c r="A18" s="179" t="s">
        <v>329</v>
      </c>
      <c r="B18" s="582">
        <f t="shared" si="0"/>
        <v>0</v>
      </c>
      <c r="C18" s="582">
        <f t="shared" si="6"/>
        <v>0</v>
      </c>
      <c r="D18" s="582">
        <f t="shared" si="1"/>
        <v>0</v>
      </c>
      <c r="E18" s="580" t="e">
        <f t="shared" si="3"/>
        <v>#DIV/0!</v>
      </c>
      <c r="F18" s="578"/>
      <c r="G18" s="828"/>
      <c r="H18" s="828"/>
      <c r="I18" s="828"/>
      <c r="J18" s="828"/>
      <c r="K18" s="828"/>
      <c r="L18" s="828"/>
      <c r="M18" s="828"/>
      <c r="N18" s="828"/>
      <c r="O18" s="828"/>
      <c r="P18" s="828"/>
      <c r="Q18" s="828"/>
      <c r="R18" s="828"/>
      <c r="S18" s="584">
        <f t="shared" si="4"/>
        <v>0</v>
      </c>
      <c r="T18" s="582"/>
      <c r="U18" s="582"/>
      <c r="V18" s="582"/>
      <c r="W18" s="582"/>
      <c r="X18" s="582"/>
      <c r="Y18" s="582"/>
      <c r="Z18" s="582"/>
      <c r="AA18" s="582"/>
      <c r="AB18" s="582"/>
      <c r="AC18" s="582"/>
      <c r="AD18" s="582"/>
      <c r="AE18" s="582"/>
      <c r="AF18" s="582">
        <f t="shared" si="5"/>
        <v>0</v>
      </c>
      <c r="AG18" s="656"/>
      <c r="AH18" s="656"/>
      <c r="AI18" s="656"/>
      <c r="AJ18" s="656"/>
      <c r="AK18" s="656"/>
      <c r="AL18" s="656"/>
      <c r="AM18" s="188"/>
      <c r="AN18" s="656"/>
      <c r="AO18" s="188"/>
      <c r="AP18" s="656"/>
      <c r="AQ18" s="656"/>
      <c r="AR18" s="188"/>
      <c r="AS18" s="582">
        <f t="shared" si="12"/>
        <v>0</v>
      </c>
      <c r="AT18" s="579"/>
      <c r="BL18" s="581"/>
      <c r="BM18" s="581">
        <v>51861</v>
      </c>
      <c r="BN18" s="581">
        <v>41562</v>
      </c>
      <c r="BO18" s="581">
        <v>29471</v>
      </c>
      <c r="BP18" s="581">
        <v>51648</v>
      </c>
      <c r="BQ18" s="581">
        <v>50902</v>
      </c>
      <c r="BR18" s="581">
        <v>48959</v>
      </c>
      <c r="BS18" s="581">
        <v>35673</v>
      </c>
      <c r="BT18" s="581">
        <v>40586</v>
      </c>
      <c r="BU18" s="581">
        <v>57947.948938645699</v>
      </c>
      <c r="BV18" s="581">
        <v>59745.974989124465</v>
      </c>
      <c r="BW18" s="581">
        <v>51962.265809741148</v>
      </c>
      <c r="BX18" s="581">
        <v>48339.845878651649</v>
      </c>
      <c r="BY18" s="581">
        <v>568658.03561616293</v>
      </c>
      <c r="BZ18" s="581">
        <v>55884</v>
      </c>
      <c r="CA18" s="581">
        <v>52221</v>
      </c>
      <c r="CB18" s="581">
        <v>48331</v>
      </c>
      <c r="CC18" s="581">
        <v>54167</v>
      </c>
      <c r="CD18" s="581">
        <v>53060</v>
      </c>
      <c r="CE18" s="581">
        <v>54532</v>
      </c>
      <c r="CF18" s="581">
        <v>53656</v>
      </c>
      <c r="CG18" s="581">
        <v>66645</v>
      </c>
      <c r="CH18" s="581">
        <v>56995</v>
      </c>
      <c r="CI18" s="581">
        <v>70797</v>
      </c>
      <c r="CJ18" s="581">
        <v>69443</v>
      </c>
      <c r="CK18" s="581">
        <v>64698</v>
      </c>
      <c r="CL18" s="581">
        <v>700429</v>
      </c>
      <c r="CM18" s="581">
        <v>33247</v>
      </c>
      <c r="CN18" s="581">
        <v>35992</v>
      </c>
      <c r="CO18" s="581">
        <v>69866</v>
      </c>
      <c r="CP18" s="581">
        <v>34378</v>
      </c>
      <c r="CQ18" s="581">
        <v>35638</v>
      </c>
      <c r="CR18" s="581">
        <v>48800</v>
      </c>
      <c r="CS18" s="581">
        <v>53212</v>
      </c>
      <c r="CT18" s="581">
        <v>68090</v>
      </c>
      <c r="CU18" s="581">
        <v>32196</v>
      </c>
      <c r="CV18" s="581">
        <v>62860</v>
      </c>
      <c r="CW18" s="581">
        <v>49558</v>
      </c>
      <c r="CX18" s="581">
        <v>41549</v>
      </c>
      <c r="CY18" s="581">
        <v>565386</v>
      </c>
      <c r="CZ18" s="581">
        <v>50793.360514502063</v>
      </c>
      <c r="DA18" s="581">
        <v>47249.6376879089</v>
      </c>
      <c r="DB18" s="581">
        <v>47249.6376879089</v>
      </c>
      <c r="DC18" s="581">
        <v>49612.119572304342</v>
      </c>
      <c r="DD18" s="581">
        <v>46068.396745711179</v>
      </c>
      <c r="DE18" s="581">
        <v>49612.119572304342</v>
      </c>
      <c r="DF18" s="581">
        <v>44887.155803513451</v>
      </c>
      <c r="DG18" s="581">
        <v>49612.119572304342</v>
      </c>
      <c r="DH18" s="581">
        <v>51974.601456699791</v>
      </c>
    </row>
    <row r="19" spans="1:112" s="576" customFormat="1" ht="15" hidden="1" customHeight="1" outlineLevel="1" x14ac:dyDescent="0.25">
      <c r="A19" s="179" t="s">
        <v>330</v>
      </c>
      <c r="B19" s="582">
        <f t="shared" si="0"/>
        <v>0</v>
      </c>
      <c r="C19" s="582">
        <f t="shared" si="6"/>
        <v>0</v>
      </c>
      <c r="D19" s="582">
        <f t="shared" si="1"/>
        <v>0</v>
      </c>
      <c r="E19" s="580" t="e">
        <f t="shared" si="3"/>
        <v>#DIV/0!</v>
      </c>
      <c r="F19" s="578"/>
      <c r="G19" s="828"/>
      <c r="H19" s="828"/>
      <c r="I19" s="828"/>
      <c r="J19" s="828"/>
      <c r="K19" s="828"/>
      <c r="L19" s="828"/>
      <c r="M19" s="828"/>
      <c r="N19" s="828"/>
      <c r="O19" s="828"/>
      <c r="P19" s="828"/>
      <c r="Q19" s="828"/>
      <c r="R19" s="828"/>
      <c r="S19" s="584">
        <f t="shared" si="4"/>
        <v>0</v>
      </c>
      <c r="T19" s="582"/>
      <c r="U19" s="582"/>
      <c r="V19" s="582"/>
      <c r="W19" s="582"/>
      <c r="X19" s="582"/>
      <c r="Y19" s="582"/>
      <c r="Z19" s="582"/>
      <c r="AA19" s="582"/>
      <c r="AB19" s="582"/>
      <c r="AC19" s="582"/>
      <c r="AD19" s="582"/>
      <c r="AE19" s="582"/>
      <c r="AF19" s="582">
        <f t="shared" si="5"/>
        <v>0</v>
      </c>
      <c r="AG19" s="656"/>
      <c r="AH19" s="656"/>
      <c r="AI19" s="656"/>
      <c r="AJ19" s="656"/>
      <c r="AK19" s="656"/>
      <c r="AL19" s="656"/>
      <c r="AM19" s="188"/>
      <c r="AN19" s="656"/>
      <c r="AO19" s="188"/>
      <c r="AP19" s="656"/>
      <c r="AQ19" s="656"/>
      <c r="AR19" s="188"/>
      <c r="AS19" s="582">
        <f t="shared" si="12"/>
        <v>0</v>
      </c>
      <c r="AT19" s="579"/>
    </row>
    <row r="20" spans="1:112" s="576" customFormat="1" ht="15" hidden="1" customHeight="1" outlineLevel="1" x14ac:dyDescent="0.25">
      <c r="A20" s="179" t="s">
        <v>284</v>
      </c>
      <c r="B20" s="582">
        <f t="shared" si="0"/>
        <v>0</v>
      </c>
      <c r="C20" s="582">
        <f t="shared" si="6"/>
        <v>0</v>
      </c>
      <c r="D20" s="582">
        <f t="shared" si="1"/>
        <v>0</v>
      </c>
      <c r="E20" s="580" t="e">
        <f t="shared" si="3"/>
        <v>#DIV/0!</v>
      </c>
      <c r="F20" s="578"/>
      <c r="G20" s="828"/>
      <c r="H20" s="828"/>
      <c r="I20" s="828"/>
      <c r="J20" s="828"/>
      <c r="K20" s="828"/>
      <c r="L20" s="828"/>
      <c r="M20" s="828"/>
      <c r="N20" s="828"/>
      <c r="O20" s="828"/>
      <c r="P20" s="828"/>
      <c r="Q20" s="828"/>
      <c r="R20" s="828"/>
      <c r="S20" s="584">
        <f t="shared" si="4"/>
        <v>0</v>
      </c>
      <c r="T20" s="582"/>
      <c r="U20" s="582"/>
      <c r="V20" s="582"/>
      <c r="W20" s="582"/>
      <c r="X20" s="582"/>
      <c r="Y20" s="582"/>
      <c r="Z20" s="582"/>
      <c r="AA20" s="582"/>
      <c r="AB20" s="582"/>
      <c r="AC20" s="582"/>
      <c r="AD20" s="582"/>
      <c r="AE20" s="582"/>
      <c r="AF20" s="582">
        <f t="shared" si="5"/>
        <v>0</v>
      </c>
      <c r="AG20" s="656"/>
      <c r="AH20" s="656"/>
      <c r="AI20" s="656"/>
      <c r="AJ20" s="656"/>
      <c r="AK20" s="656"/>
      <c r="AL20" s="656"/>
      <c r="AM20" s="188"/>
      <c r="AN20" s="656"/>
      <c r="AO20" s="188"/>
      <c r="AP20" s="656"/>
      <c r="AQ20" s="656"/>
      <c r="AR20" s="188"/>
      <c r="AS20" s="582">
        <f t="shared" si="12"/>
        <v>0</v>
      </c>
      <c r="AT20" s="579"/>
    </row>
    <row r="21" spans="1:112" s="576" customFormat="1" ht="15" hidden="1" customHeight="1" outlineLevel="1" x14ac:dyDescent="0.25">
      <c r="A21" s="179" t="s">
        <v>331</v>
      </c>
      <c r="B21" s="582">
        <f t="shared" si="0"/>
        <v>0</v>
      </c>
      <c r="C21" s="582">
        <f t="shared" si="6"/>
        <v>0</v>
      </c>
      <c r="D21" s="582">
        <f t="shared" si="1"/>
        <v>0</v>
      </c>
      <c r="E21" s="580" t="e">
        <f t="shared" si="3"/>
        <v>#DIV/0!</v>
      </c>
      <c r="F21" s="578"/>
      <c r="G21" s="828"/>
      <c r="H21" s="828"/>
      <c r="I21" s="828"/>
      <c r="J21" s="828"/>
      <c r="K21" s="828"/>
      <c r="L21" s="828"/>
      <c r="M21" s="828"/>
      <c r="N21" s="828"/>
      <c r="O21" s="828"/>
      <c r="P21" s="828"/>
      <c r="Q21" s="828"/>
      <c r="R21" s="828"/>
      <c r="S21" s="584">
        <f t="shared" si="4"/>
        <v>0</v>
      </c>
      <c r="T21" s="582"/>
      <c r="U21" s="582"/>
      <c r="V21" s="582"/>
      <c r="W21" s="582"/>
      <c r="X21" s="582"/>
      <c r="Y21" s="582"/>
      <c r="Z21" s="582"/>
      <c r="AA21" s="582"/>
      <c r="AB21" s="582"/>
      <c r="AC21" s="582"/>
      <c r="AD21" s="582"/>
      <c r="AE21" s="582"/>
      <c r="AF21" s="582">
        <f t="shared" si="5"/>
        <v>0</v>
      </c>
      <c r="AG21" s="656"/>
      <c r="AH21" s="656"/>
      <c r="AI21" s="656"/>
      <c r="AJ21" s="656"/>
      <c r="AK21" s="656"/>
      <c r="AL21" s="656"/>
      <c r="AM21" s="188"/>
      <c r="AN21" s="656"/>
      <c r="AO21" s="188"/>
      <c r="AP21" s="656"/>
      <c r="AQ21" s="656"/>
      <c r="AR21" s="188"/>
      <c r="AS21" s="582">
        <f t="shared" si="12"/>
        <v>0</v>
      </c>
      <c r="AT21" s="579"/>
    </row>
    <row r="22" spans="1:112" s="576" customFormat="1" ht="15" hidden="1" customHeight="1" outlineLevel="1" x14ac:dyDescent="0.25">
      <c r="A22" s="179" t="s">
        <v>282</v>
      </c>
      <c r="B22" s="582">
        <f t="shared" si="0"/>
        <v>0</v>
      </c>
      <c r="C22" s="582">
        <f t="shared" si="6"/>
        <v>0</v>
      </c>
      <c r="D22" s="582">
        <f t="shared" si="1"/>
        <v>0</v>
      </c>
      <c r="E22" s="580" t="e">
        <f t="shared" si="3"/>
        <v>#DIV/0!</v>
      </c>
      <c r="F22" s="578"/>
      <c r="G22" s="828"/>
      <c r="H22" s="828"/>
      <c r="I22" s="828"/>
      <c r="J22" s="828"/>
      <c r="K22" s="828"/>
      <c r="L22" s="828"/>
      <c r="M22" s="828"/>
      <c r="N22" s="828"/>
      <c r="O22" s="828"/>
      <c r="P22" s="828"/>
      <c r="Q22" s="828"/>
      <c r="R22" s="828"/>
      <c r="S22" s="584">
        <f t="shared" si="4"/>
        <v>0</v>
      </c>
      <c r="T22" s="582"/>
      <c r="U22" s="582"/>
      <c r="V22" s="582"/>
      <c r="W22" s="582"/>
      <c r="X22" s="582"/>
      <c r="Y22" s="582"/>
      <c r="Z22" s="582"/>
      <c r="AA22" s="582"/>
      <c r="AB22" s="582"/>
      <c r="AC22" s="582"/>
      <c r="AD22" s="582"/>
      <c r="AE22" s="582"/>
      <c r="AF22" s="582">
        <f t="shared" si="5"/>
        <v>0</v>
      </c>
      <c r="AG22" s="656"/>
      <c r="AH22" s="656"/>
      <c r="AI22" s="656"/>
      <c r="AJ22" s="656"/>
      <c r="AK22" s="656"/>
      <c r="AL22" s="656"/>
      <c r="AM22" s="188"/>
      <c r="AN22" s="656"/>
      <c r="AO22" s="188"/>
      <c r="AP22" s="656"/>
      <c r="AQ22" s="656"/>
      <c r="AR22" s="188"/>
      <c r="AS22" s="582">
        <f t="shared" si="12"/>
        <v>0</v>
      </c>
      <c r="AT22" s="579"/>
    </row>
    <row r="23" spans="1:112" s="576" customFormat="1" ht="15" hidden="1" customHeight="1" outlineLevel="1" x14ac:dyDescent="0.25">
      <c r="A23" s="179" t="s">
        <v>285</v>
      </c>
      <c r="B23" s="582">
        <f t="shared" si="0"/>
        <v>0</v>
      </c>
      <c r="C23" s="582">
        <f t="shared" si="6"/>
        <v>0</v>
      </c>
      <c r="D23" s="582">
        <f t="shared" si="1"/>
        <v>0</v>
      </c>
      <c r="E23" s="580" t="e">
        <f t="shared" si="3"/>
        <v>#DIV/0!</v>
      </c>
      <c r="F23" s="578"/>
      <c r="G23" s="828"/>
      <c r="H23" s="828"/>
      <c r="I23" s="828"/>
      <c r="J23" s="828"/>
      <c r="K23" s="828"/>
      <c r="L23" s="828"/>
      <c r="M23" s="828"/>
      <c r="N23" s="828"/>
      <c r="O23" s="828"/>
      <c r="P23" s="828"/>
      <c r="Q23" s="828"/>
      <c r="R23" s="828"/>
      <c r="S23" s="584">
        <f t="shared" si="4"/>
        <v>0</v>
      </c>
      <c r="T23" s="582"/>
      <c r="U23" s="582"/>
      <c r="V23" s="582"/>
      <c r="W23" s="582"/>
      <c r="X23" s="582"/>
      <c r="Y23" s="582"/>
      <c r="Z23" s="582"/>
      <c r="AA23" s="582"/>
      <c r="AB23" s="582"/>
      <c r="AC23" s="582"/>
      <c r="AD23" s="582"/>
      <c r="AE23" s="582"/>
      <c r="AF23" s="582">
        <f t="shared" si="5"/>
        <v>0</v>
      </c>
      <c r="AG23" s="656"/>
      <c r="AH23" s="656"/>
      <c r="AI23" s="656"/>
      <c r="AJ23" s="656"/>
      <c r="AK23" s="656"/>
      <c r="AL23" s="656"/>
      <c r="AM23" s="188"/>
      <c r="AN23" s="656"/>
      <c r="AO23" s="188"/>
      <c r="AP23" s="656"/>
      <c r="AQ23" s="656"/>
      <c r="AR23" s="188"/>
      <c r="AS23" s="582">
        <f t="shared" si="12"/>
        <v>0</v>
      </c>
      <c r="AT23" s="579"/>
    </row>
    <row r="24" spans="1:112" s="576" customFormat="1" ht="15" hidden="1" customHeight="1" outlineLevel="1" x14ac:dyDescent="0.25">
      <c r="A24" s="179" t="s">
        <v>281</v>
      </c>
      <c r="B24" s="582">
        <f t="shared" si="0"/>
        <v>0</v>
      </c>
      <c r="C24" s="582">
        <f t="shared" si="6"/>
        <v>0</v>
      </c>
      <c r="D24" s="582">
        <f t="shared" si="1"/>
        <v>0</v>
      </c>
      <c r="E24" s="580" t="e">
        <f t="shared" si="3"/>
        <v>#DIV/0!</v>
      </c>
      <c r="F24" s="578"/>
      <c r="G24" s="828"/>
      <c r="H24" s="828"/>
      <c r="I24" s="828"/>
      <c r="J24" s="828"/>
      <c r="K24" s="828"/>
      <c r="L24" s="828"/>
      <c r="M24" s="828"/>
      <c r="N24" s="828"/>
      <c r="O24" s="828"/>
      <c r="P24" s="828"/>
      <c r="Q24" s="828"/>
      <c r="R24" s="828"/>
      <c r="S24" s="584">
        <f t="shared" si="4"/>
        <v>0</v>
      </c>
      <c r="T24" s="582"/>
      <c r="U24" s="582"/>
      <c r="V24" s="582"/>
      <c r="W24" s="582"/>
      <c r="X24" s="582"/>
      <c r="Y24" s="582"/>
      <c r="Z24" s="582"/>
      <c r="AA24" s="582"/>
      <c r="AB24" s="582"/>
      <c r="AC24" s="582"/>
      <c r="AD24" s="582"/>
      <c r="AE24" s="582"/>
      <c r="AF24" s="582">
        <f t="shared" si="5"/>
        <v>0</v>
      </c>
      <c r="AG24" s="656"/>
      <c r="AH24" s="656"/>
      <c r="AI24" s="656"/>
      <c r="AJ24" s="656"/>
      <c r="AK24" s="656"/>
      <c r="AL24" s="656"/>
      <c r="AM24" s="188"/>
      <c r="AN24" s="656"/>
      <c r="AO24" s="188"/>
      <c r="AP24" s="656"/>
      <c r="AQ24" s="656"/>
      <c r="AR24" s="188"/>
      <c r="AS24" s="582">
        <f t="shared" si="12"/>
        <v>0</v>
      </c>
      <c r="AT24" s="579"/>
    </row>
    <row r="25" spans="1:112" s="576" customFormat="1" ht="15" hidden="1" customHeight="1" outlineLevel="1" x14ac:dyDescent="0.25">
      <c r="A25" s="179" t="s">
        <v>332</v>
      </c>
      <c r="B25" s="582">
        <f t="shared" si="0"/>
        <v>0</v>
      </c>
      <c r="C25" s="582">
        <f t="shared" si="6"/>
        <v>0</v>
      </c>
      <c r="D25" s="582">
        <f t="shared" si="1"/>
        <v>0</v>
      </c>
      <c r="E25" s="580" t="e">
        <f t="shared" si="3"/>
        <v>#DIV/0!</v>
      </c>
      <c r="F25" s="578"/>
      <c r="G25" s="828"/>
      <c r="H25" s="828"/>
      <c r="I25" s="828"/>
      <c r="J25" s="828"/>
      <c r="K25" s="828"/>
      <c r="L25" s="828"/>
      <c r="M25" s="828"/>
      <c r="N25" s="828"/>
      <c r="O25" s="828"/>
      <c r="P25" s="828"/>
      <c r="Q25" s="828"/>
      <c r="R25" s="828"/>
      <c r="S25" s="584">
        <f t="shared" si="4"/>
        <v>0</v>
      </c>
      <c r="T25" s="582"/>
      <c r="U25" s="582"/>
      <c r="V25" s="582"/>
      <c r="W25" s="582"/>
      <c r="X25" s="582"/>
      <c r="Y25" s="582"/>
      <c r="Z25" s="582"/>
      <c r="AA25" s="582"/>
      <c r="AB25" s="582"/>
      <c r="AC25" s="582"/>
      <c r="AD25" s="582"/>
      <c r="AE25" s="582"/>
      <c r="AF25" s="582">
        <f t="shared" si="5"/>
        <v>0</v>
      </c>
      <c r="AG25" s="656"/>
      <c r="AH25" s="656"/>
      <c r="AI25" s="656"/>
      <c r="AJ25" s="656"/>
      <c r="AK25" s="656"/>
      <c r="AL25" s="656"/>
      <c r="AM25" s="188"/>
      <c r="AN25" s="656"/>
      <c r="AO25" s="188"/>
      <c r="AP25" s="656"/>
      <c r="AQ25" s="656"/>
      <c r="AR25" s="188"/>
      <c r="AS25" s="582">
        <f t="shared" si="12"/>
        <v>0</v>
      </c>
      <c r="AT25" s="579"/>
    </row>
    <row r="26" spans="1:112" s="576" customFormat="1" ht="15" hidden="1" customHeight="1" outlineLevel="1" x14ac:dyDescent="0.25">
      <c r="A26" s="179" t="s">
        <v>333</v>
      </c>
      <c r="B26" s="582">
        <f t="shared" si="0"/>
        <v>0</v>
      </c>
      <c r="C26" s="582">
        <f t="shared" si="6"/>
        <v>0</v>
      </c>
      <c r="D26" s="582">
        <f t="shared" si="1"/>
        <v>0</v>
      </c>
      <c r="E26" s="580" t="e">
        <f t="shared" si="3"/>
        <v>#DIV/0!</v>
      </c>
      <c r="F26" s="578"/>
      <c r="G26" s="828"/>
      <c r="H26" s="828"/>
      <c r="I26" s="828"/>
      <c r="J26" s="828"/>
      <c r="K26" s="828"/>
      <c r="L26" s="828"/>
      <c r="M26" s="828"/>
      <c r="N26" s="828"/>
      <c r="O26" s="828"/>
      <c r="P26" s="828"/>
      <c r="Q26" s="828"/>
      <c r="R26" s="828"/>
      <c r="S26" s="584">
        <f t="shared" si="4"/>
        <v>0</v>
      </c>
      <c r="T26" s="582"/>
      <c r="U26" s="582"/>
      <c r="V26" s="582"/>
      <c r="W26" s="582"/>
      <c r="X26" s="582"/>
      <c r="Y26" s="582"/>
      <c r="Z26" s="582"/>
      <c r="AA26" s="582"/>
      <c r="AB26" s="582"/>
      <c r="AC26" s="582"/>
      <c r="AD26" s="582"/>
      <c r="AE26" s="582"/>
      <c r="AF26" s="582">
        <f t="shared" si="5"/>
        <v>0</v>
      </c>
      <c r="AG26" s="656"/>
      <c r="AH26" s="656"/>
      <c r="AI26" s="656"/>
      <c r="AJ26" s="656"/>
      <c r="AK26" s="656"/>
      <c r="AL26" s="656"/>
      <c r="AM26" s="188"/>
      <c r="AN26" s="656"/>
      <c r="AO26" s="188"/>
      <c r="AP26" s="656"/>
      <c r="AQ26" s="656"/>
      <c r="AR26" s="188"/>
      <c r="AS26" s="582">
        <f t="shared" si="12"/>
        <v>0</v>
      </c>
      <c r="AT26" s="579"/>
    </row>
    <row r="27" spans="1:112" s="576" customFormat="1" ht="15" hidden="1" customHeight="1" outlineLevel="1" x14ac:dyDescent="0.25">
      <c r="A27" s="179" t="s">
        <v>334</v>
      </c>
      <c r="B27" s="582">
        <f t="shared" si="0"/>
        <v>0</v>
      </c>
      <c r="C27" s="582">
        <f t="shared" si="6"/>
        <v>0</v>
      </c>
      <c r="D27" s="582">
        <f t="shared" si="1"/>
        <v>0</v>
      </c>
      <c r="E27" s="580" t="e">
        <f t="shared" si="3"/>
        <v>#DIV/0!</v>
      </c>
      <c r="F27" s="578"/>
      <c r="G27" s="828"/>
      <c r="H27" s="828"/>
      <c r="I27" s="828"/>
      <c r="J27" s="828"/>
      <c r="K27" s="828"/>
      <c r="L27" s="828"/>
      <c r="M27" s="828"/>
      <c r="N27" s="828"/>
      <c r="O27" s="828"/>
      <c r="P27" s="828"/>
      <c r="Q27" s="828"/>
      <c r="R27" s="828"/>
      <c r="S27" s="584">
        <f t="shared" si="4"/>
        <v>0</v>
      </c>
      <c r="T27" s="582"/>
      <c r="U27" s="582"/>
      <c r="V27" s="582"/>
      <c r="W27" s="582"/>
      <c r="X27" s="582"/>
      <c r="Y27" s="582"/>
      <c r="Z27" s="582"/>
      <c r="AA27" s="582"/>
      <c r="AB27" s="582"/>
      <c r="AC27" s="582"/>
      <c r="AD27" s="582"/>
      <c r="AE27" s="582"/>
      <c r="AF27" s="582">
        <f t="shared" si="5"/>
        <v>0</v>
      </c>
      <c r="AG27" s="656"/>
      <c r="AH27" s="656"/>
      <c r="AI27" s="656"/>
      <c r="AJ27" s="656"/>
      <c r="AK27" s="656"/>
      <c r="AL27" s="656"/>
      <c r="AM27" s="188"/>
      <c r="AN27" s="656"/>
      <c r="AO27" s="188"/>
      <c r="AP27" s="656"/>
      <c r="AQ27" s="656"/>
      <c r="AR27" s="188"/>
      <c r="AS27" s="582">
        <f t="shared" si="12"/>
        <v>0</v>
      </c>
      <c r="AT27" s="579"/>
    </row>
    <row r="28" spans="1:112" s="576" customFormat="1" ht="15" hidden="1" customHeight="1" outlineLevel="1" x14ac:dyDescent="0.25">
      <c r="A28" s="179" t="s">
        <v>297</v>
      </c>
      <c r="B28" s="582">
        <f t="shared" si="0"/>
        <v>0</v>
      </c>
      <c r="C28" s="582">
        <f t="shared" si="6"/>
        <v>0</v>
      </c>
      <c r="D28" s="582">
        <f t="shared" si="1"/>
        <v>0</v>
      </c>
      <c r="E28" s="580" t="e">
        <f t="shared" si="3"/>
        <v>#DIV/0!</v>
      </c>
      <c r="F28" s="578"/>
      <c r="G28" s="828"/>
      <c r="H28" s="828"/>
      <c r="I28" s="828"/>
      <c r="J28" s="828"/>
      <c r="K28" s="828"/>
      <c r="L28" s="828"/>
      <c r="M28" s="828"/>
      <c r="N28" s="828"/>
      <c r="O28" s="828"/>
      <c r="P28" s="828"/>
      <c r="Q28" s="828"/>
      <c r="R28" s="828"/>
      <c r="S28" s="584">
        <f t="shared" si="4"/>
        <v>0</v>
      </c>
      <c r="T28" s="582"/>
      <c r="U28" s="582"/>
      <c r="V28" s="582"/>
      <c r="W28" s="582"/>
      <c r="X28" s="582"/>
      <c r="Y28" s="582"/>
      <c r="Z28" s="582"/>
      <c r="AA28" s="582"/>
      <c r="AB28" s="582"/>
      <c r="AC28" s="582"/>
      <c r="AD28" s="582"/>
      <c r="AE28" s="582"/>
      <c r="AF28" s="582">
        <f t="shared" si="5"/>
        <v>0</v>
      </c>
      <c r="AG28" s="656"/>
      <c r="AH28" s="656"/>
      <c r="AI28" s="656"/>
      <c r="AJ28" s="656"/>
      <c r="AK28" s="656"/>
      <c r="AL28" s="656"/>
      <c r="AM28" s="188"/>
      <c r="AN28" s="656"/>
      <c r="AO28" s="188"/>
      <c r="AP28" s="656"/>
      <c r="AQ28" s="656"/>
      <c r="AR28" s="188"/>
      <c r="AS28" s="582">
        <f t="shared" si="12"/>
        <v>0</v>
      </c>
      <c r="AT28" s="579"/>
    </row>
    <row r="29" spans="1:112" s="576" customFormat="1" ht="15" hidden="1" customHeight="1" outlineLevel="1" x14ac:dyDescent="0.25">
      <c r="A29" s="179" t="s">
        <v>296</v>
      </c>
      <c r="B29" s="582">
        <f t="shared" si="0"/>
        <v>0</v>
      </c>
      <c r="C29" s="582">
        <f t="shared" si="6"/>
        <v>0</v>
      </c>
      <c r="D29" s="582">
        <f t="shared" si="1"/>
        <v>0</v>
      </c>
      <c r="E29" s="580" t="e">
        <f t="shared" si="3"/>
        <v>#DIV/0!</v>
      </c>
      <c r="F29" s="578"/>
      <c r="G29" s="828"/>
      <c r="H29" s="828"/>
      <c r="I29" s="828"/>
      <c r="J29" s="828"/>
      <c r="K29" s="828"/>
      <c r="L29" s="828"/>
      <c r="M29" s="828"/>
      <c r="N29" s="828"/>
      <c r="O29" s="828"/>
      <c r="P29" s="828"/>
      <c r="Q29" s="828"/>
      <c r="R29" s="828"/>
      <c r="S29" s="584">
        <f t="shared" si="4"/>
        <v>0</v>
      </c>
      <c r="T29" s="582"/>
      <c r="U29" s="582"/>
      <c r="V29" s="582"/>
      <c r="W29" s="582"/>
      <c r="X29" s="582"/>
      <c r="Y29" s="582"/>
      <c r="Z29" s="582"/>
      <c r="AA29" s="582"/>
      <c r="AB29" s="582"/>
      <c r="AC29" s="582"/>
      <c r="AD29" s="582"/>
      <c r="AE29" s="582"/>
      <c r="AF29" s="582">
        <f t="shared" si="5"/>
        <v>0</v>
      </c>
      <c r="AG29" s="656"/>
      <c r="AH29" s="656"/>
      <c r="AI29" s="656"/>
      <c r="AJ29" s="656"/>
      <c r="AK29" s="656"/>
      <c r="AL29" s="656"/>
      <c r="AM29" s="188"/>
      <c r="AN29" s="656"/>
      <c r="AO29" s="188"/>
      <c r="AP29" s="656"/>
      <c r="AQ29" s="656"/>
      <c r="AR29" s="188"/>
      <c r="AS29" s="582">
        <f t="shared" si="12"/>
        <v>0</v>
      </c>
      <c r="AT29" s="579"/>
    </row>
    <row r="30" spans="1:112" s="576" customFormat="1" ht="15" hidden="1" customHeight="1" outlineLevel="1" x14ac:dyDescent="0.25">
      <c r="A30" s="179" t="s">
        <v>295</v>
      </c>
      <c r="B30" s="582">
        <f t="shared" si="0"/>
        <v>0</v>
      </c>
      <c r="C30" s="582">
        <f t="shared" si="6"/>
        <v>0</v>
      </c>
      <c r="D30" s="582">
        <f t="shared" si="1"/>
        <v>0</v>
      </c>
      <c r="E30" s="580" t="e">
        <f t="shared" si="3"/>
        <v>#DIV/0!</v>
      </c>
      <c r="F30" s="578"/>
      <c r="G30" s="828"/>
      <c r="H30" s="828"/>
      <c r="I30" s="828"/>
      <c r="J30" s="828"/>
      <c r="K30" s="828"/>
      <c r="L30" s="828"/>
      <c r="M30" s="828"/>
      <c r="N30" s="828"/>
      <c r="O30" s="828"/>
      <c r="P30" s="828"/>
      <c r="Q30" s="828"/>
      <c r="R30" s="828"/>
      <c r="S30" s="584">
        <f t="shared" si="4"/>
        <v>0</v>
      </c>
      <c r="T30" s="582"/>
      <c r="U30" s="582"/>
      <c r="V30" s="582"/>
      <c r="W30" s="582"/>
      <c r="X30" s="582"/>
      <c r="Y30" s="582"/>
      <c r="Z30" s="582"/>
      <c r="AA30" s="582"/>
      <c r="AB30" s="582"/>
      <c r="AC30" s="582"/>
      <c r="AD30" s="582"/>
      <c r="AE30" s="582"/>
      <c r="AF30" s="582">
        <f t="shared" si="5"/>
        <v>0</v>
      </c>
      <c r="AG30" s="656"/>
      <c r="AH30" s="656"/>
      <c r="AI30" s="656"/>
      <c r="AJ30" s="656"/>
      <c r="AK30" s="656"/>
      <c r="AL30" s="656"/>
      <c r="AM30" s="188"/>
      <c r="AN30" s="656"/>
      <c r="AO30" s="188"/>
      <c r="AP30" s="656"/>
      <c r="AQ30" s="656"/>
      <c r="AR30" s="188"/>
      <c r="AS30" s="582">
        <f t="shared" si="12"/>
        <v>0</v>
      </c>
      <c r="AT30" s="579"/>
    </row>
    <row r="31" spans="1:112" s="576" customFormat="1" ht="15" hidden="1" customHeight="1" outlineLevel="1" x14ac:dyDescent="0.25">
      <c r="A31" s="179" t="s">
        <v>298</v>
      </c>
      <c r="B31" s="582">
        <f t="shared" si="0"/>
        <v>0</v>
      </c>
      <c r="C31" s="582">
        <f t="shared" si="6"/>
        <v>0</v>
      </c>
      <c r="D31" s="582">
        <f t="shared" si="1"/>
        <v>0</v>
      </c>
      <c r="E31" s="580" t="e">
        <f t="shared" si="3"/>
        <v>#DIV/0!</v>
      </c>
      <c r="F31" s="578"/>
      <c r="G31" s="828"/>
      <c r="H31" s="828"/>
      <c r="I31" s="828"/>
      <c r="J31" s="828"/>
      <c r="K31" s="828"/>
      <c r="L31" s="828"/>
      <c r="M31" s="828"/>
      <c r="N31" s="828"/>
      <c r="O31" s="828"/>
      <c r="P31" s="828"/>
      <c r="Q31" s="828"/>
      <c r="R31" s="828"/>
      <c r="S31" s="584">
        <f t="shared" si="4"/>
        <v>0</v>
      </c>
      <c r="T31" s="582"/>
      <c r="U31" s="582"/>
      <c r="V31" s="582"/>
      <c r="W31" s="582"/>
      <c r="X31" s="582"/>
      <c r="Y31" s="582"/>
      <c r="Z31" s="582"/>
      <c r="AA31" s="582"/>
      <c r="AB31" s="582"/>
      <c r="AC31" s="582"/>
      <c r="AD31" s="582"/>
      <c r="AE31" s="582"/>
      <c r="AF31" s="582">
        <f t="shared" si="5"/>
        <v>0</v>
      </c>
      <c r="AG31" s="656"/>
      <c r="AH31" s="656"/>
      <c r="AI31" s="656"/>
      <c r="AJ31" s="656"/>
      <c r="AK31" s="656"/>
      <c r="AL31" s="656"/>
      <c r="AM31" s="188"/>
      <c r="AN31" s="656"/>
      <c r="AO31" s="188"/>
      <c r="AP31" s="656"/>
      <c r="AQ31" s="656"/>
      <c r="AR31" s="188"/>
      <c r="AS31" s="582">
        <f t="shared" si="12"/>
        <v>0</v>
      </c>
      <c r="AT31" s="579"/>
    </row>
    <row r="32" spans="1:112" s="576" customFormat="1" ht="15" hidden="1" customHeight="1" outlineLevel="1" x14ac:dyDescent="0.25">
      <c r="A32" s="179" t="s">
        <v>338</v>
      </c>
      <c r="B32" s="582">
        <f t="shared" si="0"/>
        <v>0</v>
      </c>
      <c r="C32" s="582">
        <f t="shared" si="6"/>
        <v>0</v>
      </c>
      <c r="D32" s="582">
        <f t="shared" si="1"/>
        <v>0</v>
      </c>
      <c r="E32" s="580" t="e">
        <f t="shared" si="3"/>
        <v>#DIV/0!</v>
      </c>
      <c r="F32" s="578"/>
      <c r="G32" s="828"/>
      <c r="H32" s="828"/>
      <c r="I32" s="828"/>
      <c r="J32" s="828"/>
      <c r="K32" s="828"/>
      <c r="L32" s="828"/>
      <c r="M32" s="828"/>
      <c r="N32" s="828"/>
      <c r="O32" s="828"/>
      <c r="P32" s="828"/>
      <c r="Q32" s="828"/>
      <c r="R32" s="828"/>
      <c r="S32" s="584">
        <f t="shared" si="4"/>
        <v>0</v>
      </c>
      <c r="T32" s="582"/>
      <c r="U32" s="582"/>
      <c r="V32" s="582"/>
      <c r="W32" s="582"/>
      <c r="X32" s="582"/>
      <c r="Y32" s="582"/>
      <c r="Z32" s="582"/>
      <c r="AA32" s="582"/>
      <c r="AB32" s="582"/>
      <c r="AC32" s="582"/>
      <c r="AD32" s="582"/>
      <c r="AE32" s="582"/>
      <c r="AF32" s="582">
        <f t="shared" si="5"/>
        <v>0</v>
      </c>
      <c r="AG32" s="656"/>
      <c r="AH32" s="656"/>
      <c r="AI32" s="656"/>
      <c r="AJ32" s="656"/>
      <c r="AK32" s="656"/>
      <c r="AL32" s="656"/>
      <c r="AM32" s="188"/>
      <c r="AN32" s="656"/>
      <c r="AO32" s="188"/>
      <c r="AP32" s="656"/>
      <c r="AQ32" s="656"/>
      <c r="AR32" s="188"/>
      <c r="AS32" s="582">
        <f t="shared" si="12"/>
        <v>0</v>
      </c>
      <c r="AT32" s="579"/>
    </row>
    <row r="33" spans="1:47" s="576" customFormat="1" ht="15" hidden="1" customHeight="1" outlineLevel="1" x14ac:dyDescent="0.25">
      <c r="A33" s="179" t="s">
        <v>289</v>
      </c>
      <c r="B33" s="582">
        <f t="shared" si="0"/>
        <v>0</v>
      </c>
      <c r="C33" s="582">
        <f t="shared" si="6"/>
        <v>0</v>
      </c>
      <c r="D33" s="582">
        <f t="shared" si="1"/>
        <v>0</v>
      </c>
      <c r="E33" s="580" t="e">
        <f t="shared" si="3"/>
        <v>#DIV/0!</v>
      </c>
      <c r="F33" s="578"/>
      <c r="G33" s="828"/>
      <c r="H33" s="828"/>
      <c r="I33" s="828"/>
      <c r="J33" s="828"/>
      <c r="K33" s="828"/>
      <c r="L33" s="828"/>
      <c r="M33" s="828"/>
      <c r="N33" s="828"/>
      <c r="O33" s="828"/>
      <c r="P33" s="828"/>
      <c r="Q33" s="828"/>
      <c r="R33" s="828"/>
      <c r="S33" s="584">
        <f t="shared" si="4"/>
        <v>0</v>
      </c>
      <c r="T33" s="582"/>
      <c r="U33" s="582"/>
      <c r="V33" s="582"/>
      <c r="W33" s="582"/>
      <c r="X33" s="582"/>
      <c r="Y33" s="582"/>
      <c r="Z33" s="582"/>
      <c r="AA33" s="582"/>
      <c r="AB33" s="582"/>
      <c r="AC33" s="582"/>
      <c r="AD33" s="582"/>
      <c r="AE33" s="582"/>
      <c r="AF33" s="582">
        <f t="shared" si="5"/>
        <v>0</v>
      </c>
      <c r="AG33" s="656"/>
      <c r="AH33" s="656"/>
      <c r="AI33" s="656"/>
      <c r="AJ33" s="656"/>
      <c r="AK33" s="656"/>
      <c r="AL33" s="656"/>
      <c r="AM33" s="188"/>
      <c r="AN33" s="656"/>
      <c r="AO33" s="188"/>
      <c r="AP33" s="656"/>
      <c r="AQ33" s="656"/>
      <c r="AR33" s="188"/>
      <c r="AS33" s="582">
        <f t="shared" si="12"/>
        <v>0</v>
      </c>
      <c r="AT33" s="579"/>
    </row>
    <row r="34" spans="1:47" s="576" customFormat="1" ht="15" hidden="1" customHeight="1" outlineLevel="1" x14ac:dyDescent="0.25">
      <c r="A34" s="179" t="s">
        <v>290</v>
      </c>
      <c r="B34" s="582">
        <f t="shared" si="0"/>
        <v>0</v>
      </c>
      <c r="C34" s="582">
        <f t="shared" si="6"/>
        <v>0</v>
      </c>
      <c r="D34" s="582">
        <f t="shared" si="1"/>
        <v>0</v>
      </c>
      <c r="E34" s="580" t="e">
        <f t="shared" si="3"/>
        <v>#DIV/0!</v>
      </c>
      <c r="F34" s="578"/>
      <c r="G34" s="828"/>
      <c r="H34" s="828"/>
      <c r="I34" s="828"/>
      <c r="J34" s="828"/>
      <c r="K34" s="828"/>
      <c r="L34" s="828"/>
      <c r="M34" s="828"/>
      <c r="N34" s="828"/>
      <c r="O34" s="828"/>
      <c r="P34" s="828"/>
      <c r="Q34" s="828"/>
      <c r="R34" s="828"/>
      <c r="S34" s="584">
        <f t="shared" si="4"/>
        <v>0</v>
      </c>
      <c r="T34" s="582"/>
      <c r="U34" s="582"/>
      <c r="V34" s="582"/>
      <c r="W34" s="582"/>
      <c r="X34" s="582"/>
      <c r="Y34" s="582"/>
      <c r="Z34" s="582"/>
      <c r="AA34" s="582"/>
      <c r="AB34" s="582"/>
      <c r="AC34" s="582"/>
      <c r="AD34" s="582"/>
      <c r="AE34" s="582"/>
      <c r="AF34" s="582">
        <f t="shared" si="5"/>
        <v>0</v>
      </c>
      <c r="AG34" s="656"/>
      <c r="AH34" s="656"/>
      <c r="AI34" s="656"/>
      <c r="AJ34" s="656"/>
      <c r="AK34" s="656"/>
      <c r="AL34" s="656"/>
      <c r="AM34" s="188"/>
      <c r="AN34" s="656"/>
      <c r="AO34" s="188"/>
      <c r="AP34" s="656"/>
      <c r="AQ34" s="656"/>
      <c r="AR34" s="188"/>
      <c r="AS34" s="582">
        <f t="shared" si="12"/>
        <v>0</v>
      </c>
      <c r="AT34" s="579"/>
    </row>
    <row r="35" spans="1:47" s="576" customFormat="1" ht="15" customHeight="1" collapsed="1" x14ac:dyDescent="0.25">
      <c r="A35" s="179" t="s">
        <v>405</v>
      </c>
      <c r="B35" s="188">
        <f>B11</f>
        <v>2332</v>
      </c>
      <c r="C35" s="188">
        <f t="shared" ref="C35:D35" si="13">C11</f>
        <v>0</v>
      </c>
      <c r="D35" s="188">
        <f t="shared" si="13"/>
        <v>2781</v>
      </c>
      <c r="E35" s="580">
        <f t="shared" si="3"/>
        <v>0.83854728514922694</v>
      </c>
      <c r="F35" s="578"/>
      <c r="G35" s="828">
        <f>G11</f>
        <v>3466</v>
      </c>
      <c r="H35" s="828">
        <f>H11</f>
        <v>3274</v>
      </c>
      <c r="I35" s="828">
        <f t="shared" ref="I35:R35" si="14">I11</f>
        <v>2332</v>
      </c>
      <c r="J35" s="828">
        <f t="shared" si="14"/>
        <v>2059</v>
      </c>
      <c r="K35" s="828">
        <f t="shared" si="14"/>
        <v>0</v>
      </c>
      <c r="L35" s="828">
        <f t="shared" si="14"/>
        <v>0</v>
      </c>
      <c r="M35" s="828">
        <f t="shared" si="14"/>
        <v>0</v>
      </c>
      <c r="N35" s="828">
        <f t="shared" si="14"/>
        <v>0</v>
      </c>
      <c r="O35" s="828">
        <f t="shared" si="14"/>
        <v>0</v>
      </c>
      <c r="P35" s="828">
        <f t="shared" si="14"/>
        <v>0</v>
      </c>
      <c r="Q35" s="828">
        <f t="shared" si="14"/>
        <v>0</v>
      </c>
      <c r="R35" s="828">
        <f t="shared" si="14"/>
        <v>0</v>
      </c>
      <c r="S35" s="584">
        <f t="shared" si="4"/>
        <v>11131</v>
      </c>
      <c r="T35" s="582">
        <f>T11</f>
        <v>0</v>
      </c>
      <c r="U35" s="582">
        <f t="shared" ref="U35:AE35" si="15">U11</f>
        <v>0</v>
      </c>
      <c r="V35" s="582">
        <f t="shared" si="15"/>
        <v>0</v>
      </c>
      <c r="W35" s="582">
        <f t="shared" si="15"/>
        <v>0</v>
      </c>
      <c r="X35" s="582">
        <f t="shared" si="15"/>
        <v>0</v>
      </c>
      <c r="Y35" s="582">
        <f t="shared" si="15"/>
        <v>0</v>
      </c>
      <c r="Z35" s="582">
        <f t="shared" si="15"/>
        <v>0</v>
      </c>
      <c r="AA35" s="582">
        <f t="shared" si="15"/>
        <v>0</v>
      </c>
      <c r="AB35" s="582">
        <f t="shared" si="15"/>
        <v>0</v>
      </c>
      <c r="AC35" s="582">
        <f t="shared" si="15"/>
        <v>0</v>
      </c>
      <c r="AD35" s="582">
        <f t="shared" si="15"/>
        <v>0</v>
      </c>
      <c r="AE35" s="582">
        <f t="shared" si="15"/>
        <v>0</v>
      </c>
      <c r="AF35" s="582">
        <f t="shared" si="5"/>
        <v>0</v>
      </c>
      <c r="AG35" s="656">
        <v>3304</v>
      </c>
      <c r="AH35" s="656">
        <v>2760</v>
      </c>
      <c r="AI35" s="656">
        <v>2781</v>
      </c>
      <c r="AJ35" s="656">
        <v>1629</v>
      </c>
      <c r="AK35" s="656">
        <v>2867</v>
      </c>
      <c r="AL35" s="656">
        <v>3529</v>
      </c>
      <c r="AM35" s="656">
        <v>3520</v>
      </c>
      <c r="AN35" s="656">
        <v>3027</v>
      </c>
      <c r="AO35" s="656">
        <v>3974</v>
      </c>
      <c r="AP35" s="656">
        <v>4065</v>
      </c>
      <c r="AQ35" s="656">
        <v>3874</v>
      </c>
      <c r="AR35" s="656">
        <v>4180</v>
      </c>
      <c r="AS35" s="582">
        <f t="shared" si="12"/>
        <v>8845</v>
      </c>
      <c r="AT35" s="580">
        <f>+(R35-AR35)/AR35</f>
        <v>-1</v>
      </c>
      <c r="AU35" s="580">
        <f>+(S35-AS35)/AS35</f>
        <v>0.25845110231769364</v>
      </c>
    </row>
    <row r="36" spans="1:47" s="576" customFormat="1" ht="15" customHeight="1" x14ac:dyDescent="0.25">
      <c r="A36" s="179" t="s">
        <v>404</v>
      </c>
      <c r="B36" s="188">
        <f>B7+B8+B9+B10</f>
        <v>1651</v>
      </c>
      <c r="C36" s="188">
        <f t="shared" ref="C36:D36" si="16">C7+C8+C9+C10</f>
        <v>0</v>
      </c>
      <c r="D36" s="188">
        <f t="shared" si="16"/>
        <v>1012</v>
      </c>
      <c r="E36" s="580">
        <f t="shared" si="3"/>
        <v>1.6314229249011858</v>
      </c>
      <c r="F36" s="578"/>
      <c r="G36" s="825">
        <f>G7+G8+G9+G10</f>
        <v>1447</v>
      </c>
      <c r="H36" s="825">
        <f t="shared" ref="H36:R36" si="17">H7+H8+H9+H10</f>
        <v>1796</v>
      </c>
      <c r="I36" s="825">
        <f t="shared" si="17"/>
        <v>1651</v>
      </c>
      <c r="J36" s="825">
        <f t="shared" si="17"/>
        <v>1684</v>
      </c>
      <c r="K36" s="825">
        <f t="shared" si="17"/>
        <v>0</v>
      </c>
      <c r="L36" s="825">
        <f t="shared" si="17"/>
        <v>0</v>
      </c>
      <c r="M36" s="825">
        <f t="shared" si="17"/>
        <v>0</v>
      </c>
      <c r="N36" s="825">
        <f t="shared" si="17"/>
        <v>0</v>
      </c>
      <c r="O36" s="825">
        <f t="shared" si="17"/>
        <v>0</v>
      </c>
      <c r="P36" s="825">
        <f t="shared" si="17"/>
        <v>0</v>
      </c>
      <c r="Q36" s="825">
        <f t="shared" si="17"/>
        <v>0</v>
      </c>
      <c r="R36" s="825">
        <f t="shared" si="17"/>
        <v>0</v>
      </c>
      <c r="S36" s="584">
        <f t="shared" si="4"/>
        <v>6578</v>
      </c>
      <c r="T36" s="582">
        <f>SUM(AG36:AR36)/12</f>
        <v>1459.25</v>
      </c>
      <c r="U36" s="582">
        <f>T36</f>
        <v>1459.25</v>
      </c>
      <c r="V36" s="582">
        <f t="shared" ref="V36:AE36" si="18">U36</f>
        <v>1459.25</v>
      </c>
      <c r="W36" s="582">
        <f t="shared" si="18"/>
        <v>1459.25</v>
      </c>
      <c r="X36" s="582">
        <f t="shared" si="18"/>
        <v>1459.25</v>
      </c>
      <c r="Y36" s="582">
        <f t="shared" si="18"/>
        <v>1459.25</v>
      </c>
      <c r="Z36" s="582">
        <f t="shared" si="18"/>
        <v>1459.25</v>
      </c>
      <c r="AA36" s="582">
        <f t="shared" si="18"/>
        <v>1459.25</v>
      </c>
      <c r="AB36" s="582">
        <f t="shared" si="18"/>
        <v>1459.25</v>
      </c>
      <c r="AC36" s="582">
        <f t="shared" si="18"/>
        <v>1459.25</v>
      </c>
      <c r="AD36" s="582">
        <f t="shared" si="18"/>
        <v>1459.25</v>
      </c>
      <c r="AE36" s="582">
        <f t="shared" si="18"/>
        <v>1459.25</v>
      </c>
      <c r="AF36" s="582">
        <f t="shared" si="5"/>
        <v>17511</v>
      </c>
      <c r="AG36" s="656">
        <v>912</v>
      </c>
      <c r="AH36" s="656">
        <v>1502</v>
      </c>
      <c r="AI36" s="656">
        <v>1012</v>
      </c>
      <c r="AJ36" s="656">
        <v>1012</v>
      </c>
      <c r="AK36" s="656">
        <v>1372</v>
      </c>
      <c r="AL36" s="656">
        <v>1369</v>
      </c>
      <c r="AM36" s="656">
        <v>1195</v>
      </c>
      <c r="AN36" s="656">
        <v>2080</v>
      </c>
      <c r="AO36" s="656">
        <v>1701</v>
      </c>
      <c r="AP36" s="656">
        <v>1620</v>
      </c>
      <c r="AQ36" s="656">
        <v>2000</v>
      </c>
      <c r="AR36" s="656">
        <v>1736</v>
      </c>
      <c r="AS36" s="582">
        <f t="shared" si="12"/>
        <v>3426</v>
      </c>
      <c r="AT36" s="580">
        <f>+(R36-AR36)/AR36</f>
        <v>-1</v>
      </c>
      <c r="AU36" s="580">
        <f>+(S36-AS36)/AS36</f>
        <v>0.92002335084646814</v>
      </c>
    </row>
    <row r="37" spans="1:47" s="576" customFormat="1" ht="15" customHeight="1" x14ac:dyDescent="0.25">
      <c r="A37" s="179" t="s">
        <v>604</v>
      </c>
      <c r="B37" s="582">
        <f t="shared" si="0"/>
        <v>53293</v>
      </c>
      <c r="C37" s="582">
        <f t="shared" si="6"/>
        <v>0</v>
      </c>
      <c r="D37" s="582">
        <f t="shared" si="1"/>
        <v>51129</v>
      </c>
      <c r="E37" s="580">
        <f t="shared" si="3"/>
        <v>1.0423243169238592</v>
      </c>
      <c r="F37" s="578"/>
      <c r="G37" s="825">
        <f>G13+G14+G15+G16</f>
        <v>58127</v>
      </c>
      <c r="H37" s="825">
        <f t="shared" ref="H37:R37" si="19">H13+H14+H15+H16</f>
        <v>54110</v>
      </c>
      <c r="I37" s="825">
        <f t="shared" si="19"/>
        <v>53293</v>
      </c>
      <c r="J37" s="825">
        <f t="shared" si="19"/>
        <v>45526</v>
      </c>
      <c r="K37" s="825">
        <f t="shared" si="19"/>
        <v>0</v>
      </c>
      <c r="L37" s="825">
        <f t="shared" si="19"/>
        <v>0</v>
      </c>
      <c r="M37" s="825">
        <f t="shared" si="19"/>
        <v>0</v>
      </c>
      <c r="N37" s="825">
        <f t="shared" si="19"/>
        <v>0</v>
      </c>
      <c r="O37" s="825">
        <f t="shared" si="19"/>
        <v>0</v>
      </c>
      <c r="P37" s="825">
        <f t="shared" si="19"/>
        <v>0</v>
      </c>
      <c r="Q37" s="825">
        <f t="shared" si="19"/>
        <v>0</v>
      </c>
      <c r="R37" s="825">
        <f t="shared" si="19"/>
        <v>0</v>
      </c>
      <c r="S37" s="584">
        <f t="shared" si="4"/>
        <v>211056</v>
      </c>
      <c r="T37" s="582">
        <f>T13+T14+T15+T16</f>
        <v>0</v>
      </c>
      <c r="U37" s="582">
        <f t="shared" ref="U37:AE37" si="20">U13+U14+U15+U16</f>
        <v>0</v>
      </c>
      <c r="V37" s="582">
        <f t="shared" si="20"/>
        <v>0</v>
      </c>
      <c r="W37" s="582">
        <f t="shared" si="20"/>
        <v>0</v>
      </c>
      <c r="X37" s="582">
        <f t="shared" si="20"/>
        <v>0</v>
      </c>
      <c r="Y37" s="582">
        <f t="shared" si="20"/>
        <v>0</v>
      </c>
      <c r="Z37" s="582">
        <f t="shared" si="20"/>
        <v>0</v>
      </c>
      <c r="AA37" s="582">
        <f t="shared" si="20"/>
        <v>0</v>
      </c>
      <c r="AB37" s="582">
        <f t="shared" si="20"/>
        <v>0</v>
      </c>
      <c r="AC37" s="582">
        <f t="shared" si="20"/>
        <v>0</v>
      </c>
      <c r="AD37" s="582">
        <f t="shared" si="20"/>
        <v>0</v>
      </c>
      <c r="AE37" s="582">
        <f t="shared" si="20"/>
        <v>0</v>
      </c>
      <c r="AF37" s="582">
        <f t="shared" si="5"/>
        <v>0</v>
      </c>
      <c r="AG37" s="656">
        <v>53015</v>
      </c>
      <c r="AH37" s="656">
        <v>54113</v>
      </c>
      <c r="AI37" s="656">
        <v>51129</v>
      </c>
      <c r="AJ37" s="656">
        <v>41319</v>
      </c>
      <c r="AK37" s="656">
        <v>47177</v>
      </c>
      <c r="AL37" s="656">
        <v>50832</v>
      </c>
      <c r="AM37" s="656">
        <v>50982</v>
      </c>
      <c r="AN37" s="656">
        <v>53873</v>
      </c>
      <c r="AO37" s="656">
        <v>48776</v>
      </c>
      <c r="AP37" s="656">
        <v>54204</v>
      </c>
      <c r="AQ37" s="656">
        <v>52000</v>
      </c>
      <c r="AR37" s="656">
        <v>47919</v>
      </c>
      <c r="AS37" s="582">
        <f t="shared" si="12"/>
        <v>158257</v>
      </c>
      <c r="AT37" s="642">
        <f>+(O37-AO37)/AO37</f>
        <v>-1</v>
      </c>
      <c r="AU37" s="642">
        <f>+(S37-AS37)/AS37</f>
        <v>0.33362821233815881</v>
      </c>
    </row>
    <row r="38" spans="1:47" s="576" customFormat="1" x14ac:dyDescent="0.25">
      <c r="A38" s="677" t="s">
        <v>605</v>
      </c>
      <c r="B38" s="579">
        <f>+B35+B36</f>
        <v>3983</v>
      </c>
      <c r="D38" s="579">
        <f>+D35+D36</f>
        <v>3793</v>
      </c>
      <c r="E38" s="580">
        <f t="shared" si="3"/>
        <v>1.0500922752438704</v>
      </c>
      <c r="G38" s="820">
        <f>G35+G36</f>
        <v>4913</v>
      </c>
      <c r="H38" s="820">
        <f t="shared" ref="H38:R38" si="21">H35+H36</f>
        <v>5070</v>
      </c>
      <c r="I38" s="820">
        <f t="shared" si="21"/>
        <v>3983</v>
      </c>
      <c r="J38" s="820">
        <f t="shared" si="21"/>
        <v>3743</v>
      </c>
      <c r="K38" s="820">
        <f t="shared" si="21"/>
        <v>0</v>
      </c>
      <c r="L38" s="820">
        <f t="shared" si="21"/>
        <v>0</v>
      </c>
      <c r="M38" s="820">
        <f t="shared" si="21"/>
        <v>0</v>
      </c>
      <c r="N38" s="820">
        <f t="shared" si="21"/>
        <v>0</v>
      </c>
      <c r="O38" s="820">
        <f t="shared" si="21"/>
        <v>0</v>
      </c>
      <c r="P38" s="820">
        <f t="shared" si="21"/>
        <v>0</v>
      </c>
      <c r="Q38" s="820">
        <f t="shared" si="21"/>
        <v>0</v>
      </c>
      <c r="R38" s="820">
        <f t="shared" si="21"/>
        <v>0</v>
      </c>
      <c r="S38" s="584">
        <f t="shared" si="4"/>
        <v>17709</v>
      </c>
      <c r="AG38" s="826">
        <v>4216</v>
      </c>
      <c r="AH38" s="826">
        <v>4262</v>
      </c>
      <c r="AI38" s="826">
        <v>3793</v>
      </c>
      <c r="AJ38" s="826">
        <v>2641</v>
      </c>
      <c r="AK38" s="826">
        <v>4239</v>
      </c>
      <c r="AL38" s="496">
        <v>4898</v>
      </c>
      <c r="AM38" s="496">
        <v>4715</v>
      </c>
      <c r="AN38" s="826">
        <v>5107</v>
      </c>
      <c r="AO38" s="579">
        <v>5675</v>
      </c>
      <c r="AP38" s="579">
        <v>5685</v>
      </c>
      <c r="AQ38" s="826">
        <v>5874</v>
      </c>
      <c r="AR38" s="827">
        <v>5916</v>
      </c>
      <c r="AS38" s="580">
        <f>+S37/AS37</f>
        <v>1.3336282123381589</v>
      </c>
    </row>
    <row r="39" spans="1:47" s="576" customFormat="1" x14ac:dyDescent="0.25">
      <c r="G39" s="821">
        <f>+G37/AG37</f>
        <v>1.0964255399415259</v>
      </c>
      <c r="H39" s="821">
        <f t="shared" ref="H39:N39" si="22">+H37/AH37</f>
        <v>0.99994456045682178</v>
      </c>
      <c r="I39" s="821">
        <f t="shared" si="22"/>
        <v>1.0423243169238592</v>
      </c>
      <c r="J39" s="821">
        <f t="shared" si="22"/>
        <v>1.1018175657687748</v>
      </c>
      <c r="K39" s="821">
        <f t="shared" si="22"/>
        <v>0</v>
      </c>
      <c r="L39" s="821">
        <f t="shared" si="22"/>
        <v>0</v>
      </c>
      <c r="M39" s="821">
        <f t="shared" si="22"/>
        <v>0</v>
      </c>
      <c r="N39" s="821">
        <f t="shared" si="22"/>
        <v>0</v>
      </c>
      <c r="O39" s="821">
        <f>+O37/AO37</f>
        <v>0</v>
      </c>
      <c r="P39" s="821">
        <f>+P37/AP37</f>
        <v>0</v>
      </c>
      <c r="Q39" s="821">
        <f>+Q37/AQ37</f>
        <v>0</v>
      </c>
      <c r="R39" s="821">
        <f>+R37/AR37</f>
        <v>0</v>
      </c>
      <c r="S39" s="579"/>
      <c r="AS39" s="579"/>
      <c r="AT39" s="579"/>
    </row>
    <row r="40" spans="1:47" s="576" customFormat="1" x14ac:dyDescent="0.25">
      <c r="G40" s="820">
        <f>+G6+G35+G36+G37</f>
        <v>70091</v>
      </c>
      <c r="H40" s="820">
        <f t="shared" ref="H40:R40" si="23">+H6+H35+H36+H37</f>
        <v>65802</v>
      </c>
      <c r="I40" s="820">
        <f t="shared" si="23"/>
        <v>64018</v>
      </c>
      <c r="J40" s="820">
        <f t="shared" si="23"/>
        <v>56125</v>
      </c>
      <c r="K40" s="820">
        <f t="shared" si="23"/>
        <v>0</v>
      </c>
      <c r="L40" s="820">
        <f t="shared" si="23"/>
        <v>0</v>
      </c>
      <c r="M40" s="820">
        <f t="shared" si="23"/>
        <v>0</v>
      </c>
      <c r="N40" s="820">
        <f t="shared" si="23"/>
        <v>0</v>
      </c>
      <c r="O40" s="820">
        <f t="shared" si="23"/>
        <v>0</v>
      </c>
      <c r="P40" s="820">
        <f t="shared" si="23"/>
        <v>0</v>
      </c>
      <c r="Q40" s="820">
        <f t="shared" si="23"/>
        <v>0</v>
      </c>
      <c r="R40" s="820">
        <f t="shared" si="23"/>
        <v>0</v>
      </c>
      <c r="S40" s="579"/>
      <c r="T40" s="579"/>
      <c r="U40" s="579"/>
      <c r="V40" s="579"/>
      <c r="W40" s="579"/>
      <c r="X40" s="579"/>
      <c r="Y40" s="579"/>
      <c r="Z40" s="579"/>
      <c r="AA40" s="579"/>
      <c r="AB40" s="579"/>
      <c r="AC40" s="579"/>
      <c r="AD40" s="579"/>
      <c r="AE40" s="579"/>
      <c r="AG40" s="579">
        <f>+AG6+AG37+AG35+AG36</f>
        <v>63542</v>
      </c>
      <c r="AH40" s="579">
        <f t="shared" ref="AH40:AR40" si="24">+AH6+AH37+AH35+AH36</f>
        <v>65531</v>
      </c>
      <c r="AI40" s="579">
        <f t="shared" si="24"/>
        <v>62019</v>
      </c>
      <c r="AJ40" s="579">
        <f t="shared" si="24"/>
        <v>50323</v>
      </c>
      <c r="AK40" s="579">
        <f t="shared" si="24"/>
        <v>57496</v>
      </c>
      <c r="AL40" s="579">
        <f t="shared" si="24"/>
        <v>63259</v>
      </c>
      <c r="AM40" s="579">
        <f t="shared" si="24"/>
        <v>62546</v>
      </c>
      <c r="AN40" s="579">
        <f t="shared" si="24"/>
        <v>66819</v>
      </c>
      <c r="AO40" s="579">
        <f t="shared" si="24"/>
        <v>60800</v>
      </c>
      <c r="AP40" s="579">
        <f t="shared" si="24"/>
        <v>65896</v>
      </c>
      <c r="AQ40" s="579">
        <f t="shared" si="24"/>
        <v>64948</v>
      </c>
      <c r="AR40" s="579">
        <f t="shared" si="24"/>
        <v>60294</v>
      </c>
      <c r="AS40" s="579"/>
    </row>
    <row r="41" spans="1:47" s="576" customFormat="1" x14ac:dyDescent="0.25">
      <c r="G41" s="821">
        <f>+G40/AG40</f>
        <v>1.1030656888357306</v>
      </c>
      <c r="H41" s="821">
        <f t="shared" ref="H41:R41" si="25">+H40/AH40</f>
        <v>1.0041354473455311</v>
      </c>
      <c r="I41" s="821">
        <f t="shared" si="25"/>
        <v>1.0322320579177349</v>
      </c>
      <c r="J41" s="821">
        <f t="shared" si="25"/>
        <v>1.1152951930528785</v>
      </c>
      <c r="K41" s="821">
        <f t="shared" si="25"/>
        <v>0</v>
      </c>
      <c r="L41" s="821">
        <f t="shared" si="25"/>
        <v>0</v>
      </c>
      <c r="M41" s="821">
        <f t="shared" si="25"/>
        <v>0</v>
      </c>
      <c r="N41" s="821">
        <f t="shared" si="25"/>
        <v>0</v>
      </c>
      <c r="O41" s="821">
        <f t="shared" si="25"/>
        <v>0</v>
      </c>
      <c r="P41" s="821">
        <f t="shared" si="25"/>
        <v>0</v>
      </c>
      <c r="Q41" s="821">
        <f t="shared" si="25"/>
        <v>0</v>
      </c>
      <c r="R41" s="821">
        <f t="shared" si="25"/>
        <v>0</v>
      </c>
      <c r="S41" s="579">
        <f>+S6+S35+S36+S37</f>
        <v>256036</v>
      </c>
      <c r="T41" s="579"/>
      <c r="U41" s="579"/>
      <c r="V41" s="579"/>
      <c r="W41" s="579"/>
      <c r="X41" s="579"/>
      <c r="Y41" s="579"/>
      <c r="Z41" s="579"/>
      <c r="AA41" s="579"/>
      <c r="AB41" s="579"/>
      <c r="AC41" s="579"/>
      <c r="AD41" s="579"/>
      <c r="AE41" s="579"/>
      <c r="AF41" s="579">
        <f>+AF6+AF35+AF36+AF37</f>
        <v>17511</v>
      </c>
      <c r="AS41" s="579">
        <f>+AS6+AS35+AS36+AS37</f>
        <v>191092</v>
      </c>
    </row>
    <row r="42" spans="1:47" s="576" customFormat="1" x14ac:dyDescent="0.25">
      <c r="E42" s="576" t="s">
        <v>522</v>
      </c>
      <c r="G42" s="820">
        <f>+G40</f>
        <v>70091</v>
      </c>
      <c r="H42" s="820">
        <f>+H40+G42</f>
        <v>135893</v>
      </c>
      <c r="I42" s="820">
        <f t="shared" ref="I42:R42" si="26">+I40+H42</f>
        <v>199911</v>
      </c>
      <c r="J42" s="820">
        <f t="shared" si="26"/>
        <v>256036</v>
      </c>
      <c r="K42" s="820">
        <f t="shared" si="26"/>
        <v>256036</v>
      </c>
      <c r="L42" s="820">
        <f t="shared" si="26"/>
        <v>256036</v>
      </c>
      <c r="M42" s="820">
        <f t="shared" si="26"/>
        <v>256036</v>
      </c>
      <c r="N42" s="820">
        <f t="shared" si="26"/>
        <v>256036</v>
      </c>
      <c r="O42" s="820">
        <f t="shared" si="26"/>
        <v>256036</v>
      </c>
      <c r="P42" s="820">
        <f t="shared" si="26"/>
        <v>256036</v>
      </c>
      <c r="Q42" s="820">
        <f t="shared" si="26"/>
        <v>256036</v>
      </c>
      <c r="R42" s="820">
        <f t="shared" si="26"/>
        <v>256036</v>
      </c>
      <c r="AG42" s="579">
        <f>+AG40</f>
        <v>63542</v>
      </c>
      <c r="AH42" s="579">
        <f>+AG42+AH40</f>
        <v>129073</v>
      </c>
      <c r="AI42" s="579">
        <f t="shared" ref="AI42:AR42" si="27">+AH42+AI40</f>
        <v>191092</v>
      </c>
      <c r="AJ42" s="579">
        <f t="shared" si="27"/>
        <v>241415</v>
      </c>
      <c r="AK42" s="579">
        <f t="shared" si="27"/>
        <v>298911</v>
      </c>
      <c r="AL42" s="579">
        <f t="shared" si="27"/>
        <v>362170</v>
      </c>
      <c r="AM42" s="579">
        <f t="shared" si="27"/>
        <v>424716</v>
      </c>
      <c r="AN42" s="579">
        <f t="shared" si="27"/>
        <v>491535</v>
      </c>
      <c r="AO42" s="579">
        <f t="shared" si="27"/>
        <v>552335</v>
      </c>
      <c r="AP42" s="579">
        <f t="shared" si="27"/>
        <v>618231</v>
      </c>
      <c r="AQ42" s="579">
        <f t="shared" si="27"/>
        <v>683179</v>
      </c>
      <c r="AR42" s="579">
        <f t="shared" si="27"/>
        <v>743473</v>
      </c>
      <c r="AS42" s="583">
        <f>+S41/AS41</f>
        <v>1.3398572415381074</v>
      </c>
    </row>
    <row r="43" spans="1:47" s="576" customFormat="1" x14ac:dyDescent="0.25">
      <c r="G43" s="822" t="s">
        <v>490</v>
      </c>
      <c r="H43" s="822" t="s">
        <v>491</v>
      </c>
      <c r="I43" s="822" t="s">
        <v>492</v>
      </c>
      <c r="J43" s="822" t="s">
        <v>510</v>
      </c>
      <c r="K43" s="822" t="s">
        <v>511</v>
      </c>
      <c r="L43" s="822" t="s">
        <v>512</v>
      </c>
      <c r="M43" s="823" t="s">
        <v>513</v>
      </c>
      <c r="N43" s="822" t="s">
        <v>514</v>
      </c>
      <c r="O43" s="824" t="s">
        <v>515</v>
      </c>
      <c r="P43" s="822" t="s">
        <v>516</v>
      </c>
      <c r="Q43" s="822" t="s">
        <v>517</v>
      </c>
      <c r="R43" s="822" t="s">
        <v>518</v>
      </c>
    </row>
    <row r="44" spans="1:47" s="576" customFormat="1" x14ac:dyDescent="0.25">
      <c r="E44" s="576" t="s">
        <v>521</v>
      </c>
      <c r="G44" s="820">
        <f>+G37</f>
        <v>58127</v>
      </c>
      <c r="H44" s="820">
        <f>+H37+G44</f>
        <v>112237</v>
      </c>
      <c r="I44" s="820">
        <f t="shared" ref="I44:R44" si="28">+I37+H44</f>
        <v>165530</v>
      </c>
      <c r="J44" s="820">
        <f t="shared" si="28"/>
        <v>211056</v>
      </c>
      <c r="K44" s="820">
        <f t="shared" si="28"/>
        <v>211056</v>
      </c>
      <c r="L44" s="820">
        <f t="shared" si="28"/>
        <v>211056</v>
      </c>
      <c r="M44" s="820">
        <f t="shared" si="28"/>
        <v>211056</v>
      </c>
      <c r="N44" s="820">
        <f t="shared" si="28"/>
        <v>211056</v>
      </c>
      <c r="O44" s="820">
        <f t="shared" si="28"/>
        <v>211056</v>
      </c>
      <c r="P44" s="820">
        <f t="shared" si="28"/>
        <v>211056</v>
      </c>
      <c r="Q44" s="820">
        <f t="shared" si="28"/>
        <v>211056</v>
      </c>
      <c r="R44" s="820">
        <f t="shared" si="28"/>
        <v>211056</v>
      </c>
      <c r="AG44" s="579">
        <f>+AG37</f>
        <v>53015</v>
      </c>
      <c r="AH44" s="579">
        <f>+AG44+AH37</f>
        <v>107128</v>
      </c>
      <c r="AI44" s="579">
        <f t="shared" ref="AI44:AR44" si="29">+AH44+AI37</f>
        <v>158257</v>
      </c>
      <c r="AJ44" s="579">
        <f t="shared" si="29"/>
        <v>199576</v>
      </c>
      <c r="AK44" s="579">
        <f t="shared" si="29"/>
        <v>246753</v>
      </c>
      <c r="AL44" s="579">
        <f t="shared" si="29"/>
        <v>297585</v>
      </c>
      <c r="AM44" s="579">
        <f t="shared" si="29"/>
        <v>348567</v>
      </c>
      <c r="AN44" s="579">
        <f t="shared" si="29"/>
        <v>402440</v>
      </c>
      <c r="AO44" s="579">
        <f t="shared" si="29"/>
        <v>451216</v>
      </c>
      <c r="AP44" s="579">
        <f t="shared" si="29"/>
        <v>505420</v>
      </c>
      <c r="AQ44" s="579">
        <f t="shared" si="29"/>
        <v>557420</v>
      </c>
      <c r="AR44" s="579">
        <f t="shared" si="29"/>
        <v>605339</v>
      </c>
    </row>
    <row r="45" spans="1:47" s="576" customFormat="1" x14ac:dyDescent="0.25">
      <c r="M45" s="179"/>
      <c r="O45" s="178"/>
    </row>
    <row r="46" spans="1:47" s="576" customFormat="1" x14ac:dyDescent="0.25">
      <c r="M46" s="179"/>
      <c r="O46" s="178"/>
    </row>
    <row r="47" spans="1:47" s="576" customFormat="1" x14ac:dyDescent="0.25">
      <c r="E47" s="576" t="s">
        <v>532</v>
      </c>
      <c r="G47" s="579">
        <f>+G4+G9+G13</f>
        <v>15191</v>
      </c>
      <c r="H47" s="579">
        <f t="shared" ref="H47:P47" si="30">+H4+H9+H13</f>
        <v>15828</v>
      </c>
      <c r="I47" s="579">
        <f>+I4+I9+I13</f>
        <v>15010</v>
      </c>
      <c r="J47" s="579">
        <f t="shared" si="30"/>
        <v>13825</v>
      </c>
      <c r="K47" s="579">
        <f t="shared" si="30"/>
        <v>0</v>
      </c>
      <c r="L47" s="579">
        <f t="shared" si="30"/>
        <v>0</v>
      </c>
      <c r="M47" s="579">
        <f t="shared" si="30"/>
        <v>0</v>
      </c>
      <c r="N47" s="579">
        <f t="shared" si="30"/>
        <v>0</v>
      </c>
      <c r="O47" s="579">
        <f t="shared" si="30"/>
        <v>0</v>
      </c>
      <c r="P47" s="579">
        <f t="shared" si="30"/>
        <v>0</v>
      </c>
      <c r="Q47" s="579">
        <f t="shared" ref="Q47:R47" si="31">+Q4+Q9+Q13</f>
        <v>0</v>
      </c>
      <c r="R47" s="579">
        <f t="shared" si="31"/>
        <v>0</v>
      </c>
      <c r="S47" s="579">
        <f>SUM(G47:R47)</f>
        <v>59854</v>
      </c>
      <c r="AG47" s="579">
        <f t="shared" ref="AG47:AP47" si="32">+AG4+AG9+AG13</f>
        <v>14331</v>
      </c>
      <c r="AH47" s="579">
        <f t="shared" si="32"/>
        <v>16285</v>
      </c>
      <c r="AI47" s="579">
        <f t="shared" si="32"/>
        <v>17245</v>
      </c>
      <c r="AJ47" s="579">
        <f t="shared" si="32"/>
        <v>16111</v>
      </c>
      <c r="AK47" s="579">
        <f t="shared" si="32"/>
        <v>16338</v>
      </c>
      <c r="AL47" s="579">
        <f t="shared" si="32"/>
        <v>17132</v>
      </c>
      <c r="AM47" s="579">
        <f t="shared" si="32"/>
        <v>17041</v>
      </c>
      <c r="AN47" s="579">
        <f t="shared" si="32"/>
        <v>18256</v>
      </c>
      <c r="AO47" s="579">
        <f t="shared" si="32"/>
        <v>14889</v>
      </c>
      <c r="AP47" s="579">
        <f t="shared" si="32"/>
        <v>17389</v>
      </c>
      <c r="AR47" s="579">
        <f>SUM(AG47:AP47)</f>
        <v>165017</v>
      </c>
    </row>
    <row r="48" spans="1:47" s="576" customFormat="1" x14ac:dyDescent="0.25">
      <c r="E48" s="576" t="s">
        <v>533</v>
      </c>
      <c r="G48" s="579">
        <f>+G5+G7+G16</f>
        <v>26557</v>
      </c>
      <c r="H48" s="579">
        <f t="shared" ref="H48:P48" si="33">+H5+H7+H16</f>
        <v>24099</v>
      </c>
      <c r="I48" s="579">
        <f t="shared" si="33"/>
        <v>22657</v>
      </c>
      <c r="J48" s="579">
        <f t="shared" si="33"/>
        <v>20370</v>
      </c>
      <c r="K48" s="579">
        <f t="shared" si="33"/>
        <v>0</v>
      </c>
      <c r="L48" s="579">
        <f t="shared" si="33"/>
        <v>0</v>
      </c>
      <c r="M48" s="579">
        <f t="shared" si="33"/>
        <v>0</v>
      </c>
      <c r="N48" s="579">
        <f t="shared" si="33"/>
        <v>0</v>
      </c>
      <c r="O48" s="579">
        <f t="shared" si="33"/>
        <v>0</v>
      </c>
      <c r="P48" s="579">
        <f t="shared" si="33"/>
        <v>0</v>
      </c>
      <c r="Q48" s="579">
        <f t="shared" ref="Q48:R48" si="34">+Q5+Q7+Q16</f>
        <v>0</v>
      </c>
      <c r="R48" s="579">
        <f t="shared" si="34"/>
        <v>0</v>
      </c>
      <c r="S48" s="579">
        <f t="shared" ref="S48:S51" si="35">SUM(G48:R48)</f>
        <v>93683</v>
      </c>
      <c r="AG48" s="579">
        <f t="shared" ref="AG48:AP48" si="36">+AG5+AG7+AG16</f>
        <v>21991</v>
      </c>
      <c r="AH48" s="579">
        <f t="shared" si="36"/>
        <v>23703</v>
      </c>
      <c r="AI48" s="579">
        <f t="shared" si="36"/>
        <v>20015</v>
      </c>
      <c r="AJ48" s="579">
        <f t="shared" si="36"/>
        <v>15159</v>
      </c>
      <c r="AK48" s="579">
        <f t="shared" si="36"/>
        <v>17269</v>
      </c>
      <c r="AL48" s="579">
        <f t="shared" si="36"/>
        <v>18905</v>
      </c>
      <c r="AM48" s="579">
        <f t="shared" si="36"/>
        <v>18572</v>
      </c>
      <c r="AN48" s="579">
        <f t="shared" si="36"/>
        <v>22115</v>
      </c>
      <c r="AO48" s="579">
        <f t="shared" si="36"/>
        <v>19671</v>
      </c>
      <c r="AP48" s="579">
        <f t="shared" si="36"/>
        <v>21136</v>
      </c>
      <c r="AR48" s="579">
        <f>SUM(AG48:AP48)</f>
        <v>198536</v>
      </c>
    </row>
    <row r="49" spans="4:45" s="576" customFormat="1" x14ac:dyDescent="0.25">
      <c r="E49" s="576" t="s">
        <v>534</v>
      </c>
      <c r="G49" s="579">
        <f>+G8+G14</f>
        <v>8211</v>
      </c>
      <c r="H49" s="579">
        <f t="shared" ref="H49:P49" si="37">+H8+H14</f>
        <v>7020</v>
      </c>
      <c r="I49" s="579">
        <f t="shared" si="37"/>
        <v>8555</v>
      </c>
      <c r="J49" s="579">
        <f t="shared" si="37"/>
        <v>6614</v>
      </c>
      <c r="K49" s="579">
        <f t="shared" si="37"/>
        <v>0</v>
      </c>
      <c r="L49" s="579">
        <f t="shared" si="37"/>
        <v>0</v>
      </c>
      <c r="M49" s="579">
        <f t="shared" si="37"/>
        <v>0</v>
      </c>
      <c r="N49" s="579">
        <f t="shared" si="37"/>
        <v>0</v>
      </c>
      <c r="O49" s="579">
        <f t="shared" si="37"/>
        <v>0</v>
      </c>
      <c r="P49" s="579">
        <f t="shared" si="37"/>
        <v>0</v>
      </c>
      <c r="Q49" s="579">
        <f t="shared" ref="Q49:R49" si="38">+Q8+Q14</f>
        <v>0</v>
      </c>
      <c r="R49" s="579">
        <f t="shared" si="38"/>
        <v>0</v>
      </c>
      <c r="S49" s="579">
        <f t="shared" si="35"/>
        <v>30400</v>
      </c>
      <c r="AG49" s="579">
        <f t="shared" ref="AG49:AP49" si="39">+AG8+AG14</f>
        <v>6545</v>
      </c>
      <c r="AH49" s="579">
        <f t="shared" si="39"/>
        <v>7342</v>
      </c>
      <c r="AI49" s="579">
        <f t="shared" si="39"/>
        <v>7434</v>
      </c>
      <c r="AJ49" s="579">
        <f t="shared" si="39"/>
        <v>5999</v>
      </c>
      <c r="AK49" s="579">
        <f t="shared" si="39"/>
        <v>6539</v>
      </c>
      <c r="AL49" s="579">
        <f t="shared" si="39"/>
        <v>6560</v>
      </c>
      <c r="AM49" s="579">
        <f t="shared" si="39"/>
        <v>6261</v>
      </c>
      <c r="AN49" s="579">
        <f t="shared" si="39"/>
        <v>7056</v>
      </c>
      <c r="AO49" s="579">
        <f t="shared" si="39"/>
        <v>6476</v>
      </c>
      <c r="AP49" s="579">
        <f t="shared" si="39"/>
        <v>7128</v>
      </c>
      <c r="AR49" s="579">
        <f>SUM(AG49:AP49)</f>
        <v>67340</v>
      </c>
    </row>
    <row r="50" spans="4:45" s="576" customFormat="1" x14ac:dyDescent="0.25">
      <c r="E50" s="576" t="s">
        <v>535</v>
      </c>
      <c r="G50" s="579">
        <f>+G10+G11+G15</f>
        <v>20132</v>
      </c>
      <c r="H50" s="579">
        <f t="shared" ref="H50:P50" si="40">+H10+H11+H15</f>
        <v>18855</v>
      </c>
      <c r="I50" s="579">
        <f t="shared" si="40"/>
        <v>17796</v>
      </c>
      <c r="J50" s="579">
        <f t="shared" si="40"/>
        <v>15316</v>
      </c>
      <c r="K50" s="579">
        <f t="shared" si="40"/>
        <v>0</v>
      </c>
      <c r="L50" s="579">
        <f t="shared" si="40"/>
        <v>0</v>
      </c>
      <c r="M50" s="579">
        <f t="shared" si="40"/>
        <v>0</v>
      </c>
      <c r="N50" s="579">
        <f t="shared" si="40"/>
        <v>0</v>
      </c>
      <c r="O50" s="579">
        <f t="shared" si="40"/>
        <v>0</v>
      </c>
      <c r="P50" s="579">
        <f t="shared" si="40"/>
        <v>0</v>
      </c>
      <c r="Q50" s="579">
        <f t="shared" ref="Q50:R50" si="41">+Q10+Q11+Q15</f>
        <v>0</v>
      </c>
      <c r="R50" s="579">
        <f t="shared" si="41"/>
        <v>0</v>
      </c>
      <c r="S50" s="579">
        <f t="shared" si="35"/>
        <v>72099</v>
      </c>
      <c r="AG50" s="579">
        <f t="shared" ref="AG50:AP50" si="42">+AG10+AG11+AG15</f>
        <v>20675</v>
      </c>
      <c r="AH50" s="579">
        <f t="shared" si="42"/>
        <v>18201</v>
      </c>
      <c r="AI50" s="579">
        <f t="shared" si="42"/>
        <v>17325</v>
      </c>
      <c r="AJ50" s="579">
        <f t="shared" si="42"/>
        <v>13054</v>
      </c>
      <c r="AK50" s="579">
        <f t="shared" si="42"/>
        <v>17350</v>
      </c>
      <c r="AL50" s="579">
        <f t="shared" si="42"/>
        <v>20662</v>
      </c>
      <c r="AM50" s="579">
        <f t="shared" si="42"/>
        <v>20672</v>
      </c>
      <c r="AN50" s="579">
        <f t="shared" si="42"/>
        <v>19392</v>
      </c>
      <c r="AO50" s="579">
        <f t="shared" si="42"/>
        <v>19764</v>
      </c>
      <c r="AP50" s="579">
        <f t="shared" si="42"/>
        <v>20243</v>
      </c>
      <c r="AR50" s="579">
        <f>SUM(AG50:AP50)</f>
        <v>187338</v>
      </c>
    </row>
    <row r="51" spans="4:45" s="576" customFormat="1" x14ac:dyDescent="0.25">
      <c r="E51" s="576" t="s">
        <v>272</v>
      </c>
      <c r="G51" s="579">
        <f>SUM(G47:G50)</f>
        <v>70091</v>
      </c>
      <c r="H51" s="579">
        <f t="shared" ref="H51:P51" si="43">SUM(H47:H50)</f>
        <v>65802</v>
      </c>
      <c r="I51" s="579">
        <f t="shared" si="43"/>
        <v>64018</v>
      </c>
      <c r="J51" s="579">
        <f t="shared" si="43"/>
        <v>56125</v>
      </c>
      <c r="K51" s="579">
        <f t="shared" si="43"/>
        <v>0</v>
      </c>
      <c r="L51" s="579">
        <f t="shared" si="43"/>
        <v>0</v>
      </c>
      <c r="M51" s="579">
        <f t="shared" si="43"/>
        <v>0</v>
      </c>
      <c r="N51" s="579">
        <f t="shared" si="43"/>
        <v>0</v>
      </c>
      <c r="O51" s="579">
        <f t="shared" si="43"/>
        <v>0</v>
      </c>
      <c r="P51" s="579">
        <f t="shared" si="43"/>
        <v>0</v>
      </c>
      <c r="Q51" s="579">
        <f t="shared" ref="Q51" si="44">SUM(Q47:Q50)</f>
        <v>0</v>
      </c>
      <c r="R51" s="579">
        <f>SUM(R47:R50)</f>
        <v>0</v>
      </c>
      <c r="S51" s="579">
        <f t="shared" si="35"/>
        <v>256036</v>
      </c>
      <c r="AG51" s="579">
        <f t="shared" ref="AG51:AP51" si="45">SUM(AG47:AG50)</f>
        <v>63542</v>
      </c>
      <c r="AH51" s="579">
        <f t="shared" si="45"/>
        <v>65531</v>
      </c>
      <c r="AI51" s="579">
        <f t="shared" si="45"/>
        <v>62019</v>
      </c>
      <c r="AJ51" s="579">
        <f t="shared" si="45"/>
        <v>50323</v>
      </c>
      <c r="AK51" s="579">
        <f t="shared" si="45"/>
        <v>57496</v>
      </c>
      <c r="AL51" s="579">
        <f t="shared" si="45"/>
        <v>63259</v>
      </c>
      <c r="AM51" s="579">
        <f t="shared" si="45"/>
        <v>62546</v>
      </c>
      <c r="AN51" s="579">
        <f t="shared" si="45"/>
        <v>66819</v>
      </c>
      <c r="AO51" s="579">
        <f t="shared" si="45"/>
        <v>60800</v>
      </c>
      <c r="AP51" s="579">
        <f t="shared" si="45"/>
        <v>65896</v>
      </c>
      <c r="AR51" s="579">
        <f>SUM(AG51:AP51)</f>
        <v>618231</v>
      </c>
    </row>
    <row r="52" spans="4:45" s="576" customFormat="1" x14ac:dyDescent="0.25">
      <c r="G52" s="579">
        <f t="shared" ref="G52:N52" si="46">+G51-G6</f>
        <v>63040</v>
      </c>
      <c r="H52" s="579">
        <f t="shared" si="46"/>
        <v>59180</v>
      </c>
      <c r="I52" s="579">
        <f t="shared" si="46"/>
        <v>57276</v>
      </c>
      <c r="J52" s="579">
        <f t="shared" si="46"/>
        <v>49269</v>
      </c>
      <c r="K52" s="579">
        <f t="shared" si="46"/>
        <v>0</v>
      </c>
      <c r="L52" s="579">
        <f t="shared" si="46"/>
        <v>0</v>
      </c>
      <c r="M52" s="579">
        <f t="shared" si="46"/>
        <v>0</v>
      </c>
      <c r="N52" s="579">
        <f t="shared" si="46"/>
        <v>0</v>
      </c>
      <c r="O52" s="579">
        <f>+O51-O6</f>
        <v>0</v>
      </c>
      <c r="P52" s="579">
        <f>+P51-P6</f>
        <v>0</v>
      </c>
      <c r="Q52" s="579">
        <f>+Q51-Q6</f>
        <v>0</v>
      </c>
      <c r="R52" s="579">
        <f>+R51-R6</f>
        <v>0</v>
      </c>
    </row>
    <row r="53" spans="4:45" s="576" customFormat="1" x14ac:dyDescent="0.25">
      <c r="M53" s="179"/>
      <c r="O53" s="178"/>
      <c r="R53" s="579">
        <f>+R47-R4</f>
        <v>0</v>
      </c>
      <c r="S53" s="579">
        <f>SUM(S5,S7,S16)</f>
        <v>93683</v>
      </c>
      <c r="AS53" s="579">
        <f>SUM(AS5,AS7,AS16)</f>
        <v>65709</v>
      </c>
    </row>
    <row r="54" spans="4:45" s="576" customFormat="1" x14ac:dyDescent="0.25">
      <c r="G54" s="579">
        <f t="shared" ref="G54:R54" si="47">+G35+G36</f>
        <v>4913</v>
      </c>
      <c r="H54" s="579">
        <f t="shared" si="47"/>
        <v>5070</v>
      </c>
      <c r="I54" s="579">
        <f t="shared" si="47"/>
        <v>3983</v>
      </c>
      <c r="J54" s="579">
        <f t="shared" si="47"/>
        <v>3743</v>
      </c>
      <c r="K54" s="579">
        <f t="shared" si="47"/>
        <v>0</v>
      </c>
      <c r="L54" s="579">
        <f t="shared" si="47"/>
        <v>0</v>
      </c>
      <c r="M54" s="579">
        <f t="shared" si="47"/>
        <v>0</v>
      </c>
      <c r="N54" s="579">
        <f t="shared" si="47"/>
        <v>0</v>
      </c>
      <c r="O54" s="579">
        <f t="shared" si="47"/>
        <v>0</v>
      </c>
      <c r="P54" s="579">
        <f t="shared" si="47"/>
        <v>0</v>
      </c>
      <c r="Q54" s="579">
        <f t="shared" si="47"/>
        <v>0</v>
      </c>
      <c r="R54" s="579">
        <f t="shared" si="47"/>
        <v>0</v>
      </c>
      <c r="AG54" s="579">
        <f>+AG35+AG36</f>
        <v>4216</v>
      </c>
      <c r="AH54" s="579">
        <f t="shared" ref="AH54:AR54" si="48">+AH35+AH36</f>
        <v>4262</v>
      </c>
      <c r="AI54" s="579">
        <f t="shared" si="48"/>
        <v>3793</v>
      </c>
      <c r="AJ54" s="579">
        <f t="shared" si="48"/>
        <v>2641</v>
      </c>
      <c r="AK54" s="579">
        <f t="shared" si="48"/>
        <v>4239</v>
      </c>
      <c r="AL54" s="579">
        <f t="shared" si="48"/>
        <v>4898</v>
      </c>
      <c r="AM54" s="579">
        <f t="shared" si="48"/>
        <v>4715</v>
      </c>
      <c r="AN54" s="579">
        <f t="shared" si="48"/>
        <v>5107</v>
      </c>
      <c r="AO54" s="579">
        <f t="shared" si="48"/>
        <v>5675</v>
      </c>
      <c r="AP54" s="579">
        <f t="shared" si="48"/>
        <v>5685</v>
      </c>
      <c r="AQ54" s="579">
        <f t="shared" si="48"/>
        <v>5874</v>
      </c>
      <c r="AR54" s="579">
        <f t="shared" si="48"/>
        <v>5916</v>
      </c>
    </row>
    <row r="55" spans="4:45" s="576" customFormat="1" x14ac:dyDescent="0.25">
      <c r="D55" s="679" t="s">
        <v>606</v>
      </c>
      <c r="E55" s="179" t="s">
        <v>324</v>
      </c>
      <c r="G55" s="678">
        <f t="shared" ref="G55:K58" si="49">+G13/AG13</f>
        <v>0.98545318910854163</v>
      </c>
      <c r="H55" s="678">
        <f t="shared" si="49"/>
        <v>0.98232679171636128</v>
      </c>
      <c r="I55" s="580">
        <f t="shared" si="49"/>
        <v>0.79313044329190718</v>
      </c>
      <c r="J55" s="678">
        <f t="shared" si="49"/>
        <v>0.69988778945220853</v>
      </c>
      <c r="K55" s="678">
        <f t="shared" si="49"/>
        <v>0</v>
      </c>
      <c r="M55" s="179"/>
      <c r="O55" s="178"/>
      <c r="AS55" s="580">
        <f>AS53/S53</f>
        <v>0.70139726524556212</v>
      </c>
    </row>
    <row r="56" spans="4:45" s="576" customFormat="1" x14ac:dyDescent="0.25">
      <c r="E56" s="179" t="s">
        <v>325</v>
      </c>
      <c r="G56" s="678">
        <f t="shared" si="49"/>
        <v>1.2125502815768303</v>
      </c>
      <c r="H56" s="580">
        <f t="shared" si="49"/>
        <v>0.97730080296479305</v>
      </c>
      <c r="I56" s="580">
        <f t="shared" si="49"/>
        <v>1.1290089569488586</v>
      </c>
      <c r="J56" s="678">
        <f t="shared" si="49"/>
        <v>1.0352941176470589</v>
      </c>
      <c r="K56" s="678">
        <f t="shared" si="49"/>
        <v>0</v>
      </c>
      <c r="M56" s="179"/>
      <c r="O56" s="178"/>
    </row>
    <row r="57" spans="4:45" s="576" customFormat="1" x14ac:dyDescent="0.25">
      <c r="E57" s="179" t="s">
        <v>326</v>
      </c>
      <c r="G57" s="580">
        <f t="shared" si="49"/>
        <v>0.95966805942432687</v>
      </c>
      <c r="H57" s="580">
        <f t="shared" si="49"/>
        <v>1.0033632286995515</v>
      </c>
      <c r="I57" s="678">
        <f t="shared" si="49"/>
        <v>1.0648385977091288</v>
      </c>
      <c r="J57" s="678">
        <f t="shared" si="49"/>
        <v>1.1650641025641026</v>
      </c>
      <c r="K57" s="580">
        <f t="shared" si="49"/>
        <v>0</v>
      </c>
      <c r="M57" s="179"/>
      <c r="O57" s="178"/>
    </row>
    <row r="58" spans="4:45" s="576" customFormat="1" x14ac:dyDescent="0.25">
      <c r="E58" s="179" t="s">
        <v>327</v>
      </c>
      <c r="G58" s="580">
        <f t="shared" si="49"/>
        <v>1.2138443670150987</v>
      </c>
      <c r="H58" s="580">
        <f t="shared" si="49"/>
        <v>1.011010752688172</v>
      </c>
      <c r="I58" s="580">
        <f t="shared" si="49"/>
        <v>1.1251595771842926</v>
      </c>
      <c r="J58" s="678">
        <f t="shared" si="49"/>
        <v>1.3473490527463541</v>
      </c>
      <c r="K58" s="678">
        <f t="shared" si="49"/>
        <v>0</v>
      </c>
      <c r="M58" s="179"/>
      <c r="O58" s="178"/>
    </row>
    <row r="59" spans="4:45" s="576" customFormat="1" x14ac:dyDescent="0.25">
      <c r="E59" s="179" t="s">
        <v>604</v>
      </c>
      <c r="G59" s="580">
        <f>+G37/AG37</f>
        <v>1.0964255399415259</v>
      </c>
      <c r="H59" s="580">
        <f>+H37/AH37</f>
        <v>0.99994456045682178</v>
      </c>
      <c r="I59" s="580">
        <f>+I37/AI37</f>
        <v>1.0423243169238592</v>
      </c>
      <c r="J59" s="678">
        <f>+J37/AJ37</f>
        <v>1.1018175657687748</v>
      </c>
      <c r="K59" s="678">
        <f>+K37/AK37</f>
        <v>0</v>
      </c>
      <c r="M59" s="179"/>
      <c r="O59" s="178"/>
    </row>
    <row r="60" spans="4:45" s="576" customFormat="1" x14ac:dyDescent="0.25">
      <c r="M60" s="179"/>
      <c r="O60" s="178"/>
    </row>
    <row r="61" spans="4:45" s="576" customFormat="1" x14ac:dyDescent="0.25">
      <c r="M61" s="179"/>
      <c r="O61" s="178"/>
    </row>
    <row r="62" spans="4:45" s="576" customFormat="1" x14ac:dyDescent="0.25">
      <c r="M62" s="179"/>
      <c r="O62" s="178"/>
    </row>
    <row r="63" spans="4:45" s="576" customFormat="1" x14ac:dyDescent="0.25">
      <c r="M63" s="179"/>
      <c r="O63" s="178"/>
    </row>
    <row r="64" spans="4:45" s="576" customFormat="1" x14ac:dyDescent="0.25">
      <c r="M64" s="179"/>
      <c r="O64" s="178"/>
    </row>
    <row r="65" spans="13:15" s="576" customFormat="1" x14ac:dyDescent="0.25">
      <c r="M65" s="179"/>
      <c r="O65" s="178"/>
    </row>
    <row r="66" spans="13:15" s="576" customFormat="1" x14ac:dyDescent="0.25">
      <c r="M66" s="179"/>
      <c r="O66" s="178"/>
    </row>
    <row r="67" spans="13:15" s="576" customFormat="1" x14ac:dyDescent="0.25">
      <c r="M67" s="179"/>
      <c r="O67" s="178"/>
    </row>
    <row r="68" spans="13:15" s="576" customFormat="1" x14ac:dyDescent="0.25">
      <c r="M68" s="179"/>
      <c r="O68" s="178"/>
    </row>
    <row r="69" spans="13:15" s="576" customFormat="1" x14ac:dyDescent="0.25">
      <c r="M69" s="179"/>
      <c r="O69" s="178"/>
    </row>
    <row r="70" spans="13:15" s="576" customFormat="1" x14ac:dyDescent="0.25">
      <c r="M70" s="179"/>
      <c r="O70" s="178"/>
    </row>
    <row r="71" spans="13:15" s="576" customFormat="1" x14ac:dyDescent="0.25">
      <c r="M71" s="179"/>
      <c r="O71" s="178"/>
    </row>
    <row r="72" spans="13:15" s="576" customFormat="1" x14ac:dyDescent="0.25">
      <c r="M72" s="179"/>
      <c r="O72" s="178"/>
    </row>
    <row r="73" spans="13:15" s="576" customFormat="1" x14ac:dyDescent="0.25">
      <c r="M73" s="179"/>
      <c r="O73" s="178"/>
    </row>
    <row r="74" spans="13:15" s="576" customFormat="1" x14ac:dyDescent="0.25">
      <c r="M74" s="179"/>
      <c r="O74" s="178"/>
    </row>
    <row r="75" spans="13:15" s="576" customFormat="1" x14ac:dyDescent="0.25">
      <c r="M75" s="179"/>
      <c r="O75" s="178"/>
    </row>
    <row r="76" spans="13:15" s="576" customFormat="1" x14ac:dyDescent="0.25">
      <c r="M76" s="179"/>
      <c r="O76" s="178"/>
    </row>
    <row r="77" spans="13:15" s="576" customFormat="1" x14ac:dyDescent="0.25">
      <c r="M77" s="179"/>
      <c r="O77" s="178"/>
    </row>
    <row r="78" spans="13:15" s="576" customFormat="1" x14ac:dyDescent="0.25">
      <c r="M78" s="179"/>
      <c r="O78" s="178"/>
    </row>
    <row r="79" spans="13:15" s="576" customFormat="1" x14ac:dyDescent="0.25">
      <c r="M79" s="179"/>
      <c r="O79" s="178"/>
    </row>
    <row r="80" spans="13:15" s="576" customFormat="1" x14ac:dyDescent="0.25">
      <c r="M80" s="179"/>
      <c r="O80" s="178"/>
    </row>
    <row r="81" spans="13:15" s="576" customFormat="1" x14ac:dyDescent="0.25">
      <c r="M81" s="179"/>
      <c r="O81" s="178"/>
    </row>
    <row r="82" spans="13:15" s="576" customFormat="1" x14ac:dyDescent="0.25">
      <c r="M82" s="179"/>
      <c r="O82" s="178"/>
    </row>
    <row r="83" spans="13:15" s="576" customFormat="1" x14ac:dyDescent="0.25">
      <c r="M83" s="179"/>
      <c r="O83" s="178"/>
    </row>
    <row r="84" spans="13:15" s="576" customFormat="1" x14ac:dyDescent="0.25">
      <c r="M84" s="179"/>
      <c r="O84" s="178"/>
    </row>
    <row r="85" spans="13:15" s="576" customFormat="1" x14ac:dyDescent="0.25">
      <c r="M85" s="179"/>
      <c r="O85" s="178"/>
    </row>
    <row r="86" spans="13:15" s="576" customFormat="1" x14ac:dyDescent="0.25">
      <c r="M86" s="179"/>
      <c r="O86" s="178"/>
    </row>
    <row r="87" spans="13:15" s="576" customFormat="1" x14ac:dyDescent="0.25">
      <c r="M87" s="179"/>
      <c r="O87" s="178"/>
    </row>
    <row r="88" spans="13:15" s="576" customFormat="1" x14ac:dyDescent="0.25">
      <c r="M88" s="179"/>
      <c r="O88" s="178"/>
    </row>
    <row r="89" spans="13:15" s="576" customFormat="1" x14ac:dyDescent="0.25">
      <c r="M89" s="179"/>
      <c r="O89" s="178"/>
    </row>
    <row r="90" spans="13:15" s="576" customFormat="1" x14ac:dyDescent="0.25">
      <c r="M90" s="179"/>
      <c r="O90" s="178"/>
    </row>
    <row r="91" spans="13:15" s="576" customFormat="1" x14ac:dyDescent="0.25">
      <c r="M91" s="179"/>
      <c r="O91" s="178"/>
    </row>
    <row r="92" spans="13:15" s="576" customFormat="1" x14ac:dyDescent="0.25">
      <c r="M92" s="179"/>
      <c r="O92" s="178"/>
    </row>
    <row r="93" spans="13:15" s="576" customFormat="1" x14ac:dyDescent="0.25">
      <c r="M93" s="179"/>
      <c r="O93" s="178"/>
    </row>
    <row r="94" spans="13:15" s="576" customFormat="1" x14ac:dyDescent="0.25">
      <c r="M94" s="179"/>
      <c r="O94" s="178"/>
    </row>
    <row r="95" spans="13:15" s="576" customFormat="1" x14ac:dyDescent="0.25">
      <c r="M95" s="179"/>
      <c r="O95" s="178"/>
    </row>
    <row r="96" spans="13:15" s="576" customFormat="1" x14ac:dyDescent="0.25">
      <c r="M96" s="179"/>
      <c r="O96" s="178"/>
    </row>
    <row r="97" spans="7:15" s="576" customFormat="1" x14ac:dyDescent="0.25">
      <c r="M97" s="179"/>
      <c r="O97" s="178"/>
    </row>
    <row r="98" spans="7:15" s="576" customFormat="1" x14ac:dyDescent="0.25">
      <c r="M98" s="179"/>
      <c r="O98" s="178"/>
    </row>
    <row r="99" spans="7:15" s="576" customFormat="1" x14ac:dyDescent="0.25">
      <c r="M99" s="179"/>
      <c r="O99" s="178"/>
    </row>
    <row r="100" spans="7:15" s="576" customFormat="1" x14ac:dyDescent="0.25">
      <c r="M100" s="179"/>
      <c r="O100" s="178"/>
    </row>
    <row r="101" spans="7:15" s="576" customFormat="1" x14ac:dyDescent="0.25">
      <c r="M101" s="179"/>
      <c r="O101" s="178"/>
    </row>
    <row r="102" spans="7:15" s="576" customFormat="1" x14ac:dyDescent="0.25">
      <c r="M102" s="179"/>
      <c r="O102" s="178"/>
    </row>
    <row r="103" spans="7:15" s="576" customFormat="1" x14ac:dyDescent="0.25">
      <c r="M103" s="179"/>
      <c r="O103" s="178"/>
    </row>
    <row r="104" spans="7:15" s="576" customFormat="1" x14ac:dyDescent="0.25">
      <c r="M104" s="179"/>
      <c r="O104" s="178"/>
    </row>
    <row r="105" spans="7:15" s="576" customFormat="1" x14ac:dyDescent="0.25">
      <c r="M105" s="179"/>
      <c r="O105" s="178"/>
    </row>
    <row r="106" spans="7:15" s="576" customFormat="1" x14ac:dyDescent="0.25">
      <c r="M106" s="179"/>
      <c r="O106" s="178"/>
    </row>
    <row r="107" spans="7:15" s="576" customFormat="1" x14ac:dyDescent="0.25">
      <c r="M107" s="179"/>
      <c r="O107" s="178"/>
    </row>
    <row r="108" spans="7:15" s="576" customFormat="1" x14ac:dyDescent="0.25">
      <c r="M108" s="179"/>
      <c r="O108" s="178"/>
    </row>
    <row r="109" spans="7:15" s="576" customFormat="1" x14ac:dyDescent="0.25">
      <c r="M109" s="179"/>
      <c r="O109" s="178"/>
    </row>
    <row r="110" spans="7:15" s="576" customFormat="1" x14ac:dyDescent="0.25">
      <c r="G110" s="576" t="s">
        <v>519</v>
      </c>
      <c r="M110" s="179"/>
      <c r="O110" s="178"/>
    </row>
    <row r="111" spans="7:15" s="576" customFormat="1" x14ac:dyDescent="0.25">
      <c r="M111" s="179"/>
      <c r="O111" s="178"/>
    </row>
    <row r="133" spans="7:7" x14ac:dyDescent="0.25">
      <c r="G133" s="574" t="s">
        <v>520</v>
      </c>
    </row>
    <row r="154" spans="7:7" x14ac:dyDescent="0.25">
      <c r="G154" s="576" t="s">
        <v>523</v>
      </c>
    </row>
    <row r="175" spans="7:7" x14ac:dyDescent="0.25">
      <c r="G175" s="574" t="s">
        <v>524</v>
      </c>
    </row>
  </sheetData>
  <autoFilter ref="A3:D37"/>
  <mergeCells count="3">
    <mergeCell ref="G2:S2"/>
    <mergeCell ref="T2:AF2"/>
    <mergeCell ref="AG2:AS2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1:BG65"/>
  <sheetViews>
    <sheetView workbookViewId="0">
      <selection activeCell="AQ4" sqref="AQ4"/>
    </sheetView>
  </sheetViews>
  <sheetFormatPr defaultColWidth="8.7109375" defaultRowHeight="12.75" outlineLevelCol="1" x14ac:dyDescent="0.2"/>
  <cols>
    <col min="1" max="1" width="24.5703125" style="365" bestFit="1" customWidth="1"/>
    <col min="2" max="2" width="8.7109375" style="365"/>
    <col min="3" max="14" width="9.42578125" style="365" hidden="1" customWidth="1" outlineLevel="1"/>
    <col min="15" max="15" width="8.7109375" style="365" collapsed="1"/>
    <col min="16" max="27" width="9.42578125" style="365" hidden="1" customWidth="1" outlineLevel="1"/>
    <col min="28" max="28" width="8.7109375" style="365" collapsed="1"/>
    <col min="29" max="40" width="9.42578125" style="365" hidden="1" customWidth="1" outlineLevel="1"/>
    <col min="41" max="41" width="8.7109375" style="365" collapsed="1"/>
    <col min="42" max="43" width="9.140625" style="365" bestFit="1" customWidth="1"/>
    <col min="44" max="55" width="8.7109375" style="365"/>
    <col min="56" max="56" width="11.42578125" style="365" bestFit="1" customWidth="1"/>
    <col min="57" max="58" width="8.7109375" style="365"/>
    <col min="59" max="59" width="10.42578125" style="365" bestFit="1" customWidth="1"/>
    <col min="60" max="16384" width="8.7109375" style="365"/>
  </cols>
  <sheetData>
    <row r="1" spans="1:59" ht="15" x14ac:dyDescent="0.25">
      <c r="C1" s="867" t="s">
        <v>308</v>
      </c>
      <c r="D1" s="868"/>
      <c r="E1" s="868"/>
      <c r="F1" s="868"/>
      <c r="G1" s="868"/>
      <c r="H1" s="868"/>
      <c r="I1" s="868"/>
      <c r="J1" s="868"/>
      <c r="K1" s="868"/>
      <c r="L1" s="868"/>
      <c r="M1" s="868"/>
      <c r="N1" s="868"/>
      <c r="O1" s="868"/>
      <c r="P1" s="869" t="s">
        <v>309</v>
      </c>
      <c r="Q1" s="870"/>
      <c r="R1" s="870"/>
      <c r="S1" s="870"/>
      <c r="T1" s="870"/>
      <c r="U1" s="870"/>
      <c r="V1" s="870"/>
      <c r="W1" s="870"/>
      <c r="X1" s="870"/>
      <c r="Y1" s="870"/>
      <c r="Z1" s="870"/>
      <c r="AA1" s="870"/>
      <c r="AB1" s="871"/>
      <c r="AC1" s="872" t="s">
        <v>310</v>
      </c>
      <c r="AD1" s="873"/>
      <c r="AE1" s="873"/>
      <c r="AF1" s="873"/>
      <c r="AG1" s="873"/>
      <c r="AH1" s="873"/>
      <c r="AI1" s="873"/>
      <c r="AJ1" s="873"/>
      <c r="AK1" s="873"/>
      <c r="AL1" s="873"/>
      <c r="AM1" s="873"/>
      <c r="AN1" s="873"/>
      <c r="AO1" s="874"/>
      <c r="AP1" s="875" t="s">
        <v>469</v>
      </c>
      <c r="AQ1" s="876"/>
      <c r="AR1" s="876"/>
      <c r="AS1" s="876"/>
      <c r="AT1" s="876"/>
      <c r="AU1" s="876"/>
      <c r="AV1" s="876"/>
      <c r="AW1" s="876"/>
      <c r="AX1" s="876"/>
      <c r="AY1" s="876"/>
      <c r="AZ1" s="876"/>
      <c r="BA1" s="876"/>
      <c r="BB1" s="877"/>
      <c r="BC1" s="698"/>
      <c r="BD1" s="201"/>
    </row>
    <row r="2" spans="1:59" ht="15" x14ac:dyDescent="0.25">
      <c r="B2" s="365" t="s">
        <v>467</v>
      </c>
      <c r="C2" s="699">
        <v>23</v>
      </c>
      <c r="D2" s="699">
        <v>21</v>
      </c>
      <c r="E2" s="699">
        <v>22</v>
      </c>
      <c r="F2" s="699">
        <v>23</v>
      </c>
      <c r="G2" s="699">
        <v>20</v>
      </c>
      <c r="H2" s="699">
        <v>22</v>
      </c>
      <c r="I2" s="699">
        <v>22</v>
      </c>
      <c r="J2" s="699">
        <v>21</v>
      </c>
      <c r="K2" s="699">
        <v>22</v>
      </c>
      <c r="L2" s="699">
        <v>23</v>
      </c>
      <c r="M2" s="699">
        <v>21</v>
      </c>
      <c r="N2" s="699">
        <v>22</v>
      </c>
      <c r="O2" s="700"/>
      <c r="P2" s="700">
        <v>23</v>
      </c>
      <c r="Q2" s="700">
        <v>21</v>
      </c>
      <c r="R2" s="700">
        <v>22</v>
      </c>
      <c r="S2" s="700">
        <v>23</v>
      </c>
      <c r="T2" s="700">
        <v>20</v>
      </c>
      <c r="U2" s="700">
        <v>22</v>
      </c>
      <c r="V2" s="700">
        <v>22</v>
      </c>
      <c r="W2" s="700">
        <v>21</v>
      </c>
      <c r="X2" s="700">
        <v>22</v>
      </c>
      <c r="Y2" s="700">
        <v>23</v>
      </c>
      <c r="Z2" s="700">
        <v>21</v>
      </c>
      <c r="AA2" s="700">
        <v>22</v>
      </c>
      <c r="AB2" s="700"/>
      <c r="AC2" s="700">
        <v>23</v>
      </c>
      <c r="AD2" s="700">
        <v>21</v>
      </c>
      <c r="AE2" s="700">
        <v>22</v>
      </c>
      <c r="AF2" s="700">
        <v>23</v>
      </c>
      <c r="AG2" s="700">
        <v>20</v>
      </c>
      <c r="AH2" s="700">
        <v>22</v>
      </c>
      <c r="AI2" s="700">
        <v>22</v>
      </c>
      <c r="AJ2" s="700">
        <v>21</v>
      </c>
      <c r="AK2" s="700">
        <v>22</v>
      </c>
      <c r="AL2" s="700">
        <v>23</v>
      </c>
      <c r="AM2" s="700">
        <v>21</v>
      </c>
      <c r="AN2" s="700">
        <v>22</v>
      </c>
      <c r="AO2" s="700"/>
      <c r="AP2" s="700"/>
      <c r="AQ2" s="700"/>
      <c r="AR2" s="700"/>
      <c r="AS2" s="700"/>
      <c r="AT2" s="700"/>
      <c r="AU2" s="700"/>
      <c r="AV2" s="700"/>
      <c r="AW2" s="700"/>
      <c r="AX2" s="700"/>
      <c r="AY2" s="700"/>
      <c r="AZ2" s="700"/>
      <c r="BA2" s="700"/>
      <c r="BB2" s="700"/>
      <c r="BC2" s="701">
        <f>SUM(AP2:BB2)</f>
        <v>0</v>
      </c>
      <c r="BD2" s="203"/>
    </row>
    <row r="3" spans="1:59" ht="39" x14ac:dyDescent="0.25">
      <c r="A3" s="702" t="s">
        <v>311</v>
      </c>
      <c r="B3" s="703" t="s">
        <v>468</v>
      </c>
      <c r="C3" s="704">
        <v>44470</v>
      </c>
      <c r="D3" s="704">
        <v>44501</v>
      </c>
      <c r="E3" s="704">
        <v>44531</v>
      </c>
      <c r="F3" s="704">
        <v>44562</v>
      </c>
      <c r="G3" s="704">
        <v>44593</v>
      </c>
      <c r="H3" s="704">
        <v>44621</v>
      </c>
      <c r="I3" s="704">
        <v>44652</v>
      </c>
      <c r="J3" s="704">
        <v>44682</v>
      </c>
      <c r="K3" s="704">
        <v>44713</v>
      </c>
      <c r="L3" s="704">
        <v>44743</v>
      </c>
      <c r="M3" s="704">
        <v>44774</v>
      </c>
      <c r="N3" s="704">
        <v>44805</v>
      </c>
      <c r="O3" s="705" t="s">
        <v>315</v>
      </c>
      <c r="P3" s="704">
        <v>43739</v>
      </c>
      <c r="Q3" s="704">
        <v>43770</v>
      </c>
      <c r="R3" s="704">
        <v>43800</v>
      </c>
      <c r="S3" s="704">
        <v>43831</v>
      </c>
      <c r="T3" s="704">
        <v>43862</v>
      </c>
      <c r="U3" s="704">
        <v>43891</v>
      </c>
      <c r="V3" s="704">
        <v>43922</v>
      </c>
      <c r="W3" s="704">
        <v>43952</v>
      </c>
      <c r="X3" s="704">
        <v>43983</v>
      </c>
      <c r="Y3" s="704">
        <v>44013</v>
      </c>
      <c r="Z3" s="704">
        <v>44044</v>
      </c>
      <c r="AA3" s="704">
        <v>44075</v>
      </c>
      <c r="AB3" s="705" t="s">
        <v>272</v>
      </c>
      <c r="AC3" s="704">
        <v>44105</v>
      </c>
      <c r="AD3" s="704">
        <v>44136</v>
      </c>
      <c r="AE3" s="704">
        <v>44166</v>
      </c>
      <c r="AF3" s="704">
        <v>44197</v>
      </c>
      <c r="AG3" s="704">
        <v>44228</v>
      </c>
      <c r="AH3" s="704">
        <v>44256</v>
      </c>
      <c r="AI3" s="704">
        <v>44287</v>
      </c>
      <c r="AJ3" s="704">
        <v>44317</v>
      </c>
      <c r="AK3" s="704">
        <v>44348</v>
      </c>
      <c r="AL3" s="704">
        <v>44378</v>
      </c>
      <c r="AM3" s="704">
        <v>44409</v>
      </c>
      <c r="AN3" s="704">
        <v>44440</v>
      </c>
      <c r="AO3" s="705" t="s">
        <v>272</v>
      </c>
      <c r="AP3" s="704">
        <v>44835</v>
      </c>
      <c r="AQ3" s="704">
        <v>44866</v>
      </c>
      <c r="AR3" s="704">
        <v>44896</v>
      </c>
      <c r="AS3" s="704">
        <v>44927</v>
      </c>
      <c r="AT3" s="704">
        <v>44958</v>
      </c>
      <c r="AU3" s="704">
        <v>44986</v>
      </c>
      <c r="AV3" s="704">
        <v>45017</v>
      </c>
      <c r="AW3" s="704">
        <v>45047</v>
      </c>
      <c r="AX3" s="704">
        <v>45078</v>
      </c>
      <c r="AY3" s="704">
        <v>45108</v>
      </c>
      <c r="AZ3" s="704">
        <v>45139</v>
      </c>
      <c r="BA3" s="704">
        <v>45170</v>
      </c>
      <c r="BB3" s="705" t="s">
        <v>315</v>
      </c>
      <c r="BC3" s="706" t="s">
        <v>272</v>
      </c>
      <c r="BD3" s="203" t="s">
        <v>470</v>
      </c>
      <c r="BE3" s="483" t="s">
        <v>471</v>
      </c>
      <c r="BF3" s="483" t="s">
        <v>473</v>
      </c>
      <c r="BG3" s="196" t="s">
        <v>472</v>
      </c>
    </row>
    <row r="4" spans="1:59" ht="15" x14ac:dyDescent="0.25">
      <c r="A4" s="703" t="s">
        <v>316</v>
      </c>
      <c r="B4" s="707" t="s">
        <v>202</v>
      </c>
      <c r="C4" s="430">
        <f>IFERROR(SUMIF('Mngt-Payroll'!$AZ:$AZ,'FTE analysis'!$A4,'Mngt-Payroll'!G:G)/SUMIFS(FTE!H:H,FTE!$A:$A,'FTE analysis'!$A4,FTE!$B:$B,'FTE analysis'!$B4)/C$2,0)</f>
        <v>208.43060009223399</v>
      </c>
      <c r="D4" s="430">
        <f>IFERROR(SUMIF('Mngt-Payroll'!$AZ:$AZ,'FTE analysis'!$A4,'Mngt-Payroll'!H:H)/SUMIFS(FTE!I:I,FTE!$A:$A,'FTE analysis'!$A4,FTE!$B:$B,'FTE analysis'!$B4)/D$2,0)</f>
        <v>289.90076419807644</v>
      </c>
      <c r="E4" s="430">
        <f>IFERROR(SUMIF('Mngt-Payroll'!$AZ:$AZ,'FTE analysis'!$A4,'Mngt-Payroll'!I:I)/SUMIFS(FTE!J:J,FTE!$A:$A,'FTE analysis'!$A4,FTE!$B:$B,'FTE analysis'!$B4)/E$2,0)</f>
        <v>285.50212261444909</v>
      </c>
      <c r="F4" s="430">
        <f>IFERROR(SUMIF('Mngt-Payroll'!$AZ:$AZ,'FTE analysis'!$A4,'Mngt-Payroll'!J:J)/SUMIFS(FTE!K:K,FTE!$A:$A,'FTE analysis'!$A4,FTE!$B:$B,'FTE analysis'!$B4)/F$2,0)</f>
        <v>221.22635435987175</v>
      </c>
      <c r="G4" s="430">
        <f>IFERROR(SUMIF('Mngt-Payroll'!$AZ:$AZ,'FTE analysis'!$A4,'Mngt-Payroll'!K:K)/SUMIFS(FTE!L:L,FTE!$A:$A,'FTE analysis'!$A4,FTE!$B:$B,'FTE analysis'!$B4)/G$2,0)</f>
        <v>0</v>
      </c>
      <c r="H4" s="430">
        <f>IFERROR(SUMIF('Mngt-Payroll'!$AZ:$AZ,'FTE analysis'!$A4,'Mngt-Payroll'!L:L)/SUMIFS(FTE!M:M,FTE!$A:$A,'FTE analysis'!$A4,FTE!$B:$B,'FTE analysis'!$B4)/H$2,0)</f>
        <v>0</v>
      </c>
      <c r="I4" s="430">
        <f>IFERROR(SUMIF('Mngt-Payroll'!$AZ:$AZ,'FTE analysis'!$A4,'Mngt-Payroll'!M:M)/SUMIFS(FTE!N:N,FTE!$A:$A,'FTE analysis'!$A4,FTE!$B:$B,'FTE analysis'!$B4)/I$2,0)</f>
        <v>0</v>
      </c>
      <c r="J4" s="430">
        <f>IFERROR(SUMIF('Mngt-Payroll'!$AZ:$AZ,'FTE analysis'!$A4,'Mngt-Payroll'!N:N)/SUMIFS(FTE!O:O,FTE!$A:$A,'FTE analysis'!$A4,FTE!$B:$B,'FTE analysis'!$B4)/J$2,0)</f>
        <v>0</v>
      </c>
      <c r="K4" s="430">
        <f>IFERROR(SUMIF('Mngt-Payroll'!$AZ:$AZ,'FTE analysis'!$A4,'Mngt-Payroll'!O:O)/SUMIFS(FTE!P:P,FTE!$A:$A,'FTE analysis'!$A4,FTE!$B:$B,'FTE analysis'!$B4)/K$2,0)</f>
        <v>0</v>
      </c>
      <c r="L4" s="430">
        <f>IFERROR(SUMIF('Mngt-Payroll'!$AZ:$AZ,'FTE analysis'!$A4,'Mngt-Payroll'!P:P)/SUMIFS(FTE!Q:Q,FTE!$A:$A,'FTE analysis'!$A4,FTE!$B:$B,'FTE analysis'!$B4)/L$2,0)</f>
        <v>0</v>
      </c>
      <c r="M4" s="430">
        <f>IFERROR(SUMIF('Mngt-Payroll'!$AZ:$AZ,'FTE analysis'!$A4,'Mngt-Payroll'!Q:Q)/SUMIFS(FTE!R:R,FTE!$A:$A,'FTE analysis'!$A4,FTE!$B:$B,'FTE analysis'!$B4)/M$2,0)</f>
        <v>0</v>
      </c>
      <c r="N4" s="430">
        <f>IFERROR(SUMIF('Mngt-Payroll'!$AZ:$AZ,'FTE analysis'!$A4,'Mngt-Payroll'!R:R)/SUMIFS(FTE!S:S,FTE!$A:$A,'FTE analysis'!$A4,FTE!$B:$B,'FTE analysis'!$B4)/N$2,0)</f>
        <v>0</v>
      </c>
      <c r="O4" s="430">
        <f>SUM(C4:D4)/2</f>
        <v>249.16568214515522</v>
      </c>
      <c r="P4" s="430">
        <f>IFERROR(SUMIF('Mngt-Payroll'!$AZ:$AZ,'FTE analysis'!$A4,'Mngt-Payroll'!U:U)/SUMIFS(FTE!U:U,FTE!$A:$A,'FTE analysis'!$A4,FTE!$B:$B,'FTE analysis'!$B4)/P$2,0)</f>
        <v>0</v>
      </c>
      <c r="Q4" s="430">
        <f>IFERROR(SUMIF('Mngt-Payroll'!$AZ:$AZ,'FTE analysis'!$A4,'Mngt-Payroll'!V:V)/SUMIFS(FTE!V:V,FTE!$A:$A,'FTE analysis'!$A4,FTE!$B:$B,'FTE analysis'!$B4)/Q$2,0)</f>
        <v>0</v>
      </c>
      <c r="R4" s="430">
        <f>IFERROR(SUMIF('Mngt-Payroll'!$AZ:$AZ,'FTE analysis'!$A4,'Mngt-Payroll'!W:W)/SUMIFS(FTE!W:W,FTE!$A:$A,'FTE analysis'!$A4,FTE!$B:$B,'FTE analysis'!$B4)/R$2,0)</f>
        <v>0</v>
      </c>
      <c r="S4" s="430">
        <f>IFERROR(SUMIF('Mngt-Payroll'!$AZ:$AZ,'FTE analysis'!$A4,'Mngt-Payroll'!X:X)/SUMIFS(FTE!X:X,FTE!$A:$A,'FTE analysis'!$A4,FTE!$B:$B,'FTE analysis'!$B4)/S$2,0)</f>
        <v>0</v>
      </c>
      <c r="T4" s="430">
        <f>IFERROR(SUMIF('Mngt-Payroll'!$AZ:$AZ,'FTE analysis'!$A4,'Mngt-Payroll'!Y:Y)/SUMIFS(FTE!Y:Y,FTE!$A:$A,'FTE analysis'!$A4,FTE!$B:$B,'FTE analysis'!$B4)/T$2,0)</f>
        <v>0</v>
      </c>
      <c r="U4" s="430">
        <f>IFERROR(SUMIF('Mngt-Payroll'!$AZ:$AZ,'FTE analysis'!$A4,'Mngt-Payroll'!Z:Z)/SUMIFS(FTE!Z:Z,FTE!$A:$A,'FTE analysis'!$A4,FTE!$B:$B,'FTE analysis'!$B4)/U$2,0)</f>
        <v>0</v>
      </c>
      <c r="V4" s="430">
        <f>IFERROR(SUMIF('Mngt-Payroll'!$AZ:$AZ,'FTE analysis'!$A4,'Mngt-Payroll'!AA:AA)/SUMIFS(FTE!AA:AA,FTE!$A:$A,'FTE analysis'!$A4,FTE!$B:$B,'FTE analysis'!$B4)/V$2,0)</f>
        <v>0</v>
      </c>
      <c r="W4" s="430">
        <f>IFERROR(SUMIF('Mngt-Payroll'!$AZ:$AZ,'FTE analysis'!$A4,'Mngt-Payroll'!AB:AB)/SUMIFS(FTE!AB:AB,FTE!$A:$A,'FTE analysis'!$A4,FTE!$B:$B,'FTE analysis'!$B4)/W$2,0)</f>
        <v>0</v>
      </c>
      <c r="X4" s="430">
        <f>IFERROR(SUMIF('Mngt-Payroll'!$AZ:$AZ,'FTE analysis'!$A4,'Mngt-Payroll'!AC:AC)/SUMIFS(FTE!AC:AC,FTE!$A:$A,'FTE analysis'!$A4,FTE!$B:$B,'FTE analysis'!$B4)/X$2,0)</f>
        <v>0</v>
      </c>
      <c r="Y4" s="430">
        <f>IFERROR(SUMIF('Mngt-Payroll'!$AZ:$AZ,'FTE analysis'!$A4,'Mngt-Payroll'!AD:AD)/SUMIFS(FTE!AD:AD,FTE!$A:$A,'FTE analysis'!$A4,FTE!$B:$B,'FTE analysis'!$B4)/Y$2,0)</f>
        <v>0</v>
      </c>
      <c r="Z4" s="430">
        <f>IFERROR(SUMIF('Mngt-Payroll'!$AZ:$AZ,'FTE analysis'!$A4,'Mngt-Payroll'!AE:AE)/SUMIFS(FTE!AE:AE,FTE!$A:$A,'FTE analysis'!$A4,FTE!$B:$B,'FTE analysis'!$B4)/Z$2,0)</f>
        <v>0</v>
      </c>
      <c r="AA4" s="430">
        <f>IFERROR(SUMIF('Mngt-Payroll'!$AZ:$AZ,'FTE analysis'!$A4,'Mngt-Payroll'!AF:AF)/SUMIFS(FTE!AF:AF,FTE!$A:$A,'FTE analysis'!$A4,FTE!$B:$B,'FTE analysis'!$B4)/AA$2,0)</f>
        <v>0</v>
      </c>
      <c r="AB4" s="430">
        <f>SUM(P4:Q4)/2</f>
        <v>0</v>
      </c>
      <c r="AC4" s="430">
        <f>IFERROR(SUMIF('Mngt-Payroll'!$AZ:$AZ,'FTE analysis'!$A4,'Mngt-Payroll'!AH:AH)/SUMIFS(FTE!AH:AH,FTE!$A:$A,'FTE analysis'!$A4,FTE!$B:$B,'FTE analysis'!$B4)/AC$2,0)</f>
        <v>262.00100701321253</v>
      </c>
      <c r="AD4" s="430">
        <f>IFERROR(SUMIF('Mngt-Payroll'!$AZ:$AZ,'FTE analysis'!$A4,'Mngt-Payroll'!AI:AI)/SUMIFS(FTE!AI:AI,FTE!$A:$A,'FTE analysis'!$A4,FTE!$B:$B,'FTE analysis'!$B4)/AD$2,0)</f>
        <v>489.22905364677518</v>
      </c>
      <c r="AE4" s="430">
        <f>IFERROR(SUMIF('Mngt-Payroll'!$AZ:$AZ,'FTE analysis'!$A4,'Mngt-Payroll'!AJ:AJ)/SUMIFS(FTE!AJ:AJ,FTE!$A:$A,'FTE analysis'!$A4,FTE!$B:$B,'FTE analysis'!$B4)/AE$2,0)</f>
        <v>291.10016090104585</v>
      </c>
      <c r="AF4" s="430">
        <f>IFERROR(SUMIF('Mngt-Payroll'!$AZ:$AZ,'FTE analysis'!$A4,'Mngt-Payroll'!AK:AK)/SUMIFS(FTE!AK:AK,FTE!$A:$A,'FTE analysis'!$A4,FTE!$B:$B,'FTE analysis'!$B4)/AF$2,0)</f>
        <v>223.0249768732655</v>
      </c>
      <c r="AG4" s="430">
        <f>IFERROR(SUMIF('Mngt-Payroll'!$AZ:$AZ,'FTE analysis'!$A4,'Mngt-Payroll'!AL:AL)/SUMIFS(FTE!AL:AL,FTE!$A:$A,'FTE analysis'!$A4,FTE!$B:$B,'FTE analysis'!$B4)/AG$2,0)</f>
        <v>265.50328185328186</v>
      </c>
      <c r="AH4" s="430">
        <f>IFERROR(SUMIF('Mngt-Payroll'!$AZ:$AZ,'FTE analysis'!$A4,'Mngt-Payroll'!AM:AM)/SUMIFS(FTE!AM:AM,FTE!$A:$A,'FTE analysis'!$A4,FTE!$B:$B,'FTE analysis'!$B4)/AH$2,0)</f>
        <v>-100.24861207494796</v>
      </c>
      <c r="AI4" s="430">
        <f>IFERROR(SUMIF('Mngt-Payroll'!$AZ:$AZ,'FTE analysis'!$A4,'Mngt-Payroll'!AN:AN)/SUMIFS(FTE!AN:AN,FTE!$A:$A,'FTE analysis'!$A4,FTE!$B:$B,'FTE analysis'!$B4)/AI$2,0)</f>
        <v>228.02873563218392</v>
      </c>
      <c r="AJ4" s="430">
        <f>IFERROR(SUMIF('Mngt-Payroll'!$AZ:$AZ,'FTE analysis'!$A4,'Mngt-Payroll'!AO:AO)/SUMIFS(FTE!AO:AO,FTE!$A:$A,'FTE analysis'!$A4,FTE!$B:$B,'FTE analysis'!$B4)/AJ$2,0)</f>
        <v>69.405998763141625</v>
      </c>
      <c r="AK4" s="430">
        <f>IFERROR(SUMIF('Mngt-Payroll'!$AZ:$AZ,'FTE analysis'!$A4,'Mngt-Payroll'!AP:AP)/SUMIFS(FTE!AP:AP,FTE!$A:$A,'FTE analysis'!$A4,FTE!$B:$B,'FTE analysis'!$B4)/AK$2,0)</f>
        <v>239.02922077922082</v>
      </c>
      <c r="AL4" s="430">
        <f>IFERROR(SUMIF('Mngt-Payroll'!$AZ:$AZ,'FTE analysis'!$A4,'Mngt-Payroll'!AQ:AQ)/SUMIFS(FTE!AQ:AQ,FTE!$A:$A,'FTE analysis'!$A4,FTE!$B:$B,'FTE analysis'!$B4)/AL$2,0)</f>
        <v>250.84704033525406</v>
      </c>
      <c r="AM4" s="430">
        <f>IFERROR(SUMIF('Mngt-Payroll'!$AZ:$AZ,'FTE analysis'!$A4,'Mngt-Payroll'!AR:AR)/SUMIFS(FTE!AR:AR,FTE!$A:$A,'FTE analysis'!$A4,FTE!$B:$B,'FTE analysis'!$B4)/AM$2,0)</f>
        <v>239.7791164658635</v>
      </c>
      <c r="AN4" s="430">
        <f>IFERROR(SUMIF('Mngt-Payroll'!$AZ:$AZ,'FTE analysis'!$A4,'Mngt-Payroll'!AS:AS)/SUMIFS(FTE!AS:AS,FTE!$A:$A,'FTE analysis'!$A4,FTE!$B:$B,'FTE analysis'!$B4)/AN$2,0)</f>
        <v>2982.6929766168159</v>
      </c>
      <c r="AO4" s="430">
        <f>SUM(AC4:AD4)/2</f>
        <v>375.61503032999383</v>
      </c>
      <c r="AP4" s="139">
        <f>IFERROR(IF(C4&gt;0,C4-AC4,0),0)</f>
        <v>-53.570406920978542</v>
      </c>
      <c r="AQ4" s="139">
        <f>IFERROR(IF(D4&gt;0,D4-AD4,0),0)</f>
        <v>-199.32828944869874</v>
      </c>
      <c r="AR4" s="139">
        <f>IFERROR(IF(E4&gt;0,E4-AE4,0),0)</f>
        <v>-5.5980382865967613</v>
      </c>
      <c r="AS4" s="139">
        <f t="shared" ref="AS4:BA19" si="0">IFERROR(IF(F4&gt;0,F4-AF4,0),0)</f>
        <v>-1.7986225133937523</v>
      </c>
      <c r="AT4" s="139">
        <f t="shared" si="0"/>
        <v>0</v>
      </c>
      <c r="AU4" s="139">
        <f t="shared" si="0"/>
        <v>0</v>
      </c>
      <c r="AV4" s="139">
        <f t="shared" si="0"/>
        <v>0</v>
      </c>
      <c r="AW4" s="139">
        <f t="shared" si="0"/>
        <v>0</v>
      </c>
      <c r="AX4" s="139">
        <f t="shared" si="0"/>
        <v>0</v>
      </c>
      <c r="AY4" s="139">
        <f t="shared" si="0"/>
        <v>0</v>
      </c>
      <c r="AZ4" s="139">
        <f t="shared" si="0"/>
        <v>0</v>
      </c>
      <c r="BA4" s="139">
        <f t="shared" si="0"/>
        <v>0</v>
      </c>
      <c r="BB4" s="439">
        <f>SUM(AP4:AQ4)/2</f>
        <v>-126.44934818483864</v>
      </c>
      <c r="BC4" s="439"/>
      <c r="BD4" s="439">
        <f>SUM(BG4,BE4)</f>
        <v>0</v>
      </c>
      <c r="BE4" s="484">
        <f>BB4*$BC$2*SUMIFS(FTE!T:T,FTE!$A:$A,'FTE analysis'!$A4,FTE!$B:$B,'FTE analysis'!$B4)</f>
        <v>0</v>
      </c>
      <c r="BF4" s="484">
        <f>(SUMIFS(FTE!T:T,FTE!$A:$A,'FTE analysis'!$A4,FTE!$B:$B,'FTE analysis'!$B4)-SUMIFS(FTE!AT:AT,FTE!$A:$A,'FTE analysis'!$A4,FTE!$B:$B,'FTE analysis'!$B4))</f>
        <v>-1.0245087171052631</v>
      </c>
      <c r="BG4" s="418">
        <f>BF4*AO4*$BC$2</f>
        <v>0</v>
      </c>
    </row>
    <row r="5" spans="1:59" ht="15" x14ac:dyDescent="0.25">
      <c r="A5" s="703" t="s">
        <v>317</v>
      </c>
      <c r="B5" s="707" t="s">
        <v>202</v>
      </c>
      <c r="C5" s="430">
        <f>IFERROR(SUMIF('Mngt-Payroll'!$AZ:$AZ,'FTE analysis'!$A5,'Mngt-Payroll'!G:G)/SUMIFS(FTE!H:H,FTE!$A:$A,'FTE analysis'!$A5,FTE!$B:$B,'FTE analysis'!$B5)/C$2,0)</f>
        <v>0</v>
      </c>
      <c r="D5" s="430">
        <f>IFERROR(SUMIF('Mngt-Payroll'!$AZ:$AZ,'FTE analysis'!$A5,'Mngt-Payroll'!H:H)/SUMIFS(FTE!I:I,FTE!$A:$A,'FTE analysis'!$A5,FTE!$B:$B,'FTE analysis'!$B5)/D$2,0)</f>
        <v>0</v>
      </c>
      <c r="E5" s="430">
        <f>IFERROR(SUMIF('Mngt-Payroll'!$AZ:$AZ,'FTE analysis'!$A5,'Mngt-Payroll'!I:I)/SUMIFS(FTE!J:J,FTE!$A:$A,'FTE analysis'!$A5,FTE!$B:$B,'FTE analysis'!$B5)/E$2,0)</f>
        <v>0</v>
      </c>
      <c r="F5" s="430">
        <f>IFERROR(SUMIF('Mngt-Payroll'!$AZ:$AZ,'FTE analysis'!$A5,'Mngt-Payroll'!J:J)/SUMIFS(FTE!K:K,FTE!$A:$A,'FTE analysis'!$A5,FTE!$B:$B,'FTE analysis'!$B5)/F$2,0)</f>
        <v>0</v>
      </c>
      <c r="G5" s="430">
        <f>IFERROR(SUMIF('Mngt-Payroll'!$AZ:$AZ,'FTE analysis'!$A5,'Mngt-Payroll'!K:K)/SUMIFS(FTE!L:L,FTE!$A:$A,'FTE analysis'!$A5,FTE!$B:$B,'FTE analysis'!$B5)/G$2,0)</f>
        <v>0</v>
      </c>
      <c r="H5" s="430">
        <f>IFERROR(SUMIF('Mngt-Payroll'!$AZ:$AZ,'FTE analysis'!$A5,'Mngt-Payroll'!L:L)/SUMIFS(FTE!M:M,FTE!$A:$A,'FTE analysis'!$A5,FTE!$B:$B,'FTE analysis'!$B5)/H$2,0)</f>
        <v>0</v>
      </c>
      <c r="I5" s="430">
        <f>IFERROR(SUMIF('Mngt-Payroll'!$AZ:$AZ,'FTE analysis'!$A5,'Mngt-Payroll'!M:M)/SUMIFS(FTE!N:N,FTE!$A:$A,'FTE analysis'!$A5,FTE!$B:$B,'FTE analysis'!$B5)/I$2,0)</f>
        <v>0</v>
      </c>
      <c r="J5" s="430">
        <f>IFERROR(SUMIF('Mngt-Payroll'!$AZ:$AZ,'FTE analysis'!$A5,'Mngt-Payroll'!N:N)/SUMIFS(FTE!O:O,FTE!$A:$A,'FTE analysis'!$A5,FTE!$B:$B,'FTE analysis'!$B5)/J$2,0)</f>
        <v>0</v>
      </c>
      <c r="K5" s="430">
        <f>IFERROR(SUMIF('Mngt-Payroll'!$AZ:$AZ,'FTE analysis'!$A5,'Mngt-Payroll'!O:O)/SUMIFS(FTE!P:P,FTE!$A:$A,'FTE analysis'!$A5,FTE!$B:$B,'FTE analysis'!$B5)/K$2,0)</f>
        <v>0</v>
      </c>
      <c r="L5" s="430">
        <f>IFERROR(SUMIF('Mngt-Payroll'!$AZ:$AZ,'FTE analysis'!$A5,'Mngt-Payroll'!P:P)/SUMIFS(FTE!Q:Q,FTE!$A:$A,'FTE analysis'!$A5,FTE!$B:$B,'FTE analysis'!$B5)/L$2,0)</f>
        <v>0</v>
      </c>
      <c r="M5" s="430">
        <f>IFERROR(SUMIF('Mngt-Payroll'!$AZ:$AZ,'FTE analysis'!$A5,'Mngt-Payroll'!Q:Q)/SUMIFS(FTE!R:R,FTE!$A:$A,'FTE analysis'!$A5,FTE!$B:$B,'FTE analysis'!$B5)/M$2,0)</f>
        <v>0</v>
      </c>
      <c r="N5" s="430">
        <f>IFERROR(SUMIF('Mngt-Payroll'!$AZ:$AZ,'FTE analysis'!$A5,'Mngt-Payroll'!R:R)/SUMIFS(FTE!S:S,FTE!$A:$A,'FTE analysis'!$A5,FTE!$B:$B,'FTE analysis'!$B5)/N$2,0)</f>
        <v>0</v>
      </c>
      <c r="O5" s="430">
        <f t="shared" ref="O5:O36" si="1">SUM(C5:D5)/2</f>
        <v>0</v>
      </c>
      <c r="P5" s="430">
        <f>IFERROR(SUMIF('Mngt-Payroll'!$AZ:$AZ,'FTE analysis'!$A5,'Mngt-Payroll'!U:U)/SUMIFS(FTE!U:U,FTE!$A:$A,'FTE analysis'!$A5,FTE!$B:$B,'FTE analysis'!$B5)/P$2,0)</f>
        <v>0</v>
      </c>
      <c r="Q5" s="430">
        <f>IFERROR(SUMIF('Mngt-Payroll'!$AZ:$AZ,'FTE analysis'!$A5,'Mngt-Payroll'!V:V)/SUMIFS(FTE!V:V,FTE!$A:$A,'FTE analysis'!$A5,FTE!$B:$B,'FTE analysis'!$B5)/Q$2,0)</f>
        <v>0</v>
      </c>
      <c r="R5" s="430">
        <f>IFERROR(SUMIF('Mngt-Payroll'!$AZ:$AZ,'FTE analysis'!$A5,'Mngt-Payroll'!W:W)/SUMIFS(FTE!W:W,FTE!$A:$A,'FTE analysis'!$A5,FTE!$B:$B,'FTE analysis'!$B5)/R$2,0)</f>
        <v>0</v>
      </c>
      <c r="S5" s="430">
        <f>IFERROR(SUMIF('Mngt-Payroll'!$AZ:$AZ,'FTE analysis'!$A5,'Mngt-Payroll'!X:X)/SUMIFS(FTE!X:X,FTE!$A:$A,'FTE analysis'!$A5,FTE!$B:$B,'FTE analysis'!$B5)/S$2,0)</f>
        <v>0</v>
      </c>
      <c r="T5" s="430">
        <f>IFERROR(SUMIF('Mngt-Payroll'!$AZ:$AZ,'FTE analysis'!$A5,'Mngt-Payroll'!Y:Y)/SUMIFS(FTE!Y:Y,FTE!$A:$A,'FTE analysis'!$A5,FTE!$B:$B,'FTE analysis'!$B5)/T$2,0)</f>
        <v>0</v>
      </c>
      <c r="U5" s="430">
        <f>IFERROR(SUMIF('Mngt-Payroll'!$AZ:$AZ,'FTE analysis'!$A5,'Mngt-Payroll'!Z:Z)/SUMIFS(FTE!Z:Z,FTE!$A:$A,'FTE analysis'!$A5,FTE!$B:$B,'FTE analysis'!$B5)/U$2,0)</f>
        <v>0</v>
      </c>
      <c r="V5" s="430">
        <f>IFERROR(SUMIF('Mngt-Payroll'!$AZ:$AZ,'FTE analysis'!$A5,'Mngt-Payroll'!AA:AA)/SUMIFS(FTE!AA:AA,FTE!$A:$A,'FTE analysis'!$A5,FTE!$B:$B,'FTE analysis'!$B5)/V$2,0)</f>
        <v>0</v>
      </c>
      <c r="W5" s="430">
        <f>IFERROR(SUMIF('Mngt-Payroll'!$AZ:$AZ,'FTE analysis'!$A5,'Mngt-Payroll'!AB:AB)/SUMIFS(FTE!AB:AB,FTE!$A:$A,'FTE analysis'!$A5,FTE!$B:$B,'FTE analysis'!$B5)/W$2,0)</f>
        <v>0</v>
      </c>
      <c r="X5" s="430">
        <f>IFERROR(SUMIF('Mngt-Payroll'!$AZ:$AZ,'FTE analysis'!$A5,'Mngt-Payroll'!AC:AC)/SUMIFS(FTE!AC:AC,FTE!$A:$A,'FTE analysis'!$A5,FTE!$B:$B,'FTE analysis'!$B5)/X$2,0)</f>
        <v>0</v>
      </c>
      <c r="Y5" s="430">
        <f>IFERROR(SUMIF('Mngt-Payroll'!$AZ:$AZ,'FTE analysis'!$A5,'Mngt-Payroll'!AD:AD)/SUMIFS(FTE!AD:AD,FTE!$A:$A,'FTE analysis'!$A5,FTE!$B:$B,'FTE analysis'!$B5)/Y$2,0)</f>
        <v>0</v>
      </c>
      <c r="Z5" s="430">
        <f>IFERROR(SUMIF('Mngt-Payroll'!$AZ:$AZ,'FTE analysis'!$A5,'Mngt-Payroll'!AE:AE)/SUMIFS(FTE!AE:AE,FTE!$A:$A,'FTE analysis'!$A5,FTE!$B:$B,'FTE analysis'!$B5)/Z$2,0)</f>
        <v>0</v>
      </c>
      <c r="AA5" s="430">
        <f>IFERROR(SUMIF('Mngt-Payroll'!$AZ:$AZ,'FTE analysis'!$A5,'Mngt-Payroll'!AF:AF)/SUMIFS(FTE!AF:AF,FTE!$A:$A,'FTE analysis'!$A5,FTE!$B:$B,'FTE analysis'!$B5)/AA$2,0)</f>
        <v>0</v>
      </c>
      <c r="AB5" s="430">
        <f t="shared" ref="AB5:AB36" si="2">SUM(P5:Q5)/2</f>
        <v>0</v>
      </c>
      <c r="AC5" s="430">
        <f>IFERROR(SUMIF('Mngt-Payroll'!$AZ:$AZ,'FTE analysis'!$A5,'Mngt-Payroll'!AH:AH)/SUMIFS(FTE!AH:AH,FTE!$A:$A,'FTE analysis'!$A5,FTE!$B:$B,'FTE analysis'!$B5)/AC$2,0)</f>
        <v>0</v>
      </c>
      <c r="AD5" s="430">
        <f>IFERROR(SUMIF('Mngt-Payroll'!$AZ:$AZ,'FTE analysis'!$A5,'Mngt-Payroll'!AI:AI)/SUMIFS(FTE!AI:AI,FTE!$A:$A,'FTE analysis'!$A5,FTE!$B:$B,'FTE analysis'!$B5)/AD$2,0)</f>
        <v>0</v>
      </c>
      <c r="AE5" s="430">
        <f>IFERROR(SUMIF('Mngt-Payroll'!$AZ:$AZ,'FTE analysis'!$A5,'Mngt-Payroll'!AJ:AJ)/SUMIFS(FTE!AJ:AJ,FTE!$A:$A,'FTE analysis'!$A5,FTE!$B:$B,'FTE analysis'!$B5)/AE$2,0)</f>
        <v>0</v>
      </c>
      <c r="AF5" s="430">
        <f>IFERROR(SUMIF('Mngt-Payroll'!$AZ:$AZ,'FTE analysis'!$A5,'Mngt-Payroll'!AK:AK)/SUMIFS(FTE!AK:AK,FTE!$A:$A,'FTE analysis'!$A5,FTE!$B:$B,'FTE analysis'!$B5)/AF$2,0)</f>
        <v>0</v>
      </c>
      <c r="AG5" s="430">
        <f>IFERROR(SUMIF('Mngt-Payroll'!$AZ:$AZ,'FTE analysis'!$A5,'Mngt-Payroll'!AL:AL)/SUMIFS(FTE!AL:AL,FTE!$A:$A,'FTE analysis'!$A5,FTE!$B:$B,'FTE analysis'!$B5)/AG$2,0)</f>
        <v>0</v>
      </c>
      <c r="AH5" s="430">
        <f>IFERROR(SUMIF('Mngt-Payroll'!$AZ:$AZ,'FTE analysis'!$A5,'Mngt-Payroll'!AM:AM)/SUMIFS(FTE!AM:AM,FTE!$A:$A,'FTE analysis'!$A5,FTE!$B:$B,'FTE analysis'!$B5)/AH$2,0)</f>
        <v>0</v>
      </c>
      <c r="AI5" s="430">
        <f>IFERROR(SUMIF('Mngt-Payroll'!$AZ:$AZ,'FTE analysis'!$A5,'Mngt-Payroll'!AN:AN)/SUMIFS(FTE!AN:AN,FTE!$A:$A,'FTE analysis'!$A5,FTE!$B:$B,'FTE analysis'!$B5)/AI$2,0)</f>
        <v>0</v>
      </c>
      <c r="AJ5" s="430">
        <f>IFERROR(SUMIF('Mngt-Payroll'!$AZ:$AZ,'FTE analysis'!$A5,'Mngt-Payroll'!AO:AO)/SUMIFS(FTE!AO:AO,FTE!$A:$A,'FTE analysis'!$A5,FTE!$B:$B,'FTE analysis'!$B5)/AJ$2,0)</f>
        <v>0</v>
      </c>
      <c r="AK5" s="430">
        <f>IFERROR(SUMIF('Mngt-Payroll'!$AZ:$AZ,'FTE analysis'!$A5,'Mngt-Payroll'!AP:AP)/SUMIFS(FTE!AP:AP,FTE!$A:$A,'FTE analysis'!$A5,FTE!$B:$B,'FTE analysis'!$B5)/AK$2,0)</f>
        <v>0</v>
      </c>
      <c r="AL5" s="430">
        <f>IFERROR(SUMIF('Mngt-Payroll'!$AZ:$AZ,'FTE analysis'!$A5,'Mngt-Payroll'!AQ:AQ)/SUMIFS(FTE!AQ:AQ,FTE!$A:$A,'FTE analysis'!$A5,FTE!$B:$B,'FTE analysis'!$B5)/AL$2,0)</f>
        <v>0</v>
      </c>
      <c r="AM5" s="430">
        <f>IFERROR(SUMIF('Mngt-Payroll'!$AZ:$AZ,'FTE analysis'!$A5,'Mngt-Payroll'!AR:AR)/SUMIFS(FTE!AR:AR,FTE!$A:$A,'FTE analysis'!$A5,FTE!$B:$B,'FTE analysis'!$B5)/AM$2,0)</f>
        <v>0</v>
      </c>
      <c r="AN5" s="430">
        <f>IFERROR(SUMIF('Mngt-Payroll'!$AZ:$AZ,'FTE analysis'!$A5,'Mngt-Payroll'!AS:AS)/SUMIFS(FTE!AS:AS,FTE!$A:$A,'FTE analysis'!$A5,FTE!$B:$B,'FTE analysis'!$B5)/AN$2,0)</f>
        <v>0</v>
      </c>
      <c r="AO5" s="430">
        <f t="shared" ref="AO5:AO36" si="3">SUM(AC5:AD5)/2</f>
        <v>0</v>
      </c>
      <c r="AP5" s="139">
        <f t="shared" ref="AP5:BA36" si="4">IFERROR(IF(C5&gt;0,C5-AC5,0),0)</f>
        <v>0</v>
      </c>
      <c r="AQ5" s="139">
        <f t="shared" si="4"/>
        <v>0</v>
      </c>
      <c r="AR5" s="139">
        <f t="shared" si="4"/>
        <v>0</v>
      </c>
      <c r="AS5" s="139">
        <f t="shared" si="0"/>
        <v>0</v>
      </c>
      <c r="AT5" s="139">
        <f t="shared" si="0"/>
        <v>0</v>
      </c>
      <c r="AU5" s="139">
        <f t="shared" si="0"/>
        <v>0</v>
      </c>
      <c r="AV5" s="139">
        <f t="shared" si="0"/>
        <v>0</v>
      </c>
      <c r="AW5" s="139">
        <f t="shared" si="0"/>
        <v>0</v>
      </c>
      <c r="AX5" s="139">
        <f t="shared" si="0"/>
        <v>0</v>
      </c>
      <c r="AY5" s="139">
        <f t="shared" si="0"/>
        <v>0</v>
      </c>
      <c r="AZ5" s="139">
        <f t="shared" si="0"/>
        <v>0</v>
      </c>
      <c r="BA5" s="139">
        <f t="shared" si="0"/>
        <v>0</v>
      </c>
      <c r="BB5" s="439">
        <f t="shared" ref="BB5:BB36" si="5">SUM(AP5:AQ5)/2</f>
        <v>0</v>
      </c>
      <c r="BC5" s="439"/>
      <c r="BD5" s="439">
        <f t="shared" ref="BD5:BD36" si="6">SUM(BG5,BE5)</f>
        <v>0</v>
      </c>
      <c r="BE5" s="484">
        <f>BB5*$BC$2*SUMIFS(FTE!T:T,FTE!$A:$A,'FTE analysis'!$A5,FTE!$B:$B,'FTE analysis'!$B5)</f>
        <v>0</v>
      </c>
      <c r="BF5" s="484">
        <f>(SUMIFS(FTE!T:T,FTE!$A:$A,'FTE analysis'!$A5,FTE!$B:$B,'FTE analysis'!$B5)-SUMIFS(FTE!AT:AT,FTE!$A:$A,'FTE analysis'!$A5,FTE!$B:$B,'FTE analysis'!$B5))</f>
        <v>0</v>
      </c>
      <c r="BG5" s="418">
        <f t="shared" ref="BG5:BG36" si="7">BF5*AO5*$BC$2</f>
        <v>0</v>
      </c>
    </row>
    <row r="6" spans="1:59" ht="15" x14ac:dyDescent="0.25">
      <c r="A6" s="703" t="s">
        <v>318</v>
      </c>
      <c r="B6" s="707" t="s">
        <v>202</v>
      </c>
      <c r="C6" s="430">
        <f>IFERROR(SUMIF('Mngt-Payroll'!$BA:$BA,'FTE analysis'!$A6,'Mngt-Payroll'!G:G)/SUMIFS(FTE!H:H,FTE!$A:$A,'FTE analysis'!$A6,FTE!$B:$B,'FTE analysis'!$B6)/C$2,0)</f>
        <v>232.97593128219506</v>
      </c>
      <c r="D6" s="430">
        <f>IFERROR(SUMIF('Mngt-Payroll'!$BA:$BA,'FTE analysis'!$A6,'Mngt-Payroll'!H:H)/SUMIFS(FTE!I:I,FTE!$A:$A,'FTE analysis'!$A6,FTE!$B:$B,'FTE analysis'!$B6)/D$2,0)</f>
        <v>303.91775096861505</v>
      </c>
      <c r="E6" s="430">
        <f>IFERROR(SUMIF('Mngt-Payroll'!$BA:$BA,'FTE analysis'!$A6,'Mngt-Payroll'!I:I)/SUMIFS(FTE!J:J,FTE!$A:$A,'FTE analysis'!$A6,FTE!$B:$B,'FTE analysis'!$B6)/E$2,0)</f>
        <v>299.04707997093357</v>
      </c>
      <c r="F6" s="430">
        <f>IFERROR(SUMIF('Mngt-Payroll'!$BA:$BA,'FTE analysis'!$A6,'Mngt-Payroll'!J:J)/SUMIFS(FTE!K:K,FTE!$A:$A,'FTE analysis'!$A6,FTE!$B:$B,'FTE analysis'!$B6)/F$2,0)</f>
        <v>231.71246609467838</v>
      </c>
      <c r="G6" s="430">
        <f>IFERROR(SUMIF('Mngt-Payroll'!$BA:$BA,'FTE analysis'!$A6,'Mngt-Payroll'!K:K)/SUMIFS(FTE!L:L,FTE!$A:$A,'FTE analysis'!$A6,FTE!$B:$B,'FTE analysis'!$B6)/G$2,0)</f>
        <v>0</v>
      </c>
      <c r="H6" s="430">
        <f>IFERROR(SUMIF('Mngt-Payroll'!$BA:$BA,'FTE analysis'!$A6,'Mngt-Payroll'!L:L)/SUMIFS(FTE!M:M,FTE!$A:$A,'FTE analysis'!$A6,FTE!$B:$B,'FTE analysis'!$B6)/H$2,0)</f>
        <v>0</v>
      </c>
      <c r="I6" s="430">
        <f>IFERROR(SUMIF('Mngt-Payroll'!$BA:$BA,'FTE analysis'!$A6,'Mngt-Payroll'!M:M)/SUMIFS(FTE!N:N,FTE!$A:$A,'FTE analysis'!$A6,FTE!$B:$B,'FTE analysis'!$B6)/I$2,0)</f>
        <v>0</v>
      </c>
      <c r="J6" s="430">
        <f>IFERROR(SUMIF('Mngt-Payroll'!$BA:$BA,'FTE analysis'!$A6,'Mngt-Payroll'!N:N)/SUMIFS(FTE!O:O,FTE!$A:$A,'FTE analysis'!$A6,FTE!$B:$B,'FTE analysis'!$B6)/J$2,0)</f>
        <v>0</v>
      </c>
      <c r="K6" s="430">
        <f>IFERROR(SUMIF('Mngt-Payroll'!$BA:$BA,'FTE analysis'!$A6,'Mngt-Payroll'!O:O)/SUMIFS(FTE!P:P,FTE!$A:$A,'FTE analysis'!$A6,FTE!$B:$B,'FTE analysis'!$B6)/K$2,0)</f>
        <v>0</v>
      </c>
      <c r="L6" s="430">
        <f>IFERROR(SUMIF('Mngt-Payroll'!$BA:$BA,'FTE analysis'!$A6,'Mngt-Payroll'!P:P)/SUMIFS(FTE!Q:Q,FTE!$A:$A,'FTE analysis'!$A6,FTE!$B:$B,'FTE analysis'!$B6)/L$2,0)</f>
        <v>0</v>
      </c>
      <c r="M6" s="430">
        <f>IFERROR(SUMIF('Mngt-Payroll'!$BA:$BA,'FTE analysis'!$A6,'Mngt-Payroll'!Q:Q)/SUMIFS(FTE!R:R,FTE!$A:$A,'FTE analysis'!$A6,FTE!$B:$B,'FTE analysis'!$B6)/M$2,0)</f>
        <v>0</v>
      </c>
      <c r="N6" s="430">
        <f>IFERROR(SUMIF('Mngt-Payroll'!$BA:$BA,'FTE analysis'!$A6,'Mngt-Payroll'!R:R)/SUMIFS(FTE!S:S,FTE!$A:$A,'FTE analysis'!$A6,FTE!$B:$B,'FTE analysis'!$B6)/N$2,0)</f>
        <v>0</v>
      </c>
      <c r="O6" s="430">
        <f t="shared" si="1"/>
        <v>268.44684112540506</v>
      </c>
      <c r="P6" s="430">
        <f>IFERROR(SUMIF('Mngt-Payroll'!$BA:$BA,'FTE analysis'!$A6,'Mngt-Payroll'!U:U)/SUMIFS(FTE!U:U,FTE!$A:$A,'FTE analysis'!$A6,FTE!$B:$B,'FTE analysis'!$B6)/P$2,0)</f>
        <v>0</v>
      </c>
      <c r="Q6" s="430">
        <f>IFERROR(SUMIF('Mngt-Payroll'!$BA:$BA,'FTE analysis'!$A6,'Mngt-Payroll'!V:V)/SUMIFS(FTE!V:V,FTE!$A:$A,'FTE analysis'!$A6,FTE!$B:$B,'FTE analysis'!$B6)/Q$2,0)</f>
        <v>0</v>
      </c>
      <c r="R6" s="430">
        <f>IFERROR(SUMIF('Mngt-Payroll'!$BA:$BA,'FTE analysis'!$A6,'Mngt-Payroll'!W:W)/SUMIFS(FTE!W:W,FTE!$A:$A,'FTE analysis'!$A6,FTE!$B:$B,'FTE analysis'!$B6)/R$2,0)</f>
        <v>0</v>
      </c>
      <c r="S6" s="430">
        <f>IFERROR(SUMIF('Mngt-Payroll'!$BA:$BA,'FTE analysis'!$A6,'Mngt-Payroll'!X:X)/SUMIFS(FTE!X:X,FTE!$A:$A,'FTE analysis'!$A6,FTE!$B:$B,'FTE analysis'!$B6)/S$2,0)</f>
        <v>0</v>
      </c>
      <c r="T6" s="430">
        <f>IFERROR(SUMIF('Mngt-Payroll'!$BA:$BA,'FTE analysis'!$A6,'Mngt-Payroll'!Y:Y)/SUMIFS(FTE!Y:Y,FTE!$A:$A,'FTE analysis'!$A6,FTE!$B:$B,'FTE analysis'!$B6)/T$2,0)</f>
        <v>0</v>
      </c>
      <c r="U6" s="430">
        <f>IFERROR(SUMIF('Mngt-Payroll'!$BA:$BA,'FTE analysis'!$A6,'Mngt-Payroll'!Z:Z)/SUMIFS(FTE!Z:Z,FTE!$A:$A,'FTE analysis'!$A6,FTE!$B:$B,'FTE analysis'!$B6)/U$2,0)</f>
        <v>0</v>
      </c>
      <c r="V6" s="430">
        <f>IFERROR(SUMIF('Mngt-Payroll'!$BA:$BA,'FTE analysis'!$A6,'Mngt-Payroll'!AA:AA)/SUMIFS(FTE!AA:AA,FTE!$A:$A,'FTE analysis'!$A6,FTE!$B:$B,'FTE analysis'!$B6)/V$2,0)</f>
        <v>0</v>
      </c>
      <c r="W6" s="430">
        <f>IFERROR(SUMIF('Mngt-Payroll'!$BA:$BA,'FTE analysis'!$A6,'Mngt-Payroll'!AB:AB)/SUMIFS(FTE!AB:AB,FTE!$A:$A,'FTE analysis'!$A6,FTE!$B:$B,'FTE analysis'!$B6)/W$2,0)</f>
        <v>0</v>
      </c>
      <c r="X6" s="430">
        <f>IFERROR(SUMIF('Mngt-Payroll'!$BA:$BA,'FTE analysis'!$A6,'Mngt-Payroll'!AC:AC)/SUMIFS(FTE!AC:AC,FTE!$A:$A,'FTE analysis'!$A6,FTE!$B:$B,'FTE analysis'!$B6)/X$2,0)</f>
        <v>0</v>
      </c>
      <c r="Y6" s="430">
        <f>IFERROR(SUMIF('Mngt-Payroll'!$BA:$BA,'FTE analysis'!$A6,'Mngt-Payroll'!AD:AD)/SUMIFS(FTE!AD:AD,FTE!$A:$A,'FTE analysis'!$A6,FTE!$B:$B,'FTE analysis'!$B6)/Y$2,0)</f>
        <v>0</v>
      </c>
      <c r="Z6" s="430">
        <f>IFERROR(SUMIF('Mngt-Payroll'!$BA:$BA,'FTE analysis'!$A6,'Mngt-Payroll'!AE:AE)/SUMIFS(FTE!AE:AE,FTE!$A:$A,'FTE analysis'!$A6,FTE!$B:$B,'FTE analysis'!$B6)/Z$2,0)</f>
        <v>0</v>
      </c>
      <c r="AA6" s="430">
        <f>IFERROR(SUMIF('Mngt-Payroll'!$BA:$BA,'FTE analysis'!$A6,'Mngt-Payroll'!AF:AF)/SUMIFS(FTE!AF:AF,FTE!$A:$A,'FTE analysis'!$A6,FTE!$B:$B,'FTE analysis'!$B6)/AA$2,0)</f>
        <v>0</v>
      </c>
      <c r="AB6" s="430">
        <f t="shared" si="2"/>
        <v>0</v>
      </c>
      <c r="AC6" s="430">
        <f>IFERROR(SUMIF('Mngt-Payroll'!$BA:$BA,'FTE analysis'!$A6,'Mngt-Payroll'!AH:AH)/SUMIFS(FTE!AH:AH,FTE!$A:$A,'FTE analysis'!$A6,FTE!$B:$B,'FTE analysis'!$B6)/AC$2,0)</f>
        <v>194.37342367777151</v>
      </c>
      <c r="AD6" s="430">
        <f>IFERROR(SUMIF('Mngt-Payroll'!$BA:$BA,'FTE analysis'!$A6,'Mngt-Payroll'!AI:AI)/SUMIFS(FTE!AI:AI,FTE!$A:$A,'FTE analysis'!$A6,FTE!$B:$B,'FTE analysis'!$B6)/AD$2,0)</f>
        <v>571.67760141093481</v>
      </c>
      <c r="AE6" s="430">
        <f>IFERROR(SUMIF('Mngt-Payroll'!$BA:$BA,'FTE analysis'!$A6,'Mngt-Payroll'!AJ:AJ)/SUMIFS(FTE!AJ:AJ,FTE!$A:$A,'FTE analysis'!$A6,FTE!$B:$B,'FTE analysis'!$B6)/AE$2,0)</f>
        <v>509.98942917547572</v>
      </c>
      <c r="AF6" s="430">
        <f>IFERROR(SUMIF('Mngt-Payroll'!$BA:$BA,'FTE analysis'!$A6,'Mngt-Payroll'!AK:AK)/SUMIFS(FTE!AK:AK,FTE!$A:$A,'FTE analysis'!$A6,FTE!$B:$B,'FTE analysis'!$B6)/AF$2,0)</f>
        <v>487.54297269969663</v>
      </c>
      <c r="AG6" s="430">
        <f>IFERROR(SUMIF('Mngt-Payroll'!$BA:$BA,'FTE analysis'!$A6,'Mngt-Payroll'!AL:AL)/SUMIFS(FTE!AL:AL,FTE!$A:$A,'FTE analysis'!$A6,FTE!$B:$B,'FTE analysis'!$B6)/AG$2,0)</f>
        <v>520.9496212121212</v>
      </c>
      <c r="AH6" s="430">
        <f>IFERROR(SUMIF('Mngt-Payroll'!$BA:$BA,'FTE analysis'!$A6,'Mngt-Payroll'!AM:AM)/SUMIFS(FTE!AM:AM,FTE!$A:$A,'FTE analysis'!$A6,FTE!$B:$B,'FTE analysis'!$B6)/AH$2,0)</f>
        <v>-210.1210909090909</v>
      </c>
      <c r="AI6" s="430">
        <f>IFERROR(SUMIF('Mngt-Payroll'!$BA:$BA,'FTE analysis'!$A6,'Mngt-Payroll'!AN:AN)/SUMIFS(FTE!AN:AN,FTE!$A:$A,'FTE analysis'!$A6,FTE!$B:$B,'FTE analysis'!$B6)/AI$2,0)</f>
        <v>275.53472222222223</v>
      </c>
      <c r="AJ6" s="430">
        <f>IFERROR(SUMIF('Mngt-Payroll'!$BA:$BA,'FTE analysis'!$A6,'Mngt-Payroll'!AO:AO)/SUMIFS(FTE!AO:AO,FTE!$A:$A,'FTE analysis'!$A6,FTE!$B:$B,'FTE analysis'!$B6)/AJ$2,0)</f>
        <v>89.07103174603175</v>
      </c>
      <c r="AK6" s="430">
        <f>IFERROR(SUMIF('Mngt-Payroll'!$BA:$BA,'FTE analysis'!$A6,'Mngt-Payroll'!AP:AP)/SUMIFS(FTE!AP:AP,FTE!$A:$A,'FTE analysis'!$A6,FTE!$B:$B,'FTE analysis'!$B6)/AK$2,0)</f>
        <v>158.22307692307692</v>
      </c>
      <c r="AL6" s="430">
        <f>IFERROR(SUMIF('Mngt-Payroll'!$BA:$BA,'FTE analysis'!$A6,'Mngt-Payroll'!AQ:AQ)/SUMIFS(FTE!AQ:AQ,FTE!$A:$A,'FTE analysis'!$A6,FTE!$B:$B,'FTE analysis'!$B6)/AL$2,0)</f>
        <v>167.63402944197193</v>
      </c>
      <c r="AM6" s="430">
        <f>IFERROR(SUMIF('Mngt-Payroll'!$BA:$BA,'FTE analysis'!$A6,'Mngt-Payroll'!AR:AR)/SUMIFS(FTE!AR:AR,FTE!$A:$A,'FTE analysis'!$A6,FTE!$B:$B,'FTE analysis'!$B6)/AM$2,0)</f>
        <v>340.25952380952384</v>
      </c>
      <c r="AN6" s="430">
        <f>IFERROR(SUMIF('Mngt-Payroll'!$BA:$BA,'FTE analysis'!$A6,'Mngt-Payroll'!AS:AS)/SUMIFS(FTE!AS:AS,FTE!$A:$A,'FTE analysis'!$A6,FTE!$B:$B,'FTE analysis'!$B6)/AN$2,0)</f>
        <v>1699.6824966078696</v>
      </c>
      <c r="AO6" s="430">
        <f t="shared" si="3"/>
        <v>383.02551254435315</v>
      </c>
      <c r="AP6" s="139">
        <f t="shared" si="4"/>
        <v>38.60250760442355</v>
      </c>
      <c r="AQ6" s="139">
        <f t="shared" si="4"/>
        <v>-267.75985044231976</v>
      </c>
      <c r="AR6" s="139">
        <f t="shared" si="4"/>
        <v>-210.94234920454215</v>
      </c>
      <c r="AS6" s="139">
        <f t="shared" si="0"/>
        <v>-255.83050660501826</v>
      </c>
      <c r="AT6" s="139">
        <f t="shared" si="0"/>
        <v>0</v>
      </c>
      <c r="AU6" s="139">
        <f t="shared" si="0"/>
        <v>0</v>
      </c>
      <c r="AV6" s="139">
        <f t="shared" si="0"/>
        <v>0</v>
      </c>
      <c r="AW6" s="139">
        <f t="shared" si="0"/>
        <v>0</v>
      </c>
      <c r="AX6" s="139">
        <f t="shared" si="0"/>
        <v>0</v>
      </c>
      <c r="AY6" s="139">
        <f t="shared" si="0"/>
        <v>0</v>
      </c>
      <c r="AZ6" s="139">
        <f t="shared" si="0"/>
        <v>0</v>
      </c>
      <c r="BA6" s="139">
        <f t="shared" si="0"/>
        <v>0</v>
      </c>
      <c r="BB6" s="439">
        <f t="shared" si="5"/>
        <v>-114.5786714189481</v>
      </c>
      <c r="BC6" s="439"/>
      <c r="BD6" s="439">
        <f t="shared" si="6"/>
        <v>0</v>
      </c>
      <c r="BE6" s="484">
        <f>BB6*$BC$2*SUMIFS(FTE!T:T,FTE!$A:$A,'FTE analysis'!$A6,FTE!$B:$B,'FTE analysis'!$B6)</f>
        <v>0</v>
      </c>
      <c r="BF6" s="484">
        <f>(SUMIFS(FTE!T:T,FTE!$A:$A,'FTE analysis'!$A6,FTE!$B:$B,'FTE analysis'!$B6)-SUMIFS(FTE!AT:AT,FTE!$A:$A,'FTE analysis'!$A6,FTE!$B:$B,'FTE analysis'!$B6))</f>
        <v>-1.374655902777778</v>
      </c>
      <c r="BG6" s="418">
        <f t="shared" si="7"/>
        <v>0</v>
      </c>
    </row>
    <row r="7" spans="1:59" ht="15" x14ac:dyDescent="0.25">
      <c r="A7" s="703" t="s">
        <v>319</v>
      </c>
      <c r="B7" s="707" t="s">
        <v>202</v>
      </c>
      <c r="C7" s="430">
        <f>IFERROR(SUMIF('Mngt-Payroll'!$AZ:$AZ,'FTE analysis'!$A7,'Mngt-Payroll'!G:G)/SUMIFS(FTE!H:H,FTE!$A:$A,'FTE analysis'!$A7,FTE!$B:$B,'FTE analysis'!$B7)/C$2,0)</f>
        <v>0</v>
      </c>
      <c r="D7" s="430">
        <f>IFERROR(SUMIF('Mngt-Payroll'!$AZ:$AZ,'FTE analysis'!$A7,'Mngt-Payroll'!H:H)/SUMIFS(FTE!I:I,FTE!$A:$A,'FTE analysis'!$A7,FTE!$B:$B,'FTE analysis'!$B7)/D$2,0)</f>
        <v>0</v>
      </c>
      <c r="E7" s="430">
        <f>IFERROR(SUMIF('Mngt-Payroll'!$AZ:$AZ,'FTE analysis'!$A7,'Mngt-Payroll'!I:I)/SUMIFS(FTE!J:J,FTE!$A:$A,'FTE analysis'!$A7,FTE!$B:$B,'FTE analysis'!$B7)/E$2,0)</f>
        <v>0</v>
      </c>
      <c r="F7" s="430">
        <f>IFERROR(SUMIF('Mngt-Payroll'!$AZ:$AZ,'FTE analysis'!$A7,'Mngt-Payroll'!J:J)/SUMIFS(FTE!K:K,FTE!$A:$A,'FTE analysis'!$A7,FTE!$B:$B,'FTE analysis'!$B7)/F$2,0)</f>
        <v>0</v>
      </c>
      <c r="G7" s="430">
        <f>IFERROR(SUMIF('Mngt-Payroll'!$AZ:$AZ,'FTE analysis'!$A7,'Mngt-Payroll'!K:K)/SUMIFS(FTE!L:L,FTE!$A:$A,'FTE analysis'!$A7,FTE!$B:$B,'FTE analysis'!$B7)/G$2,0)</f>
        <v>0</v>
      </c>
      <c r="H7" s="430">
        <f>IFERROR(SUMIF('Mngt-Payroll'!$AZ:$AZ,'FTE analysis'!$A7,'Mngt-Payroll'!L:L)/SUMIFS(FTE!M:M,FTE!$A:$A,'FTE analysis'!$A7,FTE!$B:$B,'FTE analysis'!$B7)/H$2,0)</f>
        <v>0</v>
      </c>
      <c r="I7" s="430">
        <f>IFERROR(SUMIF('Mngt-Payroll'!$AZ:$AZ,'FTE analysis'!$A7,'Mngt-Payroll'!M:M)/SUMIFS(FTE!N:N,FTE!$A:$A,'FTE analysis'!$A7,FTE!$B:$B,'FTE analysis'!$B7)/I$2,0)</f>
        <v>0</v>
      </c>
      <c r="J7" s="430">
        <f>IFERROR(SUMIF('Mngt-Payroll'!$AZ:$AZ,'FTE analysis'!$A7,'Mngt-Payroll'!N:N)/SUMIFS(FTE!O:O,FTE!$A:$A,'FTE analysis'!$A7,FTE!$B:$B,'FTE analysis'!$B7)/J$2,0)</f>
        <v>0</v>
      </c>
      <c r="K7" s="430">
        <f>IFERROR(SUMIF('Mngt-Payroll'!$AZ:$AZ,'FTE analysis'!$A7,'Mngt-Payroll'!O:O)/SUMIFS(FTE!P:P,FTE!$A:$A,'FTE analysis'!$A7,FTE!$B:$B,'FTE analysis'!$B7)/K$2,0)</f>
        <v>0</v>
      </c>
      <c r="L7" s="430">
        <f>IFERROR(SUMIF('Mngt-Payroll'!$AZ:$AZ,'FTE analysis'!$A7,'Mngt-Payroll'!P:P)/SUMIFS(FTE!Q:Q,FTE!$A:$A,'FTE analysis'!$A7,FTE!$B:$B,'FTE analysis'!$B7)/L$2,0)</f>
        <v>0</v>
      </c>
      <c r="M7" s="430">
        <f>IFERROR(SUMIF('Mngt-Payroll'!$AZ:$AZ,'FTE analysis'!$A7,'Mngt-Payroll'!Q:Q)/SUMIFS(FTE!R:R,FTE!$A:$A,'FTE analysis'!$A7,FTE!$B:$B,'FTE analysis'!$B7)/M$2,0)</f>
        <v>0</v>
      </c>
      <c r="N7" s="430">
        <f>IFERROR(SUMIF('Mngt-Payroll'!$AZ:$AZ,'FTE analysis'!$A7,'Mngt-Payroll'!R:R)/SUMIFS(FTE!S:S,FTE!$A:$A,'FTE analysis'!$A7,FTE!$B:$B,'FTE analysis'!$B7)/N$2,0)</f>
        <v>0</v>
      </c>
      <c r="O7" s="430">
        <f t="shared" si="1"/>
        <v>0</v>
      </c>
      <c r="P7" s="430">
        <f>IFERROR(SUMIF('Mngt-Payroll'!$AZ:$AZ,'FTE analysis'!$A7,'Mngt-Payroll'!U:U)/SUMIFS(FTE!U:U,FTE!$A:$A,'FTE analysis'!$A7,FTE!$B:$B,'FTE analysis'!$B7)/P$2,0)</f>
        <v>0</v>
      </c>
      <c r="Q7" s="430">
        <f>IFERROR(SUMIF('Mngt-Payroll'!$AZ:$AZ,'FTE analysis'!$A7,'Mngt-Payroll'!V:V)/SUMIFS(FTE!V:V,FTE!$A:$A,'FTE analysis'!$A7,FTE!$B:$B,'FTE analysis'!$B7)/Q$2,0)</f>
        <v>0</v>
      </c>
      <c r="R7" s="430">
        <f>IFERROR(SUMIF('Mngt-Payroll'!$AZ:$AZ,'FTE analysis'!$A7,'Mngt-Payroll'!W:W)/SUMIFS(FTE!W:W,FTE!$A:$A,'FTE analysis'!$A7,FTE!$B:$B,'FTE analysis'!$B7)/R$2,0)</f>
        <v>0</v>
      </c>
      <c r="S7" s="430">
        <f>IFERROR(SUMIF('Mngt-Payroll'!$AZ:$AZ,'FTE analysis'!$A7,'Mngt-Payroll'!X:X)/SUMIFS(FTE!X:X,FTE!$A:$A,'FTE analysis'!$A7,FTE!$B:$B,'FTE analysis'!$B7)/S$2,0)</f>
        <v>0</v>
      </c>
      <c r="T7" s="430">
        <f>IFERROR(SUMIF('Mngt-Payroll'!$AZ:$AZ,'FTE analysis'!$A7,'Mngt-Payroll'!Y:Y)/SUMIFS(FTE!Y:Y,FTE!$A:$A,'FTE analysis'!$A7,FTE!$B:$B,'FTE analysis'!$B7)/T$2,0)</f>
        <v>0</v>
      </c>
      <c r="U7" s="430">
        <f>IFERROR(SUMIF('Mngt-Payroll'!$AZ:$AZ,'FTE analysis'!$A7,'Mngt-Payroll'!Z:Z)/SUMIFS(FTE!Z:Z,FTE!$A:$A,'FTE analysis'!$A7,FTE!$B:$B,'FTE analysis'!$B7)/U$2,0)</f>
        <v>0</v>
      </c>
      <c r="V7" s="430">
        <f>IFERROR(SUMIF('Mngt-Payroll'!$AZ:$AZ,'FTE analysis'!$A7,'Mngt-Payroll'!AA:AA)/SUMIFS(FTE!AA:AA,FTE!$A:$A,'FTE analysis'!$A7,FTE!$B:$B,'FTE analysis'!$B7)/V$2,0)</f>
        <v>0</v>
      </c>
      <c r="W7" s="430">
        <f>IFERROR(SUMIF('Mngt-Payroll'!$AZ:$AZ,'FTE analysis'!$A7,'Mngt-Payroll'!AB:AB)/SUMIFS(FTE!AB:AB,FTE!$A:$A,'FTE analysis'!$A7,FTE!$B:$B,'FTE analysis'!$B7)/W$2,0)</f>
        <v>0</v>
      </c>
      <c r="X7" s="430">
        <f>IFERROR(SUMIF('Mngt-Payroll'!$AZ:$AZ,'FTE analysis'!$A7,'Mngt-Payroll'!AC:AC)/SUMIFS(FTE!AC:AC,FTE!$A:$A,'FTE analysis'!$A7,FTE!$B:$B,'FTE analysis'!$B7)/X$2,0)</f>
        <v>0</v>
      </c>
      <c r="Y7" s="430">
        <f>IFERROR(SUMIF('Mngt-Payroll'!$AZ:$AZ,'FTE analysis'!$A7,'Mngt-Payroll'!AD:AD)/SUMIFS(FTE!AD:AD,FTE!$A:$A,'FTE analysis'!$A7,FTE!$B:$B,'FTE analysis'!$B7)/Y$2,0)</f>
        <v>0</v>
      </c>
      <c r="Z7" s="430">
        <f>IFERROR(SUMIF('Mngt-Payroll'!$AZ:$AZ,'FTE analysis'!$A7,'Mngt-Payroll'!AE:AE)/SUMIFS(FTE!AE:AE,FTE!$A:$A,'FTE analysis'!$A7,FTE!$B:$B,'FTE analysis'!$B7)/Z$2,0)</f>
        <v>0</v>
      </c>
      <c r="AA7" s="430">
        <f>IFERROR(SUMIF('Mngt-Payroll'!$AZ:$AZ,'FTE analysis'!$A7,'Mngt-Payroll'!AF:AF)/SUMIFS(FTE!AF:AF,FTE!$A:$A,'FTE analysis'!$A7,FTE!$B:$B,'FTE analysis'!$B7)/AA$2,0)</f>
        <v>0</v>
      </c>
      <c r="AB7" s="430">
        <f t="shared" si="2"/>
        <v>0</v>
      </c>
      <c r="AC7" s="430">
        <f>IFERROR(SUMIF('Mngt-Payroll'!$AZ:$AZ,'FTE analysis'!$A7,'Mngt-Payroll'!AH:AH)/SUMIFS(FTE!AH:AH,FTE!$A:$A,'FTE analysis'!$A7,FTE!$B:$B,'FTE analysis'!$B7)/AC$2,0)</f>
        <v>0</v>
      </c>
      <c r="AD7" s="430">
        <f>IFERROR(SUMIF('Mngt-Payroll'!$AZ:$AZ,'FTE analysis'!$A7,'Mngt-Payroll'!AI:AI)/SUMIFS(FTE!AI:AI,FTE!$A:$A,'FTE analysis'!$A7,FTE!$B:$B,'FTE analysis'!$B7)/AD$2,0)</f>
        <v>0</v>
      </c>
      <c r="AE7" s="430">
        <f>IFERROR(SUMIF('Mngt-Payroll'!$AZ:$AZ,'FTE analysis'!$A7,'Mngt-Payroll'!AJ:AJ)/SUMIFS(FTE!AJ:AJ,FTE!$A:$A,'FTE analysis'!$A7,FTE!$B:$B,'FTE analysis'!$B7)/AE$2,0)</f>
        <v>0</v>
      </c>
      <c r="AF7" s="430">
        <f>IFERROR(SUMIF('Mngt-Payroll'!$AZ:$AZ,'FTE analysis'!$A7,'Mngt-Payroll'!AK:AK)/SUMIFS(FTE!AK:AK,FTE!$A:$A,'FTE analysis'!$A7,FTE!$B:$B,'FTE analysis'!$B7)/AF$2,0)</f>
        <v>0</v>
      </c>
      <c r="AG7" s="430">
        <f>IFERROR(SUMIF('Mngt-Payroll'!$AZ:$AZ,'FTE analysis'!$A7,'Mngt-Payroll'!AL:AL)/SUMIFS(FTE!AL:AL,FTE!$A:$A,'FTE analysis'!$A7,FTE!$B:$B,'FTE analysis'!$B7)/AG$2,0)</f>
        <v>0</v>
      </c>
      <c r="AH7" s="430">
        <f>IFERROR(SUMIF('Mngt-Payroll'!$AZ:$AZ,'FTE analysis'!$A7,'Mngt-Payroll'!AM:AM)/SUMIFS(FTE!AM:AM,FTE!$A:$A,'FTE analysis'!$A7,FTE!$B:$B,'FTE analysis'!$B7)/AH$2,0)</f>
        <v>0</v>
      </c>
      <c r="AI7" s="430">
        <f>IFERROR(SUMIF('Mngt-Payroll'!$AZ:$AZ,'FTE analysis'!$A7,'Mngt-Payroll'!AN:AN)/SUMIFS(FTE!AN:AN,FTE!$A:$A,'FTE analysis'!$A7,FTE!$B:$B,'FTE analysis'!$B7)/AI$2,0)</f>
        <v>0</v>
      </c>
      <c r="AJ7" s="430">
        <f>IFERROR(SUMIF('Mngt-Payroll'!$AZ:$AZ,'FTE analysis'!$A7,'Mngt-Payroll'!AO:AO)/SUMIFS(FTE!AO:AO,FTE!$A:$A,'FTE analysis'!$A7,FTE!$B:$B,'FTE analysis'!$B7)/AJ$2,0)</f>
        <v>0</v>
      </c>
      <c r="AK7" s="430">
        <f>IFERROR(SUMIF('Mngt-Payroll'!$AZ:$AZ,'FTE analysis'!$A7,'Mngt-Payroll'!AP:AP)/SUMIFS(FTE!AP:AP,FTE!$A:$A,'FTE analysis'!$A7,FTE!$B:$B,'FTE analysis'!$B7)/AK$2,0)</f>
        <v>0</v>
      </c>
      <c r="AL7" s="430">
        <f>IFERROR(SUMIF('Mngt-Payroll'!$AZ:$AZ,'FTE analysis'!$A7,'Mngt-Payroll'!AQ:AQ)/SUMIFS(FTE!AQ:AQ,FTE!$A:$A,'FTE analysis'!$A7,FTE!$B:$B,'FTE analysis'!$B7)/AL$2,0)</f>
        <v>0</v>
      </c>
      <c r="AM7" s="430">
        <f>IFERROR(SUMIF('Mngt-Payroll'!$AZ:$AZ,'FTE analysis'!$A7,'Mngt-Payroll'!AR:AR)/SUMIFS(FTE!AR:AR,FTE!$A:$A,'FTE analysis'!$A7,FTE!$B:$B,'FTE analysis'!$B7)/AM$2,0)</f>
        <v>0</v>
      </c>
      <c r="AN7" s="430">
        <f>IFERROR(SUMIF('Mngt-Payroll'!$AZ:$AZ,'FTE analysis'!$A7,'Mngt-Payroll'!AS:AS)/SUMIFS(FTE!AS:AS,FTE!$A:$A,'FTE analysis'!$A7,FTE!$B:$B,'FTE analysis'!$B7)/AN$2,0)</f>
        <v>0</v>
      </c>
      <c r="AO7" s="430">
        <f t="shared" si="3"/>
        <v>0</v>
      </c>
      <c r="AP7" s="139">
        <f t="shared" si="4"/>
        <v>0</v>
      </c>
      <c r="AQ7" s="139">
        <f t="shared" si="4"/>
        <v>0</v>
      </c>
      <c r="AR7" s="139">
        <f>IFERROR(IF(E7&gt;0,E7-AE7,0),0)</f>
        <v>0</v>
      </c>
      <c r="AS7" s="139">
        <f t="shared" si="0"/>
        <v>0</v>
      </c>
      <c r="AT7" s="139">
        <f t="shared" si="0"/>
        <v>0</v>
      </c>
      <c r="AU7" s="139">
        <f t="shared" si="0"/>
        <v>0</v>
      </c>
      <c r="AV7" s="139">
        <f t="shared" si="0"/>
        <v>0</v>
      </c>
      <c r="AW7" s="139">
        <f t="shared" si="0"/>
        <v>0</v>
      </c>
      <c r="AX7" s="139">
        <f t="shared" si="0"/>
        <v>0</v>
      </c>
      <c r="AY7" s="139">
        <f t="shared" si="0"/>
        <v>0</v>
      </c>
      <c r="AZ7" s="139">
        <f t="shared" si="0"/>
        <v>0</v>
      </c>
      <c r="BA7" s="139">
        <f t="shared" si="0"/>
        <v>0</v>
      </c>
      <c r="BB7" s="439">
        <f t="shared" si="5"/>
        <v>0</v>
      </c>
      <c r="BC7" s="439"/>
      <c r="BD7" s="439">
        <f t="shared" si="6"/>
        <v>0</v>
      </c>
      <c r="BE7" s="484">
        <f>BB7*$BC$2*SUMIFS(FTE!T:T,FTE!$A:$A,'FTE analysis'!$A7,FTE!$B:$B,'FTE analysis'!$B7)</f>
        <v>0</v>
      </c>
      <c r="BF7" s="484">
        <f>(SUMIFS(FTE!T:T,FTE!$A:$A,'FTE analysis'!$A7,FTE!$B:$B,'FTE analysis'!$B7)-SUMIFS(FTE!AT:AT,FTE!$A:$A,'FTE analysis'!$A7,FTE!$B:$B,'FTE analysis'!$B7))</f>
        <v>0</v>
      </c>
      <c r="BG7" s="418">
        <f t="shared" si="7"/>
        <v>0</v>
      </c>
    </row>
    <row r="8" spans="1:59" ht="15" x14ac:dyDescent="0.25">
      <c r="A8" s="703" t="s">
        <v>320</v>
      </c>
      <c r="B8" s="707" t="s">
        <v>202</v>
      </c>
      <c r="C8" s="430">
        <f>IFERROR(SUMIF('Mngt-Payroll'!$AZ:$AZ,'FTE analysis'!$A8,'Mngt-Payroll'!G:G)/SUMIFS(FTE!H:H,FTE!$A:$A,'FTE analysis'!$A8,FTE!$B:$B,'FTE analysis'!$B8)/C$2,0)</f>
        <v>0</v>
      </c>
      <c r="D8" s="430">
        <f>IFERROR(SUMIF('Mngt-Payroll'!$AZ:$AZ,'FTE analysis'!$A8,'Mngt-Payroll'!H:H)/SUMIFS(FTE!I:I,FTE!$A:$A,'FTE analysis'!$A8,FTE!$B:$B,'FTE analysis'!$B8)/D$2,0)</f>
        <v>0</v>
      </c>
      <c r="E8" s="430">
        <f>IFERROR(SUMIF('Mngt-Payroll'!$AZ:$AZ,'FTE analysis'!$A8,'Mngt-Payroll'!I:I)/SUMIFS(FTE!J:J,FTE!$A:$A,'FTE analysis'!$A8,FTE!$B:$B,'FTE analysis'!$B8)/E$2,0)</f>
        <v>0</v>
      </c>
      <c r="F8" s="430">
        <f>IFERROR(SUMIF('Mngt-Payroll'!$AZ:$AZ,'FTE analysis'!$A8,'Mngt-Payroll'!J:J)/SUMIFS(FTE!K:K,FTE!$A:$A,'FTE analysis'!$A8,FTE!$B:$B,'FTE analysis'!$B8)/F$2,0)</f>
        <v>0</v>
      </c>
      <c r="G8" s="430">
        <f>IFERROR(SUMIF('Mngt-Payroll'!$AZ:$AZ,'FTE analysis'!$A8,'Mngt-Payroll'!K:K)/SUMIFS(FTE!L:L,FTE!$A:$A,'FTE analysis'!$A8,FTE!$B:$B,'FTE analysis'!$B8)/G$2,0)</f>
        <v>0</v>
      </c>
      <c r="H8" s="430">
        <f>IFERROR(SUMIF('Mngt-Payroll'!$AZ:$AZ,'FTE analysis'!$A8,'Mngt-Payroll'!L:L)/SUMIFS(FTE!M:M,FTE!$A:$A,'FTE analysis'!$A8,FTE!$B:$B,'FTE analysis'!$B8)/H$2,0)</f>
        <v>0</v>
      </c>
      <c r="I8" s="430">
        <f>IFERROR(SUMIF('Mngt-Payroll'!$AZ:$AZ,'FTE analysis'!$A8,'Mngt-Payroll'!M:M)/SUMIFS(FTE!N:N,FTE!$A:$A,'FTE analysis'!$A8,FTE!$B:$B,'FTE analysis'!$B8)/I$2,0)</f>
        <v>0</v>
      </c>
      <c r="J8" s="430">
        <f>IFERROR(SUMIF('Mngt-Payroll'!$AZ:$AZ,'FTE analysis'!$A8,'Mngt-Payroll'!N:N)/SUMIFS(FTE!O:O,FTE!$A:$A,'FTE analysis'!$A8,FTE!$B:$B,'FTE analysis'!$B8)/J$2,0)</f>
        <v>0</v>
      </c>
      <c r="K8" s="430">
        <f>IFERROR(SUMIF('Mngt-Payroll'!$AZ:$AZ,'FTE analysis'!$A8,'Mngt-Payroll'!O:O)/SUMIFS(FTE!P:P,FTE!$A:$A,'FTE analysis'!$A8,FTE!$B:$B,'FTE analysis'!$B8)/K$2,0)</f>
        <v>0</v>
      </c>
      <c r="L8" s="430">
        <f>IFERROR(SUMIF('Mngt-Payroll'!$AZ:$AZ,'FTE analysis'!$A8,'Mngt-Payroll'!P:P)/SUMIFS(FTE!Q:Q,FTE!$A:$A,'FTE analysis'!$A8,FTE!$B:$B,'FTE analysis'!$B8)/L$2,0)</f>
        <v>0</v>
      </c>
      <c r="M8" s="430">
        <f>IFERROR(SUMIF('Mngt-Payroll'!$AZ:$AZ,'FTE analysis'!$A8,'Mngt-Payroll'!Q:Q)/SUMIFS(FTE!R:R,FTE!$A:$A,'FTE analysis'!$A8,FTE!$B:$B,'FTE analysis'!$B8)/M$2,0)</f>
        <v>0</v>
      </c>
      <c r="N8" s="430">
        <f>IFERROR(SUMIF('Mngt-Payroll'!$AZ:$AZ,'FTE analysis'!$A8,'Mngt-Payroll'!R:R)/SUMIFS(FTE!S:S,FTE!$A:$A,'FTE analysis'!$A8,FTE!$B:$B,'FTE analysis'!$B8)/N$2,0)</f>
        <v>0</v>
      </c>
      <c r="O8" s="430">
        <f t="shared" si="1"/>
        <v>0</v>
      </c>
      <c r="P8" s="430">
        <f>IFERROR(SUMIF('Mngt-Payroll'!$AZ:$AZ,'FTE analysis'!$A8,'Mngt-Payroll'!U:U)/SUMIFS(FTE!U:U,FTE!$A:$A,'FTE analysis'!$A8,FTE!$B:$B,'FTE analysis'!$B8)/P$2,0)</f>
        <v>0</v>
      </c>
      <c r="Q8" s="430">
        <f>IFERROR(SUMIF('Mngt-Payroll'!$AZ:$AZ,'FTE analysis'!$A8,'Mngt-Payroll'!V:V)/SUMIFS(FTE!V:V,FTE!$A:$A,'FTE analysis'!$A8,FTE!$B:$B,'FTE analysis'!$B8)/Q$2,0)</f>
        <v>0</v>
      </c>
      <c r="R8" s="430">
        <f>IFERROR(SUMIF('Mngt-Payroll'!$AZ:$AZ,'FTE analysis'!$A8,'Mngt-Payroll'!W:W)/SUMIFS(FTE!W:W,FTE!$A:$A,'FTE analysis'!$A8,FTE!$B:$B,'FTE analysis'!$B8)/R$2,0)</f>
        <v>0</v>
      </c>
      <c r="S8" s="430">
        <f>IFERROR(SUMIF('Mngt-Payroll'!$AZ:$AZ,'FTE analysis'!$A8,'Mngt-Payroll'!X:X)/SUMIFS(FTE!X:X,FTE!$A:$A,'FTE analysis'!$A8,FTE!$B:$B,'FTE analysis'!$B8)/S$2,0)</f>
        <v>0</v>
      </c>
      <c r="T8" s="430">
        <f>IFERROR(SUMIF('Mngt-Payroll'!$AZ:$AZ,'FTE analysis'!$A8,'Mngt-Payroll'!Y:Y)/SUMIFS(FTE!Y:Y,FTE!$A:$A,'FTE analysis'!$A8,FTE!$B:$B,'FTE analysis'!$B8)/T$2,0)</f>
        <v>0</v>
      </c>
      <c r="U8" s="430">
        <f>IFERROR(SUMIF('Mngt-Payroll'!$AZ:$AZ,'FTE analysis'!$A8,'Mngt-Payroll'!Z:Z)/SUMIFS(FTE!Z:Z,FTE!$A:$A,'FTE analysis'!$A8,FTE!$B:$B,'FTE analysis'!$B8)/U$2,0)</f>
        <v>0</v>
      </c>
      <c r="V8" s="430">
        <f>IFERROR(SUMIF('Mngt-Payroll'!$AZ:$AZ,'FTE analysis'!$A8,'Mngt-Payroll'!AA:AA)/SUMIFS(FTE!AA:AA,FTE!$A:$A,'FTE analysis'!$A8,FTE!$B:$B,'FTE analysis'!$B8)/V$2,0)</f>
        <v>0</v>
      </c>
      <c r="W8" s="430">
        <f>IFERROR(SUMIF('Mngt-Payroll'!$AZ:$AZ,'FTE analysis'!$A8,'Mngt-Payroll'!AB:AB)/SUMIFS(FTE!AB:AB,FTE!$A:$A,'FTE analysis'!$A8,FTE!$B:$B,'FTE analysis'!$B8)/W$2,0)</f>
        <v>0</v>
      </c>
      <c r="X8" s="430">
        <f>IFERROR(SUMIF('Mngt-Payroll'!$AZ:$AZ,'FTE analysis'!$A8,'Mngt-Payroll'!AC:AC)/SUMIFS(FTE!AC:AC,FTE!$A:$A,'FTE analysis'!$A8,FTE!$B:$B,'FTE analysis'!$B8)/X$2,0)</f>
        <v>0</v>
      </c>
      <c r="Y8" s="430">
        <f>IFERROR(SUMIF('Mngt-Payroll'!$AZ:$AZ,'FTE analysis'!$A8,'Mngt-Payroll'!AD:AD)/SUMIFS(FTE!AD:AD,FTE!$A:$A,'FTE analysis'!$A8,FTE!$B:$B,'FTE analysis'!$B8)/Y$2,0)</f>
        <v>0</v>
      </c>
      <c r="Z8" s="430">
        <f>IFERROR(SUMIF('Mngt-Payroll'!$AZ:$AZ,'FTE analysis'!$A8,'Mngt-Payroll'!AE:AE)/SUMIFS(FTE!AE:AE,FTE!$A:$A,'FTE analysis'!$A8,FTE!$B:$B,'FTE analysis'!$B8)/Z$2,0)</f>
        <v>0</v>
      </c>
      <c r="AA8" s="430">
        <f>IFERROR(SUMIF('Mngt-Payroll'!$AZ:$AZ,'FTE analysis'!$A8,'Mngt-Payroll'!AF:AF)/SUMIFS(FTE!AF:AF,FTE!$A:$A,'FTE analysis'!$A8,FTE!$B:$B,'FTE analysis'!$B8)/AA$2,0)</f>
        <v>0</v>
      </c>
      <c r="AB8" s="430">
        <f t="shared" si="2"/>
        <v>0</v>
      </c>
      <c r="AC8" s="430">
        <f>IFERROR(SUMIF('Mngt-Payroll'!$AZ:$AZ,'FTE analysis'!$A8,'Mngt-Payroll'!AH:AH)/SUMIFS(FTE!AH:AH,FTE!$A:$A,'FTE analysis'!$A8,FTE!$B:$B,'FTE analysis'!$B8)/AC$2,0)</f>
        <v>0</v>
      </c>
      <c r="AD8" s="430">
        <f>IFERROR(SUMIF('Mngt-Payroll'!$AZ:$AZ,'FTE analysis'!$A8,'Mngt-Payroll'!AI:AI)/SUMIFS(FTE!AI:AI,FTE!$A:$A,'FTE analysis'!$A8,FTE!$B:$B,'FTE analysis'!$B8)/AD$2,0)</f>
        <v>0</v>
      </c>
      <c r="AE8" s="430">
        <f>IFERROR(SUMIF('Mngt-Payroll'!$AZ:$AZ,'FTE analysis'!$A8,'Mngt-Payroll'!AJ:AJ)/SUMIFS(FTE!AJ:AJ,FTE!$A:$A,'FTE analysis'!$A8,FTE!$B:$B,'FTE analysis'!$B8)/AE$2,0)</f>
        <v>0</v>
      </c>
      <c r="AF8" s="430">
        <f>IFERROR(SUMIF('Mngt-Payroll'!$AZ:$AZ,'FTE analysis'!$A8,'Mngt-Payroll'!AK:AK)/SUMIFS(FTE!AK:AK,FTE!$A:$A,'FTE analysis'!$A8,FTE!$B:$B,'FTE analysis'!$B8)/AF$2,0)</f>
        <v>0</v>
      </c>
      <c r="AG8" s="430">
        <f>IFERROR(SUMIF('Mngt-Payroll'!$AZ:$AZ,'FTE analysis'!$A8,'Mngt-Payroll'!AL:AL)/SUMIFS(FTE!AL:AL,FTE!$A:$A,'FTE analysis'!$A8,FTE!$B:$B,'FTE analysis'!$B8)/AG$2,0)</f>
        <v>0</v>
      </c>
      <c r="AH8" s="430">
        <f>IFERROR(SUMIF('Mngt-Payroll'!$AZ:$AZ,'FTE analysis'!$A8,'Mngt-Payroll'!AM:AM)/SUMIFS(FTE!AM:AM,FTE!$A:$A,'FTE analysis'!$A8,FTE!$B:$B,'FTE analysis'!$B8)/AH$2,0)</f>
        <v>0</v>
      </c>
      <c r="AI8" s="430">
        <f>IFERROR(SUMIF('Mngt-Payroll'!$AZ:$AZ,'FTE analysis'!$A8,'Mngt-Payroll'!AN:AN)/SUMIFS(FTE!AN:AN,FTE!$A:$A,'FTE analysis'!$A8,FTE!$B:$B,'FTE analysis'!$B8)/AI$2,0)</f>
        <v>0</v>
      </c>
      <c r="AJ8" s="430">
        <f>IFERROR(SUMIF('Mngt-Payroll'!$AZ:$AZ,'FTE analysis'!$A8,'Mngt-Payroll'!AO:AO)/SUMIFS(FTE!AO:AO,FTE!$A:$A,'FTE analysis'!$A8,FTE!$B:$B,'FTE analysis'!$B8)/AJ$2,0)</f>
        <v>0</v>
      </c>
      <c r="AK8" s="430">
        <f>IFERROR(SUMIF('Mngt-Payroll'!$AZ:$AZ,'FTE analysis'!$A8,'Mngt-Payroll'!AP:AP)/SUMIFS(FTE!AP:AP,FTE!$A:$A,'FTE analysis'!$A8,FTE!$B:$B,'FTE analysis'!$B8)/AK$2,0)</f>
        <v>0</v>
      </c>
      <c r="AL8" s="430">
        <f>IFERROR(SUMIF('Mngt-Payroll'!$AZ:$AZ,'FTE analysis'!$A8,'Mngt-Payroll'!AQ:AQ)/SUMIFS(FTE!AQ:AQ,FTE!$A:$A,'FTE analysis'!$A8,FTE!$B:$B,'FTE analysis'!$B8)/AL$2,0)</f>
        <v>0</v>
      </c>
      <c r="AM8" s="430">
        <f>IFERROR(SUMIF('Mngt-Payroll'!$AZ:$AZ,'FTE analysis'!$A8,'Mngt-Payroll'!AR:AR)/SUMIFS(FTE!AR:AR,FTE!$A:$A,'FTE analysis'!$A8,FTE!$B:$B,'FTE analysis'!$B8)/AM$2,0)</f>
        <v>0</v>
      </c>
      <c r="AN8" s="430">
        <f>IFERROR(SUMIF('Mngt-Payroll'!$AZ:$AZ,'FTE analysis'!$A8,'Mngt-Payroll'!AS:AS)/SUMIFS(FTE!AS:AS,FTE!$A:$A,'FTE analysis'!$A8,FTE!$B:$B,'FTE analysis'!$B8)/AN$2,0)</f>
        <v>0</v>
      </c>
      <c r="AO8" s="430">
        <f t="shared" si="3"/>
        <v>0</v>
      </c>
      <c r="AP8" s="139">
        <f t="shared" si="4"/>
        <v>0</v>
      </c>
      <c r="AQ8" s="139">
        <f t="shared" si="4"/>
        <v>0</v>
      </c>
      <c r="AR8" s="139">
        <f t="shared" si="4"/>
        <v>0</v>
      </c>
      <c r="AS8" s="139">
        <f t="shared" si="0"/>
        <v>0</v>
      </c>
      <c r="AT8" s="139">
        <f t="shared" si="0"/>
        <v>0</v>
      </c>
      <c r="AU8" s="139">
        <f t="shared" si="0"/>
        <v>0</v>
      </c>
      <c r="AV8" s="139">
        <f t="shared" si="0"/>
        <v>0</v>
      </c>
      <c r="AW8" s="139">
        <f t="shared" si="0"/>
        <v>0</v>
      </c>
      <c r="AX8" s="139">
        <f t="shared" si="0"/>
        <v>0</v>
      </c>
      <c r="AY8" s="139">
        <f t="shared" si="0"/>
        <v>0</v>
      </c>
      <c r="AZ8" s="139">
        <f t="shared" si="0"/>
        <v>0</v>
      </c>
      <c r="BA8" s="139">
        <f t="shared" si="0"/>
        <v>0</v>
      </c>
      <c r="BB8" s="439">
        <f t="shared" si="5"/>
        <v>0</v>
      </c>
      <c r="BC8" s="439"/>
      <c r="BD8" s="439">
        <f t="shared" si="6"/>
        <v>0</v>
      </c>
      <c r="BE8" s="484">
        <f>BB8*$BC$2*SUMIFS(FTE!T:T,FTE!$A:$A,'FTE analysis'!$A8,FTE!$B:$B,'FTE analysis'!$B8)</f>
        <v>0</v>
      </c>
      <c r="BF8" s="484">
        <f>(SUMIFS(FTE!T:T,FTE!$A:$A,'FTE analysis'!$A8,FTE!$B:$B,'FTE analysis'!$B8)-SUMIFS(FTE!AT:AT,FTE!$A:$A,'FTE analysis'!$A8,FTE!$B:$B,'FTE analysis'!$B8))</f>
        <v>0</v>
      </c>
      <c r="BG8" s="418">
        <f t="shared" si="7"/>
        <v>0</v>
      </c>
    </row>
    <row r="9" spans="1:59" ht="15" x14ac:dyDescent="0.25">
      <c r="A9" s="703" t="s">
        <v>321</v>
      </c>
      <c r="B9" s="707" t="s">
        <v>202</v>
      </c>
      <c r="C9" s="430">
        <f>IFERROR(SUMIF('Mngt-Payroll'!$AZ:$AZ,'FTE analysis'!$A9,'Mngt-Payroll'!G:G)/SUMIFS(FTE!H:H,FTE!$A:$A,'FTE analysis'!$A9,FTE!$B:$B,'FTE analysis'!$B9)/C$2,0)</f>
        <v>0</v>
      </c>
      <c r="D9" s="430">
        <f>IFERROR(SUMIF('Mngt-Payroll'!$AZ:$AZ,'FTE analysis'!$A9,'Mngt-Payroll'!H:H)/SUMIFS(FTE!I:I,FTE!$A:$A,'FTE analysis'!$A9,FTE!$B:$B,'FTE analysis'!$B9)/D$2,0)</f>
        <v>0</v>
      </c>
      <c r="E9" s="430">
        <f>IFERROR(SUMIF('Mngt-Payroll'!$AZ:$AZ,'FTE analysis'!$A9,'Mngt-Payroll'!I:I)/SUMIFS(FTE!J:J,FTE!$A:$A,'FTE analysis'!$A9,FTE!$B:$B,'FTE analysis'!$B9)/E$2,0)</f>
        <v>0</v>
      </c>
      <c r="F9" s="430">
        <f>IFERROR(SUMIF('Mngt-Payroll'!$AZ:$AZ,'FTE analysis'!$A9,'Mngt-Payroll'!J:J)/SUMIFS(FTE!K:K,FTE!$A:$A,'FTE analysis'!$A9,FTE!$B:$B,'FTE analysis'!$B9)/F$2,0)</f>
        <v>0</v>
      </c>
      <c r="G9" s="430">
        <f>IFERROR(SUMIF('Mngt-Payroll'!$AZ:$AZ,'FTE analysis'!$A9,'Mngt-Payroll'!K:K)/SUMIFS(FTE!L:L,FTE!$A:$A,'FTE analysis'!$A9,FTE!$B:$B,'FTE analysis'!$B9)/G$2,0)</f>
        <v>0</v>
      </c>
      <c r="H9" s="430">
        <f>IFERROR(SUMIF('Mngt-Payroll'!$AZ:$AZ,'FTE analysis'!$A9,'Mngt-Payroll'!L:L)/SUMIFS(FTE!M:M,FTE!$A:$A,'FTE analysis'!$A9,FTE!$B:$B,'FTE analysis'!$B9)/H$2,0)</f>
        <v>0</v>
      </c>
      <c r="I9" s="430">
        <f>IFERROR(SUMIF('Mngt-Payroll'!$AZ:$AZ,'FTE analysis'!$A9,'Mngt-Payroll'!M:M)/SUMIFS(FTE!N:N,FTE!$A:$A,'FTE analysis'!$A9,FTE!$B:$B,'FTE analysis'!$B9)/I$2,0)</f>
        <v>0</v>
      </c>
      <c r="J9" s="430">
        <f>IFERROR(SUMIF('Mngt-Payroll'!$AZ:$AZ,'FTE analysis'!$A9,'Mngt-Payroll'!N:N)/SUMIFS(FTE!O:O,FTE!$A:$A,'FTE analysis'!$A9,FTE!$B:$B,'FTE analysis'!$B9)/J$2,0)</f>
        <v>0</v>
      </c>
      <c r="K9" s="430">
        <f>IFERROR(SUMIF('Mngt-Payroll'!$AZ:$AZ,'FTE analysis'!$A9,'Mngt-Payroll'!O:O)/SUMIFS(FTE!P:P,FTE!$A:$A,'FTE analysis'!$A9,FTE!$B:$B,'FTE analysis'!$B9)/K$2,0)</f>
        <v>0</v>
      </c>
      <c r="L9" s="430">
        <f>IFERROR(SUMIF('Mngt-Payroll'!$AZ:$AZ,'FTE analysis'!$A9,'Mngt-Payroll'!P:P)/SUMIFS(FTE!Q:Q,FTE!$A:$A,'FTE analysis'!$A9,FTE!$B:$B,'FTE analysis'!$B9)/L$2,0)</f>
        <v>0</v>
      </c>
      <c r="M9" s="430">
        <f>IFERROR(SUMIF('Mngt-Payroll'!$AZ:$AZ,'FTE analysis'!$A9,'Mngt-Payroll'!Q:Q)/SUMIFS(FTE!R:R,FTE!$A:$A,'FTE analysis'!$A9,FTE!$B:$B,'FTE analysis'!$B9)/M$2,0)</f>
        <v>0</v>
      </c>
      <c r="N9" s="430">
        <f>IFERROR(SUMIF('Mngt-Payroll'!$AZ:$AZ,'FTE analysis'!$A9,'Mngt-Payroll'!R:R)/SUMIFS(FTE!S:S,FTE!$A:$A,'FTE analysis'!$A9,FTE!$B:$B,'FTE analysis'!$B9)/N$2,0)</f>
        <v>0</v>
      </c>
      <c r="O9" s="430">
        <f t="shared" si="1"/>
        <v>0</v>
      </c>
      <c r="P9" s="430">
        <f>IFERROR(SUMIF('Mngt-Payroll'!$AZ:$AZ,'FTE analysis'!$A9,'Mngt-Payroll'!U:U)/SUMIFS(FTE!U:U,FTE!$A:$A,'FTE analysis'!$A9,FTE!$B:$B,'FTE analysis'!$B9)/P$2,0)</f>
        <v>0</v>
      </c>
      <c r="Q9" s="430">
        <f>IFERROR(SUMIF('Mngt-Payroll'!$AZ:$AZ,'FTE analysis'!$A9,'Mngt-Payroll'!V:V)/SUMIFS(FTE!V:V,FTE!$A:$A,'FTE analysis'!$A9,FTE!$B:$B,'FTE analysis'!$B9)/Q$2,0)</f>
        <v>0</v>
      </c>
      <c r="R9" s="430">
        <f>IFERROR(SUMIF('Mngt-Payroll'!$AZ:$AZ,'FTE analysis'!$A9,'Mngt-Payroll'!W:W)/SUMIFS(FTE!W:W,FTE!$A:$A,'FTE analysis'!$A9,FTE!$B:$B,'FTE analysis'!$B9)/R$2,0)</f>
        <v>0</v>
      </c>
      <c r="S9" s="430">
        <f>IFERROR(SUMIF('Mngt-Payroll'!$AZ:$AZ,'FTE analysis'!$A9,'Mngt-Payroll'!X:X)/SUMIFS(FTE!X:X,FTE!$A:$A,'FTE analysis'!$A9,FTE!$B:$B,'FTE analysis'!$B9)/S$2,0)</f>
        <v>0</v>
      </c>
      <c r="T9" s="430">
        <f>IFERROR(SUMIF('Mngt-Payroll'!$AZ:$AZ,'FTE analysis'!$A9,'Mngt-Payroll'!Y:Y)/SUMIFS(FTE!Y:Y,FTE!$A:$A,'FTE analysis'!$A9,FTE!$B:$B,'FTE analysis'!$B9)/T$2,0)</f>
        <v>0</v>
      </c>
      <c r="U9" s="430">
        <f>IFERROR(SUMIF('Mngt-Payroll'!$AZ:$AZ,'FTE analysis'!$A9,'Mngt-Payroll'!Z:Z)/SUMIFS(FTE!Z:Z,FTE!$A:$A,'FTE analysis'!$A9,FTE!$B:$B,'FTE analysis'!$B9)/U$2,0)</f>
        <v>0</v>
      </c>
      <c r="V9" s="430">
        <f>IFERROR(SUMIF('Mngt-Payroll'!$AZ:$AZ,'FTE analysis'!$A9,'Mngt-Payroll'!AA:AA)/SUMIFS(FTE!AA:AA,FTE!$A:$A,'FTE analysis'!$A9,FTE!$B:$B,'FTE analysis'!$B9)/V$2,0)</f>
        <v>0</v>
      </c>
      <c r="W9" s="430">
        <f>IFERROR(SUMIF('Mngt-Payroll'!$AZ:$AZ,'FTE analysis'!$A9,'Mngt-Payroll'!AB:AB)/SUMIFS(FTE!AB:AB,FTE!$A:$A,'FTE analysis'!$A9,FTE!$B:$B,'FTE analysis'!$B9)/W$2,0)</f>
        <v>0</v>
      </c>
      <c r="X9" s="430">
        <f>IFERROR(SUMIF('Mngt-Payroll'!$AZ:$AZ,'FTE analysis'!$A9,'Mngt-Payroll'!AC:AC)/SUMIFS(FTE!AC:AC,FTE!$A:$A,'FTE analysis'!$A9,FTE!$B:$B,'FTE analysis'!$B9)/X$2,0)</f>
        <v>0</v>
      </c>
      <c r="Y9" s="430">
        <f>IFERROR(SUMIF('Mngt-Payroll'!$AZ:$AZ,'FTE analysis'!$A9,'Mngt-Payroll'!AD:AD)/SUMIFS(FTE!AD:AD,FTE!$A:$A,'FTE analysis'!$A9,FTE!$B:$B,'FTE analysis'!$B9)/Y$2,0)</f>
        <v>0</v>
      </c>
      <c r="Z9" s="430">
        <f>IFERROR(SUMIF('Mngt-Payroll'!$AZ:$AZ,'FTE analysis'!$A9,'Mngt-Payroll'!AE:AE)/SUMIFS(FTE!AE:AE,FTE!$A:$A,'FTE analysis'!$A9,FTE!$B:$B,'FTE analysis'!$B9)/Z$2,0)</f>
        <v>0</v>
      </c>
      <c r="AA9" s="430">
        <f>IFERROR(SUMIF('Mngt-Payroll'!$AZ:$AZ,'FTE analysis'!$A9,'Mngt-Payroll'!AF:AF)/SUMIFS(FTE!AF:AF,FTE!$A:$A,'FTE analysis'!$A9,FTE!$B:$B,'FTE analysis'!$B9)/AA$2,0)</f>
        <v>0</v>
      </c>
      <c r="AB9" s="430">
        <f t="shared" si="2"/>
        <v>0</v>
      </c>
      <c r="AC9" s="430">
        <f>IFERROR(SUMIF('Mngt-Payroll'!$AZ:$AZ,'FTE analysis'!$A9,'Mngt-Payroll'!AH:AH)/SUMIFS(FTE!AH:AH,FTE!$A:$A,'FTE analysis'!$A9,FTE!$B:$B,'FTE analysis'!$B9)/AC$2,0)</f>
        <v>0</v>
      </c>
      <c r="AD9" s="430">
        <f>IFERROR(SUMIF('Mngt-Payroll'!$AZ:$AZ,'FTE analysis'!$A9,'Mngt-Payroll'!AI:AI)/SUMIFS(FTE!AI:AI,FTE!$A:$A,'FTE analysis'!$A9,FTE!$B:$B,'FTE analysis'!$B9)/AD$2,0)</f>
        <v>0</v>
      </c>
      <c r="AE9" s="430">
        <f>IFERROR(SUMIF('Mngt-Payroll'!$AZ:$AZ,'FTE analysis'!$A9,'Mngt-Payroll'!AJ:AJ)/SUMIFS(FTE!AJ:AJ,FTE!$A:$A,'FTE analysis'!$A9,FTE!$B:$B,'FTE analysis'!$B9)/AE$2,0)</f>
        <v>0</v>
      </c>
      <c r="AF9" s="430">
        <f>IFERROR(SUMIF('Mngt-Payroll'!$AZ:$AZ,'FTE analysis'!$A9,'Mngt-Payroll'!AK:AK)/SUMIFS(FTE!AK:AK,FTE!$A:$A,'FTE analysis'!$A9,FTE!$B:$B,'FTE analysis'!$B9)/AF$2,0)</f>
        <v>0</v>
      </c>
      <c r="AG9" s="430">
        <f>IFERROR(SUMIF('Mngt-Payroll'!$AZ:$AZ,'FTE analysis'!$A9,'Mngt-Payroll'!AL:AL)/SUMIFS(FTE!AL:AL,FTE!$A:$A,'FTE analysis'!$A9,FTE!$B:$B,'FTE analysis'!$B9)/AG$2,0)</f>
        <v>0</v>
      </c>
      <c r="AH9" s="430">
        <f>IFERROR(SUMIF('Mngt-Payroll'!$AZ:$AZ,'FTE analysis'!$A9,'Mngt-Payroll'!AM:AM)/SUMIFS(FTE!AM:AM,FTE!$A:$A,'FTE analysis'!$A9,FTE!$B:$B,'FTE analysis'!$B9)/AH$2,0)</f>
        <v>0</v>
      </c>
      <c r="AI9" s="430">
        <f>IFERROR(SUMIF('Mngt-Payroll'!$AZ:$AZ,'FTE analysis'!$A9,'Mngt-Payroll'!AN:AN)/SUMIFS(FTE!AN:AN,FTE!$A:$A,'FTE analysis'!$A9,FTE!$B:$B,'FTE analysis'!$B9)/AI$2,0)</f>
        <v>0</v>
      </c>
      <c r="AJ9" s="430">
        <f>IFERROR(SUMIF('Mngt-Payroll'!$AZ:$AZ,'FTE analysis'!$A9,'Mngt-Payroll'!AO:AO)/SUMIFS(FTE!AO:AO,FTE!$A:$A,'FTE analysis'!$A9,FTE!$B:$B,'FTE analysis'!$B9)/AJ$2,0)</f>
        <v>0</v>
      </c>
      <c r="AK9" s="430">
        <f>IFERROR(SUMIF('Mngt-Payroll'!$AZ:$AZ,'FTE analysis'!$A9,'Mngt-Payroll'!AP:AP)/SUMIFS(FTE!AP:AP,FTE!$A:$A,'FTE analysis'!$A9,FTE!$B:$B,'FTE analysis'!$B9)/AK$2,0)</f>
        <v>0</v>
      </c>
      <c r="AL9" s="430">
        <f>IFERROR(SUMIF('Mngt-Payroll'!$AZ:$AZ,'FTE analysis'!$A9,'Mngt-Payroll'!AQ:AQ)/SUMIFS(FTE!AQ:AQ,FTE!$A:$A,'FTE analysis'!$A9,FTE!$B:$B,'FTE analysis'!$B9)/AL$2,0)</f>
        <v>0</v>
      </c>
      <c r="AM9" s="430">
        <f>IFERROR(SUMIF('Mngt-Payroll'!$AZ:$AZ,'FTE analysis'!$A9,'Mngt-Payroll'!AR:AR)/SUMIFS(FTE!AR:AR,FTE!$A:$A,'FTE analysis'!$A9,FTE!$B:$B,'FTE analysis'!$B9)/AM$2,0)</f>
        <v>0</v>
      </c>
      <c r="AN9" s="430">
        <f>IFERROR(SUMIF('Mngt-Payroll'!$AZ:$AZ,'FTE analysis'!$A9,'Mngt-Payroll'!AS:AS)/SUMIFS(FTE!AS:AS,FTE!$A:$A,'FTE analysis'!$A9,FTE!$B:$B,'FTE analysis'!$B9)/AN$2,0)</f>
        <v>0</v>
      </c>
      <c r="AO9" s="430">
        <f t="shared" si="3"/>
        <v>0</v>
      </c>
      <c r="AP9" s="139">
        <f t="shared" si="4"/>
        <v>0</v>
      </c>
      <c r="AQ9" s="139">
        <f t="shared" si="4"/>
        <v>0</v>
      </c>
      <c r="AR9" s="139">
        <f t="shared" si="4"/>
        <v>0</v>
      </c>
      <c r="AS9" s="139">
        <f t="shared" si="0"/>
        <v>0</v>
      </c>
      <c r="AT9" s="139">
        <f t="shared" si="0"/>
        <v>0</v>
      </c>
      <c r="AU9" s="139">
        <f t="shared" si="0"/>
        <v>0</v>
      </c>
      <c r="AV9" s="139">
        <f t="shared" si="0"/>
        <v>0</v>
      </c>
      <c r="AW9" s="139">
        <f t="shared" si="0"/>
        <v>0</v>
      </c>
      <c r="AX9" s="139">
        <f t="shared" si="0"/>
        <v>0</v>
      </c>
      <c r="AY9" s="139">
        <f t="shared" si="0"/>
        <v>0</v>
      </c>
      <c r="AZ9" s="139">
        <f t="shared" si="0"/>
        <v>0</v>
      </c>
      <c r="BA9" s="139">
        <f t="shared" si="0"/>
        <v>0</v>
      </c>
      <c r="BB9" s="439">
        <f t="shared" si="5"/>
        <v>0</v>
      </c>
      <c r="BC9" s="439"/>
      <c r="BD9" s="439">
        <f t="shared" si="6"/>
        <v>0</v>
      </c>
      <c r="BE9" s="484">
        <f>BB9*$BC$2*SUMIFS(FTE!T:T,FTE!$A:$A,'FTE analysis'!$A9,FTE!$B:$B,'FTE analysis'!$B9)</f>
        <v>0</v>
      </c>
      <c r="BF9" s="484">
        <f>(SUMIFS(FTE!T:T,FTE!$A:$A,'FTE analysis'!$A9,FTE!$B:$B,'FTE analysis'!$B9)-SUMIFS(FTE!AT:AT,FTE!$A:$A,'FTE analysis'!$A9,FTE!$B:$B,'FTE analysis'!$B9))</f>
        <v>0</v>
      </c>
      <c r="BG9" s="418">
        <f t="shared" si="7"/>
        <v>0</v>
      </c>
    </row>
    <row r="10" spans="1:59" ht="15" x14ac:dyDescent="0.25">
      <c r="A10" s="703" t="s">
        <v>322</v>
      </c>
      <c r="B10" s="707" t="s">
        <v>202</v>
      </c>
      <c r="C10" s="430">
        <f>IFERROR(SUMIF('Mngt-Payroll'!$AZ:$AZ,'FTE analysis'!$A10,'Mngt-Payroll'!G:G)/SUMIFS(FTE!H:H,FTE!$A:$A,'FTE analysis'!$A10,FTE!$B:$B,'FTE analysis'!$B10)/C$2,0)</f>
        <v>277.28795451101888</v>
      </c>
      <c r="D10" s="430">
        <f>IFERROR(SUMIF('Mngt-Payroll'!$AZ:$AZ,'FTE analysis'!$A10,'Mngt-Payroll'!H:H)/SUMIFS(FTE!I:I,FTE!$A:$A,'FTE analysis'!$A10,FTE!$B:$B,'FTE analysis'!$B10)/D$2,0)</f>
        <v>303.99779314245848</v>
      </c>
      <c r="E10" s="430">
        <f>IFERROR(SUMIF('Mngt-Payroll'!$AZ:$AZ,'FTE analysis'!$A10,'Mngt-Payroll'!I:I)/SUMIFS(FTE!J:J,FTE!$A:$A,'FTE analysis'!$A10,FTE!$B:$B,'FTE analysis'!$B10)/E$2,0)</f>
        <v>301.07292837458942</v>
      </c>
      <c r="F10" s="430">
        <f>IFERROR(SUMIF('Mngt-Payroll'!$AZ:$AZ,'FTE analysis'!$A10,'Mngt-Payroll'!J:J)/SUMIFS(FTE!K:K,FTE!$A:$A,'FTE analysis'!$A10,FTE!$B:$B,'FTE analysis'!$B10)/F$2,0)</f>
        <v>240.07156523473532</v>
      </c>
      <c r="G10" s="430">
        <f>IFERROR(SUMIF('Mngt-Payroll'!$AZ:$AZ,'FTE analysis'!$A10,'Mngt-Payroll'!K:K)/SUMIFS(FTE!L:L,FTE!$A:$A,'FTE analysis'!$A10,FTE!$B:$B,'FTE analysis'!$B10)/G$2,0)</f>
        <v>0</v>
      </c>
      <c r="H10" s="430">
        <f>IFERROR(SUMIF('Mngt-Payroll'!$AZ:$AZ,'FTE analysis'!$A10,'Mngt-Payroll'!L:L)/SUMIFS(FTE!M:M,FTE!$A:$A,'FTE analysis'!$A10,FTE!$B:$B,'FTE analysis'!$B10)/H$2,0)</f>
        <v>0</v>
      </c>
      <c r="I10" s="430">
        <f>IFERROR(SUMIF('Mngt-Payroll'!$AZ:$AZ,'FTE analysis'!$A10,'Mngt-Payroll'!M:M)/SUMIFS(FTE!N:N,FTE!$A:$A,'FTE analysis'!$A10,FTE!$B:$B,'FTE analysis'!$B10)/I$2,0)</f>
        <v>0</v>
      </c>
      <c r="J10" s="430">
        <f>IFERROR(SUMIF('Mngt-Payroll'!$AZ:$AZ,'FTE analysis'!$A10,'Mngt-Payroll'!N:N)/SUMIFS(FTE!O:O,FTE!$A:$A,'FTE analysis'!$A10,FTE!$B:$B,'FTE analysis'!$B10)/J$2,0)</f>
        <v>0</v>
      </c>
      <c r="K10" s="430">
        <f>IFERROR(SUMIF('Mngt-Payroll'!$AZ:$AZ,'FTE analysis'!$A10,'Mngt-Payroll'!O:O)/SUMIFS(FTE!P:P,FTE!$A:$A,'FTE analysis'!$A10,FTE!$B:$B,'FTE analysis'!$B10)/K$2,0)</f>
        <v>0</v>
      </c>
      <c r="L10" s="430">
        <f>IFERROR(SUMIF('Mngt-Payroll'!$AZ:$AZ,'FTE analysis'!$A10,'Mngt-Payroll'!P:P)/SUMIFS(FTE!Q:Q,FTE!$A:$A,'FTE analysis'!$A10,FTE!$B:$B,'FTE analysis'!$B10)/L$2,0)</f>
        <v>0</v>
      </c>
      <c r="M10" s="430">
        <f>IFERROR(SUMIF('Mngt-Payroll'!$AZ:$AZ,'FTE analysis'!$A10,'Mngt-Payroll'!Q:Q)/SUMIFS(FTE!R:R,FTE!$A:$A,'FTE analysis'!$A10,FTE!$B:$B,'FTE analysis'!$B10)/M$2,0)</f>
        <v>0</v>
      </c>
      <c r="N10" s="430">
        <f>IFERROR(SUMIF('Mngt-Payroll'!$AZ:$AZ,'FTE analysis'!$A10,'Mngt-Payroll'!R:R)/SUMIFS(FTE!S:S,FTE!$A:$A,'FTE analysis'!$A10,FTE!$B:$B,'FTE analysis'!$B10)/N$2,0)</f>
        <v>0</v>
      </c>
      <c r="O10" s="430">
        <f t="shared" si="1"/>
        <v>290.64287382673865</v>
      </c>
      <c r="P10" s="430">
        <f>IFERROR(SUMIF('Mngt-Payroll'!$AZ:$AZ,'FTE analysis'!$A10,'Mngt-Payroll'!U:U)/SUMIFS(FTE!U:U,FTE!$A:$A,'FTE analysis'!$A10,FTE!$B:$B,'FTE analysis'!$B10)/P$2,0)</f>
        <v>0</v>
      </c>
      <c r="Q10" s="430">
        <f>IFERROR(SUMIF('Mngt-Payroll'!$AZ:$AZ,'FTE analysis'!$A10,'Mngt-Payroll'!V:V)/SUMIFS(FTE!V:V,FTE!$A:$A,'FTE analysis'!$A10,FTE!$B:$B,'FTE analysis'!$B10)/Q$2,0)</f>
        <v>0</v>
      </c>
      <c r="R10" s="430">
        <f>IFERROR(SUMIF('Mngt-Payroll'!$AZ:$AZ,'FTE analysis'!$A10,'Mngt-Payroll'!W:W)/SUMIFS(FTE!W:W,FTE!$A:$A,'FTE analysis'!$A10,FTE!$B:$B,'FTE analysis'!$B10)/R$2,0)</f>
        <v>0</v>
      </c>
      <c r="S10" s="430">
        <f>IFERROR(SUMIF('Mngt-Payroll'!$AZ:$AZ,'FTE analysis'!$A10,'Mngt-Payroll'!X:X)/SUMIFS(FTE!X:X,FTE!$A:$A,'FTE analysis'!$A10,FTE!$B:$B,'FTE analysis'!$B10)/S$2,0)</f>
        <v>0</v>
      </c>
      <c r="T10" s="430">
        <f>IFERROR(SUMIF('Mngt-Payroll'!$AZ:$AZ,'FTE analysis'!$A10,'Mngt-Payroll'!Y:Y)/SUMIFS(FTE!Y:Y,FTE!$A:$A,'FTE analysis'!$A10,FTE!$B:$B,'FTE analysis'!$B10)/T$2,0)</f>
        <v>0</v>
      </c>
      <c r="U10" s="430">
        <f>IFERROR(SUMIF('Mngt-Payroll'!$AZ:$AZ,'FTE analysis'!$A10,'Mngt-Payroll'!Z:Z)/SUMIFS(FTE!Z:Z,FTE!$A:$A,'FTE analysis'!$A10,FTE!$B:$B,'FTE analysis'!$B10)/U$2,0)</f>
        <v>0</v>
      </c>
      <c r="V10" s="430">
        <f>IFERROR(SUMIF('Mngt-Payroll'!$AZ:$AZ,'FTE analysis'!$A10,'Mngt-Payroll'!AA:AA)/SUMIFS(FTE!AA:AA,FTE!$A:$A,'FTE analysis'!$A10,FTE!$B:$B,'FTE analysis'!$B10)/V$2,0)</f>
        <v>0</v>
      </c>
      <c r="W10" s="430">
        <f>IFERROR(SUMIF('Mngt-Payroll'!$AZ:$AZ,'FTE analysis'!$A10,'Mngt-Payroll'!AB:AB)/SUMIFS(FTE!AB:AB,FTE!$A:$A,'FTE analysis'!$A10,FTE!$B:$B,'FTE analysis'!$B10)/W$2,0)</f>
        <v>0</v>
      </c>
      <c r="X10" s="430">
        <f>IFERROR(SUMIF('Mngt-Payroll'!$AZ:$AZ,'FTE analysis'!$A10,'Mngt-Payroll'!AC:AC)/SUMIFS(FTE!AC:AC,FTE!$A:$A,'FTE analysis'!$A10,FTE!$B:$B,'FTE analysis'!$B10)/X$2,0)</f>
        <v>0</v>
      </c>
      <c r="Y10" s="430">
        <f>IFERROR(SUMIF('Mngt-Payroll'!$AZ:$AZ,'FTE analysis'!$A10,'Mngt-Payroll'!AD:AD)/SUMIFS(FTE!AD:AD,FTE!$A:$A,'FTE analysis'!$A10,FTE!$B:$B,'FTE analysis'!$B10)/Y$2,0)</f>
        <v>0</v>
      </c>
      <c r="Z10" s="430">
        <f>IFERROR(SUMIF('Mngt-Payroll'!$AZ:$AZ,'FTE analysis'!$A10,'Mngt-Payroll'!AE:AE)/SUMIFS(FTE!AE:AE,FTE!$A:$A,'FTE analysis'!$A10,FTE!$B:$B,'FTE analysis'!$B10)/Z$2,0)</f>
        <v>0</v>
      </c>
      <c r="AA10" s="430">
        <f>IFERROR(SUMIF('Mngt-Payroll'!$AZ:$AZ,'FTE analysis'!$A10,'Mngt-Payroll'!AF:AF)/SUMIFS(FTE!AF:AF,FTE!$A:$A,'FTE analysis'!$A10,FTE!$B:$B,'FTE analysis'!$B10)/AA$2,0)</f>
        <v>0</v>
      </c>
      <c r="AB10" s="430">
        <f t="shared" si="2"/>
        <v>0</v>
      </c>
      <c r="AC10" s="430">
        <f>IFERROR(SUMIF('Mngt-Payroll'!$AZ:$AZ,'FTE analysis'!$A10,'Mngt-Payroll'!AH:AH)/SUMIFS(FTE!AH:AH,FTE!$A:$A,'FTE analysis'!$A10,FTE!$B:$B,'FTE analysis'!$B10)/AC$2,0)</f>
        <v>235.28821288931317</v>
      </c>
      <c r="AD10" s="430">
        <f>IFERROR(SUMIF('Mngt-Payroll'!$AZ:$AZ,'FTE analysis'!$A10,'Mngt-Payroll'!AI:AI)/SUMIFS(FTE!AI:AI,FTE!$A:$A,'FTE analysis'!$A10,FTE!$B:$B,'FTE analysis'!$B10)/AD$2,0)</f>
        <v>291.67682720314298</v>
      </c>
      <c r="AE10" s="430">
        <f>IFERROR(SUMIF('Mngt-Payroll'!$AZ:$AZ,'FTE analysis'!$A10,'Mngt-Payroll'!AJ:AJ)/SUMIFS(FTE!AJ:AJ,FTE!$A:$A,'FTE analysis'!$A10,FTE!$B:$B,'FTE analysis'!$B10)/AE$2,0)</f>
        <v>251.98393219451535</v>
      </c>
      <c r="AF10" s="430">
        <f>IFERROR(SUMIF('Mngt-Payroll'!$AZ:$AZ,'FTE analysis'!$A10,'Mngt-Payroll'!AK:AK)/SUMIFS(FTE!AK:AK,FTE!$A:$A,'FTE analysis'!$A10,FTE!$B:$B,'FTE analysis'!$B10)/AF$2,0)</f>
        <v>248.44678221846445</v>
      </c>
      <c r="AG10" s="430">
        <f>IFERROR(SUMIF('Mngt-Payroll'!$AZ:$AZ,'FTE analysis'!$A10,'Mngt-Payroll'!AL:AL)/SUMIFS(FTE!AL:AL,FTE!$A:$A,'FTE analysis'!$A10,FTE!$B:$B,'FTE analysis'!$B10)/AG$2,0)</f>
        <v>364.60935334872977</v>
      </c>
      <c r="AH10" s="430">
        <f>IFERROR(SUMIF('Mngt-Payroll'!$AZ:$AZ,'FTE analysis'!$A10,'Mngt-Payroll'!AM:AM)/SUMIFS(FTE!AM:AM,FTE!$A:$A,'FTE analysis'!$A10,FTE!$B:$B,'FTE analysis'!$B10)/AH$2,0)</f>
        <v>306.65414592612001</v>
      </c>
      <c r="AI10" s="430">
        <f>IFERROR(SUMIF('Mngt-Payroll'!$AZ:$AZ,'FTE analysis'!$A10,'Mngt-Payroll'!AN:AN)/SUMIFS(FTE!AN:AN,FTE!$A:$A,'FTE analysis'!$A10,FTE!$B:$B,'FTE analysis'!$B10)/AI$2,0)</f>
        <v>263.21700671487605</v>
      </c>
      <c r="AJ10" s="430">
        <f>IFERROR(SUMIF('Mngt-Payroll'!$AZ:$AZ,'FTE analysis'!$A10,'Mngt-Payroll'!AO:AO)/SUMIFS(FTE!AO:AO,FTE!$A:$A,'FTE analysis'!$A10,FTE!$B:$B,'FTE analysis'!$B10)/AJ$2,0)</f>
        <v>293.19593946105573</v>
      </c>
      <c r="AK10" s="430">
        <f>IFERROR(SUMIF('Mngt-Payroll'!$AZ:$AZ,'FTE analysis'!$A10,'Mngt-Payroll'!AP:AP)/SUMIFS(FTE!AP:AP,FTE!$A:$A,'FTE analysis'!$A10,FTE!$B:$B,'FTE analysis'!$B10)/AK$2,0)</f>
        <v>319.42288770053477</v>
      </c>
      <c r="AL10" s="430">
        <f>IFERROR(SUMIF('Mngt-Payroll'!$AZ:$AZ,'FTE analysis'!$A10,'Mngt-Payroll'!AQ:AQ)/SUMIFS(FTE!AQ:AQ,FTE!$A:$A,'FTE analysis'!$A10,FTE!$B:$B,'FTE analysis'!$B10)/AL$2,0)</f>
        <v>257.23079462546627</v>
      </c>
      <c r="AM10" s="430">
        <f>IFERROR(SUMIF('Mngt-Payroll'!$AZ:$AZ,'FTE analysis'!$A10,'Mngt-Payroll'!AR:AR)/SUMIFS(FTE!AR:AR,FTE!$A:$A,'FTE analysis'!$A10,FTE!$B:$B,'FTE analysis'!$B10)/AM$2,0)</f>
        <v>336.89567765567767</v>
      </c>
      <c r="AN10" s="430">
        <f>IFERROR(SUMIF('Mngt-Payroll'!$AZ:$AZ,'FTE analysis'!$A10,'Mngt-Payroll'!AS:AS)/SUMIFS(FTE!AS:AS,FTE!$A:$A,'FTE analysis'!$A10,FTE!$B:$B,'FTE analysis'!$B10)/AN$2,0)</f>
        <v>1183.2623557820234</v>
      </c>
      <c r="AO10" s="430">
        <f t="shared" si="3"/>
        <v>263.48252004622805</v>
      </c>
      <c r="AP10" s="139">
        <f t="shared" si="4"/>
        <v>41.999741621705709</v>
      </c>
      <c r="AQ10" s="139">
        <f t="shared" si="4"/>
        <v>12.320965939315499</v>
      </c>
      <c r="AR10" s="139">
        <f t="shared" si="4"/>
        <v>49.088996180074076</v>
      </c>
      <c r="AS10" s="139">
        <f t="shared" si="0"/>
        <v>-8.3752169837291319</v>
      </c>
      <c r="AT10" s="139">
        <f t="shared" si="0"/>
        <v>0</v>
      </c>
      <c r="AU10" s="139">
        <f t="shared" si="0"/>
        <v>0</v>
      </c>
      <c r="AV10" s="139">
        <f t="shared" si="0"/>
        <v>0</v>
      </c>
      <c r="AW10" s="139">
        <f t="shared" si="0"/>
        <v>0</v>
      </c>
      <c r="AX10" s="139">
        <f t="shared" si="0"/>
        <v>0</v>
      </c>
      <c r="AY10" s="139">
        <f t="shared" si="0"/>
        <v>0</v>
      </c>
      <c r="AZ10" s="139">
        <f t="shared" si="0"/>
        <v>0</v>
      </c>
      <c r="BA10" s="139">
        <f t="shared" si="0"/>
        <v>0</v>
      </c>
      <c r="BB10" s="439">
        <f t="shared" si="5"/>
        <v>27.160353780510604</v>
      </c>
      <c r="BC10" s="439"/>
      <c r="BD10" s="439">
        <f t="shared" si="6"/>
        <v>0</v>
      </c>
      <c r="BE10" s="484">
        <f>BB10*$BC$2*SUMIFS(FTE!T:T,FTE!$A:$A,'FTE analysis'!$A10,FTE!$B:$B,'FTE analysis'!$B10)</f>
        <v>0</v>
      </c>
      <c r="BF10" s="484">
        <f>(SUMIFS(FTE!T:T,FTE!$A:$A,'FTE analysis'!$A10,FTE!$B:$B,'FTE analysis'!$B10)-SUMIFS(FTE!AT:AT,FTE!$A:$A,'FTE analysis'!$A10,FTE!$B:$B,'FTE analysis'!$B10))</f>
        <v>-0.80112894736842222</v>
      </c>
      <c r="BG10" s="418">
        <f t="shared" si="7"/>
        <v>0</v>
      </c>
    </row>
    <row r="11" spans="1:59" ht="15" x14ac:dyDescent="0.25">
      <c r="A11" s="703" t="s">
        <v>323</v>
      </c>
      <c r="B11" s="707" t="s">
        <v>202</v>
      </c>
      <c r="C11" s="430">
        <f>IFERROR(SUMIF('Mngt-Payroll'!$AZ:$AZ,'FTE analysis'!$A11,'Mngt-Payroll'!G:G)/SUMIFS(FTE!H:H,FTE!$A:$A,'FTE analysis'!$A11,FTE!$B:$B,'FTE analysis'!$B11)/C$2,0)</f>
        <v>402.51565217391305</v>
      </c>
      <c r="D11" s="430">
        <f>IFERROR(SUMIF('Mngt-Payroll'!$AZ:$AZ,'FTE analysis'!$A11,'Mngt-Payroll'!H:H)/SUMIFS(FTE!I:I,FTE!$A:$A,'FTE analysis'!$A11,FTE!$B:$B,'FTE analysis'!$B11)/D$2,0)</f>
        <v>432.14666666666665</v>
      </c>
      <c r="E11" s="430">
        <f>IFERROR(SUMIF('Mngt-Payroll'!$AZ:$AZ,'FTE analysis'!$A11,'Mngt-Payroll'!I:I)/SUMIFS(FTE!J:J,FTE!$A:$A,'FTE analysis'!$A11,FTE!$B:$B,'FTE analysis'!$B11)/E$2,0)</f>
        <v>466.11772727272728</v>
      </c>
      <c r="F11" s="430">
        <f>IFERROR(SUMIF('Mngt-Payroll'!$AZ:$AZ,'FTE analysis'!$A11,'Mngt-Payroll'!J:J)/SUMIFS(FTE!K:K,FTE!$A:$A,'FTE analysis'!$A11,FTE!$B:$B,'FTE analysis'!$B11)/F$2,0)</f>
        <v>307.98956521739132</v>
      </c>
      <c r="G11" s="430">
        <f>IFERROR(SUMIF('Mngt-Payroll'!$AZ:$AZ,'FTE analysis'!$A11,'Mngt-Payroll'!K:K)/SUMIFS(FTE!L:L,FTE!$A:$A,'FTE analysis'!$A11,FTE!$B:$B,'FTE analysis'!$B11)/G$2,0)</f>
        <v>0</v>
      </c>
      <c r="H11" s="430">
        <f>IFERROR(SUMIF('Mngt-Payroll'!$AZ:$AZ,'FTE analysis'!$A11,'Mngt-Payroll'!L:L)/SUMIFS(FTE!M:M,FTE!$A:$A,'FTE analysis'!$A11,FTE!$B:$B,'FTE analysis'!$B11)/H$2,0)</f>
        <v>0</v>
      </c>
      <c r="I11" s="430">
        <f>IFERROR(SUMIF('Mngt-Payroll'!$AZ:$AZ,'FTE analysis'!$A11,'Mngt-Payroll'!M:M)/SUMIFS(FTE!N:N,FTE!$A:$A,'FTE analysis'!$A11,FTE!$B:$B,'FTE analysis'!$B11)/I$2,0)</f>
        <v>0</v>
      </c>
      <c r="J11" s="430">
        <f>IFERROR(SUMIF('Mngt-Payroll'!$AZ:$AZ,'FTE analysis'!$A11,'Mngt-Payroll'!N:N)/SUMIFS(FTE!O:O,FTE!$A:$A,'FTE analysis'!$A11,FTE!$B:$B,'FTE analysis'!$B11)/J$2,0)</f>
        <v>0</v>
      </c>
      <c r="K11" s="430">
        <f>IFERROR(SUMIF('Mngt-Payroll'!$AZ:$AZ,'FTE analysis'!$A11,'Mngt-Payroll'!O:O)/SUMIFS(FTE!P:P,FTE!$A:$A,'FTE analysis'!$A11,FTE!$B:$B,'FTE analysis'!$B11)/K$2,0)</f>
        <v>0</v>
      </c>
      <c r="L11" s="430">
        <f>IFERROR(SUMIF('Mngt-Payroll'!$AZ:$AZ,'FTE analysis'!$A11,'Mngt-Payroll'!P:P)/SUMIFS(FTE!Q:Q,FTE!$A:$A,'FTE analysis'!$A11,FTE!$B:$B,'FTE analysis'!$B11)/L$2,0)</f>
        <v>0</v>
      </c>
      <c r="M11" s="430">
        <f>IFERROR(SUMIF('Mngt-Payroll'!$AZ:$AZ,'FTE analysis'!$A11,'Mngt-Payroll'!Q:Q)/SUMIFS(FTE!R:R,FTE!$A:$A,'FTE analysis'!$A11,FTE!$B:$B,'FTE analysis'!$B11)/M$2,0)</f>
        <v>0</v>
      </c>
      <c r="N11" s="430">
        <f>IFERROR(SUMIF('Mngt-Payroll'!$AZ:$AZ,'FTE analysis'!$A11,'Mngt-Payroll'!R:R)/SUMIFS(FTE!S:S,FTE!$A:$A,'FTE analysis'!$A11,FTE!$B:$B,'FTE analysis'!$B11)/N$2,0)</f>
        <v>0</v>
      </c>
      <c r="O11" s="430">
        <f t="shared" si="1"/>
        <v>417.33115942028985</v>
      </c>
      <c r="P11" s="430">
        <f>IFERROR(SUMIF('Mngt-Payroll'!$AZ:$AZ,'FTE analysis'!$A11,'Mngt-Payroll'!U:U)/SUMIFS(FTE!U:U,FTE!$A:$A,'FTE analysis'!$A11,FTE!$B:$B,'FTE analysis'!$B11)/P$2,0)</f>
        <v>0</v>
      </c>
      <c r="Q11" s="430">
        <f>IFERROR(SUMIF('Mngt-Payroll'!$AZ:$AZ,'FTE analysis'!$A11,'Mngt-Payroll'!V:V)/SUMIFS(FTE!V:V,FTE!$A:$A,'FTE analysis'!$A11,FTE!$B:$B,'FTE analysis'!$B11)/Q$2,0)</f>
        <v>0</v>
      </c>
      <c r="R11" s="430">
        <f>IFERROR(SUMIF('Mngt-Payroll'!$AZ:$AZ,'FTE analysis'!$A11,'Mngt-Payroll'!W:W)/SUMIFS(FTE!W:W,FTE!$A:$A,'FTE analysis'!$A11,FTE!$B:$B,'FTE analysis'!$B11)/R$2,0)</f>
        <v>0</v>
      </c>
      <c r="S11" s="430">
        <f>IFERROR(SUMIF('Mngt-Payroll'!$AZ:$AZ,'FTE analysis'!$A11,'Mngt-Payroll'!X:X)/SUMIFS(FTE!X:X,FTE!$A:$A,'FTE analysis'!$A11,FTE!$B:$B,'FTE analysis'!$B11)/S$2,0)</f>
        <v>0</v>
      </c>
      <c r="T11" s="430">
        <f>IFERROR(SUMIF('Mngt-Payroll'!$AZ:$AZ,'FTE analysis'!$A11,'Mngt-Payroll'!Y:Y)/SUMIFS(FTE!Y:Y,FTE!$A:$A,'FTE analysis'!$A11,FTE!$B:$B,'FTE analysis'!$B11)/T$2,0)</f>
        <v>0</v>
      </c>
      <c r="U11" s="430">
        <f>IFERROR(SUMIF('Mngt-Payroll'!$AZ:$AZ,'FTE analysis'!$A11,'Mngt-Payroll'!Z:Z)/SUMIFS(FTE!Z:Z,FTE!$A:$A,'FTE analysis'!$A11,FTE!$B:$B,'FTE analysis'!$B11)/U$2,0)</f>
        <v>0</v>
      </c>
      <c r="V11" s="430">
        <f>IFERROR(SUMIF('Mngt-Payroll'!$AZ:$AZ,'FTE analysis'!$A11,'Mngt-Payroll'!AA:AA)/SUMIFS(FTE!AA:AA,FTE!$A:$A,'FTE analysis'!$A11,FTE!$B:$B,'FTE analysis'!$B11)/V$2,0)</f>
        <v>0</v>
      </c>
      <c r="W11" s="430">
        <f>IFERROR(SUMIF('Mngt-Payroll'!$AZ:$AZ,'FTE analysis'!$A11,'Mngt-Payroll'!AB:AB)/SUMIFS(FTE!AB:AB,FTE!$A:$A,'FTE analysis'!$A11,FTE!$B:$B,'FTE analysis'!$B11)/W$2,0)</f>
        <v>0</v>
      </c>
      <c r="X11" s="430">
        <f>IFERROR(SUMIF('Mngt-Payroll'!$AZ:$AZ,'FTE analysis'!$A11,'Mngt-Payroll'!AC:AC)/SUMIFS(FTE!AC:AC,FTE!$A:$A,'FTE analysis'!$A11,FTE!$B:$B,'FTE analysis'!$B11)/X$2,0)</f>
        <v>0</v>
      </c>
      <c r="Y11" s="430">
        <f>IFERROR(SUMIF('Mngt-Payroll'!$AZ:$AZ,'FTE analysis'!$A11,'Mngt-Payroll'!AD:AD)/SUMIFS(FTE!AD:AD,FTE!$A:$A,'FTE analysis'!$A11,FTE!$B:$B,'FTE analysis'!$B11)/Y$2,0)</f>
        <v>0</v>
      </c>
      <c r="Z11" s="430">
        <f>IFERROR(SUMIF('Mngt-Payroll'!$AZ:$AZ,'FTE analysis'!$A11,'Mngt-Payroll'!AE:AE)/SUMIFS(FTE!AE:AE,FTE!$A:$A,'FTE analysis'!$A11,FTE!$B:$B,'FTE analysis'!$B11)/Z$2,0)</f>
        <v>0</v>
      </c>
      <c r="AA11" s="430">
        <f>IFERROR(SUMIF('Mngt-Payroll'!$AZ:$AZ,'FTE analysis'!$A11,'Mngt-Payroll'!AF:AF)/SUMIFS(FTE!AF:AF,FTE!$A:$A,'FTE analysis'!$A11,FTE!$B:$B,'FTE analysis'!$B11)/AA$2,0)</f>
        <v>0</v>
      </c>
      <c r="AB11" s="430">
        <f t="shared" si="2"/>
        <v>0</v>
      </c>
      <c r="AC11" s="430">
        <f>IFERROR(SUMIF('Mngt-Payroll'!$AZ:$AZ,'FTE analysis'!$A11,'Mngt-Payroll'!AH:AH)/SUMIFS(FTE!AH:AH,FTE!$A:$A,'FTE analysis'!$A11,FTE!$B:$B,'FTE analysis'!$B11)/AC$2,0)</f>
        <v>346.87961415857893</v>
      </c>
      <c r="AD11" s="430">
        <f>IFERROR(SUMIF('Mngt-Payroll'!$AZ:$AZ,'FTE analysis'!$A11,'Mngt-Payroll'!AI:AI)/SUMIFS(FTE!AI:AI,FTE!$A:$A,'FTE analysis'!$A11,FTE!$B:$B,'FTE analysis'!$B11)/AD$2,0)</f>
        <v>306.32663928191084</v>
      </c>
      <c r="AE11" s="430">
        <f>IFERROR(SUMIF('Mngt-Payroll'!$AZ:$AZ,'FTE analysis'!$A11,'Mngt-Payroll'!AJ:AJ)/SUMIFS(FTE!AJ:AJ,FTE!$A:$A,'FTE analysis'!$A11,FTE!$B:$B,'FTE analysis'!$B11)/AE$2,0)</f>
        <v>294.45379927869669</v>
      </c>
      <c r="AF11" s="430">
        <f>IFERROR(SUMIF('Mngt-Payroll'!$AZ:$AZ,'FTE analysis'!$A11,'Mngt-Payroll'!AK:AK)/SUMIFS(FTE!AK:AK,FTE!$A:$A,'FTE analysis'!$A11,FTE!$B:$B,'FTE analysis'!$B11)/AF$2,0)</f>
        <v>374.1687698104181</v>
      </c>
      <c r="AG11" s="430">
        <f>IFERROR(SUMIF('Mngt-Payroll'!$AZ:$AZ,'FTE analysis'!$A11,'Mngt-Payroll'!AL:AL)/SUMIFS(FTE!AL:AL,FTE!$A:$A,'FTE analysis'!$A11,FTE!$B:$B,'FTE analysis'!$B11)/AG$2,0)</f>
        <v>355.35848452508003</v>
      </c>
      <c r="AH11" s="430">
        <f>IFERROR(SUMIF('Mngt-Payroll'!$AZ:$AZ,'FTE analysis'!$A11,'Mngt-Payroll'!AM:AM)/SUMIFS(FTE!AM:AM,FTE!$A:$A,'FTE analysis'!$A11,FTE!$B:$B,'FTE analysis'!$B11)/AH$2,0)</f>
        <v>331.78345406782364</v>
      </c>
      <c r="AI11" s="430">
        <f>IFERROR(SUMIF('Mngt-Payroll'!$AZ:$AZ,'FTE analysis'!$A11,'Mngt-Payroll'!AN:AN)/SUMIFS(FTE!AN:AN,FTE!$A:$A,'FTE analysis'!$A11,FTE!$B:$B,'FTE analysis'!$B11)/AI$2,0)</f>
        <v>204.36623153622511</v>
      </c>
      <c r="AJ11" s="430">
        <f>IFERROR(SUMIF('Mngt-Payroll'!$AZ:$AZ,'FTE analysis'!$A11,'Mngt-Payroll'!AO:AO)/SUMIFS(FTE!AO:AO,FTE!$A:$A,'FTE analysis'!$A11,FTE!$B:$B,'FTE analysis'!$B11)/AJ$2,0)</f>
        <v>872.40476190476193</v>
      </c>
      <c r="AK11" s="430">
        <f>IFERROR(SUMIF('Mngt-Payroll'!$AZ:$AZ,'FTE analysis'!$A11,'Mngt-Payroll'!AP:AP)/SUMIFS(FTE!AP:AP,FTE!$A:$A,'FTE analysis'!$A11,FTE!$B:$B,'FTE analysis'!$B11)/AK$2,0)</f>
        <v>239.18631342355695</v>
      </c>
      <c r="AL11" s="430">
        <f>IFERROR(SUMIF('Mngt-Payroll'!$AZ:$AZ,'FTE analysis'!$A11,'Mngt-Payroll'!AQ:AQ)/SUMIFS(FTE!AQ:AQ,FTE!$A:$A,'FTE analysis'!$A11,FTE!$B:$B,'FTE analysis'!$B11)/AL$2,0)</f>
        <v>143.88545007084792</v>
      </c>
      <c r="AM11" s="430">
        <f>IFERROR(SUMIF('Mngt-Payroll'!$AZ:$AZ,'FTE analysis'!$A11,'Mngt-Payroll'!AR:AR)/SUMIFS(FTE!AR:AR,FTE!$A:$A,'FTE analysis'!$A11,FTE!$B:$B,'FTE analysis'!$B11)/AM$2,0)</f>
        <v>438.6142857142857</v>
      </c>
      <c r="AN11" s="430">
        <f>IFERROR(SUMIF('Mngt-Payroll'!$AZ:$AZ,'FTE analysis'!$A11,'Mngt-Payroll'!AS:AS)/SUMIFS(FTE!AS:AS,FTE!$A:$A,'FTE analysis'!$A11,FTE!$B:$B,'FTE analysis'!$B11)/AN$2,0)</f>
        <v>4634.4763636363632</v>
      </c>
      <c r="AO11" s="430">
        <f t="shared" si="3"/>
        <v>326.60312672024486</v>
      </c>
      <c r="AP11" s="139">
        <f t="shared" si="4"/>
        <v>55.636038015334123</v>
      </c>
      <c r="AQ11" s="139">
        <f t="shared" si="4"/>
        <v>125.8200273847558</v>
      </c>
      <c r="AR11" s="139">
        <f t="shared" si="4"/>
        <v>171.66392799403059</v>
      </c>
      <c r="AS11" s="139">
        <f t="shared" si="0"/>
        <v>-66.179204593026782</v>
      </c>
      <c r="AT11" s="139">
        <f t="shared" si="0"/>
        <v>0</v>
      </c>
      <c r="AU11" s="139">
        <f t="shared" si="0"/>
        <v>0</v>
      </c>
      <c r="AV11" s="139">
        <f t="shared" si="0"/>
        <v>0</v>
      </c>
      <c r="AW11" s="139">
        <f t="shared" si="0"/>
        <v>0</v>
      </c>
      <c r="AX11" s="139">
        <f t="shared" si="0"/>
        <v>0</v>
      </c>
      <c r="AY11" s="139">
        <f t="shared" si="0"/>
        <v>0</v>
      </c>
      <c r="AZ11" s="139">
        <f t="shared" si="0"/>
        <v>0</v>
      </c>
      <c r="BA11" s="139">
        <f t="shared" si="0"/>
        <v>0</v>
      </c>
      <c r="BB11" s="439">
        <f t="shared" si="5"/>
        <v>90.728032700044963</v>
      </c>
      <c r="BC11" s="439"/>
      <c r="BD11" s="439">
        <f t="shared" si="6"/>
        <v>0</v>
      </c>
      <c r="BE11" s="484">
        <f>BB11*$BC$2*SUMIFS(FTE!T:T,FTE!$A:$A,'FTE analysis'!$A11,FTE!$B:$B,'FTE analysis'!$B11)</f>
        <v>0</v>
      </c>
      <c r="BF11" s="484">
        <f>(SUMIFS(FTE!T:T,FTE!$A:$A,'FTE analysis'!$A11,FTE!$B:$B,'FTE analysis'!$B11)-SUMIFS(FTE!AT:AT,FTE!$A:$A,'FTE analysis'!$A11,FTE!$B:$B,'FTE analysis'!$B11))</f>
        <v>-2.6933333333333334</v>
      </c>
      <c r="BG11" s="418">
        <f t="shared" si="7"/>
        <v>0</v>
      </c>
    </row>
    <row r="12" spans="1:59" ht="15" x14ac:dyDescent="0.25">
      <c r="A12" s="703" t="s">
        <v>324</v>
      </c>
      <c r="B12" s="707" t="s">
        <v>202</v>
      </c>
      <c r="C12" s="430">
        <f>IFERROR(SUMIF('Mngt-Payroll'!$AZ:$AZ,'FTE analysis'!$A12,'Mngt-Payroll'!G:G)/SUMIFS(FTE!H:H,FTE!$A:$A,'FTE analysis'!$A12,FTE!$B:$B,'FTE analysis'!$B12)/C$2,0)</f>
        <v>258.05839064518221</v>
      </c>
      <c r="D12" s="430">
        <f>IFERROR(SUMIF('Mngt-Payroll'!$AZ:$AZ,'FTE analysis'!$A12,'Mngt-Payroll'!H:H)/SUMIFS(FTE!I:I,FTE!$A:$A,'FTE analysis'!$A12,FTE!$B:$B,'FTE analysis'!$B12)/D$2,0)</f>
        <v>284.08964553394293</v>
      </c>
      <c r="E12" s="430">
        <f>IFERROR(SUMIF('Mngt-Payroll'!$AZ:$AZ,'FTE analysis'!$A12,'Mngt-Payroll'!I:I)/SUMIFS(FTE!J:J,FTE!$A:$A,'FTE analysis'!$A12,FTE!$B:$B,'FTE analysis'!$B12)/E$2,0)</f>
        <v>280.03041861996184</v>
      </c>
      <c r="F12" s="430">
        <f>IFERROR(SUMIF('Mngt-Payroll'!$AZ:$AZ,'FTE analysis'!$A12,'Mngt-Payroll'!J:J)/SUMIFS(FTE!K:K,FTE!$A:$A,'FTE analysis'!$A12,FTE!$B:$B,'FTE analysis'!$B12)/F$2,0)</f>
        <v>223.59045958348571</v>
      </c>
      <c r="G12" s="430">
        <f>IFERROR(SUMIF('Mngt-Payroll'!$AZ:$AZ,'FTE analysis'!$A12,'Mngt-Payroll'!K:K)/SUMIFS(FTE!L:L,FTE!$A:$A,'FTE analysis'!$A12,FTE!$B:$B,'FTE analysis'!$B12)/G$2,0)</f>
        <v>0</v>
      </c>
      <c r="H12" s="430">
        <f>IFERROR(SUMIF('Mngt-Payroll'!$AZ:$AZ,'FTE analysis'!$A12,'Mngt-Payroll'!L:L)/SUMIFS(FTE!M:M,FTE!$A:$A,'FTE analysis'!$A12,FTE!$B:$B,'FTE analysis'!$B12)/H$2,0)</f>
        <v>0</v>
      </c>
      <c r="I12" s="430">
        <f>IFERROR(SUMIF('Mngt-Payroll'!$AZ:$AZ,'FTE analysis'!$A12,'Mngt-Payroll'!M:M)/SUMIFS(FTE!N:N,FTE!$A:$A,'FTE analysis'!$A12,FTE!$B:$B,'FTE analysis'!$B12)/I$2,0)</f>
        <v>0</v>
      </c>
      <c r="J12" s="430">
        <f>IFERROR(SUMIF('Mngt-Payroll'!$AZ:$AZ,'FTE analysis'!$A12,'Mngt-Payroll'!N:N)/SUMIFS(FTE!O:O,FTE!$A:$A,'FTE analysis'!$A12,FTE!$B:$B,'FTE analysis'!$B12)/J$2,0)</f>
        <v>0</v>
      </c>
      <c r="K12" s="430">
        <f>IFERROR(SUMIF('Mngt-Payroll'!$AZ:$AZ,'FTE analysis'!$A12,'Mngt-Payroll'!O:O)/SUMIFS(FTE!P:P,FTE!$A:$A,'FTE analysis'!$A12,FTE!$B:$B,'FTE analysis'!$B12)/K$2,0)</f>
        <v>0</v>
      </c>
      <c r="L12" s="430">
        <f>IFERROR(SUMIF('Mngt-Payroll'!$AZ:$AZ,'FTE analysis'!$A12,'Mngt-Payroll'!P:P)/SUMIFS(FTE!Q:Q,FTE!$A:$A,'FTE analysis'!$A12,FTE!$B:$B,'FTE analysis'!$B12)/L$2,0)</f>
        <v>0</v>
      </c>
      <c r="M12" s="430">
        <f>IFERROR(SUMIF('Mngt-Payroll'!$AZ:$AZ,'FTE analysis'!$A12,'Mngt-Payroll'!Q:Q)/SUMIFS(FTE!R:R,FTE!$A:$A,'FTE analysis'!$A12,FTE!$B:$B,'FTE analysis'!$B12)/M$2,0)</f>
        <v>0</v>
      </c>
      <c r="N12" s="430">
        <f>IFERROR(SUMIF('Mngt-Payroll'!$AZ:$AZ,'FTE analysis'!$A12,'Mngt-Payroll'!R:R)/SUMIFS(FTE!S:S,FTE!$A:$A,'FTE analysis'!$A12,FTE!$B:$B,'FTE analysis'!$B12)/N$2,0)</f>
        <v>0</v>
      </c>
      <c r="O12" s="430">
        <f t="shared" si="1"/>
        <v>271.07401808956257</v>
      </c>
      <c r="P12" s="430">
        <f>IFERROR(SUMIF('Mngt-Payroll'!$AZ:$AZ,'FTE analysis'!$A12,'Mngt-Payroll'!U:U)/SUMIFS(FTE!U:U,FTE!$A:$A,'FTE analysis'!$A12,FTE!$B:$B,'FTE analysis'!$B12)/P$2,0)</f>
        <v>0</v>
      </c>
      <c r="Q12" s="430">
        <f>IFERROR(SUMIF('Mngt-Payroll'!$AZ:$AZ,'FTE analysis'!$A12,'Mngt-Payroll'!V:V)/SUMIFS(FTE!V:V,FTE!$A:$A,'FTE analysis'!$A12,FTE!$B:$B,'FTE analysis'!$B12)/Q$2,0)</f>
        <v>0</v>
      </c>
      <c r="R12" s="430">
        <f>IFERROR(SUMIF('Mngt-Payroll'!$AZ:$AZ,'FTE analysis'!$A12,'Mngt-Payroll'!W:W)/SUMIFS(FTE!W:W,FTE!$A:$A,'FTE analysis'!$A12,FTE!$B:$B,'FTE analysis'!$B12)/R$2,0)</f>
        <v>0</v>
      </c>
      <c r="S12" s="430">
        <f>IFERROR(SUMIF('Mngt-Payroll'!$AZ:$AZ,'FTE analysis'!$A12,'Mngt-Payroll'!X:X)/SUMIFS(FTE!X:X,FTE!$A:$A,'FTE analysis'!$A12,FTE!$B:$B,'FTE analysis'!$B12)/S$2,0)</f>
        <v>0</v>
      </c>
      <c r="T12" s="430">
        <f>IFERROR(SUMIF('Mngt-Payroll'!$AZ:$AZ,'FTE analysis'!$A12,'Mngt-Payroll'!Y:Y)/SUMIFS(FTE!Y:Y,FTE!$A:$A,'FTE analysis'!$A12,FTE!$B:$B,'FTE analysis'!$B12)/T$2,0)</f>
        <v>0</v>
      </c>
      <c r="U12" s="430">
        <f>IFERROR(SUMIF('Mngt-Payroll'!$AZ:$AZ,'FTE analysis'!$A12,'Mngt-Payroll'!Z:Z)/SUMIFS(FTE!Z:Z,FTE!$A:$A,'FTE analysis'!$A12,FTE!$B:$B,'FTE analysis'!$B12)/U$2,0)</f>
        <v>0</v>
      </c>
      <c r="V12" s="430">
        <f>IFERROR(SUMIF('Mngt-Payroll'!$AZ:$AZ,'FTE analysis'!$A12,'Mngt-Payroll'!AA:AA)/SUMIFS(FTE!AA:AA,FTE!$A:$A,'FTE analysis'!$A12,FTE!$B:$B,'FTE analysis'!$B12)/V$2,0)</f>
        <v>0</v>
      </c>
      <c r="W12" s="430">
        <f>IFERROR(SUMIF('Mngt-Payroll'!$AZ:$AZ,'FTE analysis'!$A12,'Mngt-Payroll'!AB:AB)/SUMIFS(FTE!AB:AB,FTE!$A:$A,'FTE analysis'!$A12,FTE!$B:$B,'FTE analysis'!$B12)/W$2,0)</f>
        <v>0</v>
      </c>
      <c r="X12" s="430">
        <f>IFERROR(SUMIF('Mngt-Payroll'!$AZ:$AZ,'FTE analysis'!$A12,'Mngt-Payroll'!AC:AC)/SUMIFS(FTE!AC:AC,FTE!$A:$A,'FTE analysis'!$A12,FTE!$B:$B,'FTE analysis'!$B12)/X$2,0)</f>
        <v>0</v>
      </c>
      <c r="Y12" s="430">
        <f>IFERROR(SUMIF('Mngt-Payroll'!$AZ:$AZ,'FTE analysis'!$A12,'Mngt-Payroll'!AD:AD)/SUMIFS(FTE!AD:AD,FTE!$A:$A,'FTE analysis'!$A12,FTE!$B:$B,'FTE analysis'!$B12)/Y$2,0)</f>
        <v>0</v>
      </c>
      <c r="Z12" s="430">
        <f>IFERROR(SUMIF('Mngt-Payroll'!$AZ:$AZ,'FTE analysis'!$A12,'Mngt-Payroll'!AE:AE)/SUMIFS(FTE!AE:AE,FTE!$A:$A,'FTE analysis'!$A12,FTE!$B:$B,'FTE analysis'!$B12)/Z$2,0)</f>
        <v>0</v>
      </c>
      <c r="AA12" s="430">
        <f>IFERROR(SUMIF('Mngt-Payroll'!$AZ:$AZ,'FTE analysis'!$A12,'Mngt-Payroll'!AF:AF)/SUMIFS(FTE!AF:AF,FTE!$A:$A,'FTE analysis'!$A12,FTE!$B:$B,'FTE analysis'!$B12)/AA$2,0)</f>
        <v>0</v>
      </c>
      <c r="AB12" s="430">
        <f t="shared" si="2"/>
        <v>0</v>
      </c>
      <c r="AC12" s="430">
        <f>IFERROR(SUMIF('Mngt-Payroll'!$AZ:$AZ,'FTE analysis'!$A12,'Mngt-Payroll'!AH:AH)/SUMIFS(FTE!AH:AH,FTE!$A:$A,'FTE analysis'!$A12,FTE!$B:$B,'FTE analysis'!$B12)/AC$2,0)</f>
        <v>312.49401044735083</v>
      </c>
      <c r="AD12" s="430">
        <f>IFERROR(SUMIF('Mngt-Payroll'!$AZ:$AZ,'FTE analysis'!$A12,'Mngt-Payroll'!AI:AI)/SUMIFS(FTE!AI:AI,FTE!$A:$A,'FTE analysis'!$A12,FTE!$B:$B,'FTE analysis'!$B12)/AD$2,0)</f>
        <v>352.13679570188731</v>
      </c>
      <c r="AE12" s="430">
        <f>IFERROR(SUMIF('Mngt-Payroll'!$AZ:$AZ,'FTE analysis'!$A12,'Mngt-Payroll'!AJ:AJ)/SUMIFS(FTE!AJ:AJ,FTE!$A:$A,'FTE analysis'!$A12,FTE!$B:$B,'FTE analysis'!$B12)/AE$2,0)</f>
        <v>301.1465437788018</v>
      </c>
      <c r="AF12" s="430">
        <f>IFERROR(SUMIF('Mngt-Payroll'!$AZ:$AZ,'FTE analysis'!$A12,'Mngt-Payroll'!AK:AK)/SUMIFS(FTE!AK:AK,FTE!$A:$A,'FTE analysis'!$A12,FTE!$B:$B,'FTE analysis'!$B12)/AF$2,0)</f>
        <v>354.83096257200788</v>
      </c>
      <c r="AG12" s="430">
        <f>IFERROR(SUMIF('Mngt-Payroll'!$AZ:$AZ,'FTE analysis'!$A12,'Mngt-Payroll'!AL:AL)/SUMIFS(FTE!AL:AL,FTE!$A:$A,'FTE analysis'!$A12,FTE!$B:$B,'FTE analysis'!$B12)/AG$2,0)</f>
        <v>281.12543686369855</v>
      </c>
      <c r="AH12" s="430">
        <f>IFERROR(SUMIF('Mngt-Payroll'!$AZ:$AZ,'FTE analysis'!$A12,'Mngt-Payroll'!AM:AM)/SUMIFS(FTE!AM:AM,FTE!$A:$A,'FTE analysis'!$A12,FTE!$B:$B,'FTE analysis'!$B12)/AH$2,0)</f>
        <v>404.43616771159873</v>
      </c>
      <c r="AI12" s="430">
        <f>IFERROR(SUMIF('Mngt-Payroll'!$AZ:$AZ,'FTE analysis'!$A12,'Mngt-Payroll'!AN:AN)/SUMIFS(FTE!AN:AN,FTE!$A:$A,'FTE analysis'!$A12,FTE!$B:$B,'FTE analysis'!$B12)/AI$2,0)</f>
        <v>165.03895048041389</v>
      </c>
      <c r="AJ12" s="430">
        <f>IFERROR(SUMIF('Mngt-Payroll'!$AZ:$AZ,'FTE analysis'!$A12,'Mngt-Payroll'!AO:AO)/SUMIFS(FTE!AO:AO,FTE!$A:$A,'FTE analysis'!$A12,FTE!$B:$B,'FTE analysis'!$B12)/AJ$2,0)</f>
        <v>279.14601840736293</v>
      </c>
      <c r="AK12" s="430">
        <f>IFERROR(SUMIF('Mngt-Payroll'!$AZ:$AZ,'FTE analysis'!$A12,'Mngt-Payroll'!AP:AP)/SUMIFS(FTE!AP:AP,FTE!$A:$A,'FTE analysis'!$A12,FTE!$B:$B,'FTE analysis'!$B12)/AK$2,0)</f>
        <v>310.05216942148758</v>
      </c>
      <c r="AL12" s="430">
        <f>IFERROR(SUMIF('Mngt-Payroll'!$AZ:$AZ,'FTE analysis'!$A12,'Mngt-Payroll'!AQ:AQ)/SUMIFS(FTE!AQ:AQ,FTE!$A:$A,'FTE analysis'!$A12,FTE!$B:$B,'FTE analysis'!$B12)/AL$2,0)</f>
        <v>258.10504866759038</v>
      </c>
      <c r="AM12" s="430">
        <f>IFERROR(SUMIF('Mngt-Payroll'!$AZ:$AZ,'FTE analysis'!$A12,'Mngt-Payroll'!AR:AR)/SUMIFS(FTE!AR:AR,FTE!$A:$A,'FTE analysis'!$A12,FTE!$B:$B,'FTE analysis'!$B12)/AM$2,0)</f>
        <v>313.78955708739403</v>
      </c>
      <c r="AN12" s="430">
        <f>IFERROR(SUMIF('Mngt-Payroll'!$AZ:$AZ,'FTE analysis'!$A12,'Mngt-Payroll'!AS:AS)/SUMIFS(FTE!AS:AS,FTE!$A:$A,'FTE analysis'!$A12,FTE!$B:$B,'FTE analysis'!$B12)/AN$2,0)</f>
        <v>1055.5170465991321</v>
      </c>
      <c r="AO12" s="430">
        <f t="shared" si="3"/>
        <v>332.3154030746191</v>
      </c>
      <c r="AP12" s="139">
        <f t="shared" si="4"/>
        <v>-54.435619802168617</v>
      </c>
      <c r="AQ12" s="139">
        <f t="shared" si="4"/>
        <v>-68.04715016794438</v>
      </c>
      <c r="AR12" s="139">
        <f t="shared" si="4"/>
        <v>-21.116125158839964</v>
      </c>
      <c r="AS12" s="139">
        <f t="shared" si="0"/>
        <v>-131.24050298852217</v>
      </c>
      <c r="AT12" s="139">
        <f t="shared" si="0"/>
        <v>0</v>
      </c>
      <c r="AU12" s="139">
        <f t="shared" si="0"/>
        <v>0</v>
      </c>
      <c r="AV12" s="139">
        <f t="shared" si="0"/>
        <v>0</v>
      </c>
      <c r="AW12" s="139">
        <f t="shared" si="0"/>
        <v>0</v>
      </c>
      <c r="AX12" s="139">
        <f t="shared" si="0"/>
        <v>0</v>
      </c>
      <c r="AY12" s="139">
        <f t="shared" si="0"/>
        <v>0</v>
      </c>
      <c r="AZ12" s="139">
        <f t="shared" si="0"/>
        <v>0</v>
      </c>
      <c r="BA12" s="139">
        <f t="shared" si="0"/>
        <v>0</v>
      </c>
      <c r="BB12" s="439">
        <f t="shared" si="5"/>
        <v>-61.241384985056499</v>
      </c>
      <c r="BC12" s="439"/>
      <c r="BD12" s="439">
        <f t="shared" si="6"/>
        <v>0</v>
      </c>
      <c r="BE12" s="484">
        <f>BB12*$BC$2*SUMIFS(FTE!T:T,FTE!$A:$A,'FTE analysis'!$A12,FTE!$B:$B,'FTE analysis'!$B12)</f>
        <v>0</v>
      </c>
      <c r="BF12" s="484">
        <f>(SUMIFS(FTE!T:T,FTE!$A:$A,'FTE analysis'!$A12,FTE!$B:$B,'FTE analysis'!$B12)-SUMIFS(FTE!AT:AT,FTE!$A:$A,'FTE analysis'!$A12,FTE!$B:$B,'FTE analysis'!$B12))</f>
        <v>1.3353809210526304</v>
      </c>
      <c r="BG12" s="418">
        <f t="shared" si="7"/>
        <v>0</v>
      </c>
    </row>
    <row r="13" spans="1:59" ht="15" x14ac:dyDescent="0.25">
      <c r="A13" s="703" t="s">
        <v>325</v>
      </c>
      <c r="B13" s="707" t="s">
        <v>202</v>
      </c>
      <c r="C13" s="430">
        <f>IFERROR(SUMIF('Mngt-Payroll'!$AZ:$AZ,'FTE analysis'!$A13,'Mngt-Payroll'!G:G)/SUMIFS(FTE!H:H,FTE!$A:$A,'FTE analysis'!$A13,FTE!$B:$B,'FTE analysis'!$B13)/C$2,0)</f>
        <v>263.11460892519983</v>
      </c>
      <c r="D13" s="430">
        <f>IFERROR(SUMIF('Mngt-Payroll'!$AZ:$AZ,'FTE analysis'!$A13,'Mngt-Payroll'!H:H)/SUMIFS(FTE!I:I,FTE!$A:$A,'FTE analysis'!$A13,FTE!$B:$B,'FTE analysis'!$B13)/D$2,0)</f>
        <v>266.27589015505112</v>
      </c>
      <c r="E13" s="430">
        <f>IFERROR(SUMIF('Mngt-Payroll'!$AZ:$AZ,'FTE analysis'!$A13,'Mngt-Payroll'!I:I)/SUMIFS(FTE!J:J,FTE!$A:$A,'FTE analysis'!$A13,FTE!$B:$B,'FTE analysis'!$B13)/E$2,0)</f>
        <v>271.99591571640804</v>
      </c>
      <c r="F13" s="430">
        <f>IFERROR(SUMIF('Mngt-Payroll'!$AZ:$AZ,'FTE analysis'!$A13,'Mngt-Payroll'!J:J)/SUMIFS(FTE!K:K,FTE!$A:$A,'FTE analysis'!$A13,FTE!$B:$B,'FTE analysis'!$B13)/F$2,0)</f>
        <v>231.13854359793365</v>
      </c>
      <c r="G13" s="430">
        <f>IFERROR(SUMIF('Mngt-Payroll'!$AZ:$AZ,'FTE analysis'!$A13,'Mngt-Payroll'!K:K)/SUMIFS(FTE!L:L,FTE!$A:$A,'FTE analysis'!$A13,FTE!$B:$B,'FTE analysis'!$B13)/G$2,0)</f>
        <v>0</v>
      </c>
      <c r="H13" s="430">
        <f>IFERROR(SUMIF('Mngt-Payroll'!$AZ:$AZ,'FTE analysis'!$A13,'Mngt-Payroll'!L:L)/SUMIFS(FTE!M:M,FTE!$A:$A,'FTE analysis'!$A13,FTE!$B:$B,'FTE analysis'!$B13)/H$2,0)</f>
        <v>0</v>
      </c>
      <c r="I13" s="430">
        <f>IFERROR(SUMIF('Mngt-Payroll'!$AZ:$AZ,'FTE analysis'!$A13,'Mngt-Payroll'!M:M)/SUMIFS(FTE!N:N,FTE!$A:$A,'FTE analysis'!$A13,FTE!$B:$B,'FTE analysis'!$B13)/I$2,0)</f>
        <v>0</v>
      </c>
      <c r="J13" s="430">
        <f>IFERROR(SUMIF('Mngt-Payroll'!$AZ:$AZ,'FTE analysis'!$A13,'Mngt-Payroll'!N:N)/SUMIFS(FTE!O:O,FTE!$A:$A,'FTE analysis'!$A13,FTE!$B:$B,'FTE analysis'!$B13)/J$2,0)</f>
        <v>0</v>
      </c>
      <c r="K13" s="430">
        <f>IFERROR(SUMIF('Mngt-Payroll'!$AZ:$AZ,'FTE analysis'!$A13,'Mngt-Payroll'!O:O)/SUMIFS(FTE!P:P,FTE!$A:$A,'FTE analysis'!$A13,FTE!$B:$B,'FTE analysis'!$B13)/K$2,0)</f>
        <v>0</v>
      </c>
      <c r="L13" s="430">
        <f>IFERROR(SUMIF('Mngt-Payroll'!$AZ:$AZ,'FTE analysis'!$A13,'Mngt-Payroll'!P:P)/SUMIFS(FTE!Q:Q,FTE!$A:$A,'FTE analysis'!$A13,FTE!$B:$B,'FTE analysis'!$B13)/L$2,0)</f>
        <v>0</v>
      </c>
      <c r="M13" s="430">
        <f>IFERROR(SUMIF('Mngt-Payroll'!$AZ:$AZ,'FTE analysis'!$A13,'Mngt-Payroll'!Q:Q)/SUMIFS(FTE!R:R,FTE!$A:$A,'FTE analysis'!$A13,FTE!$B:$B,'FTE analysis'!$B13)/M$2,0)</f>
        <v>0</v>
      </c>
      <c r="N13" s="430">
        <f>IFERROR(SUMIF('Mngt-Payroll'!$AZ:$AZ,'FTE analysis'!$A13,'Mngt-Payroll'!R:R)/SUMIFS(FTE!S:S,FTE!$A:$A,'FTE analysis'!$A13,FTE!$B:$B,'FTE analysis'!$B13)/N$2,0)</f>
        <v>0</v>
      </c>
      <c r="O13" s="430">
        <f t="shared" si="1"/>
        <v>264.69524954012547</v>
      </c>
      <c r="P13" s="430">
        <f>IFERROR(SUMIF('Mngt-Payroll'!$AZ:$AZ,'FTE analysis'!$A13,'Mngt-Payroll'!U:U)/SUMIFS(FTE!U:U,FTE!$A:$A,'FTE analysis'!$A13,FTE!$B:$B,'FTE analysis'!$B13)/P$2,0)</f>
        <v>0</v>
      </c>
      <c r="Q13" s="430">
        <f>IFERROR(SUMIF('Mngt-Payroll'!$AZ:$AZ,'FTE analysis'!$A13,'Mngt-Payroll'!V:V)/SUMIFS(FTE!V:V,FTE!$A:$A,'FTE analysis'!$A13,FTE!$B:$B,'FTE analysis'!$B13)/Q$2,0)</f>
        <v>0</v>
      </c>
      <c r="R13" s="430">
        <f>IFERROR(SUMIF('Mngt-Payroll'!$AZ:$AZ,'FTE analysis'!$A13,'Mngt-Payroll'!W:W)/SUMIFS(FTE!W:W,FTE!$A:$A,'FTE analysis'!$A13,FTE!$B:$B,'FTE analysis'!$B13)/R$2,0)</f>
        <v>0</v>
      </c>
      <c r="S13" s="430">
        <f>IFERROR(SUMIF('Mngt-Payroll'!$AZ:$AZ,'FTE analysis'!$A13,'Mngt-Payroll'!X:X)/SUMIFS(FTE!X:X,FTE!$A:$A,'FTE analysis'!$A13,FTE!$B:$B,'FTE analysis'!$B13)/S$2,0)</f>
        <v>0</v>
      </c>
      <c r="T13" s="430">
        <f>IFERROR(SUMIF('Mngt-Payroll'!$AZ:$AZ,'FTE analysis'!$A13,'Mngt-Payroll'!Y:Y)/SUMIFS(FTE!Y:Y,FTE!$A:$A,'FTE analysis'!$A13,FTE!$B:$B,'FTE analysis'!$B13)/T$2,0)</f>
        <v>0</v>
      </c>
      <c r="U13" s="430">
        <f>IFERROR(SUMIF('Mngt-Payroll'!$AZ:$AZ,'FTE analysis'!$A13,'Mngt-Payroll'!Z:Z)/SUMIFS(FTE!Z:Z,FTE!$A:$A,'FTE analysis'!$A13,FTE!$B:$B,'FTE analysis'!$B13)/U$2,0)</f>
        <v>0</v>
      </c>
      <c r="V13" s="430">
        <f>IFERROR(SUMIF('Mngt-Payroll'!$AZ:$AZ,'FTE analysis'!$A13,'Mngt-Payroll'!AA:AA)/SUMIFS(FTE!AA:AA,FTE!$A:$A,'FTE analysis'!$A13,FTE!$B:$B,'FTE analysis'!$B13)/V$2,0)</f>
        <v>0</v>
      </c>
      <c r="W13" s="430">
        <f>IFERROR(SUMIF('Mngt-Payroll'!$AZ:$AZ,'FTE analysis'!$A13,'Mngt-Payroll'!AB:AB)/SUMIFS(FTE!AB:AB,FTE!$A:$A,'FTE analysis'!$A13,FTE!$B:$B,'FTE analysis'!$B13)/W$2,0)</f>
        <v>0</v>
      </c>
      <c r="X13" s="430">
        <f>IFERROR(SUMIF('Mngt-Payroll'!$AZ:$AZ,'FTE analysis'!$A13,'Mngt-Payroll'!AC:AC)/SUMIFS(FTE!AC:AC,FTE!$A:$A,'FTE analysis'!$A13,FTE!$B:$B,'FTE analysis'!$B13)/X$2,0)</f>
        <v>0</v>
      </c>
      <c r="Y13" s="430">
        <f>IFERROR(SUMIF('Mngt-Payroll'!$AZ:$AZ,'FTE analysis'!$A13,'Mngt-Payroll'!AD:AD)/SUMIFS(FTE!AD:AD,FTE!$A:$A,'FTE analysis'!$A13,FTE!$B:$B,'FTE analysis'!$B13)/Y$2,0)</f>
        <v>0</v>
      </c>
      <c r="Z13" s="430">
        <f>IFERROR(SUMIF('Mngt-Payroll'!$AZ:$AZ,'FTE analysis'!$A13,'Mngt-Payroll'!AE:AE)/SUMIFS(FTE!AE:AE,FTE!$A:$A,'FTE analysis'!$A13,FTE!$B:$B,'FTE analysis'!$B13)/Z$2,0)</f>
        <v>0</v>
      </c>
      <c r="AA13" s="430">
        <f>IFERROR(SUMIF('Mngt-Payroll'!$AZ:$AZ,'FTE analysis'!$A13,'Mngt-Payroll'!AF:AF)/SUMIFS(FTE!AF:AF,FTE!$A:$A,'FTE analysis'!$A13,FTE!$B:$B,'FTE analysis'!$B13)/AA$2,0)</f>
        <v>0</v>
      </c>
      <c r="AB13" s="430">
        <f t="shared" si="2"/>
        <v>0</v>
      </c>
      <c r="AC13" s="430">
        <f>IFERROR(SUMIF('Mngt-Payroll'!$AZ:$AZ,'FTE analysis'!$A13,'Mngt-Payroll'!AH:AH)/SUMIFS(FTE!AH:AH,FTE!$A:$A,'FTE analysis'!$A13,FTE!$B:$B,'FTE analysis'!$B13)/AC$2,0)</f>
        <v>308.14656207807695</v>
      </c>
      <c r="AD13" s="430">
        <f>IFERROR(SUMIF('Mngt-Payroll'!$AZ:$AZ,'FTE analysis'!$A13,'Mngt-Payroll'!AI:AI)/SUMIFS(FTE!AI:AI,FTE!$A:$A,'FTE analysis'!$A13,FTE!$B:$B,'FTE analysis'!$B13)/AD$2,0)</f>
        <v>302.02521266333417</v>
      </c>
      <c r="AE13" s="430">
        <f>IFERROR(SUMIF('Mngt-Payroll'!$AZ:$AZ,'FTE analysis'!$A13,'Mngt-Payroll'!AJ:AJ)/SUMIFS(FTE!AJ:AJ,FTE!$A:$A,'FTE analysis'!$A13,FTE!$B:$B,'FTE analysis'!$B13)/AE$2,0)</f>
        <v>276.50947684391082</v>
      </c>
      <c r="AF13" s="430">
        <f>IFERROR(SUMIF('Mngt-Payroll'!$AZ:$AZ,'FTE analysis'!$A13,'Mngt-Payroll'!AK:AK)/SUMIFS(FTE!AK:AK,FTE!$A:$A,'FTE analysis'!$A13,FTE!$B:$B,'FTE analysis'!$B13)/AF$2,0)</f>
        <v>180.82034766092735</v>
      </c>
      <c r="AG13" s="430">
        <f>IFERROR(SUMIF('Mngt-Payroll'!$AZ:$AZ,'FTE analysis'!$A13,'Mngt-Payroll'!AL:AL)/SUMIFS(FTE!AL:AL,FTE!$A:$A,'FTE analysis'!$A13,FTE!$B:$B,'FTE analysis'!$B13)/AG$2,0)</f>
        <v>317.59403693931398</v>
      </c>
      <c r="AH13" s="430">
        <f>IFERROR(SUMIF('Mngt-Payroll'!$AZ:$AZ,'FTE analysis'!$A13,'Mngt-Payroll'!AM:AM)/SUMIFS(FTE!AM:AM,FTE!$A:$A,'FTE analysis'!$A13,FTE!$B:$B,'FTE analysis'!$B13)/AH$2,0)</f>
        <v>280.01657991321372</v>
      </c>
      <c r="AI13" s="430">
        <f>IFERROR(SUMIF('Mngt-Payroll'!$AZ:$AZ,'FTE analysis'!$A13,'Mngt-Payroll'!AN:AN)/SUMIFS(FTE!AN:AN,FTE!$A:$A,'FTE analysis'!$A13,FTE!$B:$B,'FTE analysis'!$B13)/AI$2,0)</f>
        <v>284.77518202197228</v>
      </c>
      <c r="AJ13" s="430">
        <f>IFERROR(SUMIF('Mngt-Payroll'!$AZ:$AZ,'FTE analysis'!$A13,'Mngt-Payroll'!AO:AO)/SUMIFS(FTE!AO:AO,FTE!$A:$A,'FTE analysis'!$A13,FTE!$B:$B,'FTE analysis'!$B13)/AJ$2,0)</f>
        <v>288.43697764820212</v>
      </c>
      <c r="AK13" s="430">
        <f>IFERROR(SUMIF('Mngt-Payroll'!$AZ:$AZ,'FTE analysis'!$A13,'Mngt-Payroll'!AP:AP)/SUMIFS(FTE!AP:AP,FTE!$A:$A,'FTE analysis'!$A13,FTE!$B:$B,'FTE analysis'!$B13)/AK$2,0)</f>
        <v>250.32507781474726</v>
      </c>
      <c r="AL13" s="430">
        <f>IFERROR(SUMIF('Mngt-Payroll'!$AZ:$AZ,'FTE analysis'!$A13,'Mngt-Payroll'!AQ:AQ)/SUMIFS(FTE!AQ:AQ,FTE!$A:$A,'FTE analysis'!$A13,FTE!$B:$B,'FTE analysis'!$B13)/AL$2,0)</f>
        <v>272.3735919787631</v>
      </c>
      <c r="AM13" s="430">
        <f>IFERROR(SUMIF('Mngt-Payroll'!$AZ:$AZ,'FTE analysis'!$A13,'Mngt-Payroll'!AR:AR)/SUMIFS(FTE!AR:AR,FTE!$A:$A,'FTE analysis'!$A13,FTE!$B:$B,'FTE analysis'!$B13)/AM$2,0)</f>
        <v>309.48003894839337</v>
      </c>
      <c r="AN13" s="430">
        <f>IFERROR(SUMIF('Mngt-Payroll'!$AZ:$AZ,'FTE analysis'!$A13,'Mngt-Payroll'!AS:AS)/SUMIFS(FTE!AS:AS,FTE!$A:$A,'FTE analysis'!$A13,FTE!$B:$B,'FTE analysis'!$B13)/AN$2,0)</f>
        <v>1126.6568454794706</v>
      </c>
      <c r="AO13" s="430">
        <f t="shared" si="3"/>
        <v>305.08588737070556</v>
      </c>
      <c r="AP13" s="139">
        <f t="shared" si="4"/>
        <v>-45.031953152877122</v>
      </c>
      <c r="AQ13" s="139">
        <f t="shared" si="4"/>
        <v>-35.749322508283058</v>
      </c>
      <c r="AR13" s="139">
        <f t="shared" si="4"/>
        <v>-4.5135611275027827</v>
      </c>
      <c r="AS13" s="139">
        <f t="shared" si="0"/>
        <v>50.318195937006294</v>
      </c>
      <c r="AT13" s="139">
        <f t="shared" si="0"/>
        <v>0</v>
      </c>
      <c r="AU13" s="139">
        <f t="shared" si="0"/>
        <v>0</v>
      </c>
      <c r="AV13" s="139">
        <f t="shared" si="0"/>
        <v>0</v>
      </c>
      <c r="AW13" s="139">
        <f t="shared" si="0"/>
        <v>0</v>
      </c>
      <c r="AX13" s="139">
        <f t="shared" si="0"/>
        <v>0</v>
      </c>
      <c r="AY13" s="139">
        <f t="shared" si="0"/>
        <v>0</v>
      </c>
      <c r="AZ13" s="139">
        <f t="shared" si="0"/>
        <v>0</v>
      </c>
      <c r="BA13" s="139">
        <f t="shared" si="0"/>
        <v>0</v>
      </c>
      <c r="BB13" s="439">
        <f t="shared" si="5"/>
        <v>-40.39063783058009</v>
      </c>
      <c r="BC13" s="439"/>
      <c r="BD13" s="439">
        <f t="shared" si="6"/>
        <v>0</v>
      </c>
      <c r="BE13" s="484">
        <f>BB13*$BC$2*SUMIFS(FTE!T:T,FTE!$A:$A,'FTE analysis'!$A13,FTE!$B:$B,'FTE analysis'!$B13)</f>
        <v>0</v>
      </c>
      <c r="BF13" s="484">
        <f>(SUMIFS(FTE!T:T,FTE!$A:$A,'FTE analysis'!$A13,FTE!$B:$B,'FTE analysis'!$B13)-SUMIFS(FTE!AT:AT,FTE!$A:$A,'FTE analysis'!$A13,FTE!$B:$B,'FTE analysis'!$B13))</f>
        <v>-0.10945520833333333</v>
      </c>
      <c r="BG13" s="418">
        <f t="shared" si="7"/>
        <v>0</v>
      </c>
    </row>
    <row r="14" spans="1:59" ht="15" x14ac:dyDescent="0.25">
      <c r="A14" s="703" t="s">
        <v>326</v>
      </c>
      <c r="B14" s="707" t="s">
        <v>202</v>
      </c>
      <c r="C14" s="430">
        <f>IFERROR(SUMIF('Mngt-Payroll'!$AZ:$AZ,'FTE analysis'!$A14,'Mngt-Payroll'!G:G)/SUMIFS(FTE!H:H,FTE!$A:$A,'FTE analysis'!$A14,FTE!$B:$B,'FTE analysis'!$B14)/C$2,0)</f>
        <v>281.32786789385455</v>
      </c>
      <c r="D14" s="430">
        <f>IFERROR(SUMIF('Mngt-Payroll'!$AZ:$AZ,'FTE analysis'!$A14,'Mngt-Payroll'!H:H)/SUMIFS(FTE!I:I,FTE!$A:$A,'FTE analysis'!$A14,FTE!$B:$B,'FTE analysis'!$B14)/D$2,0)</f>
        <v>316.57128297739791</v>
      </c>
      <c r="E14" s="430">
        <f>IFERROR(SUMIF('Mngt-Payroll'!$AZ:$AZ,'FTE analysis'!$A14,'Mngt-Payroll'!I:I)/SUMIFS(FTE!J:J,FTE!$A:$A,'FTE analysis'!$A14,FTE!$B:$B,'FTE analysis'!$B14)/E$2,0)</f>
        <v>291.08202388312543</v>
      </c>
      <c r="F14" s="430">
        <f>IFERROR(SUMIF('Mngt-Payroll'!$AZ:$AZ,'FTE analysis'!$A14,'Mngt-Payroll'!J:J)/SUMIFS(FTE!K:K,FTE!$A:$A,'FTE analysis'!$A14,FTE!$B:$B,'FTE analysis'!$B14)/F$2,0)</f>
        <v>278.61174308014341</v>
      </c>
      <c r="G14" s="430">
        <f>IFERROR(SUMIF('Mngt-Payroll'!$AZ:$AZ,'FTE analysis'!$A14,'Mngt-Payroll'!K:K)/SUMIFS(FTE!L:L,FTE!$A:$A,'FTE analysis'!$A14,FTE!$B:$B,'FTE analysis'!$B14)/G$2,0)</f>
        <v>0</v>
      </c>
      <c r="H14" s="430">
        <f>IFERROR(SUMIF('Mngt-Payroll'!$AZ:$AZ,'FTE analysis'!$A14,'Mngt-Payroll'!L:L)/SUMIFS(FTE!M:M,FTE!$A:$A,'FTE analysis'!$A14,FTE!$B:$B,'FTE analysis'!$B14)/H$2,0)</f>
        <v>0</v>
      </c>
      <c r="I14" s="430">
        <f>IFERROR(SUMIF('Mngt-Payroll'!$AZ:$AZ,'FTE analysis'!$A14,'Mngt-Payroll'!M:M)/SUMIFS(FTE!N:N,FTE!$A:$A,'FTE analysis'!$A14,FTE!$B:$B,'FTE analysis'!$B14)/I$2,0)</f>
        <v>0</v>
      </c>
      <c r="J14" s="430">
        <f>IFERROR(SUMIF('Mngt-Payroll'!$AZ:$AZ,'FTE analysis'!$A14,'Mngt-Payroll'!N:N)/SUMIFS(FTE!O:O,FTE!$A:$A,'FTE analysis'!$A14,FTE!$B:$B,'FTE analysis'!$B14)/J$2,0)</f>
        <v>0</v>
      </c>
      <c r="K14" s="430">
        <f>IFERROR(SUMIF('Mngt-Payroll'!$AZ:$AZ,'FTE analysis'!$A14,'Mngt-Payroll'!O:O)/SUMIFS(FTE!P:P,FTE!$A:$A,'FTE analysis'!$A14,FTE!$B:$B,'FTE analysis'!$B14)/K$2,0)</f>
        <v>0</v>
      </c>
      <c r="L14" s="430">
        <f>IFERROR(SUMIF('Mngt-Payroll'!$AZ:$AZ,'FTE analysis'!$A14,'Mngt-Payroll'!P:P)/SUMIFS(FTE!Q:Q,FTE!$A:$A,'FTE analysis'!$A14,FTE!$B:$B,'FTE analysis'!$B14)/L$2,0)</f>
        <v>0</v>
      </c>
      <c r="M14" s="430">
        <f>IFERROR(SUMIF('Mngt-Payroll'!$AZ:$AZ,'FTE analysis'!$A14,'Mngt-Payroll'!Q:Q)/SUMIFS(FTE!R:R,FTE!$A:$A,'FTE analysis'!$A14,FTE!$B:$B,'FTE analysis'!$B14)/M$2,0)</f>
        <v>0</v>
      </c>
      <c r="N14" s="430">
        <f>IFERROR(SUMIF('Mngt-Payroll'!$AZ:$AZ,'FTE analysis'!$A14,'Mngt-Payroll'!R:R)/SUMIFS(FTE!S:S,FTE!$A:$A,'FTE analysis'!$A14,FTE!$B:$B,'FTE analysis'!$B14)/N$2,0)</f>
        <v>0</v>
      </c>
      <c r="O14" s="430">
        <f t="shared" si="1"/>
        <v>298.94957543562623</v>
      </c>
      <c r="P14" s="430">
        <f>IFERROR(SUMIF('Mngt-Payroll'!$AZ:$AZ,'FTE analysis'!$A14,'Mngt-Payroll'!U:U)/SUMIFS(FTE!U:U,FTE!$A:$A,'FTE analysis'!$A14,FTE!$B:$B,'FTE analysis'!$B14)/P$2,0)</f>
        <v>0</v>
      </c>
      <c r="Q14" s="430">
        <f>IFERROR(SUMIF('Mngt-Payroll'!$AZ:$AZ,'FTE analysis'!$A14,'Mngt-Payroll'!V:V)/SUMIFS(FTE!V:V,FTE!$A:$A,'FTE analysis'!$A14,FTE!$B:$B,'FTE analysis'!$B14)/Q$2,0)</f>
        <v>0</v>
      </c>
      <c r="R14" s="430">
        <f>IFERROR(SUMIF('Mngt-Payroll'!$AZ:$AZ,'FTE analysis'!$A14,'Mngt-Payroll'!W:W)/SUMIFS(FTE!W:W,FTE!$A:$A,'FTE analysis'!$A14,FTE!$B:$B,'FTE analysis'!$B14)/R$2,0)</f>
        <v>0</v>
      </c>
      <c r="S14" s="430">
        <f>IFERROR(SUMIF('Mngt-Payroll'!$AZ:$AZ,'FTE analysis'!$A14,'Mngt-Payroll'!X:X)/SUMIFS(FTE!X:X,FTE!$A:$A,'FTE analysis'!$A14,FTE!$B:$B,'FTE analysis'!$B14)/S$2,0)</f>
        <v>0</v>
      </c>
      <c r="T14" s="430">
        <f>IFERROR(SUMIF('Mngt-Payroll'!$AZ:$AZ,'FTE analysis'!$A14,'Mngt-Payroll'!Y:Y)/SUMIFS(FTE!Y:Y,FTE!$A:$A,'FTE analysis'!$A14,FTE!$B:$B,'FTE analysis'!$B14)/T$2,0)</f>
        <v>0</v>
      </c>
      <c r="U14" s="430">
        <f>IFERROR(SUMIF('Mngt-Payroll'!$AZ:$AZ,'FTE analysis'!$A14,'Mngt-Payroll'!Z:Z)/SUMIFS(FTE!Z:Z,FTE!$A:$A,'FTE analysis'!$A14,FTE!$B:$B,'FTE analysis'!$B14)/U$2,0)</f>
        <v>0</v>
      </c>
      <c r="V14" s="430">
        <f>IFERROR(SUMIF('Mngt-Payroll'!$AZ:$AZ,'FTE analysis'!$A14,'Mngt-Payroll'!AA:AA)/SUMIFS(FTE!AA:AA,FTE!$A:$A,'FTE analysis'!$A14,FTE!$B:$B,'FTE analysis'!$B14)/V$2,0)</f>
        <v>0</v>
      </c>
      <c r="W14" s="430">
        <f>IFERROR(SUMIF('Mngt-Payroll'!$AZ:$AZ,'FTE analysis'!$A14,'Mngt-Payroll'!AB:AB)/SUMIFS(FTE!AB:AB,FTE!$A:$A,'FTE analysis'!$A14,FTE!$B:$B,'FTE analysis'!$B14)/W$2,0)</f>
        <v>0</v>
      </c>
      <c r="X14" s="430">
        <f>IFERROR(SUMIF('Mngt-Payroll'!$AZ:$AZ,'FTE analysis'!$A14,'Mngt-Payroll'!AC:AC)/SUMIFS(FTE!AC:AC,FTE!$A:$A,'FTE analysis'!$A14,FTE!$B:$B,'FTE analysis'!$B14)/X$2,0)</f>
        <v>0</v>
      </c>
      <c r="Y14" s="430">
        <f>IFERROR(SUMIF('Mngt-Payroll'!$AZ:$AZ,'FTE analysis'!$A14,'Mngt-Payroll'!AD:AD)/SUMIFS(FTE!AD:AD,FTE!$A:$A,'FTE analysis'!$A14,FTE!$B:$B,'FTE analysis'!$B14)/Y$2,0)</f>
        <v>0</v>
      </c>
      <c r="Z14" s="430">
        <f>IFERROR(SUMIF('Mngt-Payroll'!$AZ:$AZ,'FTE analysis'!$A14,'Mngt-Payroll'!AE:AE)/SUMIFS(FTE!AE:AE,FTE!$A:$A,'FTE analysis'!$A14,FTE!$B:$B,'FTE analysis'!$B14)/Z$2,0)</f>
        <v>0</v>
      </c>
      <c r="AA14" s="430">
        <f>IFERROR(SUMIF('Mngt-Payroll'!$AZ:$AZ,'FTE analysis'!$A14,'Mngt-Payroll'!AF:AF)/SUMIFS(FTE!AF:AF,FTE!$A:$A,'FTE analysis'!$A14,FTE!$B:$B,'FTE analysis'!$B14)/AA$2,0)</f>
        <v>0</v>
      </c>
      <c r="AB14" s="430">
        <f t="shared" si="2"/>
        <v>0</v>
      </c>
      <c r="AC14" s="430">
        <f>IFERROR(SUMIF('Mngt-Payroll'!$AZ:$AZ,'FTE analysis'!$A14,'Mngt-Payroll'!AH:AH)/SUMIFS(FTE!AH:AH,FTE!$A:$A,'FTE analysis'!$A14,FTE!$B:$B,'FTE analysis'!$B14)/AC$2,0)</f>
        <v>303.72262074252546</v>
      </c>
      <c r="AD14" s="430">
        <f>IFERROR(SUMIF('Mngt-Payroll'!$AZ:$AZ,'FTE analysis'!$A14,'Mngt-Payroll'!AI:AI)/SUMIFS(FTE!AI:AI,FTE!$A:$A,'FTE analysis'!$A14,FTE!$B:$B,'FTE analysis'!$B14)/AD$2,0)</f>
        <v>298.18887555022008</v>
      </c>
      <c r="AE14" s="430">
        <f>IFERROR(SUMIF('Mngt-Payroll'!$AZ:$AZ,'FTE analysis'!$A14,'Mngt-Payroll'!AJ:AJ)/SUMIFS(FTE!AJ:AJ,FTE!$A:$A,'FTE analysis'!$A14,FTE!$B:$B,'FTE analysis'!$B14)/AE$2,0)</f>
        <v>282.57566420021851</v>
      </c>
      <c r="AF14" s="430">
        <f>IFERROR(SUMIF('Mngt-Payroll'!$AZ:$AZ,'FTE analysis'!$A14,'Mngt-Payroll'!AK:AK)/SUMIFS(FTE!AK:AK,FTE!$A:$A,'FTE analysis'!$A14,FTE!$B:$B,'FTE analysis'!$B14)/AF$2,0)</f>
        <v>238.78136751820088</v>
      </c>
      <c r="AG14" s="430">
        <f>IFERROR(SUMIF('Mngt-Payroll'!$AZ:$AZ,'FTE analysis'!$A14,'Mngt-Payroll'!AL:AL)/SUMIFS(FTE!AL:AL,FTE!$A:$A,'FTE analysis'!$A14,FTE!$B:$B,'FTE analysis'!$B14)/AG$2,0)</f>
        <v>315.49809108262883</v>
      </c>
      <c r="AH14" s="430">
        <f>IFERROR(SUMIF('Mngt-Payroll'!$AZ:$AZ,'FTE analysis'!$A14,'Mngt-Payroll'!AM:AM)/SUMIFS(FTE!AM:AM,FTE!$A:$A,'FTE analysis'!$A14,FTE!$B:$B,'FTE analysis'!$B14)/AH$2,0)</f>
        <v>312.90990934273481</v>
      </c>
      <c r="AI14" s="430">
        <f>IFERROR(SUMIF('Mngt-Payroll'!$AZ:$AZ,'FTE analysis'!$A14,'Mngt-Payroll'!AN:AN)/SUMIFS(FTE!AN:AN,FTE!$A:$A,'FTE analysis'!$A14,FTE!$B:$B,'FTE analysis'!$B14)/AI$2,0)</f>
        <v>274.33668773156563</v>
      </c>
      <c r="AJ14" s="430">
        <f>IFERROR(SUMIF('Mngt-Payroll'!$AZ:$AZ,'FTE analysis'!$A14,'Mngt-Payroll'!AO:AO)/SUMIFS(FTE!AO:AO,FTE!$A:$A,'FTE analysis'!$A14,FTE!$B:$B,'FTE analysis'!$B14)/AJ$2,0)</f>
        <v>299.7666455962916</v>
      </c>
      <c r="AK14" s="430">
        <f>IFERROR(SUMIF('Mngt-Payroll'!$AZ:$AZ,'FTE analysis'!$A14,'Mngt-Payroll'!AP:AP)/SUMIFS(FTE!AP:AP,FTE!$A:$A,'FTE analysis'!$A14,FTE!$B:$B,'FTE analysis'!$B14)/AK$2,0)</f>
        <v>314.83400798335867</v>
      </c>
      <c r="AL14" s="430">
        <f>IFERROR(SUMIF('Mngt-Payroll'!$AZ:$AZ,'FTE analysis'!$A14,'Mngt-Payroll'!AQ:AQ)/SUMIFS(FTE!AQ:AQ,FTE!$A:$A,'FTE analysis'!$A14,FTE!$B:$B,'FTE analysis'!$B14)/AL$2,0)</f>
        <v>297.63228895701724</v>
      </c>
      <c r="AM14" s="430">
        <f>IFERROR(SUMIF('Mngt-Payroll'!$AZ:$AZ,'FTE analysis'!$A14,'Mngt-Payroll'!AR:AR)/SUMIFS(FTE!AR:AR,FTE!$A:$A,'FTE analysis'!$A14,FTE!$B:$B,'FTE analysis'!$B14)/AM$2,0)</f>
        <v>364.54846063705128</v>
      </c>
      <c r="AN14" s="430">
        <f>IFERROR(SUMIF('Mngt-Payroll'!$AZ:$AZ,'FTE analysis'!$A14,'Mngt-Payroll'!AS:AS)/SUMIFS(FTE!AS:AS,FTE!$A:$A,'FTE analysis'!$A14,FTE!$B:$B,'FTE analysis'!$B14)/AN$2,0)</f>
        <v>1090.726208084692</v>
      </c>
      <c r="AO14" s="430">
        <f t="shared" si="3"/>
        <v>300.9557481463728</v>
      </c>
      <c r="AP14" s="139">
        <f t="shared" si="4"/>
        <v>-22.394752848670919</v>
      </c>
      <c r="AQ14" s="139">
        <f t="shared" si="4"/>
        <v>18.382407427177839</v>
      </c>
      <c r="AR14" s="139">
        <f t="shared" si="4"/>
        <v>8.5063596829069184</v>
      </c>
      <c r="AS14" s="139">
        <f t="shared" si="0"/>
        <v>39.830375561942532</v>
      </c>
      <c r="AT14" s="139">
        <f t="shared" si="0"/>
        <v>0</v>
      </c>
      <c r="AU14" s="139">
        <f t="shared" si="0"/>
        <v>0</v>
      </c>
      <c r="AV14" s="139">
        <f t="shared" si="0"/>
        <v>0</v>
      </c>
      <c r="AW14" s="139">
        <f t="shared" si="0"/>
        <v>0</v>
      </c>
      <c r="AX14" s="139">
        <f t="shared" si="0"/>
        <v>0</v>
      </c>
      <c r="AY14" s="139">
        <f t="shared" si="0"/>
        <v>0</v>
      </c>
      <c r="AZ14" s="139">
        <f t="shared" si="0"/>
        <v>0</v>
      </c>
      <c r="BA14" s="139">
        <f t="shared" si="0"/>
        <v>0</v>
      </c>
      <c r="BB14" s="439">
        <f t="shared" si="5"/>
        <v>-2.0061727107465401</v>
      </c>
      <c r="BC14" s="439"/>
      <c r="BD14" s="439">
        <f t="shared" si="6"/>
        <v>0</v>
      </c>
      <c r="BE14" s="484">
        <f>BB14*$BC$2*SUMIFS(FTE!T:T,FTE!$A:$A,'FTE analysis'!$A14,FTE!$B:$B,'FTE analysis'!$B14)</f>
        <v>0</v>
      </c>
      <c r="BF14" s="484">
        <f>(SUMIFS(FTE!T:T,FTE!$A:$A,'FTE analysis'!$A14,FTE!$B:$B,'FTE analysis'!$B14)-SUMIFS(FTE!AT:AT,FTE!$A:$A,'FTE analysis'!$A14,FTE!$B:$B,'FTE analysis'!$B14))</f>
        <v>1.7776023026315784</v>
      </c>
      <c r="BG14" s="418">
        <f t="shared" si="7"/>
        <v>0</v>
      </c>
    </row>
    <row r="15" spans="1:59" ht="15" x14ac:dyDescent="0.25">
      <c r="A15" s="703" t="s">
        <v>327</v>
      </c>
      <c r="B15" s="707" t="s">
        <v>202</v>
      </c>
      <c r="C15" s="430">
        <f>IFERROR(SUMIF('Mngt-Payroll'!$AZ:$AZ,'FTE analysis'!$A15,'Mngt-Payroll'!G:G)/SUMIFS(FTE!H:H,FTE!$A:$A,'FTE analysis'!$A15,FTE!$B:$B,'FTE analysis'!$B15)/C$2,0)</f>
        <v>242.27625073219153</v>
      </c>
      <c r="D15" s="430">
        <f>IFERROR(SUMIF('Mngt-Payroll'!$AZ:$AZ,'FTE analysis'!$A15,'Mngt-Payroll'!H:H)/SUMIFS(FTE!I:I,FTE!$A:$A,'FTE analysis'!$A15,FTE!$B:$B,'FTE analysis'!$B15)/D$2,0)</f>
        <v>274.4186358169851</v>
      </c>
      <c r="E15" s="430">
        <f>IFERROR(SUMIF('Mngt-Payroll'!$AZ:$AZ,'FTE analysis'!$A15,'Mngt-Payroll'!I:I)/SUMIFS(FTE!J:J,FTE!$A:$A,'FTE analysis'!$A15,FTE!$B:$B,'FTE analysis'!$B15)/E$2,0)</f>
        <v>274.77115357820429</v>
      </c>
      <c r="F15" s="430">
        <f>IFERROR(SUMIF('Mngt-Payroll'!$AZ:$AZ,'FTE analysis'!$A15,'Mngt-Payroll'!J:J)/SUMIFS(FTE!K:K,FTE!$A:$A,'FTE analysis'!$A15,FTE!$B:$B,'FTE analysis'!$B15)/F$2,0)</f>
        <v>235.53018436531741</v>
      </c>
      <c r="G15" s="430">
        <f>IFERROR(SUMIF('Mngt-Payroll'!$AZ:$AZ,'FTE analysis'!$A15,'Mngt-Payroll'!K:K)/SUMIFS(FTE!L:L,FTE!$A:$A,'FTE analysis'!$A15,FTE!$B:$B,'FTE analysis'!$B15)/G$2,0)</f>
        <v>0</v>
      </c>
      <c r="H15" s="430">
        <f>IFERROR(SUMIF('Mngt-Payroll'!$AZ:$AZ,'FTE analysis'!$A15,'Mngt-Payroll'!L:L)/SUMIFS(FTE!M:M,FTE!$A:$A,'FTE analysis'!$A15,FTE!$B:$B,'FTE analysis'!$B15)/H$2,0)</f>
        <v>0</v>
      </c>
      <c r="I15" s="430">
        <f>IFERROR(SUMIF('Mngt-Payroll'!$AZ:$AZ,'FTE analysis'!$A15,'Mngt-Payroll'!M:M)/SUMIFS(FTE!N:N,FTE!$A:$A,'FTE analysis'!$A15,FTE!$B:$B,'FTE analysis'!$B15)/I$2,0)</f>
        <v>0</v>
      </c>
      <c r="J15" s="430">
        <f>IFERROR(SUMIF('Mngt-Payroll'!$AZ:$AZ,'FTE analysis'!$A15,'Mngt-Payroll'!N:N)/SUMIFS(FTE!O:O,FTE!$A:$A,'FTE analysis'!$A15,FTE!$B:$B,'FTE analysis'!$B15)/J$2,0)</f>
        <v>0</v>
      </c>
      <c r="K15" s="430">
        <f>IFERROR(SUMIF('Mngt-Payroll'!$AZ:$AZ,'FTE analysis'!$A15,'Mngt-Payroll'!O:O)/SUMIFS(FTE!P:P,FTE!$A:$A,'FTE analysis'!$A15,FTE!$B:$B,'FTE analysis'!$B15)/K$2,0)</f>
        <v>0</v>
      </c>
      <c r="L15" s="430">
        <f>IFERROR(SUMIF('Mngt-Payroll'!$AZ:$AZ,'FTE analysis'!$A15,'Mngt-Payroll'!P:P)/SUMIFS(FTE!Q:Q,FTE!$A:$A,'FTE analysis'!$A15,FTE!$B:$B,'FTE analysis'!$B15)/L$2,0)</f>
        <v>0</v>
      </c>
      <c r="M15" s="430">
        <f>IFERROR(SUMIF('Mngt-Payroll'!$AZ:$AZ,'FTE analysis'!$A15,'Mngt-Payroll'!Q:Q)/SUMIFS(FTE!R:R,FTE!$A:$A,'FTE analysis'!$A15,FTE!$B:$B,'FTE analysis'!$B15)/M$2,0)</f>
        <v>0</v>
      </c>
      <c r="N15" s="430">
        <f>IFERROR(SUMIF('Mngt-Payroll'!$AZ:$AZ,'FTE analysis'!$A15,'Mngt-Payroll'!R:R)/SUMIFS(FTE!S:S,FTE!$A:$A,'FTE analysis'!$A15,FTE!$B:$B,'FTE analysis'!$B15)/N$2,0)</f>
        <v>0</v>
      </c>
      <c r="O15" s="430">
        <f t="shared" si="1"/>
        <v>258.34744327458833</v>
      </c>
      <c r="P15" s="430">
        <f>IFERROR(SUMIF('Mngt-Payroll'!$AZ:$AZ,'FTE analysis'!$A15,'Mngt-Payroll'!U:U)/SUMIFS(FTE!U:U,FTE!$A:$A,'FTE analysis'!$A15,FTE!$B:$B,'FTE analysis'!$B15)/P$2,0)</f>
        <v>0</v>
      </c>
      <c r="Q15" s="430">
        <f>IFERROR(SUMIF('Mngt-Payroll'!$AZ:$AZ,'FTE analysis'!$A15,'Mngt-Payroll'!V:V)/SUMIFS(FTE!V:V,FTE!$A:$A,'FTE analysis'!$A15,FTE!$B:$B,'FTE analysis'!$B15)/Q$2,0)</f>
        <v>0</v>
      </c>
      <c r="R15" s="430">
        <f>IFERROR(SUMIF('Mngt-Payroll'!$AZ:$AZ,'FTE analysis'!$A15,'Mngt-Payroll'!W:W)/SUMIFS(FTE!W:W,FTE!$A:$A,'FTE analysis'!$A15,FTE!$B:$B,'FTE analysis'!$B15)/R$2,0)</f>
        <v>0</v>
      </c>
      <c r="S15" s="430">
        <f>IFERROR(SUMIF('Mngt-Payroll'!$AZ:$AZ,'FTE analysis'!$A15,'Mngt-Payroll'!X:X)/SUMIFS(FTE!X:X,FTE!$A:$A,'FTE analysis'!$A15,FTE!$B:$B,'FTE analysis'!$B15)/S$2,0)</f>
        <v>0</v>
      </c>
      <c r="T15" s="430">
        <f>IFERROR(SUMIF('Mngt-Payroll'!$AZ:$AZ,'FTE analysis'!$A15,'Mngt-Payroll'!Y:Y)/SUMIFS(FTE!Y:Y,FTE!$A:$A,'FTE analysis'!$A15,FTE!$B:$B,'FTE analysis'!$B15)/T$2,0)</f>
        <v>0</v>
      </c>
      <c r="U15" s="430">
        <f>IFERROR(SUMIF('Mngt-Payroll'!$AZ:$AZ,'FTE analysis'!$A15,'Mngt-Payroll'!Z:Z)/SUMIFS(FTE!Z:Z,FTE!$A:$A,'FTE analysis'!$A15,FTE!$B:$B,'FTE analysis'!$B15)/U$2,0)</f>
        <v>0</v>
      </c>
      <c r="V15" s="430">
        <f>IFERROR(SUMIF('Mngt-Payroll'!$AZ:$AZ,'FTE analysis'!$A15,'Mngt-Payroll'!AA:AA)/SUMIFS(FTE!AA:AA,FTE!$A:$A,'FTE analysis'!$A15,FTE!$B:$B,'FTE analysis'!$B15)/V$2,0)</f>
        <v>0</v>
      </c>
      <c r="W15" s="430">
        <f>IFERROR(SUMIF('Mngt-Payroll'!$AZ:$AZ,'FTE analysis'!$A15,'Mngt-Payroll'!AB:AB)/SUMIFS(FTE!AB:AB,FTE!$A:$A,'FTE analysis'!$A15,FTE!$B:$B,'FTE analysis'!$B15)/W$2,0)</f>
        <v>0</v>
      </c>
      <c r="X15" s="430">
        <f>IFERROR(SUMIF('Mngt-Payroll'!$AZ:$AZ,'FTE analysis'!$A15,'Mngt-Payroll'!AC:AC)/SUMIFS(FTE!AC:AC,FTE!$A:$A,'FTE analysis'!$A15,FTE!$B:$B,'FTE analysis'!$B15)/X$2,0)</f>
        <v>0</v>
      </c>
      <c r="Y15" s="430">
        <f>IFERROR(SUMIF('Mngt-Payroll'!$AZ:$AZ,'FTE analysis'!$A15,'Mngt-Payroll'!AD:AD)/SUMIFS(FTE!AD:AD,FTE!$A:$A,'FTE analysis'!$A15,FTE!$B:$B,'FTE analysis'!$B15)/Y$2,0)</f>
        <v>0</v>
      </c>
      <c r="Z15" s="430">
        <f>IFERROR(SUMIF('Mngt-Payroll'!$AZ:$AZ,'FTE analysis'!$A15,'Mngt-Payroll'!AE:AE)/SUMIFS(FTE!AE:AE,FTE!$A:$A,'FTE analysis'!$A15,FTE!$B:$B,'FTE analysis'!$B15)/Z$2,0)</f>
        <v>0</v>
      </c>
      <c r="AA15" s="430">
        <f>IFERROR(SUMIF('Mngt-Payroll'!$AZ:$AZ,'FTE analysis'!$A15,'Mngt-Payroll'!AF:AF)/SUMIFS(FTE!AF:AF,FTE!$A:$A,'FTE analysis'!$A15,FTE!$B:$B,'FTE analysis'!$B15)/AA$2,0)</f>
        <v>0</v>
      </c>
      <c r="AB15" s="430">
        <f t="shared" si="2"/>
        <v>0</v>
      </c>
      <c r="AC15" s="430">
        <f>IFERROR(SUMIF('Mngt-Payroll'!$AZ:$AZ,'FTE analysis'!$A15,'Mngt-Payroll'!AH:AH)/SUMIFS(FTE!AH:AH,FTE!$A:$A,'FTE analysis'!$A15,FTE!$B:$B,'FTE analysis'!$B15)/AC$2,0)</f>
        <v>276.64208721412297</v>
      </c>
      <c r="AD15" s="430">
        <f>IFERROR(SUMIF('Mngt-Payroll'!$AZ:$AZ,'FTE analysis'!$A15,'Mngt-Payroll'!AI:AI)/SUMIFS(FTE!AI:AI,FTE!$A:$A,'FTE analysis'!$A15,FTE!$B:$B,'FTE analysis'!$B15)/AD$2,0)</f>
        <v>312.11973725043964</v>
      </c>
      <c r="AE15" s="430">
        <f>IFERROR(SUMIF('Mngt-Payroll'!$AZ:$AZ,'FTE analysis'!$A15,'Mngt-Payroll'!AJ:AJ)/SUMIFS(FTE!AJ:AJ,FTE!$A:$A,'FTE analysis'!$A15,FTE!$B:$B,'FTE analysis'!$B15)/AE$2,0)</f>
        <v>236.53413373197543</v>
      </c>
      <c r="AF15" s="430">
        <f>IFERROR(SUMIF('Mngt-Payroll'!$AZ:$AZ,'FTE analysis'!$A15,'Mngt-Payroll'!AK:AK)/SUMIFS(FTE!AK:AK,FTE!$A:$A,'FTE analysis'!$A15,FTE!$B:$B,'FTE analysis'!$B15)/AF$2,0)</f>
        <v>237.81698799921307</v>
      </c>
      <c r="AG15" s="430">
        <f>IFERROR(SUMIF('Mngt-Payroll'!$AZ:$AZ,'FTE analysis'!$A15,'Mngt-Payroll'!AL:AL)/SUMIFS(FTE!AL:AL,FTE!$A:$A,'FTE analysis'!$A15,FTE!$B:$B,'FTE analysis'!$B15)/AG$2,0)</f>
        <v>292.82457972040345</v>
      </c>
      <c r="AH15" s="430">
        <f>IFERROR(SUMIF('Mngt-Payroll'!$AZ:$AZ,'FTE analysis'!$A15,'Mngt-Payroll'!AM:AM)/SUMIFS(FTE!AM:AM,FTE!$A:$A,'FTE analysis'!$A15,FTE!$B:$B,'FTE analysis'!$B15)/AH$2,0)</f>
        <v>252.61303139306736</v>
      </c>
      <c r="AI15" s="430">
        <f>IFERROR(SUMIF('Mngt-Payroll'!$AZ:$AZ,'FTE analysis'!$A15,'Mngt-Payroll'!AN:AN)/SUMIFS(FTE!AN:AN,FTE!$A:$A,'FTE analysis'!$A15,FTE!$B:$B,'FTE analysis'!$B15)/AI$2,0)</f>
        <v>353.69000830882453</v>
      </c>
      <c r="AJ15" s="430">
        <f>IFERROR(SUMIF('Mngt-Payroll'!$AZ:$AZ,'FTE analysis'!$A15,'Mngt-Payroll'!AO:AO)/SUMIFS(FTE!AO:AO,FTE!$A:$A,'FTE analysis'!$A15,FTE!$B:$B,'FTE analysis'!$B15)/AJ$2,0)</f>
        <v>282.77662174303686</v>
      </c>
      <c r="AK15" s="430">
        <f>IFERROR(SUMIF('Mngt-Payroll'!$AZ:$AZ,'FTE analysis'!$A15,'Mngt-Payroll'!AP:AP)/SUMIFS(FTE!AP:AP,FTE!$A:$A,'FTE analysis'!$A15,FTE!$B:$B,'FTE analysis'!$B15)/AK$2,0)</f>
        <v>301.72882022862018</v>
      </c>
      <c r="AL15" s="430">
        <f>IFERROR(SUMIF('Mngt-Payroll'!$AZ:$AZ,'FTE analysis'!$A15,'Mngt-Payroll'!AQ:AQ)/SUMIFS(FTE!AQ:AQ,FTE!$A:$A,'FTE analysis'!$A15,FTE!$B:$B,'FTE analysis'!$B15)/AL$2,0)</f>
        <v>253.32420689164843</v>
      </c>
      <c r="AM15" s="430">
        <f>IFERROR(SUMIF('Mngt-Payroll'!$AZ:$AZ,'FTE analysis'!$A15,'Mngt-Payroll'!AR:AR)/SUMIFS(FTE!AR:AR,FTE!$A:$A,'FTE analysis'!$A15,FTE!$B:$B,'FTE analysis'!$B15)/AM$2,0)</f>
        <v>274.86636227939243</v>
      </c>
      <c r="AN15" s="430">
        <f>IFERROR(SUMIF('Mngt-Payroll'!$AZ:$AZ,'FTE analysis'!$A15,'Mngt-Payroll'!AS:AS)/SUMIFS(FTE!AS:AS,FTE!$A:$A,'FTE analysis'!$A15,FTE!$B:$B,'FTE analysis'!$B15)/AN$2,0)</f>
        <v>947.5142755932485</v>
      </c>
      <c r="AO15" s="430">
        <f t="shared" si="3"/>
        <v>294.38091223228128</v>
      </c>
      <c r="AP15" s="139">
        <f t="shared" si="4"/>
        <v>-34.365836481931439</v>
      </c>
      <c r="AQ15" s="139">
        <f t="shared" si="4"/>
        <v>-37.701101433454539</v>
      </c>
      <c r="AR15" s="139">
        <f t="shared" si="4"/>
        <v>38.237019846228861</v>
      </c>
      <c r="AS15" s="139">
        <f t="shared" si="0"/>
        <v>-2.2868036338956585</v>
      </c>
      <c r="AT15" s="139">
        <f t="shared" si="0"/>
        <v>0</v>
      </c>
      <c r="AU15" s="139">
        <f t="shared" si="0"/>
        <v>0</v>
      </c>
      <c r="AV15" s="139">
        <f t="shared" si="0"/>
        <v>0</v>
      </c>
      <c r="AW15" s="139">
        <f t="shared" si="0"/>
        <v>0</v>
      </c>
      <c r="AX15" s="139">
        <f t="shared" si="0"/>
        <v>0</v>
      </c>
      <c r="AY15" s="139">
        <f t="shared" si="0"/>
        <v>0</v>
      </c>
      <c r="AZ15" s="139">
        <f t="shared" si="0"/>
        <v>0</v>
      </c>
      <c r="BA15" s="139">
        <f t="shared" si="0"/>
        <v>0</v>
      </c>
      <c r="BB15" s="439">
        <f t="shared" si="5"/>
        <v>-36.033468957692989</v>
      </c>
      <c r="BC15" s="439"/>
      <c r="BD15" s="439">
        <f t="shared" si="6"/>
        <v>0</v>
      </c>
      <c r="BE15" s="484">
        <f>BB15*$BC$2*SUMIFS(FTE!T:T,FTE!$A:$A,'FTE analysis'!$A15,FTE!$B:$B,'FTE analysis'!$B15)</f>
        <v>0</v>
      </c>
      <c r="BF15" s="484">
        <f>(SUMIFS(FTE!T:T,FTE!$A:$A,'FTE analysis'!$A15,FTE!$B:$B,'FTE analysis'!$B15)-SUMIFS(FTE!AT:AT,FTE!$A:$A,'FTE analysis'!$A15,FTE!$B:$B,'FTE analysis'!$B15))</f>
        <v>2.1330991228070175</v>
      </c>
      <c r="BG15" s="418">
        <f t="shared" si="7"/>
        <v>0</v>
      </c>
    </row>
    <row r="16" spans="1:59" ht="15" x14ac:dyDescent="0.25">
      <c r="A16" s="703" t="s">
        <v>328</v>
      </c>
      <c r="B16" s="707" t="s">
        <v>202</v>
      </c>
      <c r="C16" s="430">
        <f>IFERROR(SUMIF('Mngt-Payroll'!$AZ:$AZ,'FTE analysis'!$A16,'Mngt-Payroll'!G:G)/SUMIFS(FTE!H:H,FTE!$A:$A,'FTE analysis'!$A16,FTE!$B:$B,'FTE analysis'!$B16)/C$2,0)</f>
        <v>276.89492753623188</v>
      </c>
      <c r="D16" s="430">
        <f>IFERROR(SUMIF('Mngt-Payroll'!$AZ:$AZ,'FTE analysis'!$A16,'Mngt-Payroll'!H:H)/SUMIFS(FTE!I:I,FTE!$A:$A,'FTE analysis'!$A16,FTE!$B:$B,'FTE analysis'!$B16)/D$2,0)</f>
        <v>185.91567460317461</v>
      </c>
      <c r="E16" s="430">
        <f>IFERROR(SUMIF('Mngt-Payroll'!$AZ:$AZ,'FTE analysis'!$A16,'Mngt-Payroll'!I:I)/SUMIFS(FTE!J:J,FTE!$A:$A,'FTE analysis'!$A16,FTE!$B:$B,'FTE analysis'!$B16)/E$2,0)</f>
        <v>208.81090909090909</v>
      </c>
      <c r="F16" s="430">
        <f>IFERROR(SUMIF('Mngt-Payroll'!$AZ:$AZ,'FTE analysis'!$A16,'Mngt-Payroll'!J:J)/SUMIFS(FTE!K:K,FTE!$A:$A,'FTE analysis'!$A16,FTE!$B:$B,'FTE analysis'!$B16)/F$2,0)</f>
        <v>286.9491304347826</v>
      </c>
      <c r="G16" s="430">
        <f>IFERROR(SUMIF('Mngt-Payroll'!$AZ:$AZ,'FTE analysis'!$A16,'Mngt-Payroll'!K:K)/SUMIFS(FTE!L:L,FTE!$A:$A,'FTE analysis'!$A16,FTE!$B:$B,'FTE analysis'!$B16)/G$2,0)</f>
        <v>0</v>
      </c>
      <c r="H16" s="430">
        <f>IFERROR(SUMIF('Mngt-Payroll'!$AZ:$AZ,'FTE analysis'!$A16,'Mngt-Payroll'!L:L)/SUMIFS(FTE!M:M,FTE!$A:$A,'FTE analysis'!$A16,FTE!$B:$B,'FTE analysis'!$B16)/H$2,0)</f>
        <v>0</v>
      </c>
      <c r="I16" s="430">
        <f>IFERROR(SUMIF('Mngt-Payroll'!$AZ:$AZ,'FTE analysis'!$A16,'Mngt-Payroll'!M:M)/SUMIFS(FTE!N:N,FTE!$A:$A,'FTE analysis'!$A16,FTE!$B:$B,'FTE analysis'!$B16)/I$2,0)</f>
        <v>0</v>
      </c>
      <c r="J16" s="430">
        <f>IFERROR(SUMIF('Mngt-Payroll'!$AZ:$AZ,'FTE analysis'!$A16,'Mngt-Payroll'!N:N)/SUMIFS(FTE!O:O,FTE!$A:$A,'FTE analysis'!$A16,FTE!$B:$B,'FTE analysis'!$B16)/J$2,0)</f>
        <v>0</v>
      </c>
      <c r="K16" s="430">
        <f>IFERROR(SUMIF('Mngt-Payroll'!$AZ:$AZ,'FTE analysis'!$A16,'Mngt-Payroll'!O:O)/SUMIFS(FTE!P:P,FTE!$A:$A,'FTE analysis'!$A16,FTE!$B:$B,'FTE analysis'!$B16)/K$2,0)</f>
        <v>0</v>
      </c>
      <c r="L16" s="430">
        <f>IFERROR(SUMIF('Mngt-Payroll'!$AZ:$AZ,'FTE analysis'!$A16,'Mngt-Payroll'!P:P)/SUMIFS(FTE!Q:Q,FTE!$A:$A,'FTE analysis'!$A16,FTE!$B:$B,'FTE analysis'!$B16)/L$2,0)</f>
        <v>0</v>
      </c>
      <c r="M16" s="430">
        <f>IFERROR(SUMIF('Mngt-Payroll'!$AZ:$AZ,'FTE analysis'!$A16,'Mngt-Payroll'!Q:Q)/SUMIFS(FTE!R:R,FTE!$A:$A,'FTE analysis'!$A16,FTE!$B:$B,'FTE analysis'!$B16)/M$2,0)</f>
        <v>0</v>
      </c>
      <c r="N16" s="430">
        <f>IFERROR(SUMIF('Mngt-Payroll'!$AZ:$AZ,'FTE analysis'!$A16,'Mngt-Payroll'!R:R)/SUMIFS(FTE!S:S,FTE!$A:$A,'FTE analysis'!$A16,FTE!$B:$B,'FTE analysis'!$B16)/N$2,0)</f>
        <v>0</v>
      </c>
      <c r="O16" s="430">
        <f t="shared" si="1"/>
        <v>231.40530106970323</v>
      </c>
      <c r="P16" s="430">
        <f>IFERROR(SUMIF('Mngt-Payroll'!$AZ:$AZ,'FTE analysis'!$A16,'Mngt-Payroll'!U:U)/SUMIFS(FTE!U:U,FTE!$A:$A,'FTE analysis'!$A16,FTE!$B:$B,'FTE analysis'!$B16)/P$2,0)</f>
        <v>0</v>
      </c>
      <c r="Q16" s="430">
        <f>IFERROR(SUMIF('Mngt-Payroll'!$AZ:$AZ,'FTE analysis'!$A16,'Mngt-Payroll'!V:V)/SUMIFS(FTE!V:V,FTE!$A:$A,'FTE analysis'!$A16,FTE!$B:$B,'FTE analysis'!$B16)/Q$2,0)</f>
        <v>0</v>
      </c>
      <c r="R16" s="430">
        <f>IFERROR(SUMIF('Mngt-Payroll'!$AZ:$AZ,'FTE analysis'!$A16,'Mngt-Payroll'!W:W)/SUMIFS(FTE!W:W,FTE!$A:$A,'FTE analysis'!$A16,FTE!$B:$B,'FTE analysis'!$B16)/R$2,0)</f>
        <v>0</v>
      </c>
      <c r="S16" s="430">
        <f>IFERROR(SUMIF('Mngt-Payroll'!$AZ:$AZ,'FTE analysis'!$A16,'Mngt-Payroll'!X:X)/SUMIFS(FTE!X:X,FTE!$A:$A,'FTE analysis'!$A16,FTE!$B:$B,'FTE analysis'!$B16)/S$2,0)</f>
        <v>0</v>
      </c>
      <c r="T16" s="430">
        <f>IFERROR(SUMIF('Mngt-Payroll'!$AZ:$AZ,'FTE analysis'!$A16,'Mngt-Payroll'!Y:Y)/SUMIFS(FTE!Y:Y,FTE!$A:$A,'FTE analysis'!$A16,FTE!$B:$B,'FTE analysis'!$B16)/T$2,0)</f>
        <v>0</v>
      </c>
      <c r="U16" s="430">
        <f>IFERROR(SUMIF('Mngt-Payroll'!$AZ:$AZ,'FTE analysis'!$A16,'Mngt-Payroll'!Z:Z)/SUMIFS(FTE!Z:Z,FTE!$A:$A,'FTE analysis'!$A16,FTE!$B:$B,'FTE analysis'!$B16)/U$2,0)</f>
        <v>0</v>
      </c>
      <c r="V16" s="430">
        <f>IFERROR(SUMIF('Mngt-Payroll'!$AZ:$AZ,'FTE analysis'!$A16,'Mngt-Payroll'!AA:AA)/SUMIFS(FTE!AA:AA,FTE!$A:$A,'FTE analysis'!$A16,FTE!$B:$B,'FTE analysis'!$B16)/V$2,0)</f>
        <v>0</v>
      </c>
      <c r="W16" s="430">
        <f>IFERROR(SUMIF('Mngt-Payroll'!$AZ:$AZ,'FTE analysis'!$A16,'Mngt-Payroll'!AB:AB)/SUMIFS(FTE!AB:AB,FTE!$A:$A,'FTE analysis'!$A16,FTE!$B:$B,'FTE analysis'!$B16)/W$2,0)</f>
        <v>0</v>
      </c>
      <c r="X16" s="430">
        <f>IFERROR(SUMIF('Mngt-Payroll'!$AZ:$AZ,'FTE analysis'!$A16,'Mngt-Payroll'!AC:AC)/SUMIFS(FTE!AC:AC,FTE!$A:$A,'FTE analysis'!$A16,FTE!$B:$B,'FTE analysis'!$B16)/X$2,0)</f>
        <v>0</v>
      </c>
      <c r="Y16" s="430">
        <f>IFERROR(SUMIF('Mngt-Payroll'!$AZ:$AZ,'FTE analysis'!$A16,'Mngt-Payroll'!AD:AD)/SUMIFS(FTE!AD:AD,FTE!$A:$A,'FTE analysis'!$A16,FTE!$B:$B,'FTE analysis'!$B16)/Y$2,0)</f>
        <v>0</v>
      </c>
      <c r="Z16" s="430">
        <f>IFERROR(SUMIF('Mngt-Payroll'!$AZ:$AZ,'FTE analysis'!$A16,'Mngt-Payroll'!AE:AE)/SUMIFS(FTE!AE:AE,FTE!$A:$A,'FTE analysis'!$A16,FTE!$B:$B,'FTE analysis'!$B16)/Z$2,0)</f>
        <v>0</v>
      </c>
      <c r="AA16" s="430">
        <f>IFERROR(SUMIF('Mngt-Payroll'!$AZ:$AZ,'FTE analysis'!$A16,'Mngt-Payroll'!AF:AF)/SUMIFS(FTE!AF:AF,FTE!$A:$A,'FTE analysis'!$A16,FTE!$B:$B,'FTE analysis'!$B16)/AA$2,0)</f>
        <v>0</v>
      </c>
      <c r="AB16" s="430">
        <f t="shared" si="2"/>
        <v>0</v>
      </c>
      <c r="AC16" s="430">
        <f>IFERROR(SUMIF('Mngt-Payroll'!$AZ:$AZ,'FTE analysis'!$A16,'Mngt-Payroll'!AH:AH)/SUMIFS(FTE!AH:AH,FTE!$A:$A,'FTE analysis'!$A16,FTE!$B:$B,'FTE analysis'!$B16)/AC$2,0)</f>
        <v>258.6402173913043</v>
      </c>
      <c r="AD16" s="430">
        <f>IFERROR(SUMIF('Mngt-Payroll'!$AZ:$AZ,'FTE analysis'!$A16,'Mngt-Payroll'!AI:AI)/SUMIFS(FTE!AI:AI,FTE!$A:$A,'FTE analysis'!$A16,FTE!$B:$B,'FTE analysis'!$B16)/AD$2,0)</f>
        <v>271.99404761904759</v>
      </c>
      <c r="AE16" s="430">
        <f>IFERROR(SUMIF('Mngt-Payroll'!$AZ:$AZ,'FTE analysis'!$A16,'Mngt-Payroll'!AJ:AJ)/SUMIFS(FTE!AJ:AJ,FTE!$A:$A,'FTE analysis'!$A16,FTE!$B:$B,'FTE analysis'!$B16)/AE$2,0)</f>
        <v>244.39829545454543</v>
      </c>
      <c r="AF16" s="430">
        <f>IFERROR(SUMIF('Mngt-Payroll'!$AZ:$AZ,'FTE analysis'!$A16,'Mngt-Payroll'!AK:AK)/SUMIFS(FTE!AK:AK,FTE!$A:$A,'FTE analysis'!$A16,FTE!$B:$B,'FTE analysis'!$B16)/AF$2,0)</f>
        <v>303.24429347826083</v>
      </c>
      <c r="AG16" s="430">
        <f>IFERROR(SUMIF('Mngt-Payroll'!$AZ:$AZ,'FTE analysis'!$A16,'Mngt-Payroll'!AL:AL)/SUMIFS(FTE!AL:AL,FTE!$A:$A,'FTE analysis'!$A16,FTE!$B:$B,'FTE analysis'!$B16)/AG$2,0)</f>
        <v>347.48736842105268</v>
      </c>
      <c r="AH16" s="430">
        <f>IFERROR(SUMIF('Mngt-Payroll'!$AZ:$AZ,'FTE analysis'!$A16,'Mngt-Payroll'!AM:AM)/SUMIFS(FTE!AM:AM,FTE!$A:$A,'FTE analysis'!$A16,FTE!$B:$B,'FTE analysis'!$B16)/AH$2,0)</f>
        <v>184.31386363636364</v>
      </c>
      <c r="AI16" s="430">
        <f>IFERROR(SUMIF('Mngt-Payroll'!$AZ:$AZ,'FTE analysis'!$A16,'Mngt-Payroll'!AN:AN)/SUMIFS(FTE!AN:AN,FTE!$A:$A,'FTE analysis'!$A16,FTE!$B:$B,'FTE analysis'!$B16)/AI$2,0)</f>
        <v>349.7524926686217</v>
      </c>
      <c r="AJ16" s="430">
        <f>IFERROR(SUMIF('Mngt-Payroll'!$AZ:$AZ,'FTE analysis'!$A16,'Mngt-Payroll'!AO:AO)/SUMIFS(FTE!AO:AO,FTE!$A:$A,'FTE analysis'!$A16,FTE!$B:$B,'FTE analysis'!$B16)/AJ$2,0)</f>
        <v>288.23492063492068</v>
      </c>
      <c r="AK16" s="430">
        <f>IFERROR(SUMIF('Mngt-Payroll'!$AZ:$AZ,'FTE analysis'!$A16,'Mngt-Payroll'!AP:AP)/SUMIFS(FTE!AP:AP,FTE!$A:$A,'FTE analysis'!$A16,FTE!$B:$B,'FTE analysis'!$B16)/AK$2,0)</f>
        <v>265.95030303030302</v>
      </c>
      <c r="AL16" s="430">
        <f>IFERROR(SUMIF('Mngt-Payroll'!$AZ:$AZ,'FTE analysis'!$A16,'Mngt-Payroll'!AQ:AQ)/SUMIFS(FTE!AQ:AQ,FTE!$A:$A,'FTE analysis'!$A16,FTE!$B:$B,'FTE analysis'!$B16)/AL$2,0)</f>
        <v>289.90898550724637</v>
      </c>
      <c r="AM16" s="430">
        <f>IFERROR(SUMIF('Mngt-Payroll'!$AZ:$AZ,'FTE analysis'!$A16,'Mngt-Payroll'!AR:AR)/SUMIFS(FTE!AR:AR,FTE!$A:$A,'FTE analysis'!$A16,FTE!$B:$B,'FTE analysis'!$B16)/AM$2,0)</f>
        <v>311.61238095238099</v>
      </c>
      <c r="AN16" s="430">
        <f>IFERROR(SUMIF('Mngt-Payroll'!$AZ:$AZ,'FTE analysis'!$A16,'Mngt-Payroll'!AS:AS)/SUMIFS(FTE!AS:AS,FTE!$A:$A,'FTE analysis'!$A16,FTE!$B:$B,'FTE analysis'!$B16)/AN$2,0)</f>
        <v>547.47666666666669</v>
      </c>
      <c r="AO16" s="430">
        <f t="shared" si="3"/>
        <v>265.31713250517595</v>
      </c>
      <c r="AP16" s="139">
        <f t="shared" si="4"/>
        <v>18.254710144927571</v>
      </c>
      <c r="AQ16" s="139">
        <f t="shared" si="4"/>
        <v>-86.078373015872984</v>
      </c>
      <c r="AR16" s="139">
        <f t="shared" si="4"/>
        <v>-35.587386363636341</v>
      </c>
      <c r="AS16" s="139">
        <f t="shared" si="0"/>
        <v>-16.295163043478226</v>
      </c>
      <c r="AT16" s="139">
        <f t="shared" si="0"/>
        <v>0</v>
      </c>
      <c r="AU16" s="139">
        <f t="shared" si="0"/>
        <v>0</v>
      </c>
      <c r="AV16" s="139">
        <f t="shared" si="0"/>
        <v>0</v>
      </c>
      <c r="AW16" s="139">
        <f t="shared" si="0"/>
        <v>0</v>
      </c>
      <c r="AX16" s="139">
        <f t="shared" si="0"/>
        <v>0</v>
      </c>
      <c r="AY16" s="139">
        <f t="shared" si="0"/>
        <v>0</v>
      </c>
      <c r="AZ16" s="139">
        <f t="shared" si="0"/>
        <v>0</v>
      </c>
      <c r="BA16" s="139">
        <f t="shared" si="0"/>
        <v>0</v>
      </c>
      <c r="BB16" s="439">
        <f t="shared" si="5"/>
        <v>-33.911831435472706</v>
      </c>
      <c r="BC16" s="439"/>
      <c r="BD16" s="439">
        <f t="shared" si="6"/>
        <v>0</v>
      </c>
      <c r="BE16" s="484">
        <f>BB16*$BC$2*SUMIFS(FTE!T:T,FTE!$A:$A,'FTE analysis'!$A16,FTE!$B:$B,'FTE analysis'!$B16)</f>
        <v>0</v>
      </c>
      <c r="BF16" s="484">
        <f>(SUMIFS(FTE!T:T,FTE!$A:$A,'FTE analysis'!$A16,FTE!$B:$B,'FTE analysis'!$B16)-SUMIFS(FTE!AT:AT,FTE!$A:$A,'FTE analysis'!$A16,FTE!$B:$B,'FTE analysis'!$B16))</f>
        <v>0.24999999999999978</v>
      </c>
      <c r="BG16" s="418">
        <f t="shared" si="7"/>
        <v>0</v>
      </c>
    </row>
    <row r="17" spans="1:59" ht="15" x14ac:dyDescent="0.25">
      <c r="A17" s="703" t="s">
        <v>329</v>
      </c>
      <c r="B17" s="707" t="s">
        <v>202</v>
      </c>
      <c r="C17" s="430">
        <f>IFERROR(SUMIF('Mngt-Payroll'!$AZ:$AZ,'FTE analysis'!$A17,'Mngt-Payroll'!G:G)/SUMIFS(FTE!H:H,FTE!$A:$A,'FTE analysis'!$A17,FTE!$B:$B,'FTE analysis'!$B17)/C$2,0)</f>
        <v>609.12347826086955</v>
      </c>
      <c r="D17" s="430">
        <f>IFERROR(SUMIF('Mngt-Payroll'!$AZ:$AZ,'FTE analysis'!$A17,'Mngt-Payroll'!H:H)/SUMIFS(FTE!I:I,FTE!$A:$A,'FTE analysis'!$A17,FTE!$B:$B,'FTE analysis'!$B17)/D$2,0)</f>
        <v>441.63105080632204</v>
      </c>
      <c r="E17" s="430">
        <f>IFERROR(SUMIF('Mngt-Payroll'!$AZ:$AZ,'FTE analysis'!$A17,'Mngt-Payroll'!I:I)/SUMIFS(FTE!J:J,FTE!$A:$A,'FTE analysis'!$A17,FTE!$B:$B,'FTE analysis'!$B17)/E$2,0)</f>
        <v>287.61714103653361</v>
      </c>
      <c r="F17" s="430">
        <f>IFERROR(SUMIF('Mngt-Payroll'!$AZ:$AZ,'FTE analysis'!$A17,'Mngt-Payroll'!J:J)/SUMIFS(FTE!K:K,FTE!$A:$A,'FTE analysis'!$A17,FTE!$B:$B,'FTE analysis'!$B17)/F$2,0)</f>
        <v>269.62860625761886</v>
      </c>
      <c r="G17" s="430">
        <f>IFERROR(SUMIF('Mngt-Payroll'!$AZ:$AZ,'FTE analysis'!$A17,'Mngt-Payroll'!K:K)/SUMIFS(FTE!L:L,FTE!$A:$A,'FTE analysis'!$A17,FTE!$B:$B,'FTE analysis'!$B17)/G$2,0)</f>
        <v>0</v>
      </c>
      <c r="H17" s="430">
        <f>IFERROR(SUMIF('Mngt-Payroll'!$AZ:$AZ,'FTE analysis'!$A17,'Mngt-Payroll'!L:L)/SUMIFS(FTE!M:M,FTE!$A:$A,'FTE analysis'!$A17,FTE!$B:$B,'FTE analysis'!$B17)/H$2,0)</f>
        <v>0</v>
      </c>
      <c r="I17" s="430">
        <f>IFERROR(SUMIF('Mngt-Payroll'!$AZ:$AZ,'FTE analysis'!$A17,'Mngt-Payroll'!M:M)/SUMIFS(FTE!N:N,FTE!$A:$A,'FTE analysis'!$A17,FTE!$B:$B,'FTE analysis'!$B17)/I$2,0)</f>
        <v>0</v>
      </c>
      <c r="J17" s="430">
        <f>IFERROR(SUMIF('Mngt-Payroll'!$AZ:$AZ,'FTE analysis'!$A17,'Mngt-Payroll'!N:N)/SUMIFS(FTE!O:O,FTE!$A:$A,'FTE analysis'!$A17,FTE!$B:$B,'FTE analysis'!$B17)/J$2,0)</f>
        <v>0</v>
      </c>
      <c r="K17" s="430">
        <f>IFERROR(SUMIF('Mngt-Payroll'!$AZ:$AZ,'FTE analysis'!$A17,'Mngt-Payroll'!O:O)/SUMIFS(FTE!P:P,FTE!$A:$A,'FTE analysis'!$A17,FTE!$B:$B,'FTE analysis'!$B17)/K$2,0)</f>
        <v>0</v>
      </c>
      <c r="L17" s="430">
        <f>IFERROR(SUMIF('Mngt-Payroll'!$AZ:$AZ,'FTE analysis'!$A17,'Mngt-Payroll'!P:P)/SUMIFS(FTE!Q:Q,FTE!$A:$A,'FTE analysis'!$A17,FTE!$B:$B,'FTE analysis'!$B17)/L$2,0)</f>
        <v>0</v>
      </c>
      <c r="M17" s="430">
        <f>IFERROR(SUMIF('Mngt-Payroll'!$AZ:$AZ,'FTE analysis'!$A17,'Mngt-Payroll'!Q:Q)/SUMIFS(FTE!R:R,FTE!$A:$A,'FTE analysis'!$A17,FTE!$B:$B,'FTE analysis'!$B17)/M$2,0)</f>
        <v>0</v>
      </c>
      <c r="N17" s="430">
        <f>IFERROR(SUMIF('Mngt-Payroll'!$AZ:$AZ,'FTE analysis'!$A17,'Mngt-Payroll'!R:R)/SUMIFS(FTE!S:S,FTE!$A:$A,'FTE analysis'!$A17,FTE!$B:$B,'FTE analysis'!$B17)/N$2,0)</f>
        <v>0</v>
      </c>
      <c r="O17" s="430">
        <f t="shared" si="1"/>
        <v>525.37726453359573</v>
      </c>
      <c r="P17" s="430">
        <f>IFERROR(SUMIF('Mngt-Payroll'!$AZ:$AZ,'FTE analysis'!$A17,'Mngt-Payroll'!U:U)/SUMIFS(FTE!U:U,FTE!$A:$A,'FTE analysis'!$A17,FTE!$B:$B,'FTE analysis'!$B17)/P$2,0)</f>
        <v>0</v>
      </c>
      <c r="Q17" s="430">
        <f>IFERROR(SUMIF('Mngt-Payroll'!$AZ:$AZ,'FTE analysis'!$A17,'Mngt-Payroll'!V:V)/SUMIFS(FTE!V:V,FTE!$A:$A,'FTE analysis'!$A17,FTE!$B:$B,'FTE analysis'!$B17)/Q$2,0)</f>
        <v>0</v>
      </c>
      <c r="R17" s="430">
        <f>IFERROR(SUMIF('Mngt-Payroll'!$AZ:$AZ,'FTE analysis'!$A17,'Mngt-Payroll'!W:W)/SUMIFS(FTE!W:W,FTE!$A:$A,'FTE analysis'!$A17,FTE!$B:$B,'FTE analysis'!$B17)/R$2,0)</f>
        <v>0</v>
      </c>
      <c r="S17" s="430">
        <f>IFERROR(SUMIF('Mngt-Payroll'!$AZ:$AZ,'FTE analysis'!$A17,'Mngt-Payroll'!X:X)/SUMIFS(FTE!X:X,FTE!$A:$A,'FTE analysis'!$A17,FTE!$B:$B,'FTE analysis'!$B17)/S$2,0)</f>
        <v>0</v>
      </c>
      <c r="T17" s="430">
        <f>IFERROR(SUMIF('Mngt-Payroll'!$AZ:$AZ,'FTE analysis'!$A17,'Mngt-Payroll'!Y:Y)/SUMIFS(FTE!Y:Y,FTE!$A:$A,'FTE analysis'!$A17,FTE!$B:$B,'FTE analysis'!$B17)/T$2,0)</f>
        <v>0</v>
      </c>
      <c r="U17" s="430">
        <f>IFERROR(SUMIF('Mngt-Payroll'!$AZ:$AZ,'FTE analysis'!$A17,'Mngt-Payroll'!Z:Z)/SUMIFS(FTE!Z:Z,FTE!$A:$A,'FTE analysis'!$A17,FTE!$B:$B,'FTE analysis'!$B17)/U$2,0)</f>
        <v>0</v>
      </c>
      <c r="V17" s="430">
        <f>IFERROR(SUMIF('Mngt-Payroll'!$AZ:$AZ,'FTE analysis'!$A17,'Mngt-Payroll'!AA:AA)/SUMIFS(FTE!AA:AA,FTE!$A:$A,'FTE analysis'!$A17,FTE!$B:$B,'FTE analysis'!$B17)/V$2,0)</f>
        <v>0</v>
      </c>
      <c r="W17" s="430">
        <f>IFERROR(SUMIF('Mngt-Payroll'!$AZ:$AZ,'FTE analysis'!$A17,'Mngt-Payroll'!AB:AB)/SUMIFS(FTE!AB:AB,FTE!$A:$A,'FTE analysis'!$A17,FTE!$B:$B,'FTE analysis'!$B17)/W$2,0)</f>
        <v>0</v>
      </c>
      <c r="X17" s="430">
        <f>IFERROR(SUMIF('Mngt-Payroll'!$AZ:$AZ,'FTE analysis'!$A17,'Mngt-Payroll'!AC:AC)/SUMIFS(FTE!AC:AC,FTE!$A:$A,'FTE analysis'!$A17,FTE!$B:$B,'FTE analysis'!$B17)/X$2,0)</f>
        <v>0</v>
      </c>
      <c r="Y17" s="430">
        <f>IFERROR(SUMIF('Mngt-Payroll'!$AZ:$AZ,'FTE analysis'!$A17,'Mngt-Payroll'!AD:AD)/SUMIFS(FTE!AD:AD,FTE!$A:$A,'FTE analysis'!$A17,FTE!$B:$B,'FTE analysis'!$B17)/Y$2,0)</f>
        <v>0</v>
      </c>
      <c r="Z17" s="430">
        <f>IFERROR(SUMIF('Mngt-Payroll'!$AZ:$AZ,'FTE analysis'!$A17,'Mngt-Payroll'!AE:AE)/SUMIFS(FTE!AE:AE,FTE!$A:$A,'FTE analysis'!$A17,FTE!$B:$B,'FTE analysis'!$B17)/Z$2,0)</f>
        <v>0</v>
      </c>
      <c r="AA17" s="430">
        <f>IFERROR(SUMIF('Mngt-Payroll'!$AZ:$AZ,'FTE analysis'!$A17,'Mngt-Payroll'!AF:AF)/SUMIFS(FTE!AF:AF,FTE!$A:$A,'FTE analysis'!$A17,FTE!$B:$B,'FTE analysis'!$B17)/AA$2,0)</f>
        <v>0</v>
      </c>
      <c r="AB17" s="430">
        <f t="shared" si="2"/>
        <v>0</v>
      </c>
      <c r="AC17" s="430">
        <f>IFERROR(SUMIF('Mngt-Payroll'!$AZ:$AZ,'FTE analysis'!$A17,'Mngt-Payroll'!AH:AH)/SUMIFS(FTE!AH:AH,FTE!$A:$A,'FTE analysis'!$A17,FTE!$B:$B,'FTE analysis'!$B17)/AC$2,0)</f>
        <v>253.92934782608697</v>
      </c>
      <c r="AD17" s="430">
        <f>IFERROR(SUMIF('Mngt-Payroll'!$AZ:$AZ,'FTE analysis'!$A17,'Mngt-Payroll'!AI:AI)/SUMIFS(FTE!AI:AI,FTE!$A:$A,'FTE analysis'!$A17,FTE!$B:$B,'FTE analysis'!$B17)/AD$2,0)</f>
        <v>254.4345238095238</v>
      </c>
      <c r="AE17" s="430">
        <f>IFERROR(SUMIF('Mngt-Payroll'!$AZ:$AZ,'FTE analysis'!$A17,'Mngt-Payroll'!AJ:AJ)/SUMIFS(FTE!AJ:AJ,FTE!$A:$A,'FTE analysis'!$A17,FTE!$B:$B,'FTE analysis'!$B17)/AE$2,0)</f>
        <v>234.23431818181817</v>
      </c>
      <c r="AF17" s="430">
        <f>IFERROR(SUMIF('Mngt-Payroll'!$AZ:$AZ,'FTE analysis'!$A17,'Mngt-Payroll'!AK:AK)/SUMIFS(FTE!AK:AK,FTE!$A:$A,'FTE analysis'!$A17,FTE!$B:$B,'FTE analysis'!$B17)/AF$2,0)</f>
        <v>242.7613043478261</v>
      </c>
      <c r="AG17" s="430">
        <f>IFERROR(SUMIF('Mngt-Payroll'!$AZ:$AZ,'FTE analysis'!$A17,'Mngt-Payroll'!AL:AL)/SUMIFS(FTE!AL:AL,FTE!$A:$A,'FTE analysis'!$A17,FTE!$B:$B,'FTE analysis'!$B17)/AG$2,0)</f>
        <v>149.39875000000001</v>
      </c>
      <c r="AH17" s="430">
        <f>IFERROR(SUMIF('Mngt-Payroll'!$AZ:$AZ,'FTE analysis'!$A17,'Mngt-Payroll'!AM:AM)/SUMIFS(FTE!AM:AM,FTE!$A:$A,'FTE analysis'!$A17,FTE!$B:$B,'FTE analysis'!$B17)/AH$2,0)</f>
        <v>245.83999999999997</v>
      </c>
      <c r="AI17" s="430">
        <f>IFERROR(SUMIF('Mngt-Payroll'!$AZ:$AZ,'FTE analysis'!$A17,'Mngt-Payroll'!AN:AN)/SUMIFS(FTE!AN:AN,FTE!$A:$A,'FTE analysis'!$A17,FTE!$B:$B,'FTE analysis'!$B17)/AI$2,0)</f>
        <v>446.86545454545461</v>
      </c>
      <c r="AJ17" s="430">
        <f>IFERROR(SUMIF('Mngt-Payroll'!$AZ:$AZ,'FTE analysis'!$A17,'Mngt-Payroll'!AO:AO)/SUMIFS(FTE!AO:AO,FTE!$A:$A,'FTE analysis'!$A17,FTE!$B:$B,'FTE analysis'!$B17)/AJ$2,0)</f>
        <v>338.23492063492063</v>
      </c>
      <c r="AK17" s="430">
        <f>IFERROR(SUMIF('Mngt-Payroll'!$AZ:$AZ,'FTE analysis'!$A17,'Mngt-Payroll'!AP:AP)/SUMIFS(FTE!AP:AP,FTE!$A:$A,'FTE analysis'!$A17,FTE!$B:$B,'FTE analysis'!$B17)/AK$2,0)</f>
        <v>4.1755883710198427</v>
      </c>
      <c r="AL17" s="430">
        <f>IFERROR(SUMIF('Mngt-Payroll'!$AZ:$AZ,'FTE analysis'!$A17,'Mngt-Payroll'!AQ:AQ)/SUMIFS(FTE!AQ:AQ,FTE!$A:$A,'FTE analysis'!$A17,FTE!$B:$B,'FTE analysis'!$B17)/AL$2,0)</f>
        <v>45.623913043478254</v>
      </c>
      <c r="AM17" s="430">
        <f>IFERROR(SUMIF('Mngt-Payroll'!$AZ:$AZ,'FTE analysis'!$A17,'Mngt-Payroll'!AR:AR)/SUMIFS(FTE!AR:AR,FTE!$A:$A,'FTE analysis'!$A17,FTE!$B:$B,'FTE analysis'!$B17)/AM$2,0)</f>
        <v>0</v>
      </c>
      <c r="AN17" s="430">
        <f>IFERROR(SUMIF('Mngt-Payroll'!$AZ:$AZ,'FTE analysis'!$A17,'Mngt-Payroll'!AS:AS)/SUMIFS(FTE!AS:AS,FTE!$A:$A,'FTE analysis'!$A17,FTE!$B:$B,'FTE analysis'!$B17)/AN$2,0)</f>
        <v>0</v>
      </c>
      <c r="AO17" s="430">
        <f t="shared" si="3"/>
        <v>254.18193581780537</v>
      </c>
      <c r="AP17" s="139">
        <f t="shared" si="4"/>
        <v>355.19413043478255</v>
      </c>
      <c r="AQ17" s="139">
        <f t="shared" si="4"/>
        <v>187.19652699679824</v>
      </c>
      <c r="AR17" s="139">
        <f t="shared" si="4"/>
        <v>53.382822854715442</v>
      </c>
      <c r="AS17" s="139">
        <f t="shared" si="0"/>
        <v>26.867301909792758</v>
      </c>
      <c r="AT17" s="139">
        <f t="shared" si="0"/>
        <v>0</v>
      </c>
      <c r="AU17" s="139">
        <f t="shared" si="0"/>
        <v>0</v>
      </c>
      <c r="AV17" s="139">
        <f t="shared" si="0"/>
        <v>0</v>
      </c>
      <c r="AW17" s="139">
        <f t="shared" si="0"/>
        <v>0</v>
      </c>
      <c r="AX17" s="139">
        <f t="shared" si="0"/>
        <v>0</v>
      </c>
      <c r="AY17" s="139">
        <f t="shared" si="0"/>
        <v>0</v>
      </c>
      <c r="AZ17" s="139">
        <f t="shared" si="0"/>
        <v>0</v>
      </c>
      <c r="BA17" s="139">
        <f t="shared" si="0"/>
        <v>0</v>
      </c>
      <c r="BB17" s="439">
        <f t="shared" si="5"/>
        <v>271.19532871579042</v>
      </c>
      <c r="BC17" s="439"/>
      <c r="BD17" s="439">
        <f t="shared" si="6"/>
        <v>0</v>
      </c>
      <c r="BE17" s="484">
        <f>BB17*$BC$2*SUMIFS(FTE!T:T,FTE!$A:$A,'FTE analysis'!$A17,FTE!$B:$B,'FTE analysis'!$B17)</f>
        <v>0</v>
      </c>
      <c r="BF17" s="484">
        <f>(SUMIFS(FTE!T:T,FTE!$A:$A,'FTE analysis'!$A17,FTE!$B:$B,'FTE analysis'!$B17)-SUMIFS(FTE!AT:AT,FTE!$A:$A,'FTE analysis'!$A17,FTE!$B:$B,'FTE analysis'!$B17))</f>
        <v>-1.1292213815789474</v>
      </c>
      <c r="BG17" s="418">
        <f t="shared" si="7"/>
        <v>0</v>
      </c>
    </row>
    <row r="18" spans="1:59" ht="15" x14ac:dyDescent="0.25">
      <c r="A18" s="703" t="s">
        <v>330</v>
      </c>
      <c r="B18" s="707" t="s">
        <v>202</v>
      </c>
      <c r="C18" s="430">
        <f>IFERROR(SUMIF('Mngt-Payroll'!$AZ:$AZ,'FTE analysis'!$A18,'Mngt-Payroll'!G:G)/SUMIFS(FTE!H:H,FTE!$A:$A,'FTE analysis'!$A18,FTE!$B:$B,'FTE analysis'!$B18)/C$2,0)</f>
        <v>285.96704805491993</v>
      </c>
      <c r="D18" s="430">
        <f>IFERROR(SUMIF('Mngt-Payroll'!$AZ:$AZ,'FTE analysis'!$A18,'Mngt-Payroll'!H:H)/SUMIFS(FTE!I:I,FTE!$A:$A,'FTE analysis'!$A18,FTE!$B:$B,'FTE analysis'!$B18)/D$2,0)</f>
        <v>345.9942355889724</v>
      </c>
      <c r="E18" s="430">
        <f>IFERROR(SUMIF('Mngt-Payroll'!$AZ:$AZ,'FTE analysis'!$A18,'Mngt-Payroll'!I:I)/SUMIFS(FTE!J:J,FTE!$A:$A,'FTE analysis'!$A18,FTE!$B:$B,'FTE analysis'!$B18)/E$2,0)</f>
        <v>395.33995215311006</v>
      </c>
      <c r="F18" s="430">
        <f>IFERROR(SUMIF('Mngt-Payroll'!$AZ:$AZ,'FTE analysis'!$A18,'Mngt-Payroll'!J:J)/SUMIFS(FTE!K:K,FTE!$A:$A,'FTE analysis'!$A18,FTE!$B:$B,'FTE analysis'!$B18)/F$2,0)</f>
        <v>382.33867276887878</v>
      </c>
      <c r="G18" s="430">
        <f>IFERROR(SUMIF('Mngt-Payroll'!$AZ:$AZ,'FTE analysis'!$A18,'Mngt-Payroll'!K:K)/SUMIFS(FTE!L:L,FTE!$A:$A,'FTE analysis'!$A18,FTE!$B:$B,'FTE analysis'!$B18)/G$2,0)</f>
        <v>0</v>
      </c>
      <c r="H18" s="430">
        <f>IFERROR(SUMIF('Mngt-Payroll'!$AZ:$AZ,'FTE analysis'!$A18,'Mngt-Payroll'!L:L)/SUMIFS(FTE!M:M,FTE!$A:$A,'FTE analysis'!$A18,FTE!$B:$B,'FTE analysis'!$B18)/H$2,0)</f>
        <v>0</v>
      </c>
      <c r="I18" s="430">
        <f>IFERROR(SUMIF('Mngt-Payroll'!$AZ:$AZ,'FTE analysis'!$A18,'Mngt-Payroll'!M:M)/SUMIFS(FTE!N:N,FTE!$A:$A,'FTE analysis'!$A18,FTE!$B:$B,'FTE analysis'!$B18)/I$2,0)</f>
        <v>0</v>
      </c>
      <c r="J18" s="430">
        <f>IFERROR(SUMIF('Mngt-Payroll'!$AZ:$AZ,'FTE analysis'!$A18,'Mngt-Payroll'!N:N)/SUMIFS(FTE!O:O,FTE!$A:$A,'FTE analysis'!$A18,FTE!$B:$B,'FTE analysis'!$B18)/J$2,0)</f>
        <v>0</v>
      </c>
      <c r="K18" s="430">
        <f>IFERROR(SUMIF('Mngt-Payroll'!$AZ:$AZ,'FTE analysis'!$A18,'Mngt-Payroll'!O:O)/SUMIFS(FTE!P:P,FTE!$A:$A,'FTE analysis'!$A18,FTE!$B:$B,'FTE analysis'!$B18)/K$2,0)</f>
        <v>0</v>
      </c>
      <c r="L18" s="430">
        <f>IFERROR(SUMIF('Mngt-Payroll'!$AZ:$AZ,'FTE analysis'!$A18,'Mngt-Payroll'!P:P)/SUMIFS(FTE!Q:Q,FTE!$A:$A,'FTE analysis'!$A18,FTE!$B:$B,'FTE analysis'!$B18)/L$2,0)</f>
        <v>0</v>
      </c>
      <c r="M18" s="430">
        <f>IFERROR(SUMIF('Mngt-Payroll'!$AZ:$AZ,'FTE analysis'!$A18,'Mngt-Payroll'!Q:Q)/SUMIFS(FTE!R:R,FTE!$A:$A,'FTE analysis'!$A18,FTE!$B:$B,'FTE analysis'!$B18)/M$2,0)</f>
        <v>0</v>
      </c>
      <c r="N18" s="430">
        <f>IFERROR(SUMIF('Mngt-Payroll'!$AZ:$AZ,'FTE analysis'!$A18,'Mngt-Payroll'!R:R)/SUMIFS(FTE!S:S,FTE!$A:$A,'FTE analysis'!$A18,FTE!$B:$B,'FTE analysis'!$B18)/N$2,0)</f>
        <v>0</v>
      </c>
      <c r="O18" s="430">
        <f t="shared" si="1"/>
        <v>315.98064182194616</v>
      </c>
      <c r="P18" s="430">
        <f>IFERROR(SUMIF('Mngt-Payroll'!$AZ:$AZ,'FTE analysis'!$A18,'Mngt-Payroll'!U:U)/SUMIFS(FTE!U:U,FTE!$A:$A,'FTE analysis'!$A18,FTE!$B:$B,'FTE analysis'!$B18)/P$2,0)</f>
        <v>0</v>
      </c>
      <c r="Q18" s="430">
        <f>IFERROR(SUMIF('Mngt-Payroll'!$AZ:$AZ,'FTE analysis'!$A18,'Mngt-Payroll'!V:V)/SUMIFS(FTE!V:V,FTE!$A:$A,'FTE analysis'!$A18,FTE!$B:$B,'FTE analysis'!$B18)/Q$2,0)</f>
        <v>0</v>
      </c>
      <c r="R18" s="430">
        <f>IFERROR(SUMIF('Mngt-Payroll'!$AZ:$AZ,'FTE analysis'!$A18,'Mngt-Payroll'!W:W)/SUMIFS(FTE!W:W,FTE!$A:$A,'FTE analysis'!$A18,FTE!$B:$B,'FTE analysis'!$B18)/R$2,0)</f>
        <v>0</v>
      </c>
      <c r="S18" s="430">
        <f>IFERROR(SUMIF('Mngt-Payroll'!$AZ:$AZ,'FTE analysis'!$A18,'Mngt-Payroll'!X:X)/SUMIFS(FTE!X:X,FTE!$A:$A,'FTE analysis'!$A18,FTE!$B:$B,'FTE analysis'!$B18)/S$2,0)</f>
        <v>0</v>
      </c>
      <c r="T18" s="430">
        <f>IFERROR(SUMIF('Mngt-Payroll'!$AZ:$AZ,'FTE analysis'!$A18,'Mngt-Payroll'!Y:Y)/SUMIFS(FTE!Y:Y,FTE!$A:$A,'FTE analysis'!$A18,FTE!$B:$B,'FTE analysis'!$B18)/T$2,0)</f>
        <v>0</v>
      </c>
      <c r="U18" s="430">
        <f>IFERROR(SUMIF('Mngt-Payroll'!$AZ:$AZ,'FTE analysis'!$A18,'Mngt-Payroll'!Z:Z)/SUMIFS(FTE!Z:Z,FTE!$A:$A,'FTE analysis'!$A18,FTE!$B:$B,'FTE analysis'!$B18)/U$2,0)</f>
        <v>0</v>
      </c>
      <c r="V18" s="430">
        <f>IFERROR(SUMIF('Mngt-Payroll'!$AZ:$AZ,'FTE analysis'!$A18,'Mngt-Payroll'!AA:AA)/SUMIFS(FTE!AA:AA,FTE!$A:$A,'FTE analysis'!$A18,FTE!$B:$B,'FTE analysis'!$B18)/V$2,0)</f>
        <v>0</v>
      </c>
      <c r="W18" s="430">
        <f>IFERROR(SUMIF('Mngt-Payroll'!$AZ:$AZ,'FTE analysis'!$A18,'Mngt-Payroll'!AB:AB)/SUMIFS(FTE!AB:AB,FTE!$A:$A,'FTE analysis'!$A18,FTE!$B:$B,'FTE analysis'!$B18)/W$2,0)</f>
        <v>0</v>
      </c>
      <c r="X18" s="430">
        <f>IFERROR(SUMIF('Mngt-Payroll'!$AZ:$AZ,'FTE analysis'!$A18,'Mngt-Payroll'!AC:AC)/SUMIFS(FTE!AC:AC,FTE!$A:$A,'FTE analysis'!$A18,FTE!$B:$B,'FTE analysis'!$B18)/X$2,0)</f>
        <v>0</v>
      </c>
      <c r="Y18" s="430">
        <f>IFERROR(SUMIF('Mngt-Payroll'!$AZ:$AZ,'FTE analysis'!$A18,'Mngt-Payroll'!AD:AD)/SUMIFS(FTE!AD:AD,FTE!$A:$A,'FTE analysis'!$A18,FTE!$B:$B,'FTE analysis'!$B18)/Y$2,0)</f>
        <v>0</v>
      </c>
      <c r="Z18" s="430">
        <f>IFERROR(SUMIF('Mngt-Payroll'!$AZ:$AZ,'FTE analysis'!$A18,'Mngt-Payroll'!AE:AE)/SUMIFS(FTE!AE:AE,FTE!$A:$A,'FTE analysis'!$A18,FTE!$B:$B,'FTE analysis'!$B18)/Z$2,0)</f>
        <v>0</v>
      </c>
      <c r="AA18" s="430">
        <f>IFERROR(SUMIF('Mngt-Payroll'!$AZ:$AZ,'FTE analysis'!$A18,'Mngt-Payroll'!AF:AF)/SUMIFS(FTE!AF:AF,FTE!$A:$A,'FTE analysis'!$A18,FTE!$B:$B,'FTE analysis'!$B18)/AA$2,0)</f>
        <v>0</v>
      </c>
      <c r="AB18" s="430">
        <f t="shared" si="2"/>
        <v>0</v>
      </c>
      <c r="AC18" s="430">
        <f>IFERROR(SUMIF('Mngt-Payroll'!$AZ:$AZ,'FTE analysis'!$A18,'Mngt-Payroll'!AH:AH)/SUMIFS(FTE!AH:AH,FTE!$A:$A,'FTE analysis'!$A18,FTE!$B:$B,'FTE analysis'!$B18)/AC$2,0)</f>
        <v>388.50913043478255</v>
      </c>
      <c r="AD18" s="430">
        <f>IFERROR(SUMIF('Mngt-Payroll'!$AZ:$AZ,'FTE analysis'!$A18,'Mngt-Payroll'!AI:AI)/SUMIFS(FTE!AI:AI,FTE!$A:$A,'FTE analysis'!$A18,FTE!$B:$B,'FTE analysis'!$B18)/AD$2,0)</f>
        <v>388.4561904761905</v>
      </c>
      <c r="AE18" s="430">
        <f>IFERROR(SUMIF('Mngt-Payroll'!$AZ:$AZ,'FTE analysis'!$A18,'Mngt-Payroll'!AJ:AJ)/SUMIFS(FTE!AJ:AJ,FTE!$A:$A,'FTE analysis'!$A18,FTE!$B:$B,'FTE analysis'!$B18)/AE$2,0)</f>
        <v>357.01181818181817</v>
      </c>
      <c r="AF18" s="430">
        <f>IFERROR(SUMIF('Mngt-Payroll'!$AZ:$AZ,'FTE analysis'!$A18,'Mngt-Payroll'!AK:AK)/SUMIFS(FTE!AK:AK,FTE!$A:$A,'FTE analysis'!$A18,FTE!$B:$B,'FTE analysis'!$B18)/AF$2,0)</f>
        <v>415.34999999999997</v>
      </c>
      <c r="AG18" s="430">
        <f>IFERROR(SUMIF('Mngt-Payroll'!$AZ:$AZ,'FTE analysis'!$A18,'Mngt-Payroll'!AL:AL)/SUMIFS(FTE!AL:AL,FTE!$A:$A,'FTE analysis'!$A18,FTE!$B:$B,'FTE analysis'!$B18)/AG$2,0)</f>
        <v>464.05950000000001</v>
      </c>
      <c r="AH18" s="430">
        <f>IFERROR(SUMIF('Mngt-Payroll'!$AZ:$AZ,'FTE analysis'!$A18,'Mngt-Payroll'!AM:AM)/SUMIFS(FTE!AM:AM,FTE!$A:$A,'FTE analysis'!$A18,FTE!$B:$B,'FTE analysis'!$B18)/AH$2,0)</f>
        <v>395.99909090909091</v>
      </c>
      <c r="AI18" s="430">
        <f>IFERROR(SUMIF('Mngt-Payroll'!$AZ:$AZ,'FTE analysis'!$A18,'Mngt-Payroll'!AN:AN)/SUMIFS(FTE!AN:AN,FTE!$A:$A,'FTE analysis'!$A18,FTE!$B:$B,'FTE analysis'!$B18)/AI$2,0)</f>
        <v>324.35727272727269</v>
      </c>
      <c r="AJ18" s="430">
        <f>IFERROR(SUMIF('Mngt-Payroll'!$AZ:$AZ,'FTE analysis'!$A18,'Mngt-Payroll'!AO:AO)/SUMIFS(FTE!AO:AO,FTE!$A:$A,'FTE analysis'!$A18,FTE!$B:$B,'FTE analysis'!$B18)/AJ$2,0)</f>
        <v>279.3752380952381</v>
      </c>
      <c r="AK18" s="430">
        <f>IFERROR(SUMIF('Mngt-Payroll'!$AZ:$AZ,'FTE analysis'!$A18,'Mngt-Payroll'!AP:AP)/SUMIFS(FTE!AP:AP,FTE!$A:$A,'FTE analysis'!$A18,FTE!$B:$B,'FTE analysis'!$B18)/AK$2,0)</f>
        <v>677.27863636363634</v>
      </c>
      <c r="AL18" s="430">
        <f>IFERROR(SUMIF('Mngt-Payroll'!$AZ:$AZ,'FTE analysis'!$A18,'Mngt-Payroll'!AQ:AQ)/SUMIFS(FTE!AQ:AQ,FTE!$A:$A,'FTE analysis'!$A18,FTE!$B:$B,'FTE analysis'!$B18)/AL$2,0)</f>
        <v>392.76777493606136</v>
      </c>
      <c r="AM18" s="430">
        <f>IFERROR(SUMIF('Mngt-Payroll'!$AZ:$AZ,'FTE analysis'!$A18,'Mngt-Payroll'!AR:AR)/SUMIFS(FTE!AR:AR,FTE!$A:$A,'FTE analysis'!$A18,FTE!$B:$B,'FTE analysis'!$B18)/AM$2,0)</f>
        <v>282.53875379939211</v>
      </c>
      <c r="AN18" s="430">
        <f>IFERROR(SUMIF('Mngt-Payroll'!$AZ:$AZ,'FTE analysis'!$A18,'Mngt-Payroll'!AS:AS)/SUMIFS(FTE!AS:AS,FTE!$A:$A,'FTE analysis'!$A18,FTE!$B:$B,'FTE analysis'!$B18)/AN$2,0)</f>
        <v>777.07153110047864</v>
      </c>
      <c r="AO18" s="430">
        <f t="shared" si="3"/>
        <v>388.48266045548655</v>
      </c>
      <c r="AP18" s="139">
        <f t="shared" si="4"/>
        <v>-102.54208237986262</v>
      </c>
      <c r="AQ18" s="139">
        <f t="shared" si="4"/>
        <v>-42.461954887218099</v>
      </c>
      <c r="AR18" s="139">
        <f t="shared" si="4"/>
        <v>38.328133971291891</v>
      </c>
      <c r="AS18" s="139">
        <f t="shared" si="0"/>
        <v>-33.011327231121186</v>
      </c>
      <c r="AT18" s="139">
        <f t="shared" si="0"/>
        <v>0</v>
      </c>
      <c r="AU18" s="139">
        <f t="shared" si="0"/>
        <v>0</v>
      </c>
      <c r="AV18" s="139">
        <f t="shared" si="0"/>
        <v>0</v>
      </c>
      <c r="AW18" s="139">
        <f t="shared" si="0"/>
        <v>0</v>
      </c>
      <c r="AX18" s="139">
        <f t="shared" si="0"/>
        <v>0</v>
      </c>
      <c r="AY18" s="139">
        <f t="shared" si="0"/>
        <v>0</v>
      </c>
      <c r="AZ18" s="139">
        <f t="shared" si="0"/>
        <v>0</v>
      </c>
      <c r="BA18" s="139">
        <f t="shared" si="0"/>
        <v>0</v>
      </c>
      <c r="BB18" s="439">
        <f t="shared" si="5"/>
        <v>-72.502018633540359</v>
      </c>
      <c r="BC18" s="439"/>
      <c r="BD18" s="439">
        <f t="shared" si="6"/>
        <v>0</v>
      </c>
      <c r="BE18" s="484">
        <f>BB18*$BC$2*SUMIFS(FTE!T:T,FTE!$A:$A,'FTE analysis'!$A18,FTE!$B:$B,'FTE analysis'!$B18)</f>
        <v>0</v>
      </c>
      <c r="BF18" s="484">
        <f>(SUMIFS(FTE!T:T,FTE!$A:$A,'FTE analysis'!$A18,FTE!$B:$B,'FTE analysis'!$B18)-SUMIFS(FTE!AT:AT,FTE!$A:$A,'FTE analysis'!$A18,FTE!$B:$B,'FTE analysis'!$B18))</f>
        <v>0.89999999999999991</v>
      </c>
      <c r="BG18" s="418">
        <f t="shared" si="7"/>
        <v>0</v>
      </c>
    </row>
    <row r="19" spans="1:59" ht="15" x14ac:dyDescent="0.25">
      <c r="A19" s="703" t="s">
        <v>284</v>
      </c>
      <c r="B19" s="707" t="s">
        <v>202</v>
      </c>
      <c r="C19" s="430">
        <f>IFERROR(SUMIF('Mngt-Payroll'!$AZ:$AZ,'FTE analysis'!$A19,'Mngt-Payroll'!G:G)/SUMIFS(FTE!H:H,FTE!$A:$A,'FTE analysis'!$A19,FTE!$B:$B,'FTE analysis'!$B19)/C$2,0)</f>
        <v>0</v>
      </c>
      <c r="D19" s="430">
        <f>IFERROR(SUMIF('Mngt-Payroll'!$AZ:$AZ,'FTE analysis'!$A19,'Mngt-Payroll'!H:H)/SUMIFS(FTE!I:I,FTE!$A:$A,'FTE analysis'!$A19,FTE!$B:$B,'FTE analysis'!$B19)/D$2,0)</f>
        <v>0</v>
      </c>
      <c r="E19" s="430">
        <f>IFERROR(SUMIF('Mngt-Payroll'!$AZ:$AZ,'FTE analysis'!$A19,'Mngt-Payroll'!I:I)/SUMIFS(FTE!J:J,FTE!$A:$A,'FTE analysis'!$A19,FTE!$B:$B,'FTE analysis'!$B19)/E$2,0)</f>
        <v>0</v>
      </c>
      <c r="F19" s="430">
        <f>IFERROR(SUMIF('Mngt-Payroll'!$AZ:$AZ,'FTE analysis'!$A19,'Mngt-Payroll'!J:J)/SUMIFS(FTE!K:K,FTE!$A:$A,'FTE analysis'!$A19,FTE!$B:$B,'FTE analysis'!$B19)/F$2,0)</f>
        <v>0</v>
      </c>
      <c r="G19" s="430">
        <f>IFERROR(SUMIF('Mngt-Payroll'!$AZ:$AZ,'FTE analysis'!$A19,'Mngt-Payroll'!K:K)/SUMIFS(FTE!L:L,FTE!$A:$A,'FTE analysis'!$A19,FTE!$B:$B,'FTE analysis'!$B19)/G$2,0)</f>
        <v>0</v>
      </c>
      <c r="H19" s="430">
        <f>IFERROR(SUMIF('Mngt-Payroll'!$AZ:$AZ,'FTE analysis'!$A19,'Mngt-Payroll'!L:L)/SUMIFS(FTE!M:M,FTE!$A:$A,'FTE analysis'!$A19,FTE!$B:$B,'FTE analysis'!$B19)/H$2,0)</f>
        <v>0</v>
      </c>
      <c r="I19" s="430">
        <f>IFERROR(SUMIF('Mngt-Payroll'!$AZ:$AZ,'FTE analysis'!$A19,'Mngt-Payroll'!M:M)/SUMIFS(FTE!N:N,FTE!$A:$A,'FTE analysis'!$A19,FTE!$B:$B,'FTE analysis'!$B19)/I$2,0)</f>
        <v>0</v>
      </c>
      <c r="J19" s="430">
        <f>IFERROR(SUMIF('Mngt-Payroll'!$AZ:$AZ,'FTE analysis'!$A19,'Mngt-Payroll'!N:N)/SUMIFS(FTE!O:O,FTE!$A:$A,'FTE analysis'!$A19,FTE!$B:$B,'FTE analysis'!$B19)/J$2,0)</f>
        <v>0</v>
      </c>
      <c r="K19" s="430">
        <f>IFERROR(SUMIF('Mngt-Payroll'!$AZ:$AZ,'FTE analysis'!$A19,'Mngt-Payroll'!O:O)/SUMIFS(FTE!P:P,FTE!$A:$A,'FTE analysis'!$A19,FTE!$B:$B,'FTE analysis'!$B19)/K$2,0)</f>
        <v>0</v>
      </c>
      <c r="L19" s="430">
        <f>IFERROR(SUMIF('Mngt-Payroll'!$AZ:$AZ,'FTE analysis'!$A19,'Mngt-Payroll'!P:P)/SUMIFS(FTE!Q:Q,FTE!$A:$A,'FTE analysis'!$A19,FTE!$B:$B,'FTE analysis'!$B19)/L$2,0)</f>
        <v>0</v>
      </c>
      <c r="M19" s="430">
        <f>IFERROR(SUMIF('Mngt-Payroll'!$AZ:$AZ,'FTE analysis'!$A19,'Mngt-Payroll'!Q:Q)/SUMIFS(FTE!R:R,FTE!$A:$A,'FTE analysis'!$A19,FTE!$B:$B,'FTE analysis'!$B19)/M$2,0)</f>
        <v>0</v>
      </c>
      <c r="N19" s="430">
        <f>IFERROR(SUMIF('Mngt-Payroll'!$AZ:$AZ,'FTE analysis'!$A19,'Mngt-Payroll'!R:R)/SUMIFS(FTE!S:S,FTE!$A:$A,'FTE analysis'!$A19,FTE!$B:$B,'FTE analysis'!$B19)/N$2,0)</f>
        <v>0</v>
      </c>
      <c r="O19" s="430">
        <f t="shared" si="1"/>
        <v>0</v>
      </c>
      <c r="P19" s="430">
        <f>IFERROR(SUMIF('Mngt-Payroll'!$AZ:$AZ,'FTE analysis'!$A19,'Mngt-Payroll'!U:U)/SUMIFS(FTE!U:U,FTE!$A:$A,'FTE analysis'!$A19,FTE!$B:$B,'FTE analysis'!$B19)/P$2,0)</f>
        <v>0</v>
      </c>
      <c r="Q19" s="430">
        <f>IFERROR(SUMIF('Mngt-Payroll'!$AZ:$AZ,'FTE analysis'!$A19,'Mngt-Payroll'!V:V)/SUMIFS(FTE!V:V,FTE!$A:$A,'FTE analysis'!$A19,FTE!$B:$B,'FTE analysis'!$B19)/Q$2,0)</f>
        <v>0</v>
      </c>
      <c r="R19" s="430">
        <f>IFERROR(SUMIF('Mngt-Payroll'!$AZ:$AZ,'FTE analysis'!$A19,'Mngt-Payroll'!W:W)/SUMIFS(FTE!W:W,FTE!$A:$A,'FTE analysis'!$A19,FTE!$B:$B,'FTE analysis'!$B19)/R$2,0)</f>
        <v>0</v>
      </c>
      <c r="S19" s="430">
        <f>IFERROR(SUMIF('Mngt-Payroll'!$AZ:$AZ,'FTE analysis'!$A19,'Mngt-Payroll'!X:X)/SUMIFS(FTE!X:X,FTE!$A:$A,'FTE analysis'!$A19,FTE!$B:$B,'FTE analysis'!$B19)/S$2,0)</f>
        <v>0</v>
      </c>
      <c r="T19" s="430">
        <f>IFERROR(SUMIF('Mngt-Payroll'!$AZ:$AZ,'FTE analysis'!$A19,'Mngt-Payroll'!Y:Y)/SUMIFS(FTE!Y:Y,FTE!$A:$A,'FTE analysis'!$A19,FTE!$B:$B,'FTE analysis'!$B19)/T$2,0)</f>
        <v>0</v>
      </c>
      <c r="U19" s="430">
        <f>IFERROR(SUMIF('Mngt-Payroll'!$AZ:$AZ,'FTE analysis'!$A19,'Mngt-Payroll'!Z:Z)/SUMIFS(FTE!Z:Z,FTE!$A:$A,'FTE analysis'!$A19,FTE!$B:$B,'FTE analysis'!$B19)/U$2,0)</f>
        <v>0</v>
      </c>
      <c r="V19" s="430">
        <f>IFERROR(SUMIF('Mngt-Payroll'!$AZ:$AZ,'FTE analysis'!$A19,'Mngt-Payroll'!AA:AA)/SUMIFS(FTE!AA:AA,FTE!$A:$A,'FTE analysis'!$A19,FTE!$B:$B,'FTE analysis'!$B19)/V$2,0)</f>
        <v>0</v>
      </c>
      <c r="W19" s="430">
        <f>IFERROR(SUMIF('Mngt-Payroll'!$AZ:$AZ,'FTE analysis'!$A19,'Mngt-Payroll'!AB:AB)/SUMIFS(FTE!AB:AB,FTE!$A:$A,'FTE analysis'!$A19,FTE!$B:$B,'FTE analysis'!$B19)/W$2,0)</f>
        <v>0</v>
      </c>
      <c r="X19" s="430">
        <f>IFERROR(SUMIF('Mngt-Payroll'!$AZ:$AZ,'FTE analysis'!$A19,'Mngt-Payroll'!AC:AC)/SUMIFS(FTE!AC:AC,FTE!$A:$A,'FTE analysis'!$A19,FTE!$B:$B,'FTE analysis'!$B19)/X$2,0)</f>
        <v>0</v>
      </c>
      <c r="Y19" s="430">
        <f>IFERROR(SUMIF('Mngt-Payroll'!$AZ:$AZ,'FTE analysis'!$A19,'Mngt-Payroll'!AD:AD)/SUMIFS(FTE!AD:AD,FTE!$A:$A,'FTE analysis'!$A19,FTE!$B:$B,'FTE analysis'!$B19)/Y$2,0)</f>
        <v>0</v>
      </c>
      <c r="Z19" s="430">
        <f>IFERROR(SUMIF('Mngt-Payroll'!$AZ:$AZ,'FTE analysis'!$A19,'Mngt-Payroll'!AE:AE)/SUMIFS(FTE!AE:AE,FTE!$A:$A,'FTE analysis'!$A19,FTE!$B:$B,'FTE analysis'!$B19)/Z$2,0)</f>
        <v>0</v>
      </c>
      <c r="AA19" s="430">
        <f>IFERROR(SUMIF('Mngt-Payroll'!$AZ:$AZ,'FTE analysis'!$A19,'Mngt-Payroll'!AF:AF)/SUMIFS(FTE!AF:AF,FTE!$A:$A,'FTE analysis'!$A19,FTE!$B:$B,'FTE analysis'!$B19)/AA$2,0)</f>
        <v>0</v>
      </c>
      <c r="AB19" s="430">
        <f t="shared" si="2"/>
        <v>0</v>
      </c>
      <c r="AC19" s="430">
        <f>IFERROR(SUMIF('Mngt-Payroll'!$AZ:$AZ,'FTE analysis'!$A19,'Mngt-Payroll'!AH:AH)/SUMIFS(FTE!AH:AH,FTE!$A:$A,'FTE analysis'!$A19,FTE!$B:$B,'FTE analysis'!$B19)/AC$2,0)</f>
        <v>0</v>
      </c>
      <c r="AD19" s="430">
        <f>IFERROR(SUMIF('Mngt-Payroll'!$AZ:$AZ,'FTE analysis'!$A19,'Mngt-Payroll'!AI:AI)/SUMIFS(FTE!AI:AI,FTE!$A:$A,'FTE analysis'!$A19,FTE!$B:$B,'FTE analysis'!$B19)/AD$2,0)</f>
        <v>0</v>
      </c>
      <c r="AE19" s="430">
        <f>IFERROR(SUMIF('Mngt-Payroll'!$AZ:$AZ,'FTE analysis'!$A19,'Mngt-Payroll'!AJ:AJ)/SUMIFS(FTE!AJ:AJ,FTE!$A:$A,'FTE analysis'!$A19,FTE!$B:$B,'FTE analysis'!$B19)/AE$2,0)</f>
        <v>0</v>
      </c>
      <c r="AF19" s="430">
        <f>IFERROR(SUMIF('Mngt-Payroll'!$AZ:$AZ,'FTE analysis'!$A19,'Mngt-Payroll'!AK:AK)/SUMIFS(FTE!AK:AK,FTE!$A:$A,'FTE analysis'!$A19,FTE!$B:$B,'FTE analysis'!$B19)/AF$2,0)</f>
        <v>0</v>
      </c>
      <c r="AG19" s="430">
        <f>IFERROR(SUMIF('Mngt-Payroll'!$AZ:$AZ,'FTE analysis'!$A19,'Mngt-Payroll'!AL:AL)/SUMIFS(FTE!AL:AL,FTE!$A:$A,'FTE analysis'!$A19,FTE!$B:$B,'FTE analysis'!$B19)/AG$2,0)</f>
        <v>0</v>
      </c>
      <c r="AH19" s="430">
        <f>IFERROR(SUMIF('Mngt-Payroll'!$AZ:$AZ,'FTE analysis'!$A19,'Mngt-Payroll'!AM:AM)/SUMIFS(FTE!AM:AM,FTE!$A:$A,'FTE analysis'!$A19,FTE!$B:$B,'FTE analysis'!$B19)/AH$2,0)</f>
        <v>0</v>
      </c>
      <c r="AI19" s="430">
        <f>IFERROR(SUMIF('Mngt-Payroll'!$AZ:$AZ,'FTE analysis'!$A19,'Mngt-Payroll'!AN:AN)/SUMIFS(FTE!AN:AN,FTE!$A:$A,'FTE analysis'!$A19,FTE!$B:$B,'FTE analysis'!$B19)/AI$2,0)</f>
        <v>0</v>
      </c>
      <c r="AJ19" s="430">
        <f>IFERROR(SUMIF('Mngt-Payroll'!$AZ:$AZ,'FTE analysis'!$A19,'Mngt-Payroll'!AO:AO)/SUMIFS(FTE!AO:AO,FTE!$A:$A,'FTE analysis'!$A19,FTE!$B:$B,'FTE analysis'!$B19)/AJ$2,0)</f>
        <v>0</v>
      </c>
      <c r="AK19" s="430">
        <f>IFERROR(SUMIF('Mngt-Payroll'!$AZ:$AZ,'FTE analysis'!$A19,'Mngt-Payroll'!AP:AP)/SUMIFS(FTE!AP:AP,FTE!$A:$A,'FTE analysis'!$A19,FTE!$B:$B,'FTE analysis'!$B19)/AK$2,0)</f>
        <v>0</v>
      </c>
      <c r="AL19" s="430">
        <f>IFERROR(SUMIF('Mngt-Payroll'!$AZ:$AZ,'FTE analysis'!$A19,'Mngt-Payroll'!AQ:AQ)/SUMIFS(FTE!AQ:AQ,FTE!$A:$A,'FTE analysis'!$A19,FTE!$B:$B,'FTE analysis'!$B19)/AL$2,0)</f>
        <v>0</v>
      </c>
      <c r="AM19" s="430">
        <f>IFERROR(SUMIF('Mngt-Payroll'!$AZ:$AZ,'FTE analysis'!$A19,'Mngt-Payroll'!AR:AR)/SUMIFS(FTE!AR:AR,FTE!$A:$A,'FTE analysis'!$A19,FTE!$B:$B,'FTE analysis'!$B19)/AM$2,0)</f>
        <v>0</v>
      </c>
      <c r="AN19" s="430">
        <f>IFERROR(SUMIF('Mngt-Payroll'!$AZ:$AZ,'FTE analysis'!$A19,'Mngt-Payroll'!AS:AS)/SUMIFS(FTE!AS:AS,FTE!$A:$A,'FTE analysis'!$A19,FTE!$B:$B,'FTE analysis'!$B19)/AN$2,0)</f>
        <v>0</v>
      </c>
      <c r="AO19" s="430">
        <f t="shared" si="3"/>
        <v>0</v>
      </c>
      <c r="AP19" s="139">
        <f t="shared" si="4"/>
        <v>0</v>
      </c>
      <c r="AQ19" s="139">
        <f t="shared" si="4"/>
        <v>0</v>
      </c>
      <c r="AR19" s="139">
        <f t="shared" si="4"/>
        <v>0</v>
      </c>
      <c r="AS19" s="139">
        <f t="shared" si="0"/>
        <v>0</v>
      </c>
      <c r="AT19" s="139">
        <f t="shared" si="0"/>
        <v>0</v>
      </c>
      <c r="AU19" s="139">
        <f t="shared" si="0"/>
        <v>0</v>
      </c>
      <c r="AV19" s="139">
        <f t="shared" si="0"/>
        <v>0</v>
      </c>
      <c r="AW19" s="139">
        <f t="shared" si="0"/>
        <v>0</v>
      </c>
      <c r="AX19" s="139">
        <f t="shared" si="0"/>
        <v>0</v>
      </c>
      <c r="AY19" s="139">
        <f t="shared" si="0"/>
        <v>0</v>
      </c>
      <c r="AZ19" s="139">
        <f t="shared" si="0"/>
        <v>0</v>
      </c>
      <c r="BA19" s="139">
        <f t="shared" si="0"/>
        <v>0</v>
      </c>
      <c r="BB19" s="439">
        <f t="shared" si="5"/>
        <v>0</v>
      </c>
      <c r="BC19" s="439"/>
      <c r="BD19" s="439">
        <f t="shared" si="6"/>
        <v>0</v>
      </c>
      <c r="BE19" s="484">
        <f>BB19*$BC$2*SUMIFS(FTE!T:T,FTE!$A:$A,'FTE analysis'!$A19,FTE!$B:$B,'FTE analysis'!$B19)</f>
        <v>0</v>
      </c>
      <c r="BF19" s="484">
        <f>(SUMIFS(FTE!T:T,FTE!$A:$A,'FTE analysis'!$A19,FTE!$B:$B,'FTE analysis'!$B19)-SUMIFS(FTE!AT:AT,FTE!$A:$A,'FTE analysis'!$A19,FTE!$B:$B,'FTE analysis'!$B19))</f>
        <v>0</v>
      </c>
      <c r="BG19" s="418">
        <f t="shared" si="7"/>
        <v>0</v>
      </c>
    </row>
    <row r="20" spans="1:59" ht="15" x14ac:dyDescent="0.25">
      <c r="A20" s="703" t="s">
        <v>331</v>
      </c>
      <c r="B20" s="707" t="s">
        <v>202</v>
      </c>
      <c r="C20" s="430">
        <f>IFERROR(SUMIF('Mngt-Payroll'!$AZ:$AZ,'FTE analysis'!$A20,'Mngt-Payroll'!G:G)/SUMIFS(FTE!H:H,FTE!$A:$A,'FTE analysis'!$A20,FTE!$B:$B,'FTE analysis'!$B20)/C$2,0)</f>
        <v>445.28673913043474</v>
      </c>
      <c r="D20" s="430">
        <f>IFERROR(SUMIF('Mngt-Payroll'!$AZ:$AZ,'FTE analysis'!$A20,'Mngt-Payroll'!H:H)/SUMIFS(FTE!I:I,FTE!$A:$A,'FTE analysis'!$A20,FTE!$B:$B,'FTE analysis'!$B20)/D$2,0)</f>
        <v>495.94324853228966</v>
      </c>
      <c r="E20" s="430">
        <f>IFERROR(SUMIF('Mngt-Payroll'!$AZ:$AZ,'FTE analysis'!$A20,'Mngt-Payroll'!I:I)/SUMIFS(FTE!J:J,FTE!$A:$A,'FTE analysis'!$A20,FTE!$B:$B,'FTE analysis'!$B20)/E$2,0)</f>
        <v>308.15060606060604</v>
      </c>
      <c r="F20" s="430">
        <f>IFERROR(SUMIF('Mngt-Payroll'!$AZ:$AZ,'FTE analysis'!$A20,'Mngt-Payroll'!J:J)/SUMIFS(FTE!K:K,FTE!$A:$A,'FTE analysis'!$A20,FTE!$B:$B,'FTE analysis'!$B20)/F$2,0)</f>
        <v>1117.8434782608695</v>
      </c>
      <c r="G20" s="430">
        <f>IFERROR(SUMIF('Mngt-Payroll'!$AZ:$AZ,'FTE analysis'!$A20,'Mngt-Payroll'!K:K)/SUMIFS(FTE!L:L,FTE!$A:$A,'FTE analysis'!$A20,FTE!$B:$B,'FTE analysis'!$B20)/G$2,0)</f>
        <v>0</v>
      </c>
      <c r="H20" s="430">
        <f>IFERROR(SUMIF('Mngt-Payroll'!$AZ:$AZ,'FTE analysis'!$A20,'Mngt-Payroll'!L:L)/SUMIFS(FTE!M:M,FTE!$A:$A,'FTE analysis'!$A20,FTE!$B:$B,'FTE analysis'!$B20)/H$2,0)</f>
        <v>0</v>
      </c>
      <c r="I20" s="430">
        <f>IFERROR(SUMIF('Mngt-Payroll'!$AZ:$AZ,'FTE analysis'!$A20,'Mngt-Payroll'!M:M)/SUMIFS(FTE!N:N,FTE!$A:$A,'FTE analysis'!$A20,FTE!$B:$B,'FTE analysis'!$B20)/I$2,0)</f>
        <v>0</v>
      </c>
      <c r="J20" s="430">
        <f>IFERROR(SUMIF('Mngt-Payroll'!$AZ:$AZ,'FTE analysis'!$A20,'Mngt-Payroll'!N:N)/SUMIFS(FTE!O:O,FTE!$A:$A,'FTE analysis'!$A20,FTE!$B:$B,'FTE analysis'!$B20)/J$2,0)</f>
        <v>0</v>
      </c>
      <c r="K20" s="430">
        <f>IFERROR(SUMIF('Mngt-Payroll'!$AZ:$AZ,'FTE analysis'!$A20,'Mngt-Payroll'!O:O)/SUMIFS(FTE!P:P,FTE!$A:$A,'FTE analysis'!$A20,FTE!$B:$B,'FTE analysis'!$B20)/K$2,0)</f>
        <v>0</v>
      </c>
      <c r="L20" s="430">
        <f>IFERROR(SUMIF('Mngt-Payroll'!$AZ:$AZ,'FTE analysis'!$A20,'Mngt-Payroll'!P:P)/SUMIFS(FTE!Q:Q,FTE!$A:$A,'FTE analysis'!$A20,FTE!$B:$B,'FTE analysis'!$B20)/L$2,0)</f>
        <v>0</v>
      </c>
      <c r="M20" s="430">
        <f>IFERROR(SUMIF('Mngt-Payroll'!$AZ:$AZ,'FTE analysis'!$A20,'Mngt-Payroll'!Q:Q)/SUMIFS(FTE!R:R,FTE!$A:$A,'FTE analysis'!$A20,FTE!$B:$B,'FTE analysis'!$B20)/M$2,0)</f>
        <v>0</v>
      </c>
      <c r="N20" s="430">
        <f>IFERROR(SUMIF('Mngt-Payroll'!$AZ:$AZ,'FTE analysis'!$A20,'Mngt-Payroll'!R:R)/SUMIFS(FTE!S:S,FTE!$A:$A,'FTE analysis'!$A20,FTE!$B:$B,'FTE analysis'!$B20)/N$2,0)</f>
        <v>0</v>
      </c>
      <c r="O20" s="430">
        <f t="shared" si="1"/>
        <v>470.6149938313622</v>
      </c>
      <c r="P20" s="430">
        <f>IFERROR(SUMIF('Mngt-Payroll'!$AZ:$AZ,'FTE analysis'!$A20,'Mngt-Payroll'!U:U)/SUMIFS(FTE!U:U,FTE!$A:$A,'FTE analysis'!$A20,FTE!$B:$B,'FTE analysis'!$B20)/P$2,0)</f>
        <v>0</v>
      </c>
      <c r="Q20" s="430">
        <f>IFERROR(SUMIF('Mngt-Payroll'!$AZ:$AZ,'FTE analysis'!$A20,'Mngt-Payroll'!V:V)/SUMIFS(FTE!V:V,FTE!$A:$A,'FTE analysis'!$A20,FTE!$B:$B,'FTE analysis'!$B20)/Q$2,0)</f>
        <v>0</v>
      </c>
      <c r="R20" s="430">
        <f>IFERROR(SUMIF('Mngt-Payroll'!$AZ:$AZ,'FTE analysis'!$A20,'Mngt-Payroll'!W:W)/SUMIFS(FTE!W:W,FTE!$A:$A,'FTE analysis'!$A20,FTE!$B:$B,'FTE analysis'!$B20)/R$2,0)</f>
        <v>0</v>
      </c>
      <c r="S20" s="430">
        <f>IFERROR(SUMIF('Mngt-Payroll'!$AZ:$AZ,'FTE analysis'!$A20,'Mngt-Payroll'!X:X)/SUMIFS(FTE!X:X,FTE!$A:$A,'FTE analysis'!$A20,FTE!$B:$B,'FTE analysis'!$B20)/S$2,0)</f>
        <v>0</v>
      </c>
      <c r="T20" s="430">
        <f>IFERROR(SUMIF('Mngt-Payroll'!$AZ:$AZ,'FTE analysis'!$A20,'Mngt-Payroll'!Y:Y)/SUMIFS(FTE!Y:Y,FTE!$A:$A,'FTE analysis'!$A20,FTE!$B:$B,'FTE analysis'!$B20)/T$2,0)</f>
        <v>0</v>
      </c>
      <c r="U20" s="430">
        <f>IFERROR(SUMIF('Mngt-Payroll'!$AZ:$AZ,'FTE analysis'!$A20,'Mngt-Payroll'!Z:Z)/SUMIFS(FTE!Z:Z,FTE!$A:$A,'FTE analysis'!$A20,FTE!$B:$B,'FTE analysis'!$B20)/U$2,0)</f>
        <v>0</v>
      </c>
      <c r="V20" s="430">
        <f>IFERROR(SUMIF('Mngt-Payroll'!$AZ:$AZ,'FTE analysis'!$A20,'Mngt-Payroll'!AA:AA)/SUMIFS(FTE!AA:AA,FTE!$A:$A,'FTE analysis'!$A20,FTE!$B:$B,'FTE analysis'!$B20)/V$2,0)</f>
        <v>0</v>
      </c>
      <c r="W20" s="430">
        <f>IFERROR(SUMIF('Mngt-Payroll'!$AZ:$AZ,'FTE analysis'!$A20,'Mngt-Payroll'!AB:AB)/SUMIFS(FTE!AB:AB,FTE!$A:$A,'FTE analysis'!$A20,FTE!$B:$B,'FTE analysis'!$B20)/W$2,0)</f>
        <v>0</v>
      </c>
      <c r="X20" s="430">
        <f>IFERROR(SUMIF('Mngt-Payroll'!$AZ:$AZ,'FTE analysis'!$A20,'Mngt-Payroll'!AC:AC)/SUMIFS(FTE!AC:AC,FTE!$A:$A,'FTE analysis'!$A20,FTE!$B:$B,'FTE analysis'!$B20)/X$2,0)</f>
        <v>0</v>
      </c>
      <c r="Y20" s="430">
        <f>IFERROR(SUMIF('Mngt-Payroll'!$AZ:$AZ,'FTE analysis'!$A20,'Mngt-Payroll'!AD:AD)/SUMIFS(FTE!AD:AD,FTE!$A:$A,'FTE analysis'!$A20,FTE!$B:$B,'FTE analysis'!$B20)/Y$2,0)</f>
        <v>0</v>
      </c>
      <c r="Z20" s="430">
        <f>IFERROR(SUMIF('Mngt-Payroll'!$AZ:$AZ,'FTE analysis'!$A20,'Mngt-Payroll'!AE:AE)/SUMIFS(FTE!AE:AE,FTE!$A:$A,'FTE analysis'!$A20,FTE!$B:$B,'FTE analysis'!$B20)/Z$2,0)</f>
        <v>0</v>
      </c>
      <c r="AA20" s="430">
        <f>IFERROR(SUMIF('Mngt-Payroll'!$AZ:$AZ,'FTE analysis'!$A20,'Mngt-Payroll'!AF:AF)/SUMIFS(FTE!AF:AF,FTE!$A:$A,'FTE analysis'!$A20,FTE!$B:$B,'FTE analysis'!$B20)/AA$2,0)</f>
        <v>0</v>
      </c>
      <c r="AB20" s="430">
        <f t="shared" si="2"/>
        <v>0</v>
      </c>
      <c r="AC20" s="430">
        <f>IFERROR(SUMIF('Mngt-Payroll'!$AZ:$AZ,'FTE analysis'!$A20,'Mngt-Payroll'!AH:AH)/SUMIFS(FTE!AH:AH,FTE!$A:$A,'FTE analysis'!$A20,FTE!$B:$B,'FTE analysis'!$B20)/AC$2,0)</f>
        <v>553.61989130434779</v>
      </c>
      <c r="AD20" s="430">
        <f>IFERROR(SUMIF('Mngt-Payroll'!$AZ:$AZ,'FTE analysis'!$A20,'Mngt-Payroll'!AI:AI)/SUMIFS(FTE!AI:AI,FTE!$A:$A,'FTE analysis'!$A20,FTE!$B:$B,'FTE analysis'!$B20)/AD$2,0)</f>
        <v>531.35666666666668</v>
      </c>
      <c r="AE20" s="430">
        <f>IFERROR(SUMIF('Mngt-Payroll'!$AZ:$AZ,'FTE analysis'!$A20,'Mngt-Payroll'!AJ:AJ)/SUMIFS(FTE!AJ:AJ,FTE!$A:$A,'FTE analysis'!$A20,FTE!$B:$B,'FTE analysis'!$B20)/AE$2,0)</f>
        <v>644.80488636363634</v>
      </c>
      <c r="AF20" s="430">
        <f>IFERROR(SUMIF('Mngt-Payroll'!$AZ:$AZ,'FTE analysis'!$A20,'Mngt-Payroll'!AK:AK)/SUMIFS(FTE!AK:AK,FTE!$A:$A,'FTE analysis'!$A20,FTE!$B:$B,'FTE analysis'!$B20)/AF$2,0)</f>
        <v>753.17989130434785</v>
      </c>
      <c r="AG20" s="430">
        <f>IFERROR(SUMIF('Mngt-Payroll'!$AZ:$AZ,'FTE analysis'!$A20,'Mngt-Payroll'!AL:AL)/SUMIFS(FTE!AL:AL,FTE!$A:$A,'FTE analysis'!$A20,FTE!$B:$B,'FTE analysis'!$B20)/AG$2,0)</f>
        <v>680.70341666666673</v>
      </c>
      <c r="AH20" s="430">
        <f>IFERROR(SUMIF('Mngt-Payroll'!$AZ:$AZ,'FTE analysis'!$A20,'Mngt-Payroll'!AM:AM)/SUMIFS(FTE!AM:AM,FTE!$A:$A,'FTE analysis'!$A20,FTE!$B:$B,'FTE analysis'!$B20)/AH$2,0)</f>
        <v>471.96305194805194</v>
      </c>
      <c r="AI20" s="430">
        <f>IFERROR(SUMIF('Mngt-Payroll'!$AZ:$AZ,'FTE analysis'!$A20,'Mngt-Payroll'!AN:AN)/SUMIFS(FTE!AN:AN,FTE!$A:$A,'FTE analysis'!$A20,FTE!$B:$B,'FTE analysis'!$B20)/AI$2,0)</f>
        <v>533.78136363636361</v>
      </c>
      <c r="AJ20" s="430">
        <f>IFERROR(SUMIF('Mngt-Payroll'!$AZ:$AZ,'FTE analysis'!$A20,'Mngt-Payroll'!AO:AO)/SUMIFS(FTE!AO:AO,FTE!$A:$A,'FTE analysis'!$A20,FTE!$B:$B,'FTE analysis'!$B20)/AJ$2,0)</f>
        <v>520.97945578231281</v>
      </c>
      <c r="AK20" s="430">
        <f>IFERROR(SUMIF('Mngt-Payroll'!$AZ:$AZ,'FTE analysis'!$A20,'Mngt-Payroll'!AP:AP)/SUMIFS(FTE!AP:AP,FTE!$A:$A,'FTE analysis'!$A20,FTE!$B:$B,'FTE analysis'!$B20)/AK$2,0)</f>
        <v>468.44259740259747</v>
      </c>
      <c r="AL20" s="430">
        <f>IFERROR(SUMIF('Mngt-Payroll'!$AZ:$AZ,'FTE analysis'!$A20,'Mngt-Payroll'!AQ:AQ)/SUMIFS(FTE!AQ:AQ,FTE!$A:$A,'FTE analysis'!$A20,FTE!$B:$B,'FTE analysis'!$B20)/AL$2,0)</f>
        <v>642.55929426591047</v>
      </c>
      <c r="AM20" s="430">
        <f>IFERROR(SUMIF('Mngt-Payroll'!$AZ:$AZ,'FTE analysis'!$A20,'Mngt-Payroll'!AR:AR)/SUMIFS(FTE!AR:AR,FTE!$A:$A,'FTE analysis'!$A20,FTE!$B:$B,'FTE analysis'!$B20)/AM$2,0)</f>
        <v>462.77054569362258</v>
      </c>
      <c r="AN20" s="430">
        <f>IFERROR(SUMIF('Mngt-Payroll'!$AZ:$AZ,'FTE analysis'!$A20,'Mngt-Payroll'!AS:AS)/SUMIFS(FTE!AS:AS,FTE!$A:$A,'FTE analysis'!$A20,FTE!$B:$B,'FTE analysis'!$B20)/AN$2,0)</f>
        <v>2234.6513636363638</v>
      </c>
      <c r="AO20" s="430">
        <f t="shared" si="3"/>
        <v>542.48827898550724</v>
      </c>
      <c r="AP20" s="139">
        <f t="shared" si="4"/>
        <v>-108.33315217391305</v>
      </c>
      <c r="AQ20" s="139">
        <f t="shared" si="4"/>
        <v>-35.413418134377025</v>
      </c>
      <c r="AR20" s="139">
        <f t="shared" si="4"/>
        <v>-336.6542803030303</v>
      </c>
      <c r="AS20" s="139">
        <f t="shared" si="4"/>
        <v>364.66358695652161</v>
      </c>
      <c r="AT20" s="139">
        <f t="shared" si="4"/>
        <v>0</v>
      </c>
      <c r="AU20" s="139">
        <f t="shared" si="4"/>
        <v>0</v>
      </c>
      <c r="AV20" s="139">
        <f t="shared" si="4"/>
        <v>0</v>
      </c>
      <c r="AW20" s="139">
        <f t="shared" si="4"/>
        <v>0</v>
      </c>
      <c r="AX20" s="139">
        <f t="shared" si="4"/>
        <v>0</v>
      </c>
      <c r="AY20" s="139">
        <f t="shared" si="4"/>
        <v>0</v>
      </c>
      <c r="AZ20" s="139">
        <f t="shared" si="4"/>
        <v>0</v>
      </c>
      <c r="BA20" s="139">
        <f t="shared" si="4"/>
        <v>0</v>
      </c>
      <c r="BB20" s="439">
        <f t="shared" si="5"/>
        <v>-71.873285154145037</v>
      </c>
      <c r="BC20" s="439"/>
      <c r="BD20" s="439">
        <f t="shared" si="6"/>
        <v>0</v>
      </c>
      <c r="BE20" s="484">
        <f>BB20*$BC$2*SUMIFS(FTE!T:T,FTE!$A:$A,'FTE analysis'!$A20,FTE!$B:$B,'FTE analysis'!$B20)</f>
        <v>0</v>
      </c>
      <c r="BF20" s="484">
        <f>(SUMIFS(FTE!T:T,FTE!$A:$A,'FTE analysis'!$A20,FTE!$B:$B,'FTE analysis'!$B20)-SUMIFS(FTE!AT:AT,FTE!$A:$A,'FTE analysis'!$A20,FTE!$B:$B,'FTE analysis'!$B20))</f>
        <v>-0.58749999999999991</v>
      </c>
      <c r="BG20" s="418">
        <f t="shared" si="7"/>
        <v>0</v>
      </c>
    </row>
    <row r="21" spans="1:59" ht="15" x14ac:dyDescent="0.25">
      <c r="A21" s="703" t="s">
        <v>282</v>
      </c>
      <c r="B21" s="707" t="s">
        <v>202</v>
      </c>
      <c r="C21" s="430">
        <f>IFERROR(SUMIF('Mngt-Payroll'!$AZ:$AZ,'FTE analysis'!$A21,'Mngt-Payroll'!G:G)/SUMIFS(FTE!H:H,FTE!$A:$A,'FTE analysis'!$A21,FTE!$B:$B,'FTE analysis'!$B21)/C$2,0)</f>
        <v>372.15956521739133</v>
      </c>
      <c r="D21" s="430">
        <f>IFERROR(SUMIF('Mngt-Payroll'!$AZ:$AZ,'FTE analysis'!$A21,'Mngt-Payroll'!H:H)/SUMIFS(FTE!I:I,FTE!$A:$A,'FTE analysis'!$A21,FTE!$B:$B,'FTE analysis'!$B21)/D$2,0)</f>
        <v>371.94095238095241</v>
      </c>
      <c r="E21" s="430">
        <f>IFERROR(SUMIF('Mngt-Payroll'!$AZ:$AZ,'FTE analysis'!$A21,'Mngt-Payroll'!I:I)/SUMIFS(FTE!J:J,FTE!$A:$A,'FTE analysis'!$A21,FTE!$B:$B,'FTE analysis'!$B21)/E$2,0)</f>
        <v>385.76045454545454</v>
      </c>
      <c r="F21" s="430">
        <f>IFERROR(SUMIF('Mngt-Payroll'!$AZ:$AZ,'FTE analysis'!$A21,'Mngt-Payroll'!J:J)/SUMIFS(FTE!K:K,FTE!$A:$A,'FTE analysis'!$A21,FTE!$B:$B,'FTE analysis'!$B21)/F$2,0)</f>
        <v>355.50130434782608</v>
      </c>
      <c r="G21" s="430">
        <f>IFERROR(SUMIF('Mngt-Payroll'!$AZ:$AZ,'FTE analysis'!$A21,'Mngt-Payroll'!K:K)/SUMIFS(FTE!L:L,FTE!$A:$A,'FTE analysis'!$A21,FTE!$B:$B,'FTE analysis'!$B21)/G$2,0)</f>
        <v>0</v>
      </c>
      <c r="H21" s="430">
        <f>IFERROR(SUMIF('Mngt-Payroll'!$AZ:$AZ,'FTE analysis'!$A21,'Mngt-Payroll'!L:L)/SUMIFS(FTE!M:M,FTE!$A:$A,'FTE analysis'!$A21,FTE!$B:$B,'FTE analysis'!$B21)/H$2,0)</f>
        <v>0</v>
      </c>
      <c r="I21" s="430">
        <f>IFERROR(SUMIF('Mngt-Payroll'!$AZ:$AZ,'FTE analysis'!$A21,'Mngt-Payroll'!M:M)/SUMIFS(FTE!N:N,FTE!$A:$A,'FTE analysis'!$A21,FTE!$B:$B,'FTE analysis'!$B21)/I$2,0)</f>
        <v>0</v>
      </c>
      <c r="J21" s="430">
        <f>IFERROR(SUMIF('Mngt-Payroll'!$AZ:$AZ,'FTE analysis'!$A21,'Mngt-Payroll'!N:N)/SUMIFS(FTE!O:O,FTE!$A:$A,'FTE analysis'!$A21,FTE!$B:$B,'FTE analysis'!$B21)/J$2,0)</f>
        <v>0</v>
      </c>
      <c r="K21" s="430">
        <f>IFERROR(SUMIF('Mngt-Payroll'!$AZ:$AZ,'FTE analysis'!$A21,'Mngt-Payroll'!O:O)/SUMIFS(FTE!P:P,FTE!$A:$A,'FTE analysis'!$A21,FTE!$B:$B,'FTE analysis'!$B21)/K$2,0)</f>
        <v>0</v>
      </c>
      <c r="L21" s="430">
        <f>IFERROR(SUMIF('Mngt-Payroll'!$AZ:$AZ,'FTE analysis'!$A21,'Mngt-Payroll'!P:P)/SUMIFS(FTE!Q:Q,FTE!$A:$A,'FTE analysis'!$A21,FTE!$B:$B,'FTE analysis'!$B21)/L$2,0)</f>
        <v>0</v>
      </c>
      <c r="M21" s="430">
        <f>IFERROR(SUMIF('Mngt-Payroll'!$AZ:$AZ,'FTE analysis'!$A21,'Mngt-Payroll'!Q:Q)/SUMIFS(FTE!R:R,FTE!$A:$A,'FTE analysis'!$A21,FTE!$B:$B,'FTE analysis'!$B21)/M$2,0)</f>
        <v>0</v>
      </c>
      <c r="N21" s="430">
        <f>IFERROR(SUMIF('Mngt-Payroll'!$AZ:$AZ,'FTE analysis'!$A21,'Mngt-Payroll'!R:R)/SUMIFS(FTE!S:S,FTE!$A:$A,'FTE analysis'!$A21,FTE!$B:$B,'FTE analysis'!$B21)/N$2,0)</f>
        <v>0</v>
      </c>
      <c r="O21" s="430">
        <f t="shared" si="1"/>
        <v>372.05025879917184</v>
      </c>
      <c r="P21" s="430">
        <f>IFERROR(SUMIF('Mngt-Payroll'!$AZ:$AZ,'FTE analysis'!$A21,'Mngt-Payroll'!U:U)/SUMIFS(FTE!U:U,FTE!$A:$A,'FTE analysis'!$A21,FTE!$B:$B,'FTE analysis'!$B21)/P$2,0)</f>
        <v>0</v>
      </c>
      <c r="Q21" s="430">
        <f>IFERROR(SUMIF('Mngt-Payroll'!$AZ:$AZ,'FTE analysis'!$A21,'Mngt-Payroll'!V:V)/SUMIFS(FTE!V:V,FTE!$A:$A,'FTE analysis'!$A21,FTE!$B:$B,'FTE analysis'!$B21)/Q$2,0)</f>
        <v>0</v>
      </c>
      <c r="R21" s="430">
        <f>IFERROR(SUMIF('Mngt-Payroll'!$AZ:$AZ,'FTE analysis'!$A21,'Mngt-Payroll'!W:W)/SUMIFS(FTE!W:W,FTE!$A:$A,'FTE analysis'!$A21,FTE!$B:$B,'FTE analysis'!$B21)/R$2,0)</f>
        <v>0</v>
      </c>
      <c r="S21" s="430">
        <f>IFERROR(SUMIF('Mngt-Payroll'!$AZ:$AZ,'FTE analysis'!$A21,'Mngt-Payroll'!X:X)/SUMIFS(FTE!X:X,FTE!$A:$A,'FTE analysis'!$A21,FTE!$B:$B,'FTE analysis'!$B21)/S$2,0)</f>
        <v>0</v>
      </c>
      <c r="T21" s="430">
        <f>IFERROR(SUMIF('Mngt-Payroll'!$AZ:$AZ,'FTE analysis'!$A21,'Mngt-Payroll'!Y:Y)/SUMIFS(FTE!Y:Y,FTE!$A:$A,'FTE analysis'!$A21,FTE!$B:$B,'FTE analysis'!$B21)/T$2,0)</f>
        <v>0</v>
      </c>
      <c r="U21" s="430">
        <f>IFERROR(SUMIF('Mngt-Payroll'!$AZ:$AZ,'FTE analysis'!$A21,'Mngt-Payroll'!Z:Z)/SUMIFS(FTE!Z:Z,FTE!$A:$A,'FTE analysis'!$A21,FTE!$B:$B,'FTE analysis'!$B21)/U$2,0)</f>
        <v>0</v>
      </c>
      <c r="V21" s="430">
        <f>IFERROR(SUMIF('Mngt-Payroll'!$AZ:$AZ,'FTE analysis'!$A21,'Mngt-Payroll'!AA:AA)/SUMIFS(FTE!AA:AA,FTE!$A:$A,'FTE analysis'!$A21,FTE!$B:$B,'FTE analysis'!$B21)/V$2,0)</f>
        <v>0</v>
      </c>
      <c r="W21" s="430">
        <f>IFERROR(SUMIF('Mngt-Payroll'!$AZ:$AZ,'FTE analysis'!$A21,'Mngt-Payroll'!AB:AB)/SUMIFS(FTE!AB:AB,FTE!$A:$A,'FTE analysis'!$A21,FTE!$B:$B,'FTE analysis'!$B21)/W$2,0)</f>
        <v>0</v>
      </c>
      <c r="X21" s="430">
        <f>IFERROR(SUMIF('Mngt-Payroll'!$AZ:$AZ,'FTE analysis'!$A21,'Mngt-Payroll'!AC:AC)/SUMIFS(FTE!AC:AC,FTE!$A:$A,'FTE analysis'!$A21,FTE!$B:$B,'FTE analysis'!$B21)/X$2,0)</f>
        <v>0</v>
      </c>
      <c r="Y21" s="430">
        <f>IFERROR(SUMIF('Mngt-Payroll'!$AZ:$AZ,'FTE analysis'!$A21,'Mngt-Payroll'!AD:AD)/SUMIFS(FTE!AD:AD,FTE!$A:$A,'FTE analysis'!$A21,FTE!$B:$B,'FTE analysis'!$B21)/Y$2,0)</f>
        <v>0</v>
      </c>
      <c r="Z21" s="430">
        <f>IFERROR(SUMIF('Mngt-Payroll'!$AZ:$AZ,'FTE analysis'!$A21,'Mngt-Payroll'!AE:AE)/SUMIFS(FTE!AE:AE,FTE!$A:$A,'FTE analysis'!$A21,FTE!$B:$B,'FTE analysis'!$B21)/Z$2,0)</f>
        <v>0</v>
      </c>
      <c r="AA21" s="430">
        <f>IFERROR(SUMIF('Mngt-Payroll'!$AZ:$AZ,'FTE analysis'!$A21,'Mngt-Payroll'!AF:AF)/SUMIFS(FTE!AF:AF,FTE!$A:$A,'FTE analysis'!$A21,FTE!$B:$B,'FTE analysis'!$B21)/AA$2,0)</f>
        <v>0</v>
      </c>
      <c r="AB21" s="430">
        <f t="shared" si="2"/>
        <v>0</v>
      </c>
      <c r="AC21" s="430">
        <f>IFERROR(SUMIF('Mngt-Payroll'!$AZ:$AZ,'FTE analysis'!$A21,'Mngt-Payroll'!AH:AH)/SUMIFS(FTE!AH:AH,FTE!$A:$A,'FTE analysis'!$A21,FTE!$B:$B,'FTE analysis'!$B21)/AC$2,0)</f>
        <v>431.31521739130437</v>
      </c>
      <c r="AD21" s="430">
        <f>IFERROR(SUMIF('Mngt-Payroll'!$AZ:$AZ,'FTE analysis'!$A21,'Mngt-Payroll'!AI:AI)/SUMIFS(FTE!AI:AI,FTE!$A:$A,'FTE analysis'!$A21,FTE!$B:$B,'FTE analysis'!$B21)/AD$2,0)</f>
        <v>417.11333333333329</v>
      </c>
      <c r="AE21" s="430">
        <f>IFERROR(SUMIF('Mngt-Payroll'!$AZ:$AZ,'FTE analysis'!$A21,'Mngt-Payroll'!AJ:AJ)/SUMIFS(FTE!AJ:AJ,FTE!$A:$A,'FTE analysis'!$A21,FTE!$B:$B,'FTE analysis'!$B21)/AE$2,0)</f>
        <v>380.98500000000001</v>
      </c>
      <c r="AF21" s="430">
        <f>IFERROR(SUMIF('Mngt-Payroll'!$AZ:$AZ,'FTE analysis'!$A21,'Mngt-Payroll'!AK:AK)/SUMIFS(FTE!AK:AK,FTE!$A:$A,'FTE analysis'!$A21,FTE!$B:$B,'FTE analysis'!$B21)/AF$2,0)</f>
        <v>196.2391304347826</v>
      </c>
      <c r="AG21" s="430">
        <f>IFERROR(SUMIF('Mngt-Payroll'!$AZ:$AZ,'FTE analysis'!$A21,'Mngt-Payroll'!AL:AL)/SUMIFS(FTE!AL:AL,FTE!$A:$A,'FTE analysis'!$A21,FTE!$B:$B,'FTE analysis'!$B21)/AG$2,0)</f>
        <v>362.91449999999998</v>
      </c>
      <c r="AH21" s="430">
        <f>IFERROR(SUMIF('Mngt-Payroll'!$AZ:$AZ,'FTE analysis'!$A21,'Mngt-Payroll'!AM:AM)/SUMIFS(FTE!AM:AM,FTE!$A:$A,'FTE analysis'!$A21,FTE!$B:$B,'FTE analysis'!$B21)/AH$2,0)</f>
        <v>396.39784442361758</v>
      </c>
      <c r="AI21" s="430">
        <f>IFERROR(SUMIF('Mngt-Payroll'!$AZ:$AZ,'FTE analysis'!$A21,'Mngt-Payroll'!AN:AN)/SUMIFS(FTE!AN:AN,FTE!$A:$A,'FTE analysis'!$A21,FTE!$B:$B,'FTE analysis'!$B21)/AI$2,0)</f>
        <v>374.50045454545455</v>
      </c>
      <c r="AJ21" s="430">
        <f>IFERROR(SUMIF('Mngt-Payroll'!$AZ:$AZ,'FTE analysis'!$A21,'Mngt-Payroll'!AO:AO)/SUMIFS(FTE!AO:AO,FTE!$A:$A,'FTE analysis'!$A21,FTE!$B:$B,'FTE analysis'!$B21)/AJ$2,0)</f>
        <v>390.69809523809522</v>
      </c>
      <c r="AK21" s="430">
        <f>IFERROR(SUMIF('Mngt-Payroll'!$AZ:$AZ,'FTE analysis'!$A21,'Mngt-Payroll'!AP:AP)/SUMIFS(FTE!AP:AP,FTE!$A:$A,'FTE analysis'!$A21,FTE!$B:$B,'FTE analysis'!$B21)/AK$2,0)</f>
        <v>366.68136363636364</v>
      </c>
      <c r="AL21" s="430">
        <f>IFERROR(SUMIF('Mngt-Payroll'!$AZ:$AZ,'FTE analysis'!$A21,'Mngt-Payroll'!AQ:AQ)/SUMIFS(FTE!AQ:AQ,FTE!$A:$A,'FTE analysis'!$A21,FTE!$B:$B,'FTE analysis'!$B21)/AL$2,0)</f>
        <v>165.69304347826088</v>
      </c>
      <c r="AM21" s="430">
        <f>IFERROR(SUMIF('Mngt-Payroll'!$AZ:$AZ,'FTE analysis'!$A21,'Mngt-Payroll'!AR:AR)/SUMIFS(FTE!AR:AR,FTE!$A:$A,'FTE analysis'!$A21,FTE!$B:$B,'FTE analysis'!$B21)/AM$2,0)</f>
        <v>410.47523809523807</v>
      </c>
      <c r="AN21" s="430">
        <f>IFERROR(SUMIF('Mngt-Payroll'!$AZ:$AZ,'FTE analysis'!$A21,'Mngt-Payroll'!AS:AS)/SUMIFS(FTE!AS:AS,FTE!$A:$A,'FTE analysis'!$A21,FTE!$B:$B,'FTE analysis'!$B21)/AN$2,0)</f>
        <v>1544.0454545454545</v>
      </c>
      <c r="AO21" s="430">
        <f t="shared" si="3"/>
        <v>424.21427536231886</v>
      </c>
      <c r="AP21" s="139">
        <f t="shared" si="4"/>
        <v>-59.15565217391304</v>
      </c>
      <c r="AQ21" s="139">
        <f t="shared" si="4"/>
        <v>-45.172380952380877</v>
      </c>
      <c r="AR21" s="139">
        <f t="shared" si="4"/>
        <v>4.7754545454545223</v>
      </c>
      <c r="AS21" s="139">
        <f t="shared" si="4"/>
        <v>159.26217391304348</v>
      </c>
      <c r="AT21" s="139">
        <f t="shared" si="4"/>
        <v>0</v>
      </c>
      <c r="AU21" s="139">
        <f t="shared" si="4"/>
        <v>0</v>
      </c>
      <c r="AV21" s="139">
        <f t="shared" si="4"/>
        <v>0</v>
      </c>
      <c r="AW21" s="139">
        <f t="shared" si="4"/>
        <v>0</v>
      </c>
      <c r="AX21" s="139">
        <f t="shared" si="4"/>
        <v>0</v>
      </c>
      <c r="AY21" s="139">
        <f t="shared" si="4"/>
        <v>0</v>
      </c>
      <c r="AZ21" s="139">
        <f t="shared" si="4"/>
        <v>0</v>
      </c>
      <c r="BA21" s="139">
        <f t="shared" si="4"/>
        <v>0</v>
      </c>
      <c r="BB21" s="439">
        <f t="shared" si="5"/>
        <v>-52.164016563146959</v>
      </c>
      <c r="BC21" s="439"/>
      <c r="BD21" s="439">
        <f t="shared" si="6"/>
        <v>0</v>
      </c>
      <c r="BE21" s="484">
        <f>BB21*$BC$2*SUMIFS(FTE!T:T,FTE!$A:$A,'FTE analysis'!$A21,FTE!$B:$B,'FTE analysis'!$B21)</f>
        <v>0</v>
      </c>
      <c r="BF21" s="484">
        <f>(SUMIFS(FTE!T:T,FTE!$A:$A,'FTE analysis'!$A21,FTE!$B:$B,'FTE analysis'!$B21)-SUMIFS(FTE!AT:AT,FTE!$A:$A,'FTE analysis'!$A21,FTE!$B:$B,'FTE analysis'!$B21))</f>
        <v>0</v>
      </c>
      <c r="BG21" s="418">
        <f t="shared" si="7"/>
        <v>0</v>
      </c>
    </row>
    <row r="22" spans="1:59" ht="15" x14ac:dyDescent="0.25">
      <c r="A22" s="703" t="s">
        <v>285</v>
      </c>
      <c r="B22" s="707" t="s">
        <v>202</v>
      </c>
      <c r="C22" s="430">
        <f>IFERROR(SUMIF('Mngt-Payroll'!$AZ:$AZ,'FTE analysis'!$A22,'Mngt-Payroll'!G:G)/SUMIFS(FTE!H:H,FTE!$A:$A,'FTE analysis'!$A22,FTE!$B:$B,'FTE analysis'!$B22)/C$2,0)</f>
        <v>352.45782608695652</v>
      </c>
      <c r="D22" s="430">
        <f>IFERROR(SUMIF('Mngt-Payroll'!$AZ:$AZ,'FTE analysis'!$A22,'Mngt-Payroll'!H:H)/SUMIFS(FTE!I:I,FTE!$A:$A,'FTE analysis'!$A22,FTE!$B:$B,'FTE analysis'!$B22)/D$2,0)</f>
        <v>326.84047619047618</v>
      </c>
      <c r="E22" s="430">
        <f>IFERROR(SUMIF('Mngt-Payroll'!$AZ:$AZ,'FTE analysis'!$A22,'Mngt-Payroll'!I:I)/SUMIFS(FTE!J:J,FTE!$A:$A,'FTE analysis'!$A22,FTE!$B:$B,'FTE analysis'!$B22)/E$2,0)</f>
        <v>251.02227272727271</v>
      </c>
      <c r="F22" s="430">
        <f>IFERROR(SUMIF('Mngt-Payroll'!$AZ:$AZ,'FTE analysis'!$A22,'Mngt-Payroll'!J:J)/SUMIFS(FTE!K:K,FTE!$A:$A,'FTE analysis'!$A22,FTE!$B:$B,'FTE analysis'!$B22)/F$2,0)</f>
        <v>324.81391304347818</v>
      </c>
      <c r="G22" s="430">
        <f>IFERROR(SUMIF('Mngt-Payroll'!$AZ:$AZ,'FTE analysis'!$A22,'Mngt-Payroll'!K:K)/SUMIFS(FTE!L:L,FTE!$A:$A,'FTE analysis'!$A22,FTE!$B:$B,'FTE analysis'!$B22)/G$2,0)</f>
        <v>0</v>
      </c>
      <c r="H22" s="430">
        <f>IFERROR(SUMIF('Mngt-Payroll'!$AZ:$AZ,'FTE analysis'!$A22,'Mngt-Payroll'!L:L)/SUMIFS(FTE!M:M,FTE!$A:$A,'FTE analysis'!$A22,FTE!$B:$B,'FTE analysis'!$B22)/H$2,0)</f>
        <v>0</v>
      </c>
      <c r="I22" s="430">
        <f>IFERROR(SUMIF('Mngt-Payroll'!$AZ:$AZ,'FTE analysis'!$A22,'Mngt-Payroll'!M:M)/SUMIFS(FTE!N:N,FTE!$A:$A,'FTE analysis'!$A22,FTE!$B:$B,'FTE analysis'!$B22)/I$2,0)</f>
        <v>0</v>
      </c>
      <c r="J22" s="430">
        <f>IFERROR(SUMIF('Mngt-Payroll'!$AZ:$AZ,'FTE analysis'!$A22,'Mngt-Payroll'!N:N)/SUMIFS(FTE!O:O,FTE!$A:$A,'FTE analysis'!$A22,FTE!$B:$B,'FTE analysis'!$B22)/J$2,0)</f>
        <v>0</v>
      </c>
      <c r="K22" s="430">
        <f>IFERROR(SUMIF('Mngt-Payroll'!$AZ:$AZ,'FTE analysis'!$A22,'Mngt-Payroll'!O:O)/SUMIFS(FTE!P:P,FTE!$A:$A,'FTE analysis'!$A22,FTE!$B:$B,'FTE analysis'!$B22)/K$2,0)</f>
        <v>0</v>
      </c>
      <c r="L22" s="430">
        <f>IFERROR(SUMIF('Mngt-Payroll'!$AZ:$AZ,'FTE analysis'!$A22,'Mngt-Payroll'!P:P)/SUMIFS(FTE!Q:Q,FTE!$A:$A,'FTE analysis'!$A22,FTE!$B:$B,'FTE analysis'!$B22)/L$2,0)</f>
        <v>0</v>
      </c>
      <c r="M22" s="430">
        <f>IFERROR(SUMIF('Mngt-Payroll'!$AZ:$AZ,'FTE analysis'!$A22,'Mngt-Payroll'!Q:Q)/SUMIFS(FTE!R:R,FTE!$A:$A,'FTE analysis'!$A22,FTE!$B:$B,'FTE analysis'!$B22)/M$2,0)</f>
        <v>0</v>
      </c>
      <c r="N22" s="430">
        <f>IFERROR(SUMIF('Mngt-Payroll'!$AZ:$AZ,'FTE analysis'!$A22,'Mngt-Payroll'!R:R)/SUMIFS(FTE!S:S,FTE!$A:$A,'FTE analysis'!$A22,FTE!$B:$B,'FTE analysis'!$B22)/N$2,0)</f>
        <v>0</v>
      </c>
      <c r="O22" s="430">
        <f t="shared" si="1"/>
        <v>339.64915113871632</v>
      </c>
      <c r="P22" s="430">
        <f>IFERROR(SUMIF('Mngt-Payroll'!$AZ:$AZ,'FTE analysis'!$A22,'Mngt-Payroll'!U:U)/SUMIFS(FTE!U:U,FTE!$A:$A,'FTE analysis'!$A22,FTE!$B:$B,'FTE analysis'!$B22)/P$2,0)</f>
        <v>0</v>
      </c>
      <c r="Q22" s="430">
        <f>IFERROR(SUMIF('Mngt-Payroll'!$AZ:$AZ,'FTE analysis'!$A22,'Mngt-Payroll'!V:V)/SUMIFS(FTE!V:V,FTE!$A:$A,'FTE analysis'!$A22,FTE!$B:$B,'FTE analysis'!$B22)/Q$2,0)</f>
        <v>0</v>
      </c>
      <c r="R22" s="430">
        <f>IFERROR(SUMIF('Mngt-Payroll'!$AZ:$AZ,'FTE analysis'!$A22,'Mngt-Payroll'!W:W)/SUMIFS(FTE!W:W,FTE!$A:$A,'FTE analysis'!$A22,FTE!$B:$B,'FTE analysis'!$B22)/R$2,0)</f>
        <v>0</v>
      </c>
      <c r="S22" s="430">
        <f>IFERROR(SUMIF('Mngt-Payroll'!$AZ:$AZ,'FTE analysis'!$A22,'Mngt-Payroll'!X:X)/SUMIFS(FTE!X:X,FTE!$A:$A,'FTE analysis'!$A22,FTE!$B:$B,'FTE analysis'!$B22)/S$2,0)</f>
        <v>0</v>
      </c>
      <c r="T22" s="430">
        <f>IFERROR(SUMIF('Mngt-Payroll'!$AZ:$AZ,'FTE analysis'!$A22,'Mngt-Payroll'!Y:Y)/SUMIFS(FTE!Y:Y,FTE!$A:$A,'FTE analysis'!$A22,FTE!$B:$B,'FTE analysis'!$B22)/T$2,0)</f>
        <v>0</v>
      </c>
      <c r="U22" s="430">
        <f>IFERROR(SUMIF('Mngt-Payroll'!$AZ:$AZ,'FTE analysis'!$A22,'Mngt-Payroll'!Z:Z)/SUMIFS(FTE!Z:Z,FTE!$A:$A,'FTE analysis'!$A22,FTE!$B:$B,'FTE analysis'!$B22)/U$2,0)</f>
        <v>0</v>
      </c>
      <c r="V22" s="430">
        <f>IFERROR(SUMIF('Mngt-Payroll'!$AZ:$AZ,'FTE analysis'!$A22,'Mngt-Payroll'!AA:AA)/SUMIFS(FTE!AA:AA,FTE!$A:$A,'FTE analysis'!$A22,FTE!$B:$B,'FTE analysis'!$B22)/V$2,0)</f>
        <v>0</v>
      </c>
      <c r="W22" s="430">
        <f>IFERROR(SUMIF('Mngt-Payroll'!$AZ:$AZ,'FTE analysis'!$A22,'Mngt-Payroll'!AB:AB)/SUMIFS(FTE!AB:AB,FTE!$A:$A,'FTE analysis'!$A22,FTE!$B:$B,'FTE analysis'!$B22)/W$2,0)</f>
        <v>0</v>
      </c>
      <c r="X22" s="430">
        <f>IFERROR(SUMIF('Mngt-Payroll'!$AZ:$AZ,'FTE analysis'!$A22,'Mngt-Payroll'!AC:AC)/SUMIFS(FTE!AC:AC,FTE!$A:$A,'FTE analysis'!$A22,FTE!$B:$B,'FTE analysis'!$B22)/X$2,0)</f>
        <v>0</v>
      </c>
      <c r="Y22" s="430">
        <f>IFERROR(SUMIF('Mngt-Payroll'!$AZ:$AZ,'FTE analysis'!$A22,'Mngt-Payroll'!AD:AD)/SUMIFS(FTE!AD:AD,FTE!$A:$A,'FTE analysis'!$A22,FTE!$B:$B,'FTE analysis'!$B22)/Y$2,0)</f>
        <v>0</v>
      </c>
      <c r="Z22" s="430">
        <f>IFERROR(SUMIF('Mngt-Payroll'!$AZ:$AZ,'FTE analysis'!$A22,'Mngt-Payroll'!AE:AE)/SUMIFS(FTE!AE:AE,FTE!$A:$A,'FTE analysis'!$A22,FTE!$B:$B,'FTE analysis'!$B22)/Z$2,0)</f>
        <v>0</v>
      </c>
      <c r="AA22" s="430">
        <f>IFERROR(SUMIF('Mngt-Payroll'!$AZ:$AZ,'FTE analysis'!$A22,'Mngt-Payroll'!AF:AF)/SUMIFS(FTE!AF:AF,FTE!$A:$A,'FTE analysis'!$A22,FTE!$B:$B,'FTE analysis'!$B22)/AA$2,0)</f>
        <v>0</v>
      </c>
      <c r="AB22" s="430">
        <f t="shared" si="2"/>
        <v>0</v>
      </c>
      <c r="AC22" s="430">
        <f>IFERROR(SUMIF('Mngt-Payroll'!$AZ:$AZ,'FTE analysis'!$A22,'Mngt-Payroll'!AH:AH)/SUMIFS(FTE!AH:AH,FTE!$A:$A,'FTE analysis'!$A22,FTE!$B:$B,'FTE analysis'!$B22)/AC$2,0)</f>
        <v>302.02304347826083</v>
      </c>
      <c r="AD22" s="430">
        <f>IFERROR(SUMIF('Mngt-Payroll'!$AZ:$AZ,'FTE analysis'!$A22,'Mngt-Payroll'!AI:AI)/SUMIFS(FTE!AI:AI,FTE!$A:$A,'FTE analysis'!$A22,FTE!$B:$B,'FTE analysis'!$B22)/AD$2,0)</f>
        <v>141.03952380952381</v>
      </c>
      <c r="AE22" s="430">
        <f>IFERROR(SUMIF('Mngt-Payroll'!$AZ:$AZ,'FTE analysis'!$A22,'Mngt-Payroll'!AJ:AJ)/SUMIFS(FTE!AJ:AJ,FTE!$A:$A,'FTE analysis'!$A22,FTE!$B:$B,'FTE analysis'!$B22)/AE$2,0)</f>
        <v>593.64181818181817</v>
      </c>
      <c r="AF22" s="430">
        <f>IFERROR(SUMIF('Mngt-Payroll'!$AZ:$AZ,'FTE analysis'!$A22,'Mngt-Payroll'!AK:AK)/SUMIFS(FTE!AK:AK,FTE!$A:$A,'FTE analysis'!$A22,FTE!$B:$B,'FTE analysis'!$B22)/AF$2,0)</f>
        <v>231.65130434782606</v>
      </c>
      <c r="AG22" s="430">
        <f>IFERROR(SUMIF('Mngt-Payroll'!$AZ:$AZ,'FTE analysis'!$A22,'Mngt-Payroll'!AL:AL)/SUMIFS(FTE!AL:AL,FTE!$A:$A,'FTE analysis'!$A22,FTE!$B:$B,'FTE analysis'!$B22)/AG$2,0)</f>
        <v>336.66750000000002</v>
      </c>
      <c r="AH22" s="430">
        <f>IFERROR(SUMIF('Mngt-Payroll'!$AZ:$AZ,'FTE analysis'!$A22,'Mngt-Payroll'!AM:AM)/SUMIFS(FTE!AM:AM,FTE!$A:$A,'FTE analysis'!$A22,FTE!$B:$B,'FTE analysis'!$B22)/AH$2,0)</f>
        <v>282.24363636363637</v>
      </c>
      <c r="AI22" s="430">
        <f>IFERROR(SUMIF('Mngt-Payroll'!$AZ:$AZ,'FTE analysis'!$A22,'Mngt-Payroll'!AN:AN)/SUMIFS(FTE!AN:AN,FTE!$A:$A,'FTE analysis'!$A22,FTE!$B:$B,'FTE analysis'!$B22)/AI$2,0)</f>
        <v>280.69227272727272</v>
      </c>
      <c r="AJ22" s="430">
        <f>IFERROR(SUMIF('Mngt-Payroll'!$AZ:$AZ,'FTE analysis'!$A22,'Mngt-Payroll'!AO:AO)/SUMIFS(FTE!AO:AO,FTE!$A:$A,'FTE analysis'!$A22,FTE!$B:$B,'FTE analysis'!$B22)/AJ$2,0)</f>
        <v>284.6638095238095</v>
      </c>
      <c r="AK22" s="430">
        <f>IFERROR(SUMIF('Mngt-Payroll'!$AZ:$AZ,'FTE analysis'!$A22,'Mngt-Payroll'!AP:AP)/SUMIFS(FTE!AP:AP,FTE!$A:$A,'FTE analysis'!$A22,FTE!$B:$B,'FTE analysis'!$B22)/AK$2,0)</f>
        <v>275.29363636363638</v>
      </c>
      <c r="AL22" s="430">
        <f>IFERROR(SUMIF('Mngt-Payroll'!$AZ:$AZ,'FTE analysis'!$A22,'Mngt-Payroll'!AQ:AQ)/SUMIFS(FTE!AQ:AQ,FTE!$A:$A,'FTE analysis'!$A22,FTE!$B:$B,'FTE analysis'!$B22)/AL$2,0)</f>
        <v>283.85565217391303</v>
      </c>
      <c r="AM22" s="430">
        <f>IFERROR(SUMIF('Mngt-Payroll'!$AZ:$AZ,'FTE analysis'!$A22,'Mngt-Payroll'!AR:AR)/SUMIFS(FTE!AR:AR,FTE!$A:$A,'FTE analysis'!$A22,FTE!$B:$B,'FTE analysis'!$B22)/AM$2,0)</f>
        <v>302.78095238095239</v>
      </c>
      <c r="AN22" s="430">
        <f>IFERROR(SUMIF('Mngt-Payroll'!$AZ:$AZ,'FTE analysis'!$A22,'Mngt-Payroll'!AS:AS)/SUMIFS(FTE!AS:AS,FTE!$A:$A,'FTE analysis'!$A22,FTE!$B:$B,'FTE analysis'!$B22)/AN$2,0)</f>
        <v>998.04500000000007</v>
      </c>
      <c r="AO22" s="430">
        <f t="shared" si="3"/>
        <v>221.53128364389232</v>
      </c>
      <c r="AP22" s="139">
        <f t="shared" si="4"/>
        <v>50.434782608695684</v>
      </c>
      <c r="AQ22" s="139">
        <f t="shared" si="4"/>
        <v>185.80095238095237</v>
      </c>
      <c r="AR22" s="139">
        <f t="shared" si="4"/>
        <v>-342.61954545454546</v>
      </c>
      <c r="AS22" s="139">
        <f t="shared" si="4"/>
        <v>93.162608695652125</v>
      </c>
      <c r="AT22" s="139">
        <f t="shared" si="4"/>
        <v>0</v>
      </c>
      <c r="AU22" s="139">
        <f t="shared" si="4"/>
        <v>0</v>
      </c>
      <c r="AV22" s="139">
        <f t="shared" si="4"/>
        <v>0</v>
      </c>
      <c r="AW22" s="139">
        <f t="shared" si="4"/>
        <v>0</v>
      </c>
      <c r="AX22" s="139">
        <f t="shared" si="4"/>
        <v>0</v>
      </c>
      <c r="AY22" s="139">
        <f t="shared" si="4"/>
        <v>0</v>
      </c>
      <c r="AZ22" s="139">
        <f t="shared" si="4"/>
        <v>0</v>
      </c>
      <c r="BA22" s="139">
        <f t="shared" si="4"/>
        <v>0</v>
      </c>
      <c r="BB22" s="439">
        <f t="shared" si="5"/>
        <v>118.11786749482403</v>
      </c>
      <c r="BC22" s="439"/>
      <c r="BD22" s="439">
        <f t="shared" si="6"/>
        <v>0</v>
      </c>
      <c r="BE22" s="484">
        <f>BB22*$BC$2*SUMIFS(FTE!T:T,FTE!$A:$A,'FTE analysis'!$A22,FTE!$B:$B,'FTE analysis'!$B22)</f>
        <v>0</v>
      </c>
      <c r="BF22" s="484">
        <f>(SUMIFS(FTE!T:T,FTE!$A:$A,'FTE analysis'!$A22,FTE!$B:$B,'FTE analysis'!$B22)-SUMIFS(FTE!AT:AT,FTE!$A:$A,'FTE analysis'!$A22,FTE!$B:$B,'FTE analysis'!$B22))</f>
        <v>0.16666666666666663</v>
      </c>
      <c r="BG22" s="418">
        <f t="shared" si="7"/>
        <v>0</v>
      </c>
    </row>
    <row r="23" spans="1:59" ht="15" x14ac:dyDescent="0.25">
      <c r="A23" s="703" t="s">
        <v>281</v>
      </c>
      <c r="B23" s="707" t="s">
        <v>202</v>
      </c>
      <c r="C23" s="430">
        <f>IFERROR(SUMIF('Mngt-Payroll'!$AZ:$AZ,'FTE analysis'!$A23,'Mngt-Payroll'!G:G)/SUMIFS(FTE!H:H,FTE!$A:$A,'FTE analysis'!$A23,FTE!$B:$B,'FTE analysis'!$B23)/C$2,0)</f>
        <v>268.28152173913043</v>
      </c>
      <c r="D23" s="430">
        <f>IFERROR(SUMIF('Mngt-Payroll'!$AZ:$AZ,'FTE analysis'!$A23,'Mngt-Payroll'!H:H)/SUMIFS(FTE!I:I,FTE!$A:$A,'FTE analysis'!$A23,FTE!$B:$B,'FTE analysis'!$B23)/D$2,0)</f>
        <v>284.49023809523817</v>
      </c>
      <c r="E23" s="430">
        <f>IFERROR(SUMIF('Mngt-Payroll'!$AZ:$AZ,'FTE analysis'!$A23,'Mngt-Payroll'!I:I)/SUMIFS(FTE!J:J,FTE!$A:$A,'FTE analysis'!$A23,FTE!$B:$B,'FTE analysis'!$B23)/E$2,0)</f>
        <v>270.54363636363638</v>
      </c>
      <c r="F23" s="430">
        <f>IFERROR(SUMIF('Mngt-Payroll'!$AZ:$AZ,'FTE analysis'!$A23,'Mngt-Payroll'!J:J)/SUMIFS(FTE!K:K,FTE!$A:$A,'FTE analysis'!$A23,FTE!$B:$B,'FTE analysis'!$B23)/F$2,0)</f>
        <v>309.77254004576656</v>
      </c>
      <c r="G23" s="430">
        <f>IFERROR(SUMIF('Mngt-Payroll'!$AZ:$AZ,'FTE analysis'!$A23,'Mngt-Payroll'!K:K)/SUMIFS(FTE!L:L,FTE!$A:$A,'FTE analysis'!$A23,FTE!$B:$B,'FTE analysis'!$B23)/G$2,0)</f>
        <v>0</v>
      </c>
      <c r="H23" s="430">
        <f>IFERROR(SUMIF('Mngt-Payroll'!$AZ:$AZ,'FTE analysis'!$A23,'Mngt-Payroll'!L:L)/SUMIFS(FTE!M:M,FTE!$A:$A,'FTE analysis'!$A23,FTE!$B:$B,'FTE analysis'!$B23)/H$2,0)</f>
        <v>0</v>
      </c>
      <c r="I23" s="430">
        <f>IFERROR(SUMIF('Mngt-Payroll'!$AZ:$AZ,'FTE analysis'!$A23,'Mngt-Payroll'!M:M)/SUMIFS(FTE!N:N,FTE!$A:$A,'FTE analysis'!$A23,FTE!$B:$B,'FTE analysis'!$B23)/I$2,0)</f>
        <v>0</v>
      </c>
      <c r="J23" s="430">
        <f>IFERROR(SUMIF('Mngt-Payroll'!$AZ:$AZ,'FTE analysis'!$A23,'Mngt-Payroll'!N:N)/SUMIFS(FTE!O:O,FTE!$A:$A,'FTE analysis'!$A23,FTE!$B:$B,'FTE analysis'!$B23)/J$2,0)</f>
        <v>0</v>
      </c>
      <c r="K23" s="430">
        <f>IFERROR(SUMIF('Mngt-Payroll'!$AZ:$AZ,'FTE analysis'!$A23,'Mngt-Payroll'!O:O)/SUMIFS(FTE!P:P,FTE!$A:$A,'FTE analysis'!$A23,FTE!$B:$B,'FTE analysis'!$B23)/K$2,0)</f>
        <v>0</v>
      </c>
      <c r="L23" s="430">
        <f>IFERROR(SUMIF('Mngt-Payroll'!$AZ:$AZ,'FTE analysis'!$A23,'Mngt-Payroll'!P:P)/SUMIFS(FTE!Q:Q,FTE!$A:$A,'FTE analysis'!$A23,FTE!$B:$B,'FTE analysis'!$B23)/L$2,0)</f>
        <v>0</v>
      </c>
      <c r="M23" s="430">
        <f>IFERROR(SUMIF('Mngt-Payroll'!$AZ:$AZ,'FTE analysis'!$A23,'Mngt-Payroll'!Q:Q)/SUMIFS(FTE!R:R,FTE!$A:$A,'FTE analysis'!$A23,FTE!$B:$B,'FTE analysis'!$B23)/M$2,0)</f>
        <v>0</v>
      </c>
      <c r="N23" s="430">
        <f>IFERROR(SUMIF('Mngt-Payroll'!$AZ:$AZ,'FTE analysis'!$A23,'Mngt-Payroll'!R:R)/SUMIFS(FTE!S:S,FTE!$A:$A,'FTE analysis'!$A23,FTE!$B:$B,'FTE analysis'!$B23)/N$2,0)</f>
        <v>0</v>
      </c>
      <c r="O23" s="430">
        <f t="shared" si="1"/>
        <v>276.3858799171843</v>
      </c>
      <c r="P23" s="430">
        <f>IFERROR(SUMIF('Mngt-Payroll'!$AZ:$AZ,'FTE analysis'!$A23,'Mngt-Payroll'!U:U)/SUMIFS(FTE!U:U,FTE!$A:$A,'FTE analysis'!$A23,FTE!$B:$B,'FTE analysis'!$B23)/P$2,0)</f>
        <v>0</v>
      </c>
      <c r="Q23" s="430">
        <f>IFERROR(SUMIF('Mngt-Payroll'!$AZ:$AZ,'FTE analysis'!$A23,'Mngt-Payroll'!V:V)/SUMIFS(FTE!V:V,FTE!$A:$A,'FTE analysis'!$A23,FTE!$B:$B,'FTE analysis'!$B23)/Q$2,0)</f>
        <v>0</v>
      </c>
      <c r="R23" s="430">
        <f>IFERROR(SUMIF('Mngt-Payroll'!$AZ:$AZ,'FTE analysis'!$A23,'Mngt-Payroll'!W:W)/SUMIFS(FTE!W:W,FTE!$A:$A,'FTE analysis'!$A23,FTE!$B:$B,'FTE analysis'!$B23)/R$2,0)</f>
        <v>0</v>
      </c>
      <c r="S23" s="430">
        <f>IFERROR(SUMIF('Mngt-Payroll'!$AZ:$AZ,'FTE analysis'!$A23,'Mngt-Payroll'!X:X)/SUMIFS(FTE!X:X,FTE!$A:$A,'FTE analysis'!$A23,FTE!$B:$B,'FTE analysis'!$B23)/S$2,0)</f>
        <v>0</v>
      </c>
      <c r="T23" s="430">
        <f>IFERROR(SUMIF('Mngt-Payroll'!$AZ:$AZ,'FTE analysis'!$A23,'Mngt-Payroll'!Y:Y)/SUMIFS(FTE!Y:Y,FTE!$A:$A,'FTE analysis'!$A23,FTE!$B:$B,'FTE analysis'!$B23)/T$2,0)</f>
        <v>0</v>
      </c>
      <c r="U23" s="430">
        <f>IFERROR(SUMIF('Mngt-Payroll'!$AZ:$AZ,'FTE analysis'!$A23,'Mngt-Payroll'!Z:Z)/SUMIFS(FTE!Z:Z,FTE!$A:$A,'FTE analysis'!$A23,FTE!$B:$B,'FTE analysis'!$B23)/U$2,0)</f>
        <v>0</v>
      </c>
      <c r="V23" s="430">
        <f>IFERROR(SUMIF('Mngt-Payroll'!$AZ:$AZ,'FTE analysis'!$A23,'Mngt-Payroll'!AA:AA)/SUMIFS(FTE!AA:AA,FTE!$A:$A,'FTE analysis'!$A23,FTE!$B:$B,'FTE analysis'!$B23)/V$2,0)</f>
        <v>0</v>
      </c>
      <c r="W23" s="430">
        <f>IFERROR(SUMIF('Mngt-Payroll'!$AZ:$AZ,'FTE analysis'!$A23,'Mngt-Payroll'!AB:AB)/SUMIFS(FTE!AB:AB,FTE!$A:$A,'FTE analysis'!$A23,FTE!$B:$B,'FTE analysis'!$B23)/W$2,0)</f>
        <v>0</v>
      </c>
      <c r="X23" s="430">
        <f>IFERROR(SUMIF('Mngt-Payroll'!$AZ:$AZ,'FTE analysis'!$A23,'Mngt-Payroll'!AC:AC)/SUMIFS(FTE!AC:AC,FTE!$A:$A,'FTE analysis'!$A23,FTE!$B:$B,'FTE analysis'!$B23)/X$2,0)</f>
        <v>0</v>
      </c>
      <c r="Y23" s="430">
        <f>IFERROR(SUMIF('Mngt-Payroll'!$AZ:$AZ,'FTE analysis'!$A23,'Mngt-Payroll'!AD:AD)/SUMIFS(FTE!AD:AD,FTE!$A:$A,'FTE analysis'!$A23,FTE!$B:$B,'FTE analysis'!$B23)/Y$2,0)</f>
        <v>0</v>
      </c>
      <c r="Z23" s="430">
        <f>IFERROR(SUMIF('Mngt-Payroll'!$AZ:$AZ,'FTE analysis'!$A23,'Mngt-Payroll'!AE:AE)/SUMIFS(FTE!AE:AE,FTE!$A:$A,'FTE analysis'!$A23,FTE!$B:$B,'FTE analysis'!$B23)/Z$2,0)</f>
        <v>0</v>
      </c>
      <c r="AA23" s="430">
        <f>IFERROR(SUMIF('Mngt-Payroll'!$AZ:$AZ,'FTE analysis'!$A23,'Mngt-Payroll'!AF:AF)/SUMIFS(FTE!AF:AF,FTE!$A:$A,'FTE analysis'!$A23,FTE!$B:$B,'FTE analysis'!$B23)/AA$2,0)</f>
        <v>0</v>
      </c>
      <c r="AB23" s="430">
        <f t="shared" si="2"/>
        <v>0</v>
      </c>
      <c r="AC23" s="430">
        <f>IFERROR(SUMIF('Mngt-Payroll'!$AZ:$AZ,'FTE analysis'!$A23,'Mngt-Payroll'!AH:AH)/SUMIFS(FTE!AH:AH,FTE!$A:$A,'FTE analysis'!$A23,FTE!$B:$B,'FTE analysis'!$B23)/AC$2,0)</f>
        <v>254.73418290854573</v>
      </c>
      <c r="AD23" s="430">
        <f>IFERROR(SUMIF('Mngt-Payroll'!$AZ:$AZ,'FTE analysis'!$A23,'Mngt-Payroll'!AI:AI)/SUMIFS(FTE!AI:AI,FTE!$A:$A,'FTE analysis'!$A23,FTE!$B:$B,'FTE analysis'!$B23)/AD$2,0)</f>
        <v>393.45190476190476</v>
      </c>
      <c r="AE23" s="430">
        <f>IFERROR(SUMIF('Mngt-Payroll'!$AZ:$AZ,'FTE analysis'!$A23,'Mngt-Payroll'!AJ:AJ)/SUMIFS(FTE!AJ:AJ,FTE!$A:$A,'FTE analysis'!$A23,FTE!$B:$B,'FTE analysis'!$B23)/AE$2,0)</f>
        <v>481.99272727272728</v>
      </c>
      <c r="AF23" s="430">
        <f>IFERROR(SUMIF('Mngt-Payroll'!$AZ:$AZ,'FTE analysis'!$A23,'Mngt-Payroll'!AK:AK)/SUMIFS(FTE!AK:AK,FTE!$A:$A,'FTE analysis'!$A23,FTE!$B:$B,'FTE analysis'!$B23)/AF$2,0)</f>
        <v>264.15550724637683</v>
      </c>
      <c r="AG23" s="430">
        <f>IFERROR(SUMIF('Mngt-Payroll'!$AZ:$AZ,'FTE analysis'!$A23,'Mngt-Payroll'!AL:AL)/SUMIFS(FTE!AL:AL,FTE!$A:$A,'FTE analysis'!$A23,FTE!$B:$B,'FTE analysis'!$B23)/AG$2,0)</f>
        <v>377.49466666666666</v>
      </c>
      <c r="AH23" s="430">
        <f>IFERROR(SUMIF('Mngt-Payroll'!$AZ:$AZ,'FTE analysis'!$A23,'Mngt-Payroll'!AM:AM)/SUMIFS(FTE!AM:AM,FTE!$A:$A,'FTE analysis'!$A23,FTE!$B:$B,'FTE analysis'!$B23)/AH$2,0)</f>
        <v>326.06545454545454</v>
      </c>
      <c r="AI23" s="430">
        <f>IFERROR(SUMIF('Mngt-Payroll'!$AZ:$AZ,'FTE analysis'!$A23,'Mngt-Payroll'!AN:AN)/SUMIFS(FTE!AN:AN,FTE!$A:$A,'FTE analysis'!$A23,FTE!$B:$B,'FTE analysis'!$B23)/AI$2,0)</f>
        <v>353.73530303030299</v>
      </c>
      <c r="AJ23" s="430">
        <f>IFERROR(SUMIF('Mngt-Payroll'!$AZ:$AZ,'FTE analysis'!$A23,'Mngt-Payroll'!AO:AO)/SUMIFS(FTE!AO:AO,FTE!$A:$A,'FTE analysis'!$A23,FTE!$B:$B,'FTE analysis'!$B23)/AJ$2,0)</f>
        <v>346.09666666666664</v>
      </c>
      <c r="AK23" s="430">
        <f>IFERROR(SUMIF('Mngt-Payroll'!$AZ:$AZ,'FTE analysis'!$A23,'Mngt-Payroll'!AP:AP)/SUMIFS(FTE!AP:AP,FTE!$A:$A,'FTE analysis'!$A23,FTE!$B:$B,'FTE analysis'!$B23)/AK$2,0)</f>
        <v>354.05227272727274</v>
      </c>
      <c r="AL23" s="430">
        <f>IFERROR(SUMIF('Mngt-Payroll'!$AZ:$AZ,'FTE analysis'!$A23,'Mngt-Payroll'!AQ:AQ)/SUMIFS(FTE!AQ:AQ,FTE!$A:$A,'FTE analysis'!$A23,FTE!$B:$B,'FTE analysis'!$B23)/AL$2,0)</f>
        <v>1051.0957971014493</v>
      </c>
      <c r="AM23" s="430">
        <f>IFERROR(SUMIF('Mngt-Payroll'!$AZ:$AZ,'FTE analysis'!$A23,'Mngt-Payroll'!AR:AR)/SUMIFS(FTE!AR:AR,FTE!$A:$A,'FTE analysis'!$A23,FTE!$B:$B,'FTE analysis'!$B23)/AM$2,0)</f>
        <v>282.97830483544772</v>
      </c>
      <c r="AN23" s="430">
        <f>IFERROR(SUMIF('Mngt-Payroll'!$AZ:$AZ,'FTE analysis'!$A23,'Mngt-Payroll'!AS:AS)/SUMIFS(FTE!AS:AS,FTE!$A:$A,'FTE analysis'!$A23,FTE!$B:$B,'FTE analysis'!$B23)/AN$2,0)</f>
        <v>1697.4997727272732</v>
      </c>
      <c r="AO23" s="430">
        <f t="shared" si="3"/>
        <v>324.09304383522522</v>
      </c>
      <c r="AP23" s="139">
        <f t="shared" si="4"/>
        <v>13.547338830584692</v>
      </c>
      <c r="AQ23" s="139">
        <f t="shared" si="4"/>
        <v>-108.96166666666659</v>
      </c>
      <c r="AR23" s="139">
        <f t="shared" si="4"/>
        <v>-211.4490909090909</v>
      </c>
      <c r="AS23" s="139">
        <f t="shared" si="4"/>
        <v>45.617032799389733</v>
      </c>
      <c r="AT23" s="139">
        <f t="shared" si="4"/>
        <v>0</v>
      </c>
      <c r="AU23" s="139">
        <f t="shared" si="4"/>
        <v>0</v>
      </c>
      <c r="AV23" s="139">
        <f t="shared" si="4"/>
        <v>0</v>
      </c>
      <c r="AW23" s="139">
        <f t="shared" si="4"/>
        <v>0</v>
      </c>
      <c r="AX23" s="139">
        <f t="shared" si="4"/>
        <v>0</v>
      </c>
      <c r="AY23" s="139">
        <f t="shared" si="4"/>
        <v>0</v>
      </c>
      <c r="AZ23" s="139">
        <f t="shared" si="4"/>
        <v>0</v>
      </c>
      <c r="BA23" s="139">
        <f t="shared" si="4"/>
        <v>0</v>
      </c>
      <c r="BB23" s="439">
        <f t="shared" si="5"/>
        <v>-47.707163918040948</v>
      </c>
      <c r="BC23" s="439"/>
      <c r="BD23" s="439">
        <f t="shared" si="6"/>
        <v>0</v>
      </c>
      <c r="BE23" s="484">
        <f>BB23*$BC$2*SUMIFS(FTE!T:T,FTE!$A:$A,'FTE analysis'!$A23,FTE!$B:$B,'FTE analysis'!$B23)</f>
        <v>0</v>
      </c>
      <c r="BF23" s="484">
        <f>(SUMIFS(FTE!T:T,FTE!$A:$A,'FTE analysis'!$A23,FTE!$B:$B,'FTE analysis'!$B23)-SUMIFS(FTE!AT:AT,FTE!$A:$A,'FTE analysis'!$A23,FTE!$B:$B,'FTE analysis'!$B23))</f>
        <v>-0.45000000000000018</v>
      </c>
      <c r="BG23" s="418">
        <f t="shared" si="7"/>
        <v>0</v>
      </c>
    </row>
    <row r="24" spans="1:59" ht="15" x14ac:dyDescent="0.25">
      <c r="A24" s="703" t="s">
        <v>332</v>
      </c>
      <c r="B24" s="707" t="s">
        <v>202</v>
      </c>
      <c r="C24" s="430">
        <f>IFERROR(SUMIF('Mngt-Payroll'!$AZ:$AZ,'FTE analysis'!$A24,'Mngt-Payroll'!G:G)/SUMIFS(FTE!H:H,FTE!$A:$A,'FTE analysis'!$A24,FTE!$B:$B,'FTE analysis'!$B24)/C$2,0)</f>
        <v>293.4621739130435</v>
      </c>
      <c r="D24" s="430">
        <f>IFERROR(SUMIF('Mngt-Payroll'!$AZ:$AZ,'FTE analysis'!$A24,'Mngt-Payroll'!H:H)/SUMIFS(FTE!I:I,FTE!$A:$A,'FTE analysis'!$A24,FTE!$B:$B,'FTE analysis'!$B24)/D$2,0)</f>
        <v>327.43928571428575</v>
      </c>
      <c r="E24" s="430">
        <f>IFERROR(SUMIF('Mngt-Payroll'!$AZ:$AZ,'FTE analysis'!$A24,'Mngt-Payroll'!I:I)/SUMIFS(FTE!J:J,FTE!$A:$A,'FTE analysis'!$A24,FTE!$B:$B,'FTE analysis'!$B24)/E$2,0)</f>
        <v>218.79840909090908</v>
      </c>
      <c r="F24" s="430">
        <f>IFERROR(SUMIF('Mngt-Payroll'!$AZ:$AZ,'FTE analysis'!$A24,'Mngt-Payroll'!J:J)/SUMIFS(FTE!K:K,FTE!$A:$A,'FTE analysis'!$A24,FTE!$B:$B,'FTE analysis'!$B24)/F$2,0)</f>
        <v>483.37304347826085</v>
      </c>
      <c r="G24" s="430">
        <f>IFERROR(SUMIF('Mngt-Payroll'!$AZ:$AZ,'FTE analysis'!$A24,'Mngt-Payroll'!K:K)/SUMIFS(FTE!L:L,FTE!$A:$A,'FTE analysis'!$A24,FTE!$B:$B,'FTE analysis'!$B24)/G$2,0)</f>
        <v>0</v>
      </c>
      <c r="H24" s="430">
        <f>IFERROR(SUMIF('Mngt-Payroll'!$AZ:$AZ,'FTE analysis'!$A24,'Mngt-Payroll'!L:L)/SUMIFS(FTE!M:M,FTE!$A:$A,'FTE analysis'!$A24,FTE!$B:$B,'FTE analysis'!$B24)/H$2,0)</f>
        <v>0</v>
      </c>
      <c r="I24" s="430">
        <f>IFERROR(SUMIF('Mngt-Payroll'!$AZ:$AZ,'FTE analysis'!$A24,'Mngt-Payroll'!M:M)/SUMIFS(FTE!N:N,FTE!$A:$A,'FTE analysis'!$A24,FTE!$B:$B,'FTE analysis'!$B24)/I$2,0)</f>
        <v>0</v>
      </c>
      <c r="J24" s="430">
        <f>IFERROR(SUMIF('Mngt-Payroll'!$AZ:$AZ,'FTE analysis'!$A24,'Mngt-Payroll'!N:N)/SUMIFS(FTE!O:O,FTE!$A:$A,'FTE analysis'!$A24,FTE!$B:$B,'FTE analysis'!$B24)/J$2,0)</f>
        <v>0</v>
      </c>
      <c r="K24" s="430">
        <f>IFERROR(SUMIF('Mngt-Payroll'!$AZ:$AZ,'FTE analysis'!$A24,'Mngt-Payroll'!O:O)/SUMIFS(FTE!P:P,FTE!$A:$A,'FTE analysis'!$A24,FTE!$B:$B,'FTE analysis'!$B24)/K$2,0)</f>
        <v>0</v>
      </c>
      <c r="L24" s="430">
        <f>IFERROR(SUMIF('Mngt-Payroll'!$AZ:$AZ,'FTE analysis'!$A24,'Mngt-Payroll'!P:P)/SUMIFS(FTE!Q:Q,FTE!$A:$A,'FTE analysis'!$A24,FTE!$B:$B,'FTE analysis'!$B24)/L$2,0)</f>
        <v>0</v>
      </c>
      <c r="M24" s="430">
        <f>IFERROR(SUMIF('Mngt-Payroll'!$AZ:$AZ,'FTE analysis'!$A24,'Mngt-Payroll'!Q:Q)/SUMIFS(FTE!R:R,FTE!$A:$A,'FTE analysis'!$A24,FTE!$B:$B,'FTE analysis'!$B24)/M$2,0)</f>
        <v>0</v>
      </c>
      <c r="N24" s="430">
        <f>IFERROR(SUMIF('Mngt-Payroll'!$AZ:$AZ,'FTE analysis'!$A24,'Mngt-Payroll'!R:R)/SUMIFS(FTE!S:S,FTE!$A:$A,'FTE analysis'!$A24,FTE!$B:$B,'FTE analysis'!$B24)/N$2,0)</f>
        <v>0</v>
      </c>
      <c r="O24" s="430">
        <f t="shared" si="1"/>
        <v>310.45072981366462</v>
      </c>
      <c r="P24" s="430">
        <f>IFERROR(SUMIF('Mngt-Payroll'!$AZ:$AZ,'FTE analysis'!$A24,'Mngt-Payroll'!U:U)/SUMIFS(FTE!U:U,FTE!$A:$A,'FTE analysis'!$A24,FTE!$B:$B,'FTE analysis'!$B24)/P$2,0)</f>
        <v>0</v>
      </c>
      <c r="Q24" s="430">
        <f>IFERROR(SUMIF('Mngt-Payroll'!$AZ:$AZ,'FTE analysis'!$A24,'Mngt-Payroll'!V:V)/SUMIFS(FTE!V:V,FTE!$A:$A,'FTE analysis'!$A24,FTE!$B:$B,'FTE analysis'!$B24)/Q$2,0)</f>
        <v>0</v>
      </c>
      <c r="R24" s="430">
        <f>IFERROR(SUMIF('Mngt-Payroll'!$AZ:$AZ,'FTE analysis'!$A24,'Mngt-Payroll'!W:W)/SUMIFS(FTE!W:W,FTE!$A:$A,'FTE analysis'!$A24,FTE!$B:$B,'FTE analysis'!$B24)/R$2,0)</f>
        <v>0</v>
      </c>
      <c r="S24" s="430">
        <f>IFERROR(SUMIF('Mngt-Payroll'!$AZ:$AZ,'FTE analysis'!$A24,'Mngt-Payroll'!X:X)/SUMIFS(FTE!X:X,FTE!$A:$A,'FTE analysis'!$A24,FTE!$B:$B,'FTE analysis'!$B24)/S$2,0)</f>
        <v>0</v>
      </c>
      <c r="T24" s="430">
        <f>IFERROR(SUMIF('Mngt-Payroll'!$AZ:$AZ,'FTE analysis'!$A24,'Mngt-Payroll'!Y:Y)/SUMIFS(FTE!Y:Y,FTE!$A:$A,'FTE analysis'!$A24,FTE!$B:$B,'FTE analysis'!$B24)/T$2,0)</f>
        <v>0</v>
      </c>
      <c r="U24" s="430">
        <f>IFERROR(SUMIF('Mngt-Payroll'!$AZ:$AZ,'FTE analysis'!$A24,'Mngt-Payroll'!Z:Z)/SUMIFS(FTE!Z:Z,FTE!$A:$A,'FTE analysis'!$A24,FTE!$B:$B,'FTE analysis'!$B24)/U$2,0)</f>
        <v>0</v>
      </c>
      <c r="V24" s="430">
        <f>IFERROR(SUMIF('Mngt-Payroll'!$AZ:$AZ,'FTE analysis'!$A24,'Mngt-Payroll'!AA:AA)/SUMIFS(FTE!AA:AA,FTE!$A:$A,'FTE analysis'!$A24,FTE!$B:$B,'FTE analysis'!$B24)/V$2,0)</f>
        <v>0</v>
      </c>
      <c r="W24" s="430">
        <f>IFERROR(SUMIF('Mngt-Payroll'!$AZ:$AZ,'FTE analysis'!$A24,'Mngt-Payroll'!AB:AB)/SUMIFS(FTE!AB:AB,FTE!$A:$A,'FTE analysis'!$A24,FTE!$B:$B,'FTE analysis'!$B24)/W$2,0)</f>
        <v>0</v>
      </c>
      <c r="X24" s="430">
        <f>IFERROR(SUMIF('Mngt-Payroll'!$AZ:$AZ,'FTE analysis'!$A24,'Mngt-Payroll'!AC:AC)/SUMIFS(FTE!AC:AC,FTE!$A:$A,'FTE analysis'!$A24,FTE!$B:$B,'FTE analysis'!$B24)/X$2,0)</f>
        <v>0</v>
      </c>
      <c r="Y24" s="430">
        <f>IFERROR(SUMIF('Mngt-Payroll'!$AZ:$AZ,'FTE analysis'!$A24,'Mngt-Payroll'!AD:AD)/SUMIFS(FTE!AD:AD,FTE!$A:$A,'FTE analysis'!$A24,FTE!$B:$B,'FTE analysis'!$B24)/Y$2,0)</f>
        <v>0</v>
      </c>
      <c r="Z24" s="430">
        <f>IFERROR(SUMIF('Mngt-Payroll'!$AZ:$AZ,'FTE analysis'!$A24,'Mngt-Payroll'!AE:AE)/SUMIFS(FTE!AE:AE,FTE!$A:$A,'FTE analysis'!$A24,FTE!$B:$B,'FTE analysis'!$B24)/Z$2,0)</f>
        <v>0</v>
      </c>
      <c r="AA24" s="430">
        <f>IFERROR(SUMIF('Mngt-Payroll'!$AZ:$AZ,'FTE analysis'!$A24,'Mngt-Payroll'!AF:AF)/SUMIFS(FTE!AF:AF,FTE!$A:$A,'FTE analysis'!$A24,FTE!$B:$B,'FTE analysis'!$B24)/AA$2,0)</f>
        <v>0</v>
      </c>
      <c r="AB24" s="430">
        <f t="shared" si="2"/>
        <v>0</v>
      </c>
      <c r="AC24" s="430">
        <f>IFERROR(SUMIF('Mngt-Payroll'!$AZ:$AZ,'FTE analysis'!$A24,'Mngt-Payroll'!AH:AH)/SUMIFS(FTE!AH:AH,FTE!$A:$A,'FTE analysis'!$A24,FTE!$B:$B,'FTE analysis'!$B24)/AC$2,0)</f>
        <v>295.22543478260872</v>
      </c>
      <c r="AD24" s="430">
        <f>IFERROR(SUMIF('Mngt-Payroll'!$AZ:$AZ,'FTE analysis'!$A24,'Mngt-Payroll'!AI:AI)/SUMIFS(FTE!AI:AI,FTE!$A:$A,'FTE analysis'!$A24,FTE!$B:$B,'FTE analysis'!$B24)/AD$2,0)</f>
        <v>312.58476190476188</v>
      </c>
      <c r="AE24" s="430">
        <f>IFERROR(SUMIF('Mngt-Payroll'!$AZ:$AZ,'FTE analysis'!$A24,'Mngt-Payroll'!AJ:AJ)/SUMIFS(FTE!AJ:AJ,FTE!$A:$A,'FTE analysis'!$A24,FTE!$B:$B,'FTE analysis'!$B24)/AE$2,0)</f>
        <v>281.84386363636361</v>
      </c>
      <c r="AF24" s="430">
        <f>IFERROR(SUMIF('Mngt-Payroll'!$AZ:$AZ,'FTE analysis'!$A24,'Mngt-Payroll'!AK:AK)/SUMIFS(FTE!AK:AK,FTE!$A:$A,'FTE analysis'!$A24,FTE!$B:$B,'FTE analysis'!$B24)/AF$2,0)</f>
        <v>262.81782608695653</v>
      </c>
      <c r="AG24" s="430">
        <f>IFERROR(SUMIF('Mngt-Payroll'!$AZ:$AZ,'FTE analysis'!$A24,'Mngt-Payroll'!AL:AL)/SUMIFS(FTE!AL:AL,FTE!$A:$A,'FTE analysis'!$A24,FTE!$B:$B,'FTE analysis'!$B24)/AG$2,0)</f>
        <v>365.44150000000002</v>
      </c>
      <c r="AH24" s="430">
        <f>IFERROR(SUMIF('Mngt-Payroll'!$AZ:$AZ,'FTE analysis'!$A24,'Mngt-Payroll'!AM:AM)/SUMIFS(FTE!AM:AM,FTE!$A:$A,'FTE analysis'!$A24,FTE!$B:$B,'FTE analysis'!$B24)/AH$2,0)</f>
        <v>268.77886363636367</v>
      </c>
      <c r="AI24" s="430">
        <f>IFERROR(SUMIF('Mngt-Payroll'!$AZ:$AZ,'FTE analysis'!$A24,'Mngt-Payroll'!AN:AN)/SUMIFS(FTE!AN:AN,FTE!$A:$A,'FTE analysis'!$A24,FTE!$B:$B,'FTE analysis'!$B24)/AI$2,0)</f>
        <v>301.88454545454545</v>
      </c>
      <c r="AJ24" s="430">
        <f>IFERROR(SUMIF('Mngt-Payroll'!$AZ:$AZ,'FTE analysis'!$A24,'Mngt-Payroll'!AO:AO)/SUMIFS(FTE!AO:AO,FTE!$A:$A,'FTE analysis'!$A24,FTE!$B:$B,'FTE analysis'!$B24)/AJ$2,0)</f>
        <v>312.11190476190478</v>
      </c>
      <c r="AK24" s="430">
        <f>IFERROR(SUMIF('Mngt-Payroll'!$AZ:$AZ,'FTE analysis'!$A24,'Mngt-Payroll'!AP:AP)/SUMIFS(FTE!AP:AP,FTE!$A:$A,'FTE analysis'!$A24,FTE!$B:$B,'FTE analysis'!$B24)/AK$2,0)</f>
        <v>262.21454545454549</v>
      </c>
      <c r="AL24" s="430">
        <f>IFERROR(SUMIF('Mngt-Payroll'!$AZ:$AZ,'FTE analysis'!$A24,'Mngt-Payroll'!AQ:AQ)/SUMIFS(FTE!AQ:AQ,FTE!$A:$A,'FTE analysis'!$A24,FTE!$B:$B,'FTE analysis'!$B24)/AL$2,0)</f>
        <v>302.27673913043475</v>
      </c>
      <c r="AM24" s="430">
        <f>IFERROR(SUMIF('Mngt-Payroll'!$AZ:$AZ,'FTE analysis'!$A24,'Mngt-Payroll'!AR:AR)/SUMIFS(FTE!AR:AR,FTE!$A:$A,'FTE analysis'!$A24,FTE!$B:$B,'FTE analysis'!$B24)/AM$2,0)</f>
        <v>326.7009523809524</v>
      </c>
      <c r="AN24" s="430">
        <f>IFERROR(SUMIF('Mngt-Payroll'!$AZ:$AZ,'FTE analysis'!$A24,'Mngt-Payroll'!AS:AS)/SUMIFS(FTE!AS:AS,FTE!$A:$A,'FTE analysis'!$A24,FTE!$B:$B,'FTE analysis'!$B24)/AN$2,0)</f>
        <v>1172.4477272727274</v>
      </c>
      <c r="AO24" s="430">
        <f t="shared" si="3"/>
        <v>303.90509834368527</v>
      </c>
      <c r="AP24" s="139">
        <f t="shared" si="4"/>
        <v>-1.7632608695652152</v>
      </c>
      <c r="AQ24" s="139">
        <f t="shared" si="4"/>
        <v>14.854523809523869</v>
      </c>
      <c r="AR24" s="139">
        <f t="shared" si="4"/>
        <v>-63.045454545454533</v>
      </c>
      <c r="AS24" s="139">
        <f t="shared" si="4"/>
        <v>220.55521739130432</v>
      </c>
      <c r="AT24" s="139">
        <f t="shared" si="4"/>
        <v>0</v>
      </c>
      <c r="AU24" s="139">
        <f t="shared" si="4"/>
        <v>0</v>
      </c>
      <c r="AV24" s="139">
        <f t="shared" si="4"/>
        <v>0</v>
      </c>
      <c r="AW24" s="139">
        <f t="shared" si="4"/>
        <v>0</v>
      </c>
      <c r="AX24" s="139">
        <f t="shared" si="4"/>
        <v>0</v>
      </c>
      <c r="AY24" s="139">
        <f t="shared" si="4"/>
        <v>0</v>
      </c>
      <c r="AZ24" s="139">
        <f t="shared" si="4"/>
        <v>0</v>
      </c>
      <c r="BA24" s="139">
        <f t="shared" si="4"/>
        <v>0</v>
      </c>
      <c r="BB24" s="439">
        <f t="shared" si="5"/>
        <v>6.5456314699793268</v>
      </c>
      <c r="BC24" s="439"/>
      <c r="BD24" s="439">
        <f t="shared" si="6"/>
        <v>0</v>
      </c>
      <c r="BE24" s="484">
        <f>BB24*$BC$2*SUMIFS(FTE!T:T,FTE!$A:$A,'FTE analysis'!$A24,FTE!$B:$B,'FTE analysis'!$B24)</f>
        <v>0</v>
      </c>
      <c r="BF24" s="484">
        <f>(SUMIFS(FTE!T:T,FTE!$A:$A,'FTE analysis'!$A24,FTE!$B:$B,'FTE analysis'!$B24)-SUMIFS(FTE!AT:AT,FTE!$A:$A,'FTE analysis'!$A24,FTE!$B:$B,'FTE analysis'!$B24))</f>
        <v>-0.25</v>
      </c>
      <c r="BG24" s="418">
        <f t="shared" si="7"/>
        <v>0</v>
      </c>
    </row>
    <row r="25" spans="1:59" ht="15" x14ac:dyDescent="0.25">
      <c r="A25" s="703" t="s">
        <v>333</v>
      </c>
      <c r="B25" s="707" t="s">
        <v>202</v>
      </c>
      <c r="C25" s="430">
        <f>IFERROR(SUMIF('Mngt-Payroll'!$AZ:$AZ,'FTE analysis'!$A25,'Mngt-Payroll'!G:G)/SUMIFS(FTE!H:H,FTE!$A:$A,'FTE analysis'!$A25,FTE!$B:$B,'FTE analysis'!$B25)/C$2,0)</f>
        <v>0</v>
      </c>
      <c r="D25" s="430">
        <f>IFERROR(SUMIF('Mngt-Payroll'!$AZ:$AZ,'FTE analysis'!$A25,'Mngt-Payroll'!H:H)/SUMIFS(FTE!I:I,FTE!$A:$A,'FTE analysis'!$A25,FTE!$B:$B,'FTE analysis'!$B25)/D$2,0)</f>
        <v>0</v>
      </c>
      <c r="E25" s="430">
        <f>IFERROR(SUMIF('Mngt-Payroll'!$AZ:$AZ,'FTE analysis'!$A25,'Mngt-Payroll'!I:I)/SUMIFS(FTE!J:J,FTE!$A:$A,'FTE analysis'!$A25,FTE!$B:$B,'FTE analysis'!$B25)/E$2,0)</f>
        <v>0</v>
      </c>
      <c r="F25" s="430">
        <f>IFERROR(SUMIF('Mngt-Payroll'!$AZ:$AZ,'FTE analysis'!$A25,'Mngt-Payroll'!J:J)/SUMIFS(FTE!K:K,FTE!$A:$A,'FTE analysis'!$A25,FTE!$B:$B,'FTE analysis'!$B25)/F$2,0)</f>
        <v>0</v>
      </c>
      <c r="G25" s="430">
        <f>IFERROR(SUMIF('Mngt-Payroll'!$AZ:$AZ,'FTE analysis'!$A25,'Mngt-Payroll'!K:K)/SUMIFS(FTE!L:L,FTE!$A:$A,'FTE analysis'!$A25,FTE!$B:$B,'FTE analysis'!$B25)/G$2,0)</f>
        <v>0</v>
      </c>
      <c r="H25" s="430">
        <f>IFERROR(SUMIF('Mngt-Payroll'!$AZ:$AZ,'FTE analysis'!$A25,'Mngt-Payroll'!L:L)/SUMIFS(FTE!M:M,FTE!$A:$A,'FTE analysis'!$A25,FTE!$B:$B,'FTE analysis'!$B25)/H$2,0)</f>
        <v>0</v>
      </c>
      <c r="I25" s="430">
        <f>IFERROR(SUMIF('Mngt-Payroll'!$AZ:$AZ,'FTE analysis'!$A25,'Mngt-Payroll'!M:M)/SUMIFS(FTE!N:N,FTE!$A:$A,'FTE analysis'!$A25,FTE!$B:$B,'FTE analysis'!$B25)/I$2,0)</f>
        <v>0</v>
      </c>
      <c r="J25" s="430">
        <f>IFERROR(SUMIF('Mngt-Payroll'!$AZ:$AZ,'FTE analysis'!$A25,'Mngt-Payroll'!N:N)/SUMIFS(FTE!O:O,FTE!$A:$A,'FTE analysis'!$A25,FTE!$B:$B,'FTE analysis'!$B25)/J$2,0)</f>
        <v>0</v>
      </c>
      <c r="K25" s="430">
        <f>IFERROR(SUMIF('Mngt-Payroll'!$AZ:$AZ,'FTE analysis'!$A25,'Mngt-Payroll'!O:O)/SUMIFS(FTE!P:P,FTE!$A:$A,'FTE analysis'!$A25,FTE!$B:$B,'FTE analysis'!$B25)/K$2,0)</f>
        <v>0</v>
      </c>
      <c r="L25" s="430">
        <f>IFERROR(SUMIF('Mngt-Payroll'!$AZ:$AZ,'FTE analysis'!$A25,'Mngt-Payroll'!P:P)/SUMIFS(FTE!Q:Q,FTE!$A:$A,'FTE analysis'!$A25,FTE!$B:$B,'FTE analysis'!$B25)/L$2,0)</f>
        <v>0</v>
      </c>
      <c r="M25" s="430">
        <f>IFERROR(SUMIF('Mngt-Payroll'!$AZ:$AZ,'FTE analysis'!$A25,'Mngt-Payroll'!Q:Q)/SUMIFS(FTE!R:R,FTE!$A:$A,'FTE analysis'!$A25,FTE!$B:$B,'FTE analysis'!$B25)/M$2,0)</f>
        <v>0</v>
      </c>
      <c r="N25" s="430">
        <f>IFERROR(SUMIF('Mngt-Payroll'!$AZ:$AZ,'FTE analysis'!$A25,'Mngt-Payroll'!R:R)/SUMIFS(FTE!S:S,FTE!$A:$A,'FTE analysis'!$A25,FTE!$B:$B,'FTE analysis'!$B25)/N$2,0)</f>
        <v>0</v>
      </c>
      <c r="O25" s="430">
        <f t="shared" si="1"/>
        <v>0</v>
      </c>
      <c r="P25" s="430">
        <f>IFERROR(SUMIF('Mngt-Payroll'!$AZ:$AZ,'FTE analysis'!$A25,'Mngt-Payroll'!U:U)/SUMIFS(FTE!U:U,FTE!$A:$A,'FTE analysis'!$A25,FTE!$B:$B,'FTE analysis'!$B25)/P$2,0)</f>
        <v>0</v>
      </c>
      <c r="Q25" s="430">
        <f>IFERROR(SUMIF('Mngt-Payroll'!$AZ:$AZ,'FTE analysis'!$A25,'Mngt-Payroll'!V:V)/SUMIFS(FTE!V:V,FTE!$A:$A,'FTE analysis'!$A25,FTE!$B:$B,'FTE analysis'!$B25)/Q$2,0)</f>
        <v>0</v>
      </c>
      <c r="R25" s="430">
        <f>IFERROR(SUMIF('Mngt-Payroll'!$AZ:$AZ,'FTE analysis'!$A25,'Mngt-Payroll'!W:W)/SUMIFS(FTE!W:W,FTE!$A:$A,'FTE analysis'!$A25,FTE!$B:$B,'FTE analysis'!$B25)/R$2,0)</f>
        <v>0</v>
      </c>
      <c r="S25" s="430">
        <f>IFERROR(SUMIF('Mngt-Payroll'!$AZ:$AZ,'FTE analysis'!$A25,'Mngt-Payroll'!X:X)/SUMIFS(FTE!X:X,FTE!$A:$A,'FTE analysis'!$A25,FTE!$B:$B,'FTE analysis'!$B25)/S$2,0)</f>
        <v>0</v>
      </c>
      <c r="T25" s="430">
        <f>IFERROR(SUMIF('Mngt-Payroll'!$AZ:$AZ,'FTE analysis'!$A25,'Mngt-Payroll'!Y:Y)/SUMIFS(FTE!Y:Y,FTE!$A:$A,'FTE analysis'!$A25,FTE!$B:$B,'FTE analysis'!$B25)/T$2,0)</f>
        <v>0</v>
      </c>
      <c r="U25" s="430">
        <f>IFERROR(SUMIF('Mngt-Payroll'!$AZ:$AZ,'FTE analysis'!$A25,'Mngt-Payroll'!Z:Z)/SUMIFS(FTE!Z:Z,FTE!$A:$A,'FTE analysis'!$A25,FTE!$B:$B,'FTE analysis'!$B25)/U$2,0)</f>
        <v>0</v>
      </c>
      <c r="V25" s="430">
        <f>IFERROR(SUMIF('Mngt-Payroll'!$AZ:$AZ,'FTE analysis'!$A25,'Mngt-Payroll'!AA:AA)/SUMIFS(FTE!AA:AA,FTE!$A:$A,'FTE analysis'!$A25,FTE!$B:$B,'FTE analysis'!$B25)/V$2,0)</f>
        <v>0</v>
      </c>
      <c r="W25" s="430">
        <f>IFERROR(SUMIF('Mngt-Payroll'!$AZ:$AZ,'FTE analysis'!$A25,'Mngt-Payroll'!AB:AB)/SUMIFS(FTE!AB:AB,FTE!$A:$A,'FTE analysis'!$A25,FTE!$B:$B,'FTE analysis'!$B25)/W$2,0)</f>
        <v>0</v>
      </c>
      <c r="X25" s="430">
        <f>IFERROR(SUMIF('Mngt-Payroll'!$AZ:$AZ,'FTE analysis'!$A25,'Mngt-Payroll'!AC:AC)/SUMIFS(FTE!AC:AC,FTE!$A:$A,'FTE analysis'!$A25,FTE!$B:$B,'FTE analysis'!$B25)/X$2,0)</f>
        <v>0</v>
      </c>
      <c r="Y25" s="430">
        <f>IFERROR(SUMIF('Mngt-Payroll'!$AZ:$AZ,'FTE analysis'!$A25,'Mngt-Payroll'!AD:AD)/SUMIFS(FTE!AD:AD,FTE!$A:$A,'FTE analysis'!$A25,FTE!$B:$B,'FTE analysis'!$B25)/Y$2,0)</f>
        <v>0</v>
      </c>
      <c r="Z25" s="430">
        <f>IFERROR(SUMIF('Mngt-Payroll'!$AZ:$AZ,'FTE analysis'!$A25,'Mngt-Payroll'!AE:AE)/SUMIFS(FTE!AE:AE,FTE!$A:$A,'FTE analysis'!$A25,FTE!$B:$B,'FTE analysis'!$B25)/Z$2,0)</f>
        <v>0</v>
      </c>
      <c r="AA25" s="430">
        <f>IFERROR(SUMIF('Mngt-Payroll'!$AZ:$AZ,'FTE analysis'!$A25,'Mngt-Payroll'!AF:AF)/SUMIFS(FTE!AF:AF,FTE!$A:$A,'FTE analysis'!$A25,FTE!$B:$B,'FTE analysis'!$B25)/AA$2,0)</f>
        <v>0</v>
      </c>
      <c r="AB25" s="430">
        <f t="shared" si="2"/>
        <v>0</v>
      </c>
      <c r="AC25" s="430">
        <f>IFERROR(SUMIF('Mngt-Payroll'!$AZ:$AZ,'FTE analysis'!$A25,'Mngt-Payroll'!AH:AH)/SUMIFS(FTE!AH:AH,FTE!$A:$A,'FTE analysis'!$A25,FTE!$B:$B,'FTE analysis'!$B25)/AC$2,0)</f>
        <v>0</v>
      </c>
      <c r="AD25" s="430">
        <f>IFERROR(SUMIF('Mngt-Payroll'!$AZ:$AZ,'FTE analysis'!$A25,'Mngt-Payroll'!AI:AI)/SUMIFS(FTE!AI:AI,FTE!$A:$A,'FTE analysis'!$A25,FTE!$B:$B,'FTE analysis'!$B25)/AD$2,0)</f>
        <v>0</v>
      </c>
      <c r="AE25" s="430">
        <f>IFERROR(SUMIF('Mngt-Payroll'!$AZ:$AZ,'FTE analysis'!$A25,'Mngt-Payroll'!AJ:AJ)/SUMIFS(FTE!AJ:AJ,FTE!$A:$A,'FTE analysis'!$A25,FTE!$B:$B,'FTE analysis'!$B25)/AE$2,0)</f>
        <v>0</v>
      </c>
      <c r="AF25" s="430">
        <f>IFERROR(SUMIF('Mngt-Payroll'!$AZ:$AZ,'FTE analysis'!$A25,'Mngt-Payroll'!AK:AK)/SUMIFS(FTE!AK:AK,FTE!$A:$A,'FTE analysis'!$A25,FTE!$B:$B,'FTE analysis'!$B25)/AF$2,0)</f>
        <v>0</v>
      </c>
      <c r="AG25" s="430">
        <f>IFERROR(SUMIF('Mngt-Payroll'!$AZ:$AZ,'FTE analysis'!$A25,'Mngt-Payroll'!AL:AL)/SUMIFS(FTE!AL:AL,FTE!$A:$A,'FTE analysis'!$A25,FTE!$B:$B,'FTE analysis'!$B25)/AG$2,0)</f>
        <v>0</v>
      </c>
      <c r="AH25" s="430">
        <f>IFERROR(SUMIF('Mngt-Payroll'!$AZ:$AZ,'FTE analysis'!$A25,'Mngt-Payroll'!AM:AM)/SUMIFS(FTE!AM:AM,FTE!$A:$A,'FTE analysis'!$A25,FTE!$B:$B,'FTE analysis'!$B25)/AH$2,0)</f>
        <v>0</v>
      </c>
      <c r="AI25" s="430">
        <f>IFERROR(SUMIF('Mngt-Payroll'!$AZ:$AZ,'FTE analysis'!$A25,'Mngt-Payroll'!AN:AN)/SUMIFS(FTE!AN:AN,FTE!$A:$A,'FTE analysis'!$A25,FTE!$B:$B,'FTE analysis'!$B25)/AI$2,0)</f>
        <v>0</v>
      </c>
      <c r="AJ25" s="430">
        <f>IFERROR(SUMIF('Mngt-Payroll'!$AZ:$AZ,'FTE analysis'!$A25,'Mngt-Payroll'!AO:AO)/SUMIFS(FTE!AO:AO,FTE!$A:$A,'FTE analysis'!$A25,FTE!$B:$B,'FTE analysis'!$B25)/AJ$2,0)</f>
        <v>0</v>
      </c>
      <c r="AK25" s="430">
        <f>IFERROR(SUMIF('Mngt-Payroll'!$AZ:$AZ,'FTE analysis'!$A25,'Mngt-Payroll'!AP:AP)/SUMIFS(FTE!AP:AP,FTE!$A:$A,'FTE analysis'!$A25,FTE!$B:$B,'FTE analysis'!$B25)/AK$2,0)</f>
        <v>0</v>
      </c>
      <c r="AL25" s="430">
        <f>IFERROR(SUMIF('Mngt-Payroll'!$AZ:$AZ,'FTE analysis'!$A25,'Mngt-Payroll'!AQ:AQ)/SUMIFS(FTE!AQ:AQ,FTE!$A:$A,'FTE analysis'!$A25,FTE!$B:$B,'FTE analysis'!$B25)/AL$2,0)</f>
        <v>0</v>
      </c>
      <c r="AM25" s="430">
        <f>IFERROR(SUMIF('Mngt-Payroll'!$AZ:$AZ,'FTE analysis'!$A25,'Mngt-Payroll'!AR:AR)/SUMIFS(FTE!AR:AR,FTE!$A:$A,'FTE analysis'!$A25,FTE!$B:$B,'FTE analysis'!$B25)/AM$2,0)</f>
        <v>0</v>
      </c>
      <c r="AN25" s="430">
        <f>IFERROR(SUMIF('Mngt-Payroll'!$AZ:$AZ,'FTE analysis'!$A25,'Mngt-Payroll'!AS:AS)/SUMIFS(FTE!AS:AS,FTE!$A:$A,'FTE analysis'!$A25,FTE!$B:$B,'FTE analysis'!$B25)/AN$2,0)</f>
        <v>0</v>
      </c>
      <c r="AO25" s="430">
        <f t="shared" si="3"/>
        <v>0</v>
      </c>
      <c r="AP25" s="139">
        <f t="shared" si="4"/>
        <v>0</v>
      </c>
      <c r="AQ25" s="139">
        <f t="shared" si="4"/>
        <v>0</v>
      </c>
      <c r="AR25" s="139">
        <f t="shared" si="4"/>
        <v>0</v>
      </c>
      <c r="AS25" s="139">
        <f t="shared" si="4"/>
        <v>0</v>
      </c>
      <c r="AT25" s="139">
        <f t="shared" si="4"/>
        <v>0</v>
      </c>
      <c r="AU25" s="139">
        <f t="shared" si="4"/>
        <v>0</v>
      </c>
      <c r="AV25" s="139">
        <f t="shared" si="4"/>
        <v>0</v>
      </c>
      <c r="AW25" s="139">
        <f t="shared" si="4"/>
        <v>0</v>
      </c>
      <c r="AX25" s="139">
        <f t="shared" si="4"/>
        <v>0</v>
      </c>
      <c r="AY25" s="139">
        <f t="shared" si="4"/>
        <v>0</v>
      </c>
      <c r="AZ25" s="139">
        <f t="shared" si="4"/>
        <v>0</v>
      </c>
      <c r="BA25" s="139">
        <f t="shared" si="4"/>
        <v>0</v>
      </c>
      <c r="BB25" s="439">
        <f t="shared" si="5"/>
        <v>0</v>
      </c>
      <c r="BC25" s="439"/>
      <c r="BD25" s="439">
        <f t="shared" si="6"/>
        <v>0</v>
      </c>
      <c r="BE25" s="484">
        <f>BB25*$BC$2*SUMIFS(FTE!T:T,FTE!$A:$A,'FTE analysis'!$A25,FTE!$B:$B,'FTE analysis'!$B25)</f>
        <v>0</v>
      </c>
      <c r="BF25" s="484">
        <f>(SUMIFS(FTE!T:T,FTE!$A:$A,'FTE analysis'!$A25,FTE!$B:$B,'FTE analysis'!$B25)-SUMIFS(FTE!AT:AT,FTE!$A:$A,'FTE analysis'!$A25,FTE!$B:$B,'FTE analysis'!$B25))</f>
        <v>0</v>
      </c>
      <c r="BG25" s="418">
        <f t="shared" si="7"/>
        <v>0</v>
      </c>
    </row>
    <row r="26" spans="1:59" ht="15" x14ac:dyDescent="0.25">
      <c r="A26" s="703" t="s">
        <v>334</v>
      </c>
      <c r="B26" s="707" t="s">
        <v>202</v>
      </c>
      <c r="C26" s="430">
        <f>IFERROR(SUMIF('Mngt-Payroll'!$BA:$BA,'FTE analysis'!$A26,'Mngt-Payroll'!G:G)/SUMIFS(FTE!H:H,FTE!$A:$A,'FTE analysis'!$A26,FTE!$B:$B,'FTE analysis'!$B26)/C$2,0)</f>
        <v>317.93739130434784</v>
      </c>
      <c r="D26" s="430">
        <f>IFERROR(SUMIF('Mngt-Payroll'!$BA:$BA,'FTE analysis'!$A26,'Mngt-Payroll'!H:H)/SUMIFS(FTE!I:I,FTE!$A:$A,'FTE analysis'!$A26,FTE!$B:$B,'FTE analysis'!$B26)/D$2,0)</f>
        <v>331.30476190476185</v>
      </c>
      <c r="E26" s="430">
        <f>IFERROR(SUMIF('Mngt-Payroll'!$BA:$BA,'FTE analysis'!$A26,'Mngt-Payroll'!I:I)/SUMIFS(FTE!J:J,FTE!$A:$A,'FTE analysis'!$A26,FTE!$B:$B,'FTE analysis'!$B26)/E$2,0)</f>
        <v>246.49909090909088</v>
      </c>
      <c r="F26" s="430">
        <f>IFERROR(SUMIF('Mngt-Payroll'!$BA:$BA,'FTE analysis'!$A26,'Mngt-Payroll'!J:J)/SUMIFS(FTE!K:K,FTE!$A:$A,'FTE analysis'!$A26,FTE!$B:$B,'FTE analysis'!$B26)/F$2,0)</f>
        <v>357.60328305235134</v>
      </c>
      <c r="G26" s="430">
        <f>IFERROR(SUMIF('Mngt-Payroll'!$BA:$BA,'FTE analysis'!$A26,'Mngt-Payroll'!K:K)/SUMIFS(FTE!L:L,FTE!$A:$A,'FTE analysis'!$A26,FTE!$B:$B,'FTE analysis'!$B26)/G$2,0)</f>
        <v>0</v>
      </c>
      <c r="H26" s="430">
        <f>IFERROR(SUMIF('Mngt-Payroll'!$BA:$BA,'FTE analysis'!$A26,'Mngt-Payroll'!L:L)/SUMIFS(FTE!M:M,FTE!$A:$A,'FTE analysis'!$A26,FTE!$B:$B,'FTE analysis'!$B26)/H$2,0)</f>
        <v>0</v>
      </c>
      <c r="I26" s="430">
        <f>IFERROR(SUMIF('Mngt-Payroll'!$BA:$BA,'FTE analysis'!$A26,'Mngt-Payroll'!M:M)/SUMIFS(FTE!N:N,FTE!$A:$A,'FTE analysis'!$A26,FTE!$B:$B,'FTE analysis'!$B26)/I$2,0)</f>
        <v>0</v>
      </c>
      <c r="J26" s="430">
        <f>IFERROR(SUMIF('Mngt-Payroll'!$BA:$BA,'FTE analysis'!$A26,'Mngt-Payroll'!N:N)/SUMIFS(FTE!O:O,FTE!$A:$A,'FTE analysis'!$A26,FTE!$B:$B,'FTE analysis'!$B26)/J$2,0)</f>
        <v>0</v>
      </c>
      <c r="K26" s="430">
        <f>IFERROR(SUMIF('Mngt-Payroll'!$BA:$BA,'FTE analysis'!$A26,'Mngt-Payroll'!O:O)/SUMIFS(FTE!P:P,FTE!$A:$A,'FTE analysis'!$A26,FTE!$B:$B,'FTE analysis'!$B26)/K$2,0)</f>
        <v>0</v>
      </c>
      <c r="L26" s="430">
        <f>IFERROR(SUMIF('Mngt-Payroll'!$BA:$BA,'FTE analysis'!$A26,'Mngt-Payroll'!P:P)/SUMIFS(FTE!Q:Q,FTE!$A:$A,'FTE analysis'!$A26,FTE!$B:$B,'FTE analysis'!$B26)/L$2,0)</f>
        <v>0</v>
      </c>
      <c r="M26" s="430">
        <f>IFERROR(SUMIF('Mngt-Payroll'!$BA:$BA,'FTE analysis'!$A26,'Mngt-Payroll'!Q:Q)/SUMIFS(FTE!R:R,FTE!$A:$A,'FTE analysis'!$A26,FTE!$B:$B,'FTE analysis'!$B26)/M$2,0)</f>
        <v>0</v>
      </c>
      <c r="N26" s="430">
        <f>IFERROR(SUMIF('Mngt-Payroll'!$BA:$BA,'FTE analysis'!$A26,'Mngt-Payroll'!R:R)/SUMIFS(FTE!S:S,FTE!$A:$A,'FTE analysis'!$A26,FTE!$B:$B,'FTE analysis'!$B26)/N$2,0)</f>
        <v>0</v>
      </c>
      <c r="O26" s="430">
        <f t="shared" si="1"/>
        <v>324.62107660455484</v>
      </c>
      <c r="P26" s="430">
        <f>IFERROR(SUMIF('Mngt-Payroll'!$BA:$BA,'FTE analysis'!$A26,'Mngt-Payroll'!U:U)/SUMIFS(FTE!U:U,FTE!$A:$A,'FTE analysis'!$A26,FTE!$B:$B,'FTE analysis'!$B26)/P$2,0)</f>
        <v>0</v>
      </c>
      <c r="Q26" s="430">
        <f>IFERROR(SUMIF('Mngt-Payroll'!$BA:$BA,'FTE analysis'!$A26,'Mngt-Payroll'!V:V)/SUMIFS(FTE!V:V,FTE!$A:$A,'FTE analysis'!$A26,FTE!$B:$B,'FTE analysis'!$B26)/Q$2,0)</f>
        <v>0</v>
      </c>
      <c r="R26" s="430">
        <f>IFERROR(SUMIF('Mngt-Payroll'!$BA:$BA,'FTE analysis'!$A26,'Mngt-Payroll'!W:W)/SUMIFS(FTE!W:W,FTE!$A:$A,'FTE analysis'!$A26,FTE!$B:$B,'FTE analysis'!$B26)/R$2,0)</f>
        <v>0</v>
      </c>
      <c r="S26" s="430">
        <f>IFERROR(SUMIF('Mngt-Payroll'!$BA:$BA,'FTE analysis'!$A26,'Mngt-Payroll'!X:X)/SUMIFS(FTE!X:X,FTE!$A:$A,'FTE analysis'!$A26,FTE!$B:$B,'FTE analysis'!$B26)/S$2,0)</f>
        <v>0</v>
      </c>
      <c r="T26" s="430">
        <f>IFERROR(SUMIF('Mngt-Payroll'!$BA:$BA,'FTE analysis'!$A26,'Mngt-Payroll'!Y:Y)/SUMIFS(FTE!Y:Y,FTE!$A:$A,'FTE analysis'!$A26,FTE!$B:$B,'FTE analysis'!$B26)/T$2,0)</f>
        <v>0</v>
      </c>
      <c r="U26" s="430">
        <f>IFERROR(SUMIF('Mngt-Payroll'!$BA:$BA,'FTE analysis'!$A26,'Mngt-Payroll'!Z:Z)/SUMIFS(FTE!Z:Z,FTE!$A:$A,'FTE analysis'!$A26,FTE!$B:$B,'FTE analysis'!$B26)/U$2,0)</f>
        <v>0</v>
      </c>
      <c r="V26" s="430">
        <f>IFERROR(SUMIF('Mngt-Payroll'!$BA:$BA,'FTE analysis'!$A26,'Mngt-Payroll'!AA:AA)/SUMIFS(FTE!AA:AA,FTE!$A:$A,'FTE analysis'!$A26,FTE!$B:$B,'FTE analysis'!$B26)/V$2,0)</f>
        <v>0</v>
      </c>
      <c r="W26" s="430">
        <f>IFERROR(SUMIF('Mngt-Payroll'!$BA:$BA,'FTE analysis'!$A26,'Mngt-Payroll'!AB:AB)/SUMIFS(FTE!AB:AB,FTE!$A:$A,'FTE analysis'!$A26,FTE!$B:$B,'FTE analysis'!$B26)/W$2,0)</f>
        <v>0</v>
      </c>
      <c r="X26" s="430">
        <f>IFERROR(SUMIF('Mngt-Payroll'!$BA:$BA,'FTE analysis'!$A26,'Mngt-Payroll'!AC:AC)/SUMIFS(FTE!AC:AC,FTE!$A:$A,'FTE analysis'!$A26,FTE!$B:$B,'FTE analysis'!$B26)/X$2,0)</f>
        <v>0</v>
      </c>
      <c r="Y26" s="430">
        <f>IFERROR(SUMIF('Mngt-Payroll'!$BA:$BA,'FTE analysis'!$A26,'Mngt-Payroll'!AD:AD)/SUMIFS(FTE!AD:AD,FTE!$A:$A,'FTE analysis'!$A26,FTE!$B:$B,'FTE analysis'!$B26)/Y$2,0)</f>
        <v>0</v>
      </c>
      <c r="Z26" s="430">
        <f>IFERROR(SUMIF('Mngt-Payroll'!$BA:$BA,'FTE analysis'!$A26,'Mngt-Payroll'!AE:AE)/SUMIFS(FTE!AE:AE,FTE!$A:$A,'FTE analysis'!$A26,FTE!$B:$B,'FTE analysis'!$B26)/Z$2,0)</f>
        <v>0</v>
      </c>
      <c r="AA26" s="430">
        <f>IFERROR(SUMIF('Mngt-Payroll'!$BA:$BA,'FTE analysis'!$A26,'Mngt-Payroll'!AF:AF)/SUMIFS(FTE!AF:AF,FTE!$A:$A,'FTE analysis'!$A26,FTE!$B:$B,'FTE analysis'!$B26)/AA$2,0)</f>
        <v>0</v>
      </c>
      <c r="AB26" s="430">
        <f t="shared" si="2"/>
        <v>0</v>
      </c>
      <c r="AC26" s="430">
        <f>IFERROR(SUMIF('Mngt-Payroll'!$BA:$BA,'FTE analysis'!$A26,'Mngt-Payroll'!AH:AH)/SUMIFS(FTE!AH:AH,FTE!$A:$A,'FTE analysis'!$A26,FTE!$B:$B,'FTE analysis'!$B26)/AC$2,0)</f>
        <v>307.18916194076877</v>
      </c>
      <c r="AD26" s="430">
        <f>IFERROR(SUMIF('Mngt-Payroll'!$BA:$BA,'FTE analysis'!$A26,'Mngt-Payroll'!AI:AI)/SUMIFS(FTE!AI:AI,FTE!$A:$A,'FTE analysis'!$A26,FTE!$B:$B,'FTE analysis'!$B26)/AD$2,0)</f>
        <v>338.79166666666669</v>
      </c>
      <c r="AE26" s="430">
        <f>IFERROR(SUMIF('Mngt-Payroll'!$BA:$BA,'FTE analysis'!$A26,'Mngt-Payroll'!AJ:AJ)/SUMIFS(FTE!AJ:AJ,FTE!$A:$A,'FTE analysis'!$A26,FTE!$B:$B,'FTE analysis'!$B26)/AE$2,0)</f>
        <v>412.30983471074376</v>
      </c>
      <c r="AF26" s="430">
        <f>IFERROR(SUMIF('Mngt-Payroll'!$BA:$BA,'FTE analysis'!$A26,'Mngt-Payroll'!AK:AK)/SUMIFS(FTE!AK:AK,FTE!$A:$A,'FTE analysis'!$A26,FTE!$B:$B,'FTE analysis'!$B26)/AF$2,0)</f>
        <v>257.93031055900622</v>
      </c>
      <c r="AG26" s="430">
        <f>IFERROR(SUMIF('Mngt-Payroll'!$BA:$BA,'FTE analysis'!$A26,'Mngt-Payroll'!AL:AL)/SUMIFS(FTE!AL:AL,FTE!$A:$A,'FTE analysis'!$A26,FTE!$B:$B,'FTE analysis'!$B26)/AG$2,0)</f>
        <v>375.91378571428567</v>
      </c>
      <c r="AH26" s="430">
        <f>IFERROR(SUMIF('Mngt-Payroll'!$BA:$BA,'FTE analysis'!$A26,'Mngt-Payroll'!AM:AM)/SUMIFS(FTE!AM:AM,FTE!$A:$A,'FTE analysis'!$A26,FTE!$B:$B,'FTE analysis'!$B26)/AH$2,0)</f>
        <v>322.05575844528499</v>
      </c>
      <c r="AI26" s="430">
        <f>IFERROR(SUMIF('Mngt-Payroll'!$BA:$BA,'FTE analysis'!$A26,'Mngt-Payroll'!AN:AN)/SUMIFS(FTE!AN:AN,FTE!$A:$A,'FTE analysis'!$A26,FTE!$B:$B,'FTE analysis'!$B26)/AI$2,0)</f>
        <v>340.3418181818181</v>
      </c>
      <c r="AJ26" s="430">
        <f>IFERROR(SUMIF('Mngt-Payroll'!$BA:$BA,'FTE analysis'!$A26,'Mngt-Payroll'!AO:AO)/SUMIFS(FTE!AO:AO,FTE!$A:$A,'FTE analysis'!$A26,FTE!$B:$B,'FTE analysis'!$B26)/AJ$2,0)</f>
        <v>343.2948299319728</v>
      </c>
      <c r="AK26" s="430">
        <f>IFERROR(SUMIF('Mngt-Payroll'!$BA:$BA,'FTE analysis'!$A26,'Mngt-Payroll'!AP:AP)/SUMIFS(FTE!AP:AP,FTE!$A:$A,'FTE analysis'!$A26,FTE!$B:$B,'FTE analysis'!$B26)/AK$2,0)</f>
        <v>327.25512987012985</v>
      </c>
      <c r="AL26" s="430">
        <f>IFERROR(SUMIF('Mngt-Payroll'!$BA:$BA,'FTE analysis'!$A26,'Mngt-Payroll'!AQ:AQ)/SUMIFS(FTE!AQ:AQ,FTE!$A:$A,'FTE analysis'!$A26,FTE!$B:$B,'FTE analysis'!$B26)/AL$2,0)</f>
        <v>516.15652173913043</v>
      </c>
      <c r="AM26" s="430">
        <f>IFERROR(SUMIF('Mngt-Payroll'!$BA:$BA,'FTE analysis'!$A26,'Mngt-Payroll'!AR:AR)/SUMIFS(FTE!AR:AR,FTE!$A:$A,'FTE analysis'!$A26,FTE!$B:$B,'FTE analysis'!$B26)/AM$2,0)</f>
        <v>318.59968205795218</v>
      </c>
      <c r="AN26" s="430">
        <f>IFERROR(SUMIF('Mngt-Payroll'!$BA:$BA,'FTE analysis'!$A26,'Mngt-Payroll'!AS:AS)/SUMIFS(FTE!AS:AS,FTE!$A:$A,'FTE analysis'!$A26,FTE!$B:$B,'FTE analysis'!$B26)/AN$2,0)</f>
        <v>1420.5426515151516</v>
      </c>
      <c r="AO26" s="430">
        <f t="shared" si="3"/>
        <v>322.99041430371773</v>
      </c>
      <c r="AP26" s="139">
        <f t="shared" si="4"/>
        <v>10.748229363579071</v>
      </c>
      <c r="AQ26" s="139">
        <f t="shared" si="4"/>
        <v>-7.4869047619048388</v>
      </c>
      <c r="AR26" s="139">
        <f t="shared" si="4"/>
        <v>-165.81074380165288</v>
      </c>
      <c r="AS26" s="139">
        <f t="shared" si="4"/>
        <v>99.672972493345128</v>
      </c>
      <c r="AT26" s="139">
        <f t="shared" si="4"/>
        <v>0</v>
      </c>
      <c r="AU26" s="139">
        <f t="shared" si="4"/>
        <v>0</v>
      </c>
      <c r="AV26" s="139">
        <f t="shared" si="4"/>
        <v>0</v>
      </c>
      <c r="AW26" s="139">
        <f t="shared" si="4"/>
        <v>0</v>
      </c>
      <c r="AX26" s="139">
        <f t="shared" si="4"/>
        <v>0</v>
      </c>
      <c r="AY26" s="139">
        <f t="shared" si="4"/>
        <v>0</v>
      </c>
      <c r="AZ26" s="139">
        <f t="shared" si="4"/>
        <v>0</v>
      </c>
      <c r="BA26" s="139">
        <f t="shared" si="4"/>
        <v>0</v>
      </c>
      <c r="BB26" s="439">
        <f t="shared" si="5"/>
        <v>1.6306623008371162</v>
      </c>
      <c r="BC26" s="439"/>
      <c r="BD26" s="439">
        <f t="shared" si="6"/>
        <v>0</v>
      </c>
      <c r="BE26" s="484">
        <f>BB26*$BC$2*SUMIFS(FTE!T:T,FTE!$A:$A,'FTE analysis'!$A26,FTE!$B:$B,'FTE analysis'!$B26)</f>
        <v>0</v>
      </c>
      <c r="BF26" s="484">
        <f>(SUMIFS(FTE!T:T,FTE!$A:$A,'FTE analysis'!$A26,FTE!$B:$B,'FTE analysis'!$B26)-SUMIFS(FTE!AT:AT,FTE!$A:$A,'FTE analysis'!$A26,FTE!$B:$B,'FTE analysis'!$B26))</f>
        <v>-4.7966666666666677</v>
      </c>
      <c r="BG26" s="418">
        <f t="shared" si="7"/>
        <v>0</v>
      </c>
    </row>
    <row r="27" spans="1:59" ht="15" x14ac:dyDescent="0.25">
      <c r="A27" s="703" t="s">
        <v>297</v>
      </c>
      <c r="B27" s="707" t="s">
        <v>202</v>
      </c>
      <c r="C27" s="430">
        <f>IFERROR(SUMIF('Mngt-Payroll'!$AZ:$AZ,'FTE analysis'!$A27,'Mngt-Payroll'!G:G)/SUMIFS(FTE!H:H,FTE!$A:$A,'FTE analysis'!$A27,FTE!$B:$B,'FTE analysis'!$B27)/C$2,0)</f>
        <v>581.47652173913036</v>
      </c>
      <c r="D27" s="430">
        <f>IFERROR(SUMIF('Mngt-Payroll'!$AZ:$AZ,'FTE analysis'!$A27,'Mngt-Payroll'!H:H)/SUMIFS(FTE!I:I,FTE!$A:$A,'FTE analysis'!$A27,FTE!$B:$B,'FTE analysis'!$B27)/D$2,0)</f>
        <v>521.4552380952382</v>
      </c>
      <c r="E27" s="430">
        <f>IFERROR(SUMIF('Mngt-Payroll'!$AZ:$AZ,'FTE analysis'!$A27,'Mngt-Payroll'!I:I)/SUMIFS(FTE!J:J,FTE!$A:$A,'FTE analysis'!$A27,FTE!$B:$B,'FTE analysis'!$B27)/E$2,0)</f>
        <v>377.12704545454557</v>
      </c>
      <c r="F27" s="430">
        <f>IFERROR(SUMIF('Mngt-Payroll'!$AZ:$AZ,'FTE analysis'!$A27,'Mngt-Payroll'!J:J)/SUMIFS(FTE!K:K,FTE!$A:$A,'FTE analysis'!$A27,FTE!$B:$B,'FTE analysis'!$B27)/F$2,0)</f>
        <v>368.66347826086957</v>
      </c>
      <c r="G27" s="430">
        <f>IFERROR(SUMIF('Mngt-Payroll'!$AZ:$AZ,'FTE analysis'!$A27,'Mngt-Payroll'!K:K)/SUMIFS(FTE!L:L,FTE!$A:$A,'FTE analysis'!$A27,FTE!$B:$B,'FTE analysis'!$B27)/G$2,0)</f>
        <v>0</v>
      </c>
      <c r="H27" s="430">
        <f>IFERROR(SUMIF('Mngt-Payroll'!$AZ:$AZ,'FTE analysis'!$A27,'Mngt-Payroll'!L:L)/SUMIFS(FTE!M:M,FTE!$A:$A,'FTE analysis'!$A27,FTE!$B:$B,'FTE analysis'!$B27)/H$2,0)</f>
        <v>0</v>
      </c>
      <c r="I27" s="430">
        <f>IFERROR(SUMIF('Mngt-Payroll'!$AZ:$AZ,'FTE analysis'!$A27,'Mngt-Payroll'!M:M)/SUMIFS(FTE!N:N,FTE!$A:$A,'FTE analysis'!$A27,FTE!$B:$B,'FTE analysis'!$B27)/I$2,0)</f>
        <v>0</v>
      </c>
      <c r="J27" s="430">
        <f>IFERROR(SUMIF('Mngt-Payroll'!$AZ:$AZ,'FTE analysis'!$A27,'Mngt-Payroll'!N:N)/SUMIFS(FTE!O:O,FTE!$A:$A,'FTE analysis'!$A27,FTE!$B:$B,'FTE analysis'!$B27)/J$2,0)</f>
        <v>0</v>
      </c>
      <c r="K27" s="430">
        <f>IFERROR(SUMIF('Mngt-Payroll'!$AZ:$AZ,'FTE analysis'!$A27,'Mngt-Payroll'!O:O)/SUMIFS(FTE!P:P,FTE!$A:$A,'FTE analysis'!$A27,FTE!$B:$B,'FTE analysis'!$B27)/K$2,0)</f>
        <v>0</v>
      </c>
      <c r="L27" s="430">
        <f>IFERROR(SUMIF('Mngt-Payroll'!$AZ:$AZ,'FTE analysis'!$A27,'Mngt-Payroll'!P:P)/SUMIFS(FTE!Q:Q,FTE!$A:$A,'FTE analysis'!$A27,FTE!$B:$B,'FTE analysis'!$B27)/L$2,0)</f>
        <v>0</v>
      </c>
      <c r="M27" s="430">
        <f>IFERROR(SUMIF('Mngt-Payroll'!$AZ:$AZ,'FTE analysis'!$A27,'Mngt-Payroll'!Q:Q)/SUMIFS(FTE!R:R,FTE!$A:$A,'FTE analysis'!$A27,FTE!$B:$B,'FTE analysis'!$B27)/M$2,0)</f>
        <v>0</v>
      </c>
      <c r="N27" s="430">
        <f>IFERROR(SUMIF('Mngt-Payroll'!$AZ:$AZ,'FTE analysis'!$A27,'Mngt-Payroll'!R:R)/SUMIFS(FTE!S:S,FTE!$A:$A,'FTE analysis'!$A27,FTE!$B:$B,'FTE analysis'!$B27)/N$2,0)</f>
        <v>0</v>
      </c>
      <c r="O27" s="430">
        <f t="shared" si="1"/>
        <v>551.46587991718434</v>
      </c>
      <c r="P27" s="430">
        <f>IFERROR(SUMIF('Mngt-Payroll'!$AZ:$AZ,'FTE analysis'!$A27,'Mngt-Payroll'!U:U)/SUMIFS(FTE!U:U,FTE!$A:$A,'FTE analysis'!$A27,FTE!$B:$B,'FTE analysis'!$B27)/P$2,0)</f>
        <v>0</v>
      </c>
      <c r="Q27" s="430">
        <f>IFERROR(SUMIF('Mngt-Payroll'!$AZ:$AZ,'FTE analysis'!$A27,'Mngt-Payroll'!V:V)/SUMIFS(FTE!V:V,FTE!$A:$A,'FTE analysis'!$A27,FTE!$B:$B,'FTE analysis'!$B27)/Q$2,0)</f>
        <v>0</v>
      </c>
      <c r="R27" s="430">
        <f>IFERROR(SUMIF('Mngt-Payroll'!$AZ:$AZ,'FTE analysis'!$A27,'Mngt-Payroll'!W:W)/SUMIFS(FTE!W:W,FTE!$A:$A,'FTE analysis'!$A27,FTE!$B:$B,'FTE analysis'!$B27)/R$2,0)</f>
        <v>0</v>
      </c>
      <c r="S27" s="430">
        <f>IFERROR(SUMIF('Mngt-Payroll'!$AZ:$AZ,'FTE analysis'!$A27,'Mngt-Payroll'!X:X)/SUMIFS(FTE!X:X,FTE!$A:$A,'FTE analysis'!$A27,FTE!$B:$B,'FTE analysis'!$B27)/S$2,0)</f>
        <v>0</v>
      </c>
      <c r="T27" s="430">
        <f>IFERROR(SUMIF('Mngt-Payroll'!$AZ:$AZ,'FTE analysis'!$A27,'Mngt-Payroll'!Y:Y)/SUMIFS(FTE!Y:Y,FTE!$A:$A,'FTE analysis'!$A27,FTE!$B:$B,'FTE analysis'!$B27)/T$2,0)</f>
        <v>0</v>
      </c>
      <c r="U27" s="430">
        <f>IFERROR(SUMIF('Mngt-Payroll'!$AZ:$AZ,'FTE analysis'!$A27,'Mngt-Payroll'!Z:Z)/SUMIFS(FTE!Z:Z,FTE!$A:$A,'FTE analysis'!$A27,FTE!$B:$B,'FTE analysis'!$B27)/U$2,0)</f>
        <v>0</v>
      </c>
      <c r="V27" s="430">
        <f>IFERROR(SUMIF('Mngt-Payroll'!$AZ:$AZ,'FTE analysis'!$A27,'Mngt-Payroll'!AA:AA)/SUMIFS(FTE!AA:AA,FTE!$A:$A,'FTE analysis'!$A27,FTE!$B:$B,'FTE analysis'!$B27)/V$2,0)</f>
        <v>0</v>
      </c>
      <c r="W27" s="430">
        <f>IFERROR(SUMIF('Mngt-Payroll'!$AZ:$AZ,'FTE analysis'!$A27,'Mngt-Payroll'!AB:AB)/SUMIFS(FTE!AB:AB,FTE!$A:$A,'FTE analysis'!$A27,FTE!$B:$B,'FTE analysis'!$B27)/W$2,0)</f>
        <v>0</v>
      </c>
      <c r="X27" s="430">
        <f>IFERROR(SUMIF('Mngt-Payroll'!$AZ:$AZ,'FTE analysis'!$A27,'Mngt-Payroll'!AC:AC)/SUMIFS(FTE!AC:AC,FTE!$A:$A,'FTE analysis'!$A27,FTE!$B:$B,'FTE analysis'!$B27)/X$2,0)</f>
        <v>0</v>
      </c>
      <c r="Y27" s="430">
        <f>IFERROR(SUMIF('Mngt-Payroll'!$AZ:$AZ,'FTE analysis'!$A27,'Mngt-Payroll'!AD:AD)/SUMIFS(FTE!AD:AD,FTE!$A:$A,'FTE analysis'!$A27,FTE!$B:$B,'FTE analysis'!$B27)/Y$2,0)</f>
        <v>0</v>
      </c>
      <c r="Z27" s="430">
        <f>IFERROR(SUMIF('Mngt-Payroll'!$AZ:$AZ,'FTE analysis'!$A27,'Mngt-Payroll'!AE:AE)/SUMIFS(FTE!AE:AE,FTE!$A:$A,'FTE analysis'!$A27,FTE!$B:$B,'FTE analysis'!$B27)/Z$2,0)</f>
        <v>0</v>
      </c>
      <c r="AA27" s="430">
        <f>IFERROR(SUMIF('Mngt-Payroll'!$AZ:$AZ,'FTE analysis'!$A27,'Mngt-Payroll'!AF:AF)/SUMIFS(FTE!AF:AF,FTE!$A:$A,'FTE analysis'!$A27,FTE!$B:$B,'FTE analysis'!$B27)/AA$2,0)</f>
        <v>0</v>
      </c>
      <c r="AB27" s="430">
        <f t="shared" si="2"/>
        <v>0</v>
      </c>
      <c r="AC27" s="430">
        <f>IFERROR(SUMIF('Mngt-Payroll'!$AZ:$AZ,'FTE analysis'!$A27,'Mngt-Payroll'!AH:AH)/SUMIFS(FTE!AH:AH,FTE!$A:$A,'FTE analysis'!$A27,FTE!$B:$B,'FTE analysis'!$B27)/AC$2,0)</f>
        <v>543.65391304347827</v>
      </c>
      <c r="AD27" s="430">
        <f>IFERROR(SUMIF('Mngt-Payroll'!$AZ:$AZ,'FTE analysis'!$A27,'Mngt-Payroll'!AI:AI)/SUMIFS(FTE!AI:AI,FTE!$A:$A,'FTE analysis'!$A27,FTE!$B:$B,'FTE analysis'!$B27)/AD$2,0)</f>
        <v>511.92547619047616</v>
      </c>
      <c r="AE27" s="430">
        <f>IFERROR(SUMIF('Mngt-Payroll'!$AZ:$AZ,'FTE analysis'!$A27,'Mngt-Payroll'!AJ:AJ)/SUMIFS(FTE!AJ:AJ,FTE!$A:$A,'FTE analysis'!$A27,FTE!$B:$B,'FTE analysis'!$B27)/AE$2,0)</f>
        <v>473.82931818181822</v>
      </c>
      <c r="AF27" s="430">
        <f>IFERROR(SUMIF('Mngt-Payroll'!$AZ:$AZ,'FTE analysis'!$A27,'Mngt-Payroll'!AK:AK)/SUMIFS(FTE!AK:AK,FTE!$A:$A,'FTE analysis'!$A27,FTE!$B:$B,'FTE analysis'!$B27)/AF$2,0)</f>
        <v>420.76934782608697</v>
      </c>
      <c r="AG27" s="430">
        <f>IFERROR(SUMIF('Mngt-Payroll'!$AZ:$AZ,'FTE analysis'!$A27,'Mngt-Payroll'!AL:AL)/SUMIFS(FTE!AL:AL,FTE!$A:$A,'FTE analysis'!$A27,FTE!$B:$B,'FTE analysis'!$B27)/AG$2,0)</f>
        <v>334.72800000000001</v>
      </c>
      <c r="AH27" s="430">
        <f>IFERROR(SUMIF('Mngt-Payroll'!$AZ:$AZ,'FTE analysis'!$A27,'Mngt-Payroll'!AM:AM)/SUMIFS(FTE!AM:AM,FTE!$A:$A,'FTE analysis'!$A27,FTE!$B:$B,'FTE analysis'!$B27)/AH$2,0)</f>
        <v>484.65318181818185</v>
      </c>
      <c r="AI27" s="430">
        <f>IFERROR(SUMIF('Mngt-Payroll'!$AZ:$AZ,'FTE analysis'!$A27,'Mngt-Payroll'!AN:AN)/SUMIFS(FTE!AN:AN,FTE!$A:$A,'FTE analysis'!$A27,FTE!$B:$B,'FTE analysis'!$B27)/AI$2,0)</f>
        <v>566.55772727272733</v>
      </c>
      <c r="AJ27" s="430">
        <f>IFERROR(SUMIF('Mngt-Payroll'!$AZ:$AZ,'FTE analysis'!$A27,'Mngt-Payroll'!AO:AO)/SUMIFS(FTE!AO:AO,FTE!$A:$A,'FTE analysis'!$A27,FTE!$B:$B,'FTE analysis'!$B27)/AJ$2,0)</f>
        <v>597.14476190476194</v>
      </c>
      <c r="AK27" s="430">
        <f>IFERROR(SUMIF('Mngt-Payroll'!$AZ:$AZ,'FTE analysis'!$A27,'Mngt-Payroll'!AP:AP)/SUMIFS(FTE!AP:AP,FTE!$A:$A,'FTE analysis'!$A27,FTE!$B:$B,'FTE analysis'!$B27)/AK$2,0)</f>
        <v>556.44636363636357</v>
      </c>
      <c r="AL27" s="430">
        <f>IFERROR(SUMIF('Mngt-Payroll'!$AZ:$AZ,'FTE analysis'!$A27,'Mngt-Payroll'!AQ:AQ)/SUMIFS(FTE!AQ:AQ,FTE!$A:$A,'FTE analysis'!$A27,FTE!$B:$B,'FTE analysis'!$B27)/AL$2,0)</f>
        <v>-320.55913043478262</v>
      </c>
      <c r="AM27" s="430">
        <f>IFERROR(SUMIF('Mngt-Payroll'!$AZ:$AZ,'FTE analysis'!$A27,'Mngt-Payroll'!AR:AR)/SUMIFS(FTE!AR:AR,FTE!$A:$A,'FTE analysis'!$A27,FTE!$B:$B,'FTE analysis'!$B27)/AM$2,0)</f>
        <v>389.50904761904758</v>
      </c>
      <c r="AN27" s="430">
        <f>IFERROR(SUMIF('Mngt-Payroll'!$AZ:$AZ,'FTE analysis'!$A27,'Mngt-Payroll'!AS:AS)/SUMIFS(FTE!AS:AS,FTE!$A:$A,'FTE analysis'!$A27,FTE!$B:$B,'FTE analysis'!$B27)/AN$2,0)</f>
        <v>3945.5945454545454</v>
      </c>
      <c r="AO27" s="430">
        <f t="shared" si="3"/>
        <v>527.78969461697716</v>
      </c>
      <c r="AP27" s="139">
        <f t="shared" si="4"/>
        <v>37.822608695652093</v>
      </c>
      <c r="AQ27" s="139">
        <f t="shared" si="4"/>
        <v>9.5297619047620401</v>
      </c>
      <c r="AR27" s="139">
        <f t="shared" si="4"/>
        <v>-96.702272727272657</v>
      </c>
      <c r="AS27" s="139">
        <f t="shared" si="4"/>
        <v>-52.105869565217404</v>
      </c>
      <c r="AT27" s="139">
        <f t="shared" si="4"/>
        <v>0</v>
      </c>
      <c r="AU27" s="139">
        <f t="shared" si="4"/>
        <v>0</v>
      </c>
      <c r="AV27" s="139">
        <f t="shared" si="4"/>
        <v>0</v>
      </c>
      <c r="AW27" s="139">
        <f t="shared" si="4"/>
        <v>0</v>
      </c>
      <c r="AX27" s="139">
        <f t="shared" si="4"/>
        <v>0</v>
      </c>
      <c r="AY27" s="139">
        <f t="shared" si="4"/>
        <v>0</v>
      </c>
      <c r="AZ27" s="139">
        <f t="shared" si="4"/>
        <v>0</v>
      </c>
      <c r="BA27" s="139">
        <f t="shared" si="4"/>
        <v>0</v>
      </c>
      <c r="BB27" s="439">
        <f t="shared" si="5"/>
        <v>23.676185300207067</v>
      </c>
      <c r="BC27" s="439"/>
      <c r="BD27" s="439">
        <f t="shared" si="6"/>
        <v>0</v>
      </c>
      <c r="BE27" s="484">
        <f>BB27*$BC$2*SUMIFS(FTE!T:T,FTE!$A:$A,'FTE analysis'!$A27,FTE!$B:$B,'FTE analysis'!$B27)</f>
        <v>0</v>
      </c>
      <c r="BF27" s="484">
        <f>(SUMIFS(FTE!T:T,FTE!$A:$A,'FTE analysis'!$A27,FTE!$B:$B,'FTE analysis'!$B27)-SUMIFS(FTE!AT:AT,FTE!$A:$A,'FTE analysis'!$A27,FTE!$B:$B,'FTE analysis'!$B27))</f>
        <v>-0.5</v>
      </c>
      <c r="BG27" s="418">
        <f t="shared" si="7"/>
        <v>0</v>
      </c>
    </row>
    <row r="28" spans="1:59" ht="15" x14ac:dyDescent="0.25">
      <c r="A28" s="703" t="s">
        <v>296</v>
      </c>
      <c r="B28" s="707" t="s">
        <v>202</v>
      </c>
      <c r="C28" s="430">
        <f>IFERROR(SUMIF('Mngt-Payroll'!$AZ:$AZ,'FTE analysis'!$A28,'Mngt-Payroll'!G:G)/SUMIFS(FTE!H:H,FTE!$A:$A,'FTE analysis'!$A28,FTE!$B:$B,'FTE analysis'!$B28)/C$2,0)</f>
        <v>498.89678260869567</v>
      </c>
      <c r="D28" s="430">
        <f>IFERROR(SUMIF('Mngt-Payroll'!$AZ:$AZ,'FTE analysis'!$A28,'Mngt-Payroll'!H:H)/SUMIFS(FTE!I:I,FTE!$A:$A,'FTE analysis'!$A28,FTE!$B:$B,'FTE analysis'!$B28)/D$2,0)</f>
        <v>524.47338359090338</v>
      </c>
      <c r="E28" s="430">
        <f>IFERROR(SUMIF('Mngt-Payroll'!$AZ:$AZ,'FTE analysis'!$A28,'Mngt-Payroll'!I:I)/SUMIFS(FTE!J:J,FTE!$A:$A,'FTE analysis'!$A28,FTE!$B:$B,'FTE analysis'!$B28)/E$2,0)</f>
        <v>407.69274022770873</v>
      </c>
      <c r="F28" s="430">
        <f>IFERROR(SUMIF('Mngt-Payroll'!$AZ:$AZ,'FTE analysis'!$A28,'Mngt-Payroll'!J:J)/SUMIFS(FTE!K:K,FTE!$A:$A,'FTE analysis'!$A28,FTE!$B:$B,'FTE analysis'!$B28)/F$2,0)</f>
        <v>567.18314009661833</v>
      </c>
      <c r="G28" s="430">
        <f>IFERROR(SUMIF('Mngt-Payroll'!$AZ:$AZ,'FTE analysis'!$A28,'Mngt-Payroll'!K:K)/SUMIFS(FTE!L:L,FTE!$A:$A,'FTE analysis'!$A28,FTE!$B:$B,'FTE analysis'!$B28)/G$2,0)</f>
        <v>0</v>
      </c>
      <c r="H28" s="430">
        <f>IFERROR(SUMIF('Mngt-Payroll'!$AZ:$AZ,'FTE analysis'!$A28,'Mngt-Payroll'!L:L)/SUMIFS(FTE!M:M,FTE!$A:$A,'FTE analysis'!$A28,FTE!$B:$B,'FTE analysis'!$B28)/H$2,0)</f>
        <v>0</v>
      </c>
      <c r="I28" s="430">
        <f>IFERROR(SUMIF('Mngt-Payroll'!$AZ:$AZ,'FTE analysis'!$A28,'Mngt-Payroll'!M:M)/SUMIFS(FTE!N:N,FTE!$A:$A,'FTE analysis'!$A28,FTE!$B:$B,'FTE analysis'!$B28)/I$2,0)</f>
        <v>0</v>
      </c>
      <c r="J28" s="430">
        <f>IFERROR(SUMIF('Mngt-Payroll'!$AZ:$AZ,'FTE analysis'!$A28,'Mngt-Payroll'!N:N)/SUMIFS(FTE!O:O,FTE!$A:$A,'FTE analysis'!$A28,FTE!$B:$B,'FTE analysis'!$B28)/J$2,0)</f>
        <v>0</v>
      </c>
      <c r="K28" s="430">
        <f>IFERROR(SUMIF('Mngt-Payroll'!$AZ:$AZ,'FTE analysis'!$A28,'Mngt-Payroll'!O:O)/SUMIFS(FTE!P:P,FTE!$A:$A,'FTE analysis'!$A28,FTE!$B:$B,'FTE analysis'!$B28)/K$2,0)</f>
        <v>0</v>
      </c>
      <c r="L28" s="430">
        <f>IFERROR(SUMIF('Mngt-Payroll'!$AZ:$AZ,'FTE analysis'!$A28,'Mngt-Payroll'!P:P)/SUMIFS(FTE!Q:Q,FTE!$A:$A,'FTE analysis'!$A28,FTE!$B:$B,'FTE analysis'!$B28)/L$2,0)</f>
        <v>0</v>
      </c>
      <c r="M28" s="430">
        <f>IFERROR(SUMIF('Mngt-Payroll'!$AZ:$AZ,'FTE analysis'!$A28,'Mngt-Payroll'!Q:Q)/SUMIFS(FTE!R:R,FTE!$A:$A,'FTE analysis'!$A28,FTE!$B:$B,'FTE analysis'!$B28)/M$2,0)</f>
        <v>0</v>
      </c>
      <c r="N28" s="430">
        <f>IFERROR(SUMIF('Mngt-Payroll'!$AZ:$AZ,'FTE analysis'!$A28,'Mngt-Payroll'!R:R)/SUMIFS(FTE!S:S,FTE!$A:$A,'FTE analysis'!$A28,FTE!$B:$B,'FTE analysis'!$B28)/N$2,0)</f>
        <v>0</v>
      </c>
      <c r="O28" s="430">
        <f t="shared" si="1"/>
        <v>511.6850830997995</v>
      </c>
      <c r="P28" s="430">
        <f>IFERROR(SUMIF('Mngt-Payroll'!$AZ:$AZ,'FTE analysis'!$A28,'Mngt-Payroll'!U:U)/SUMIFS(FTE!U:U,FTE!$A:$A,'FTE analysis'!$A28,FTE!$B:$B,'FTE analysis'!$B28)/P$2,0)</f>
        <v>0</v>
      </c>
      <c r="Q28" s="430">
        <f>IFERROR(SUMIF('Mngt-Payroll'!$AZ:$AZ,'FTE analysis'!$A28,'Mngt-Payroll'!V:V)/SUMIFS(FTE!V:V,FTE!$A:$A,'FTE analysis'!$A28,FTE!$B:$B,'FTE analysis'!$B28)/Q$2,0)</f>
        <v>0</v>
      </c>
      <c r="R28" s="430">
        <f>IFERROR(SUMIF('Mngt-Payroll'!$AZ:$AZ,'FTE analysis'!$A28,'Mngt-Payroll'!W:W)/SUMIFS(FTE!W:W,FTE!$A:$A,'FTE analysis'!$A28,FTE!$B:$B,'FTE analysis'!$B28)/R$2,0)</f>
        <v>0</v>
      </c>
      <c r="S28" s="430">
        <f>IFERROR(SUMIF('Mngt-Payroll'!$AZ:$AZ,'FTE analysis'!$A28,'Mngt-Payroll'!X:X)/SUMIFS(FTE!X:X,FTE!$A:$A,'FTE analysis'!$A28,FTE!$B:$B,'FTE analysis'!$B28)/S$2,0)</f>
        <v>0</v>
      </c>
      <c r="T28" s="430">
        <f>IFERROR(SUMIF('Mngt-Payroll'!$AZ:$AZ,'FTE analysis'!$A28,'Mngt-Payroll'!Y:Y)/SUMIFS(FTE!Y:Y,FTE!$A:$A,'FTE analysis'!$A28,FTE!$B:$B,'FTE analysis'!$B28)/T$2,0)</f>
        <v>0</v>
      </c>
      <c r="U28" s="430">
        <f>IFERROR(SUMIF('Mngt-Payroll'!$AZ:$AZ,'FTE analysis'!$A28,'Mngt-Payroll'!Z:Z)/SUMIFS(FTE!Z:Z,FTE!$A:$A,'FTE analysis'!$A28,FTE!$B:$B,'FTE analysis'!$B28)/U$2,0)</f>
        <v>0</v>
      </c>
      <c r="V28" s="430">
        <f>IFERROR(SUMIF('Mngt-Payroll'!$AZ:$AZ,'FTE analysis'!$A28,'Mngt-Payroll'!AA:AA)/SUMIFS(FTE!AA:AA,FTE!$A:$A,'FTE analysis'!$A28,FTE!$B:$B,'FTE analysis'!$B28)/V$2,0)</f>
        <v>0</v>
      </c>
      <c r="W28" s="430">
        <f>IFERROR(SUMIF('Mngt-Payroll'!$AZ:$AZ,'FTE analysis'!$A28,'Mngt-Payroll'!AB:AB)/SUMIFS(FTE!AB:AB,FTE!$A:$A,'FTE analysis'!$A28,FTE!$B:$B,'FTE analysis'!$B28)/W$2,0)</f>
        <v>0</v>
      </c>
      <c r="X28" s="430">
        <f>IFERROR(SUMIF('Mngt-Payroll'!$AZ:$AZ,'FTE analysis'!$A28,'Mngt-Payroll'!AC:AC)/SUMIFS(FTE!AC:AC,FTE!$A:$A,'FTE analysis'!$A28,FTE!$B:$B,'FTE analysis'!$B28)/X$2,0)</f>
        <v>0</v>
      </c>
      <c r="Y28" s="430">
        <f>IFERROR(SUMIF('Mngt-Payroll'!$AZ:$AZ,'FTE analysis'!$A28,'Mngt-Payroll'!AD:AD)/SUMIFS(FTE!AD:AD,FTE!$A:$A,'FTE analysis'!$A28,FTE!$B:$B,'FTE analysis'!$B28)/Y$2,0)</f>
        <v>0</v>
      </c>
      <c r="Z28" s="430">
        <f>IFERROR(SUMIF('Mngt-Payroll'!$AZ:$AZ,'FTE analysis'!$A28,'Mngt-Payroll'!AE:AE)/SUMIFS(FTE!AE:AE,FTE!$A:$A,'FTE analysis'!$A28,FTE!$B:$B,'FTE analysis'!$B28)/Z$2,0)</f>
        <v>0</v>
      </c>
      <c r="AA28" s="430">
        <f>IFERROR(SUMIF('Mngt-Payroll'!$AZ:$AZ,'FTE analysis'!$A28,'Mngt-Payroll'!AF:AF)/SUMIFS(FTE!AF:AF,FTE!$A:$A,'FTE analysis'!$A28,FTE!$B:$B,'FTE analysis'!$B28)/AA$2,0)</f>
        <v>0</v>
      </c>
      <c r="AB28" s="430">
        <f t="shared" si="2"/>
        <v>0</v>
      </c>
      <c r="AC28" s="430">
        <f>IFERROR(SUMIF('Mngt-Payroll'!$AZ:$AZ,'FTE analysis'!$A28,'Mngt-Payroll'!AH:AH)/SUMIFS(FTE!AH:AH,FTE!$A:$A,'FTE analysis'!$A28,FTE!$B:$B,'FTE analysis'!$B28)/AC$2,0)</f>
        <v>468.59553953593155</v>
      </c>
      <c r="AD28" s="430">
        <f>IFERROR(SUMIF('Mngt-Payroll'!$AZ:$AZ,'FTE analysis'!$A28,'Mngt-Payroll'!AI:AI)/SUMIFS(FTE!AI:AI,FTE!$A:$A,'FTE analysis'!$A28,FTE!$B:$B,'FTE analysis'!$B28)/AD$2,0)</f>
        <v>601.63072370191026</v>
      </c>
      <c r="AE28" s="430">
        <f>IFERROR(SUMIF('Mngt-Payroll'!$AZ:$AZ,'FTE analysis'!$A28,'Mngt-Payroll'!AJ:AJ)/SUMIFS(FTE!AJ:AJ,FTE!$A:$A,'FTE analysis'!$A28,FTE!$B:$B,'FTE analysis'!$B28)/AE$2,0)</f>
        <v>506.44405991735533</v>
      </c>
      <c r="AF28" s="430">
        <f>IFERROR(SUMIF('Mngt-Payroll'!$AZ:$AZ,'FTE analysis'!$A28,'Mngt-Payroll'!AK:AK)/SUMIFS(FTE!AK:AK,FTE!$A:$A,'FTE analysis'!$A28,FTE!$B:$B,'FTE analysis'!$B28)/AF$2,0)</f>
        <v>537.63569511540527</v>
      </c>
      <c r="AG28" s="430">
        <f>IFERROR(SUMIF('Mngt-Payroll'!$AZ:$AZ,'FTE analysis'!$A28,'Mngt-Payroll'!AL:AL)/SUMIFS(FTE!AL:AL,FTE!$A:$A,'FTE analysis'!$A28,FTE!$B:$B,'FTE analysis'!$B28)/AG$2,0)</f>
        <v>754.25600000000009</v>
      </c>
      <c r="AH28" s="430">
        <f>IFERROR(SUMIF('Mngt-Payroll'!$AZ:$AZ,'FTE analysis'!$A28,'Mngt-Payroll'!AM:AM)/SUMIFS(FTE!AM:AM,FTE!$A:$A,'FTE analysis'!$A28,FTE!$B:$B,'FTE analysis'!$B28)/AH$2,0)</f>
        <v>653.30067189249723</v>
      </c>
      <c r="AI28" s="430">
        <f>IFERROR(SUMIF('Mngt-Payroll'!$AZ:$AZ,'FTE analysis'!$A28,'Mngt-Payroll'!AN:AN)/SUMIFS(FTE!AN:AN,FTE!$A:$A,'FTE analysis'!$A28,FTE!$B:$B,'FTE analysis'!$B28)/AI$2,0)</f>
        <v>665.13526834611173</v>
      </c>
      <c r="AJ28" s="430">
        <f>IFERROR(SUMIF('Mngt-Payroll'!$AZ:$AZ,'FTE analysis'!$A28,'Mngt-Payroll'!AO:AO)/SUMIFS(FTE!AO:AO,FTE!$A:$A,'FTE analysis'!$A28,FTE!$B:$B,'FTE analysis'!$B28)/AJ$2,0)</f>
        <v>504.67386243386238</v>
      </c>
      <c r="AK28" s="430">
        <f>IFERROR(SUMIF('Mngt-Payroll'!$AZ:$AZ,'FTE analysis'!$A28,'Mngt-Payroll'!AP:AP)/SUMIFS(FTE!AP:AP,FTE!$A:$A,'FTE analysis'!$A28,FTE!$B:$B,'FTE analysis'!$B28)/AK$2,0)</f>
        <v>573.57848484848478</v>
      </c>
      <c r="AL28" s="430">
        <f>IFERROR(SUMIF('Mngt-Payroll'!$AZ:$AZ,'FTE analysis'!$A28,'Mngt-Payroll'!AQ:AQ)/SUMIFS(FTE!AQ:AQ,FTE!$A:$A,'FTE analysis'!$A28,FTE!$B:$B,'FTE analysis'!$B28)/AL$2,0)</f>
        <v>213.39862700228835</v>
      </c>
      <c r="AM28" s="430">
        <f>IFERROR(SUMIF('Mngt-Payroll'!$AZ:$AZ,'FTE analysis'!$A28,'Mngt-Payroll'!AR:AR)/SUMIFS(FTE!AR:AR,FTE!$A:$A,'FTE analysis'!$A28,FTE!$B:$B,'FTE analysis'!$B28)/AM$2,0)</f>
        <v>515.22371332371324</v>
      </c>
      <c r="AN28" s="430">
        <f>IFERROR(SUMIF('Mngt-Payroll'!$AZ:$AZ,'FTE analysis'!$A28,'Mngt-Payroll'!AS:AS)/SUMIFS(FTE!AS:AS,FTE!$A:$A,'FTE analysis'!$A28,FTE!$B:$B,'FTE analysis'!$B28)/AN$2,0)</f>
        <v>1819.352219652523</v>
      </c>
      <c r="AO28" s="430">
        <f t="shared" si="3"/>
        <v>535.11313161892087</v>
      </c>
      <c r="AP28" s="139">
        <f t="shared" si="4"/>
        <v>30.301243072764123</v>
      </c>
      <c r="AQ28" s="139">
        <f t="shared" si="4"/>
        <v>-77.157340111006874</v>
      </c>
      <c r="AR28" s="139">
        <f t="shared" si="4"/>
        <v>-98.751319689646607</v>
      </c>
      <c r="AS28" s="139">
        <f t="shared" si="4"/>
        <v>29.547444981213062</v>
      </c>
      <c r="AT28" s="139">
        <f t="shared" si="4"/>
        <v>0</v>
      </c>
      <c r="AU28" s="139">
        <f t="shared" si="4"/>
        <v>0</v>
      </c>
      <c r="AV28" s="139">
        <f t="shared" si="4"/>
        <v>0</v>
      </c>
      <c r="AW28" s="139">
        <f t="shared" si="4"/>
        <v>0</v>
      </c>
      <c r="AX28" s="139">
        <f t="shared" si="4"/>
        <v>0</v>
      </c>
      <c r="AY28" s="139">
        <f t="shared" si="4"/>
        <v>0</v>
      </c>
      <c r="AZ28" s="139">
        <f t="shared" si="4"/>
        <v>0</v>
      </c>
      <c r="BA28" s="139">
        <f t="shared" si="4"/>
        <v>0</v>
      </c>
      <c r="BB28" s="439">
        <f t="shared" si="5"/>
        <v>-23.428048519121376</v>
      </c>
      <c r="BC28" s="439"/>
      <c r="BD28" s="439">
        <f t="shared" si="6"/>
        <v>0</v>
      </c>
      <c r="BE28" s="484">
        <f>BB28*$BC$2*SUMIFS(FTE!T:T,FTE!$A:$A,'FTE analysis'!$A28,FTE!$B:$B,'FTE analysis'!$B28)</f>
        <v>0</v>
      </c>
      <c r="BF28" s="484">
        <f>(SUMIFS(FTE!T:T,FTE!$A:$A,'FTE analysis'!$A28,FTE!$B:$B,'FTE analysis'!$B28)-SUMIFS(FTE!AT:AT,FTE!$A:$A,'FTE analysis'!$A28,FTE!$B:$B,'FTE analysis'!$B28))</f>
        <v>0.54407894736842088</v>
      </c>
      <c r="BG28" s="418">
        <f t="shared" si="7"/>
        <v>0</v>
      </c>
    </row>
    <row r="29" spans="1:59" ht="15" x14ac:dyDescent="0.25">
      <c r="A29" s="703" t="s">
        <v>295</v>
      </c>
      <c r="B29" s="707" t="s">
        <v>202</v>
      </c>
      <c r="C29" s="430">
        <f>IFERROR(SUMIF('Mngt-Payroll'!$AZ:$AZ,'FTE analysis'!$A29,'Mngt-Payroll'!G:G)/SUMIFS(FTE!H:H,FTE!$A:$A,'FTE analysis'!$A29,FTE!$B:$B,'FTE analysis'!$B29)/C$2,0)</f>
        <v>403.50277173913042</v>
      </c>
      <c r="D29" s="430">
        <f>IFERROR(SUMIF('Mngt-Payroll'!$AZ:$AZ,'FTE analysis'!$A29,'Mngt-Payroll'!H:H)/SUMIFS(FTE!I:I,FTE!$A:$A,'FTE analysis'!$A29,FTE!$B:$B,'FTE analysis'!$B29)/D$2,0)</f>
        <v>449.48160714285717</v>
      </c>
      <c r="E29" s="430">
        <f>IFERROR(SUMIF('Mngt-Payroll'!$AZ:$AZ,'FTE analysis'!$A29,'Mngt-Payroll'!I:I)/SUMIFS(FTE!J:J,FTE!$A:$A,'FTE analysis'!$A29,FTE!$B:$B,'FTE analysis'!$B29)/E$2,0)</f>
        <v>374.50937859608746</v>
      </c>
      <c r="F29" s="430">
        <f>IFERROR(SUMIF('Mngt-Payroll'!$AZ:$AZ,'FTE analysis'!$A29,'Mngt-Payroll'!J:J)/SUMIFS(FTE!K:K,FTE!$A:$A,'FTE analysis'!$A29,FTE!$B:$B,'FTE analysis'!$B29)/F$2,0)</f>
        <v>411.86606574761396</v>
      </c>
      <c r="G29" s="430">
        <f>IFERROR(SUMIF('Mngt-Payroll'!$AZ:$AZ,'FTE analysis'!$A29,'Mngt-Payroll'!K:K)/SUMIFS(FTE!L:L,FTE!$A:$A,'FTE analysis'!$A29,FTE!$B:$B,'FTE analysis'!$B29)/G$2,0)</f>
        <v>0</v>
      </c>
      <c r="H29" s="430">
        <f>IFERROR(SUMIF('Mngt-Payroll'!$AZ:$AZ,'FTE analysis'!$A29,'Mngt-Payroll'!L:L)/SUMIFS(FTE!M:M,FTE!$A:$A,'FTE analysis'!$A29,FTE!$B:$B,'FTE analysis'!$B29)/H$2,0)</f>
        <v>0</v>
      </c>
      <c r="I29" s="430">
        <f>IFERROR(SUMIF('Mngt-Payroll'!$AZ:$AZ,'FTE analysis'!$A29,'Mngt-Payroll'!M:M)/SUMIFS(FTE!N:N,FTE!$A:$A,'FTE analysis'!$A29,FTE!$B:$B,'FTE analysis'!$B29)/I$2,0)</f>
        <v>0</v>
      </c>
      <c r="J29" s="430">
        <f>IFERROR(SUMIF('Mngt-Payroll'!$AZ:$AZ,'FTE analysis'!$A29,'Mngt-Payroll'!N:N)/SUMIFS(FTE!O:O,FTE!$A:$A,'FTE analysis'!$A29,FTE!$B:$B,'FTE analysis'!$B29)/J$2,0)</f>
        <v>0</v>
      </c>
      <c r="K29" s="430">
        <f>IFERROR(SUMIF('Mngt-Payroll'!$AZ:$AZ,'FTE analysis'!$A29,'Mngt-Payroll'!O:O)/SUMIFS(FTE!P:P,FTE!$A:$A,'FTE analysis'!$A29,FTE!$B:$B,'FTE analysis'!$B29)/K$2,0)</f>
        <v>0</v>
      </c>
      <c r="L29" s="430">
        <f>IFERROR(SUMIF('Mngt-Payroll'!$AZ:$AZ,'FTE analysis'!$A29,'Mngt-Payroll'!P:P)/SUMIFS(FTE!Q:Q,FTE!$A:$A,'FTE analysis'!$A29,FTE!$B:$B,'FTE analysis'!$B29)/L$2,0)</f>
        <v>0</v>
      </c>
      <c r="M29" s="430">
        <f>IFERROR(SUMIF('Mngt-Payroll'!$AZ:$AZ,'FTE analysis'!$A29,'Mngt-Payroll'!Q:Q)/SUMIFS(FTE!R:R,FTE!$A:$A,'FTE analysis'!$A29,FTE!$B:$B,'FTE analysis'!$B29)/M$2,0)</f>
        <v>0</v>
      </c>
      <c r="N29" s="430">
        <f>IFERROR(SUMIF('Mngt-Payroll'!$AZ:$AZ,'FTE analysis'!$A29,'Mngt-Payroll'!R:R)/SUMIFS(FTE!S:S,FTE!$A:$A,'FTE analysis'!$A29,FTE!$B:$B,'FTE analysis'!$B29)/N$2,0)</f>
        <v>0</v>
      </c>
      <c r="O29" s="430">
        <f t="shared" si="1"/>
        <v>426.4921894409938</v>
      </c>
      <c r="P29" s="430">
        <f>IFERROR(SUMIF('Mngt-Payroll'!$AZ:$AZ,'FTE analysis'!$A29,'Mngt-Payroll'!U:U)/SUMIFS(FTE!U:U,FTE!$A:$A,'FTE analysis'!$A29,FTE!$B:$B,'FTE analysis'!$B29)/P$2,0)</f>
        <v>0</v>
      </c>
      <c r="Q29" s="430">
        <f>IFERROR(SUMIF('Mngt-Payroll'!$AZ:$AZ,'FTE analysis'!$A29,'Mngt-Payroll'!V:V)/SUMIFS(FTE!V:V,FTE!$A:$A,'FTE analysis'!$A29,FTE!$B:$B,'FTE analysis'!$B29)/Q$2,0)</f>
        <v>0</v>
      </c>
      <c r="R29" s="430">
        <f>IFERROR(SUMIF('Mngt-Payroll'!$AZ:$AZ,'FTE analysis'!$A29,'Mngt-Payroll'!W:W)/SUMIFS(FTE!W:W,FTE!$A:$A,'FTE analysis'!$A29,FTE!$B:$B,'FTE analysis'!$B29)/R$2,0)</f>
        <v>0</v>
      </c>
      <c r="S29" s="430">
        <f>IFERROR(SUMIF('Mngt-Payroll'!$AZ:$AZ,'FTE analysis'!$A29,'Mngt-Payroll'!X:X)/SUMIFS(FTE!X:X,FTE!$A:$A,'FTE analysis'!$A29,FTE!$B:$B,'FTE analysis'!$B29)/S$2,0)</f>
        <v>0</v>
      </c>
      <c r="T29" s="430">
        <f>IFERROR(SUMIF('Mngt-Payroll'!$AZ:$AZ,'FTE analysis'!$A29,'Mngt-Payroll'!Y:Y)/SUMIFS(FTE!Y:Y,FTE!$A:$A,'FTE analysis'!$A29,FTE!$B:$B,'FTE analysis'!$B29)/T$2,0)</f>
        <v>0</v>
      </c>
      <c r="U29" s="430">
        <f>IFERROR(SUMIF('Mngt-Payroll'!$AZ:$AZ,'FTE analysis'!$A29,'Mngt-Payroll'!Z:Z)/SUMIFS(FTE!Z:Z,FTE!$A:$A,'FTE analysis'!$A29,FTE!$B:$B,'FTE analysis'!$B29)/U$2,0)</f>
        <v>0</v>
      </c>
      <c r="V29" s="430">
        <f>IFERROR(SUMIF('Mngt-Payroll'!$AZ:$AZ,'FTE analysis'!$A29,'Mngt-Payroll'!AA:AA)/SUMIFS(FTE!AA:AA,FTE!$A:$A,'FTE analysis'!$A29,FTE!$B:$B,'FTE analysis'!$B29)/V$2,0)</f>
        <v>0</v>
      </c>
      <c r="W29" s="430">
        <f>IFERROR(SUMIF('Mngt-Payroll'!$AZ:$AZ,'FTE analysis'!$A29,'Mngt-Payroll'!AB:AB)/SUMIFS(FTE!AB:AB,FTE!$A:$A,'FTE analysis'!$A29,FTE!$B:$B,'FTE analysis'!$B29)/W$2,0)</f>
        <v>0</v>
      </c>
      <c r="X29" s="430">
        <f>IFERROR(SUMIF('Mngt-Payroll'!$AZ:$AZ,'FTE analysis'!$A29,'Mngt-Payroll'!AC:AC)/SUMIFS(FTE!AC:AC,FTE!$A:$A,'FTE analysis'!$A29,FTE!$B:$B,'FTE analysis'!$B29)/X$2,0)</f>
        <v>0</v>
      </c>
      <c r="Y29" s="430">
        <f>IFERROR(SUMIF('Mngt-Payroll'!$AZ:$AZ,'FTE analysis'!$A29,'Mngt-Payroll'!AD:AD)/SUMIFS(FTE!AD:AD,FTE!$A:$A,'FTE analysis'!$A29,FTE!$B:$B,'FTE analysis'!$B29)/Y$2,0)</f>
        <v>0</v>
      </c>
      <c r="Z29" s="430">
        <f>IFERROR(SUMIF('Mngt-Payroll'!$AZ:$AZ,'FTE analysis'!$A29,'Mngt-Payroll'!AE:AE)/SUMIFS(FTE!AE:AE,FTE!$A:$A,'FTE analysis'!$A29,FTE!$B:$B,'FTE analysis'!$B29)/Z$2,0)</f>
        <v>0</v>
      </c>
      <c r="AA29" s="430">
        <f>IFERROR(SUMIF('Mngt-Payroll'!$AZ:$AZ,'FTE analysis'!$A29,'Mngt-Payroll'!AF:AF)/SUMIFS(FTE!AF:AF,FTE!$A:$A,'FTE analysis'!$A29,FTE!$B:$B,'FTE analysis'!$B29)/AA$2,0)</f>
        <v>0</v>
      </c>
      <c r="AB29" s="430">
        <f t="shared" si="2"/>
        <v>0</v>
      </c>
      <c r="AC29" s="430">
        <f>IFERROR(SUMIF('Mngt-Payroll'!$AZ:$AZ,'FTE analysis'!$A29,'Mngt-Payroll'!AH:AH)/SUMIFS(FTE!AH:AH,FTE!$A:$A,'FTE analysis'!$A29,FTE!$B:$B,'FTE analysis'!$B29)/AC$2,0)</f>
        <v>471.30720496894412</v>
      </c>
      <c r="AD29" s="430">
        <f>IFERROR(SUMIF('Mngt-Payroll'!$AZ:$AZ,'FTE analysis'!$A29,'Mngt-Payroll'!AI:AI)/SUMIFS(FTE!AI:AI,FTE!$A:$A,'FTE analysis'!$A29,FTE!$B:$B,'FTE analysis'!$B29)/AD$2,0)</f>
        <v>400.51959011452681</v>
      </c>
      <c r="AE29" s="430">
        <f>IFERROR(SUMIF('Mngt-Payroll'!$AZ:$AZ,'FTE analysis'!$A29,'Mngt-Payroll'!AJ:AJ)/SUMIFS(FTE!AJ:AJ,FTE!$A:$A,'FTE analysis'!$A29,FTE!$B:$B,'FTE analysis'!$B29)/AE$2,0)</f>
        <v>320.94116965836713</v>
      </c>
      <c r="AF29" s="430">
        <f>IFERROR(SUMIF('Mngt-Payroll'!$AZ:$AZ,'FTE analysis'!$A29,'Mngt-Payroll'!AK:AK)/SUMIFS(FTE!AK:AK,FTE!$A:$A,'FTE analysis'!$A29,FTE!$B:$B,'FTE analysis'!$B29)/AF$2,0)</f>
        <v>446.24316546762589</v>
      </c>
      <c r="AG29" s="430">
        <f>IFERROR(SUMIF('Mngt-Payroll'!$AZ:$AZ,'FTE analysis'!$A29,'Mngt-Payroll'!AL:AL)/SUMIFS(FTE!AL:AL,FTE!$A:$A,'FTE analysis'!$A29,FTE!$B:$B,'FTE analysis'!$B29)/AG$2,0)</f>
        <v>487.36459302325585</v>
      </c>
      <c r="AH29" s="430">
        <f>IFERROR(SUMIF('Mngt-Payroll'!$AZ:$AZ,'FTE analysis'!$A29,'Mngt-Payroll'!AM:AM)/SUMIFS(FTE!AM:AM,FTE!$A:$A,'FTE analysis'!$A29,FTE!$B:$B,'FTE analysis'!$B29)/AH$2,0)</f>
        <v>393.4250532076619</v>
      </c>
      <c r="AI29" s="430">
        <f>IFERROR(SUMIF('Mngt-Payroll'!$AZ:$AZ,'FTE analysis'!$A29,'Mngt-Payroll'!AN:AN)/SUMIFS(FTE!AN:AN,FTE!$A:$A,'FTE analysis'!$A29,FTE!$B:$B,'FTE analysis'!$B29)/AI$2,0)</f>
        <v>448.26735092864124</v>
      </c>
      <c r="AJ29" s="430">
        <f>IFERROR(SUMIF('Mngt-Payroll'!$AZ:$AZ,'FTE analysis'!$A29,'Mngt-Payroll'!AO:AO)/SUMIFS(FTE!AO:AO,FTE!$A:$A,'FTE analysis'!$A29,FTE!$B:$B,'FTE analysis'!$B29)/AJ$2,0)</f>
        <v>415.37819047619041</v>
      </c>
      <c r="AK29" s="430">
        <f>IFERROR(SUMIF('Mngt-Payroll'!$AZ:$AZ,'FTE analysis'!$A29,'Mngt-Payroll'!AP:AP)/SUMIFS(FTE!AP:AP,FTE!$A:$A,'FTE analysis'!$A29,FTE!$B:$B,'FTE analysis'!$B29)/AK$2,0)</f>
        <v>392.83709090909093</v>
      </c>
      <c r="AL29" s="430">
        <f>IFERROR(SUMIF('Mngt-Payroll'!$AZ:$AZ,'FTE analysis'!$A29,'Mngt-Payroll'!AQ:AQ)/SUMIFS(FTE!AQ:AQ,FTE!$A:$A,'FTE analysis'!$A29,FTE!$B:$B,'FTE analysis'!$B29)/AL$2,0)</f>
        <v>392.83526086956516</v>
      </c>
      <c r="AM29" s="430">
        <f>IFERROR(SUMIF('Mngt-Payroll'!$AZ:$AZ,'FTE analysis'!$A29,'Mngt-Payroll'!AR:AR)/SUMIFS(FTE!AR:AR,FTE!$A:$A,'FTE analysis'!$A29,FTE!$B:$B,'FTE analysis'!$B29)/AM$2,0)</f>
        <v>487.12465277777778</v>
      </c>
      <c r="AN29" s="430">
        <f>IFERROR(SUMIF('Mngt-Payroll'!$AZ:$AZ,'FTE analysis'!$A29,'Mngt-Payroll'!AS:AS)/SUMIFS(FTE!AS:AS,FTE!$A:$A,'FTE analysis'!$A29,FTE!$B:$B,'FTE analysis'!$B29)/AN$2,0)</f>
        <v>1180.3802507836988</v>
      </c>
      <c r="AO29" s="430">
        <f t="shared" si="3"/>
        <v>435.91339754173543</v>
      </c>
      <c r="AP29" s="139">
        <f t="shared" si="4"/>
        <v>-67.804433229813696</v>
      </c>
      <c r="AQ29" s="139">
        <f t="shared" si="4"/>
        <v>48.962017028330365</v>
      </c>
      <c r="AR29" s="139">
        <f t="shared" si="4"/>
        <v>53.568208937720328</v>
      </c>
      <c r="AS29" s="139">
        <f t="shared" si="4"/>
        <v>-34.377099720011927</v>
      </c>
      <c r="AT29" s="139">
        <f t="shared" si="4"/>
        <v>0</v>
      </c>
      <c r="AU29" s="139">
        <f t="shared" si="4"/>
        <v>0</v>
      </c>
      <c r="AV29" s="139">
        <f t="shared" si="4"/>
        <v>0</v>
      </c>
      <c r="AW29" s="139">
        <f t="shared" si="4"/>
        <v>0</v>
      </c>
      <c r="AX29" s="139">
        <f t="shared" si="4"/>
        <v>0</v>
      </c>
      <c r="AY29" s="139">
        <f t="shared" si="4"/>
        <v>0</v>
      </c>
      <c r="AZ29" s="139">
        <f t="shared" si="4"/>
        <v>0</v>
      </c>
      <c r="BA29" s="139">
        <f t="shared" si="4"/>
        <v>0</v>
      </c>
      <c r="BB29" s="439">
        <f t="shared" si="5"/>
        <v>-9.4212081007416657</v>
      </c>
      <c r="BC29" s="439"/>
      <c r="BD29" s="439">
        <f t="shared" si="6"/>
        <v>0</v>
      </c>
      <c r="BE29" s="484">
        <f>BB29*$BC$2*SUMIFS(FTE!T:T,FTE!$A:$A,'FTE analysis'!$A29,FTE!$B:$B,'FTE analysis'!$B29)</f>
        <v>0</v>
      </c>
      <c r="BF29" s="484">
        <f>(SUMIFS(FTE!T:T,FTE!$A:$A,'FTE analysis'!$A29,FTE!$B:$B,'FTE analysis'!$B29)-SUMIFS(FTE!AT:AT,FTE!$A:$A,'FTE analysis'!$A29,FTE!$B:$B,'FTE analysis'!$B29))</f>
        <v>0.44166666666666732</v>
      </c>
      <c r="BG29" s="418">
        <f t="shared" si="7"/>
        <v>0</v>
      </c>
    </row>
    <row r="30" spans="1:59" ht="15" x14ac:dyDescent="0.25">
      <c r="A30" s="703" t="s">
        <v>298</v>
      </c>
      <c r="B30" s="707" t="s">
        <v>202</v>
      </c>
      <c r="C30" s="430">
        <f>IFERROR(SUMIF('Mngt-Payroll'!$AZ:$AZ,'FTE analysis'!$A30,'Mngt-Payroll'!G:G)/SUMIFS(FTE!H:H,FTE!$A:$A,'FTE analysis'!$A30,FTE!$B:$B,'FTE analysis'!$B30)/C$2,0)</f>
        <v>335.06391304347829</v>
      </c>
      <c r="D30" s="430">
        <f>IFERROR(SUMIF('Mngt-Payroll'!$AZ:$AZ,'FTE analysis'!$A30,'Mngt-Payroll'!H:H)/SUMIFS(FTE!I:I,FTE!$A:$A,'FTE analysis'!$A30,FTE!$B:$B,'FTE analysis'!$B30)/D$2,0)</f>
        <v>362.79761904761904</v>
      </c>
      <c r="E30" s="430">
        <f>IFERROR(SUMIF('Mngt-Payroll'!$AZ:$AZ,'FTE analysis'!$A30,'Mngt-Payroll'!I:I)/SUMIFS(FTE!J:J,FTE!$A:$A,'FTE analysis'!$A30,FTE!$B:$B,'FTE analysis'!$B30)/E$2,0)</f>
        <v>428.27681818181821</v>
      </c>
      <c r="F30" s="430">
        <f>IFERROR(SUMIF('Mngt-Payroll'!$AZ:$AZ,'FTE analysis'!$A30,'Mngt-Payroll'!J:J)/SUMIFS(FTE!K:K,FTE!$A:$A,'FTE analysis'!$A30,FTE!$B:$B,'FTE analysis'!$B30)/F$2,0)</f>
        <v>449.6960869565217</v>
      </c>
      <c r="G30" s="430">
        <f>IFERROR(SUMIF('Mngt-Payroll'!$AZ:$AZ,'FTE analysis'!$A30,'Mngt-Payroll'!K:K)/SUMIFS(FTE!L:L,FTE!$A:$A,'FTE analysis'!$A30,FTE!$B:$B,'FTE analysis'!$B30)/G$2,0)</f>
        <v>0</v>
      </c>
      <c r="H30" s="430">
        <f>IFERROR(SUMIF('Mngt-Payroll'!$AZ:$AZ,'FTE analysis'!$A30,'Mngt-Payroll'!L:L)/SUMIFS(FTE!M:M,FTE!$A:$A,'FTE analysis'!$A30,FTE!$B:$B,'FTE analysis'!$B30)/H$2,0)</f>
        <v>0</v>
      </c>
      <c r="I30" s="430">
        <f>IFERROR(SUMIF('Mngt-Payroll'!$AZ:$AZ,'FTE analysis'!$A30,'Mngt-Payroll'!M:M)/SUMIFS(FTE!N:N,FTE!$A:$A,'FTE analysis'!$A30,FTE!$B:$B,'FTE analysis'!$B30)/I$2,0)</f>
        <v>0</v>
      </c>
      <c r="J30" s="430">
        <f>IFERROR(SUMIF('Mngt-Payroll'!$AZ:$AZ,'FTE analysis'!$A30,'Mngt-Payroll'!N:N)/SUMIFS(FTE!O:O,FTE!$A:$A,'FTE analysis'!$A30,FTE!$B:$B,'FTE analysis'!$B30)/J$2,0)</f>
        <v>0</v>
      </c>
      <c r="K30" s="430">
        <f>IFERROR(SUMIF('Mngt-Payroll'!$AZ:$AZ,'FTE analysis'!$A30,'Mngt-Payroll'!O:O)/SUMIFS(FTE!P:P,FTE!$A:$A,'FTE analysis'!$A30,FTE!$B:$B,'FTE analysis'!$B30)/K$2,0)</f>
        <v>0</v>
      </c>
      <c r="L30" s="430">
        <f>IFERROR(SUMIF('Mngt-Payroll'!$AZ:$AZ,'FTE analysis'!$A30,'Mngt-Payroll'!P:P)/SUMIFS(FTE!Q:Q,FTE!$A:$A,'FTE analysis'!$A30,FTE!$B:$B,'FTE analysis'!$B30)/L$2,0)</f>
        <v>0</v>
      </c>
      <c r="M30" s="430">
        <f>IFERROR(SUMIF('Mngt-Payroll'!$AZ:$AZ,'FTE analysis'!$A30,'Mngt-Payroll'!Q:Q)/SUMIFS(FTE!R:R,FTE!$A:$A,'FTE analysis'!$A30,FTE!$B:$B,'FTE analysis'!$B30)/M$2,0)</f>
        <v>0</v>
      </c>
      <c r="N30" s="430">
        <f>IFERROR(SUMIF('Mngt-Payroll'!$AZ:$AZ,'FTE analysis'!$A30,'Mngt-Payroll'!R:R)/SUMIFS(FTE!S:S,FTE!$A:$A,'FTE analysis'!$A30,FTE!$B:$B,'FTE analysis'!$B30)/N$2,0)</f>
        <v>0</v>
      </c>
      <c r="O30" s="430">
        <f t="shared" si="1"/>
        <v>348.93076604554869</v>
      </c>
      <c r="P30" s="430">
        <f>IFERROR(SUMIF('Mngt-Payroll'!$AZ:$AZ,'FTE analysis'!$A30,'Mngt-Payroll'!U:U)/SUMIFS(FTE!U:U,FTE!$A:$A,'FTE analysis'!$A30,FTE!$B:$B,'FTE analysis'!$B30)/P$2,0)</f>
        <v>0</v>
      </c>
      <c r="Q30" s="430">
        <f>IFERROR(SUMIF('Mngt-Payroll'!$AZ:$AZ,'FTE analysis'!$A30,'Mngt-Payroll'!V:V)/SUMIFS(FTE!V:V,FTE!$A:$A,'FTE analysis'!$A30,FTE!$B:$B,'FTE analysis'!$B30)/Q$2,0)</f>
        <v>0</v>
      </c>
      <c r="R30" s="430">
        <f>IFERROR(SUMIF('Mngt-Payroll'!$AZ:$AZ,'FTE analysis'!$A30,'Mngt-Payroll'!W:W)/SUMIFS(FTE!W:W,FTE!$A:$A,'FTE analysis'!$A30,FTE!$B:$B,'FTE analysis'!$B30)/R$2,0)</f>
        <v>0</v>
      </c>
      <c r="S30" s="430">
        <f>IFERROR(SUMIF('Mngt-Payroll'!$AZ:$AZ,'FTE analysis'!$A30,'Mngt-Payroll'!X:X)/SUMIFS(FTE!X:X,FTE!$A:$A,'FTE analysis'!$A30,FTE!$B:$B,'FTE analysis'!$B30)/S$2,0)</f>
        <v>0</v>
      </c>
      <c r="T30" s="430">
        <f>IFERROR(SUMIF('Mngt-Payroll'!$AZ:$AZ,'FTE analysis'!$A30,'Mngt-Payroll'!Y:Y)/SUMIFS(FTE!Y:Y,FTE!$A:$A,'FTE analysis'!$A30,FTE!$B:$B,'FTE analysis'!$B30)/T$2,0)</f>
        <v>0</v>
      </c>
      <c r="U30" s="430">
        <f>IFERROR(SUMIF('Mngt-Payroll'!$AZ:$AZ,'FTE analysis'!$A30,'Mngt-Payroll'!Z:Z)/SUMIFS(FTE!Z:Z,FTE!$A:$A,'FTE analysis'!$A30,FTE!$B:$B,'FTE analysis'!$B30)/U$2,0)</f>
        <v>0</v>
      </c>
      <c r="V30" s="430">
        <f>IFERROR(SUMIF('Mngt-Payroll'!$AZ:$AZ,'FTE analysis'!$A30,'Mngt-Payroll'!AA:AA)/SUMIFS(FTE!AA:AA,FTE!$A:$A,'FTE analysis'!$A30,FTE!$B:$B,'FTE analysis'!$B30)/V$2,0)</f>
        <v>0</v>
      </c>
      <c r="W30" s="430">
        <f>IFERROR(SUMIF('Mngt-Payroll'!$AZ:$AZ,'FTE analysis'!$A30,'Mngt-Payroll'!AB:AB)/SUMIFS(FTE!AB:AB,FTE!$A:$A,'FTE analysis'!$A30,FTE!$B:$B,'FTE analysis'!$B30)/W$2,0)</f>
        <v>0</v>
      </c>
      <c r="X30" s="430">
        <f>IFERROR(SUMIF('Mngt-Payroll'!$AZ:$AZ,'FTE analysis'!$A30,'Mngt-Payroll'!AC:AC)/SUMIFS(FTE!AC:AC,FTE!$A:$A,'FTE analysis'!$A30,FTE!$B:$B,'FTE analysis'!$B30)/X$2,0)</f>
        <v>0</v>
      </c>
      <c r="Y30" s="430">
        <f>IFERROR(SUMIF('Mngt-Payroll'!$AZ:$AZ,'FTE analysis'!$A30,'Mngt-Payroll'!AD:AD)/SUMIFS(FTE!AD:AD,FTE!$A:$A,'FTE analysis'!$A30,FTE!$B:$B,'FTE analysis'!$B30)/Y$2,0)</f>
        <v>0</v>
      </c>
      <c r="Z30" s="430">
        <f>IFERROR(SUMIF('Mngt-Payroll'!$AZ:$AZ,'FTE analysis'!$A30,'Mngt-Payroll'!AE:AE)/SUMIFS(FTE!AE:AE,FTE!$A:$A,'FTE analysis'!$A30,FTE!$B:$B,'FTE analysis'!$B30)/Z$2,0)</f>
        <v>0</v>
      </c>
      <c r="AA30" s="430">
        <f>IFERROR(SUMIF('Mngt-Payroll'!$AZ:$AZ,'FTE analysis'!$A30,'Mngt-Payroll'!AF:AF)/SUMIFS(FTE!AF:AF,FTE!$A:$A,'FTE analysis'!$A30,FTE!$B:$B,'FTE analysis'!$B30)/AA$2,0)</f>
        <v>0</v>
      </c>
      <c r="AB30" s="430">
        <f t="shared" si="2"/>
        <v>0</v>
      </c>
      <c r="AC30" s="430">
        <f>IFERROR(SUMIF('Mngt-Payroll'!$AZ:$AZ,'FTE analysis'!$A30,'Mngt-Payroll'!AH:AH)/SUMIFS(FTE!AH:AH,FTE!$A:$A,'FTE analysis'!$A30,FTE!$B:$B,'FTE analysis'!$B30)/AC$2,0)</f>
        <v>517.10326086956525</v>
      </c>
      <c r="AD30" s="430">
        <f>IFERROR(SUMIF('Mngt-Payroll'!$AZ:$AZ,'FTE analysis'!$A30,'Mngt-Payroll'!AI:AI)/SUMIFS(FTE!AI:AI,FTE!$A:$A,'FTE analysis'!$A30,FTE!$B:$B,'FTE analysis'!$B30)/AD$2,0)</f>
        <v>489.06809523809522</v>
      </c>
      <c r="AE30" s="430">
        <f>IFERROR(SUMIF('Mngt-Payroll'!$AZ:$AZ,'FTE analysis'!$A30,'Mngt-Payroll'!AJ:AJ)/SUMIFS(FTE!AJ:AJ,FTE!$A:$A,'FTE analysis'!$A30,FTE!$B:$B,'FTE analysis'!$B30)/AE$2,0)</f>
        <v>467.93727272727278</v>
      </c>
      <c r="AF30" s="430">
        <f>IFERROR(SUMIF('Mngt-Payroll'!$AZ:$AZ,'FTE analysis'!$A30,'Mngt-Payroll'!AK:AK)/SUMIFS(FTE!AK:AK,FTE!$A:$A,'FTE analysis'!$A30,FTE!$B:$B,'FTE analysis'!$B30)/AF$2,0)</f>
        <v>450.97891304347826</v>
      </c>
      <c r="AG30" s="430">
        <f>IFERROR(SUMIF('Mngt-Payroll'!$AZ:$AZ,'FTE analysis'!$A30,'Mngt-Payroll'!AL:AL)/SUMIFS(FTE!AL:AL,FTE!$A:$A,'FTE analysis'!$A30,FTE!$B:$B,'FTE analysis'!$B30)/AG$2,0)</f>
        <v>559.31099999999992</v>
      </c>
      <c r="AH30" s="430">
        <f>IFERROR(SUMIF('Mngt-Payroll'!$AZ:$AZ,'FTE analysis'!$A30,'Mngt-Payroll'!AM:AM)/SUMIFS(FTE!AM:AM,FTE!$A:$A,'FTE analysis'!$A30,FTE!$B:$B,'FTE analysis'!$B30)/AH$2,0)</f>
        <v>436.30499999999995</v>
      </c>
      <c r="AI30" s="430">
        <f>IFERROR(SUMIF('Mngt-Payroll'!$AZ:$AZ,'FTE analysis'!$A30,'Mngt-Payroll'!AN:AN)/SUMIFS(FTE!AN:AN,FTE!$A:$A,'FTE analysis'!$A30,FTE!$B:$B,'FTE analysis'!$B30)/AI$2,0)</f>
        <v>502.22840909090905</v>
      </c>
      <c r="AJ30" s="430">
        <f>IFERROR(SUMIF('Mngt-Payroll'!$AZ:$AZ,'FTE analysis'!$A30,'Mngt-Payroll'!AO:AO)/SUMIFS(FTE!AO:AO,FTE!$A:$A,'FTE analysis'!$A30,FTE!$B:$B,'FTE analysis'!$B30)/AJ$2,0)</f>
        <v>426.12738095238092</v>
      </c>
      <c r="AK30" s="430">
        <f>IFERROR(SUMIF('Mngt-Payroll'!$AZ:$AZ,'FTE analysis'!$A30,'Mngt-Payroll'!AP:AP)/SUMIFS(FTE!AP:AP,FTE!$A:$A,'FTE analysis'!$A30,FTE!$B:$B,'FTE analysis'!$B30)/AK$2,0)</f>
        <v>494.7565909090909</v>
      </c>
      <c r="AL30" s="430">
        <f>IFERROR(SUMIF('Mngt-Payroll'!$AZ:$AZ,'FTE analysis'!$A30,'Mngt-Payroll'!AQ:AQ)/SUMIFS(FTE!AQ:AQ,FTE!$A:$A,'FTE analysis'!$A30,FTE!$B:$B,'FTE analysis'!$B30)/AL$2,0)</f>
        <v>492.64434782608697</v>
      </c>
      <c r="AM30" s="430">
        <f>IFERROR(SUMIF('Mngt-Payroll'!$AZ:$AZ,'FTE analysis'!$A30,'Mngt-Payroll'!AR:AR)/SUMIFS(FTE!AR:AR,FTE!$A:$A,'FTE analysis'!$A30,FTE!$B:$B,'FTE analysis'!$B30)/AM$2,0)</f>
        <v>95.867619047619044</v>
      </c>
      <c r="AN30" s="430">
        <f>IFERROR(SUMIF('Mngt-Payroll'!$AZ:$AZ,'FTE analysis'!$A30,'Mngt-Payroll'!AS:AS)/SUMIFS(FTE!AS:AS,FTE!$A:$A,'FTE analysis'!$A30,FTE!$B:$B,'FTE analysis'!$B30)/AN$2,0)</f>
        <v>2348.1057851239671</v>
      </c>
      <c r="AO30" s="430">
        <f t="shared" si="3"/>
        <v>503.08567805383024</v>
      </c>
      <c r="AP30" s="139">
        <f t="shared" si="4"/>
        <v>-182.03934782608695</v>
      </c>
      <c r="AQ30" s="139">
        <f t="shared" si="4"/>
        <v>-126.27047619047619</v>
      </c>
      <c r="AR30" s="139">
        <f t="shared" si="4"/>
        <v>-39.66045454545457</v>
      </c>
      <c r="AS30" s="139">
        <f t="shared" si="4"/>
        <v>-1.2828260869565611</v>
      </c>
      <c r="AT30" s="139">
        <f t="shared" si="4"/>
        <v>0</v>
      </c>
      <c r="AU30" s="139">
        <f t="shared" si="4"/>
        <v>0</v>
      </c>
      <c r="AV30" s="139">
        <f t="shared" si="4"/>
        <v>0</v>
      </c>
      <c r="AW30" s="139">
        <f t="shared" si="4"/>
        <v>0</v>
      </c>
      <c r="AX30" s="139">
        <f t="shared" si="4"/>
        <v>0</v>
      </c>
      <c r="AY30" s="139">
        <f t="shared" si="4"/>
        <v>0</v>
      </c>
      <c r="AZ30" s="139">
        <f t="shared" si="4"/>
        <v>0</v>
      </c>
      <c r="BA30" s="139">
        <f t="shared" si="4"/>
        <v>0</v>
      </c>
      <c r="BB30" s="439">
        <f t="shared" si="5"/>
        <v>-154.15491200828157</v>
      </c>
      <c r="BC30" s="439"/>
      <c r="BD30" s="439">
        <f t="shared" si="6"/>
        <v>0</v>
      </c>
      <c r="BE30" s="484">
        <f>BB30*$BC$2*SUMIFS(FTE!T:T,FTE!$A:$A,'FTE analysis'!$A30,FTE!$B:$B,'FTE analysis'!$B30)</f>
        <v>0</v>
      </c>
      <c r="BF30" s="484">
        <f>(SUMIFS(FTE!T:T,FTE!$A:$A,'FTE analysis'!$A30,FTE!$B:$B,'FTE analysis'!$B30)-SUMIFS(FTE!AT:AT,FTE!$A:$A,'FTE analysis'!$A30,FTE!$B:$B,'FTE analysis'!$B30))</f>
        <v>-1</v>
      </c>
      <c r="BG30" s="418">
        <f t="shared" si="7"/>
        <v>0</v>
      </c>
    </row>
    <row r="31" spans="1:59" ht="15" x14ac:dyDescent="0.25">
      <c r="A31" s="703" t="s">
        <v>338</v>
      </c>
      <c r="B31" s="707" t="s">
        <v>202</v>
      </c>
      <c r="C31" s="430">
        <f>IFERROR(SUMIF('Mngt-Payroll'!$BA:$BA,'FTE analysis'!$A31,'Mngt-Payroll'!G:G)/SUMIFS(FTE!H:H,FTE!$A:$A,'FTE analysis'!$A31,FTE!$B:$B,'FTE analysis'!$B31)/C$2,0)</f>
        <v>356.01021138460749</v>
      </c>
      <c r="D31" s="430">
        <f>IFERROR(SUMIF('Mngt-Payroll'!$BA:$BA,'FTE analysis'!$A31,'Mngt-Payroll'!H:H)/SUMIFS(FTE!I:I,FTE!$A:$A,'FTE analysis'!$A31,FTE!$B:$B,'FTE analysis'!$B31)/D$2,0)</f>
        <v>376.45739659596319</v>
      </c>
      <c r="E31" s="430">
        <f>IFERROR(SUMIF('Mngt-Payroll'!$BA:$BA,'FTE analysis'!$A31,'Mngt-Payroll'!I:I)/SUMIFS(FTE!J:J,FTE!$A:$A,'FTE analysis'!$A31,FTE!$B:$B,'FTE analysis'!$B31)/E$2,0)</f>
        <v>328.95546816479396</v>
      </c>
      <c r="F31" s="430">
        <f>IFERROR(SUMIF('Mngt-Payroll'!$BA:$BA,'FTE analysis'!$A31,'Mngt-Payroll'!J:J)/SUMIFS(FTE!K:K,FTE!$A:$A,'FTE analysis'!$A31,FTE!$B:$B,'FTE analysis'!$B31)/F$2,0)</f>
        <v>669.31706236769253</v>
      </c>
      <c r="G31" s="430">
        <f>IFERROR(SUMIF('Mngt-Payroll'!$BA:$BA,'FTE analysis'!$A31,'Mngt-Payroll'!K:K)/SUMIFS(FTE!L:L,FTE!$A:$A,'FTE analysis'!$A31,FTE!$B:$B,'FTE analysis'!$B31)/G$2,0)</f>
        <v>0</v>
      </c>
      <c r="H31" s="430">
        <f>IFERROR(SUMIF('Mngt-Payroll'!$BA:$BA,'FTE analysis'!$A31,'Mngt-Payroll'!L:L)/SUMIFS(FTE!M:M,FTE!$A:$A,'FTE analysis'!$A31,FTE!$B:$B,'FTE analysis'!$B31)/H$2,0)</f>
        <v>0</v>
      </c>
      <c r="I31" s="430">
        <f>IFERROR(SUMIF('Mngt-Payroll'!$BA:$BA,'FTE analysis'!$A31,'Mngt-Payroll'!M:M)/SUMIFS(FTE!N:N,FTE!$A:$A,'FTE analysis'!$A31,FTE!$B:$B,'FTE analysis'!$B31)/I$2,0)</f>
        <v>0</v>
      </c>
      <c r="J31" s="430">
        <f>IFERROR(SUMIF('Mngt-Payroll'!$BA:$BA,'FTE analysis'!$A31,'Mngt-Payroll'!N:N)/SUMIFS(FTE!O:O,FTE!$A:$A,'FTE analysis'!$A31,FTE!$B:$B,'FTE analysis'!$B31)/J$2,0)</f>
        <v>0</v>
      </c>
      <c r="K31" s="430">
        <f>IFERROR(SUMIF('Mngt-Payroll'!$BA:$BA,'FTE analysis'!$A31,'Mngt-Payroll'!O:O)/SUMIFS(FTE!P:P,FTE!$A:$A,'FTE analysis'!$A31,FTE!$B:$B,'FTE analysis'!$B31)/K$2,0)</f>
        <v>0</v>
      </c>
      <c r="L31" s="430">
        <f>IFERROR(SUMIF('Mngt-Payroll'!$BA:$BA,'FTE analysis'!$A31,'Mngt-Payroll'!P:P)/SUMIFS(FTE!Q:Q,FTE!$A:$A,'FTE analysis'!$A31,FTE!$B:$B,'FTE analysis'!$B31)/L$2,0)</f>
        <v>0</v>
      </c>
      <c r="M31" s="430">
        <f>IFERROR(SUMIF('Mngt-Payroll'!$BA:$BA,'FTE analysis'!$A31,'Mngt-Payroll'!Q:Q)/SUMIFS(FTE!R:R,FTE!$A:$A,'FTE analysis'!$A31,FTE!$B:$B,'FTE analysis'!$B31)/M$2,0)</f>
        <v>0</v>
      </c>
      <c r="N31" s="430">
        <f>IFERROR(SUMIF('Mngt-Payroll'!$BA:$BA,'FTE analysis'!$A31,'Mngt-Payroll'!R:R)/SUMIFS(FTE!S:S,FTE!$A:$A,'FTE analysis'!$A31,FTE!$B:$B,'FTE analysis'!$B31)/N$2,0)</f>
        <v>0</v>
      </c>
      <c r="O31" s="430">
        <f t="shared" si="1"/>
        <v>366.23380399028531</v>
      </c>
      <c r="P31" s="430">
        <f>IFERROR(SUMIF('Mngt-Payroll'!$BA:$BA,'FTE analysis'!$A31,'Mngt-Payroll'!U:U)/SUMIFS(FTE!U:U,FTE!$A:$A,'FTE analysis'!$A31,FTE!$B:$B,'FTE analysis'!$B31)/P$2,0)</f>
        <v>0</v>
      </c>
      <c r="Q31" s="430">
        <f>IFERROR(SUMIF('Mngt-Payroll'!$BA:$BA,'FTE analysis'!$A31,'Mngt-Payroll'!V:V)/SUMIFS(FTE!V:V,FTE!$A:$A,'FTE analysis'!$A31,FTE!$B:$B,'FTE analysis'!$B31)/Q$2,0)</f>
        <v>0</v>
      </c>
      <c r="R31" s="430">
        <f>IFERROR(SUMIF('Mngt-Payroll'!$BA:$BA,'FTE analysis'!$A31,'Mngt-Payroll'!W:W)/SUMIFS(FTE!W:W,FTE!$A:$A,'FTE analysis'!$A31,FTE!$B:$B,'FTE analysis'!$B31)/R$2,0)</f>
        <v>0</v>
      </c>
      <c r="S31" s="430">
        <f>IFERROR(SUMIF('Mngt-Payroll'!$BA:$BA,'FTE analysis'!$A31,'Mngt-Payroll'!X:X)/SUMIFS(FTE!X:X,FTE!$A:$A,'FTE analysis'!$A31,FTE!$B:$B,'FTE analysis'!$B31)/S$2,0)</f>
        <v>0</v>
      </c>
      <c r="T31" s="430">
        <f>IFERROR(SUMIF('Mngt-Payroll'!$BA:$BA,'FTE analysis'!$A31,'Mngt-Payroll'!Y:Y)/SUMIFS(FTE!Y:Y,FTE!$A:$A,'FTE analysis'!$A31,FTE!$B:$B,'FTE analysis'!$B31)/T$2,0)</f>
        <v>0</v>
      </c>
      <c r="U31" s="430">
        <f>IFERROR(SUMIF('Mngt-Payroll'!$BA:$BA,'FTE analysis'!$A31,'Mngt-Payroll'!Z:Z)/SUMIFS(FTE!Z:Z,FTE!$A:$A,'FTE analysis'!$A31,FTE!$B:$B,'FTE analysis'!$B31)/U$2,0)</f>
        <v>0</v>
      </c>
      <c r="V31" s="430">
        <f>IFERROR(SUMIF('Mngt-Payroll'!$BA:$BA,'FTE analysis'!$A31,'Mngt-Payroll'!AA:AA)/SUMIFS(FTE!AA:AA,FTE!$A:$A,'FTE analysis'!$A31,FTE!$B:$B,'FTE analysis'!$B31)/V$2,0)</f>
        <v>0</v>
      </c>
      <c r="W31" s="430">
        <f>IFERROR(SUMIF('Mngt-Payroll'!$BA:$BA,'FTE analysis'!$A31,'Mngt-Payroll'!AB:AB)/SUMIFS(FTE!AB:AB,FTE!$A:$A,'FTE analysis'!$A31,FTE!$B:$B,'FTE analysis'!$B31)/W$2,0)</f>
        <v>0</v>
      </c>
      <c r="X31" s="430">
        <f>IFERROR(SUMIF('Mngt-Payroll'!$BA:$BA,'FTE analysis'!$A31,'Mngt-Payroll'!AC:AC)/SUMIFS(FTE!AC:AC,FTE!$A:$A,'FTE analysis'!$A31,FTE!$B:$B,'FTE analysis'!$B31)/X$2,0)</f>
        <v>0</v>
      </c>
      <c r="Y31" s="430">
        <f>IFERROR(SUMIF('Mngt-Payroll'!$BA:$BA,'FTE analysis'!$A31,'Mngt-Payroll'!AD:AD)/SUMIFS(FTE!AD:AD,FTE!$A:$A,'FTE analysis'!$A31,FTE!$B:$B,'FTE analysis'!$B31)/Y$2,0)</f>
        <v>0</v>
      </c>
      <c r="Z31" s="430">
        <f>IFERROR(SUMIF('Mngt-Payroll'!$BA:$BA,'FTE analysis'!$A31,'Mngt-Payroll'!AE:AE)/SUMIFS(FTE!AE:AE,FTE!$A:$A,'FTE analysis'!$A31,FTE!$B:$B,'FTE analysis'!$B31)/Z$2,0)</f>
        <v>0</v>
      </c>
      <c r="AA31" s="430">
        <f>IFERROR(SUMIF('Mngt-Payroll'!$BA:$BA,'FTE analysis'!$A31,'Mngt-Payroll'!AF:AF)/SUMIFS(FTE!AF:AF,FTE!$A:$A,'FTE analysis'!$A31,FTE!$B:$B,'FTE analysis'!$B31)/AA$2,0)</f>
        <v>0</v>
      </c>
      <c r="AB31" s="430">
        <f t="shared" si="2"/>
        <v>0</v>
      </c>
      <c r="AC31" s="430">
        <f>IFERROR(SUMIF('Mngt-Payroll'!$BA:$BA,'FTE analysis'!$A31,'Mngt-Payroll'!AH:AH)/SUMIFS(FTE!AH:AH,FTE!$A:$A,'FTE analysis'!$A31,FTE!$B:$B,'FTE analysis'!$B31)/AC$2,0)</f>
        <v>409.84555106167846</v>
      </c>
      <c r="AD31" s="430">
        <f>IFERROR(SUMIF('Mngt-Payroll'!$BA:$BA,'FTE analysis'!$A31,'Mngt-Payroll'!AI:AI)/SUMIFS(FTE!AI:AI,FTE!$A:$A,'FTE analysis'!$A31,FTE!$B:$B,'FTE analysis'!$B31)/AD$2,0)</f>
        <v>402.08632336655597</v>
      </c>
      <c r="AE31" s="430">
        <f>IFERROR(SUMIF('Mngt-Payroll'!$BA:$BA,'FTE analysis'!$A31,'Mngt-Payroll'!AJ:AJ)/SUMIFS(FTE!AJ:AJ,FTE!$A:$A,'FTE analysis'!$A31,FTE!$B:$B,'FTE analysis'!$B31)/AE$2,0)</f>
        <v>441.36479915433409</v>
      </c>
      <c r="AF31" s="430">
        <f>IFERROR(SUMIF('Mngt-Payroll'!$BA:$BA,'FTE analysis'!$A31,'Mngt-Payroll'!AK:AK)/SUMIFS(FTE!AK:AK,FTE!$A:$A,'FTE analysis'!$A31,FTE!$B:$B,'FTE analysis'!$B31)/AF$2,0)</f>
        <v>511.486400404449</v>
      </c>
      <c r="AG31" s="430">
        <f>IFERROR(SUMIF('Mngt-Payroll'!$BA:$BA,'FTE analysis'!$A31,'Mngt-Payroll'!AL:AL)/SUMIFS(FTE!AL:AL,FTE!$A:$A,'FTE analysis'!$A31,FTE!$B:$B,'FTE analysis'!$B31)/AG$2,0)</f>
        <v>505.56243119266065</v>
      </c>
      <c r="AH31" s="430">
        <f>IFERROR(SUMIF('Mngt-Payroll'!$BA:$BA,'FTE analysis'!$A31,'Mngt-Payroll'!AM:AM)/SUMIFS(FTE!AM:AM,FTE!$A:$A,'FTE analysis'!$A31,FTE!$B:$B,'FTE analysis'!$B31)/AH$2,0)</f>
        <v>392.47570247933885</v>
      </c>
      <c r="AI31" s="430">
        <f>IFERROR(SUMIF('Mngt-Payroll'!$BA:$BA,'FTE analysis'!$A31,'Mngt-Payroll'!AN:AN)/SUMIFS(FTE!AN:AN,FTE!$A:$A,'FTE analysis'!$A31,FTE!$B:$B,'FTE analysis'!$B31)/AI$2,0)</f>
        <v>478.94153382162858</v>
      </c>
      <c r="AJ31" s="430">
        <f>IFERROR(SUMIF('Mngt-Payroll'!$BA:$BA,'FTE analysis'!$A31,'Mngt-Payroll'!AO:AO)/SUMIFS(FTE!AO:AO,FTE!$A:$A,'FTE analysis'!$A31,FTE!$B:$B,'FTE analysis'!$B31)/AJ$2,0)</f>
        <v>422.50532655750038</v>
      </c>
      <c r="AK31" s="430">
        <f>IFERROR(SUMIF('Mngt-Payroll'!$BA:$BA,'FTE analysis'!$A31,'Mngt-Payroll'!AP:AP)/SUMIFS(FTE!AP:AP,FTE!$A:$A,'FTE analysis'!$A31,FTE!$B:$B,'FTE analysis'!$B31)/AK$2,0)</f>
        <v>367.423144319058</v>
      </c>
      <c r="AL31" s="430">
        <f>IFERROR(SUMIF('Mngt-Payroll'!$BA:$BA,'FTE analysis'!$A31,'Mngt-Payroll'!AQ:AQ)/SUMIFS(FTE!AQ:AQ,FTE!$A:$A,'FTE analysis'!$A31,FTE!$B:$B,'FTE analysis'!$B31)/AL$2,0)</f>
        <v>499.3528260869565</v>
      </c>
      <c r="AM31" s="430">
        <f>IFERROR(SUMIF('Mngt-Payroll'!$BA:$BA,'FTE analysis'!$A31,'Mngt-Payroll'!AR:AR)/SUMIFS(FTE!AR:AR,FTE!$A:$A,'FTE analysis'!$A31,FTE!$B:$B,'FTE analysis'!$B31)/AM$2,0)</f>
        <v>458.81914333572632</v>
      </c>
      <c r="AN31" s="430">
        <f>IFERROR(SUMIF('Mngt-Payroll'!$BA:$BA,'FTE analysis'!$A31,'Mngt-Payroll'!AS:AS)/SUMIFS(FTE!AS:AS,FTE!$A:$A,'FTE analysis'!$A31,FTE!$B:$B,'FTE analysis'!$B31)/AN$2,0)</f>
        <v>1575.9451991828398</v>
      </c>
      <c r="AO31" s="430">
        <f t="shared" si="3"/>
        <v>405.96593721411722</v>
      </c>
      <c r="AP31" s="139">
        <f t="shared" si="4"/>
        <v>-53.835339677070976</v>
      </c>
      <c r="AQ31" s="139">
        <f t="shared" si="4"/>
        <v>-25.628926770592784</v>
      </c>
      <c r="AR31" s="139">
        <f t="shared" si="4"/>
        <v>-112.40933098954014</v>
      </c>
      <c r="AS31" s="139">
        <f t="shared" si="4"/>
        <v>157.83066196324353</v>
      </c>
      <c r="AT31" s="139">
        <f t="shared" si="4"/>
        <v>0</v>
      </c>
      <c r="AU31" s="139">
        <f t="shared" si="4"/>
        <v>0</v>
      </c>
      <c r="AV31" s="139">
        <f t="shared" si="4"/>
        <v>0</v>
      </c>
      <c r="AW31" s="139">
        <f t="shared" si="4"/>
        <v>0</v>
      </c>
      <c r="AX31" s="139">
        <f t="shared" si="4"/>
        <v>0</v>
      </c>
      <c r="AY31" s="139">
        <f t="shared" si="4"/>
        <v>0</v>
      </c>
      <c r="AZ31" s="139">
        <f t="shared" si="4"/>
        <v>0</v>
      </c>
      <c r="BA31" s="139">
        <f t="shared" si="4"/>
        <v>0</v>
      </c>
      <c r="BB31" s="439">
        <f t="shared" si="5"/>
        <v>-39.73213322383188</v>
      </c>
      <c r="BC31" s="439"/>
      <c r="BD31" s="439">
        <f t="shared" si="6"/>
        <v>0</v>
      </c>
      <c r="BE31" s="484">
        <f>BB31*$BC$2*SUMIFS(FTE!T:T,FTE!$A:$A,'FTE analysis'!$A31,FTE!$B:$B,'FTE analysis'!$B31)</f>
        <v>0</v>
      </c>
      <c r="BF31" s="484">
        <f>(SUMIFS(FTE!T:T,FTE!$A:$A,'FTE analysis'!$A31,FTE!$B:$B,'FTE analysis'!$B31)-SUMIFS(FTE!AT:AT,FTE!$A:$A,'FTE analysis'!$A31,FTE!$B:$B,'FTE analysis'!$B31))</f>
        <v>-7.598907127192982</v>
      </c>
      <c r="BG31" s="418">
        <f t="shared" si="7"/>
        <v>0</v>
      </c>
    </row>
    <row r="32" spans="1:59" ht="15" x14ac:dyDescent="0.25">
      <c r="A32" s="703" t="s">
        <v>289</v>
      </c>
      <c r="B32" s="707" t="s">
        <v>202</v>
      </c>
      <c r="C32" s="430">
        <f>IFERROR(SUMIF('Mngt-Payroll'!$AZ:$AZ,'FTE analysis'!$A32,'Mngt-Payroll'!G:G)/SUMIFS(FTE!H:H,FTE!$A:$A,'FTE analysis'!$A32,FTE!$B:$B,'FTE analysis'!$B32)/C$2,0)</f>
        <v>410.91465838509311</v>
      </c>
      <c r="D32" s="430">
        <f>IFERROR(SUMIF('Mngt-Payroll'!$AZ:$AZ,'FTE analysis'!$A32,'Mngt-Payroll'!H:H)/SUMIFS(FTE!I:I,FTE!$A:$A,'FTE analysis'!$A32,FTE!$B:$B,'FTE analysis'!$B32)/D$2,0)</f>
        <v>382.69648711943796</v>
      </c>
      <c r="E32" s="430">
        <f>IFERROR(SUMIF('Mngt-Payroll'!$AZ:$AZ,'FTE analysis'!$A32,'Mngt-Payroll'!I:I)/SUMIFS(FTE!J:J,FTE!$A:$A,'FTE analysis'!$A32,FTE!$B:$B,'FTE analysis'!$B32)/E$2,0)</f>
        <v>325.06310606060606</v>
      </c>
      <c r="F32" s="430">
        <f>IFERROR(SUMIF('Mngt-Payroll'!$AZ:$AZ,'FTE analysis'!$A32,'Mngt-Payroll'!J:J)/SUMIFS(FTE!K:K,FTE!$A:$A,'FTE analysis'!$A32,FTE!$B:$B,'FTE analysis'!$B32)/F$2,0)</f>
        <v>406.24833333333333</v>
      </c>
      <c r="G32" s="430">
        <f>IFERROR(SUMIF('Mngt-Payroll'!$AZ:$AZ,'FTE analysis'!$A32,'Mngt-Payroll'!K:K)/SUMIFS(FTE!L:L,FTE!$A:$A,'FTE analysis'!$A32,FTE!$B:$B,'FTE analysis'!$B32)/G$2,0)</f>
        <v>0</v>
      </c>
      <c r="H32" s="430">
        <f>IFERROR(SUMIF('Mngt-Payroll'!$AZ:$AZ,'FTE analysis'!$A32,'Mngt-Payroll'!L:L)/SUMIFS(FTE!M:M,FTE!$A:$A,'FTE analysis'!$A32,FTE!$B:$B,'FTE analysis'!$B32)/H$2,0)</f>
        <v>0</v>
      </c>
      <c r="I32" s="430">
        <f>IFERROR(SUMIF('Mngt-Payroll'!$AZ:$AZ,'FTE analysis'!$A32,'Mngt-Payroll'!M:M)/SUMIFS(FTE!N:N,FTE!$A:$A,'FTE analysis'!$A32,FTE!$B:$B,'FTE analysis'!$B32)/I$2,0)</f>
        <v>0</v>
      </c>
      <c r="J32" s="430">
        <f>IFERROR(SUMIF('Mngt-Payroll'!$AZ:$AZ,'FTE analysis'!$A32,'Mngt-Payroll'!N:N)/SUMIFS(FTE!O:O,FTE!$A:$A,'FTE analysis'!$A32,FTE!$B:$B,'FTE analysis'!$B32)/J$2,0)</f>
        <v>0</v>
      </c>
      <c r="K32" s="430">
        <f>IFERROR(SUMIF('Mngt-Payroll'!$AZ:$AZ,'FTE analysis'!$A32,'Mngt-Payroll'!O:O)/SUMIFS(FTE!P:P,FTE!$A:$A,'FTE analysis'!$A32,FTE!$B:$B,'FTE analysis'!$B32)/K$2,0)</f>
        <v>0</v>
      </c>
      <c r="L32" s="430">
        <f>IFERROR(SUMIF('Mngt-Payroll'!$AZ:$AZ,'FTE analysis'!$A32,'Mngt-Payroll'!P:P)/SUMIFS(FTE!Q:Q,FTE!$A:$A,'FTE analysis'!$A32,FTE!$B:$B,'FTE analysis'!$B32)/L$2,0)</f>
        <v>0</v>
      </c>
      <c r="M32" s="430">
        <f>IFERROR(SUMIF('Mngt-Payroll'!$AZ:$AZ,'FTE analysis'!$A32,'Mngt-Payroll'!Q:Q)/SUMIFS(FTE!R:R,FTE!$A:$A,'FTE analysis'!$A32,FTE!$B:$B,'FTE analysis'!$B32)/M$2,0)</f>
        <v>0</v>
      </c>
      <c r="N32" s="430">
        <f>IFERROR(SUMIF('Mngt-Payroll'!$AZ:$AZ,'FTE analysis'!$A32,'Mngt-Payroll'!R:R)/SUMIFS(FTE!S:S,FTE!$A:$A,'FTE analysis'!$A32,FTE!$B:$B,'FTE analysis'!$B32)/N$2,0)</f>
        <v>0</v>
      </c>
      <c r="O32" s="430">
        <f t="shared" si="1"/>
        <v>396.80557275226556</v>
      </c>
      <c r="P32" s="430">
        <f>IFERROR(SUMIF('Mngt-Payroll'!$AZ:$AZ,'FTE analysis'!$A32,'Mngt-Payroll'!U:U)/SUMIFS(FTE!U:U,FTE!$A:$A,'FTE analysis'!$A32,FTE!$B:$B,'FTE analysis'!$B32)/P$2,0)</f>
        <v>0</v>
      </c>
      <c r="Q32" s="430">
        <f>IFERROR(SUMIF('Mngt-Payroll'!$AZ:$AZ,'FTE analysis'!$A32,'Mngt-Payroll'!V:V)/SUMIFS(FTE!V:V,FTE!$A:$A,'FTE analysis'!$A32,FTE!$B:$B,'FTE analysis'!$B32)/Q$2,0)</f>
        <v>0</v>
      </c>
      <c r="R32" s="430">
        <f>IFERROR(SUMIF('Mngt-Payroll'!$AZ:$AZ,'FTE analysis'!$A32,'Mngt-Payroll'!W:W)/SUMIFS(FTE!W:W,FTE!$A:$A,'FTE analysis'!$A32,FTE!$B:$B,'FTE analysis'!$B32)/R$2,0)</f>
        <v>0</v>
      </c>
      <c r="S32" s="430">
        <f>IFERROR(SUMIF('Mngt-Payroll'!$AZ:$AZ,'FTE analysis'!$A32,'Mngt-Payroll'!X:X)/SUMIFS(FTE!X:X,FTE!$A:$A,'FTE analysis'!$A32,FTE!$B:$B,'FTE analysis'!$B32)/S$2,0)</f>
        <v>0</v>
      </c>
      <c r="T32" s="430">
        <f>IFERROR(SUMIF('Mngt-Payroll'!$AZ:$AZ,'FTE analysis'!$A32,'Mngt-Payroll'!Y:Y)/SUMIFS(FTE!Y:Y,FTE!$A:$A,'FTE analysis'!$A32,FTE!$B:$B,'FTE analysis'!$B32)/T$2,0)</f>
        <v>0</v>
      </c>
      <c r="U32" s="430">
        <f>IFERROR(SUMIF('Mngt-Payroll'!$AZ:$AZ,'FTE analysis'!$A32,'Mngt-Payroll'!Z:Z)/SUMIFS(FTE!Z:Z,FTE!$A:$A,'FTE analysis'!$A32,FTE!$B:$B,'FTE analysis'!$B32)/U$2,0)</f>
        <v>0</v>
      </c>
      <c r="V32" s="430">
        <f>IFERROR(SUMIF('Mngt-Payroll'!$AZ:$AZ,'FTE analysis'!$A32,'Mngt-Payroll'!AA:AA)/SUMIFS(FTE!AA:AA,FTE!$A:$A,'FTE analysis'!$A32,FTE!$B:$B,'FTE analysis'!$B32)/V$2,0)</f>
        <v>0</v>
      </c>
      <c r="W32" s="430">
        <f>IFERROR(SUMIF('Mngt-Payroll'!$AZ:$AZ,'FTE analysis'!$A32,'Mngt-Payroll'!AB:AB)/SUMIFS(FTE!AB:AB,FTE!$A:$A,'FTE analysis'!$A32,FTE!$B:$B,'FTE analysis'!$B32)/W$2,0)</f>
        <v>0</v>
      </c>
      <c r="X32" s="430">
        <f>IFERROR(SUMIF('Mngt-Payroll'!$AZ:$AZ,'FTE analysis'!$A32,'Mngt-Payroll'!AC:AC)/SUMIFS(FTE!AC:AC,FTE!$A:$A,'FTE analysis'!$A32,FTE!$B:$B,'FTE analysis'!$B32)/X$2,0)</f>
        <v>0</v>
      </c>
      <c r="Y32" s="430">
        <f>IFERROR(SUMIF('Mngt-Payroll'!$AZ:$AZ,'FTE analysis'!$A32,'Mngt-Payroll'!AD:AD)/SUMIFS(FTE!AD:AD,FTE!$A:$A,'FTE analysis'!$A32,FTE!$B:$B,'FTE analysis'!$B32)/Y$2,0)</f>
        <v>0</v>
      </c>
      <c r="Z32" s="430">
        <f>IFERROR(SUMIF('Mngt-Payroll'!$AZ:$AZ,'FTE analysis'!$A32,'Mngt-Payroll'!AE:AE)/SUMIFS(FTE!AE:AE,FTE!$A:$A,'FTE analysis'!$A32,FTE!$B:$B,'FTE analysis'!$B32)/Z$2,0)</f>
        <v>0</v>
      </c>
      <c r="AA32" s="430">
        <f>IFERROR(SUMIF('Mngt-Payroll'!$AZ:$AZ,'FTE analysis'!$A32,'Mngt-Payroll'!AF:AF)/SUMIFS(FTE!AF:AF,FTE!$A:$A,'FTE analysis'!$A32,FTE!$B:$B,'FTE analysis'!$B32)/AA$2,0)</f>
        <v>0</v>
      </c>
      <c r="AB32" s="430">
        <f t="shared" si="2"/>
        <v>0</v>
      </c>
      <c r="AC32" s="430">
        <f>IFERROR(SUMIF('Mngt-Payroll'!$AZ:$AZ,'FTE analysis'!$A32,'Mngt-Payroll'!AH:AH)/SUMIFS(FTE!AH:AH,FTE!$A:$A,'FTE analysis'!$A32,FTE!$B:$B,'FTE analysis'!$B32)/AC$2,0)</f>
        <v>388.68976723759334</v>
      </c>
      <c r="AD32" s="430">
        <f>IFERROR(SUMIF('Mngt-Payroll'!$AZ:$AZ,'FTE analysis'!$A32,'Mngt-Payroll'!AI:AI)/SUMIFS(FTE!AI:AI,FTE!$A:$A,'FTE analysis'!$A32,FTE!$B:$B,'FTE analysis'!$B32)/AD$2,0)</f>
        <v>430.04104761904756</v>
      </c>
      <c r="AE32" s="430">
        <f>IFERROR(SUMIF('Mngt-Payroll'!$AZ:$AZ,'FTE analysis'!$A32,'Mngt-Payroll'!AJ:AJ)/SUMIFS(FTE!AJ:AJ,FTE!$A:$A,'FTE analysis'!$A32,FTE!$B:$B,'FTE analysis'!$B32)/AE$2,0)</f>
        <v>343.14286987522286</v>
      </c>
      <c r="AF32" s="430">
        <f>IFERROR(SUMIF('Mngt-Payroll'!$AZ:$AZ,'FTE analysis'!$A32,'Mngt-Payroll'!AK:AK)/SUMIFS(FTE!AK:AK,FTE!$A:$A,'FTE analysis'!$A32,FTE!$B:$B,'FTE analysis'!$B32)/AF$2,0)</f>
        <v>447.54913043478257</v>
      </c>
      <c r="AG32" s="430">
        <f>IFERROR(SUMIF('Mngt-Payroll'!$AZ:$AZ,'FTE analysis'!$A32,'Mngt-Payroll'!AL:AL)/SUMIFS(FTE!AL:AL,FTE!$A:$A,'FTE analysis'!$A32,FTE!$B:$B,'FTE analysis'!$B32)/AG$2,0)</f>
        <v>697.10249999999996</v>
      </c>
      <c r="AH32" s="430">
        <f>IFERROR(SUMIF('Mngt-Payroll'!$AZ:$AZ,'FTE analysis'!$A32,'Mngt-Payroll'!AM:AM)/SUMIFS(FTE!AM:AM,FTE!$A:$A,'FTE analysis'!$A32,FTE!$B:$B,'FTE analysis'!$B32)/AH$2,0)</f>
        <v>448.22655464598591</v>
      </c>
      <c r="AI32" s="430">
        <f>IFERROR(SUMIF('Mngt-Payroll'!$AZ:$AZ,'FTE analysis'!$A32,'Mngt-Payroll'!AN:AN)/SUMIFS(FTE!AN:AN,FTE!$A:$A,'FTE analysis'!$A32,FTE!$B:$B,'FTE analysis'!$B32)/AI$2,0)</f>
        <v>397.73110389610389</v>
      </c>
      <c r="AJ32" s="430">
        <f>IFERROR(SUMIF('Mngt-Payroll'!$AZ:$AZ,'FTE analysis'!$A32,'Mngt-Payroll'!AO:AO)/SUMIFS(FTE!AO:AO,FTE!$A:$A,'FTE analysis'!$A32,FTE!$B:$B,'FTE analysis'!$B32)/AJ$2,0)</f>
        <v>401.24387755102043</v>
      </c>
      <c r="AK32" s="430">
        <f>IFERROR(SUMIF('Mngt-Payroll'!$AZ:$AZ,'FTE analysis'!$A32,'Mngt-Payroll'!AP:AP)/SUMIFS(FTE!AP:AP,FTE!$A:$A,'FTE analysis'!$A32,FTE!$B:$B,'FTE analysis'!$B32)/AK$2,0)</f>
        <v>387.31409090909091</v>
      </c>
      <c r="AL32" s="430">
        <f>IFERROR(SUMIF('Mngt-Payroll'!$AZ:$AZ,'FTE analysis'!$A32,'Mngt-Payroll'!AQ:AQ)/SUMIFS(FTE!AQ:AQ,FTE!$A:$A,'FTE analysis'!$A32,FTE!$B:$B,'FTE analysis'!$B32)/AL$2,0)</f>
        <v>407.34006211180127</v>
      </c>
      <c r="AM32" s="430">
        <f>IFERROR(SUMIF('Mngt-Payroll'!$AZ:$AZ,'FTE analysis'!$A32,'Mngt-Payroll'!AR:AR)/SUMIFS(FTE!AR:AR,FTE!$A:$A,'FTE analysis'!$A32,FTE!$B:$B,'FTE analysis'!$B32)/AM$2,0)</f>
        <v>412.92646258503402</v>
      </c>
      <c r="AN32" s="430">
        <f>IFERROR(SUMIF('Mngt-Payroll'!$AZ:$AZ,'FTE analysis'!$A32,'Mngt-Payroll'!AS:AS)/SUMIFS(FTE!AS:AS,FTE!$A:$A,'FTE analysis'!$A32,FTE!$B:$B,'FTE analysis'!$B32)/AN$2,0)</f>
        <v>1103.3373376623376</v>
      </c>
      <c r="AO32" s="430">
        <f t="shared" si="3"/>
        <v>409.36540742832045</v>
      </c>
      <c r="AP32" s="139">
        <f t="shared" si="4"/>
        <v>22.224891147499761</v>
      </c>
      <c r="AQ32" s="139">
        <f t="shared" si="4"/>
        <v>-47.344560499609599</v>
      </c>
      <c r="AR32" s="139">
        <f t="shared" si="4"/>
        <v>-18.079763814616797</v>
      </c>
      <c r="AS32" s="139">
        <f t="shared" si="4"/>
        <v>-41.300797101449234</v>
      </c>
      <c r="AT32" s="139">
        <f t="shared" si="4"/>
        <v>0</v>
      </c>
      <c r="AU32" s="139">
        <f t="shared" si="4"/>
        <v>0</v>
      </c>
      <c r="AV32" s="139">
        <f t="shared" si="4"/>
        <v>0</v>
      </c>
      <c r="AW32" s="139">
        <f t="shared" si="4"/>
        <v>0</v>
      </c>
      <c r="AX32" s="139">
        <f t="shared" si="4"/>
        <v>0</v>
      </c>
      <c r="AY32" s="139">
        <f t="shared" si="4"/>
        <v>0</v>
      </c>
      <c r="AZ32" s="139">
        <f t="shared" si="4"/>
        <v>0</v>
      </c>
      <c r="BA32" s="139">
        <f t="shared" si="4"/>
        <v>0</v>
      </c>
      <c r="BB32" s="439">
        <f t="shared" si="5"/>
        <v>-12.559834676054919</v>
      </c>
      <c r="BC32" s="439"/>
      <c r="BD32" s="439">
        <f t="shared" si="6"/>
        <v>0</v>
      </c>
      <c r="BE32" s="484">
        <f>BB32*$BC$2*SUMIFS(FTE!T:T,FTE!$A:$A,'FTE analysis'!$A32,FTE!$B:$B,'FTE analysis'!$B32)</f>
        <v>0</v>
      </c>
      <c r="BF32" s="484">
        <f>(SUMIFS(FTE!T:T,FTE!$A:$A,'FTE analysis'!$A32,FTE!$B:$B,'FTE analysis'!$B32)-SUMIFS(FTE!AT:AT,FTE!$A:$A,'FTE analysis'!$A32,FTE!$B:$B,'FTE analysis'!$B32))</f>
        <v>1.2583333333333337</v>
      </c>
      <c r="BG32" s="418">
        <f t="shared" si="7"/>
        <v>0</v>
      </c>
    </row>
    <row r="33" spans="1:59" ht="15" x14ac:dyDescent="0.25">
      <c r="A33" s="703" t="s">
        <v>290</v>
      </c>
      <c r="B33" s="707" t="s">
        <v>202</v>
      </c>
      <c r="C33" s="430">
        <f>IFERROR(SUMIF('Mngt-Payroll'!$AZ:$AZ,'FTE analysis'!$A33,'Mngt-Payroll'!G:G)/SUMIFS(FTE!H:H,FTE!$A:$A,'FTE analysis'!$A33,FTE!$B:$B,'FTE analysis'!$B33)/C$2,0)</f>
        <v>0</v>
      </c>
      <c r="D33" s="430">
        <f>IFERROR(SUMIF('Mngt-Payroll'!$AZ:$AZ,'FTE analysis'!$A33,'Mngt-Payroll'!H:H)/SUMIFS(FTE!I:I,FTE!$A:$A,'FTE analysis'!$A33,FTE!$B:$B,'FTE analysis'!$B33)/D$2,0)</f>
        <v>0</v>
      </c>
      <c r="E33" s="430">
        <f>IFERROR(SUMIF('Mngt-Payroll'!$AZ:$AZ,'FTE analysis'!$A33,'Mngt-Payroll'!I:I)/SUMIFS(FTE!J:J,FTE!$A:$A,'FTE analysis'!$A33,FTE!$B:$B,'FTE analysis'!$B33)/E$2,0)</f>
        <v>0</v>
      </c>
      <c r="F33" s="430">
        <f>IFERROR(SUMIF('Mngt-Payroll'!$AZ:$AZ,'FTE analysis'!$A33,'Mngt-Payroll'!J:J)/SUMIFS(FTE!K:K,FTE!$A:$A,'FTE analysis'!$A33,FTE!$B:$B,'FTE analysis'!$B33)/F$2,0)</f>
        <v>0</v>
      </c>
      <c r="G33" s="430">
        <f>IFERROR(SUMIF('Mngt-Payroll'!$AZ:$AZ,'FTE analysis'!$A33,'Mngt-Payroll'!K:K)/SUMIFS(FTE!L:L,FTE!$A:$A,'FTE analysis'!$A33,FTE!$B:$B,'FTE analysis'!$B33)/G$2,0)</f>
        <v>0</v>
      </c>
      <c r="H33" s="430">
        <f>IFERROR(SUMIF('Mngt-Payroll'!$AZ:$AZ,'FTE analysis'!$A33,'Mngt-Payroll'!L:L)/SUMIFS(FTE!M:M,FTE!$A:$A,'FTE analysis'!$A33,FTE!$B:$B,'FTE analysis'!$B33)/H$2,0)</f>
        <v>0</v>
      </c>
      <c r="I33" s="430">
        <f>IFERROR(SUMIF('Mngt-Payroll'!$AZ:$AZ,'FTE analysis'!$A33,'Mngt-Payroll'!M:M)/SUMIFS(FTE!N:N,FTE!$A:$A,'FTE analysis'!$A33,FTE!$B:$B,'FTE analysis'!$B33)/I$2,0)</f>
        <v>0</v>
      </c>
      <c r="J33" s="430">
        <f>IFERROR(SUMIF('Mngt-Payroll'!$AZ:$AZ,'FTE analysis'!$A33,'Mngt-Payroll'!N:N)/SUMIFS(FTE!O:O,FTE!$A:$A,'FTE analysis'!$A33,FTE!$B:$B,'FTE analysis'!$B33)/J$2,0)</f>
        <v>0</v>
      </c>
      <c r="K33" s="430">
        <f>IFERROR(SUMIF('Mngt-Payroll'!$AZ:$AZ,'FTE analysis'!$A33,'Mngt-Payroll'!O:O)/SUMIFS(FTE!P:P,FTE!$A:$A,'FTE analysis'!$A33,FTE!$B:$B,'FTE analysis'!$B33)/K$2,0)</f>
        <v>0</v>
      </c>
      <c r="L33" s="430">
        <f>IFERROR(SUMIF('Mngt-Payroll'!$AZ:$AZ,'FTE analysis'!$A33,'Mngt-Payroll'!P:P)/SUMIFS(FTE!Q:Q,FTE!$A:$A,'FTE analysis'!$A33,FTE!$B:$B,'FTE analysis'!$B33)/L$2,0)</f>
        <v>0</v>
      </c>
      <c r="M33" s="430">
        <f>IFERROR(SUMIF('Mngt-Payroll'!$AZ:$AZ,'FTE analysis'!$A33,'Mngt-Payroll'!Q:Q)/SUMIFS(FTE!R:R,FTE!$A:$A,'FTE analysis'!$A33,FTE!$B:$B,'FTE analysis'!$B33)/M$2,0)</f>
        <v>0</v>
      </c>
      <c r="N33" s="430">
        <f>IFERROR(SUMIF('Mngt-Payroll'!$AZ:$AZ,'FTE analysis'!$A33,'Mngt-Payroll'!R:R)/SUMIFS(FTE!S:S,FTE!$A:$A,'FTE analysis'!$A33,FTE!$B:$B,'FTE analysis'!$B33)/N$2,0)</f>
        <v>0</v>
      </c>
      <c r="O33" s="430">
        <f t="shared" si="1"/>
        <v>0</v>
      </c>
      <c r="P33" s="430">
        <f>IFERROR(SUMIF('Mngt-Payroll'!$AZ:$AZ,'FTE analysis'!$A33,'Mngt-Payroll'!U:U)/SUMIFS(FTE!U:U,FTE!$A:$A,'FTE analysis'!$A33,FTE!$B:$B,'FTE analysis'!$B33)/P$2,0)</f>
        <v>0</v>
      </c>
      <c r="Q33" s="430">
        <f>IFERROR(SUMIF('Mngt-Payroll'!$AZ:$AZ,'FTE analysis'!$A33,'Mngt-Payroll'!V:V)/SUMIFS(FTE!V:V,FTE!$A:$A,'FTE analysis'!$A33,FTE!$B:$B,'FTE analysis'!$B33)/Q$2,0)</f>
        <v>0</v>
      </c>
      <c r="R33" s="430">
        <f>IFERROR(SUMIF('Mngt-Payroll'!$AZ:$AZ,'FTE analysis'!$A33,'Mngt-Payroll'!W:W)/SUMIFS(FTE!W:W,FTE!$A:$A,'FTE analysis'!$A33,FTE!$B:$B,'FTE analysis'!$B33)/R$2,0)</f>
        <v>0</v>
      </c>
      <c r="S33" s="430">
        <f>IFERROR(SUMIF('Mngt-Payroll'!$AZ:$AZ,'FTE analysis'!$A33,'Mngt-Payroll'!X:X)/SUMIFS(FTE!X:X,FTE!$A:$A,'FTE analysis'!$A33,FTE!$B:$B,'FTE analysis'!$B33)/S$2,0)</f>
        <v>0</v>
      </c>
      <c r="T33" s="430">
        <f>IFERROR(SUMIF('Mngt-Payroll'!$AZ:$AZ,'FTE analysis'!$A33,'Mngt-Payroll'!Y:Y)/SUMIFS(FTE!Y:Y,FTE!$A:$A,'FTE analysis'!$A33,FTE!$B:$B,'FTE analysis'!$B33)/T$2,0)</f>
        <v>0</v>
      </c>
      <c r="U33" s="430">
        <f>IFERROR(SUMIF('Mngt-Payroll'!$AZ:$AZ,'FTE analysis'!$A33,'Mngt-Payroll'!Z:Z)/SUMIFS(FTE!Z:Z,FTE!$A:$A,'FTE analysis'!$A33,FTE!$B:$B,'FTE analysis'!$B33)/U$2,0)</f>
        <v>0</v>
      </c>
      <c r="V33" s="430">
        <f>IFERROR(SUMIF('Mngt-Payroll'!$AZ:$AZ,'FTE analysis'!$A33,'Mngt-Payroll'!AA:AA)/SUMIFS(FTE!AA:AA,FTE!$A:$A,'FTE analysis'!$A33,FTE!$B:$B,'FTE analysis'!$B33)/V$2,0)</f>
        <v>0</v>
      </c>
      <c r="W33" s="430">
        <f>IFERROR(SUMIF('Mngt-Payroll'!$AZ:$AZ,'FTE analysis'!$A33,'Mngt-Payroll'!AB:AB)/SUMIFS(FTE!AB:AB,FTE!$A:$A,'FTE analysis'!$A33,FTE!$B:$B,'FTE analysis'!$B33)/W$2,0)</f>
        <v>0</v>
      </c>
      <c r="X33" s="430">
        <f>IFERROR(SUMIF('Mngt-Payroll'!$AZ:$AZ,'FTE analysis'!$A33,'Mngt-Payroll'!AC:AC)/SUMIFS(FTE!AC:AC,FTE!$A:$A,'FTE analysis'!$A33,FTE!$B:$B,'FTE analysis'!$B33)/X$2,0)</f>
        <v>0</v>
      </c>
      <c r="Y33" s="430">
        <f>IFERROR(SUMIF('Mngt-Payroll'!$AZ:$AZ,'FTE analysis'!$A33,'Mngt-Payroll'!AD:AD)/SUMIFS(FTE!AD:AD,FTE!$A:$A,'FTE analysis'!$A33,FTE!$B:$B,'FTE analysis'!$B33)/Y$2,0)</f>
        <v>0</v>
      </c>
      <c r="Z33" s="430">
        <f>IFERROR(SUMIF('Mngt-Payroll'!$AZ:$AZ,'FTE analysis'!$A33,'Mngt-Payroll'!AE:AE)/SUMIFS(FTE!AE:AE,FTE!$A:$A,'FTE analysis'!$A33,FTE!$B:$B,'FTE analysis'!$B33)/Z$2,0)</f>
        <v>0</v>
      </c>
      <c r="AA33" s="430">
        <f>IFERROR(SUMIF('Mngt-Payroll'!$AZ:$AZ,'FTE analysis'!$A33,'Mngt-Payroll'!AF:AF)/SUMIFS(FTE!AF:AF,FTE!$A:$A,'FTE analysis'!$A33,FTE!$B:$B,'FTE analysis'!$B33)/AA$2,0)</f>
        <v>0</v>
      </c>
      <c r="AB33" s="430">
        <f t="shared" si="2"/>
        <v>0</v>
      </c>
      <c r="AC33" s="430">
        <f>IFERROR(SUMIF('Mngt-Payroll'!$AZ:$AZ,'FTE analysis'!$A33,'Mngt-Payroll'!AH:AH)/SUMIFS(FTE!AH:AH,FTE!$A:$A,'FTE analysis'!$A33,FTE!$B:$B,'FTE analysis'!$B33)/AC$2,0)</f>
        <v>2211.36231884058</v>
      </c>
      <c r="AD33" s="430">
        <f>IFERROR(SUMIF('Mngt-Payroll'!$AZ:$AZ,'FTE analysis'!$A33,'Mngt-Payroll'!AI:AI)/SUMIFS(FTE!AI:AI,FTE!$A:$A,'FTE analysis'!$A33,FTE!$B:$B,'FTE analysis'!$B33)/AD$2,0)</f>
        <v>-2960.2539682539682</v>
      </c>
      <c r="AE33" s="430">
        <f>IFERROR(SUMIF('Mngt-Payroll'!$AZ:$AZ,'FTE analysis'!$A33,'Mngt-Payroll'!AJ:AJ)/SUMIFS(FTE!AJ:AJ,FTE!$A:$A,'FTE analysis'!$A33,FTE!$B:$B,'FTE analysis'!$B33)/AE$2,0)</f>
        <v>592.00000000000011</v>
      </c>
      <c r="AF33" s="430">
        <f>IFERROR(SUMIF('Mngt-Payroll'!$AZ:$AZ,'FTE analysis'!$A33,'Mngt-Payroll'!AK:AK)/SUMIFS(FTE!AK:AK,FTE!$A:$A,'FTE analysis'!$A33,FTE!$B:$B,'FTE analysis'!$B33)/AF$2,0)</f>
        <v>1863.9420289855072</v>
      </c>
      <c r="AG33" s="430">
        <f>IFERROR(SUMIF('Mngt-Payroll'!$AZ:$AZ,'FTE analysis'!$A33,'Mngt-Payroll'!AL:AL)/SUMIFS(FTE!AL:AL,FTE!$A:$A,'FTE analysis'!$A33,FTE!$B:$B,'FTE analysis'!$B33)/AG$2,0)</f>
        <v>0</v>
      </c>
      <c r="AH33" s="430">
        <f>IFERROR(SUMIF('Mngt-Payroll'!$AZ:$AZ,'FTE analysis'!$A33,'Mngt-Payroll'!AM:AM)/SUMIFS(FTE!AM:AM,FTE!$A:$A,'FTE analysis'!$A33,FTE!$B:$B,'FTE analysis'!$B33)/AH$2,0)</f>
        <v>937.33333333333326</v>
      </c>
      <c r="AI33" s="430">
        <f>IFERROR(SUMIF('Mngt-Payroll'!$AZ:$AZ,'FTE analysis'!$A33,'Mngt-Payroll'!AN:AN)/SUMIFS(FTE!AN:AN,FTE!$A:$A,'FTE analysis'!$A33,FTE!$B:$B,'FTE analysis'!$B33)/AI$2,0)</f>
        <v>0</v>
      </c>
      <c r="AJ33" s="430">
        <f>IFERROR(SUMIF('Mngt-Payroll'!$AZ:$AZ,'FTE analysis'!$A33,'Mngt-Payroll'!AO:AO)/SUMIFS(FTE!AO:AO,FTE!$A:$A,'FTE analysis'!$A33,FTE!$B:$B,'FTE analysis'!$B33)/AJ$2,0)</f>
        <v>1498.7936507936508</v>
      </c>
      <c r="AK33" s="430">
        <f>IFERROR(SUMIF('Mngt-Payroll'!$AZ:$AZ,'FTE analysis'!$A33,'Mngt-Payroll'!AP:AP)/SUMIFS(FTE!AP:AP,FTE!$A:$A,'FTE analysis'!$A33,FTE!$B:$B,'FTE analysis'!$B33)/AK$2,0)</f>
        <v>0</v>
      </c>
      <c r="AL33" s="430">
        <f>IFERROR(SUMIF('Mngt-Payroll'!$AZ:$AZ,'FTE analysis'!$A33,'Mngt-Payroll'!AQ:AQ)/SUMIFS(FTE!AQ:AQ,FTE!$A:$A,'FTE analysis'!$A33,FTE!$B:$B,'FTE analysis'!$B33)/AL$2,0)</f>
        <v>0</v>
      </c>
      <c r="AM33" s="430">
        <f>IFERROR(SUMIF('Mngt-Payroll'!$AZ:$AZ,'FTE analysis'!$A33,'Mngt-Payroll'!AR:AR)/SUMIFS(FTE!AR:AR,FTE!$A:$A,'FTE analysis'!$A33,FTE!$B:$B,'FTE analysis'!$B33)/AM$2,0)</f>
        <v>0</v>
      </c>
      <c r="AN33" s="430">
        <f>IFERROR(SUMIF('Mngt-Payroll'!$AZ:$AZ,'FTE analysis'!$A33,'Mngt-Payroll'!AS:AS)/SUMIFS(FTE!AS:AS,FTE!$A:$A,'FTE analysis'!$A33,FTE!$B:$B,'FTE analysis'!$B33)/AN$2,0)</f>
        <v>0</v>
      </c>
      <c r="AO33" s="430">
        <f t="shared" si="3"/>
        <v>-374.44582470669411</v>
      </c>
      <c r="AP33" s="139">
        <f t="shared" si="4"/>
        <v>0</v>
      </c>
      <c r="AQ33" s="139">
        <f t="shared" si="4"/>
        <v>0</v>
      </c>
      <c r="AR33" s="139">
        <f t="shared" si="4"/>
        <v>0</v>
      </c>
      <c r="AS33" s="139">
        <f t="shared" si="4"/>
        <v>0</v>
      </c>
      <c r="AT33" s="139">
        <f t="shared" si="4"/>
        <v>0</v>
      </c>
      <c r="AU33" s="139">
        <f t="shared" si="4"/>
        <v>0</v>
      </c>
      <c r="AV33" s="139">
        <f t="shared" si="4"/>
        <v>0</v>
      </c>
      <c r="AW33" s="139">
        <f t="shared" si="4"/>
        <v>0</v>
      </c>
      <c r="AX33" s="139">
        <f t="shared" si="4"/>
        <v>0</v>
      </c>
      <c r="AY33" s="139">
        <f t="shared" si="4"/>
        <v>0</v>
      </c>
      <c r="AZ33" s="139">
        <f t="shared" si="4"/>
        <v>0</v>
      </c>
      <c r="BA33" s="139">
        <f t="shared" si="4"/>
        <v>0</v>
      </c>
      <c r="BB33" s="439">
        <f t="shared" si="5"/>
        <v>0</v>
      </c>
      <c r="BC33" s="439"/>
      <c r="BD33" s="439">
        <f t="shared" si="6"/>
        <v>0</v>
      </c>
      <c r="BE33" s="484">
        <f>BB33*$BC$2*SUMIFS(FTE!T:T,FTE!$A:$A,'FTE analysis'!$A33,FTE!$B:$B,'FTE analysis'!$B33)</f>
        <v>0</v>
      </c>
      <c r="BF33" s="484">
        <f>(SUMIFS(FTE!T:T,FTE!$A:$A,'FTE analysis'!$A33,FTE!$B:$B,'FTE analysis'!$B33)-SUMIFS(FTE!AT:AT,FTE!$A:$A,'FTE analysis'!$A33,FTE!$B:$B,'FTE analysis'!$B33))</f>
        <v>-0.03</v>
      </c>
      <c r="BG33" s="418">
        <f>BF33*AO33*$BC$2</f>
        <v>0</v>
      </c>
    </row>
    <row r="34" spans="1:59" ht="15" x14ac:dyDescent="0.25">
      <c r="A34" s="703" t="s">
        <v>276</v>
      </c>
      <c r="B34" s="707" t="s">
        <v>202</v>
      </c>
      <c r="C34" s="430">
        <f>IFERROR(SUMIF('Mngt-Payroll'!$BA:$BA,'FTE analysis'!$A34,'Mngt-Payroll'!G:G)/SUMIFS(FTE!H:H,FTE!$A:$A,'FTE analysis'!$A34,FTE!$B:$B,'FTE analysis'!$B34)/C$2,0)</f>
        <v>263.44139872549675</v>
      </c>
      <c r="D34" s="430">
        <f>IFERROR(SUMIF('Mngt-Payroll'!$BA:$BA,'FTE analysis'!$A34,'Mngt-Payroll'!H:H)/SUMIFS(FTE!I:I,FTE!$A:$A,'FTE analysis'!$A34,FTE!$B:$B,'FTE analysis'!$B34)/D$2,0)</f>
        <v>288.65989124650537</v>
      </c>
      <c r="E34" s="430">
        <f>IFERROR(SUMIF('Mngt-Payroll'!$BA:$BA,'FTE analysis'!$A34,'Mngt-Payroll'!I:I)/SUMIFS(FTE!J:J,FTE!$A:$A,'FTE analysis'!$A34,FTE!$B:$B,'FTE analysis'!$B34)/E$2,0)</f>
        <v>286.03939444967659</v>
      </c>
      <c r="F34" s="430">
        <f>IFERROR(SUMIF('Mngt-Payroll'!$BA:$BA,'FTE analysis'!$A34,'Mngt-Payroll'!J:J)/SUMIFS(FTE!K:K,FTE!$A:$A,'FTE analysis'!$A34,FTE!$B:$B,'FTE analysis'!$B34)/F$2,0)</f>
        <v>224.43527928660976</v>
      </c>
      <c r="G34" s="430">
        <f>IFERROR(SUMIF('Mngt-Payroll'!$BA:$BA,'FTE analysis'!$A34,'Mngt-Payroll'!K:K)/SUMIFS(FTE!L:L,FTE!$A:$A,'FTE analysis'!$A34,FTE!$B:$B,'FTE analysis'!$B34)/G$2,0)</f>
        <v>0</v>
      </c>
      <c r="H34" s="430">
        <f>IFERROR(SUMIF('Mngt-Payroll'!$BA:$BA,'FTE analysis'!$A34,'Mngt-Payroll'!L:L)/SUMIFS(FTE!M:M,FTE!$A:$A,'FTE analysis'!$A34,FTE!$B:$B,'FTE analysis'!$B34)/H$2,0)</f>
        <v>0</v>
      </c>
      <c r="I34" s="430">
        <f>IFERROR(SUMIF('Mngt-Payroll'!$BA:$BA,'FTE analysis'!$A34,'Mngt-Payroll'!M:M)/SUMIFS(FTE!N:N,FTE!$A:$A,'FTE analysis'!$A34,FTE!$B:$B,'FTE analysis'!$B34)/I$2,0)</f>
        <v>0</v>
      </c>
      <c r="J34" s="430">
        <f>IFERROR(SUMIF('Mngt-Payroll'!$BA:$BA,'FTE analysis'!$A34,'Mngt-Payroll'!N:N)/SUMIFS(FTE!O:O,FTE!$A:$A,'FTE analysis'!$A34,FTE!$B:$B,'FTE analysis'!$B34)/J$2,0)</f>
        <v>0</v>
      </c>
      <c r="K34" s="430">
        <f>IFERROR(SUMIF('Mngt-Payroll'!$BA:$BA,'FTE analysis'!$A34,'Mngt-Payroll'!O:O)/SUMIFS(FTE!P:P,FTE!$A:$A,'FTE analysis'!$A34,FTE!$B:$B,'FTE analysis'!$B34)/K$2,0)</f>
        <v>0</v>
      </c>
      <c r="L34" s="430">
        <f>IFERROR(SUMIF('Mngt-Payroll'!$BA:$BA,'FTE analysis'!$A34,'Mngt-Payroll'!P:P)/SUMIFS(FTE!Q:Q,FTE!$A:$A,'FTE analysis'!$A34,FTE!$B:$B,'FTE analysis'!$B34)/L$2,0)</f>
        <v>0</v>
      </c>
      <c r="M34" s="430">
        <f>IFERROR(SUMIF('Mngt-Payroll'!$BA:$BA,'FTE analysis'!$A34,'Mngt-Payroll'!Q:Q)/SUMIFS(FTE!R:R,FTE!$A:$A,'FTE analysis'!$A34,FTE!$B:$B,'FTE analysis'!$B34)/M$2,0)</f>
        <v>0</v>
      </c>
      <c r="N34" s="430">
        <f>IFERROR(SUMIF('Mngt-Payroll'!$BA:$BA,'FTE analysis'!$A34,'Mngt-Payroll'!R:R)/SUMIFS(FTE!S:S,FTE!$A:$A,'FTE analysis'!$A34,FTE!$B:$B,'FTE analysis'!$B34)/N$2,0)</f>
        <v>0</v>
      </c>
      <c r="O34" s="430">
        <f t="shared" si="1"/>
        <v>276.05064498600109</v>
      </c>
      <c r="P34" s="430">
        <f>IFERROR(SUMIF('Mngt-Payroll'!$BA:$BA,'FTE analysis'!$A34,'Mngt-Payroll'!U:U)/SUMIFS(FTE!U:U,FTE!$A:$A,'FTE analysis'!$A34,FTE!$B:$B,'FTE analysis'!$B34)/P$2,0)</f>
        <v>0</v>
      </c>
      <c r="Q34" s="430">
        <f>IFERROR(SUMIF('Mngt-Payroll'!$BA:$BA,'FTE analysis'!$A34,'Mngt-Payroll'!V:V)/SUMIFS(FTE!V:V,FTE!$A:$A,'FTE analysis'!$A34,FTE!$B:$B,'FTE analysis'!$B34)/Q$2,0)</f>
        <v>0</v>
      </c>
      <c r="R34" s="430">
        <f>IFERROR(SUMIF('Mngt-Payroll'!$BA:$BA,'FTE analysis'!$A34,'Mngt-Payroll'!W:W)/SUMIFS(FTE!W:W,FTE!$A:$A,'FTE analysis'!$A34,FTE!$B:$B,'FTE analysis'!$B34)/R$2,0)</f>
        <v>0</v>
      </c>
      <c r="S34" s="430">
        <f>IFERROR(SUMIF('Mngt-Payroll'!$BA:$BA,'FTE analysis'!$A34,'Mngt-Payroll'!X:X)/SUMIFS(FTE!X:X,FTE!$A:$A,'FTE analysis'!$A34,FTE!$B:$B,'FTE analysis'!$B34)/S$2,0)</f>
        <v>0</v>
      </c>
      <c r="T34" s="430">
        <f>IFERROR(SUMIF('Mngt-Payroll'!$BA:$BA,'FTE analysis'!$A34,'Mngt-Payroll'!Y:Y)/SUMIFS(FTE!Y:Y,FTE!$A:$A,'FTE analysis'!$A34,FTE!$B:$B,'FTE analysis'!$B34)/T$2,0)</f>
        <v>0</v>
      </c>
      <c r="U34" s="430">
        <f>IFERROR(SUMIF('Mngt-Payroll'!$BA:$BA,'FTE analysis'!$A34,'Mngt-Payroll'!Z:Z)/SUMIFS(FTE!Z:Z,FTE!$A:$A,'FTE analysis'!$A34,FTE!$B:$B,'FTE analysis'!$B34)/U$2,0)</f>
        <v>0</v>
      </c>
      <c r="V34" s="430">
        <f>IFERROR(SUMIF('Mngt-Payroll'!$BA:$BA,'FTE analysis'!$A34,'Mngt-Payroll'!AA:AA)/SUMIFS(FTE!AA:AA,FTE!$A:$A,'FTE analysis'!$A34,FTE!$B:$B,'FTE analysis'!$B34)/V$2,0)</f>
        <v>0</v>
      </c>
      <c r="W34" s="430">
        <f>IFERROR(SUMIF('Mngt-Payroll'!$BA:$BA,'FTE analysis'!$A34,'Mngt-Payroll'!AB:AB)/SUMIFS(FTE!AB:AB,FTE!$A:$A,'FTE analysis'!$A34,FTE!$B:$B,'FTE analysis'!$B34)/W$2,0)</f>
        <v>0</v>
      </c>
      <c r="X34" s="430">
        <f>IFERROR(SUMIF('Mngt-Payroll'!$BA:$BA,'FTE analysis'!$A34,'Mngt-Payroll'!AC:AC)/SUMIFS(FTE!AC:AC,FTE!$A:$A,'FTE analysis'!$A34,FTE!$B:$B,'FTE analysis'!$B34)/X$2,0)</f>
        <v>0</v>
      </c>
      <c r="Y34" s="430">
        <f>IFERROR(SUMIF('Mngt-Payroll'!$BA:$BA,'FTE analysis'!$A34,'Mngt-Payroll'!AD:AD)/SUMIFS(FTE!AD:AD,FTE!$A:$A,'FTE analysis'!$A34,FTE!$B:$B,'FTE analysis'!$B34)/Y$2,0)</f>
        <v>0</v>
      </c>
      <c r="Z34" s="430">
        <f>IFERROR(SUMIF('Mngt-Payroll'!$BA:$BA,'FTE analysis'!$A34,'Mngt-Payroll'!AE:AE)/SUMIFS(FTE!AE:AE,FTE!$A:$A,'FTE analysis'!$A34,FTE!$B:$B,'FTE analysis'!$B34)/Z$2,0)</f>
        <v>0</v>
      </c>
      <c r="AA34" s="430">
        <f>IFERROR(SUMIF('Mngt-Payroll'!$BA:$BA,'FTE analysis'!$A34,'Mngt-Payroll'!AF:AF)/SUMIFS(FTE!AF:AF,FTE!$A:$A,'FTE analysis'!$A34,FTE!$B:$B,'FTE analysis'!$B34)/AA$2,0)</f>
        <v>0</v>
      </c>
      <c r="AB34" s="430">
        <f t="shared" si="2"/>
        <v>0</v>
      </c>
      <c r="AC34" s="430">
        <f>IFERROR(SUMIF('Mngt-Payroll'!$BA:$BA,'FTE analysis'!$A34,'Mngt-Payroll'!AH:AH)/SUMIFS(FTE!AH:AH,FTE!$A:$A,'FTE analysis'!$A34,FTE!$B:$B,'FTE analysis'!$B34)/AC$2,0)</f>
        <v>206.7730925481055</v>
      </c>
      <c r="AD34" s="430">
        <f>IFERROR(SUMIF('Mngt-Payroll'!$BA:$BA,'FTE analysis'!$A34,'Mngt-Payroll'!AI:AI)/SUMIFS(FTE!AI:AI,FTE!$A:$A,'FTE analysis'!$A34,FTE!$B:$B,'FTE analysis'!$B34)/AD$2,0)</f>
        <v>266.12434720805908</v>
      </c>
      <c r="AE34" s="430">
        <f>IFERROR(SUMIF('Mngt-Payroll'!$BA:$BA,'FTE analysis'!$A34,'Mngt-Payroll'!AJ:AJ)/SUMIFS(FTE!AJ:AJ,FTE!$A:$A,'FTE analysis'!$A34,FTE!$B:$B,'FTE analysis'!$B34)/AE$2,0)</f>
        <v>230.57027787759014</v>
      </c>
      <c r="AF34" s="430">
        <f>IFERROR(SUMIF('Mngt-Payroll'!$BA:$BA,'FTE analysis'!$A34,'Mngt-Payroll'!AK:AK)/SUMIFS(FTE!AK:AK,FTE!$A:$A,'FTE analysis'!$A34,FTE!$B:$B,'FTE analysis'!$B34)/AF$2,0)</f>
        <v>226.58482116377007</v>
      </c>
      <c r="AG34" s="430">
        <f>IFERROR(SUMIF('Mngt-Payroll'!$BA:$BA,'FTE analysis'!$A34,'Mngt-Payroll'!AL:AL)/SUMIFS(FTE!AL:AL,FTE!$A:$A,'FTE analysis'!$A34,FTE!$B:$B,'FTE analysis'!$B34)/AG$2,0)</f>
        <v>330.97662473794549</v>
      </c>
      <c r="AH34" s="430">
        <f>IFERROR(SUMIF('Mngt-Payroll'!$BA:$BA,'FTE analysis'!$A34,'Mngt-Payroll'!AM:AM)/SUMIFS(FTE!AM:AM,FTE!$A:$A,'FTE analysis'!$A34,FTE!$B:$B,'FTE analysis'!$B34)/AH$2,0)</f>
        <v>281.3192032686415</v>
      </c>
      <c r="AI34" s="430">
        <f>IFERROR(SUMIF('Mngt-Payroll'!$BA:$BA,'FTE analysis'!$A34,'Mngt-Payroll'!AN:AN)/SUMIFS(FTE!AN:AN,FTE!$A:$A,'FTE analysis'!$A34,FTE!$B:$B,'FTE analysis'!$B34)/AI$2,0)</f>
        <v>238.79481021555767</v>
      </c>
      <c r="AJ34" s="430">
        <f>IFERROR(SUMIF('Mngt-Payroll'!$BA:$BA,'FTE analysis'!$A34,'Mngt-Payroll'!AO:AO)/SUMIFS(FTE!AO:AO,FTE!$A:$A,'FTE analysis'!$A34,FTE!$B:$B,'FTE analysis'!$B34)/AJ$2,0)</f>
        <v>268.24309354947655</v>
      </c>
      <c r="AK34" s="430">
        <f>IFERROR(SUMIF('Mngt-Payroll'!$BA:$BA,'FTE analysis'!$A34,'Mngt-Payroll'!AP:AP)/SUMIFS(FTE!AP:AP,FTE!$A:$A,'FTE analysis'!$A34,FTE!$B:$B,'FTE analysis'!$B34)/AK$2,0)</f>
        <v>289.86774506632156</v>
      </c>
      <c r="AL34" s="430">
        <f>IFERROR(SUMIF('Mngt-Payroll'!$BA:$BA,'FTE analysis'!$A34,'Mngt-Payroll'!AQ:AQ)/SUMIFS(FTE!AQ:AQ,FTE!$A:$A,'FTE analysis'!$A34,FTE!$B:$B,'FTE analysis'!$B34)/AL$2,0)</f>
        <v>234.6073106106227</v>
      </c>
      <c r="AM34" s="430">
        <f>IFERROR(SUMIF('Mngt-Payroll'!$BA:$BA,'FTE analysis'!$A34,'Mngt-Payroll'!AR:AR)/SUMIFS(FTE!AR:AR,FTE!$A:$A,'FTE analysis'!$A34,FTE!$B:$B,'FTE analysis'!$B34)/AM$2,0)</f>
        <v>322.55322128851537</v>
      </c>
      <c r="AN34" s="430">
        <f>IFERROR(SUMIF('Mngt-Payroll'!$BA:$BA,'FTE analysis'!$A34,'Mngt-Payroll'!AS:AS)/SUMIFS(FTE!AS:AS,FTE!$A:$A,'FTE analysis'!$A34,FTE!$B:$B,'FTE analysis'!$B34)/AN$2,0)</f>
        <v>1078.0749275531844</v>
      </c>
      <c r="AO34" s="430">
        <f t="shared" si="3"/>
        <v>236.44871987808227</v>
      </c>
      <c r="AP34" s="139">
        <f t="shared" si="4"/>
        <v>56.668306177391258</v>
      </c>
      <c r="AQ34" s="139">
        <f t="shared" si="4"/>
        <v>22.53554403844629</v>
      </c>
      <c r="AR34" s="139">
        <f t="shared" si="4"/>
        <v>55.469116572086449</v>
      </c>
      <c r="AS34" s="139">
        <f t="shared" si="4"/>
        <v>-2.149541877160317</v>
      </c>
      <c r="AT34" s="139">
        <f t="shared" si="4"/>
        <v>0</v>
      </c>
      <c r="AU34" s="139">
        <f t="shared" si="4"/>
        <v>0</v>
      </c>
      <c r="AV34" s="139">
        <f t="shared" si="4"/>
        <v>0</v>
      </c>
      <c r="AW34" s="139">
        <f t="shared" si="4"/>
        <v>0</v>
      </c>
      <c r="AX34" s="139">
        <f t="shared" si="4"/>
        <v>0</v>
      </c>
      <c r="AY34" s="139">
        <f t="shared" si="4"/>
        <v>0</v>
      </c>
      <c r="AZ34" s="139">
        <f t="shared" si="4"/>
        <v>0</v>
      </c>
      <c r="BA34" s="139">
        <f t="shared" si="4"/>
        <v>0</v>
      </c>
      <c r="BB34" s="439">
        <f t="shared" si="5"/>
        <v>39.601925107918774</v>
      </c>
      <c r="BC34" s="439"/>
      <c r="BD34" s="439">
        <f t="shared" si="6"/>
        <v>0</v>
      </c>
      <c r="BE34" s="484">
        <f>BB34*$BC$2*SUMIFS(FTE!T:T,FTE!$A:$A,'FTE analysis'!$A34,FTE!$B:$B,'FTE analysis'!$B34)</f>
        <v>0</v>
      </c>
      <c r="BF34" s="484">
        <f>(SUMIFS(FTE!T:T,FTE!$A:$A,'FTE analysis'!$A34,FTE!$B:$B,'FTE analysis'!$B34)-SUMIFS(FTE!AT:AT,FTE!$A:$A,'FTE analysis'!$A34,FTE!$B:$B,'FTE analysis'!$B34))</f>
        <v>-10.069496290204679</v>
      </c>
      <c r="BG34" s="418">
        <f t="shared" si="7"/>
        <v>0</v>
      </c>
    </row>
    <row r="35" spans="1:59" ht="15" x14ac:dyDescent="0.25">
      <c r="A35" s="703" t="s">
        <v>266</v>
      </c>
      <c r="B35" s="707" t="s">
        <v>202</v>
      </c>
      <c r="C35" s="430">
        <f>IFERROR(SUMIF('Mngt-Payroll'!$BA:$BA,'FTE analysis'!$A35,'Mngt-Payroll'!G:G)/SUMIFS(FTE!H:H,FTE!$A:$A,'FTE analysis'!$A35,FTE!$B:$B,'FTE analysis'!$B35)/C$2,0)</f>
        <v>261.84537641948538</v>
      </c>
      <c r="D35" s="430">
        <f>IFERROR(SUMIF('Mngt-Payroll'!$BA:$BA,'FTE analysis'!$A35,'Mngt-Payroll'!H:H)/SUMIFS(FTE!I:I,FTE!$A:$A,'FTE analysis'!$A35,FTE!$B:$B,'FTE analysis'!$B35)/D$2,0)</f>
        <v>289.26287606675237</v>
      </c>
      <c r="E35" s="430">
        <f>IFERROR(SUMIF('Mngt-Payroll'!$BA:$BA,'FTE analysis'!$A35,'Mngt-Payroll'!I:I)/SUMIFS(FTE!J:J,FTE!$A:$A,'FTE analysis'!$A35,FTE!$B:$B,'FTE analysis'!$B35)/E$2,0)</f>
        <v>282.73621682606171</v>
      </c>
      <c r="F35" s="430">
        <f>IFERROR(SUMIF('Mngt-Payroll'!$BA:$BA,'FTE analysis'!$A35,'Mngt-Payroll'!J:J)/SUMIFS(FTE!K:K,FTE!$A:$A,'FTE analysis'!$A35,FTE!$B:$B,'FTE analysis'!$B35)/F$2,0)</f>
        <v>248.26502894889344</v>
      </c>
      <c r="G35" s="430">
        <f>IFERROR(SUMIF('Mngt-Payroll'!$BA:$BA,'FTE analysis'!$A35,'Mngt-Payroll'!K:K)/SUMIFS(FTE!L:L,FTE!$A:$A,'FTE analysis'!$A35,FTE!$B:$B,'FTE analysis'!$B35)/G$2,0)</f>
        <v>0</v>
      </c>
      <c r="H35" s="430">
        <f>IFERROR(SUMIF('Mngt-Payroll'!$BA:$BA,'FTE analysis'!$A35,'Mngt-Payroll'!L:L)/SUMIFS(FTE!M:M,FTE!$A:$A,'FTE analysis'!$A35,FTE!$B:$B,'FTE analysis'!$B35)/H$2,0)</f>
        <v>0</v>
      </c>
      <c r="I35" s="430">
        <f>IFERROR(SUMIF('Mngt-Payroll'!$BA:$BA,'FTE analysis'!$A35,'Mngt-Payroll'!M:M)/SUMIFS(FTE!N:N,FTE!$A:$A,'FTE analysis'!$A35,FTE!$B:$B,'FTE analysis'!$B35)/I$2,0)</f>
        <v>0</v>
      </c>
      <c r="J35" s="430">
        <f>IFERROR(SUMIF('Mngt-Payroll'!$BA:$BA,'FTE analysis'!$A35,'Mngt-Payroll'!N:N)/SUMIFS(FTE!O:O,FTE!$A:$A,'FTE analysis'!$A35,FTE!$B:$B,'FTE analysis'!$B35)/J$2,0)</f>
        <v>0</v>
      </c>
      <c r="K35" s="430">
        <f>IFERROR(SUMIF('Mngt-Payroll'!$BA:$BA,'FTE analysis'!$A35,'Mngt-Payroll'!O:O)/SUMIFS(FTE!P:P,FTE!$A:$A,'FTE analysis'!$A35,FTE!$B:$B,'FTE analysis'!$B35)/K$2,0)</f>
        <v>0</v>
      </c>
      <c r="L35" s="430">
        <f>IFERROR(SUMIF('Mngt-Payroll'!$BA:$BA,'FTE analysis'!$A35,'Mngt-Payroll'!P:P)/SUMIFS(FTE!Q:Q,FTE!$A:$A,'FTE analysis'!$A35,FTE!$B:$B,'FTE analysis'!$B35)/L$2,0)</f>
        <v>0</v>
      </c>
      <c r="M35" s="430">
        <f>IFERROR(SUMIF('Mngt-Payroll'!$BA:$BA,'FTE analysis'!$A35,'Mngt-Payroll'!Q:Q)/SUMIFS(FTE!R:R,FTE!$A:$A,'FTE analysis'!$A35,FTE!$B:$B,'FTE analysis'!$B35)/M$2,0)</f>
        <v>0</v>
      </c>
      <c r="N35" s="430">
        <f>IFERROR(SUMIF('Mngt-Payroll'!$BA:$BA,'FTE analysis'!$A35,'Mngt-Payroll'!R:R)/SUMIFS(FTE!S:S,FTE!$A:$A,'FTE analysis'!$A35,FTE!$B:$B,'FTE analysis'!$B35)/N$2,0)</f>
        <v>0</v>
      </c>
      <c r="O35" s="430">
        <f t="shared" si="1"/>
        <v>275.55412624311884</v>
      </c>
      <c r="P35" s="430">
        <f>IFERROR(SUMIF('Mngt-Payroll'!$BA:$BA,'FTE analysis'!$A35,'Mngt-Payroll'!U:U)/SUMIFS(FTE!U:U,FTE!$A:$A,'FTE analysis'!$A35,FTE!$B:$B,'FTE analysis'!$B35)/P$2,0)</f>
        <v>0</v>
      </c>
      <c r="Q35" s="430">
        <f>IFERROR(SUMIF('Mngt-Payroll'!$BA:$BA,'FTE analysis'!$A35,'Mngt-Payroll'!V:V)/SUMIFS(FTE!V:V,FTE!$A:$A,'FTE analysis'!$A35,FTE!$B:$B,'FTE analysis'!$B35)/Q$2,0)</f>
        <v>0</v>
      </c>
      <c r="R35" s="430">
        <f>IFERROR(SUMIF('Mngt-Payroll'!$BA:$BA,'FTE analysis'!$A35,'Mngt-Payroll'!W:W)/SUMIFS(FTE!W:W,FTE!$A:$A,'FTE analysis'!$A35,FTE!$B:$B,'FTE analysis'!$B35)/R$2,0)</f>
        <v>0</v>
      </c>
      <c r="S35" s="430">
        <f>IFERROR(SUMIF('Mngt-Payroll'!$BA:$BA,'FTE analysis'!$A35,'Mngt-Payroll'!X:X)/SUMIFS(FTE!X:X,FTE!$A:$A,'FTE analysis'!$A35,FTE!$B:$B,'FTE analysis'!$B35)/S$2,0)</f>
        <v>0</v>
      </c>
      <c r="T35" s="430">
        <f>IFERROR(SUMIF('Mngt-Payroll'!$BA:$BA,'FTE analysis'!$A35,'Mngt-Payroll'!Y:Y)/SUMIFS(FTE!Y:Y,FTE!$A:$A,'FTE analysis'!$A35,FTE!$B:$B,'FTE analysis'!$B35)/T$2,0)</f>
        <v>0</v>
      </c>
      <c r="U35" s="430">
        <f>IFERROR(SUMIF('Mngt-Payroll'!$BA:$BA,'FTE analysis'!$A35,'Mngt-Payroll'!Z:Z)/SUMIFS(FTE!Z:Z,FTE!$A:$A,'FTE analysis'!$A35,FTE!$B:$B,'FTE analysis'!$B35)/U$2,0)</f>
        <v>0</v>
      </c>
      <c r="V35" s="430">
        <f>IFERROR(SUMIF('Mngt-Payroll'!$BA:$BA,'FTE analysis'!$A35,'Mngt-Payroll'!AA:AA)/SUMIFS(FTE!AA:AA,FTE!$A:$A,'FTE analysis'!$A35,FTE!$B:$B,'FTE analysis'!$B35)/V$2,0)</f>
        <v>0</v>
      </c>
      <c r="W35" s="430">
        <f>IFERROR(SUMIF('Mngt-Payroll'!$BA:$BA,'FTE analysis'!$A35,'Mngt-Payroll'!AB:AB)/SUMIFS(FTE!AB:AB,FTE!$A:$A,'FTE analysis'!$A35,FTE!$B:$B,'FTE analysis'!$B35)/W$2,0)</f>
        <v>0</v>
      </c>
      <c r="X35" s="430">
        <f>IFERROR(SUMIF('Mngt-Payroll'!$BA:$BA,'FTE analysis'!$A35,'Mngt-Payroll'!AC:AC)/SUMIFS(FTE!AC:AC,FTE!$A:$A,'FTE analysis'!$A35,FTE!$B:$B,'FTE analysis'!$B35)/X$2,0)</f>
        <v>0</v>
      </c>
      <c r="Y35" s="430">
        <f>IFERROR(SUMIF('Mngt-Payroll'!$BA:$BA,'FTE analysis'!$A35,'Mngt-Payroll'!AD:AD)/SUMIFS(FTE!AD:AD,FTE!$A:$A,'FTE analysis'!$A35,FTE!$B:$B,'FTE analysis'!$B35)/Y$2,0)</f>
        <v>0</v>
      </c>
      <c r="Z35" s="430">
        <f>IFERROR(SUMIF('Mngt-Payroll'!$BA:$BA,'FTE analysis'!$A35,'Mngt-Payroll'!AE:AE)/SUMIFS(FTE!AE:AE,FTE!$A:$A,'FTE analysis'!$A35,FTE!$B:$B,'FTE analysis'!$B35)/Z$2,0)</f>
        <v>0</v>
      </c>
      <c r="AA35" s="430">
        <f>IFERROR(SUMIF('Mngt-Payroll'!$BA:$BA,'FTE analysis'!$A35,'Mngt-Payroll'!AF:AF)/SUMIFS(FTE!AF:AF,FTE!$A:$A,'FTE analysis'!$A35,FTE!$B:$B,'FTE analysis'!$B35)/AA$2,0)</f>
        <v>0</v>
      </c>
      <c r="AB35" s="430">
        <f t="shared" si="2"/>
        <v>0</v>
      </c>
      <c r="AC35" s="430">
        <f>IFERROR(SUMIF('Mngt-Payroll'!$BA:$BA,'FTE analysis'!$A35,'Mngt-Payroll'!AH:AH)/SUMIFS(FTE!AH:AH,FTE!$A:$A,'FTE analysis'!$A35,FTE!$B:$B,'FTE analysis'!$B35)/AC$2,0)</f>
        <v>297.73716532903961</v>
      </c>
      <c r="AD35" s="430">
        <f>IFERROR(SUMIF('Mngt-Payroll'!$BA:$BA,'FTE analysis'!$A35,'Mngt-Payroll'!AI:AI)/SUMIFS(FTE!AI:AI,FTE!$A:$A,'FTE analysis'!$A35,FTE!$B:$B,'FTE analysis'!$B35)/AD$2,0)</f>
        <v>311.70246831981035</v>
      </c>
      <c r="AE35" s="430">
        <f>IFERROR(SUMIF('Mngt-Payroll'!$BA:$BA,'FTE analysis'!$A35,'Mngt-Payroll'!AJ:AJ)/SUMIFS(FTE!AJ:AJ,FTE!$A:$A,'FTE analysis'!$A35,FTE!$B:$B,'FTE analysis'!$B35)/AE$2,0)</f>
        <v>267.4696387339871</v>
      </c>
      <c r="AF35" s="430">
        <f>IFERROR(SUMIF('Mngt-Payroll'!$BA:$BA,'FTE analysis'!$A35,'Mngt-Payroll'!AK:AK)/SUMIFS(FTE!AK:AK,FTE!$A:$A,'FTE analysis'!$A35,FTE!$B:$B,'FTE analysis'!$B35)/AF$2,0)</f>
        <v>253.59524031855722</v>
      </c>
      <c r="AG35" s="430">
        <f>IFERROR(SUMIF('Mngt-Payroll'!$BA:$BA,'FTE analysis'!$A35,'Mngt-Payroll'!AL:AL)/SUMIFS(FTE!AL:AL,FTE!$A:$A,'FTE analysis'!$A35,FTE!$B:$B,'FTE analysis'!$B35)/AG$2,0)</f>
        <v>304.07170110468041</v>
      </c>
      <c r="AH35" s="430">
        <f>IFERROR(SUMIF('Mngt-Payroll'!$BA:$BA,'FTE analysis'!$A35,'Mngt-Payroll'!AM:AM)/SUMIFS(FTE!AM:AM,FTE!$A:$A,'FTE analysis'!$A35,FTE!$B:$B,'FTE analysis'!$B35)/AH$2,0)</f>
        <v>301.7937202578633</v>
      </c>
      <c r="AI35" s="430">
        <f>IFERROR(SUMIF('Mngt-Payroll'!$BA:$BA,'FTE analysis'!$A35,'Mngt-Payroll'!AN:AN)/SUMIFS(FTE!AN:AN,FTE!$A:$A,'FTE analysis'!$A35,FTE!$B:$B,'FTE analysis'!$B35)/AI$2,0)</f>
        <v>282.30085793257751</v>
      </c>
      <c r="AJ35" s="430">
        <f>IFERROR(SUMIF('Mngt-Payroll'!$BA:$BA,'FTE analysis'!$A35,'Mngt-Payroll'!AO:AO)/SUMIFS(FTE!AO:AO,FTE!$A:$A,'FTE analysis'!$A35,FTE!$B:$B,'FTE analysis'!$B35)/AJ$2,0)</f>
        <v>316.78220780384174</v>
      </c>
      <c r="AK35" s="430">
        <f>IFERROR(SUMIF('Mngt-Payroll'!$BA:$BA,'FTE analysis'!$A35,'Mngt-Payroll'!AP:AP)/SUMIFS(FTE!AP:AP,FTE!$A:$A,'FTE analysis'!$A35,FTE!$B:$B,'FTE analysis'!$B35)/AK$2,0)</f>
        <v>296.85227107245458</v>
      </c>
      <c r="AL35" s="430">
        <f>IFERROR(SUMIF('Mngt-Payroll'!$BA:$BA,'FTE analysis'!$A35,'Mngt-Payroll'!AQ:AQ)/SUMIFS(FTE!AQ:AQ,FTE!$A:$A,'FTE analysis'!$A35,FTE!$B:$B,'FTE analysis'!$B35)/AL$2,0)</f>
        <v>266.64338517174235</v>
      </c>
      <c r="AM35" s="430">
        <f>IFERROR(SUMIF('Mngt-Payroll'!$BA:$BA,'FTE analysis'!$A35,'Mngt-Payroll'!AR:AR)/SUMIFS(FTE!AR:AR,FTE!$A:$A,'FTE analysis'!$A35,FTE!$B:$B,'FTE analysis'!$B35)/AM$2,0)</f>
        <v>313.13039505902128</v>
      </c>
      <c r="AN35" s="430">
        <f>IFERROR(SUMIF('Mngt-Payroll'!$BA:$BA,'FTE analysis'!$A35,'Mngt-Payroll'!AS:AS)/SUMIFS(FTE!AS:AS,FTE!$A:$A,'FTE analysis'!$A35,FTE!$B:$B,'FTE analysis'!$B35)/AN$2,0)</f>
        <v>1078.3803725966643</v>
      </c>
      <c r="AO35" s="430">
        <f t="shared" si="3"/>
        <v>304.71981682442498</v>
      </c>
      <c r="AP35" s="139">
        <f t="shared" si="4"/>
        <v>-35.891788909554236</v>
      </c>
      <c r="AQ35" s="139">
        <f t="shared" si="4"/>
        <v>-22.439592253057981</v>
      </c>
      <c r="AR35" s="139">
        <f t="shared" si="4"/>
        <v>15.26657809207461</v>
      </c>
      <c r="AS35" s="139">
        <f t="shared" si="4"/>
        <v>-5.3302113696637718</v>
      </c>
      <c r="AT35" s="139">
        <f t="shared" si="4"/>
        <v>0</v>
      </c>
      <c r="AU35" s="139">
        <f t="shared" si="4"/>
        <v>0</v>
      </c>
      <c r="AV35" s="139">
        <f t="shared" si="4"/>
        <v>0</v>
      </c>
      <c r="AW35" s="139">
        <f t="shared" si="4"/>
        <v>0</v>
      </c>
      <c r="AX35" s="139">
        <f t="shared" si="4"/>
        <v>0</v>
      </c>
      <c r="AY35" s="139">
        <f t="shared" si="4"/>
        <v>0</v>
      </c>
      <c r="AZ35" s="139">
        <f t="shared" si="4"/>
        <v>0</v>
      </c>
      <c r="BA35" s="139">
        <f t="shared" si="4"/>
        <v>0</v>
      </c>
      <c r="BB35" s="439">
        <f t="shared" si="5"/>
        <v>-29.165690581306109</v>
      </c>
      <c r="BC35" s="439"/>
      <c r="BD35" s="439">
        <f t="shared" si="6"/>
        <v>0</v>
      </c>
      <c r="BE35" s="484">
        <f>BB35*$BC$2*SUMIFS(FTE!T:T,FTE!$A:$A,'FTE analysis'!$A35,FTE!$B:$B,'FTE analysis'!$B35)</f>
        <v>0</v>
      </c>
      <c r="BF35" s="484">
        <f>(SUMIFS(FTE!T:T,FTE!$A:$A,'FTE analysis'!$A35,FTE!$B:$B,'FTE analysis'!$B35)-SUMIFS(FTE!AT:AT,FTE!$A:$A,'FTE analysis'!$A35,FTE!$B:$B,'FTE analysis'!$B35))</f>
        <v>-50.537973903508785</v>
      </c>
      <c r="BG35" s="418">
        <f t="shared" si="7"/>
        <v>0</v>
      </c>
    </row>
    <row r="36" spans="1:59" ht="15" x14ac:dyDescent="0.25">
      <c r="A36" s="703" t="s">
        <v>294</v>
      </c>
      <c r="B36" s="707" t="s">
        <v>202</v>
      </c>
      <c r="C36" s="430">
        <f>IFERROR(SUMIF('Mngt-Payroll'!$AZ:$AZ,'FTE analysis'!$A36,'Mngt-Payroll'!G:G)/SUMIFS(FTE!H:H,FTE!$A:$A,'FTE analysis'!$A36,FTE!$B:$B,'FTE analysis'!$B36)/C$2,0)</f>
        <v>367.9395652173913</v>
      </c>
      <c r="D36" s="430">
        <f>IFERROR(SUMIF('Mngt-Payroll'!$AZ:$AZ,'FTE analysis'!$A36,'Mngt-Payroll'!H:H)/SUMIFS(FTE!I:I,FTE!$A:$A,'FTE analysis'!$A36,FTE!$B:$B,'FTE analysis'!$B36)/D$2,0)</f>
        <v>312.06714285714287</v>
      </c>
      <c r="E36" s="430">
        <f>IFERROR(SUMIF('Mngt-Payroll'!$AZ:$AZ,'FTE analysis'!$A36,'Mngt-Payroll'!I:I)/SUMIFS(FTE!J:J,FTE!$A:$A,'FTE analysis'!$A36,FTE!$B:$B,'FTE analysis'!$B36)/E$2,0)</f>
        <v>398.41</v>
      </c>
      <c r="F36" s="430">
        <f>IFERROR(SUMIF('Mngt-Payroll'!$AZ:$AZ,'FTE analysis'!$A36,'Mngt-Payroll'!J:J)/SUMIFS(FTE!K:K,FTE!$A:$A,'FTE analysis'!$A36,FTE!$B:$B,'FTE analysis'!$B36)/F$2,0)</f>
        <v>390.1930434782609</v>
      </c>
      <c r="G36" s="430">
        <f>IFERROR(SUMIF('Mngt-Payroll'!$AZ:$AZ,'FTE analysis'!$A36,'Mngt-Payroll'!K:K)/SUMIFS(FTE!L:L,FTE!$A:$A,'FTE analysis'!$A36,FTE!$B:$B,'FTE analysis'!$B36)/G$2,0)</f>
        <v>0</v>
      </c>
      <c r="H36" s="430">
        <f>IFERROR(SUMIF('Mngt-Payroll'!$AZ:$AZ,'FTE analysis'!$A36,'Mngt-Payroll'!L:L)/SUMIFS(FTE!M:M,FTE!$A:$A,'FTE analysis'!$A36,FTE!$B:$B,'FTE analysis'!$B36)/H$2,0)</f>
        <v>0</v>
      </c>
      <c r="I36" s="430">
        <f>IFERROR(SUMIF('Mngt-Payroll'!$AZ:$AZ,'FTE analysis'!$A36,'Mngt-Payroll'!M:M)/SUMIFS(FTE!N:N,FTE!$A:$A,'FTE analysis'!$A36,FTE!$B:$B,'FTE analysis'!$B36)/I$2,0)</f>
        <v>0</v>
      </c>
      <c r="J36" s="430">
        <f>IFERROR(SUMIF('Mngt-Payroll'!$AZ:$AZ,'FTE analysis'!$A36,'Mngt-Payroll'!N:N)/SUMIFS(FTE!O:O,FTE!$A:$A,'FTE analysis'!$A36,FTE!$B:$B,'FTE analysis'!$B36)/J$2,0)</f>
        <v>0</v>
      </c>
      <c r="K36" s="430">
        <f>IFERROR(SUMIF('Mngt-Payroll'!$AZ:$AZ,'FTE analysis'!$A36,'Mngt-Payroll'!O:O)/SUMIFS(FTE!P:P,FTE!$A:$A,'FTE analysis'!$A36,FTE!$B:$B,'FTE analysis'!$B36)/K$2,0)</f>
        <v>0</v>
      </c>
      <c r="L36" s="430">
        <f>IFERROR(SUMIF('Mngt-Payroll'!$AZ:$AZ,'FTE analysis'!$A36,'Mngt-Payroll'!P:P)/SUMIFS(FTE!Q:Q,FTE!$A:$A,'FTE analysis'!$A36,FTE!$B:$B,'FTE analysis'!$B36)/L$2,0)</f>
        <v>0</v>
      </c>
      <c r="M36" s="430">
        <f>IFERROR(SUMIF('Mngt-Payroll'!$AZ:$AZ,'FTE analysis'!$A36,'Mngt-Payroll'!Q:Q)/SUMIFS(FTE!R:R,FTE!$A:$A,'FTE analysis'!$A36,FTE!$B:$B,'FTE analysis'!$B36)/M$2,0)</f>
        <v>0</v>
      </c>
      <c r="N36" s="430">
        <f>IFERROR(SUMIF('Mngt-Payroll'!$AZ:$AZ,'FTE analysis'!$A36,'Mngt-Payroll'!R:R)/SUMIFS(FTE!S:S,FTE!$A:$A,'FTE analysis'!$A36,FTE!$B:$B,'FTE analysis'!$B36)/N$2,0)</f>
        <v>0</v>
      </c>
      <c r="O36" s="430">
        <f t="shared" si="1"/>
        <v>340.00335403726706</v>
      </c>
      <c r="P36" s="430">
        <f>IFERROR(SUMIF('Mngt-Payroll'!$AZ:$AZ,'FTE analysis'!$A36,'Mngt-Payroll'!U:U)/SUMIFS(FTE!U:U,FTE!$A:$A,'FTE analysis'!$A36,FTE!$B:$B,'FTE analysis'!$B36)/P$2,0)</f>
        <v>0</v>
      </c>
      <c r="Q36" s="430">
        <f>IFERROR(SUMIF('Mngt-Payroll'!$AZ:$AZ,'FTE analysis'!$A36,'Mngt-Payroll'!V:V)/SUMIFS(FTE!V:V,FTE!$A:$A,'FTE analysis'!$A36,FTE!$B:$B,'FTE analysis'!$B36)/Q$2,0)</f>
        <v>0</v>
      </c>
      <c r="R36" s="430">
        <f>IFERROR(SUMIF('Mngt-Payroll'!$AZ:$AZ,'FTE analysis'!$A36,'Mngt-Payroll'!W:W)/SUMIFS(FTE!W:W,FTE!$A:$A,'FTE analysis'!$A36,FTE!$B:$B,'FTE analysis'!$B36)/R$2,0)</f>
        <v>0</v>
      </c>
      <c r="S36" s="430">
        <f>IFERROR(SUMIF('Mngt-Payroll'!$AZ:$AZ,'FTE analysis'!$A36,'Mngt-Payroll'!X:X)/SUMIFS(FTE!X:X,FTE!$A:$A,'FTE analysis'!$A36,FTE!$B:$B,'FTE analysis'!$B36)/S$2,0)</f>
        <v>0</v>
      </c>
      <c r="T36" s="430">
        <f>IFERROR(SUMIF('Mngt-Payroll'!$AZ:$AZ,'FTE analysis'!$A36,'Mngt-Payroll'!Y:Y)/SUMIFS(FTE!Y:Y,FTE!$A:$A,'FTE analysis'!$A36,FTE!$B:$B,'FTE analysis'!$B36)/T$2,0)</f>
        <v>0</v>
      </c>
      <c r="U36" s="430">
        <f>IFERROR(SUMIF('Mngt-Payroll'!$AZ:$AZ,'FTE analysis'!$A36,'Mngt-Payroll'!Z:Z)/SUMIFS(FTE!Z:Z,FTE!$A:$A,'FTE analysis'!$A36,FTE!$B:$B,'FTE analysis'!$B36)/U$2,0)</f>
        <v>0</v>
      </c>
      <c r="V36" s="430">
        <f>IFERROR(SUMIF('Mngt-Payroll'!$AZ:$AZ,'FTE analysis'!$A36,'Mngt-Payroll'!AA:AA)/SUMIFS(FTE!AA:AA,FTE!$A:$A,'FTE analysis'!$A36,FTE!$B:$B,'FTE analysis'!$B36)/V$2,0)</f>
        <v>0</v>
      </c>
      <c r="W36" s="430">
        <f>IFERROR(SUMIF('Mngt-Payroll'!$AZ:$AZ,'FTE analysis'!$A36,'Mngt-Payroll'!AB:AB)/SUMIFS(FTE!AB:AB,FTE!$A:$A,'FTE analysis'!$A36,FTE!$B:$B,'FTE analysis'!$B36)/W$2,0)</f>
        <v>0</v>
      </c>
      <c r="X36" s="430">
        <f>IFERROR(SUMIF('Mngt-Payroll'!$AZ:$AZ,'FTE analysis'!$A36,'Mngt-Payroll'!AC:AC)/SUMIFS(FTE!AC:AC,FTE!$A:$A,'FTE analysis'!$A36,FTE!$B:$B,'FTE analysis'!$B36)/X$2,0)</f>
        <v>0</v>
      </c>
      <c r="Y36" s="430">
        <f>IFERROR(SUMIF('Mngt-Payroll'!$AZ:$AZ,'FTE analysis'!$A36,'Mngt-Payroll'!AD:AD)/SUMIFS(FTE!AD:AD,FTE!$A:$A,'FTE analysis'!$A36,FTE!$B:$B,'FTE analysis'!$B36)/Y$2,0)</f>
        <v>0</v>
      </c>
      <c r="Z36" s="430">
        <f>IFERROR(SUMIF('Mngt-Payroll'!$AZ:$AZ,'FTE analysis'!$A36,'Mngt-Payroll'!AE:AE)/SUMIFS(FTE!AE:AE,FTE!$A:$A,'FTE analysis'!$A36,FTE!$B:$B,'FTE analysis'!$B36)/Z$2,0)</f>
        <v>0</v>
      </c>
      <c r="AA36" s="430">
        <f>IFERROR(SUMIF('Mngt-Payroll'!$AZ:$AZ,'FTE analysis'!$A36,'Mngt-Payroll'!AF:AF)/SUMIFS(FTE!AF:AF,FTE!$A:$A,'FTE analysis'!$A36,FTE!$B:$B,'FTE analysis'!$B36)/AA$2,0)</f>
        <v>0</v>
      </c>
      <c r="AB36" s="430">
        <f t="shared" si="2"/>
        <v>0</v>
      </c>
      <c r="AC36" s="430">
        <f>IFERROR(SUMIF('Mngt-Payroll'!$AZ:$AZ,'FTE analysis'!$A36,'Mngt-Payroll'!AH:AH)/SUMIFS(FTE!AH:AH,FTE!$A:$A,'FTE analysis'!$A36,FTE!$B:$B,'FTE analysis'!$B36)/AC$2,0)</f>
        <v>425.66347826086957</v>
      </c>
      <c r="AD36" s="430">
        <f>IFERROR(SUMIF('Mngt-Payroll'!$AZ:$AZ,'FTE analysis'!$A36,'Mngt-Payroll'!AI:AI)/SUMIFS(FTE!AI:AI,FTE!$A:$A,'FTE analysis'!$A36,FTE!$B:$B,'FTE analysis'!$B36)/AD$2,0)</f>
        <v>407.70714285714286</v>
      </c>
      <c r="AE36" s="430">
        <f>IFERROR(SUMIF('Mngt-Payroll'!$AZ:$AZ,'FTE analysis'!$A36,'Mngt-Payroll'!AJ:AJ)/SUMIFS(FTE!AJ:AJ,FTE!$A:$A,'FTE analysis'!$A36,FTE!$B:$B,'FTE analysis'!$B36)/AE$2,0)</f>
        <v>372.55681818181819</v>
      </c>
      <c r="AF36" s="430">
        <f>IFERROR(SUMIF('Mngt-Payroll'!$AZ:$AZ,'FTE analysis'!$A36,'Mngt-Payroll'!AK:AK)/SUMIFS(FTE!AK:AK,FTE!$A:$A,'FTE analysis'!$A36,FTE!$B:$B,'FTE analysis'!$B36)/AF$2,0)</f>
        <v>322.98043478260871</v>
      </c>
      <c r="AG36" s="430">
        <f>IFERROR(SUMIF('Mngt-Payroll'!$AZ:$AZ,'FTE analysis'!$A36,'Mngt-Payroll'!AL:AL)/SUMIFS(FTE!AL:AL,FTE!$A:$A,'FTE analysis'!$A36,FTE!$B:$B,'FTE analysis'!$B36)/AG$2,0)</f>
        <v>432.25699999999995</v>
      </c>
      <c r="AH36" s="430">
        <f>IFERROR(SUMIF('Mngt-Payroll'!$AZ:$AZ,'FTE analysis'!$A36,'Mngt-Payroll'!AM:AM)/SUMIFS(FTE!AM:AM,FTE!$A:$A,'FTE analysis'!$A36,FTE!$B:$B,'FTE analysis'!$B36)/AH$2,0)</f>
        <v>391.72999999999996</v>
      </c>
      <c r="AI36" s="430">
        <f>IFERROR(SUMIF('Mngt-Payroll'!$AZ:$AZ,'FTE analysis'!$A36,'Mngt-Payroll'!AN:AN)/SUMIFS(FTE!AN:AN,FTE!$A:$A,'FTE analysis'!$A36,FTE!$B:$B,'FTE analysis'!$B36)/AI$2,0)</f>
        <v>393.54545454545456</v>
      </c>
      <c r="AJ36" s="430">
        <f>IFERROR(SUMIF('Mngt-Payroll'!$AZ:$AZ,'FTE analysis'!$A36,'Mngt-Payroll'!AO:AO)/SUMIFS(FTE!AO:AO,FTE!$A:$A,'FTE analysis'!$A36,FTE!$B:$B,'FTE analysis'!$B36)/AJ$2,0)</f>
        <v>353.42619047619047</v>
      </c>
      <c r="AK36" s="430">
        <f>IFERROR(SUMIF('Mngt-Payroll'!$AZ:$AZ,'FTE analysis'!$A36,'Mngt-Payroll'!AP:AP)/SUMIFS(FTE!AP:AP,FTE!$A:$A,'FTE analysis'!$A36,FTE!$B:$B,'FTE analysis'!$B36)/AK$2,0)</f>
        <v>386.76499999999999</v>
      </c>
      <c r="AL36" s="430">
        <f>IFERROR(SUMIF('Mngt-Payroll'!$AZ:$AZ,'FTE analysis'!$A36,'Mngt-Payroll'!AQ:AQ)/SUMIFS(FTE!AQ:AQ,FTE!$A:$A,'FTE analysis'!$A36,FTE!$B:$B,'FTE analysis'!$B36)/AL$2,0)</f>
        <v>388.81391304347824</v>
      </c>
      <c r="AM36" s="430">
        <f>IFERROR(SUMIF('Mngt-Payroll'!$AZ:$AZ,'FTE analysis'!$A36,'Mngt-Payroll'!AR:AR)/SUMIFS(FTE!AR:AR,FTE!$A:$A,'FTE analysis'!$A36,FTE!$B:$B,'FTE analysis'!$B36)/AM$2,0)</f>
        <v>375.36333333333334</v>
      </c>
      <c r="AN36" s="430">
        <f>IFERROR(SUMIF('Mngt-Payroll'!$AZ:$AZ,'FTE analysis'!$A36,'Mngt-Payroll'!AS:AS)/SUMIFS(FTE!AS:AS,FTE!$A:$A,'FTE analysis'!$A36,FTE!$B:$B,'FTE analysis'!$B36)/AN$2,0)</f>
        <v>1575.9550000000002</v>
      </c>
      <c r="AO36" s="430">
        <f t="shared" si="3"/>
        <v>416.68531055900621</v>
      </c>
      <c r="AP36" s="139">
        <f t="shared" si="4"/>
        <v>-57.723913043478262</v>
      </c>
      <c r="AQ36" s="139">
        <f t="shared" si="4"/>
        <v>-95.639999999999986</v>
      </c>
      <c r="AR36" s="139">
        <f t="shared" si="4"/>
        <v>25.853181818181838</v>
      </c>
      <c r="AS36" s="139">
        <f t="shared" si="4"/>
        <v>67.212608695652193</v>
      </c>
      <c r="AT36" s="139">
        <f t="shared" si="4"/>
        <v>0</v>
      </c>
      <c r="AU36" s="139">
        <f t="shared" si="4"/>
        <v>0</v>
      </c>
      <c r="AV36" s="139">
        <f t="shared" si="4"/>
        <v>0</v>
      </c>
      <c r="AW36" s="139">
        <f t="shared" si="4"/>
        <v>0</v>
      </c>
      <c r="AX36" s="139">
        <f t="shared" si="4"/>
        <v>0</v>
      </c>
      <c r="AY36" s="139">
        <f t="shared" si="4"/>
        <v>0</v>
      </c>
      <c r="AZ36" s="139">
        <f t="shared" si="4"/>
        <v>0</v>
      </c>
      <c r="BA36" s="139">
        <f t="shared" si="4"/>
        <v>0</v>
      </c>
      <c r="BB36" s="439">
        <f t="shared" si="5"/>
        <v>-76.681956521739124</v>
      </c>
      <c r="BC36" s="439"/>
      <c r="BD36" s="439">
        <f t="shared" si="6"/>
        <v>0</v>
      </c>
      <c r="BE36" s="484">
        <f>BB36*$BC$2*SUMIFS(FTE!T:T,FTE!$A:$A,'FTE analysis'!$A36,FTE!$B:$B,'FTE analysis'!$B36)</f>
        <v>0</v>
      </c>
      <c r="BF36" s="484">
        <f>(SUMIFS(FTE!T:T,FTE!$A:$A,'FTE analysis'!$A36,FTE!$B:$B,'FTE analysis'!$B36)-SUMIFS(FTE!AT:AT,FTE!$A:$A,'FTE analysis'!$A36,FTE!$B:$B,'FTE analysis'!$B36))</f>
        <v>0</v>
      </c>
      <c r="BG36" s="418">
        <f t="shared" si="7"/>
        <v>0</v>
      </c>
    </row>
    <row r="38" spans="1:59" ht="15" x14ac:dyDescent="0.25">
      <c r="A38" s="703" t="s">
        <v>272</v>
      </c>
    </row>
    <row r="39" spans="1:59" x14ac:dyDescent="0.2">
      <c r="B39" s="95"/>
    </row>
    <row r="40" spans="1:59" x14ac:dyDescent="0.2">
      <c r="B40" s="95"/>
    </row>
    <row r="41" spans="1:59" x14ac:dyDescent="0.2">
      <c r="B41" s="95"/>
    </row>
    <row r="42" spans="1:59" x14ac:dyDescent="0.2">
      <c r="B42" s="95"/>
    </row>
    <row r="43" spans="1:59" x14ac:dyDescent="0.2">
      <c r="B43" s="95"/>
    </row>
    <row r="44" spans="1:59" x14ac:dyDescent="0.2">
      <c r="B44" s="95"/>
    </row>
    <row r="45" spans="1:59" x14ac:dyDescent="0.2">
      <c r="B45" s="95"/>
    </row>
    <row r="46" spans="1:59" x14ac:dyDescent="0.2">
      <c r="B46" s="95"/>
    </row>
    <row r="47" spans="1:59" x14ac:dyDescent="0.2">
      <c r="B47" s="95"/>
    </row>
    <row r="48" spans="1:59" x14ac:dyDescent="0.2">
      <c r="B48" s="95"/>
    </row>
    <row r="49" spans="2:2" x14ac:dyDescent="0.2">
      <c r="B49" s="95"/>
    </row>
    <row r="50" spans="2:2" x14ac:dyDescent="0.2">
      <c r="B50" s="95"/>
    </row>
    <row r="51" spans="2:2" x14ac:dyDescent="0.2">
      <c r="B51" s="95"/>
    </row>
    <row r="52" spans="2:2" x14ac:dyDescent="0.2">
      <c r="B52" s="95"/>
    </row>
    <row r="53" spans="2:2" x14ac:dyDescent="0.2">
      <c r="B53" s="95"/>
    </row>
    <row r="54" spans="2:2" x14ac:dyDescent="0.2">
      <c r="B54" s="95"/>
    </row>
    <row r="55" spans="2:2" x14ac:dyDescent="0.2">
      <c r="B55" s="95"/>
    </row>
    <row r="56" spans="2:2" x14ac:dyDescent="0.2">
      <c r="B56" s="95"/>
    </row>
    <row r="57" spans="2:2" x14ac:dyDescent="0.2">
      <c r="B57" s="95"/>
    </row>
    <row r="58" spans="2:2" x14ac:dyDescent="0.2">
      <c r="B58" s="95"/>
    </row>
    <row r="59" spans="2:2" x14ac:dyDescent="0.2">
      <c r="B59" s="95"/>
    </row>
    <row r="60" spans="2:2" x14ac:dyDescent="0.2">
      <c r="B60" s="95"/>
    </row>
    <row r="61" spans="2:2" x14ac:dyDescent="0.2">
      <c r="B61" s="95"/>
    </row>
    <row r="62" spans="2:2" x14ac:dyDescent="0.2">
      <c r="B62" s="95"/>
    </row>
    <row r="63" spans="2:2" x14ac:dyDescent="0.2">
      <c r="B63" s="95"/>
    </row>
    <row r="64" spans="2:2" x14ac:dyDescent="0.2">
      <c r="B64" s="95"/>
    </row>
    <row r="65" spans="2:2" x14ac:dyDescent="0.2">
      <c r="B65" s="100"/>
    </row>
  </sheetData>
  <mergeCells count="4">
    <mergeCell ref="C1:O1"/>
    <mergeCell ref="P1:AB1"/>
    <mergeCell ref="AC1:AO1"/>
    <mergeCell ref="AP1:BB1"/>
  </mergeCells>
  <pageMargins left="0.7" right="0.7" top="0.75" bottom="0.75" header="0.3" footer="0.3"/>
  <pageSetup paperSize="9" orientation="portrait" r:id="rId1"/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rgb="FF00FFFF"/>
    <pageSetUpPr fitToPage="1"/>
  </sheetPr>
  <dimension ref="A1:EL176"/>
  <sheetViews>
    <sheetView zoomScale="90" zoomScaleNormal="90" workbookViewId="0">
      <pane xSplit="7" ySplit="3" topLeftCell="H4" activePane="bottomRight" state="frozen"/>
      <selection activeCell="AP25" sqref="AP25"/>
      <selection pane="topRight" activeCell="AP25" sqref="AP25"/>
      <selection pane="bottomLeft" activeCell="AP25" sqref="AP25"/>
      <selection pane="bottomRight" activeCell="P17" sqref="P17"/>
    </sheetView>
  </sheetViews>
  <sheetFormatPr defaultColWidth="9.42578125" defaultRowHeight="15" outlineLevelRow="1" outlineLevelCol="1" x14ac:dyDescent="0.25"/>
  <cols>
    <col min="1" max="1" width="24.7109375" style="708" bestFit="1" customWidth="1"/>
    <col min="2" max="2" width="15.42578125" style="708" customWidth="1"/>
    <col min="3" max="3" width="12.5703125" style="708" customWidth="1"/>
    <col min="4" max="4" width="13.42578125" style="708" hidden="1" customWidth="1"/>
    <col min="5" max="6" width="9.5703125" style="708" customWidth="1"/>
    <col min="7" max="7" width="4.5703125" style="708" customWidth="1"/>
    <col min="8" max="8" width="10.5703125" style="708" customWidth="1" outlineLevel="1"/>
    <col min="9" max="16" width="9.42578125" style="708" customWidth="1" outlineLevel="1"/>
    <col min="17" max="17" width="11.5703125" style="708" customWidth="1" outlineLevel="1"/>
    <col min="18" max="19" width="9.42578125" style="708" customWidth="1" outlineLevel="1"/>
    <col min="20" max="20" width="13.42578125" style="709" customWidth="1"/>
    <col min="21" max="32" width="9.42578125" style="708" hidden="1" customWidth="1" outlineLevel="1"/>
    <col min="33" max="33" width="13.42578125" style="708" hidden="1" customWidth="1" collapsed="1"/>
    <col min="34" max="43" width="9.42578125" style="708" hidden="1" customWidth="1" outlineLevel="1"/>
    <col min="44" max="44" width="8" style="708" hidden="1" customWidth="1" outlineLevel="1"/>
    <col min="45" max="45" width="7.5703125" style="708" hidden="1" customWidth="1" outlineLevel="1"/>
    <col min="46" max="46" width="13.5703125" style="708" customWidth="1" collapsed="1"/>
    <col min="47" max="47" width="14.5703125" style="708" hidden="1" customWidth="1"/>
    <col min="48" max="48" width="14.5703125" style="708" bestFit="1" customWidth="1"/>
    <col min="49" max="49" width="10.42578125" style="708" bestFit="1" customWidth="1"/>
    <col min="50" max="50" width="12.42578125" style="708" bestFit="1" customWidth="1"/>
    <col min="51" max="51" width="0" style="708" hidden="1" customWidth="1"/>
    <col min="52" max="52" width="9.42578125" style="708" bestFit="1" customWidth="1"/>
    <col min="53" max="53" width="12.5703125" style="708" bestFit="1" customWidth="1"/>
    <col min="54" max="16384" width="9.42578125" style="708"/>
  </cols>
  <sheetData>
    <row r="1" spans="1:142" x14ac:dyDescent="0.25">
      <c r="H1" s="708" t="s">
        <v>346</v>
      </c>
      <c r="I1" s="708" t="s">
        <v>346</v>
      </c>
      <c r="J1" s="708" t="s">
        <v>346</v>
      </c>
      <c r="K1" s="708" t="s">
        <v>346</v>
      </c>
      <c r="L1" s="708" t="s">
        <v>346</v>
      </c>
      <c r="M1" s="708" t="s">
        <v>346</v>
      </c>
      <c r="N1" s="708" t="s">
        <v>346</v>
      </c>
      <c r="O1" s="708" t="s">
        <v>346</v>
      </c>
      <c r="P1" s="708" t="s">
        <v>346</v>
      </c>
      <c r="Q1" s="708" t="s">
        <v>346</v>
      </c>
      <c r="R1" s="708" t="s">
        <v>346</v>
      </c>
      <c r="S1" s="708" t="s">
        <v>346</v>
      </c>
      <c r="T1" s="709" t="s">
        <v>346</v>
      </c>
      <c r="AH1" s="708" t="s">
        <v>346</v>
      </c>
      <c r="AI1" s="708" t="s">
        <v>346</v>
      </c>
      <c r="AJ1" s="708" t="s">
        <v>346</v>
      </c>
      <c r="AT1" s="708" t="s">
        <v>346</v>
      </c>
    </row>
    <row r="2" spans="1:142" s="711" customFormat="1" x14ac:dyDescent="0.25">
      <c r="A2" s="710" t="s">
        <v>307</v>
      </c>
      <c r="C2" s="712">
        <v>44927</v>
      </c>
      <c r="E2" s="712">
        <v>44562</v>
      </c>
      <c r="F2" s="713"/>
      <c r="H2" s="867" t="s">
        <v>308</v>
      </c>
      <c r="I2" s="868"/>
      <c r="J2" s="868"/>
      <c r="K2" s="868"/>
      <c r="L2" s="868"/>
      <c r="M2" s="868"/>
      <c r="N2" s="868"/>
      <c r="O2" s="868"/>
      <c r="P2" s="868"/>
      <c r="Q2" s="868"/>
      <c r="R2" s="868"/>
      <c r="S2" s="868"/>
      <c r="T2" s="868"/>
      <c r="U2" s="869" t="s">
        <v>309</v>
      </c>
      <c r="V2" s="870"/>
      <c r="W2" s="870"/>
      <c r="X2" s="870"/>
      <c r="Y2" s="870"/>
      <c r="Z2" s="870"/>
      <c r="AA2" s="870"/>
      <c r="AB2" s="870"/>
      <c r="AC2" s="870"/>
      <c r="AD2" s="870"/>
      <c r="AE2" s="870"/>
      <c r="AF2" s="870"/>
      <c r="AG2" s="871"/>
      <c r="AH2" s="872" t="s">
        <v>310</v>
      </c>
      <c r="AI2" s="873"/>
      <c r="AJ2" s="873"/>
      <c r="AK2" s="873"/>
      <c r="AL2" s="873"/>
      <c r="AM2" s="873"/>
      <c r="AN2" s="873"/>
      <c r="AO2" s="873"/>
      <c r="AP2" s="873"/>
      <c r="AQ2" s="873"/>
      <c r="AR2" s="873"/>
      <c r="AS2" s="873"/>
      <c r="AT2" s="874"/>
    </row>
    <row r="3" spans="1:142" s="702" customFormat="1" x14ac:dyDescent="0.25">
      <c r="A3" s="702" t="s">
        <v>311</v>
      </c>
      <c r="B3" s="703"/>
      <c r="C3" s="714" t="s">
        <v>312</v>
      </c>
      <c r="D3" s="714" t="s">
        <v>313</v>
      </c>
      <c r="E3" s="714" t="s">
        <v>314</v>
      </c>
      <c r="F3" s="715"/>
      <c r="G3" s="703"/>
      <c r="H3" s="704">
        <v>44835</v>
      </c>
      <c r="I3" s="704">
        <v>44866</v>
      </c>
      <c r="J3" s="704">
        <v>44896</v>
      </c>
      <c r="K3" s="704">
        <v>44927</v>
      </c>
      <c r="L3" s="704">
        <v>44958</v>
      </c>
      <c r="M3" s="704">
        <v>44986</v>
      </c>
      <c r="N3" s="704">
        <v>45017</v>
      </c>
      <c r="O3" s="704">
        <v>45047</v>
      </c>
      <c r="P3" s="704">
        <v>45078</v>
      </c>
      <c r="Q3" s="704">
        <v>45108</v>
      </c>
      <c r="R3" s="704">
        <v>45139</v>
      </c>
      <c r="S3" s="704">
        <v>45170</v>
      </c>
      <c r="T3" s="705" t="s">
        <v>315</v>
      </c>
      <c r="U3" s="716">
        <v>44470</v>
      </c>
      <c r="V3" s="716">
        <v>44501</v>
      </c>
      <c r="W3" s="716">
        <v>44531</v>
      </c>
      <c r="X3" s="716">
        <v>44562</v>
      </c>
      <c r="Y3" s="716">
        <v>44593</v>
      </c>
      <c r="Z3" s="716">
        <v>44621</v>
      </c>
      <c r="AA3" s="716">
        <v>44652</v>
      </c>
      <c r="AB3" s="716">
        <v>44682</v>
      </c>
      <c r="AC3" s="716">
        <v>44713</v>
      </c>
      <c r="AD3" s="716">
        <v>44743</v>
      </c>
      <c r="AE3" s="716">
        <v>44774</v>
      </c>
      <c r="AF3" s="716">
        <v>44805</v>
      </c>
      <c r="AG3" s="705" t="s">
        <v>315</v>
      </c>
      <c r="AH3" s="704">
        <v>44470</v>
      </c>
      <c r="AI3" s="704">
        <v>44501</v>
      </c>
      <c r="AJ3" s="704">
        <v>44531</v>
      </c>
      <c r="AK3" s="704">
        <v>44562</v>
      </c>
      <c r="AL3" s="704">
        <v>44593</v>
      </c>
      <c r="AM3" s="704">
        <v>44621</v>
      </c>
      <c r="AN3" s="704">
        <v>44652</v>
      </c>
      <c r="AO3" s="704">
        <v>44682</v>
      </c>
      <c r="AP3" s="704">
        <v>44713</v>
      </c>
      <c r="AQ3" s="704">
        <v>44743</v>
      </c>
      <c r="AR3" s="704">
        <v>44774</v>
      </c>
      <c r="AS3" s="704">
        <v>44805</v>
      </c>
      <c r="AT3" s="705" t="s">
        <v>315</v>
      </c>
      <c r="AU3" s="703"/>
      <c r="AV3" s="703"/>
      <c r="AW3" s="703"/>
      <c r="AX3" s="703"/>
      <c r="AY3" s="703"/>
      <c r="AZ3" s="703"/>
      <c r="BA3" s="703"/>
      <c r="BB3" s="703"/>
      <c r="BC3" s="703"/>
      <c r="BD3" s="703"/>
      <c r="BE3" s="703"/>
      <c r="BF3" s="703"/>
      <c r="BG3" s="703"/>
      <c r="BH3" s="703"/>
      <c r="BI3" s="703"/>
      <c r="BJ3" s="703"/>
      <c r="BK3" s="703"/>
      <c r="BL3" s="703"/>
      <c r="BM3" s="703"/>
      <c r="BN3" s="703"/>
      <c r="BO3" s="703"/>
      <c r="BP3" s="703"/>
      <c r="BQ3" s="703"/>
      <c r="BR3" s="703"/>
      <c r="BS3" s="703"/>
      <c r="BT3" s="703"/>
      <c r="BU3" s="703"/>
      <c r="BV3" s="703"/>
      <c r="BW3" s="703"/>
      <c r="BX3" s="703"/>
      <c r="BY3" s="703"/>
      <c r="BZ3" s="703"/>
      <c r="CA3" s="703"/>
      <c r="CB3" s="703"/>
      <c r="CC3" s="703"/>
      <c r="CD3" s="703"/>
      <c r="CE3" s="703"/>
      <c r="CF3" s="703"/>
      <c r="CG3" s="703"/>
      <c r="CH3" s="703"/>
      <c r="CI3" s="703"/>
      <c r="CJ3" s="703"/>
      <c r="CK3" s="703"/>
      <c r="CL3" s="703"/>
      <c r="CM3" s="703"/>
      <c r="CN3" s="703"/>
      <c r="CO3" s="703"/>
      <c r="CP3" s="703"/>
      <c r="CQ3" s="703"/>
      <c r="CR3" s="703"/>
      <c r="CS3" s="703"/>
      <c r="CT3" s="703"/>
      <c r="CU3" s="703"/>
      <c r="CV3" s="703"/>
      <c r="CW3" s="703"/>
      <c r="CX3" s="703"/>
      <c r="CY3" s="703"/>
      <c r="CZ3" s="703"/>
      <c r="DA3" s="703"/>
      <c r="DB3" s="703"/>
      <c r="DC3" s="703"/>
      <c r="DD3" s="703"/>
      <c r="DE3" s="703"/>
      <c r="DF3" s="703"/>
      <c r="DG3" s="703"/>
      <c r="DH3" s="703"/>
      <c r="DI3" s="703"/>
      <c r="DJ3" s="703"/>
      <c r="DK3" s="703"/>
      <c r="DL3" s="703"/>
      <c r="DM3" s="703"/>
      <c r="DN3" s="703"/>
      <c r="DO3" s="703"/>
      <c r="DP3" s="703"/>
      <c r="DQ3" s="703"/>
      <c r="DR3" s="703"/>
      <c r="DS3" s="703"/>
      <c r="DT3" s="703"/>
      <c r="DU3" s="703"/>
      <c r="DV3" s="703"/>
      <c r="DW3" s="703"/>
      <c r="DX3" s="703"/>
      <c r="DY3" s="703"/>
      <c r="DZ3" s="703"/>
      <c r="EA3" s="703"/>
      <c r="EB3" s="703"/>
      <c r="EC3" s="703"/>
      <c r="ED3" s="703"/>
      <c r="EE3" s="703"/>
      <c r="EF3" s="703"/>
      <c r="EG3" s="703"/>
      <c r="EH3" s="703"/>
      <c r="EI3" s="703"/>
      <c r="EJ3" s="703"/>
      <c r="EK3" s="703"/>
      <c r="EL3" s="703"/>
    </row>
    <row r="4" spans="1:142" s="719" customFormat="1" ht="15" customHeight="1" x14ac:dyDescent="0.25">
      <c r="A4" s="703" t="s">
        <v>316</v>
      </c>
      <c r="B4" s="707" t="s">
        <v>202</v>
      </c>
      <c r="C4" s="621">
        <f>SUMIF($H$3:$S$3,$C$2,H4:S4)</f>
        <v>0.96608114035087722</v>
      </c>
      <c r="D4" s="621">
        <f>SUMIF($U$3:$AF$3,$C$2,U4:AF4)</f>
        <v>0</v>
      </c>
      <c r="E4" s="717">
        <f t="shared" ref="E4:E11" si="0">SUMIF($AH$3:$AS$3,$E$2,AH4:AS99)</f>
        <v>2.82</v>
      </c>
      <c r="F4" s="717"/>
      <c r="G4" s="717"/>
      <c r="H4" s="717">
        <v>0.76458355263157896</v>
      </c>
      <c r="I4" s="717">
        <v>0.79155657894736853</v>
      </c>
      <c r="J4" s="717">
        <v>0.78190789473684208</v>
      </c>
      <c r="K4" s="717">
        <v>0.96608114035087722</v>
      </c>
      <c r="L4" s="717"/>
      <c r="M4" s="717"/>
      <c r="N4" s="717"/>
      <c r="O4" s="717"/>
      <c r="P4" s="717"/>
      <c r="Q4" s="717"/>
      <c r="R4" s="718"/>
      <c r="S4" s="718"/>
      <c r="T4" s="717">
        <f>IFERROR(AVERAGEIF($H$1:$S$1,$T$1,H4:S4),0)</f>
        <v>0.82603229166666658</v>
      </c>
      <c r="U4" s="622"/>
      <c r="V4" s="622"/>
      <c r="W4" s="622"/>
      <c r="X4" s="622"/>
      <c r="Y4" s="622"/>
      <c r="Z4" s="622"/>
      <c r="AA4" s="622"/>
      <c r="AB4" s="622"/>
      <c r="AC4" s="622"/>
      <c r="AD4" s="622"/>
      <c r="AE4" s="622"/>
      <c r="AF4" s="622"/>
      <c r="AG4" s="717" t="e">
        <f>AVERAGE(U4:V4)</f>
        <v>#DIV/0!</v>
      </c>
      <c r="AH4" s="717">
        <v>1.7116230263157894</v>
      </c>
      <c r="AI4" s="717">
        <v>1.58</v>
      </c>
      <c r="AJ4" s="717">
        <v>2.2599999999999998</v>
      </c>
      <c r="AK4" s="717">
        <v>2.82</v>
      </c>
      <c r="AL4" s="717">
        <v>2.59</v>
      </c>
      <c r="AM4" s="717">
        <v>2.62</v>
      </c>
      <c r="AN4" s="717">
        <v>1.74</v>
      </c>
      <c r="AO4" s="717">
        <v>1.54</v>
      </c>
      <c r="AP4" s="717">
        <v>0.84</v>
      </c>
      <c r="AQ4" s="717">
        <v>0.83</v>
      </c>
      <c r="AR4" s="717">
        <v>0.83</v>
      </c>
      <c r="AS4" s="717">
        <v>0.76359671052631573</v>
      </c>
      <c r="AT4" s="717">
        <f>AVERAGEIF($AH$1:$AS$1,$AT$1,AH4:AS4)</f>
        <v>1.8505410087719298</v>
      </c>
      <c r="AU4" s="718">
        <f>_xlfn.IFNA(VLOOKUP(A4&amp;B4,'[1]Management Report'!$F:$I,4,FALSE),0)</f>
        <v>0.96608114035087722</v>
      </c>
      <c r="AV4" s="718"/>
    </row>
    <row r="5" spans="1:142" s="719" customFormat="1" ht="15" customHeight="1" x14ac:dyDescent="0.25">
      <c r="A5" s="703" t="s">
        <v>316</v>
      </c>
      <c r="B5" s="707" t="s">
        <v>203</v>
      </c>
      <c r="C5" s="621">
        <f t="shared" ref="C5:C6" si="1">SUMIF($H$3:$S$3,$C$2,H5:S5)</f>
        <v>0.66608114035087718</v>
      </c>
      <c r="D5" s="621">
        <f t="shared" ref="D5:D68" si="2">SUMIF($U$3:$AF$3,$C$2,U5:AF5)</f>
        <v>0</v>
      </c>
      <c r="E5" s="717">
        <f t="shared" si="0"/>
        <v>2.37</v>
      </c>
      <c r="F5" s="717"/>
      <c r="G5" s="717"/>
      <c r="H5" s="717">
        <v>0.66458355263157898</v>
      </c>
      <c r="I5" s="717">
        <v>0.79155657894736853</v>
      </c>
      <c r="J5" s="717">
        <v>0.78190789473684208</v>
      </c>
      <c r="K5" s="717">
        <v>0.66608114035087718</v>
      </c>
      <c r="L5" s="717"/>
      <c r="M5" s="717"/>
      <c r="N5" s="717"/>
      <c r="O5" s="717"/>
      <c r="P5" s="717"/>
      <c r="Q5" s="717"/>
      <c r="R5" s="718"/>
      <c r="S5" s="718"/>
      <c r="T5" s="717">
        <f t="shared" ref="T5:T68" si="3">IFERROR(AVERAGEIF($H$1:$S$1,$T$1,H5:S5),0)</f>
        <v>0.72603229166666672</v>
      </c>
      <c r="U5" s="622"/>
      <c r="V5" s="622"/>
      <c r="W5" s="622"/>
      <c r="X5" s="622"/>
      <c r="Y5" s="622"/>
      <c r="Z5" s="622"/>
      <c r="AA5" s="622"/>
      <c r="AB5" s="622"/>
      <c r="AC5" s="622"/>
      <c r="AD5" s="622"/>
      <c r="AE5" s="622"/>
      <c r="AF5" s="622"/>
      <c r="AG5" s="717" t="e">
        <f t="shared" ref="AG5:AG68" si="4">AVERAGE(U5:V5)</f>
        <v>#DIV/0!</v>
      </c>
      <c r="AH5" s="717">
        <v>1.5616230263157895</v>
      </c>
      <c r="AI5" s="717">
        <v>1.53</v>
      </c>
      <c r="AJ5" s="717">
        <v>2.21</v>
      </c>
      <c r="AK5" s="717">
        <v>2.37</v>
      </c>
      <c r="AL5" s="717">
        <v>2.34</v>
      </c>
      <c r="AM5" s="717">
        <v>2.2535100877192984</v>
      </c>
      <c r="AN5" s="717">
        <v>1.44</v>
      </c>
      <c r="AO5" s="717">
        <v>1.19</v>
      </c>
      <c r="AP5" s="717">
        <v>0.64</v>
      </c>
      <c r="AQ5" s="717">
        <v>0.78</v>
      </c>
      <c r="AR5" s="717">
        <v>0.73</v>
      </c>
      <c r="AS5" s="717">
        <v>0.76359671052631573</v>
      </c>
      <c r="AT5" s="717">
        <f t="shared" ref="AT5:AT68" si="5">AVERAGEIF($AH$1:$AS$1,$AT$1,AH5:AS5)</f>
        <v>1.7672076754385966</v>
      </c>
      <c r="AU5" s="718">
        <f>_xlfn.IFNA(VLOOKUP(A5&amp;B5,'[1]Management Report'!$F:$I,4,FALSE),0)</f>
        <v>0.66608114035087718</v>
      </c>
      <c r="AV5" s="718"/>
    </row>
    <row r="6" spans="1:142" s="719" customFormat="1" ht="15" customHeight="1" x14ac:dyDescent="0.25">
      <c r="A6" s="703" t="s">
        <v>316</v>
      </c>
      <c r="B6" s="707" t="s">
        <v>204</v>
      </c>
      <c r="C6" s="621">
        <f t="shared" si="1"/>
        <v>0.17865438596491226</v>
      </c>
      <c r="D6" s="621">
        <f t="shared" si="2"/>
        <v>0</v>
      </c>
      <c r="E6" s="717">
        <f t="shared" si="0"/>
        <v>0.47</v>
      </c>
      <c r="F6" s="717"/>
      <c r="G6" s="717"/>
      <c r="H6" s="717">
        <v>3.4868421052631576E-2</v>
      </c>
      <c r="I6" s="717">
        <v>3.2894736842105262E-4</v>
      </c>
      <c r="J6" s="717">
        <v>3.8267763157894735E-2</v>
      </c>
      <c r="K6" s="717">
        <v>0.17865438596491226</v>
      </c>
      <c r="L6" s="717"/>
      <c r="M6" s="717"/>
      <c r="N6" s="717"/>
      <c r="O6" s="717"/>
      <c r="P6" s="717"/>
      <c r="Q6" s="717"/>
      <c r="R6" s="718"/>
      <c r="S6" s="718"/>
      <c r="T6" s="717">
        <f t="shared" si="3"/>
        <v>6.302987938596491E-2</v>
      </c>
      <c r="U6" s="622"/>
      <c r="V6" s="622"/>
      <c r="W6" s="622"/>
      <c r="X6" s="622"/>
      <c r="Y6" s="622"/>
      <c r="Z6" s="622"/>
      <c r="AA6" s="622"/>
      <c r="AB6" s="622"/>
      <c r="AC6" s="622"/>
      <c r="AD6" s="622"/>
      <c r="AE6" s="622"/>
      <c r="AF6" s="622"/>
      <c r="AG6" s="717" t="e">
        <f t="shared" si="4"/>
        <v>#DIV/0!</v>
      </c>
      <c r="AH6" s="717">
        <v>0.21820197368421052</v>
      </c>
      <c r="AI6" s="717">
        <v>0.24</v>
      </c>
      <c r="AJ6" s="717">
        <v>0.28000000000000003</v>
      </c>
      <c r="AK6" s="717">
        <v>0.47</v>
      </c>
      <c r="AL6" s="717">
        <v>0.21</v>
      </c>
      <c r="AM6" s="717">
        <v>0.06</v>
      </c>
      <c r="AN6" s="717">
        <v>0.2</v>
      </c>
      <c r="AO6" s="717">
        <v>0.05</v>
      </c>
      <c r="AP6" s="717">
        <v>0</v>
      </c>
      <c r="AQ6" s="717">
        <v>0.03</v>
      </c>
      <c r="AR6" s="717">
        <v>0.03</v>
      </c>
      <c r="AS6" s="717">
        <v>4.9890131578947373E-2</v>
      </c>
      <c r="AT6" s="717">
        <f t="shared" si="5"/>
        <v>0.24606732456140348</v>
      </c>
      <c r="AU6" s="718">
        <f>_xlfn.IFNA(VLOOKUP(A6&amp;B6,'[1]Management Report'!$F:$I,4,FALSE),0)</f>
        <v>0.17865438596491226</v>
      </c>
      <c r="AV6" s="718"/>
    </row>
    <row r="7" spans="1:142" s="719" customFormat="1" ht="15" customHeight="1" x14ac:dyDescent="0.25">
      <c r="A7" s="703" t="s">
        <v>317</v>
      </c>
      <c r="B7" s="707" t="s">
        <v>202</v>
      </c>
      <c r="C7" s="621">
        <f>SUMIF($H$3:$S$3,$C$2,H7:S7)</f>
        <v>0</v>
      </c>
      <c r="D7" s="621">
        <f t="shared" si="2"/>
        <v>0</v>
      </c>
      <c r="E7" s="717">
        <f t="shared" si="0"/>
        <v>0</v>
      </c>
      <c r="F7" s="717"/>
      <c r="G7" s="717"/>
      <c r="H7" s="717">
        <v>0</v>
      </c>
      <c r="I7" s="717">
        <v>0</v>
      </c>
      <c r="J7" s="717">
        <v>0</v>
      </c>
      <c r="K7" s="717">
        <v>0</v>
      </c>
      <c r="L7" s="717"/>
      <c r="M7" s="717"/>
      <c r="N7" s="717"/>
      <c r="O7" s="717"/>
      <c r="P7" s="717"/>
      <c r="Q7" s="717"/>
      <c r="R7" s="718"/>
      <c r="S7" s="717"/>
      <c r="T7" s="717">
        <f t="shared" si="3"/>
        <v>0</v>
      </c>
      <c r="U7" s="623"/>
      <c r="V7" s="623"/>
      <c r="W7" s="623"/>
      <c r="X7" s="623"/>
      <c r="Y7" s="623"/>
      <c r="Z7" s="623"/>
      <c r="AA7" s="623"/>
      <c r="AB7" s="623"/>
      <c r="AC7" s="623"/>
      <c r="AD7" s="623"/>
      <c r="AE7" s="623"/>
      <c r="AF7" s="623"/>
      <c r="AG7" s="717" t="e">
        <f t="shared" si="4"/>
        <v>#DIV/0!</v>
      </c>
      <c r="AH7" s="717">
        <v>0</v>
      </c>
      <c r="AI7" s="717">
        <v>0</v>
      </c>
      <c r="AJ7" s="717">
        <v>0</v>
      </c>
      <c r="AK7" s="717">
        <v>0</v>
      </c>
      <c r="AL7" s="717">
        <v>0</v>
      </c>
      <c r="AM7" s="717">
        <v>0</v>
      </c>
      <c r="AN7" s="717">
        <v>0</v>
      </c>
      <c r="AO7" s="717">
        <v>0</v>
      </c>
      <c r="AP7" s="717">
        <v>0</v>
      </c>
      <c r="AQ7" s="720">
        <v>0</v>
      </c>
      <c r="AR7" s="717">
        <v>0</v>
      </c>
      <c r="AS7" s="720">
        <v>0</v>
      </c>
      <c r="AT7" s="717">
        <f t="shared" si="5"/>
        <v>0</v>
      </c>
      <c r="AU7" s="718">
        <f>_xlfn.IFNA(VLOOKUP(A7&amp;B7,'[1]Management Report'!$F:$I,4,FALSE),0)</f>
        <v>0</v>
      </c>
      <c r="AV7" s="718"/>
    </row>
    <row r="8" spans="1:142" s="719" customFormat="1" ht="15" customHeight="1" x14ac:dyDescent="0.25">
      <c r="A8" s="703" t="s">
        <v>317</v>
      </c>
      <c r="B8" s="707" t="s">
        <v>203</v>
      </c>
      <c r="C8" s="621">
        <f>SUMIF($H$3:$S$3,$C$2,H8:S8)</f>
        <v>0</v>
      </c>
      <c r="D8" s="621">
        <f t="shared" si="2"/>
        <v>0</v>
      </c>
      <c r="E8" s="717">
        <f t="shared" si="0"/>
        <v>0</v>
      </c>
      <c r="F8" s="717"/>
      <c r="G8" s="717"/>
      <c r="H8" s="717">
        <v>0</v>
      </c>
      <c r="I8" s="717">
        <v>0</v>
      </c>
      <c r="J8" s="717">
        <v>0</v>
      </c>
      <c r="K8" s="717">
        <v>0</v>
      </c>
      <c r="L8" s="717"/>
      <c r="M8" s="717"/>
      <c r="N8" s="717"/>
      <c r="O8" s="717"/>
      <c r="P8" s="717"/>
      <c r="Q8" s="717"/>
      <c r="R8" s="718"/>
      <c r="S8" s="717"/>
      <c r="T8" s="717">
        <f t="shared" si="3"/>
        <v>0</v>
      </c>
      <c r="U8" s="623"/>
      <c r="V8" s="623"/>
      <c r="W8" s="623"/>
      <c r="X8" s="623"/>
      <c r="Y8" s="623"/>
      <c r="Z8" s="623"/>
      <c r="AA8" s="623"/>
      <c r="AB8" s="623"/>
      <c r="AC8" s="623"/>
      <c r="AD8" s="623"/>
      <c r="AE8" s="623"/>
      <c r="AF8" s="623"/>
      <c r="AG8" s="717" t="e">
        <f t="shared" si="4"/>
        <v>#DIV/0!</v>
      </c>
      <c r="AH8" s="717">
        <v>0</v>
      </c>
      <c r="AI8" s="717">
        <v>0</v>
      </c>
      <c r="AJ8" s="717">
        <v>0</v>
      </c>
      <c r="AK8" s="717">
        <v>0</v>
      </c>
      <c r="AL8" s="717">
        <v>0</v>
      </c>
      <c r="AM8" s="717">
        <v>0</v>
      </c>
      <c r="AN8" s="717">
        <v>0</v>
      </c>
      <c r="AO8" s="717">
        <v>0</v>
      </c>
      <c r="AP8" s="717">
        <v>0</v>
      </c>
      <c r="AQ8" s="717">
        <v>0</v>
      </c>
      <c r="AR8" s="717">
        <v>0</v>
      </c>
      <c r="AS8" s="717">
        <v>0</v>
      </c>
      <c r="AT8" s="717">
        <f t="shared" si="5"/>
        <v>0</v>
      </c>
      <c r="AU8" s="718">
        <f>_xlfn.IFNA(VLOOKUP(A8&amp;B8,'[1]Management Report'!$F:$I,4,FALSE),0)</f>
        <v>0</v>
      </c>
      <c r="AV8" s="718"/>
    </row>
    <row r="9" spans="1:142" s="719" customFormat="1" ht="15" customHeight="1" x14ac:dyDescent="0.25">
      <c r="A9" s="703" t="s">
        <v>317</v>
      </c>
      <c r="B9" s="707" t="s">
        <v>204</v>
      </c>
      <c r="C9" s="621">
        <f>SUMIF($H$3:$S$3,$C$2,H9:S9)</f>
        <v>0</v>
      </c>
      <c r="D9" s="621">
        <f t="shared" si="2"/>
        <v>0</v>
      </c>
      <c r="E9" s="717">
        <f t="shared" si="0"/>
        <v>0</v>
      </c>
      <c r="F9" s="717"/>
      <c r="G9" s="717"/>
      <c r="H9" s="717">
        <v>0</v>
      </c>
      <c r="I9" s="717">
        <v>0</v>
      </c>
      <c r="J9" s="717">
        <v>0</v>
      </c>
      <c r="K9" s="717">
        <v>0</v>
      </c>
      <c r="L9" s="717"/>
      <c r="M9" s="717"/>
      <c r="N9" s="717"/>
      <c r="O9" s="717"/>
      <c r="P9" s="717"/>
      <c r="Q9" s="717"/>
      <c r="R9" s="718"/>
      <c r="S9" s="717"/>
      <c r="T9" s="717">
        <f t="shared" si="3"/>
        <v>0</v>
      </c>
      <c r="U9" s="622"/>
      <c r="V9" s="622"/>
      <c r="W9" s="622"/>
      <c r="X9" s="622"/>
      <c r="Y9" s="622"/>
      <c r="Z9" s="622"/>
      <c r="AA9" s="622"/>
      <c r="AB9" s="622"/>
      <c r="AC9" s="622"/>
      <c r="AD9" s="622"/>
      <c r="AE9" s="622"/>
      <c r="AF9" s="622"/>
      <c r="AG9" s="717" t="e">
        <f t="shared" si="4"/>
        <v>#DIV/0!</v>
      </c>
      <c r="AH9" s="717">
        <v>0</v>
      </c>
      <c r="AI9" s="717">
        <v>0</v>
      </c>
      <c r="AJ9" s="717">
        <v>0</v>
      </c>
      <c r="AK9" s="717">
        <v>0</v>
      </c>
      <c r="AL9" s="717">
        <v>0</v>
      </c>
      <c r="AM9" s="717">
        <v>0</v>
      </c>
      <c r="AN9" s="717">
        <v>0</v>
      </c>
      <c r="AO9" s="717">
        <v>0</v>
      </c>
      <c r="AP9" s="717">
        <v>0</v>
      </c>
      <c r="AQ9" s="717">
        <v>0</v>
      </c>
      <c r="AR9" s="717">
        <v>0</v>
      </c>
      <c r="AS9" s="717">
        <v>0</v>
      </c>
      <c r="AT9" s="717">
        <f t="shared" si="5"/>
        <v>0</v>
      </c>
      <c r="AU9" s="718">
        <f>_xlfn.IFNA(VLOOKUP(A9&amp;B9,'[1]Management Report'!$F:$I,4,FALSE),0)</f>
        <v>0</v>
      </c>
      <c r="AV9" s="718"/>
    </row>
    <row r="10" spans="1:142" s="719" customFormat="1" ht="15" customHeight="1" x14ac:dyDescent="0.25">
      <c r="A10" s="778" t="s">
        <v>318</v>
      </c>
      <c r="B10" s="779" t="s">
        <v>202</v>
      </c>
      <c r="C10" s="780">
        <f t="shared" ref="C10:C73" si="6">SUMIF($H$3:$S$3,$C$2,H10:S10)</f>
        <v>0.96608114035087722</v>
      </c>
      <c r="D10" s="780">
        <f t="shared" si="2"/>
        <v>0</v>
      </c>
      <c r="E10" s="781">
        <f t="shared" si="0"/>
        <v>1.29</v>
      </c>
      <c r="F10" s="781"/>
      <c r="G10" s="781"/>
      <c r="H10" s="781">
        <f>H4+H7</f>
        <v>0.76458355263157896</v>
      </c>
      <c r="I10" s="781">
        <f>I4+I7</f>
        <v>0.79155657894736853</v>
      </c>
      <c r="J10" s="781">
        <f t="shared" ref="J10:S12" si="7">J4+J7</f>
        <v>0.78190789473684208</v>
      </c>
      <c r="K10" s="781">
        <f t="shared" si="7"/>
        <v>0.96608114035087722</v>
      </c>
      <c r="L10" s="781">
        <f t="shared" si="7"/>
        <v>0</v>
      </c>
      <c r="M10" s="781">
        <f t="shared" si="7"/>
        <v>0</v>
      </c>
      <c r="N10" s="781">
        <f t="shared" si="7"/>
        <v>0</v>
      </c>
      <c r="O10" s="781">
        <f t="shared" si="7"/>
        <v>0</v>
      </c>
      <c r="P10" s="781">
        <f t="shared" si="7"/>
        <v>0</v>
      </c>
      <c r="Q10" s="781">
        <f t="shared" si="7"/>
        <v>0</v>
      </c>
      <c r="R10" s="782">
        <f t="shared" si="7"/>
        <v>0</v>
      </c>
      <c r="S10" s="782">
        <f t="shared" si="7"/>
        <v>0</v>
      </c>
      <c r="T10" s="781">
        <f t="shared" si="3"/>
        <v>0.27534409722222219</v>
      </c>
      <c r="U10" s="781"/>
      <c r="V10" s="781"/>
      <c r="W10" s="781"/>
      <c r="X10" s="781"/>
      <c r="Y10" s="781"/>
      <c r="Z10" s="781"/>
      <c r="AA10" s="781"/>
      <c r="AB10" s="781"/>
      <c r="AC10" s="781"/>
      <c r="AD10" s="781"/>
      <c r="AE10" s="781"/>
      <c r="AF10" s="781"/>
      <c r="AG10" s="781" t="e">
        <f t="shared" si="4"/>
        <v>#DIV/0!</v>
      </c>
      <c r="AH10" s="781">
        <v>2.31</v>
      </c>
      <c r="AI10" s="781">
        <v>1.35</v>
      </c>
      <c r="AJ10" s="781">
        <v>1.29</v>
      </c>
      <c r="AK10" s="781">
        <v>1.29</v>
      </c>
      <c r="AL10" s="781">
        <v>1.32</v>
      </c>
      <c r="AM10" s="781">
        <v>1.25</v>
      </c>
      <c r="AN10" s="781">
        <v>1.44</v>
      </c>
      <c r="AO10" s="781">
        <v>1.2</v>
      </c>
      <c r="AP10" s="781">
        <v>1.3</v>
      </c>
      <c r="AQ10" s="781">
        <v>1.27</v>
      </c>
      <c r="AR10" s="781">
        <v>0.6</v>
      </c>
      <c r="AS10" s="781">
        <v>1.34</v>
      </c>
      <c r="AT10" s="781">
        <f t="shared" si="5"/>
        <v>1.6500000000000001</v>
      </c>
      <c r="AU10" s="718"/>
      <c r="AV10" s="718"/>
    </row>
    <row r="11" spans="1:142" s="719" customFormat="1" ht="15" customHeight="1" x14ac:dyDescent="0.25">
      <c r="A11" s="778" t="s">
        <v>318</v>
      </c>
      <c r="B11" s="779" t="s">
        <v>203</v>
      </c>
      <c r="C11" s="780">
        <f t="shared" si="6"/>
        <v>0.66608114035087718</v>
      </c>
      <c r="D11" s="780">
        <f t="shared" si="2"/>
        <v>0</v>
      </c>
      <c r="E11" s="781">
        <f t="shared" si="0"/>
        <v>1.04</v>
      </c>
      <c r="F11" s="781"/>
      <c r="G11" s="781"/>
      <c r="H11" s="781">
        <f t="shared" ref="H11:I12" si="8">H5+H8</f>
        <v>0.66458355263157898</v>
      </c>
      <c r="I11" s="781">
        <f t="shared" si="8"/>
        <v>0.79155657894736853</v>
      </c>
      <c r="J11" s="781">
        <f t="shared" si="7"/>
        <v>0.78190789473684208</v>
      </c>
      <c r="K11" s="781">
        <f t="shared" si="7"/>
        <v>0.66608114035087718</v>
      </c>
      <c r="L11" s="781">
        <f t="shared" si="7"/>
        <v>0</v>
      </c>
      <c r="M11" s="781">
        <f t="shared" si="7"/>
        <v>0</v>
      </c>
      <c r="N11" s="781">
        <f t="shared" si="7"/>
        <v>0</v>
      </c>
      <c r="O11" s="781">
        <f t="shared" si="7"/>
        <v>0</v>
      </c>
      <c r="P11" s="781">
        <f t="shared" si="7"/>
        <v>0</v>
      </c>
      <c r="Q11" s="781">
        <f t="shared" si="7"/>
        <v>0</v>
      </c>
      <c r="R11" s="782">
        <f t="shared" si="7"/>
        <v>0</v>
      </c>
      <c r="S11" s="782">
        <f t="shared" si="7"/>
        <v>0</v>
      </c>
      <c r="T11" s="781">
        <f t="shared" si="3"/>
        <v>0.2420107638888889</v>
      </c>
      <c r="U11" s="781"/>
      <c r="V11" s="781"/>
      <c r="W11" s="781"/>
      <c r="X11" s="781"/>
      <c r="Y11" s="781"/>
      <c r="Z11" s="781"/>
      <c r="AA11" s="781"/>
      <c r="AB11" s="781"/>
      <c r="AC11" s="781"/>
      <c r="AD11" s="781"/>
      <c r="AE11" s="781"/>
      <c r="AF11" s="781"/>
      <c r="AG11" s="781" t="e">
        <f t="shared" si="4"/>
        <v>#DIV/0!</v>
      </c>
      <c r="AH11" s="781">
        <v>2.21</v>
      </c>
      <c r="AI11" s="781">
        <v>1.29</v>
      </c>
      <c r="AJ11" s="781">
        <v>1.0900000000000001</v>
      </c>
      <c r="AK11" s="781">
        <v>1.04</v>
      </c>
      <c r="AL11" s="781">
        <v>1.17</v>
      </c>
      <c r="AM11" s="781">
        <v>1.1100000000000001</v>
      </c>
      <c r="AN11" s="781">
        <v>1.0900000000000001</v>
      </c>
      <c r="AO11" s="781">
        <v>1</v>
      </c>
      <c r="AP11" s="781">
        <v>1</v>
      </c>
      <c r="AQ11" s="781">
        <v>0.56999999999999995</v>
      </c>
      <c r="AR11" s="781">
        <v>0.6</v>
      </c>
      <c r="AS11" s="781">
        <v>1.34</v>
      </c>
      <c r="AT11" s="781">
        <f t="shared" si="5"/>
        <v>1.53</v>
      </c>
      <c r="AU11" s="718"/>
      <c r="AV11" s="718"/>
    </row>
    <row r="12" spans="1:142" s="719" customFormat="1" ht="15" customHeight="1" x14ac:dyDescent="0.25">
      <c r="A12" s="778" t="s">
        <v>318</v>
      </c>
      <c r="B12" s="779" t="s">
        <v>204</v>
      </c>
      <c r="C12" s="780">
        <f t="shared" si="6"/>
        <v>0.17865438596491226</v>
      </c>
      <c r="D12" s="780">
        <f t="shared" si="2"/>
        <v>0</v>
      </c>
      <c r="E12" s="781">
        <f>SUMIF($AH$3:$AS$3,$E$2,AH12:AS108)</f>
        <v>0.14000000000000001</v>
      </c>
      <c r="F12" s="781"/>
      <c r="G12" s="781"/>
      <c r="H12" s="781">
        <f t="shared" si="8"/>
        <v>3.4868421052631576E-2</v>
      </c>
      <c r="I12" s="781">
        <f t="shared" si="8"/>
        <v>3.2894736842105262E-4</v>
      </c>
      <c r="J12" s="781">
        <f t="shared" si="7"/>
        <v>3.8267763157894735E-2</v>
      </c>
      <c r="K12" s="781">
        <f t="shared" si="7"/>
        <v>0.17865438596491226</v>
      </c>
      <c r="L12" s="781">
        <f t="shared" si="7"/>
        <v>0</v>
      </c>
      <c r="M12" s="781">
        <f t="shared" si="7"/>
        <v>0</v>
      </c>
      <c r="N12" s="781">
        <f t="shared" si="7"/>
        <v>0</v>
      </c>
      <c r="O12" s="781">
        <f t="shared" si="7"/>
        <v>0</v>
      </c>
      <c r="P12" s="781">
        <f t="shared" si="7"/>
        <v>0</v>
      </c>
      <c r="Q12" s="781">
        <f t="shared" si="7"/>
        <v>0</v>
      </c>
      <c r="R12" s="782">
        <f t="shared" si="7"/>
        <v>0</v>
      </c>
      <c r="S12" s="782">
        <f t="shared" si="7"/>
        <v>0</v>
      </c>
      <c r="T12" s="781">
        <f t="shared" si="3"/>
        <v>2.1009959795321637E-2</v>
      </c>
      <c r="U12" s="783"/>
      <c r="V12" s="783"/>
      <c r="W12" s="783"/>
      <c r="X12" s="783"/>
      <c r="Y12" s="783"/>
      <c r="Z12" s="783"/>
      <c r="AA12" s="783"/>
      <c r="AB12" s="783"/>
      <c r="AC12" s="783"/>
      <c r="AD12" s="783"/>
      <c r="AE12" s="783"/>
      <c r="AF12" s="783"/>
      <c r="AG12" s="781" t="e">
        <f t="shared" si="4"/>
        <v>#DIV/0!</v>
      </c>
      <c r="AH12" s="781">
        <v>0.16</v>
      </c>
      <c r="AI12" s="781">
        <v>0.15</v>
      </c>
      <c r="AJ12" s="781">
        <v>0.11</v>
      </c>
      <c r="AK12" s="781">
        <v>0.14000000000000001</v>
      </c>
      <c r="AL12" s="781">
        <v>0.13</v>
      </c>
      <c r="AM12" s="781">
        <v>0.04</v>
      </c>
      <c r="AN12" s="781">
        <v>0.26</v>
      </c>
      <c r="AO12" s="781">
        <v>0.05</v>
      </c>
      <c r="AP12" s="781">
        <v>7.0000000000000007E-2</v>
      </c>
      <c r="AQ12" s="781">
        <v>0.12</v>
      </c>
      <c r="AR12" s="781">
        <v>0</v>
      </c>
      <c r="AS12" s="781">
        <v>0.3</v>
      </c>
      <c r="AT12" s="781">
        <f t="shared" si="5"/>
        <v>0.13999999999999999</v>
      </c>
      <c r="AU12" s="718"/>
      <c r="AV12" s="718"/>
    </row>
    <row r="13" spans="1:142" s="719" customFormat="1" ht="15" customHeight="1" outlineLevel="1" x14ac:dyDescent="0.25">
      <c r="A13" s="703" t="s">
        <v>319</v>
      </c>
      <c r="B13" s="707" t="s">
        <v>202</v>
      </c>
      <c r="C13" s="621">
        <f t="shared" si="6"/>
        <v>0</v>
      </c>
      <c r="D13" s="621">
        <f t="shared" si="2"/>
        <v>0</v>
      </c>
      <c r="E13" s="717">
        <f>SUMIF($AH$3:$AS$3,$E$2,AH13:AS109)</f>
        <v>0</v>
      </c>
      <c r="F13" s="717"/>
      <c r="G13" s="717"/>
      <c r="H13" s="717">
        <v>0</v>
      </c>
      <c r="I13" s="717">
        <v>0</v>
      </c>
      <c r="J13" s="717">
        <v>0</v>
      </c>
      <c r="K13" s="717">
        <v>0</v>
      </c>
      <c r="L13" s="717"/>
      <c r="M13" s="717"/>
      <c r="N13" s="717"/>
      <c r="O13" s="717"/>
      <c r="P13" s="717"/>
      <c r="Q13" s="717"/>
      <c r="R13" s="718"/>
      <c r="S13" s="717"/>
      <c r="T13" s="717">
        <f t="shared" si="3"/>
        <v>0</v>
      </c>
      <c r="U13" s="622"/>
      <c r="V13" s="622"/>
      <c r="W13" s="622"/>
      <c r="X13" s="622"/>
      <c r="Y13" s="622"/>
      <c r="Z13" s="622"/>
      <c r="AA13" s="622"/>
      <c r="AB13" s="622"/>
      <c r="AC13" s="622"/>
      <c r="AD13" s="622"/>
      <c r="AE13" s="622"/>
      <c r="AF13" s="622"/>
      <c r="AG13" s="717" t="e">
        <f t="shared" si="4"/>
        <v>#DIV/0!</v>
      </c>
      <c r="AH13" s="717">
        <v>0</v>
      </c>
      <c r="AI13" s="717">
        <v>0</v>
      </c>
      <c r="AJ13" s="717">
        <v>0</v>
      </c>
      <c r="AK13" s="717">
        <v>0</v>
      </c>
      <c r="AL13" s="717">
        <v>0</v>
      </c>
      <c r="AM13" s="717">
        <v>0</v>
      </c>
      <c r="AN13" s="717">
        <v>0</v>
      </c>
      <c r="AO13" s="717">
        <v>0</v>
      </c>
      <c r="AP13" s="717">
        <v>0</v>
      </c>
      <c r="AQ13" s="717">
        <v>0</v>
      </c>
      <c r="AR13" s="717">
        <v>0</v>
      </c>
      <c r="AS13" s="717">
        <v>0</v>
      </c>
      <c r="AT13" s="717">
        <f t="shared" si="5"/>
        <v>0</v>
      </c>
      <c r="AU13" s="718">
        <f>_xlfn.IFNA(VLOOKUP(A13&amp;B13,'[1]Management Report'!$F:$I,4,FALSE),0)</f>
        <v>0</v>
      </c>
      <c r="AV13" s="718"/>
    </row>
    <row r="14" spans="1:142" s="719" customFormat="1" ht="15" customHeight="1" outlineLevel="1" x14ac:dyDescent="0.25">
      <c r="A14" s="703" t="s">
        <v>319</v>
      </c>
      <c r="B14" s="707" t="s">
        <v>203</v>
      </c>
      <c r="C14" s="621">
        <f t="shared" si="6"/>
        <v>0</v>
      </c>
      <c r="D14" s="621">
        <f t="shared" si="2"/>
        <v>0</v>
      </c>
      <c r="E14" s="717">
        <f>SUMIF($AH$3:$AS$3,$E$2,AH14:AS110)</f>
        <v>0</v>
      </c>
      <c r="F14" s="717"/>
      <c r="G14" s="717"/>
      <c r="H14" s="717">
        <v>0</v>
      </c>
      <c r="I14" s="717">
        <v>0</v>
      </c>
      <c r="J14" s="717">
        <v>0</v>
      </c>
      <c r="K14" s="717">
        <v>0</v>
      </c>
      <c r="L14" s="717"/>
      <c r="M14" s="717"/>
      <c r="N14" s="717"/>
      <c r="O14" s="717"/>
      <c r="P14" s="717"/>
      <c r="Q14" s="717"/>
      <c r="R14" s="718"/>
      <c r="S14" s="717"/>
      <c r="T14" s="717">
        <f t="shared" si="3"/>
        <v>0</v>
      </c>
      <c r="U14" s="622"/>
      <c r="V14" s="622"/>
      <c r="W14" s="622"/>
      <c r="X14" s="622"/>
      <c r="Y14" s="622"/>
      <c r="Z14" s="622"/>
      <c r="AA14" s="622"/>
      <c r="AB14" s="622"/>
      <c r="AC14" s="622"/>
      <c r="AD14" s="622"/>
      <c r="AE14" s="622"/>
      <c r="AF14" s="622"/>
      <c r="AG14" s="717" t="e">
        <f t="shared" si="4"/>
        <v>#DIV/0!</v>
      </c>
      <c r="AH14" s="717">
        <v>0</v>
      </c>
      <c r="AI14" s="717">
        <v>0</v>
      </c>
      <c r="AJ14" s="717">
        <v>0</v>
      </c>
      <c r="AK14" s="717">
        <v>0</v>
      </c>
      <c r="AL14" s="717">
        <v>0</v>
      </c>
      <c r="AM14" s="717">
        <v>0</v>
      </c>
      <c r="AN14" s="717">
        <v>0</v>
      </c>
      <c r="AO14" s="717">
        <v>0</v>
      </c>
      <c r="AP14" s="717">
        <v>0</v>
      </c>
      <c r="AQ14" s="717">
        <v>0</v>
      </c>
      <c r="AR14" s="717">
        <v>0</v>
      </c>
      <c r="AS14" s="717">
        <v>0</v>
      </c>
      <c r="AT14" s="717">
        <f t="shared" si="5"/>
        <v>0</v>
      </c>
      <c r="AU14" s="718">
        <f>_xlfn.IFNA(VLOOKUP(A14&amp;B14,'[1]Management Report'!$F:$I,4,FALSE),0)</f>
        <v>0</v>
      </c>
      <c r="AV14" s="718"/>
    </row>
    <row r="15" spans="1:142" s="719" customFormat="1" ht="15" customHeight="1" outlineLevel="1" x14ac:dyDescent="0.25">
      <c r="A15" s="703" t="s">
        <v>319</v>
      </c>
      <c r="B15" s="707" t="s">
        <v>204</v>
      </c>
      <c r="C15" s="621">
        <f t="shared" si="6"/>
        <v>0</v>
      </c>
      <c r="D15" s="621">
        <f t="shared" si="2"/>
        <v>0</v>
      </c>
      <c r="E15" s="717">
        <f>SUMIF($AH$3:$AS$3,$E$2,AH15:AS112)</f>
        <v>0</v>
      </c>
      <c r="F15" s="717"/>
      <c r="G15" s="717"/>
      <c r="H15" s="717">
        <v>0</v>
      </c>
      <c r="I15" s="717">
        <v>0</v>
      </c>
      <c r="J15" s="717">
        <v>0</v>
      </c>
      <c r="K15" s="717">
        <v>0</v>
      </c>
      <c r="L15" s="717"/>
      <c r="M15" s="717"/>
      <c r="N15" s="717"/>
      <c r="O15" s="717"/>
      <c r="P15" s="717"/>
      <c r="Q15" s="717"/>
      <c r="R15" s="718"/>
      <c r="S15" s="717"/>
      <c r="T15" s="717">
        <f t="shared" si="3"/>
        <v>0</v>
      </c>
      <c r="U15" s="622"/>
      <c r="V15" s="622"/>
      <c r="W15" s="622"/>
      <c r="X15" s="622"/>
      <c r="Y15" s="622"/>
      <c r="Z15" s="622"/>
      <c r="AA15" s="622"/>
      <c r="AB15" s="622"/>
      <c r="AC15" s="622"/>
      <c r="AD15" s="622"/>
      <c r="AE15" s="622"/>
      <c r="AF15" s="622"/>
      <c r="AG15" s="717" t="e">
        <f t="shared" si="4"/>
        <v>#DIV/0!</v>
      </c>
      <c r="AH15" s="717">
        <v>0</v>
      </c>
      <c r="AI15" s="717">
        <v>0</v>
      </c>
      <c r="AJ15" s="717">
        <v>0</v>
      </c>
      <c r="AK15" s="717">
        <v>0</v>
      </c>
      <c r="AL15" s="717">
        <v>0</v>
      </c>
      <c r="AM15" s="717">
        <v>0</v>
      </c>
      <c r="AN15" s="717">
        <v>0</v>
      </c>
      <c r="AO15" s="717">
        <v>0</v>
      </c>
      <c r="AP15" s="717">
        <v>0</v>
      </c>
      <c r="AQ15" s="717">
        <v>0</v>
      </c>
      <c r="AR15" s="717">
        <v>0</v>
      </c>
      <c r="AS15" s="717">
        <v>0</v>
      </c>
      <c r="AT15" s="717">
        <f t="shared" si="5"/>
        <v>0</v>
      </c>
      <c r="AU15" s="718">
        <f>_xlfn.IFNA(VLOOKUP(A15&amp;B15,'[1]Management Report'!$F:$I,4,FALSE),0)</f>
        <v>0</v>
      </c>
      <c r="AV15" s="718"/>
    </row>
    <row r="16" spans="1:142" s="719" customFormat="1" ht="15" customHeight="1" outlineLevel="1" x14ac:dyDescent="0.25">
      <c r="A16" s="703" t="s">
        <v>320</v>
      </c>
      <c r="B16" s="707" t="s">
        <v>202</v>
      </c>
      <c r="C16" s="621">
        <f t="shared" si="6"/>
        <v>0</v>
      </c>
      <c r="D16" s="621">
        <f t="shared" si="2"/>
        <v>0</v>
      </c>
      <c r="E16" s="717">
        <f>SUMIF($AH$3:$AS$3,$E$2,AH16:AS113)</f>
        <v>0</v>
      </c>
      <c r="F16" s="717"/>
      <c r="G16" s="717"/>
      <c r="H16" s="717">
        <v>0</v>
      </c>
      <c r="I16" s="717">
        <v>0</v>
      </c>
      <c r="J16" s="717">
        <v>0</v>
      </c>
      <c r="K16" s="717">
        <v>0</v>
      </c>
      <c r="L16" s="717"/>
      <c r="M16" s="717"/>
      <c r="N16" s="717"/>
      <c r="O16" s="717"/>
      <c r="P16" s="717"/>
      <c r="Q16" s="717"/>
      <c r="R16" s="718"/>
      <c r="S16" s="717"/>
      <c r="T16" s="717">
        <f t="shared" si="3"/>
        <v>0</v>
      </c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717" t="e">
        <f t="shared" si="4"/>
        <v>#DIV/0!</v>
      </c>
      <c r="AH16" s="717">
        <v>0</v>
      </c>
      <c r="AI16" s="717">
        <v>0</v>
      </c>
      <c r="AJ16" s="717">
        <v>0</v>
      </c>
      <c r="AK16" s="717">
        <v>0</v>
      </c>
      <c r="AL16" s="717">
        <v>0</v>
      </c>
      <c r="AM16" s="717">
        <v>0</v>
      </c>
      <c r="AN16" s="717">
        <v>0</v>
      </c>
      <c r="AO16" s="717">
        <v>0</v>
      </c>
      <c r="AP16" s="717">
        <v>0</v>
      </c>
      <c r="AQ16" s="717">
        <v>0</v>
      </c>
      <c r="AR16" s="717">
        <v>0</v>
      </c>
      <c r="AS16" s="717">
        <v>0</v>
      </c>
      <c r="AT16" s="717">
        <f t="shared" si="5"/>
        <v>0</v>
      </c>
      <c r="AU16" s="718">
        <f>_xlfn.IFNA(VLOOKUP(A16&amp;B16,'[1]Management Report'!$F:$I,4,FALSE),0)</f>
        <v>0</v>
      </c>
      <c r="AV16" s="718"/>
    </row>
    <row r="17" spans="1:48" s="719" customFormat="1" ht="15" customHeight="1" outlineLevel="1" x14ac:dyDescent="0.25">
      <c r="A17" s="703" t="s">
        <v>320</v>
      </c>
      <c r="B17" s="707" t="s">
        <v>203</v>
      </c>
      <c r="C17" s="621">
        <f t="shared" si="6"/>
        <v>0</v>
      </c>
      <c r="D17" s="621">
        <f t="shared" si="2"/>
        <v>0</v>
      </c>
      <c r="E17" s="717">
        <f>SUMIF($AH$3:$AS$3,$E$2,AH17:AS114)</f>
        <v>0</v>
      </c>
      <c r="F17" s="717"/>
      <c r="G17" s="717"/>
      <c r="H17" s="717">
        <v>0</v>
      </c>
      <c r="I17" s="717">
        <v>0</v>
      </c>
      <c r="J17" s="717">
        <v>0</v>
      </c>
      <c r="K17" s="717">
        <v>0</v>
      </c>
      <c r="L17" s="717"/>
      <c r="M17" s="717"/>
      <c r="N17" s="717"/>
      <c r="O17" s="717"/>
      <c r="P17" s="717"/>
      <c r="Q17" s="717"/>
      <c r="R17" s="718"/>
      <c r="S17" s="717"/>
      <c r="T17" s="717">
        <f t="shared" si="3"/>
        <v>0</v>
      </c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717" t="e">
        <f t="shared" si="4"/>
        <v>#DIV/0!</v>
      </c>
      <c r="AH17" s="717">
        <v>0</v>
      </c>
      <c r="AI17" s="717">
        <v>0</v>
      </c>
      <c r="AJ17" s="717">
        <v>0</v>
      </c>
      <c r="AK17" s="717">
        <v>0</v>
      </c>
      <c r="AL17" s="717">
        <v>0</v>
      </c>
      <c r="AM17" s="717">
        <v>0</v>
      </c>
      <c r="AN17" s="717">
        <v>0</v>
      </c>
      <c r="AO17" s="717">
        <v>0</v>
      </c>
      <c r="AP17" s="717">
        <v>0</v>
      </c>
      <c r="AQ17" s="717">
        <v>0</v>
      </c>
      <c r="AR17" s="717">
        <v>0</v>
      </c>
      <c r="AS17" s="717">
        <v>0</v>
      </c>
      <c r="AT17" s="717">
        <f t="shared" si="5"/>
        <v>0</v>
      </c>
      <c r="AU17" s="718">
        <f>_xlfn.IFNA(VLOOKUP(A17&amp;B17,'[1]Management Report'!$F:$I,4,FALSE),0)</f>
        <v>0</v>
      </c>
      <c r="AV17" s="718"/>
    </row>
    <row r="18" spans="1:48" s="719" customFormat="1" ht="15" customHeight="1" outlineLevel="1" x14ac:dyDescent="0.25">
      <c r="A18" s="703" t="s">
        <v>320</v>
      </c>
      <c r="B18" s="707" t="s">
        <v>204</v>
      </c>
      <c r="C18" s="621">
        <f t="shared" si="6"/>
        <v>0</v>
      </c>
      <c r="D18" s="621">
        <f t="shared" si="2"/>
        <v>0</v>
      </c>
      <c r="E18" s="717">
        <f>SUMIF($AH$3:$AS$3,$E$2,AH18:AS116)</f>
        <v>0</v>
      </c>
      <c r="F18" s="717"/>
      <c r="G18" s="717"/>
      <c r="H18" s="717">
        <v>0</v>
      </c>
      <c r="I18" s="717">
        <v>0</v>
      </c>
      <c r="J18" s="717">
        <v>0</v>
      </c>
      <c r="K18" s="717">
        <v>0</v>
      </c>
      <c r="L18" s="717"/>
      <c r="M18" s="717"/>
      <c r="N18" s="717"/>
      <c r="O18" s="717"/>
      <c r="P18" s="717"/>
      <c r="Q18" s="717"/>
      <c r="R18" s="718"/>
      <c r="S18" s="717"/>
      <c r="T18" s="717">
        <f t="shared" si="3"/>
        <v>0</v>
      </c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717" t="e">
        <f t="shared" si="4"/>
        <v>#DIV/0!</v>
      </c>
      <c r="AH18" s="717">
        <v>0</v>
      </c>
      <c r="AI18" s="717">
        <v>0</v>
      </c>
      <c r="AJ18" s="717">
        <v>0</v>
      </c>
      <c r="AK18" s="717">
        <v>0</v>
      </c>
      <c r="AL18" s="717">
        <v>0</v>
      </c>
      <c r="AM18" s="717">
        <v>0</v>
      </c>
      <c r="AN18" s="717">
        <v>0</v>
      </c>
      <c r="AO18" s="717">
        <v>0</v>
      </c>
      <c r="AP18" s="717">
        <v>0</v>
      </c>
      <c r="AQ18" s="717">
        <v>0</v>
      </c>
      <c r="AR18" s="717">
        <v>0</v>
      </c>
      <c r="AS18" s="717">
        <v>0</v>
      </c>
      <c r="AT18" s="717">
        <f t="shared" si="5"/>
        <v>0</v>
      </c>
      <c r="AU18" s="718">
        <f>_xlfn.IFNA(VLOOKUP(A18&amp;B18,'[1]Management Report'!$F:$I,4,FALSE),0)</f>
        <v>0</v>
      </c>
      <c r="AV18" s="718"/>
    </row>
    <row r="19" spans="1:48" s="719" customFormat="1" ht="15" customHeight="1" outlineLevel="1" x14ac:dyDescent="0.25">
      <c r="A19" s="703" t="s">
        <v>321</v>
      </c>
      <c r="B19" s="707" t="s">
        <v>202</v>
      </c>
      <c r="C19" s="621">
        <f t="shared" si="6"/>
        <v>0</v>
      </c>
      <c r="D19" s="621">
        <f t="shared" si="2"/>
        <v>0</v>
      </c>
      <c r="E19" s="717">
        <f>SUMIF($AH$3:$AS$3,$E$2,AH19:AS117)</f>
        <v>0</v>
      </c>
      <c r="F19" s="717"/>
      <c r="G19" s="717"/>
      <c r="H19" s="717">
        <v>0</v>
      </c>
      <c r="I19" s="717">
        <v>0</v>
      </c>
      <c r="J19" s="717">
        <v>0</v>
      </c>
      <c r="K19" s="717">
        <v>0</v>
      </c>
      <c r="L19" s="717"/>
      <c r="M19" s="717"/>
      <c r="N19" s="717"/>
      <c r="O19" s="717"/>
      <c r="P19" s="717"/>
      <c r="Q19" s="717"/>
      <c r="R19" s="718"/>
      <c r="S19" s="717"/>
      <c r="T19" s="717">
        <f t="shared" si="3"/>
        <v>0</v>
      </c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717" t="e">
        <f t="shared" si="4"/>
        <v>#DIV/0!</v>
      </c>
      <c r="AH19" s="717">
        <v>0</v>
      </c>
      <c r="AI19" s="717">
        <v>0</v>
      </c>
      <c r="AJ19" s="717">
        <v>0</v>
      </c>
      <c r="AK19" s="717">
        <v>0</v>
      </c>
      <c r="AL19" s="717">
        <v>0</v>
      </c>
      <c r="AM19" s="717">
        <v>0</v>
      </c>
      <c r="AN19" s="717">
        <v>0</v>
      </c>
      <c r="AO19" s="717">
        <v>0</v>
      </c>
      <c r="AP19" s="717">
        <v>0</v>
      </c>
      <c r="AQ19" s="717">
        <v>0</v>
      </c>
      <c r="AR19" s="717">
        <v>0</v>
      </c>
      <c r="AS19" s="717">
        <v>0</v>
      </c>
      <c r="AT19" s="717">
        <f t="shared" si="5"/>
        <v>0</v>
      </c>
      <c r="AU19" s="718">
        <f>_xlfn.IFNA(VLOOKUP(A19&amp;B19,'[1]Management Report'!$F:$I,4,FALSE),0)</f>
        <v>0</v>
      </c>
      <c r="AV19" s="718"/>
    </row>
    <row r="20" spans="1:48" s="719" customFormat="1" ht="15" customHeight="1" outlineLevel="1" x14ac:dyDescent="0.25">
      <c r="A20" s="703" t="s">
        <v>321</v>
      </c>
      <c r="B20" s="707" t="s">
        <v>203</v>
      </c>
      <c r="C20" s="621">
        <f t="shared" si="6"/>
        <v>0</v>
      </c>
      <c r="D20" s="621">
        <f t="shared" si="2"/>
        <v>0</v>
      </c>
      <c r="E20" s="717">
        <f>SUMIF($AH$3:$AS$3,$E$2,AH20:AS118)</f>
        <v>0</v>
      </c>
      <c r="F20" s="717"/>
      <c r="G20" s="717"/>
      <c r="H20" s="717">
        <v>0</v>
      </c>
      <c r="I20" s="717">
        <v>0</v>
      </c>
      <c r="J20" s="717">
        <v>0</v>
      </c>
      <c r="K20" s="717">
        <v>0</v>
      </c>
      <c r="L20" s="717"/>
      <c r="M20" s="717"/>
      <c r="N20" s="717"/>
      <c r="O20" s="717"/>
      <c r="P20" s="717"/>
      <c r="Q20" s="717"/>
      <c r="R20" s="718"/>
      <c r="S20" s="717"/>
      <c r="T20" s="717">
        <f t="shared" si="3"/>
        <v>0</v>
      </c>
      <c r="U20" s="622"/>
      <c r="V20" s="622"/>
      <c r="W20" s="622"/>
      <c r="X20" s="622"/>
      <c r="Y20" s="622"/>
      <c r="Z20" s="622"/>
      <c r="AA20" s="622"/>
      <c r="AB20" s="622"/>
      <c r="AC20" s="622"/>
      <c r="AD20" s="622"/>
      <c r="AE20" s="622"/>
      <c r="AF20" s="622"/>
      <c r="AG20" s="717" t="e">
        <f t="shared" si="4"/>
        <v>#DIV/0!</v>
      </c>
      <c r="AH20" s="717">
        <v>0</v>
      </c>
      <c r="AI20" s="717">
        <v>0</v>
      </c>
      <c r="AJ20" s="717">
        <v>0</v>
      </c>
      <c r="AK20" s="717">
        <v>0</v>
      </c>
      <c r="AL20" s="717">
        <v>0</v>
      </c>
      <c r="AM20" s="717">
        <v>0</v>
      </c>
      <c r="AN20" s="717">
        <v>0</v>
      </c>
      <c r="AO20" s="717">
        <v>0</v>
      </c>
      <c r="AP20" s="717">
        <v>0</v>
      </c>
      <c r="AQ20" s="717">
        <v>0</v>
      </c>
      <c r="AR20" s="717">
        <v>0</v>
      </c>
      <c r="AS20" s="717">
        <v>0</v>
      </c>
      <c r="AT20" s="717">
        <f t="shared" si="5"/>
        <v>0</v>
      </c>
      <c r="AU20" s="718">
        <f>_xlfn.IFNA(VLOOKUP(A20&amp;B20,'[1]Management Report'!$F:$I,4,FALSE),0)</f>
        <v>0</v>
      </c>
      <c r="AV20" s="718"/>
    </row>
    <row r="21" spans="1:48" s="719" customFormat="1" ht="15" customHeight="1" outlineLevel="1" x14ac:dyDescent="0.25">
      <c r="A21" s="703" t="s">
        <v>321</v>
      </c>
      <c r="B21" s="707" t="s">
        <v>204</v>
      </c>
      <c r="C21" s="621">
        <f t="shared" si="6"/>
        <v>0</v>
      </c>
      <c r="D21" s="621">
        <f t="shared" si="2"/>
        <v>0</v>
      </c>
      <c r="E21" s="717">
        <f>SUMIF($AH$3:$AS$3,$E$2,AH21:AS120)</f>
        <v>0</v>
      </c>
      <c r="F21" s="717"/>
      <c r="G21" s="717"/>
      <c r="H21" s="717">
        <v>0</v>
      </c>
      <c r="I21" s="717">
        <v>0</v>
      </c>
      <c r="J21" s="717">
        <v>0</v>
      </c>
      <c r="K21" s="717">
        <v>0</v>
      </c>
      <c r="L21" s="717"/>
      <c r="M21" s="717"/>
      <c r="N21" s="717"/>
      <c r="O21" s="717"/>
      <c r="P21" s="717"/>
      <c r="Q21" s="717"/>
      <c r="R21" s="718"/>
      <c r="S21" s="717"/>
      <c r="T21" s="717">
        <f t="shared" si="3"/>
        <v>0</v>
      </c>
      <c r="U21" s="622"/>
      <c r="V21" s="622"/>
      <c r="W21" s="622"/>
      <c r="X21" s="622"/>
      <c r="Y21" s="622"/>
      <c r="Z21" s="622"/>
      <c r="AA21" s="622"/>
      <c r="AB21" s="622"/>
      <c r="AC21" s="622"/>
      <c r="AD21" s="622"/>
      <c r="AE21" s="622"/>
      <c r="AF21" s="622"/>
      <c r="AG21" s="717" t="e">
        <f t="shared" si="4"/>
        <v>#DIV/0!</v>
      </c>
      <c r="AH21" s="717">
        <v>0</v>
      </c>
      <c r="AI21" s="717">
        <v>0</v>
      </c>
      <c r="AJ21" s="717">
        <v>0</v>
      </c>
      <c r="AK21" s="717">
        <v>0</v>
      </c>
      <c r="AL21" s="717">
        <v>0</v>
      </c>
      <c r="AM21" s="717">
        <v>0</v>
      </c>
      <c r="AN21" s="717">
        <v>0</v>
      </c>
      <c r="AO21" s="717">
        <v>0</v>
      </c>
      <c r="AP21" s="717">
        <v>0</v>
      </c>
      <c r="AQ21" s="717">
        <v>0</v>
      </c>
      <c r="AR21" s="717">
        <v>0</v>
      </c>
      <c r="AS21" s="717">
        <v>0</v>
      </c>
      <c r="AT21" s="717">
        <f t="shared" si="5"/>
        <v>0</v>
      </c>
      <c r="AU21" s="718">
        <f>_xlfn.IFNA(VLOOKUP(A21&amp;B21,'[1]Management Report'!$F:$I,4,FALSE),0)</f>
        <v>0</v>
      </c>
      <c r="AV21" s="718"/>
    </row>
    <row r="22" spans="1:48" s="719" customFormat="1" ht="15" customHeight="1" x14ac:dyDescent="0.25">
      <c r="A22" s="703" t="s">
        <v>322</v>
      </c>
      <c r="B22" s="707" t="s">
        <v>202</v>
      </c>
      <c r="C22" s="621">
        <f t="shared" si="6"/>
        <v>13.453216666666668</v>
      </c>
      <c r="D22" s="621">
        <f t="shared" si="2"/>
        <v>0</v>
      </c>
      <c r="E22" s="717">
        <f>SUMIF($AH$3:$AS$3,$E$2,AH22:AS121)</f>
        <v>13.37</v>
      </c>
      <c r="F22" s="717"/>
      <c r="G22" s="717"/>
      <c r="H22" s="717">
        <v>14.079935526315786</v>
      </c>
      <c r="I22" s="717">
        <v>14.435523026315789</v>
      </c>
      <c r="J22" s="717">
        <v>14.427630921052632</v>
      </c>
      <c r="K22" s="717">
        <v>13.453216666666668</v>
      </c>
      <c r="L22" s="717"/>
      <c r="M22" s="717"/>
      <c r="N22" s="717"/>
      <c r="O22" s="717"/>
      <c r="P22" s="717"/>
      <c r="Q22" s="717"/>
      <c r="R22" s="718"/>
      <c r="S22" s="718"/>
      <c r="T22" s="717">
        <f t="shared" si="3"/>
        <v>14.09907653508772</v>
      </c>
      <c r="U22" s="622"/>
      <c r="V22" s="622"/>
      <c r="W22" s="622"/>
      <c r="X22" s="622"/>
      <c r="Y22" s="622"/>
      <c r="Z22" s="622"/>
      <c r="AA22" s="622"/>
      <c r="AB22" s="622"/>
      <c r="AC22" s="622"/>
      <c r="AD22" s="622"/>
      <c r="AE22" s="622"/>
      <c r="AF22" s="622"/>
      <c r="AG22" s="717" t="e">
        <f t="shared" si="4"/>
        <v>#DIV/0!</v>
      </c>
      <c r="AH22" s="717">
        <v>16.750616447368422</v>
      </c>
      <c r="AI22" s="717">
        <v>14.06</v>
      </c>
      <c r="AJ22" s="717">
        <v>13.89</v>
      </c>
      <c r="AK22" s="717">
        <v>13.37</v>
      </c>
      <c r="AL22" s="717">
        <v>12.99</v>
      </c>
      <c r="AM22" s="717">
        <v>13.88</v>
      </c>
      <c r="AN22" s="717">
        <v>14.08</v>
      </c>
      <c r="AO22" s="717">
        <v>12.9</v>
      </c>
      <c r="AP22" s="717">
        <v>12.75</v>
      </c>
      <c r="AQ22" s="717">
        <v>13.17</v>
      </c>
      <c r="AR22" s="717">
        <v>13</v>
      </c>
      <c r="AS22" s="717">
        <v>13.733774342105264</v>
      </c>
      <c r="AT22" s="717">
        <f t="shared" si="5"/>
        <v>14.900205482456142</v>
      </c>
      <c r="AU22" s="718">
        <f>_xlfn.IFNA(VLOOKUP(A22&amp;B22,'[1]Management Report'!$F:$I,4,FALSE),0)</f>
        <v>13.453216666666668</v>
      </c>
      <c r="AV22" s="718"/>
    </row>
    <row r="23" spans="1:48" s="719" customFormat="1" ht="15" customHeight="1" x14ac:dyDescent="0.25">
      <c r="A23" s="703" t="s">
        <v>322</v>
      </c>
      <c r="B23" s="707" t="s">
        <v>203</v>
      </c>
      <c r="C23" s="621">
        <f t="shared" si="6"/>
        <v>8.8032166666666658</v>
      </c>
      <c r="D23" s="621">
        <f t="shared" si="2"/>
        <v>0</v>
      </c>
      <c r="E23" s="717">
        <f>SUMIF($AH$3:$AS$3,$E$2,AH23:AS121)</f>
        <v>9.51</v>
      </c>
      <c r="F23" s="717"/>
      <c r="G23" s="717"/>
      <c r="H23" s="717">
        <v>12.306580263157896</v>
      </c>
      <c r="I23" s="717">
        <v>13.7763125</v>
      </c>
      <c r="J23" s="717">
        <v>13.38289407894737</v>
      </c>
      <c r="K23" s="717">
        <v>8.8032166666666658</v>
      </c>
      <c r="L23" s="717"/>
      <c r="M23" s="717"/>
      <c r="N23" s="717"/>
      <c r="O23" s="717"/>
      <c r="P23" s="717"/>
      <c r="Q23" s="717"/>
      <c r="R23" s="718"/>
      <c r="S23" s="718"/>
      <c r="T23" s="717">
        <f t="shared" si="3"/>
        <v>12.067250877192981</v>
      </c>
      <c r="U23" s="622"/>
      <c r="V23" s="622"/>
      <c r="W23" s="622"/>
      <c r="X23" s="622"/>
      <c r="Y23" s="622"/>
      <c r="Z23" s="622"/>
      <c r="AA23" s="622"/>
      <c r="AB23" s="622"/>
      <c r="AC23" s="622"/>
      <c r="AD23" s="622"/>
      <c r="AE23" s="622"/>
      <c r="AF23" s="622"/>
      <c r="AG23" s="717" t="e">
        <f t="shared" si="4"/>
        <v>#DIV/0!</v>
      </c>
      <c r="AH23" s="717">
        <v>14.438814473684211</v>
      </c>
      <c r="AI23" s="717">
        <v>13.32</v>
      </c>
      <c r="AJ23" s="717">
        <v>11.63</v>
      </c>
      <c r="AK23" s="717">
        <v>9.51</v>
      </c>
      <c r="AL23" s="717">
        <v>10.49</v>
      </c>
      <c r="AM23" s="717">
        <v>12.66</v>
      </c>
      <c r="AN23" s="717">
        <v>9.81</v>
      </c>
      <c r="AO23" s="717">
        <v>11.78</v>
      </c>
      <c r="AP23" s="717">
        <v>11.24</v>
      </c>
      <c r="AQ23" s="717">
        <v>12.05</v>
      </c>
      <c r="AR23" s="717">
        <v>11.81</v>
      </c>
      <c r="AS23" s="717">
        <v>12.262721710526316</v>
      </c>
      <c r="AT23" s="717">
        <f t="shared" si="5"/>
        <v>13.129604824561405</v>
      </c>
      <c r="AU23" s="718">
        <f>_xlfn.IFNA(VLOOKUP(A23&amp;B23,'[1]Management Report'!$F:$I,4,FALSE),0)</f>
        <v>8.8032166666666658</v>
      </c>
      <c r="AV23" s="718"/>
    </row>
    <row r="24" spans="1:48" s="719" customFormat="1" ht="15" customHeight="1" x14ac:dyDescent="0.25">
      <c r="A24" s="703" t="s">
        <v>322</v>
      </c>
      <c r="B24" s="707" t="s">
        <v>204</v>
      </c>
      <c r="C24" s="621">
        <f t="shared" si="6"/>
        <v>0.49678421052631583</v>
      </c>
      <c r="D24" s="621">
        <f t="shared" si="2"/>
        <v>0</v>
      </c>
      <c r="E24" s="717">
        <f>SUMIF($AH$3:$AS$3,$E$2,AH24:AS121)</f>
        <v>0.13</v>
      </c>
      <c r="F24" s="717"/>
      <c r="G24" s="717"/>
      <c r="H24" s="717">
        <v>0.43804934210526314</v>
      </c>
      <c r="I24" s="717">
        <v>0.46710197368421058</v>
      </c>
      <c r="J24" s="717">
        <v>0.51501973684210534</v>
      </c>
      <c r="K24" s="717">
        <v>0.49678421052631583</v>
      </c>
      <c r="L24" s="717"/>
      <c r="M24" s="717"/>
      <c r="N24" s="717"/>
      <c r="O24" s="717"/>
      <c r="P24" s="717"/>
      <c r="Q24" s="717"/>
      <c r="R24" s="718"/>
      <c r="S24" s="718"/>
      <c r="T24" s="717">
        <f t="shared" si="3"/>
        <v>0.47923881578947369</v>
      </c>
      <c r="U24" s="622"/>
      <c r="V24" s="622"/>
      <c r="W24" s="622"/>
      <c r="X24" s="622"/>
      <c r="Y24" s="622"/>
      <c r="Z24" s="622"/>
      <c r="AA24" s="622"/>
      <c r="AB24" s="622"/>
      <c r="AC24" s="622"/>
      <c r="AD24" s="622"/>
      <c r="AE24" s="622"/>
      <c r="AF24" s="622"/>
      <c r="AG24" s="717" t="e">
        <f t="shared" si="4"/>
        <v>#DIV/0!</v>
      </c>
      <c r="AH24" s="717">
        <v>0.66688552631578935</v>
      </c>
      <c r="AI24" s="717">
        <v>0.37</v>
      </c>
      <c r="AJ24" s="717">
        <v>0.21</v>
      </c>
      <c r="AK24" s="717">
        <v>0.13</v>
      </c>
      <c r="AL24" s="717">
        <v>0.16</v>
      </c>
      <c r="AM24" s="717">
        <v>0.46</v>
      </c>
      <c r="AN24" s="717">
        <v>0.46</v>
      </c>
      <c r="AO24" s="717">
        <v>0.49</v>
      </c>
      <c r="AP24" s="717">
        <v>0.94</v>
      </c>
      <c r="AQ24" s="717">
        <v>1.1100000000000001</v>
      </c>
      <c r="AR24" s="717">
        <v>0.91</v>
      </c>
      <c r="AS24" s="717">
        <v>0.61173355263157891</v>
      </c>
      <c r="AT24" s="717">
        <f t="shared" si="5"/>
        <v>0.41562850877192981</v>
      </c>
      <c r="AU24" s="718">
        <f>_xlfn.IFNA(VLOOKUP(A24&amp;B24,'[1]Management Report'!$F:$I,4,FALSE),0)</f>
        <v>0.49678421052631583</v>
      </c>
      <c r="AV24" s="718"/>
    </row>
    <row r="25" spans="1:48" s="719" customFormat="1" ht="15" customHeight="1" x14ac:dyDescent="0.25">
      <c r="A25" s="703" t="s">
        <v>323</v>
      </c>
      <c r="B25" s="707" t="s">
        <v>202</v>
      </c>
      <c r="C25" s="621">
        <f t="shared" si="6"/>
        <v>1</v>
      </c>
      <c r="D25" s="621">
        <f t="shared" si="2"/>
        <v>0</v>
      </c>
      <c r="E25" s="717">
        <f>SUMIF($AH$3:$AS$3,$E$2,AH25:AS122)</f>
        <v>3.6349999999999998</v>
      </c>
      <c r="F25" s="717"/>
      <c r="G25" s="717"/>
      <c r="H25" s="717">
        <v>1</v>
      </c>
      <c r="I25" s="717">
        <v>1</v>
      </c>
      <c r="J25" s="717">
        <v>1</v>
      </c>
      <c r="K25" s="717">
        <v>1</v>
      </c>
      <c r="L25" s="717"/>
      <c r="M25" s="717"/>
      <c r="N25" s="717"/>
      <c r="O25" s="717"/>
      <c r="P25" s="717"/>
      <c r="Q25" s="717"/>
      <c r="R25" s="718"/>
      <c r="S25" s="718"/>
      <c r="T25" s="717">
        <f t="shared" si="3"/>
        <v>1</v>
      </c>
      <c r="U25" s="622"/>
      <c r="V25" s="622"/>
      <c r="W25" s="622"/>
      <c r="X25" s="622"/>
      <c r="Y25" s="622"/>
      <c r="Z25" s="622"/>
      <c r="AA25" s="622"/>
      <c r="AB25" s="622"/>
      <c r="AC25" s="622"/>
      <c r="AD25" s="622"/>
      <c r="AE25" s="622"/>
      <c r="AF25" s="622"/>
      <c r="AG25" s="717" t="e">
        <f t="shared" si="4"/>
        <v>#DIV/0!</v>
      </c>
      <c r="AH25" s="717">
        <v>3.669</v>
      </c>
      <c r="AI25" s="717">
        <v>3.7559999999999998</v>
      </c>
      <c r="AJ25" s="717">
        <v>3.6549999999999998</v>
      </c>
      <c r="AK25" s="717">
        <v>3.6349999999999998</v>
      </c>
      <c r="AL25" s="717">
        <v>4.6849999999999996</v>
      </c>
      <c r="AM25" s="717">
        <v>4.5679999999999996</v>
      </c>
      <c r="AN25" s="717">
        <v>4.6589999999999998</v>
      </c>
      <c r="AO25" s="717">
        <v>3.62</v>
      </c>
      <c r="AP25" s="717">
        <v>3.802</v>
      </c>
      <c r="AQ25" s="717">
        <v>1.7490000000000001</v>
      </c>
      <c r="AR25" s="717">
        <v>1</v>
      </c>
      <c r="AS25" s="717">
        <v>1</v>
      </c>
      <c r="AT25" s="717">
        <f t="shared" si="5"/>
        <v>3.6933333333333334</v>
      </c>
      <c r="AU25" s="718">
        <f>_xlfn.IFNA(VLOOKUP(A25&amp;B25,'[1]Management Report'!$F:$I,4,FALSE),0)</f>
        <v>1</v>
      </c>
      <c r="AV25" s="718"/>
    </row>
    <row r="26" spans="1:48" s="719" customFormat="1" ht="15" customHeight="1" x14ac:dyDescent="0.25">
      <c r="A26" s="703" t="s">
        <v>323</v>
      </c>
      <c r="B26" s="707" t="s">
        <v>203</v>
      </c>
      <c r="C26" s="621">
        <f t="shared" si="6"/>
        <v>0.72982456140350882</v>
      </c>
      <c r="D26" s="621">
        <f t="shared" si="2"/>
        <v>0</v>
      </c>
      <c r="E26" s="717">
        <f>SUMIF($AH$3:$AS$3,$E$2,AH26:AS122)</f>
        <v>2.48</v>
      </c>
      <c r="F26" s="717"/>
      <c r="G26" s="717"/>
      <c r="H26" s="717">
        <v>0.9</v>
      </c>
      <c r="I26" s="717">
        <v>1</v>
      </c>
      <c r="J26" s="717">
        <v>1</v>
      </c>
      <c r="K26" s="717">
        <v>0.72982456140350882</v>
      </c>
      <c r="L26" s="717"/>
      <c r="M26" s="717"/>
      <c r="N26" s="717"/>
      <c r="O26" s="717"/>
      <c r="P26" s="717"/>
      <c r="Q26" s="717"/>
      <c r="R26" s="718"/>
      <c r="S26" s="718"/>
      <c r="T26" s="717">
        <f t="shared" si="3"/>
        <v>0.90745614035087718</v>
      </c>
      <c r="U26" s="622"/>
      <c r="V26" s="622"/>
      <c r="W26" s="622"/>
      <c r="X26" s="622"/>
      <c r="Y26" s="622"/>
      <c r="Z26" s="622"/>
      <c r="AA26" s="622"/>
      <c r="AB26" s="622"/>
      <c r="AC26" s="622"/>
      <c r="AD26" s="622"/>
      <c r="AE26" s="622"/>
      <c r="AF26" s="622"/>
      <c r="AG26" s="717" t="e">
        <f t="shared" si="4"/>
        <v>#DIV/0!</v>
      </c>
      <c r="AH26" s="717">
        <v>3.32</v>
      </c>
      <c r="AI26" s="717">
        <v>3.31</v>
      </c>
      <c r="AJ26" s="717">
        <v>3.17</v>
      </c>
      <c r="AK26" s="717">
        <v>2.48</v>
      </c>
      <c r="AL26" s="717">
        <v>4.01</v>
      </c>
      <c r="AM26" s="717">
        <v>4.08</v>
      </c>
      <c r="AN26" s="717">
        <v>3.71</v>
      </c>
      <c r="AO26" s="717">
        <v>2.97</v>
      </c>
      <c r="AP26" s="717">
        <v>2.85</v>
      </c>
      <c r="AQ26" s="717">
        <v>1.7</v>
      </c>
      <c r="AR26" s="717">
        <v>1</v>
      </c>
      <c r="AS26" s="717">
        <v>0.9</v>
      </c>
      <c r="AT26" s="717">
        <f t="shared" si="5"/>
        <v>3.2666666666666671</v>
      </c>
      <c r="AU26" s="718">
        <f>_xlfn.IFNA(VLOOKUP(A26&amp;B26,'[1]Management Report'!$F:$I,4,FALSE),0)</f>
        <v>0.72982456140350882</v>
      </c>
      <c r="AV26" s="718"/>
    </row>
    <row r="27" spans="1:48" s="719" customFormat="1" ht="15" customHeight="1" x14ac:dyDescent="0.25">
      <c r="A27" s="703" t="s">
        <v>323</v>
      </c>
      <c r="B27" s="707" t="s">
        <v>204</v>
      </c>
      <c r="C27" s="621">
        <f t="shared" si="6"/>
        <v>0</v>
      </c>
      <c r="D27" s="621">
        <f t="shared" si="2"/>
        <v>0</v>
      </c>
      <c r="E27" s="717">
        <f>SUMIF($AH$3:$AS$3,$E$2,AH27:AS122)</f>
        <v>3.7999999999999999E-2</v>
      </c>
      <c r="F27" s="717"/>
      <c r="G27" s="717"/>
      <c r="H27" s="717">
        <v>0</v>
      </c>
      <c r="I27" s="717">
        <v>0</v>
      </c>
      <c r="J27" s="717">
        <v>0</v>
      </c>
      <c r="K27" s="717">
        <v>0</v>
      </c>
      <c r="L27" s="717"/>
      <c r="M27" s="717"/>
      <c r="N27" s="717"/>
      <c r="O27" s="717"/>
      <c r="P27" s="717"/>
      <c r="Q27" s="717"/>
      <c r="R27" s="718"/>
      <c r="S27" s="718"/>
      <c r="T27" s="717">
        <f t="shared" si="3"/>
        <v>0</v>
      </c>
      <c r="U27" s="622"/>
      <c r="V27" s="622"/>
      <c r="W27" s="622"/>
      <c r="X27" s="622"/>
      <c r="Y27" s="622"/>
      <c r="Z27" s="622"/>
      <c r="AA27" s="622"/>
      <c r="AB27" s="622"/>
      <c r="AC27" s="622"/>
      <c r="AD27" s="622"/>
      <c r="AE27" s="622"/>
      <c r="AF27" s="622"/>
      <c r="AG27" s="717" t="e">
        <f t="shared" si="4"/>
        <v>#DIV/0!</v>
      </c>
      <c r="AH27" s="717">
        <v>8.6999999999999994E-2</v>
      </c>
      <c r="AI27" s="717">
        <v>0.17499999999999999</v>
      </c>
      <c r="AJ27" s="717">
        <v>7.0000000000000007E-2</v>
      </c>
      <c r="AK27" s="717">
        <v>3.7999999999999999E-2</v>
      </c>
      <c r="AL27" s="717">
        <v>8.6999999999999994E-2</v>
      </c>
      <c r="AM27" s="717">
        <v>4.9000000000000002E-2</v>
      </c>
      <c r="AN27" s="717">
        <v>0.04</v>
      </c>
      <c r="AO27" s="717">
        <v>6.3E-2</v>
      </c>
      <c r="AP27" s="717">
        <v>0.105</v>
      </c>
      <c r="AQ27" s="717">
        <v>4.9000000000000002E-2</v>
      </c>
      <c r="AR27" s="717">
        <v>0</v>
      </c>
      <c r="AS27" s="717">
        <v>0</v>
      </c>
      <c r="AT27" s="717">
        <f t="shared" si="5"/>
        <v>0.11066666666666668</v>
      </c>
      <c r="AU27" s="718">
        <f>_xlfn.IFNA(VLOOKUP(A27&amp;B27,'[1]Management Report'!$F:$I,4,FALSE),0)</f>
        <v>0</v>
      </c>
      <c r="AV27" s="718"/>
    </row>
    <row r="28" spans="1:48" s="719" customFormat="1" ht="15" customHeight="1" x14ac:dyDescent="0.25">
      <c r="A28" s="703" t="s">
        <v>324</v>
      </c>
      <c r="B28" s="707" t="s">
        <v>202</v>
      </c>
      <c r="C28" s="621">
        <f t="shared" si="6"/>
        <v>11.448685964912279</v>
      </c>
      <c r="D28" s="621">
        <f t="shared" si="2"/>
        <v>0</v>
      </c>
      <c r="E28" s="717">
        <f>SUMIF($AH$3:$AS$3,$E$2,AH28:AS122)</f>
        <v>10.808</v>
      </c>
      <c r="F28" s="717"/>
      <c r="G28" s="717"/>
      <c r="H28" s="717">
        <v>12.206030921052632</v>
      </c>
      <c r="I28" s="717">
        <v>11.343086184210526</v>
      </c>
      <c r="J28" s="717">
        <v>11.921053947368421</v>
      </c>
      <c r="K28" s="717">
        <v>11.448685964912279</v>
      </c>
      <c r="L28" s="717"/>
      <c r="M28" s="717"/>
      <c r="N28" s="717"/>
      <c r="O28" s="717"/>
      <c r="P28" s="717"/>
      <c r="Q28" s="717"/>
      <c r="R28" s="718"/>
      <c r="S28" s="718"/>
      <c r="T28" s="717">
        <f t="shared" si="3"/>
        <v>11.729714254385964</v>
      </c>
      <c r="U28" s="622"/>
      <c r="V28" s="622"/>
      <c r="W28" s="622"/>
      <c r="X28" s="622"/>
      <c r="Y28" s="622"/>
      <c r="Z28" s="622"/>
      <c r="AA28" s="622"/>
      <c r="AB28" s="622"/>
      <c r="AC28" s="622"/>
      <c r="AD28" s="622"/>
      <c r="AE28" s="622"/>
      <c r="AF28" s="622"/>
      <c r="AG28" s="717" t="e">
        <f t="shared" si="4"/>
        <v>#DIV/0!</v>
      </c>
      <c r="AH28" s="717">
        <v>9.963000000000001</v>
      </c>
      <c r="AI28" s="717">
        <v>10.37</v>
      </c>
      <c r="AJ28" s="717">
        <v>10.85</v>
      </c>
      <c r="AK28" s="717">
        <v>10.808</v>
      </c>
      <c r="AL28" s="717">
        <v>13.162000000000001</v>
      </c>
      <c r="AM28" s="717">
        <v>11.6</v>
      </c>
      <c r="AN28" s="717">
        <v>12.3</v>
      </c>
      <c r="AO28" s="717">
        <v>11.9</v>
      </c>
      <c r="AP28" s="717">
        <v>11.440000000000001</v>
      </c>
      <c r="AQ28" s="717">
        <v>12.332999999999998</v>
      </c>
      <c r="AR28" s="717">
        <v>12.02</v>
      </c>
      <c r="AS28" s="717">
        <v>12.077080263157896</v>
      </c>
      <c r="AT28" s="717">
        <f t="shared" si="5"/>
        <v>10.394333333333334</v>
      </c>
      <c r="AU28" s="718">
        <f>_xlfn.IFNA(VLOOKUP(A28&amp;B28,'[1]Management Report'!$F:$I,4,FALSE),0)</f>
        <v>11.448685964912279</v>
      </c>
      <c r="AV28" s="718"/>
    </row>
    <row r="29" spans="1:48" s="719" customFormat="1" ht="15" customHeight="1" x14ac:dyDescent="0.25">
      <c r="A29" s="703" t="s">
        <v>324</v>
      </c>
      <c r="B29" s="707" t="s">
        <v>203</v>
      </c>
      <c r="C29" s="621">
        <f t="shared" si="6"/>
        <v>8.2600894736842108</v>
      </c>
      <c r="D29" s="621">
        <f t="shared" si="2"/>
        <v>0</v>
      </c>
      <c r="E29" s="717">
        <f>SUMIF($AH$3:$AS$3,$E$2,AH29:AS122)</f>
        <v>6.66</v>
      </c>
      <c r="F29" s="717"/>
      <c r="G29" s="717"/>
      <c r="H29" s="717">
        <v>10.573136184210526</v>
      </c>
      <c r="I29" s="717">
        <v>10.623349342105262</v>
      </c>
      <c r="J29" s="717">
        <v>10.22105394736842</v>
      </c>
      <c r="K29" s="717">
        <v>8.2600894736842108</v>
      </c>
      <c r="L29" s="717"/>
      <c r="M29" s="717"/>
      <c r="N29" s="717"/>
      <c r="O29" s="717"/>
      <c r="P29" s="717"/>
      <c r="Q29" s="717"/>
      <c r="R29" s="718"/>
      <c r="S29" s="718"/>
      <c r="T29" s="717">
        <f t="shared" si="3"/>
        <v>9.9194072368421047</v>
      </c>
      <c r="U29" s="622"/>
      <c r="V29" s="622"/>
      <c r="W29" s="622"/>
      <c r="X29" s="622"/>
      <c r="Y29" s="622"/>
      <c r="Z29" s="622"/>
      <c r="AA29" s="622"/>
      <c r="AB29" s="622"/>
      <c r="AC29" s="622"/>
      <c r="AD29" s="622"/>
      <c r="AE29" s="622"/>
      <c r="AF29" s="622"/>
      <c r="AG29" s="717" t="e">
        <f t="shared" si="4"/>
        <v>#DIV/0!</v>
      </c>
      <c r="AH29" s="717">
        <v>8.6199999999999992</v>
      </c>
      <c r="AI29" s="717">
        <v>9.23</v>
      </c>
      <c r="AJ29" s="717">
        <v>8.19</v>
      </c>
      <c r="AK29" s="717">
        <v>6.66</v>
      </c>
      <c r="AL29" s="717">
        <v>11.23</v>
      </c>
      <c r="AM29" s="717">
        <v>10.63</v>
      </c>
      <c r="AN29" s="717">
        <v>9.17</v>
      </c>
      <c r="AO29" s="717">
        <v>10.459999999999999</v>
      </c>
      <c r="AP29" s="717">
        <v>10.02</v>
      </c>
      <c r="AQ29" s="717">
        <v>10.579999999999998</v>
      </c>
      <c r="AR29" s="717">
        <v>11.06</v>
      </c>
      <c r="AS29" s="717">
        <v>11.061290789473684</v>
      </c>
      <c r="AT29" s="717">
        <f t="shared" si="5"/>
        <v>8.68</v>
      </c>
      <c r="AU29" s="718">
        <f>_xlfn.IFNA(VLOOKUP(A29&amp;B29,'[1]Management Report'!$F:$I,4,FALSE),0)</f>
        <v>8.2600894736842108</v>
      </c>
      <c r="AV29" s="718"/>
    </row>
    <row r="30" spans="1:48" s="719" customFormat="1" ht="15" customHeight="1" x14ac:dyDescent="0.25">
      <c r="A30" s="703" t="s">
        <v>324</v>
      </c>
      <c r="B30" s="707" t="s">
        <v>204</v>
      </c>
      <c r="C30" s="621">
        <f t="shared" si="6"/>
        <v>0.57697543859649136</v>
      </c>
      <c r="D30" s="621">
        <f t="shared" si="2"/>
        <v>0</v>
      </c>
      <c r="E30" s="717">
        <f>SUMIF($AH$3:$AS$3,$E$2,AH30:AS122)</f>
        <v>0.65</v>
      </c>
      <c r="F30" s="717"/>
      <c r="G30" s="717"/>
      <c r="H30" s="717">
        <v>0.33256381578947375</v>
      </c>
      <c r="I30" s="717">
        <v>0.2367315789473684</v>
      </c>
      <c r="J30" s="717">
        <v>0.3383782894736842</v>
      </c>
      <c r="K30" s="717">
        <v>0.57697543859649136</v>
      </c>
      <c r="L30" s="717"/>
      <c r="M30" s="717"/>
      <c r="N30" s="717"/>
      <c r="O30" s="717"/>
      <c r="P30" s="717"/>
      <c r="Q30" s="717"/>
      <c r="R30" s="718"/>
      <c r="S30" s="718"/>
      <c r="T30" s="717">
        <f t="shared" si="3"/>
        <v>0.37116228070175444</v>
      </c>
      <c r="U30" s="622"/>
      <c r="V30" s="622"/>
      <c r="W30" s="622"/>
      <c r="X30" s="622"/>
      <c r="Y30" s="622"/>
      <c r="Z30" s="622"/>
      <c r="AA30" s="622"/>
      <c r="AB30" s="622"/>
      <c r="AC30" s="622"/>
      <c r="AD30" s="622"/>
      <c r="AE30" s="622"/>
      <c r="AF30" s="622"/>
      <c r="AG30" s="717" t="e">
        <f t="shared" si="4"/>
        <v>#DIV/0!</v>
      </c>
      <c r="AH30" s="717">
        <v>0.25700000000000001</v>
      </c>
      <c r="AI30" s="717">
        <v>0.7</v>
      </c>
      <c r="AJ30" s="717">
        <v>0.51800000000000002</v>
      </c>
      <c r="AK30" s="717">
        <v>0.65</v>
      </c>
      <c r="AL30" s="717">
        <v>0.54</v>
      </c>
      <c r="AM30" s="717">
        <v>0.27900000000000003</v>
      </c>
      <c r="AN30" s="717">
        <v>0.6</v>
      </c>
      <c r="AO30" s="717">
        <v>0.27700000000000002</v>
      </c>
      <c r="AP30" s="717">
        <v>0.19600000000000001</v>
      </c>
      <c r="AQ30" s="717">
        <v>0.44799999999999995</v>
      </c>
      <c r="AR30" s="717">
        <v>0.32</v>
      </c>
      <c r="AS30" s="717">
        <v>0.21863749999999998</v>
      </c>
      <c r="AT30" s="717">
        <f t="shared" si="5"/>
        <v>0.4916666666666667</v>
      </c>
      <c r="AU30" s="718">
        <f>_xlfn.IFNA(VLOOKUP(A30&amp;B30,'[1]Management Report'!$F:$I,4,FALSE),0)</f>
        <v>0.57697543859649136</v>
      </c>
      <c r="AV30" s="718"/>
    </row>
    <row r="31" spans="1:48" s="719" customFormat="1" ht="15" customHeight="1" x14ac:dyDescent="0.25">
      <c r="A31" s="703" t="s">
        <v>325</v>
      </c>
      <c r="B31" s="707" t="s">
        <v>202</v>
      </c>
      <c r="C31" s="621">
        <f>SUMIF($H$3:$S$3,$C$2,H31:S31)</f>
        <v>9.8128649122807001</v>
      </c>
      <c r="D31" s="621">
        <f t="shared" si="2"/>
        <v>0</v>
      </c>
      <c r="E31" s="717">
        <f>SUMIF($AH$3:$AS$3,$E$2,AH31:AS123)</f>
        <v>10.53</v>
      </c>
      <c r="F31" s="717"/>
      <c r="G31" s="717"/>
      <c r="H31" s="717">
        <v>10.920394078947368</v>
      </c>
      <c r="I31" s="717">
        <v>10.559978289473683</v>
      </c>
      <c r="J31" s="717">
        <v>10.879608552631579</v>
      </c>
      <c r="K31" s="717">
        <v>9.8128649122807001</v>
      </c>
      <c r="L31" s="717"/>
      <c r="M31" s="717"/>
      <c r="N31" s="717"/>
      <c r="O31" s="717"/>
      <c r="P31" s="717"/>
      <c r="Q31" s="717"/>
      <c r="R31" s="718"/>
      <c r="S31" s="718"/>
      <c r="T31" s="717">
        <f t="shared" si="3"/>
        <v>10.543211458333333</v>
      </c>
      <c r="U31" s="622"/>
      <c r="V31" s="622"/>
      <c r="W31" s="622"/>
      <c r="X31" s="622"/>
      <c r="Y31" s="622"/>
      <c r="Z31" s="622"/>
      <c r="AA31" s="622"/>
      <c r="AB31" s="622"/>
      <c r="AC31" s="622"/>
      <c r="AD31" s="622"/>
      <c r="AE31" s="622"/>
      <c r="AF31" s="622"/>
      <c r="AG31" s="717" t="e">
        <f t="shared" si="4"/>
        <v>#DIV/0!</v>
      </c>
      <c r="AH31" s="717">
        <v>10.498000000000001</v>
      </c>
      <c r="AI31" s="717">
        <v>10.86</v>
      </c>
      <c r="AJ31" s="717">
        <v>10.6</v>
      </c>
      <c r="AK31" s="717">
        <v>10.53</v>
      </c>
      <c r="AL31" s="717">
        <v>9.4749999999999996</v>
      </c>
      <c r="AM31" s="717">
        <v>9.2390000000000008</v>
      </c>
      <c r="AN31" s="717">
        <v>9.8140000000000001</v>
      </c>
      <c r="AO31" s="717">
        <v>9.8000000000000007</v>
      </c>
      <c r="AP31" s="717">
        <v>10.164</v>
      </c>
      <c r="AQ31" s="717">
        <v>9.6959999999999997</v>
      </c>
      <c r="AR31" s="717">
        <v>10.27</v>
      </c>
      <c r="AS31" s="717">
        <v>10.97434539473684</v>
      </c>
      <c r="AT31" s="717">
        <f t="shared" si="5"/>
        <v>10.652666666666667</v>
      </c>
      <c r="AU31" s="718">
        <f>_xlfn.IFNA(VLOOKUP(A31&amp;B31,'[1]Management Report'!$F:$I,4,FALSE),0)</f>
        <v>9.8128649122807001</v>
      </c>
      <c r="AV31" s="718"/>
    </row>
    <row r="32" spans="1:48" s="719" customFormat="1" ht="15" customHeight="1" x14ac:dyDescent="0.25">
      <c r="A32" s="703" t="s">
        <v>325</v>
      </c>
      <c r="B32" s="707" t="s">
        <v>203</v>
      </c>
      <c r="C32" s="621">
        <f>SUMIF($H$3:$S$3,$C$2,H32:S32)</f>
        <v>6.9531425438596486</v>
      </c>
      <c r="D32" s="621">
        <f t="shared" si="2"/>
        <v>0</v>
      </c>
      <c r="E32" s="717">
        <f>SUMIF($AH$3:$AS$3,$E$2,AH32:AS123)</f>
        <v>6.66</v>
      </c>
      <c r="F32" s="717"/>
      <c r="G32" s="717"/>
      <c r="H32" s="717">
        <v>9.3077842105263144</v>
      </c>
      <c r="I32" s="717">
        <v>9.2382677631578947</v>
      </c>
      <c r="J32" s="717">
        <v>9.6235776315789483</v>
      </c>
      <c r="K32" s="717">
        <v>6.9531425438596486</v>
      </c>
      <c r="L32" s="717"/>
      <c r="M32" s="717"/>
      <c r="N32" s="717"/>
      <c r="O32" s="717"/>
      <c r="P32" s="717"/>
      <c r="Q32" s="717"/>
      <c r="R32" s="718"/>
      <c r="S32" s="718"/>
      <c r="T32" s="717">
        <f t="shared" si="3"/>
        <v>8.7806930372807006</v>
      </c>
      <c r="U32" s="622"/>
      <c r="V32" s="622"/>
      <c r="W32" s="622"/>
      <c r="X32" s="622"/>
      <c r="Y32" s="622"/>
      <c r="Z32" s="622"/>
      <c r="AA32" s="622"/>
      <c r="AB32" s="622"/>
      <c r="AC32" s="622"/>
      <c r="AD32" s="622"/>
      <c r="AE32" s="622"/>
      <c r="AF32" s="622"/>
      <c r="AG32" s="717" t="e">
        <f t="shared" si="4"/>
        <v>#DIV/0!</v>
      </c>
      <c r="AH32" s="717">
        <v>7.78</v>
      </c>
      <c r="AI32" s="717">
        <v>8.65</v>
      </c>
      <c r="AJ32" s="717">
        <v>7.41</v>
      </c>
      <c r="AK32" s="717">
        <v>6.66</v>
      </c>
      <c r="AL32" s="717">
        <v>8.0500000000000007</v>
      </c>
      <c r="AM32" s="717">
        <v>8.07</v>
      </c>
      <c r="AN32" s="717">
        <v>7.16</v>
      </c>
      <c r="AO32" s="717">
        <v>9.2799999999999994</v>
      </c>
      <c r="AP32" s="717">
        <v>8.58</v>
      </c>
      <c r="AQ32" s="717">
        <v>8.18</v>
      </c>
      <c r="AR32" s="717">
        <v>9.68</v>
      </c>
      <c r="AS32" s="717">
        <v>9.1602006578947375</v>
      </c>
      <c r="AT32" s="717">
        <f t="shared" si="5"/>
        <v>7.9466666666666663</v>
      </c>
      <c r="AU32" s="718">
        <f>_xlfn.IFNA(VLOOKUP(A32&amp;B32,'[1]Management Report'!$F:$I,4,FALSE),0)</f>
        <v>6.9531425438596486</v>
      </c>
      <c r="AV32" s="718"/>
    </row>
    <row r="33" spans="1:48" s="719" customFormat="1" ht="15" customHeight="1" x14ac:dyDescent="0.25">
      <c r="A33" s="703" t="s">
        <v>325</v>
      </c>
      <c r="B33" s="707" t="s">
        <v>204</v>
      </c>
      <c r="C33" s="621">
        <f>SUMIF($H$3:$S$3,$C$2,H33:S33)</f>
        <v>0.61842105263157887</v>
      </c>
      <c r="D33" s="621">
        <f t="shared" si="2"/>
        <v>0</v>
      </c>
      <c r="E33" s="717">
        <f>SUMIF($AH$3:$AS$3,$E$2,AH33:AS123)</f>
        <v>0.32</v>
      </c>
      <c r="F33" s="717"/>
      <c r="G33" s="717"/>
      <c r="H33" s="717">
        <v>0.62434276315789472</v>
      </c>
      <c r="I33" s="717">
        <v>0.5510967105263157</v>
      </c>
      <c r="J33" s="717">
        <v>0.74726184210526314</v>
      </c>
      <c r="K33" s="717">
        <v>0.61842105263157887</v>
      </c>
      <c r="L33" s="717"/>
      <c r="M33" s="717"/>
      <c r="N33" s="717"/>
      <c r="O33" s="717"/>
      <c r="P33" s="717"/>
      <c r="Q33" s="717"/>
      <c r="R33" s="718"/>
      <c r="S33" s="718"/>
      <c r="T33" s="717">
        <f t="shared" si="3"/>
        <v>0.63528059210526311</v>
      </c>
      <c r="U33" s="622"/>
      <c r="V33" s="622"/>
      <c r="W33" s="622"/>
      <c r="X33" s="622"/>
      <c r="Y33" s="622"/>
      <c r="Z33" s="622"/>
      <c r="AA33" s="622"/>
      <c r="AB33" s="622"/>
      <c r="AC33" s="622"/>
      <c r="AD33" s="622"/>
      <c r="AE33" s="622"/>
      <c r="AF33" s="622"/>
      <c r="AG33" s="717" t="e">
        <f t="shared" si="4"/>
        <v>#DIV/0!</v>
      </c>
      <c r="AH33" s="717">
        <v>0.33499999999999996</v>
      </c>
      <c r="AI33" s="717">
        <v>0.42</v>
      </c>
      <c r="AJ33" s="717">
        <v>0.31</v>
      </c>
      <c r="AK33" s="717">
        <v>0.32</v>
      </c>
      <c r="AL33" s="717">
        <v>0.25700000000000001</v>
      </c>
      <c r="AM33" s="717">
        <v>0.308</v>
      </c>
      <c r="AN33" s="717">
        <v>0.52</v>
      </c>
      <c r="AO33" s="717">
        <v>0.23399999999999999</v>
      </c>
      <c r="AP33" s="717">
        <v>0.219</v>
      </c>
      <c r="AQ33" s="717">
        <v>0.376</v>
      </c>
      <c r="AR33" s="717">
        <v>0.35</v>
      </c>
      <c r="AS33" s="717">
        <v>0.48311513157894737</v>
      </c>
      <c r="AT33" s="717">
        <f t="shared" si="5"/>
        <v>0.35499999999999998</v>
      </c>
      <c r="AU33" s="718">
        <f>_xlfn.IFNA(VLOOKUP(A33&amp;B33,'[1]Management Report'!$F:$I,4,FALSE),0)</f>
        <v>0.61842105263157887</v>
      </c>
      <c r="AV33" s="718"/>
    </row>
    <row r="34" spans="1:48" s="719" customFormat="1" ht="15" customHeight="1" x14ac:dyDescent="0.25">
      <c r="A34" s="703" t="s">
        <v>326</v>
      </c>
      <c r="B34" s="707" t="s">
        <v>202</v>
      </c>
      <c r="C34" s="621">
        <f t="shared" si="6"/>
        <v>25.133698245614035</v>
      </c>
      <c r="D34" s="621">
        <f t="shared" si="2"/>
        <v>0</v>
      </c>
      <c r="E34" s="717">
        <f>SUMIF($AH$3:$AS$3,$E$2,AH34:AS124)</f>
        <v>23.47</v>
      </c>
      <c r="F34" s="717"/>
      <c r="G34" s="717"/>
      <c r="H34" s="717">
        <v>24.801864473684205</v>
      </c>
      <c r="I34" s="717">
        <v>22.378289473684212</v>
      </c>
      <c r="J34" s="717">
        <v>24.875223684210525</v>
      </c>
      <c r="K34" s="717">
        <v>25.133698245614035</v>
      </c>
      <c r="L34" s="717"/>
      <c r="M34" s="717"/>
      <c r="N34" s="717"/>
      <c r="O34" s="717"/>
      <c r="P34" s="717"/>
      <c r="Q34" s="717"/>
      <c r="R34" s="718"/>
      <c r="S34" s="718"/>
      <c r="T34" s="717">
        <f t="shared" si="3"/>
        <v>24.297268969298244</v>
      </c>
      <c r="U34" s="622"/>
      <c r="V34" s="622"/>
      <c r="W34" s="622"/>
      <c r="X34" s="622"/>
      <c r="Y34" s="622"/>
      <c r="Z34" s="622"/>
      <c r="AA34" s="622"/>
      <c r="AB34" s="622"/>
      <c r="AC34" s="622"/>
      <c r="AD34" s="622"/>
      <c r="AE34" s="622"/>
      <c r="AF34" s="622"/>
      <c r="AG34" s="717" t="e">
        <f t="shared" si="4"/>
        <v>#DIV/0!</v>
      </c>
      <c r="AH34" s="717">
        <v>22.231999999999999</v>
      </c>
      <c r="AI34" s="717">
        <v>22.61</v>
      </c>
      <c r="AJ34" s="717">
        <v>22.716999999999999</v>
      </c>
      <c r="AK34" s="717">
        <v>23.47</v>
      </c>
      <c r="AL34" s="717">
        <v>22.001999999999999</v>
      </c>
      <c r="AM34" s="717">
        <v>21.66</v>
      </c>
      <c r="AN34" s="717">
        <v>23.506</v>
      </c>
      <c r="AO34" s="717">
        <v>22.6</v>
      </c>
      <c r="AP34" s="717">
        <v>22.637999999999998</v>
      </c>
      <c r="AQ34" s="717">
        <v>22.463999999999999</v>
      </c>
      <c r="AR34" s="717">
        <v>22.35</v>
      </c>
      <c r="AS34" s="717">
        <v>23.953947368421055</v>
      </c>
      <c r="AT34" s="717">
        <f t="shared" si="5"/>
        <v>22.519666666666666</v>
      </c>
      <c r="AU34" s="718">
        <f>_xlfn.IFNA(VLOOKUP(A34&amp;B34,'[1]Management Report'!$F:$I,4,FALSE),0)</f>
        <v>25.133698245614035</v>
      </c>
      <c r="AV34" s="718"/>
    </row>
    <row r="35" spans="1:48" s="719" customFormat="1" ht="15" customHeight="1" x14ac:dyDescent="0.25">
      <c r="A35" s="703" t="s">
        <v>326</v>
      </c>
      <c r="B35" s="707" t="s">
        <v>203</v>
      </c>
      <c r="C35" s="621">
        <f t="shared" si="6"/>
        <v>19.416154385964912</v>
      </c>
      <c r="D35" s="621">
        <f t="shared" si="2"/>
        <v>0</v>
      </c>
      <c r="E35" s="717">
        <f>SUMIF($AH$3:$AS$3,$E$2,AH35:AS124)</f>
        <v>13.26</v>
      </c>
      <c r="F35" s="717"/>
      <c r="G35" s="717"/>
      <c r="H35" s="717">
        <v>21.820943421052625</v>
      </c>
      <c r="I35" s="717">
        <v>20.900657894736849</v>
      </c>
      <c r="J35" s="717">
        <v>21.593092105263157</v>
      </c>
      <c r="K35" s="717">
        <v>19.416154385964912</v>
      </c>
      <c r="L35" s="717"/>
      <c r="M35" s="717"/>
      <c r="N35" s="717"/>
      <c r="O35" s="717"/>
      <c r="P35" s="717"/>
      <c r="Q35" s="717"/>
      <c r="R35" s="718"/>
      <c r="S35" s="718"/>
      <c r="T35" s="717">
        <f t="shared" si="3"/>
        <v>20.932711951754385</v>
      </c>
      <c r="U35" s="622"/>
      <c r="V35" s="622"/>
      <c r="W35" s="622"/>
      <c r="X35" s="622"/>
      <c r="Y35" s="622"/>
      <c r="Z35" s="622"/>
      <c r="AA35" s="622"/>
      <c r="AB35" s="622"/>
      <c r="AC35" s="622"/>
      <c r="AD35" s="622"/>
      <c r="AE35" s="622"/>
      <c r="AF35" s="622"/>
      <c r="AG35" s="717" t="e">
        <f t="shared" si="4"/>
        <v>#DIV/0!</v>
      </c>
      <c r="AH35" s="717">
        <v>19.009999999999998</v>
      </c>
      <c r="AI35" s="717">
        <v>20.079999999999998</v>
      </c>
      <c r="AJ35" s="717">
        <v>16</v>
      </c>
      <c r="AK35" s="717">
        <v>13.26</v>
      </c>
      <c r="AL35" s="717">
        <v>18.53</v>
      </c>
      <c r="AM35" s="717">
        <v>19.21</v>
      </c>
      <c r="AN35" s="717">
        <v>18.579999999999998</v>
      </c>
      <c r="AO35" s="717">
        <v>19.869999999999997</v>
      </c>
      <c r="AP35" s="717">
        <v>20.07</v>
      </c>
      <c r="AQ35" s="717">
        <v>20.89</v>
      </c>
      <c r="AR35" s="717">
        <v>21.5</v>
      </c>
      <c r="AS35" s="717">
        <v>21.175657894736844</v>
      </c>
      <c r="AT35" s="717">
        <f t="shared" si="5"/>
        <v>18.363333333333333</v>
      </c>
      <c r="AU35" s="718">
        <f>_xlfn.IFNA(VLOOKUP(A35&amp;B35,'[1]Management Report'!$F:$I,4,FALSE),0)</f>
        <v>19.416154385964912</v>
      </c>
      <c r="AV35" s="718"/>
    </row>
    <row r="36" spans="1:48" s="719" customFormat="1" ht="15" customHeight="1" x14ac:dyDescent="0.25">
      <c r="A36" s="703" t="s">
        <v>326</v>
      </c>
      <c r="B36" s="707" t="s">
        <v>204</v>
      </c>
      <c r="C36" s="621">
        <f t="shared" si="6"/>
        <v>1.1008035087719299</v>
      </c>
      <c r="D36" s="621">
        <f t="shared" si="2"/>
        <v>0</v>
      </c>
      <c r="E36" s="717">
        <f>SUMIF($AH$3:$AS$3,$E$2,AH36:AS124)</f>
        <v>0.86899999999999999</v>
      </c>
      <c r="F36" s="717"/>
      <c r="G36" s="717"/>
      <c r="H36" s="717">
        <v>0.86885986842105256</v>
      </c>
      <c r="I36" s="717">
        <v>0.65131578947368418</v>
      </c>
      <c r="J36" s="717">
        <v>1.2127190789473685</v>
      </c>
      <c r="K36" s="717">
        <v>1.1008035087719299</v>
      </c>
      <c r="L36" s="717"/>
      <c r="M36" s="717"/>
      <c r="N36" s="717"/>
      <c r="O36" s="717"/>
      <c r="P36" s="717"/>
      <c r="Q36" s="717"/>
      <c r="R36" s="718"/>
      <c r="S36" s="718"/>
      <c r="T36" s="717">
        <f t="shared" si="3"/>
        <v>0.95842456140350885</v>
      </c>
      <c r="U36" s="622"/>
      <c r="V36" s="622"/>
      <c r="W36" s="622"/>
      <c r="X36" s="622"/>
      <c r="Y36" s="622"/>
      <c r="Z36" s="622"/>
      <c r="AA36" s="622"/>
      <c r="AB36" s="622"/>
      <c r="AC36" s="622"/>
      <c r="AD36" s="622"/>
      <c r="AE36" s="622"/>
      <c r="AF36" s="622"/>
      <c r="AG36" s="717" t="e">
        <f t="shared" si="4"/>
        <v>#DIV/0!</v>
      </c>
      <c r="AH36" s="717">
        <v>0.75600000000000001</v>
      </c>
      <c r="AI36" s="717">
        <v>0.58699999999999997</v>
      </c>
      <c r="AJ36" s="717">
        <v>0.44800000000000001</v>
      </c>
      <c r="AK36" s="717">
        <v>0.86899999999999999</v>
      </c>
      <c r="AL36" s="717">
        <v>0.53300000000000003</v>
      </c>
      <c r="AM36" s="717">
        <v>0.47800000000000004</v>
      </c>
      <c r="AN36" s="717">
        <v>1.3</v>
      </c>
      <c r="AO36" s="717">
        <v>1.1080000000000001</v>
      </c>
      <c r="AP36" s="717">
        <v>1.444</v>
      </c>
      <c r="AQ36" s="717">
        <v>0.90900000000000003</v>
      </c>
      <c r="AR36" s="717">
        <v>0.89200000000000002</v>
      </c>
      <c r="AS36" s="717">
        <v>1.0197368421052631</v>
      </c>
      <c r="AT36" s="717">
        <f t="shared" si="5"/>
        <v>0.59699999999999998</v>
      </c>
      <c r="AU36" s="718">
        <f>_xlfn.IFNA(VLOOKUP(A36&amp;B36,'[1]Management Report'!$F:$I,4,FALSE),0)</f>
        <v>1.1008035087719299</v>
      </c>
      <c r="AV36" s="718"/>
    </row>
    <row r="37" spans="1:48" s="719" customFormat="1" ht="15" customHeight="1" x14ac:dyDescent="0.25">
      <c r="A37" s="703" t="s">
        <v>327</v>
      </c>
      <c r="B37" s="707" t="s">
        <v>202</v>
      </c>
      <c r="C37" s="621">
        <f t="shared" si="6"/>
        <v>29.203215350877198</v>
      </c>
      <c r="D37" s="621">
        <f t="shared" si="2"/>
        <v>0</v>
      </c>
      <c r="E37" s="717">
        <f>SUMIF($AH$3:$AS$3,$E$2,AH37:AS125)</f>
        <v>26.52</v>
      </c>
      <c r="F37" s="717"/>
      <c r="G37" s="717"/>
      <c r="H37" s="717">
        <v>30.226636184210527</v>
      </c>
      <c r="I37" s="717">
        <v>30.48837434210526</v>
      </c>
      <c r="J37" s="717">
        <v>30.367503947368416</v>
      </c>
      <c r="K37" s="717">
        <v>29.203215350877198</v>
      </c>
      <c r="L37" s="717"/>
      <c r="M37" s="717"/>
      <c r="N37" s="717"/>
      <c r="O37" s="717"/>
      <c r="P37" s="717"/>
      <c r="Q37" s="717"/>
      <c r="R37" s="718"/>
      <c r="S37" s="718"/>
      <c r="T37" s="717">
        <f t="shared" si="3"/>
        <v>30.07143245614035</v>
      </c>
      <c r="U37" s="622"/>
      <c r="V37" s="622"/>
      <c r="W37" s="622"/>
      <c r="X37" s="622"/>
      <c r="Y37" s="622"/>
      <c r="Z37" s="622"/>
      <c r="AA37" s="622"/>
      <c r="AB37" s="622"/>
      <c r="AC37" s="622"/>
      <c r="AD37" s="622"/>
      <c r="AE37" s="622"/>
      <c r="AF37" s="622"/>
      <c r="AG37" s="717" t="e">
        <f t="shared" si="4"/>
        <v>#DIV/0!</v>
      </c>
      <c r="AH37" s="717">
        <v>27.004999999999999</v>
      </c>
      <c r="AI37" s="717">
        <v>27.62</v>
      </c>
      <c r="AJ37" s="717">
        <v>29.19</v>
      </c>
      <c r="AK37" s="717">
        <v>26.52</v>
      </c>
      <c r="AL37" s="717">
        <v>28.255000000000003</v>
      </c>
      <c r="AM37" s="717">
        <v>27.8</v>
      </c>
      <c r="AN37" s="717">
        <v>27.571999999999999</v>
      </c>
      <c r="AO37" s="717">
        <v>26.5</v>
      </c>
      <c r="AP37" s="717">
        <v>27.492999999999999</v>
      </c>
      <c r="AQ37" s="717">
        <v>32.411000000000001</v>
      </c>
      <c r="AR37" s="717">
        <v>32.54</v>
      </c>
      <c r="AS37" s="717">
        <v>31.371822368421054</v>
      </c>
      <c r="AT37" s="717">
        <f t="shared" si="5"/>
        <v>27.938333333333333</v>
      </c>
      <c r="AU37" s="718">
        <f>_xlfn.IFNA(VLOOKUP(A37&amp;B37,'[1]Management Report'!$F:$I,4,FALSE),0)</f>
        <v>29.203215350877198</v>
      </c>
      <c r="AV37" s="718"/>
    </row>
    <row r="38" spans="1:48" s="719" customFormat="1" ht="15" customHeight="1" x14ac:dyDescent="0.25">
      <c r="A38" s="703" t="s">
        <v>327</v>
      </c>
      <c r="B38" s="707" t="s">
        <v>203</v>
      </c>
      <c r="C38" s="621">
        <f t="shared" si="6"/>
        <v>22.51988201754385</v>
      </c>
      <c r="D38" s="621">
        <f t="shared" si="2"/>
        <v>0</v>
      </c>
      <c r="E38" s="717">
        <f>SUMIF($AH$3:$AS$3,$E$2,AH38:AS125)</f>
        <v>18.54</v>
      </c>
      <c r="F38" s="717"/>
      <c r="G38" s="717"/>
      <c r="H38" s="717">
        <v>28.638478289473682</v>
      </c>
      <c r="I38" s="717">
        <v>27.544295394736839</v>
      </c>
      <c r="J38" s="717">
        <v>26.917756578947369</v>
      </c>
      <c r="K38" s="717">
        <v>22.51988201754385</v>
      </c>
      <c r="L38" s="717"/>
      <c r="M38" s="717"/>
      <c r="N38" s="717"/>
      <c r="O38" s="717"/>
      <c r="P38" s="717"/>
      <c r="Q38" s="717"/>
      <c r="R38" s="718"/>
      <c r="S38" s="718"/>
      <c r="T38" s="717">
        <f t="shared" si="3"/>
        <v>26.405103070175432</v>
      </c>
      <c r="U38" s="622"/>
      <c r="V38" s="622"/>
      <c r="W38" s="622"/>
      <c r="X38" s="622"/>
      <c r="Y38" s="622"/>
      <c r="Z38" s="622"/>
      <c r="AA38" s="622"/>
      <c r="AB38" s="622"/>
      <c r="AC38" s="622"/>
      <c r="AD38" s="622"/>
      <c r="AE38" s="622"/>
      <c r="AF38" s="622"/>
      <c r="AG38" s="717" t="e">
        <f t="shared" si="4"/>
        <v>#DIV/0!</v>
      </c>
      <c r="AH38" s="717">
        <v>24.84</v>
      </c>
      <c r="AI38" s="717">
        <v>24.12</v>
      </c>
      <c r="AJ38" s="717">
        <v>23.89</v>
      </c>
      <c r="AK38" s="717">
        <v>18.54</v>
      </c>
      <c r="AL38" s="717">
        <v>24.55</v>
      </c>
      <c r="AM38" s="717">
        <v>24.34</v>
      </c>
      <c r="AN38" s="717">
        <v>22.25</v>
      </c>
      <c r="AO38" s="717">
        <v>23.2</v>
      </c>
      <c r="AP38" s="717">
        <v>25.12</v>
      </c>
      <c r="AQ38" s="717">
        <v>29.5</v>
      </c>
      <c r="AR38" s="717">
        <v>28.99</v>
      </c>
      <c r="AS38" s="717">
        <v>26.78892763157895</v>
      </c>
      <c r="AT38" s="717">
        <f t="shared" si="5"/>
        <v>24.283333333333331</v>
      </c>
      <c r="AU38" s="718">
        <f>_xlfn.IFNA(VLOOKUP(A38&amp;B38,'[1]Management Report'!$F:$I,4,FALSE),0)</f>
        <v>22.51988201754385</v>
      </c>
      <c r="AV38" s="718"/>
    </row>
    <row r="39" spans="1:48" s="719" customFormat="1" ht="15" customHeight="1" x14ac:dyDescent="0.25">
      <c r="A39" s="703" t="s">
        <v>327</v>
      </c>
      <c r="B39" s="707" t="s">
        <v>204</v>
      </c>
      <c r="C39" s="621">
        <f t="shared" si="6"/>
        <v>3.3913736842105267</v>
      </c>
      <c r="D39" s="621">
        <f t="shared" si="2"/>
        <v>0</v>
      </c>
      <c r="E39" s="717">
        <f>SUMIF($AH$3:$AS$3,$E$2,AH39:AS125)</f>
        <v>0.84</v>
      </c>
      <c r="F39" s="717"/>
      <c r="G39" s="717"/>
      <c r="H39" s="717">
        <v>3.3812414473684211</v>
      </c>
      <c r="I39" s="717">
        <v>4.3831105263157903</v>
      </c>
      <c r="J39" s="717">
        <v>4.2673184210526323</v>
      </c>
      <c r="K39" s="717">
        <v>3.3913736842105267</v>
      </c>
      <c r="L39" s="717"/>
      <c r="M39" s="717"/>
      <c r="N39" s="717"/>
      <c r="O39" s="717"/>
      <c r="P39" s="717"/>
      <c r="Q39" s="717"/>
      <c r="R39" s="718"/>
      <c r="S39" s="718"/>
      <c r="T39" s="717">
        <f t="shared" si="3"/>
        <v>3.8557610197368426</v>
      </c>
      <c r="U39" s="622"/>
      <c r="V39" s="622"/>
      <c r="W39" s="622"/>
      <c r="X39" s="622"/>
      <c r="Y39" s="622"/>
      <c r="Z39" s="622"/>
      <c r="AA39" s="622"/>
      <c r="AB39" s="622"/>
      <c r="AC39" s="622"/>
      <c r="AD39" s="622"/>
      <c r="AE39" s="622"/>
      <c r="AF39" s="622"/>
      <c r="AG39" s="717" t="e">
        <f t="shared" si="4"/>
        <v>#DIV/0!</v>
      </c>
      <c r="AH39" s="717">
        <v>0.98699999999999999</v>
      </c>
      <c r="AI39" s="717">
        <v>2.41</v>
      </c>
      <c r="AJ39" s="717">
        <v>1.726</v>
      </c>
      <c r="AK39" s="717">
        <v>0.84</v>
      </c>
      <c r="AL39" s="717">
        <v>1.2949999999999999</v>
      </c>
      <c r="AM39" s="717">
        <v>1.1870000000000001</v>
      </c>
      <c r="AN39" s="717">
        <v>2.64</v>
      </c>
      <c r="AO39" s="717">
        <v>2.5220000000000002</v>
      </c>
      <c r="AP39" s="717">
        <v>2.4359999999999999</v>
      </c>
      <c r="AQ39" s="717">
        <v>3.677</v>
      </c>
      <c r="AR39" s="717">
        <v>3.81</v>
      </c>
      <c r="AS39" s="717">
        <v>4.5018671052631589</v>
      </c>
      <c r="AT39" s="717">
        <f t="shared" si="5"/>
        <v>1.7076666666666667</v>
      </c>
      <c r="AU39" s="718">
        <f>_xlfn.IFNA(VLOOKUP(A39&amp;B39,'[1]Management Report'!$F:$I,4,FALSE),0)</f>
        <v>3.3913736842105267</v>
      </c>
      <c r="AV39" s="718"/>
    </row>
    <row r="40" spans="1:48" s="719" customFormat="1" ht="15" customHeight="1" x14ac:dyDescent="0.25">
      <c r="A40" s="703" t="s">
        <v>328</v>
      </c>
      <c r="B40" s="707" t="s">
        <v>202</v>
      </c>
      <c r="C40" s="621">
        <f t="shared" si="6"/>
        <v>1</v>
      </c>
      <c r="D40" s="621">
        <f t="shared" si="2"/>
        <v>0</v>
      </c>
      <c r="E40" s="717">
        <f>SUMIF($AH$3:$AS$3,$E$2,AH40:AS126)</f>
        <v>1.6</v>
      </c>
      <c r="F40" s="717"/>
      <c r="G40" s="717"/>
      <c r="H40" s="717">
        <v>3</v>
      </c>
      <c r="I40" s="717">
        <v>2.4</v>
      </c>
      <c r="J40" s="717">
        <v>1</v>
      </c>
      <c r="K40" s="717">
        <v>1</v>
      </c>
      <c r="L40" s="717"/>
      <c r="M40" s="717"/>
      <c r="N40" s="717"/>
      <c r="O40" s="717"/>
      <c r="P40" s="717"/>
      <c r="Q40" s="717"/>
      <c r="R40" s="718"/>
      <c r="S40" s="718"/>
      <c r="T40" s="717">
        <f t="shared" si="3"/>
        <v>1.85</v>
      </c>
      <c r="U40" s="622"/>
      <c r="V40" s="622"/>
      <c r="W40" s="622"/>
      <c r="X40" s="622"/>
      <c r="Y40" s="622"/>
      <c r="Z40" s="622"/>
      <c r="AA40" s="622"/>
      <c r="AB40" s="622"/>
      <c r="AC40" s="622"/>
      <c r="AD40" s="622"/>
      <c r="AE40" s="622"/>
      <c r="AF40" s="622"/>
      <c r="AG40" s="717" t="e">
        <f t="shared" si="4"/>
        <v>#DIV/0!</v>
      </c>
      <c r="AH40" s="717">
        <v>1.6</v>
      </c>
      <c r="AI40" s="717">
        <v>1.6</v>
      </c>
      <c r="AJ40" s="717">
        <v>1.6</v>
      </c>
      <c r="AK40" s="717">
        <v>1.6</v>
      </c>
      <c r="AL40" s="717">
        <v>1.9</v>
      </c>
      <c r="AM40" s="717">
        <v>2</v>
      </c>
      <c r="AN40" s="717">
        <v>1.55</v>
      </c>
      <c r="AO40" s="717">
        <v>3.15</v>
      </c>
      <c r="AP40" s="717">
        <v>3</v>
      </c>
      <c r="AQ40" s="717">
        <v>3</v>
      </c>
      <c r="AR40" s="717">
        <v>3</v>
      </c>
      <c r="AS40" s="717">
        <v>2.9999999999999996</v>
      </c>
      <c r="AT40" s="717">
        <f t="shared" si="5"/>
        <v>1.6000000000000003</v>
      </c>
      <c r="AU40" s="718">
        <f>_xlfn.IFNA(VLOOKUP(A40&amp;B40,'[1]Management Report'!$F:$I,4,FALSE),0)</f>
        <v>1</v>
      </c>
      <c r="AV40" s="718"/>
    </row>
    <row r="41" spans="1:48" s="719" customFormat="1" ht="15" customHeight="1" x14ac:dyDescent="0.25">
      <c r="A41" s="703" t="s">
        <v>328</v>
      </c>
      <c r="B41" s="707" t="s">
        <v>203</v>
      </c>
      <c r="C41" s="621">
        <f t="shared" si="6"/>
        <v>0.5</v>
      </c>
      <c r="D41" s="621">
        <f t="shared" si="2"/>
        <v>0</v>
      </c>
      <c r="E41" s="717">
        <f>SUMIF($AH$3:$AS$3,$E$2,AH41:AS126)</f>
        <v>1.3</v>
      </c>
      <c r="F41" s="717"/>
      <c r="G41" s="717"/>
      <c r="H41" s="717">
        <v>2.9664473684210528</v>
      </c>
      <c r="I41" s="717">
        <v>1.9000000000000001</v>
      </c>
      <c r="J41" s="717">
        <v>0.95000000000000007</v>
      </c>
      <c r="K41" s="717">
        <v>0.5</v>
      </c>
      <c r="L41" s="717"/>
      <c r="M41" s="717"/>
      <c r="N41" s="717"/>
      <c r="O41" s="717"/>
      <c r="P41" s="717"/>
      <c r="Q41" s="717"/>
      <c r="R41" s="718"/>
      <c r="S41" s="718"/>
      <c r="T41" s="717">
        <f t="shared" si="3"/>
        <v>1.5791118421052632</v>
      </c>
      <c r="U41" s="622"/>
      <c r="V41" s="622"/>
      <c r="W41" s="622"/>
      <c r="X41" s="622"/>
      <c r="Y41" s="622"/>
      <c r="Z41" s="622"/>
      <c r="AA41" s="622"/>
      <c r="AB41" s="622"/>
      <c r="AC41" s="622"/>
      <c r="AD41" s="622"/>
      <c r="AE41" s="622"/>
      <c r="AF41" s="622"/>
      <c r="AG41" s="717" t="e">
        <f t="shared" si="4"/>
        <v>#DIV/0!</v>
      </c>
      <c r="AH41" s="717">
        <v>1.35</v>
      </c>
      <c r="AI41" s="717">
        <v>1.43</v>
      </c>
      <c r="AJ41" s="717">
        <v>1.1499999999999999</v>
      </c>
      <c r="AK41" s="717">
        <v>1.3</v>
      </c>
      <c r="AL41" s="717">
        <v>1.55</v>
      </c>
      <c r="AM41" s="717">
        <v>1.64</v>
      </c>
      <c r="AN41" s="717">
        <v>1.22</v>
      </c>
      <c r="AO41" s="717">
        <v>2.73</v>
      </c>
      <c r="AP41" s="717">
        <v>2.7</v>
      </c>
      <c r="AQ41" s="717">
        <v>2.78</v>
      </c>
      <c r="AR41" s="717">
        <v>2.9</v>
      </c>
      <c r="AS41" s="717">
        <v>2.6</v>
      </c>
      <c r="AT41" s="717">
        <f t="shared" si="5"/>
        <v>1.31</v>
      </c>
      <c r="AU41" s="718">
        <f>_xlfn.IFNA(VLOOKUP(A41&amp;B41,'[1]Management Report'!$F:$I,4,FALSE),0)</f>
        <v>0.5</v>
      </c>
      <c r="AV41" s="718"/>
    </row>
    <row r="42" spans="1:48" s="719" customFormat="1" ht="15" customHeight="1" x14ac:dyDescent="0.25">
      <c r="A42" s="703" t="s">
        <v>328</v>
      </c>
      <c r="B42" s="707" t="s">
        <v>204</v>
      </c>
      <c r="C42" s="621">
        <f t="shared" si="6"/>
        <v>0</v>
      </c>
      <c r="D42" s="621">
        <f t="shared" si="2"/>
        <v>0</v>
      </c>
      <c r="E42" s="717">
        <f>SUMIF($AH$3:$AS$3,$E$2,AH42:AS126)</f>
        <v>0</v>
      </c>
      <c r="F42" s="717"/>
      <c r="G42" s="717"/>
      <c r="H42" s="717">
        <v>0</v>
      </c>
      <c r="I42" s="717">
        <v>0</v>
      </c>
      <c r="J42" s="717">
        <v>0</v>
      </c>
      <c r="K42" s="717">
        <v>0</v>
      </c>
      <c r="L42" s="717"/>
      <c r="M42" s="717"/>
      <c r="N42" s="717"/>
      <c r="O42" s="717"/>
      <c r="P42" s="717"/>
      <c r="Q42" s="717"/>
      <c r="R42" s="718"/>
      <c r="S42" s="718"/>
      <c r="T42" s="717">
        <f t="shared" si="3"/>
        <v>0</v>
      </c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717" t="e">
        <f t="shared" si="4"/>
        <v>#DIV/0!</v>
      </c>
      <c r="AH42" s="717">
        <v>0</v>
      </c>
      <c r="AI42" s="717">
        <v>0</v>
      </c>
      <c r="AJ42" s="717">
        <v>0</v>
      </c>
      <c r="AK42" s="717">
        <v>0</v>
      </c>
      <c r="AL42" s="717">
        <v>0</v>
      </c>
      <c r="AM42" s="717">
        <v>0</v>
      </c>
      <c r="AN42" s="717">
        <v>0</v>
      </c>
      <c r="AO42" s="717">
        <v>0.15</v>
      </c>
      <c r="AP42" s="717">
        <v>0</v>
      </c>
      <c r="AQ42" s="717">
        <v>0</v>
      </c>
      <c r="AR42" s="717">
        <v>0</v>
      </c>
      <c r="AS42" s="717">
        <v>0</v>
      </c>
      <c r="AT42" s="717">
        <f t="shared" si="5"/>
        <v>0</v>
      </c>
      <c r="AU42" s="718">
        <f>_xlfn.IFNA(VLOOKUP(A42&amp;B42,'[1]Management Report'!$F:$I,4,FALSE),0)</f>
        <v>0</v>
      </c>
      <c r="AV42" s="718"/>
    </row>
    <row r="43" spans="1:48" s="719" customFormat="1" ht="15" customHeight="1" x14ac:dyDescent="0.25">
      <c r="A43" s="703" t="s">
        <v>329</v>
      </c>
      <c r="B43" s="707" t="s">
        <v>202</v>
      </c>
      <c r="C43" s="621">
        <f t="shared" si="6"/>
        <v>1.1263157894736842</v>
      </c>
      <c r="D43" s="621">
        <f t="shared" si="2"/>
        <v>0</v>
      </c>
      <c r="E43" s="717">
        <f>SUMIF($AH$3:$AS$3,$E$2,AH43:AS127)</f>
        <v>2</v>
      </c>
      <c r="F43" s="717"/>
      <c r="G43" s="717"/>
      <c r="H43" s="717">
        <v>5.2631578947368418E-2</v>
      </c>
      <c r="I43" s="717">
        <v>1.1778513157894737</v>
      </c>
      <c r="J43" s="717">
        <v>1.1263157894736842</v>
      </c>
      <c r="K43" s="717">
        <v>1.1263157894736842</v>
      </c>
      <c r="L43" s="717"/>
      <c r="M43" s="717"/>
      <c r="N43" s="717"/>
      <c r="O43" s="717"/>
      <c r="P43" s="717"/>
      <c r="Q43" s="717"/>
      <c r="R43" s="718"/>
      <c r="S43" s="718"/>
      <c r="T43" s="717">
        <f t="shared" si="3"/>
        <v>0.87077861842105253</v>
      </c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717" t="e">
        <f t="shared" si="4"/>
        <v>#DIV/0!</v>
      </c>
      <c r="AH43" s="717">
        <v>2</v>
      </c>
      <c r="AI43" s="717">
        <v>2</v>
      </c>
      <c r="AJ43" s="717">
        <v>2</v>
      </c>
      <c r="AK43" s="717">
        <v>2</v>
      </c>
      <c r="AL43" s="717">
        <v>2</v>
      </c>
      <c r="AM43" s="717">
        <v>1</v>
      </c>
      <c r="AN43" s="717">
        <v>1</v>
      </c>
      <c r="AO43" s="717">
        <v>1.5</v>
      </c>
      <c r="AP43" s="717">
        <v>1.97</v>
      </c>
      <c r="AQ43" s="717">
        <v>0.4</v>
      </c>
      <c r="AR43" s="717">
        <v>0</v>
      </c>
      <c r="AS43" s="717">
        <v>0</v>
      </c>
      <c r="AT43" s="717">
        <f t="shared" si="5"/>
        <v>2</v>
      </c>
      <c r="AU43" s="718">
        <f>_xlfn.IFNA(VLOOKUP(A43&amp;B43,'[1]Management Report'!$F:$I,4,FALSE),0)</f>
        <v>1.1263157894736842</v>
      </c>
      <c r="AV43" s="718"/>
    </row>
    <row r="44" spans="1:48" s="719" customFormat="1" ht="15" customHeight="1" x14ac:dyDescent="0.25">
      <c r="A44" s="703" t="s">
        <v>329</v>
      </c>
      <c r="B44" s="707" t="s">
        <v>203</v>
      </c>
      <c r="C44" s="621">
        <f t="shared" si="6"/>
        <v>0.8637425438596491</v>
      </c>
      <c r="D44" s="621">
        <f t="shared" si="2"/>
        <v>0</v>
      </c>
      <c r="E44" s="717">
        <f>SUMIF($AH$3:$AS$3,$E$2,AH44:AS127)</f>
        <v>1.6</v>
      </c>
      <c r="F44" s="717"/>
      <c r="G44" s="717"/>
      <c r="H44" s="717">
        <v>5.2631578947368418E-2</v>
      </c>
      <c r="I44" s="717">
        <v>1.1778513157894737</v>
      </c>
      <c r="J44" s="717">
        <v>1.0763157894736841</v>
      </c>
      <c r="K44" s="717">
        <v>0.8637425438596491</v>
      </c>
      <c r="L44" s="717"/>
      <c r="M44" s="717"/>
      <c r="N44" s="717"/>
      <c r="O44" s="717"/>
      <c r="P44" s="717"/>
      <c r="Q44" s="717"/>
      <c r="R44" s="718"/>
      <c r="S44" s="718"/>
      <c r="T44" s="717">
        <f t="shared" si="3"/>
        <v>0.79263530701754381</v>
      </c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717" t="e">
        <f t="shared" si="4"/>
        <v>#DIV/0!</v>
      </c>
      <c r="AH44" s="717">
        <v>1.85</v>
      </c>
      <c r="AI44" s="717">
        <v>2</v>
      </c>
      <c r="AJ44" s="717">
        <v>1.75</v>
      </c>
      <c r="AK44" s="717">
        <v>1.6</v>
      </c>
      <c r="AL44" s="717">
        <v>1.85</v>
      </c>
      <c r="AM44" s="717">
        <v>0.93</v>
      </c>
      <c r="AN44" s="717">
        <v>0.85</v>
      </c>
      <c r="AO44" s="717">
        <v>1.45</v>
      </c>
      <c r="AP44" s="717">
        <v>1.65</v>
      </c>
      <c r="AQ44" s="717">
        <v>0.4</v>
      </c>
      <c r="AR44" s="717">
        <v>0</v>
      </c>
      <c r="AS44" s="717">
        <v>0</v>
      </c>
      <c r="AT44" s="717">
        <f t="shared" si="5"/>
        <v>1.8666666666666665</v>
      </c>
      <c r="AU44" s="718">
        <f>_xlfn.IFNA(VLOOKUP(A44&amp;B44,'[1]Management Report'!$F:$I,4,FALSE),0)</f>
        <v>0.8637425438596491</v>
      </c>
      <c r="AV44" s="718"/>
    </row>
    <row r="45" spans="1:48" s="719" customFormat="1" ht="15" customHeight="1" x14ac:dyDescent="0.25">
      <c r="A45" s="703" t="s">
        <v>329</v>
      </c>
      <c r="B45" s="707" t="s">
        <v>204</v>
      </c>
      <c r="C45" s="621">
        <f t="shared" si="6"/>
        <v>0</v>
      </c>
      <c r="D45" s="621">
        <f t="shared" si="2"/>
        <v>0</v>
      </c>
      <c r="E45" s="717">
        <f>SUMIF($AH$3:$AS$3,$E$2,AH45:AS127)</f>
        <v>0</v>
      </c>
      <c r="F45" s="717"/>
      <c r="G45" s="717"/>
      <c r="H45" s="717">
        <v>0</v>
      </c>
      <c r="I45" s="717">
        <v>2.4125000000000001E-3</v>
      </c>
      <c r="J45" s="717">
        <v>0</v>
      </c>
      <c r="K45" s="717">
        <v>0</v>
      </c>
      <c r="L45" s="717"/>
      <c r="M45" s="717"/>
      <c r="N45" s="717"/>
      <c r="O45" s="717"/>
      <c r="P45" s="717"/>
      <c r="Q45" s="717"/>
      <c r="R45" s="718"/>
      <c r="S45" s="718"/>
      <c r="T45" s="717">
        <f t="shared" si="3"/>
        <v>6.0312500000000004E-4</v>
      </c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717" t="e">
        <f t="shared" si="4"/>
        <v>#DIV/0!</v>
      </c>
      <c r="AH45" s="717">
        <v>0</v>
      </c>
      <c r="AI45" s="717">
        <v>0</v>
      </c>
      <c r="AJ45" s="717">
        <v>0</v>
      </c>
      <c r="AK45" s="717">
        <v>0</v>
      </c>
      <c r="AL45" s="717">
        <v>0</v>
      </c>
      <c r="AM45" s="717">
        <v>0</v>
      </c>
      <c r="AN45" s="717">
        <v>0</v>
      </c>
      <c r="AO45" s="717">
        <v>0</v>
      </c>
      <c r="AP45" s="717">
        <v>0</v>
      </c>
      <c r="AQ45" s="717">
        <v>0</v>
      </c>
      <c r="AR45" s="717">
        <v>0</v>
      </c>
      <c r="AS45" s="717">
        <v>0</v>
      </c>
      <c r="AT45" s="717">
        <f t="shared" si="5"/>
        <v>0</v>
      </c>
      <c r="AU45" s="718">
        <f>_xlfn.IFNA(VLOOKUP(A45&amp;B45,'[1]Management Report'!$F:$I,4,FALSE),0)</f>
        <v>0</v>
      </c>
      <c r="AV45" s="718"/>
    </row>
    <row r="46" spans="1:48" s="719" customFormat="1" ht="15" customHeight="1" x14ac:dyDescent="0.25">
      <c r="A46" s="703" t="s">
        <v>330</v>
      </c>
      <c r="B46" s="707" t="s">
        <v>202</v>
      </c>
      <c r="C46" s="621">
        <f t="shared" si="6"/>
        <v>1.9</v>
      </c>
      <c r="D46" s="621">
        <f t="shared" si="2"/>
        <v>0</v>
      </c>
      <c r="E46" s="717">
        <f>SUMIF($AH$3:$AS$3,$E$2,AH46:AS128)</f>
        <v>1</v>
      </c>
      <c r="F46" s="717"/>
      <c r="G46" s="717"/>
      <c r="H46" s="717">
        <v>1.9</v>
      </c>
      <c r="I46" s="717">
        <v>1.9</v>
      </c>
      <c r="J46" s="717">
        <v>1.9</v>
      </c>
      <c r="K46" s="717">
        <v>1.9</v>
      </c>
      <c r="L46" s="717"/>
      <c r="M46" s="717"/>
      <c r="N46" s="717"/>
      <c r="O46" s="717"/>
      <c r="P46" s="717"/>
      <c r="Q46" s="717"/>
      <c r="R46" s="718"/>
      <c r="S46" s="718"/>
      <c r="T46" s="717">
        <f t="shared" si="3"/>
        <v>1.9</v>
      </c>
      <c r="U46" s="622"/>
      <c r="V46" s="622"/>
      <c r="W46" s="622"/>
      <c r="X46" s="622"/>
      <c r="Y46" s="622"/>
      <c r="Z46" s="622"/>
      <c r="AA46" s="622"/>
      <c r="AB46" s="622"/>
      <c r="AC46" s="622"/>
      <c r="AD46" s="622"/>
      <c r="AE46" s="622"/>
      <c r="AF46" s="622"/>
      <c r="AG46" s="717" t="e">
        <f t="shared" si="4"/>
        <v>#DIV/0!</v>
      </c>
      <c r="AH46" s="717">
        <v>1</v>
      </c>
      <c r="AI46" s="717">
        <v>1</v>
      </c>
      <c r="AJ46" s="717">
        <v>1</v>
      </c>
      <c r="AK46" s="717">
        <v>1</v>
      </c>
      <c r="AL46" s="717">
        <v>1</v>
      </c>
      <c r="AM46" s="717">
        <v>1</v>
      </c>
      <c r="AN46" s="717">
        <v>1</v>
      </c>
      <c r="AO46" s="717">
        <v>1</v>
      </c>
      <c r="AP46" s="717">
        <v>1</v>
      </c>
      <c r="AQ46" s="717">
        <v>1.7</v>
      </c>
      <c r="AR46" s="717">
        <v>1.88</v>
      </c>
      <c r="AS46" s="717">
        <v>1.9</v>
      </c>
      <c r="AT46" s="717">
        <f t="shared" si="5"/>
        <v>1</v>
      </c>
      <c r="AU46" s="718">
        <f>_xlfn.IFNA(VLOOKUP(A46&amp;B46,'[1]Management Report'!$F:$I,4,FALSE),0)</f>
        <v>1.9</v>
      </c>
      <c r="AV46" s="718"/>
    </row>
    <row r="47" spans="1:48" s="719" customFormat="1" ht="15" customHeight="1" x14ac:dyDescent="0.25">
      <c r="A47" s="703" t="s">
        <v>330</v>
      </c>
      <c r="B47" s="707" t="s">
        <v>203</v>
      </c>
      <c r="C47" s="621">
        <f t="shared" si="6"/>
        <v>1.5</v>
      </c>
      <c r="D47" s="621">
        <f t="shared" si="2"/>
        <v>0</v>
      </c>
      <c r="E47" s="717">
        <f>SUMIF($AH$3:$AS$3,$E$2,AH47:AS128)</f>
        <v>0.55000000000000004</v>
      </c>
      <c r="F47" s="717"/>
      <c r="G47" s="717"/>
      <c r="H47" s="717">
        <v>1.6</v>
      </c>
      <c r="I47" s="717">
        <v>1.9</v>
      </c>
      <c r="J47" s="717">
        <v>1.7</v>
      </c>
      <c r="K47" s="717">
        <v>1.5</v>
      </c>
      <c r="L47" s="717"/>
      <c r="M47" s="717"/>
      <c r="N47" s="717"/>
      <c r="O47" s="717"/>
      <c r="P47" s="717"/>
      <c r="Q47" s="717"/>
      <c r="R47" s="718"/>
      <c r="S47" s="718"/>
      <c r="T47" s="717">
        <f t="shared" si="3"/>
        <v>1.675</v>
      </c>
      <c r="U47" s="622"/>
      <c r="V47" s="622"/>
      <c r="W47" s="622"/>
      <c r="X47" s="622"/>
      <c r="Y47" s="622"/>
      <c r="Z47" s="622"/>
      <c r="AA47" s="622"/>
      <c r="AB47" s="622"/>
      <c r="AC47" s="622"/>
      <c r="AD47" s="622"/>
      <c r="AE47" s="622"/>
      <c r="AF47" s="622"/>
      <c r="AG47" s="717" t="e">
        <f t="shared" si="4"/>
        <v>#DIV/0!</v>
      </c>
      <c r="AH47" s="717">
        <v>0.95</v>
      </c>
      <c r="AI47" s="717">
        <v>0.85</v>
      </c>
      <c r="AJ47" s="717">
        <v>0.9</v>
      </c>
      <c r="AK47" s="717">
        <v>0.55000000000000004</v>
      </c>
      <c r="AL47" s="717">
        <v>1.2</v>
      </c>
      <c r="AM47" s="717">
        <v>1</v>
      </c>
      <c r="AN47" s="717">
        <v>0.85</v>
      </c>
      <c r="AO47" s="717">
        <v>0.7</v>
      </c>
      <c r="AP47" s="717">
        <v>0.6</v>
      </c>
      <c r="AQ47" s="717">
        <v>1.7</v>
      </c>
      <c r="AR47" s="717">
        <v>1.84</v>
      </c>
      <c r="AS47" s="717">
        <v>1.35</v>
      </c>
      <c r="AT47" s="717">
        <f t="shared" si="5"/>
        <v>0.89999999999999991</v>
      </c>
      <c r="AU47" s="718">
        <f>_xlfn.IFNA(VLOOKUP(A47&amp;B47,'[1]Management Report'!$F:$I,4,FALSE),0)</f>
        <v>1.5</v>
      </c>
      <c r="AV47" s="718"/>
    </row>
    <row r="48" spans="1:48" s="719" customFormat="1" ht="15" customHeight="1" x14ac:dyDescent="0.25">
      <c r="A48" s="703" t="s">
        <v>330</v>
      </c>
      <c r="B48" s="707" t="s">
        <v>204</v>
      </c>
      <c r="C48" s="621">
        <f t="shared" si="6"/>
        <v>0</v>
      </c>
      <c r="D48" s="621">
        <f t="shared" si="2"/>
        <v>0</v>
      </c>
      <c r="E48" s="717">
        <f>SUMIF($AH$3:$AS$3,$E$2,AH48:AS128)</f>
        <v>0</v>
      </c>
      <c r="F48" s="717"/>
      <c r="G48" s="717"/>
      <c r="H48" s="717">
        <v>0</v>
      </c>
      <c r="I48" s="717">
        <v>0</v>
      </c>
      <c r="J48" s="717">
        <v>0</v>
      </c>
      <c r="K48" s="717">
        <v>0</v>
      </c>
      <c r="L48" s="717"/>
      <c r="M48" s="717"/>
      <c r="N48" s="717"/>
      <c r="O48" s="717"/>
      <c r="P48" s="717"/>
      <c r="Q48" s="717"/>
      <c r="R48" s="718"/>
      <c r="S48" s="718"/>
      <c r="T48" s="717">
        <f t="shared" si="3"/>
        <v>0</v>
      </c>
      <c r="U48" s="622"/>
      <c r="V48" s="622"/>
      <c r="W48" s="622"/>
      <c r="X48" s="622"/>
      <c r="Y48" s="622"/>
      <c r="Z48" s="622"/>
      <c r="AA48" s="622"/>
      <c r="AB48" s="622"/>
      <c r="AC48" s="622"/>
      <c r="AD48" s="622"/>
      <c r="AE48" s="622"/>
      <c r="AF48" s="622"/>
      <c r="AG48" s="717" t="e">
        <f t="shared" si="4"/>
        <v>#DIV/0!</v>
      </c>
      <c r="AH48" s="717">
        <v>0</v>
      </c>
      <c r="AI48" s="717">
        <v>0</v>
      </c>
      <c r="AJ48" s="717">
        <v>0</v>
      </c>
      <c r="AK48" s="717">
        <v>0</v>
      </c>
      <c r="AL48" s="717">
        <v>0</v>
      </c>
      <c r="AM48" s="717">
        <v>0</v>
      </c>
      <c r="AN48" s="717">
        <v>0</v>
      </c>
      <c r="AO48" s="717">
        <v>0</v>
      </c>
      <c r="AP48" s="717">
        <v>0</v>
      </c>
      <c r="AQ48" s="717">
        <v>0</v>
      </c>
      <c r="AR48" s="717">
        <v>0</v>
      </c>
      <c r="AS48" s="717">
        <v>0</v>
      </c>
      <c r="AT48" s="717">
        <f t="shared" si="5"/>
        <v>0</v>
      </c>
      <c r="AU48" s="718">
        <f>_xlfn.IFNA(VLOOKUP(A48&amp;B48,'[1]Management Report'!$F:$I,4,FALSE),0)</f>
        <v>0</v>
      </c>
      <c r="AV48" s="718"/>
    </row>
    <row r="49" spans="1:49" s="719" customFormat="1" ht="15" customHeight="1" x14ac:dyDescent="0.25">
      <c r="A49" s="703" t="s">
        <v>284</v>
      </c>
      <c r="B49" s="707" t="s">
        <v>202</v>
      </c>
      <c r="C49" s="621">
        <f t="shared" si="6"/>
        <v>0</v>
      </c>
      <c r="D49" s="621">
        <f t="shared" si="2"/>
        <v>0</v>
      </c>
      <c r="E49" s="717">
        <f>SUMIF($AH$3:$AS$3,$E$2,AH49:AS129)</f>
        <v>0</v>
      </c>
      <c r="F49" s="717"/>
      <c r="G49" s="717"/>
      <c r="H49" s="717">
        <v>0</v>
      </c>
      <c r="I49" s="717">
        <v>0</v>
      </c>
      <c r="J49" s="717">
        <v>0</v>
      </c>
      <c r="K49" s="717">
        <v>0</v>
      </c>
      <c r="L49" s="717"/>
      <c r="M49" s="717"/>
      <c r="N49" s="717"/>
      <c r="O49" s="717"/>
      <c r="P49" s="717"/>
      <c r="Q49" s="717"/>
      <c r="R49" s="718"/>
      <c r="S49" s="717"/>
      <c r="T49" s="717">
        <f t="shared" si="3"/>
        <v>0</v>
      </c>
      <c r="U49" s="622"/>
      <c r="V49" s="622"/>
      <c r="W49" s="622"/>
      <c r="X49" s="622"/>
      <c r="Y49" s="622"/>
      <c r="Z49" s="622"/>
      <c r="AA49" s="622"/>
      <c r="AB49" s="622"/>
      <c r="AC49" s="622"/>
      <c r="AD49" s="622"/>
      <c r="AE49" s="622"/>
      <c r="AF49" s="622"/>
      <c r="AG49" s="717" t="e">
        <f t="shared" si="4"/>
        <v>#DIV/0!</v>
      </c>
      <c r="AH49" s="717">
        <v>0</v>
      </c>
      <c r="AI49" s="717">
        <v>0</v>
      </c>
      <c r="AJ49" s="717">
        <v>0</v>
      </c>
      <c r="AK49" s="717">
        <v>0</v>
      </c>
      <c r="AL49" s="717">
        <v>0</v>
      </c>
      <c r="AM49" s="717">
        <v>0</v>
      </c>
      <c r="AN49" s="717">
        <v>0</v>
      </c>
      <c r="AO49" s="717">
        <v>0</v>
      </c>
      <c r="AP49" s="717">
        <v>0</v>
      </c>
      <c r="AQ49" s="717">
        <v>0</v>
      </c>
      <c r="AR49" s="717">
        <v>0</v>
      </c>
      <c r="AS49" s="717">
        <v>0</v>
      </c>
      <c r="AT49" s="717">
        <f t="shared" si="5"/>
        <v>0</v>
      </c>
      <c r="AU49" s="718">
        <f>_xlfn.IFNA(VLOOKUP(A49&amp;B49,'[1]Management Report'!$F:$I,4,FALSE),0)</f>
        <v>0</v>
      </c>
      <c r="AV49" s="718"/>
    </row>
    <row r="50" spans="1:49" s="719" customFormat="1" ht="15" customHeight="1" x14ac:dyDescent="0.25">
      <c r="A50" s="703" t="s">
        <v>284</v>
      </c>
      <c r="B50" s="707" t="s">
        <v>203</v>
      </c>
      <c r="C50" s="621">
        <f t="shared" si="6"/>
        <v>0</v>
      </c>
      <c r="D50" s="621">
        <f t="shared" si="2"/>
        <v>0</v>
      </c>
      <c r="E50" s="717">
        <f>SUMIF($AH$3:$AS$3,$E$2,AH50:AS129)</f>
        <v>0</v>
      </c>
      <c r="F50" s="717"/>
      <c r="G50" s="717"/>
      <c r="H50" s="717">
        <v>0</v>
      </c>
      <c r="I50" s="717">
        <v>0</v>
      </c>
      <c r="J50" s="717">
        <v>0</v>
      </c>
      <c r="K50" s="717">
        <v>0</v>
      </c>
      <c r="L50" s="717"/>
      <c r="M50" s="717"/>
      <c r="N50" s="717"/>
      <c r="O50" s="717"/>
      <c r="P50" s="717"/>
      <c r="Q50" s="717"/>
      <c r="R50" s="718"/>
      <c r="S50" s="717"/>
      <c r="T50" s="717">
        <f t="shared" si="3"/>
        <v>0</v>
      </c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717" t="e">
        <f t="shared" si="4"/>
        <v>#DIV/0!</v>
      </c>
      <c r="AH50" s="717">
        <v>0</v>
      </c>
      <c r="AI50" s="717">
        <v>0</v>
      </c>
      <c r="AJ50" s="717">
        <v>0</v>
      </c>
      <c r="AK50" s="717">
        <v>0</v>
      </c>
      <c r="AL50" s="717">
        <v>0</v>
      </c>
      <c r="AM50" s="717">
        <v>0</v>
      </c>
      <c r="AN50" s="717">
        <v>0</v>
      </c>
      <c r="AO50" s="717">
        <v>0</v>
      </c>
      <c r="AP50" s="717">
        <v>0</v>
      </c>
      <c r="AQ50" s="717">
        <v>0</v>
      </c>
      <c r="AR50" s="717">
        <v>0</v>
      </c>
      <c r="AS50" s="717">
        <v>0</v>
      </c>
      <c r="AT50" s="717">
        <f t="shared" si="5"/>
        <v>0</v>
      </c>
      <c r="AU50" s="718">
        <f>_xlfn.IFNA(VLOOKUP(A50&amp;B50,'[1]Management Report'!$F:$I,4,FALSE),0)</f>
        <v>0</v>
      </c>
      <c r="AV50" s="718"/>
    </row>
    <row r="51" spans="1:49" s="719" customFormat="1" ht="15" customHeight="1" x14ac:dyDescent="0.25">
      <c r="A51" s="703" t="s">
        <v>284</v>
      </c>
      <c r="B51" s="707" t="s">
        <v>204</v>
      </c>
      <c r="C51" s="621">
        <f t="shared" si="6"/>
        <v>0</v>
      </c>
      <c r="D51" s="621">
        <f t="shared" si="2"/>
        <v>0</v>
      </c>
      <c r="E51" s="717">
        <f>SUMIF($AH$3:$AS$3,$E$2,AH51:AS129)</f>
        <v>0</v>
      </c>
      <c r="F51" s="717"/>
      <c r="G51" s="717"/>
      <c r="H51" s="717">
        <v>0</v>
      </c>
      <c r="I51" s="717">
        <v>0</v>
      </c>
      <c r="J51" s="717">
        <v>0</v>
      </c>
      <c r="K51" s="717">
        <v>0</v>
      </c>
      <c r="L51" s="717"/>
      <c r="M51" s="717"/>
      <c r="N51" s="717"/>
      <c r="O51" s="717"/>
      <c r="P51" s="717"/>
      <c r="Q51" s="717"/>
      <c r="R51" s="718"/>
      <c r="S51" s="717"/>
      <c r="T51" s="717">
        <f t="shared" si="3"/>
        <v>0</v>
      </c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717" t="e">
        <f t="shared" si="4"/>
        <v>#DIV/0!</v>
      </c>
      <c r="AH51" s="717">
        <v>0</v>
      </c>
      <c r="AI51" s="717">
        <v>0</v>
      </c>
      <c r="AJ51" s="717">
        <v>0</v>
      </c>
      <c r="AK51" s="717">
        <v>0</v>
      </c>
      <c r="AL51" s="717">
        <v>0</v>
      </c>
      <c r="AM51" s="717">
        <v>0</v>
      </c>
      <c r="AN51" s="717">
        <v>0</v>
      </c>
      <c r="AO51" s="717">
        <v>0</v>
      </c>
      <c r="AP51" s="717">
        <v>0</v>
      </c>
      <c r="AQ51" s="717">
        <v>0</v>
      </c>
      <c r="AR51" s="717">
        <v>0</v>
      </c>
      <c r="AS51" s="717">
        <v>0</v>
      </c>
      <c r="AT51" s="717">
        <f t="shared" si="5"/>
        <v>0</v>
      </c>
      <c r="AU51" s="718">
        <f>_xlfn.IFNA(VLOOKUP(A51&amp;B51,'[1]Management Report'!$F:$I,4,FALSE),0)</f>
        <v>0</v>
      </c>
      <c r="AV51" s="718"/>
    </row>
    <row r="52" spans="1:49" s="719" customFormat="1" ht="15" customHeight="1" x14ac:dyDescent="0.25">
      <c r="A52" s="703" t="s">
        <v>331</v>
      </c>
      <c r="B52" s="707" t="s">
        <v>202</v>
      </c>
      <c r="C52" s="621">
        <f t="shared" si="6"/>
        <v>3</v>
      </c>
      <c r="D52" s="621">
        <f t="shared" si="2"/>
        <v>0</v>
      </c>
      <c r="E52" s="717">
        <f>SUMIF($AH$3:$AS$3,$E$2,AH52:AS130)</f>
        <v>4</v>
      </c>
      <c r="F52" s="717"/>
      <c r="G52" s="717"/>
      <c r="H52" s="717">
        <v>4</v>
      </c>
      <c r="I52" s="717">
        <v>3.65</v>
      </c>
      <c r="J52" s="717">
        <v>3</v>
      </c>
      <c r="K52" s="717">
        <v>3</v>
      </c>
      <c r="L52" s="717"/>
      <c r="M52" s="717"/>
      <c r="N52" s="717"/>
      <c r="O52" s="717"/>
      <c r="P52" s="717"/>
      <c r="Q52" s="717"/>
      <c r="R52" s="718"/>
      <c r="S52" s="718"/>
      <c r="T52" s="717">
        <f t="shared" si="3"/>
        <v>3.4125000000000001</v>
      </c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717" t="e">
        <f t="shared" si="4"/>
        <v>#DIV/0!</v>
      </c>
      <c r="AH52" s="717">
        <v>4</v>
      </c>
      <c r="AI52" s="717">
        <v>4</v>
      </c>
      <c r="AJ52" s="717">
        <v>4</v>
      </c>
      <c r="AK52" s="717">
        <v>4</v>
      </c>
      <c r="AL52" s="717">
        <v>6</v>
      </c>
      <c r="AM52" s="717">
        <v>7</v>
      </c>
      <c r="AN52" s="717">
        <v>7</v>
      </c>
      <c r="AO52" s="717">
        <v>7</v>
      </c>
      <c r="AP52" s="717">
        <v>7</v>
      </c>
      <c r="AQ52" s="717">
        <v>6.9</v>
      </c>
      <c r="AR52" s="717">
        <v>5.07</v>
      </c>
      <c r="AS52" s="717">
        <v>4</v>
      </c>
      <c r="AT52" s="717">
        <f t="shared" si="5"/>
        <v>4</v>
      </c>
      <c r="AU52" s="718">
        <f>_xlfn.IFNA(VLOOKUP(A52&amp;B52,'[1]Management Report'!$F:$I,4,FALSE),0)</f>
        <v>3</v>
      </c>
      <c r="AV52" s="718"/>
    </row>
    <row r="53" spans="1:49" s="719" customFormat="1" ht="15" customHeight="1" x14ac:dyDescent="0.25">
      <c r="A53" s="703" t="s">
        <v>331</v>
      </c>
      <c r="B53" s="707" t="s">
        <v>203</v>
      </c>
      <c r="C53" s="621">
        <f t="shared" si="6"/>
        <v>1.5999999999999999</v>
      </c>
      <c r="D53" s="621">
        <f t="shared" si="2"/>
        <v>0</v>
      </c>
      <c r="E53" s="717">
        <f>SUMIF($AH$3:$AS$3,$E$2,AH53:AS130)</f>
        <v>3.25</v>
      </c>
      <c r="F53" s="717"/>
      <c r="G53" s="717"/>
      <c r="H53" s="717">
        <v>3.0500000000000003</v>
      </c>
      <c r="I53" s="717">
        <v>3.5</v>
      </c>
      <c r="J53" s="717">
        <v>2.4</v>
      </c>
      <c r="K53" s="717">
        <v>1.5999999999999999</v>
      </c>
      <c r="L53" s="717"/>
      <c r="M53" s="717"/>
      <c r="N53" s="717"/>
      <c r="O53" s="717"/>
      <c r="P53" s="717"/>
      <c r="Q53" s="717"/>
      <c r="R53" s="718"/>
      <c r="S53" s="718"/>
      <c r="T53" s="717">
        <f t="shared" si="3"/>
        <v>2.6375000000000002</v>
      </c>
      <c r="U53" s="721"/>
      <c r="V53" s="721"/>
      <c r="W53" s="721"/>
      <c r="X53" s="721"/>
      <c r="Y53" s="721"/>
      <c r="Z53" s="721"/>
      <c r="AA53" s="721"/>
      <c r="AB53" s="721"/>
      <c r="AC53" s="721"/>
      <c r="AD53" s="721"/>
      <c r="AE53" s="721"/>
      <c r="AF53" s="721"/>
      <c r="AG53" s="717" t="e">
        <f t="shared" si="4"/>
        <v>#DIV/0!</v>
      </c>
      <c r="AH53" s="717">
        <v>3.6</v>
      </c>
      <c r="AI53" s="717">
        <v>3.8</v>
      </c>
      <c r="AJ53" s="717">
        <v>3.48</v>
      </c>
      <c r="AK53" s="717">
        <v>3.25</v>
      </c>
      <c r="AL53" s="717">
        <v>4.5999999999999996</v>
      </c>
      <c r="AM53" s="717">
        <v>6.2</v>
      </c>
      <c r="AN53" s="717">
        <v>4.41</v>
      </c>
      <c r="AO53" s="717">
        <v>6.55</v>
      </c>
      <c r="AP53" s="717">
        <v>5.79</v>
      </c>
      <c r="AQ53" s="717">
        <v>5.79</v>
      </c>
      <c r="AR53" s="717">
        <v>4.95</v>
      </c>
      <c r="AS53" s="717">
        <v>3.1500000000000004</v>
      </c>
      <c r="AT53" s="717">
        <f t="shared" si="5"/>
        <v>3.6266666666666669</v>
      </c>
      <c r="AU53" s="718">
        <f>_xlfn.IFNA(VLOOKUP(A53&amp;B53,'[1]Management Report'!$F:$I,4,FALSE),0)</f>
        <v>1.5999999999999999</v>
      </c>
      <c r="AV53" s="718"/>
    </row>
    <row r="54" spans="1:49" s="719" customFormat="1" ht="15" customHeight="1" x14ac:dyDescent="0.25">
      <c r="A54" s="703" t="s">
        <v>331</v>
      </c>
      <c r="B54" s="707" t="s">
        <v>204</v>
      </c>
      <c r="C54" s="621">
        <f t="shared" si="6"/>
        <v>0</v>
      </c>
      <c r="D54" s="621">
        <f t="shared" si="2"/>
        <v>0</v>
      </c>
      <c r="E54" s="717">
        <f>SUMIF($AH$3:$AS$3,$E$2,AH54:AS130)</f>
        <v>0</v>
      </c>
      <c r="F54" s="717"/>
      <c r="G54" s="717"/>
      <c r="H54" s="717">
        <v>0</v>
      </c>
      <c r="I54" s="717">
        <v>0</v>
      </c>
      <c r="J54" s="717">
        <v>0</v>
      </c>
      <c r="K54" s="717">
        <v>0</v>
      </c>
      <c r="L54" s="717"/>
      <c r="M54" s="717"/>
      <c r="N54" s="717"/>
      <c r="O54" s="717"/>
      <c r="P54" s="717"/>
      <c r="Q54" s="717"/>
      <c r="R54" s="718"/>
      <c r="S54" s="718"/>
      <c r="T54" s="717">
        <f t="shared" si="3"/>
        <v>0</v>
      </c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717" t="e">
        <f t="shared" si="4"/>
        <v>#DIV/0!</v>
      </c>
      <c r="AH54" s="717">
        <v>0</v>
      </c>
      <c r="AI54" s="717">
        <v>0</v>
      </c>
      <c r="AJ54" s="717">
        <v>0</v>
      </c>
      <c r="AK54" s="717">
        <v>0</v>
      </c>
      <c r="AL54" s="717">
        <v>0</v>
      </c>
      <c r="AM54" s="717">
        <v>0</v>
      </c>
      <c r="AN54" s="717">
        <v>0</v>
      </c>
      <c r="AO54" s="717">
        <v>0</v>
      </c>
      <c r="AP54" s="717">
        <v>0</v>
      </c>
      <c r="AQ54" s="717">
        <v>0</v>
      </c>
      <c r="AR54" s="717">
        <v>0</v>
      </c>
      <c r="AS54" s="717">
        <v>0</v>
      </c>
      <c r="AT54" s="717">
        <f t="shared" si="5"/>
        <v>0</v>
      </c>
      <c r="AU54" s="718">
        <f>_xlfn.IFNA(VLOOKUP(A54&amp;B54,'[1]Management Report'!$F:$I,4,FALSE),0)</f>
        <v>0</v>
      </c>
      <c r="AV54" s="718"/>
    </row>
    <row r="55" spans="1:49" s="719" customFormat="1" ht="15" customHeight="1" x14ac:dyDescent="0.25">
      <c r="A55" s="703" t="s">
        <v>282</v>
      </c>
      <c r="B55" s="707" t="s">
        <v>202</v>
      </c>
      <c r="C55" s="621">
        <f t="shared" si="6"/>
        <v>1</v>
      </c>
      <c r="D55" s="621">
        <f t="shared" si="2"/>
        <v>0</v>
      </c>
      <c r="E55" s="717">
        <f>SUMIF($AH$3:$AS$3,$E$2,AH55:AS131)</f>
        <v>1</v>
      </c>
      <c r="F55" s="717"/>
      <c r="G55" s="717"/>
      <c r="H55" s="717">
        <v>1</v>
      </c>
      <c r="I55" s="717">
        <v>1</v>
      </c>
      <c r="J55" s="717">
        <v>1</v>
      </c>
      <c r="K55" s="717">
        <v>1</v>
      </c>
      <c r="L55" s="717"/>
      <c r="M55" s="717"/>
      <c r="N55" s="717"/>
      <c r="O55" s="717"/>
      <c r="P55" s="717"/>
      <c r="Q55" s="717"/>
      <c r="R55" s="718"/>
      <c r="S55" s="718"/>
      <c r="T55" s="717">
        <f t="shared" si="3"/>
        <v>1</v>
      </c>
      <c r="U55" s="622"/>
      <c r="V55" s="622"/>
      <c r="W55" s="622"/>
      <c r="X55" s="622"/>
      <c r="Y55" s="622"/>
      <c r="Z55" s="622"/>
      <c r="AA55" s="622"/>
      <c r="AB55" s="622"/>
      <c r="AC55" s="622"/>
      <c r="AD55" s="622"/>
      <c r="AE55" s="622"/>
      <c r="AF55" s="622"/>
      <c r="AG55" s="717" t="e">
        <f t="shared" si="4"/>
        <v>#DIV/0!</v>
      </c>
      <c r="AH55" s="717">
        <v>1</v>
      </c>
      <c r="AI55" s="717">
        <v>1</v>
      </c>
      <c r="AJ55" s="717">
        <v>1</v>
      </c>
      <c r="AK55" s="717">
        <v>1</v>
      </c>
      <c r="AL55" s="717">
        <v>1</v>
      </c>
      <c r="AM55" s="717">
        <v>0.97</v>
      </c>
      <c r="AN55" s="717">
        <v>1</v>
      </c>
      <c r="AO55" s="717">
        <v>1</v>
      </c>
      <c r="AP55" s="717">
        <v>1</v>
      </c>
      <c r="AQ55" s="717">
        <v>1</v>
      </c>
      <c r="AR55" s="717">
        <v>1</v>
      </c>
      <c r="AS55" s="717">
        <v>1</v>
      </c>
      <c r="AT55" s="717">
        <f t="shared" si="5"/>
        <v>1</v>
      </c>
      <c r="AU55" s="718">
        <f>_xlfn.IFNA(VLOOKUP(A55&amp;B55,'[1]Management Report'!$F:$I,4,FALSE),0)</f>
        <v>1</v>
      </c>
      <c r="AV55" s="718"/>
      <c r="AW55" s="717"/>
    </row>
    <row r="56" spans="1:49" s="719" customFormat="1" ht="15" customHeight="1" x14ac:dyDescent="0.25">
      <c r="A56" s="703" t="s">
        <v>282</v>
      </c>
      <c r="B56" s="707" t="s">
        <v>203</v>
      </c>
      <c r="C56" s="621">
        <f t="shared" si="6"/>
        <v>0.73333333333333328</v>
      </c>
      <c r="D56" s="621">
        <f t="shared" si="2"/>
        <v>0</v>
      </c>
      <c r="E56" s="717">
        <f>SUMIF($AH$3:$AS$3,$E$2,AH56:AS131)</f>
        <v>0.77</v>
      </c>
      <c r="F56" s="717"/>
      <c r="G56" s="717"/>
      <c r="H56" s="717">
        <v>0.95000000000000007</v>
      </c>
      <c r="I56" s="717">
        <v>1</v>
      </c>
      <c r="J56" s="717">
        <v>1</v>
      </c>
      <c r="K56" s="717">
        <v>0.73333333333333328</v>
      </c>
      <c r="L56" s="717"/>
      <c r="M56" s="717"/>
      <c r="N56" s="717"/>
      <c r="O56" s="717"/>
      <c r="P56" s="717"/>
      <c r="Q56" s="717"/>
      <c r="R56" s="718"/>
      <c r="S56" s="718"/>
      <c r="T56" s="717">
        <f t="shared" si="3"/>
        <v>0.92083333333333339</v>
      </c>
      <c r="U56" s="622"/>
      <c r="V56" s="622"/>
      <c r="W56" s="622"/>
      <c r="X56" s="622"/>
      <c r="Y56" s="622"/>
      <c r="Z56" s="622"/>
      <c r="AA56" s="622"/>
      <c r="AB56" s="622"/>
      <c r="AC56" s="622"/>
      <c r="AD56" s="622"/>
      <c r="AE56" s="622"/>
      <c r="AF56" s="622"/>
      <c r="AG56" s="717" t="e">
        <f t="shared" si="4"/>
        <v>#DIV/0!</v>
      </c>
      <c r="AH56" s="717">
        <v>0.9</v>
      </c>
      <c r="AI56" s="717">
        <v>0.95</v>
      </c>
      <c r="AJ56" s="717">
        <v>1</v>
      </c>
      <c r="AK56" s="717">
        <v>0.77</v>
      </c>
      <c r="AL56" s="717">
        <v>0.45</v>
      </c>
      <c r="AM56" s="717">
        <v>0.63</v>
      </c>
      <c r="AN56" s="717">
        <v>0.8</v>
      </c>
      <c r="AO56" s="717">
        <v>0.85</v>
      </c>
      <c r="AP56" s="717">
        <v>0.89</v>
      </c>
      <c r="AQ56" s="717">
        <v>0.95</v>
      </c>
      <c r="AR56" s="717">
        <v>0.4</v>
      </c>
      <c r="AS56" s="717">
        <v>0.95000000000000007</v>
      </c>
      <c r="AT56" s="717">
        <f t="shared" si="5"/>
        <v>0.95000000000000007</v>
      </c>
      <c r="AU56" s="718">
        <f>_xlfn.IFNA(VLOOKUP(A56&amp;B56,'[1]Management Report'!$F:$I,4,FALSE),0)</f>
        <v>0.73333333333333328</v>
      </c>
      <c r="AV56" s="718"/>
    </row>
    <row r="57" spans="1:49" s="719" customFormat="1" ht="15" customHeight="1" x14ac:dyDescent="0.25">
      <c r="A57" s="703" t="s">
        <v>282</v>
      </c>
      <c r="B57" s="707" t="s">
        <v>204</v>
      </c>
      <c r="C57" s="621">
        <f t="shared" si="6"/>
        <v>0</v>
      </c>
      <c r="D57" s="621">
        <f t="shared" si="2"/>
        <v>0</v>
      </c>
      <c r="E57" s="717">
        <f>SUMIF($AH$3:$AS$3,$E$2,AH57:AS131)</f>
        <v>0</v>
      </c>
      <c r="F57" s="717"/>
      <c r="G57" s="717"/>
      <c r="H57" s="717">
        <v>0</v>
      </c>
      <c r="I57" s="717">
        <v>0</v>
      </c>
      <c r="J57" s="717">
        <v>0</v>
      </c>
      <c r="K57" s="717">
        <v>0</v>
      </c>
      <c r="L57" s="717"/>
      <c r="M57" s="717"/>
      <c r="N57" s="717"/>
      <c r="O57" s="717"/>
      <c r="P57" s="717"/>
      <c r="Q57" s="717"/>
      <c r="R57" s="718"/>
      <c r="S57" s="718"/>
      <c r="T57" s="717">
        <f t="shared" si="3"/>
        <v>0</v>
      </c>
      <c r="U57" s="622"/>
      <c r="V57" s="622"/>
      <c r="W57" s="622"/>
      <c r="X57" s="622"/>
      <c r="Y57" s="622"/>
      <c r="Z57" s="622"/>
      <c r="AA57" s="622"/>
      <c r="AB57" s="622"/>
      <c r="AC57" s="622"/>
      <c r="AD57" s="622"/>
      <c r="AE57" s="622"/>
      <c r="AF57" s="622"/>
      <c r="AG57" s="717" t="e">
        <f t="shared" si="4"/>
        <v>#DIV/0!</v>
      </c>
      <c r="AH57" s="717">
        <v>0</v>
      </c>
      <c r="AI57" s="717">
        <v>0</v>
      </c>
      <c r="AJ57" s="717">
        <v>0</v>
      </c>
      <c r="AK57" s="717">
        <v>0</v>
      </c>
      <c r="AL57" s="717">
        <v>0</v>
      </c>
      <c r="AM57" s="717">
        <v>0</v>
      </c>
      <c r="AN57" s="717">
        <v>0</v>
      </c>
      <c r="AO57" s="717">
        <v>0</v>
      </c>
      <c r="AP57" s="717">
        <v>0</v>
      </c>
      <c r="AQ57" s="717">
        <v>0</v>
      </c>
      <c r="AR57" s="717">
        <v>0</v>
      </c>
      <c r="AS57" s="717">
        <v>0</v>
      </c>
      <c r="AT57" s="717">
        <f t="shared" si="5"/>
        <v>0</v>
      </c>
      <c r="AU57" s="718">
        <f>_xlfn.IFNA(VLOOKUP(A57&amp;B57,'[1]Management Report'!$F:$I,4,FALSE),0)</f>
        <v>0</v>
      </c>
      <c r="AV57" s="718"/>
    </row>
    <row r="58" spans="1:49" s="719" customFormat="1" ht="15" customHeight="1" x14ac:dyDescent="0.25">
      <c r="A58" s="703" t="s">
        <v>285</v>
      </c>
      <c r="B58" s="707" t="s">
        <v>202</v>
      </c>
      <c r="C58" s="621">
        <f t="shared" si="6"/>
        <v>1.0000000000000002</v>
      </c>
      <c r="D58" s="621">
        <f t="shared" si="2"/>
        <v>0</v>
      </c>
      <c r="E58" s="717">
        <f>SUMIF($AH$3:$AS$3,$E$2,AH58:AS132)</f>
        <v>1</v>
      </c>
      <c r="F58" s="717"/>
      <c r="G58" s="717"/>
      <c r="H58" s="717">
        <v>1</v>
      </c>
      <c r="I58" s="717">
        <v>1</v>
      </c>
      <c r="J58" s="717">
        <v>1</v>
      </c>
      <c r="K58" s="717">
        <v>1.0000000000000002</v>
      </c>
      <c r="L58" s="717"/>
      <c r="M58" s="717"/>
      <c r="N58" s="717"/>
      <c r="O58" s="717"/>
      <c r="P58" s="720"/>
      <c r="Q58" s="717"/>
      <c r="R58" s="718"/>
      <c r="S58" s="718"/>
      <c r="T58" s="717">
        <f t="shared" si="3"/>
        <v>1</v>
      </c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717" t="e">
        <f t="shared" si="4"/>
        <v>#DIV/0!</v>
      </c>
      <c r="AH58" s="717">
        <v>1</v>
      </c>
      <c r="AI58" s="717">
        <v>1</v>
      </c>
      <c r="AJ58" s="717">
        <v>0.5</v>
      </c>
      <c r="AK58" s="717">
        <v>1</v>
      </c>
      <c r="AL58" s="717">
        <v>1</v>
      </c>
      <c r="AM58" s="717">
        <v>1</v>
      </c>
      <c r="AN58" s="717">
        <v>1</v>
      </c>
      <c r="AO58" s="717">
        <v>1</v>
      </c>
      <c r="AP58" s="720">
        <v>1</v>
      </c>
      <c r="AQ58" s="717">
        <v>1</v>
      </c>
      <c r="AR58" s="717">
        <v>1</v>
      </c>
      <c r="AS58" s="717">
        <v>1</v>
      </c>
      <c r="AT58" s="717">
        <f>AVERAGEIF($AH$1:$AS$1,$AT$1,AH58:AS58)</f>
        <v>0.83333333333333337</v>
      </c>
      <c r="AU58" s="718">
        <f>_xlfn.IFNA(VLOOKUP(A58&amp;B58,'[1]Management Report'!$F:$I,4,FALSE),0)</f>
        <v>1.0000000000000002</v>
      </c>
      <c r="AV58" s="718"/>
    </row>
    <row r="59" spans="1:49" s="719" customFormat="1" ht="15" customHeight="1" x14ac:dyDescent="0.25">
      <c r="A59" s="703" t="s">
        <v>285</v>
      </c>
      <c r="B59" s="707" t="s">
        <v>203</v>
      </c>
      <c r="C59" s="621">
        <f t="shared" si="6"/>
        <v>0.76666666666666672</v>
      </c>
      <c r="D59" s="621">
        <f t="shared" si="2"/>
        <v>0</v>
      </c>
      <c r="E59" s="717">
        <f>SUMIF($AH$3:$AS$3,$E$2,AH59:AS132)</f>
        <v>0.85</v>
      </c>
      <c r="F59" s="717"/>
      <c r="G59" s="717"/>
      <c r="H59" s="717">
        <v>0.9</v>
      </c>
      <c r="I59" s="717">
        <v>1</v>
      </c>
      <c r="J59" s="717">
        <v>0.79999999999999993</v>
      </c>
      <c r="K59" s="717">
        <v>0.76666666666666672</v>
      </c>
      <c r="L59" s="717"/>
      <c r="M59" s="717"/>
      <c r="N59" s="717"/>
      <c r="O59" s="717"/>
      <c r="P59" s="720"/>
      <c r="Q59" s="717"/>
      <c r="R59" s="718"/>
      <c r="S59" s="718"/>
      <c r="T59" s="717">
        <f t="shared" si="3"/>
        <v>0.86666666666666659</v>
      </c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717" t="e">
        <f t="shared" si="4"/>
        <v>#DIV/0!</v>
      </c>
      <c r="AH59" s="717">
        <v>1</v>
      </c>
      <c r="AI59" s="717">
        <v>0.9</v>
      </c>
      <c r="AJ59" s="717">
        <v>0.25</v>
      </c>
      <c r="AK59" s="717">
        <v>0.85</v>
      </c>
      <c r="AL59" s="717">
        <v>0.8</v>
      </c>
      <c r="AM59" s="717">
        <v>0.83</v>
      </c>
      <c r="AN59" s="717">
        <v>0.75</v>
      </c>
      <c r="AO59" s="717">
        <v>0</v>
      </c>
      <c r="AP59" s="720">
        <v>0.5</v>
      </c>
      <c r="AQ59" s="717">
        <v>1</v>
      </c>
      <c r="AR59" s="717">
        <v>1</v>
      </c>
      <c r="AS59" s="717">
        <v>0.9</v>
      </c>
      <c r="AT59" s="717">
        <f t="shared" si="5"/>
        <v>0.71666666666666667</v>
      </c>
      <c r="AU59" s="718">
        <f>_xlfn.IFNA(VLOOKUP(A59&amp;B59,'[1]Management Report'!$F:$I,4,FALSE),0)</f>
        <v>0.76666666666666672</v>
      </c>
      <c r="AV59" s="718"/>
    </row>
    <row r="60" spans="1:49" s="719" customFormat="1" ht="15" customHeight="1" x14ac:dyDescent="0.25">
      <c r="A60" s="703" t="s">
        <v>285</v>
      </c>
      <c r="B60" s="707" t="s">
        <v>204</v>
      </c>
      <c r="C60" s="621">
        <f t="shared" si="6"/>
        <v>0</v>
      </c>
      <c r="D60" s="621">
        <f t="shared" si="2"/>
        <v>0</v>
      </c>
      <c r="E60" s="717">
        <f>SUMIF($AH$3:$AS$3,$E$2,AH60:AS132)</f>
        <v>0</v>
      </c>
      <c r="F60" s="717"/>
      <c r="G60" s="717"/>
      <c r="H60" s="717">
        <v>0</v>
      </c>
      <c r="I60" s="717">
        <v>0</v>
      </c>
      <c r="J60" s="717">
        <v>0</v>
      </c>
      <c r="K60" s="717">
        <v>0</v>
      </c>
      <c r="L60" s="717"/>
      <c r="M60" s="717"/>
      <c r="N60" s="717"/>
      <c r="O60" s="717"/>
      <c r="P60" s="720"/>
      <c r="Q60" s="717"/>
      <c r="R60" s="718"/>
      <c r="S60" s="718"/>
      <c r="T60" s="717">
        <f t="shared" si="3"/>
        <v>0</v>
      </c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717" t="e">
        <f t="shared" si="4"/>
        <v>#DIV/0!</v>
      </c>
      <c r="AH60" s="717">
        <v>0</v>
      </c>
      <c r="AI60" s="717">
        <v>0</v>
      </c>
      <c r="AJ60" s="717">
        <v>0</v>
      </c>
      <c r="AK60" s="717">
        <v>0</v>
      </c>
      <c r="AL60" s="717">
        <v>0</v>
      </c>
      <c r="AM60" s="717">
        <v>0</v>
      </c>
      <c r="AN60" s="717">
        <v>0</v>
      </c>
      <c r="AO60" s="717">
        <v>0</v>
      </c>
      <c r="AP60" s="720">
        <v>0</v>
      </c>
      <c r="AQ60" s="717">
        <v>0</v>
      </c>
      <c r="AR60" s="717">
        <v>0</v>
      </c>
      <c r="AS60" s="717">
        <v>0</v>
      </c>
      <c r="AT60" s="717">
        <f t="shared" si="5"/>
        <v>0</v>
      </c>
      <c r="AU60" s="718">
        <f>_xlfn.IFNA(VLOOKUP(A60&amp;B60,'[1]Management Report'!$F:$I,4,FALSE),0)</f>
        <v>0</v>
      </c>
      <c r="AV60" s="718"/>
    </row>
    <row r="61" spans="1:49" s="719" customFormat="1" ht="15" customHeight="1" x14ac:dyDescent="0.25">
      <c r="A61" s="703" t="s">
        <v>281</v>
      </c>
      <c r="B61" s="707" t="s">
        <v>202</v>
      </c>
      <c r="C61" s="621">
        <f t="shared" si="6"/>
        <v>1.9000000000000001</v>
      </c>
      <c r="D61" s="621">
        <f t="shared" si="2"/>
        <v>0</v>
      </c>
      <c r="E61" s="717">
        <f>SUMIF($AH$3:$AS$3,$E$2,AH61:AS133)</f>
        <v>3</v>
      </c>
      <c r="F61" s="717"/>
      <c r="G61" s="717"/>
      <c r="H61" s="717">
        <v>2</v>
      </c>
      <c r="I61" s="717">
        <v>1.9999999999999998</v>
      </c>
      <c r="J61" s="717">
        <v>1.5</v>
      </c>
      <c r="K61" s="717">
        <v>1.9000000000000001</v>
      </c>
      <c r="L61" s="717"/>
      <c r="M61" s="717"/>
      <c r="N61" s="717"/>
      <c r="O61" s="717"/>
      <c r="P61" s="717"/>
      <c r="Q61" s="717"/>
      <c r="R61" s="718"/>
      <c r="S61" s="718"/>
      <c r="T61" s="717">
        <f t="shared" si="3"/>
        <v>1.85</v>
      </c>
      <c r="U61" s="622"/>
      <c r="V61" s="622"/>
      <c r="W61" s="622"/>
      <c r="X61" s="622"/>
      <c r="Y61" s="622"/>
      <c r="Z61" s="622"/>
      <c r="AA61" s="622"/>
      <c r="AB61" s="622"/>
      <c r="AC61" s="622"/>
      <c r="AD61" s="622"/>
      <c r="AE61" s="622"/>
      <c r="AF61" s="622"/>
      <c r="AG61" s="717" t="e">
        <f t="shared" si="4"/>
        <v>#DIV/0!</v>
      </c>
      <c r="AH61" s="717">
        <v>2.9</v>
      </c>
      <c r="AI61" s="717">
        <v>2</v>
      </c>
      <c r="AJ61" s="717">
        <v>2</v>
      </c>
      <c r="AK61" s="717">
        <v>3</v>
      </c>
      <c r="AL61" s="717">
        <v>3</v>
      </c>
      <c r="AM61" s="717">
        <v>3</v>
      </c>
      <c r="AN61" s="717">
        <v>3</v>
      </c>
      <c r="AO61" s="717">
        <v>3</v>
      </c>
      <c r="AP61" s="717">
        <v>3</v>
      </c>
      <c r="AQ61" s="717">
        <v>3</v>
      </c>
      <c r="AR61" s="717">
        <v>2.59</v>
      </c>
      <c r="AS61" s="717">
        <v>1.9999999999999998</v>
      </c>
      <c r="AT61" s="717">
        <f t="shared" si="5"/>
        <v>2.3000000000000003</v>
      </c>
      <c r="AU61" s="718">
        <f>_xlfn.IFNA(VLOOKUP(A61&amp;B61,'[1]Management Report'!$F:$I,4,FALSE),0)</f>
        <v>1.9000000000000001</v>
      </c>
      <c r="AV61" s="718"/>
    </row>
    <row r="62" spans="1:49" s="719" customFormat="1" ht="15" customHeight="1" x14ac:dyDescent="0.25">
      <c r="A62" s="703" t="s">
        <v>281</v>
      </c>
      <c r="B62" s="707" t="s">
        <v>203</v>
      </c>
      <c r="C62" s="621">
        <f t="shared" si="6"/>
        <v>1.5</v>
      </c>
      <c r="D62" s="621">
        <f t="shared" si="2"/>
        <v>0</v>
      </c>
      <c r="E62" s="717">
        <f>SUMIF($AH$3:$AS$3,$E$2,AH62:AS133)</f>
        <v>2.0499999999999998</v>
      </c>
      <c r="F62" s="717"/>
      <c r="G62" s="717"/>
      <c r="H62" s="717">
        <v>1.9500000000000002</v>
      </c>
      <c r="I62" s="717">
        <v>1.8</v>
      </c>
      <c r="J62" s="717">
        <v>1.493421052631579</v>
      </c>
      <c r="K62" s="717">
        <v>1.5</v>
      </c>
      <c r="L62" s="717"/>
      <c r="M62" s="717"/>
      <c r="N62" s="717"/>
      <c r="O62" s="717"/>
      <c r="P62" s="717"/>
      <c r="Q62" s="717"/>
      <c r="R62" s="718"/>
      <c r="S62" s="718"/>
      <c r="T62" s="717">
        <f t="shared" si="3"/>
        <v>1.6858552631578947</v>
      </c>
      <c r="U62" s="622"/>
      <c r="V62" s="622"/>
      <c r="W62" s="622"/>
      <c r="X62" s="622"/>
      <c r="Y62" s="622"/>
      <c r="Z62" s="622"/>
      <c r="AA62" s="622"/>
      <c r="AB62" s="622"/>
      <c r="AC62" s="622"/>
      <c r="AD62" s="622"/>
      <c r="AE62" s="622"/>
      <c r="AF62" s="622"/>
      <c r="AG62" s="717" t="e">
        <f t="shared" si="4"/>
        <v>#DIV/0!</v>
      </c>
      <c r="AH62" s="717">
        <v>2.75</v>
      </c>
      <c r="AI62" s="717">
        <v>1.75</v>
      </c>
      <c r="AJ62" s="717">
        <v>1.75</v>
      </c>
      <c r="AK62" s="717">
        <v>2.0499999999999998</v>
      </c>
      <c r="AL62" s="717">
        <v>2.2599999999999998</v>
      </c>
      <c r="AM62" s="717">
        <v>2.6</v>
      </c>
      <c r="AN62" s="717">
        <v>2.25</v>
      </c>
      <c r="AO62" s="717">
        <v>2.95</v>
      </c>
      <c r="AP62" s="717">
        <v>2.4300000000000002</v>
      </c>
      <c r="AQ62" s="717">
        <v>3</v>
      </c>
      <c r="AR62" s="717">
        <v>2.52</v>
      </c>
      <c r="AS62" s="717">
        <v>1.75</v>
      </c>
      <c r="AT62" s="717">
        <f t="shared" si="5"/>
        <v>2.0833333333333335</v>
      </c>
      <c r="AU62" s="718">
        <f>_xlfn.IFNA(VLOOKUP(A62&amp;B62,'[1]Management Report'!$F:$I,4,FALSE),0)</f>
        <v>1.5</v>
      </c>
      <c r="AV62" s="718"/>
    </row>
    <row r="63" spans="1:49" s="719" customFormat="1" ht="15" customHeight="1" x14ac:dyDescent="0.25">
      <c r="A63" s="703" t="s">
        <v>281</v>
      </c>
      <c r="B63" s="707" t="s">
        <v>204</v>
      </c>
      <c r="C63" s="621">
        <f t="shared" si="6"/>
        <v>0</v>
      </c>
      <c r="D63" s="621">
        <f t="shared" si="2"/>
        <v>0</v>
      </c>
      <c r="E63" s="717">
        <f>SUMIF($AH$3:$AS$3,$E$2,AH63:AS133)</f>
        <v>0</v>
      </c>
      <c r="F63" s="717"/>
      <c r="G63" s="717"/>
      <c r="H63" s="717">
        <v>0</v>
      </c>
      <c r="I63" s="717">
        <v>0</v>
      </c>
      <c r="J63" s="717">
        <v>0</v>
      </c>
      <c r="K63" s="717">
        <v>0</v>
      </c>
      <c r="L63" s="717"/>
      <c r="M63" s="717"/>
      <c r="N63" s="717"/>
      <c r="O63" s="717"/>
      <c r="P63" s="717"/>
      <c r="Q63" s="717"/>
      <c r="R63" s="718"/>
      <c r="S63" s="718"/>
      <c r="T63" s="717">
        <f t="shared" si="3"/>
        <v>0</v>
      </c>
      <c r="U63" s="622"/>
      <c r="V63" s="622"/>
      <c r="W63" s="622"/>
      <c r="X63" s="622"/>
      <c r="Y63" s="622"/>
      <c r="Z63" s="622"/>
      <c r="AA63" s="622"/>
      <c r="AB63" s="622"/>
      <c r="AC63" s="622"/>
      <c r="AD63" s="622"/>
      <c r="AE63" s="622"/>
      <c r="AF63" s="622"/>
      <c r="AG63" s="717" t="e">
        <f t="shared" si="4"/>
        <v>#DIV/0!</v>
      </c>
      <c r="AH63" s="717">
        <v>0</v>
      </c>
      <c r="AI63" s="717">
        <v>0</v>
      </c>
      <c r="AJ63" s="717">
        <v>0</v>
      </c>
      <c r="AK63" s="717">
        <v>0</v>
      </c>
      <c r="AL63" s="717">
        <v>0</v>
      </c>
      <c r="AM63" s="717">
        <v>0</v>
      </c>
      <c r="AN63" s="717">
        <v>0</v>
      </c>
      <c r="AO63" s="717">
        <v>0</v>
      </c>
      <c r="AP63" s="717">
        <v>0</v>
      </c>
      <c r="AQ63" s="717">
        <v>0</v>
      </c>
      <c r="AR63" s="717">
        <v>0.02</v>
      </c>
      <c r="AS63" s="717">
        <v>0</v>
      </c>
      <c r="AT63" s="717">
        <f t="shared" si="5"/>
        <v>0</v>
      </c>
      <c r="AU63" s="718">
        <f>_xlfn.IFNA(VLOOKUP(A63&amp;B63,'[1]Management Report'!$F:$I,4,FALSE),0)</f>
        <v>0</v>
      </c>
      <c r="AV63" s="718"/>
    </row>
    <row r="64" spans="1:49" s="719" customFormat="1" ht="15" customHeight="1" x14ac:dyDescent="0.25">
      <c r="A64" s="703" t="s">
        <v>332</v>
      </c>
      <c r="B64" s="707" t="s">
        <v>202</v>
      </c>
      <c r="C64" s="621">
        <f t="shared" si="6"/>
        <v>1</v>
      </c>
      <c r="D64" s="621">
        <f t="shared" si="2"/>
        <v>0</v>
      </c>
      <c r="E64" s="717">
        <f>SUMIF($AH$3:$AS$3,$E$2,AH64:AS134)</f>
        <v>2</v>
      </c>
      <c r="F64" s="717"/>
      <c r="G64" s="717"/>
      <c r="H64" s="717">
        <v>1.9999999999999998</v>
      </c>
      <c r="I64" s="717">
        <v>2</v>
      </c>
      <c r="J64" s="717">
        <v>2</v>
      </c>
      <c r="K64" s="717">
        <v>1</v>
      </c>
      <c r="L64" s="717"/>
      <c r="M64" s="717"/>
      <c r="N64" s="717"/>
      <c r="O64" s="717"/>
      <c r="P64" s="717"/>
      <c r="Q64" s="717"/>
      <c r="R64" s="718"/>
      <c r="S64" s="718"/>
      <c r="T64" s="717">
        <f t="shared" si="3"/>
        <v>1.75</v>
      </c>
      <c r="U64" s="622"/>
      <c r="V64" s="622"/>
      <c r="W64" s="622"/>
      <c r="X64" s="622"/>
      <c r="Y64" s="622"/>
      <c r="Z64" s="622"/>
      <c r="AA64" s="622"/>
      <c r="AB64" s="622"/>
      <c r="AC64" s="622"/>
      <c r="AD64" s="622"/>
      <c r="AE64" s="622"/>
      <c r="AF64" s="622"/>
      <c r="AG64" s="717" t="e">
        <f t="shared" si="4"/>
        <v>#DIV/0!</v>
      </c>
      <c r="AH64" s="717">
        <v>2</v>
      </c>
      <c r="AI64" s="717">
        <v>2</v>
      </c>
      <c r="AJ64" s="717">
        <v>2</v>
      </c>
      <c r="AK64" s="717">
        <v>2</v>
      </c>
      <c r="AL64" s="717">
        <v>2</v>
      </c>
      <c r="AM64" s="717">
        <v>2</v>
      </c>
      <c r="AN64" s="717">
        <v>2</v>
      </c>
      <c r="AO64" s="717">
        <v>2</v>
      </c>
      <c r="AP64" s="717">
        <v>2</v>
      </c>
      <c r="AQ64" s="717">
        <v>2</v>
      </c>
      <c r="AR64" s="717">
        <v>2</v>
      </c>
      <c r="AS64" s="717">
        <v>1.9999999999999998</v>
      </c>
      <c r="AT64" s="717">
        <f t="shared" si="5"/>
        <v>2</v>
      </c>
      <c r="AU64" s="718">
        <f>_xlfn.IFNA(VLOOKUP(A64&amp;B64,'[1]Management Report'!$F:$I,4,FALSE),0)</f>
        <v>1</v>
      </c>
      <c r="AV64" s="718"/>
    </row>
    <row r="65" spans="1:60" s="719" customFormat="1" ht="15" customHeight="1" x14ac:dyDescent="0.25">
      <c r="A65" s="703" t="s">
        <v>332</v>
      </c>
      <c r="B65" s="707" t="s">
        <v>203</v>
      </c>
      <c r="C65" s="621">
        <f t="shared" si="6"/>
        <v>0.7</v>
      </c>
      <c r="D65" s="621">
        <f t="shared" si="2"/>
        <v>0</v>
      </c>
      <c r="E65" s="717">
        <f>SUMIF($AH$3:$AS$3,$E$2,AH65:AS134)</f>
        <v>1</v>
      </c>
      <c r="F65" s="717"/>
      <c r="G65" s="717"/>
      <c r="H65" s="717">
        <v>1.8</v>
      </c>
      <c r="I65" s="717">
        <v>1.9605263157894737</v>
      </c>
      <c r="J65" s="717">
        <v>1.4631578947368422</v>
      </c>
      <c r="K65" s="717">
        <v>0.7</v>
      </c>
      <c r="L65" s="717"/>
      <c r="M65" s="717"/>
      <c r="N65" s="717"/>
      <c r="O65" s="717"/>
      <c r="P65" s="717"/>
      <c r="Q65" s="717"/>
      <c r="R65" s="718"/>
      <c r="S65" s="718"/>
      <c r="T65" s="717">
        <f t="shared" si="3"/>
        <v>1.480921052631579</v>
      </c>
      <c r="U65" s="622"/>
      <c r="V65" s="622"/>
      <c r="W65" s="622"/>
      <c r="X65" s="622"/>
      <c r="Y65" s="622"/>
      <c r="Z65" s="622"/>
      <c r="AA65" s="622"/>
      <c r="AB65" s="622"/>
      <c r="AC65" s="622"/>
      <c r="AD65" s="622"/>
      <c r="AE65" s="622"/>
      <c r="AF65" s="622"/>
      <c r="AG65" s="717" t="e">
        <f t="shared" si="4"/>
        <v>#DIV/0!</v>
      </c>
      <c r="AH65" s="717">
        <v>1.78</v>
      </c>
      <c r="AI65" s="717">
        <v>1.95</v>
      </c>
      <c r="AJ65" s="717">
        <v>1.85</v>
      </c>
      <c r="AK65" s="717">
        <v>1</v>
      </c>
      <c r="AL65" s="717">
        <v>1.8</v>
      </c>
      <c r="AM65" s="717">
        <v>1.97</v>
      </c>
      <c r="AN65" s="717">
        <v>1.37</v>
      </c>
      <c r="AO65" s="717">
        <v>1.95</v>
      </c>
      <c r="AP65" s="717">
        <v>1.82</v>
      </c>
      <c r="AQ65" s="717">
        <v>1.57</v>
      </c>
      <c r="AR65" s="717">
        <v>1.9</v>
      </c>
      <c r="AS65" s="717">
        <v>1.7171052631578947</v>
      </c>
      <c r="AT65" s="717">
        <f t="shared" si="5"/>
        <v>1.86</v>
      </c>
      <c r="AU65" s="718">
        <f>_xlfn.IFNA(VLOOKUP(A65&amp;B65,'[1]Management Report'!$F:$I,4,FALSE),0)</f>
        <v>0.7</v>
      </c>
      <c r="AV65" s="718"/>
    </row>
    <row r="66" spans="1:60" s="719" customFormat="1" ht="15" customHeight="1" x14ac:dyDescent="0.25">
      <c r="A66" s="703" t="s">
        <v>332</v>
      </c>
      <c r="B66" s="707" t="s">
        <v>204</v>
      </c>
      <c r="C66" s="621">
        <f t="shared" si="6"/>
        <v>0</v>
      </c>
      <c r="D66" s="621">
        <f t="shared" si="2"/>
        <v>0</v>
      </c>
      <c r="E66" s="717">
        <f>SUMIF($AH$3:$AS$3,$E$2,AH66:AS134)</f>
        <v>0</v>
      </c>
      <c r="F66" s="717"/>
      <c r="G66" s="717"/>
      <c r="H66" s="717">
        <v>0</v>
      </c>
      <c r="I66" s="717">
        <v>0</v>
      </c>
      <c r="J66" s="717">
        <v>0</v>
      </c>
      <c r="K66" s="717">
        <v>0</v>
      </c>
      <c r="L66" s="717"/>
      <c r="M66" s="717"/>
      <c r="N66" s="717"/>
      <c r="O66" s="717"/>
      <c r="P66" s="717"/>
      <c r="Q66" s="717"/>
      <c r="R66" s="718"/>
      <c r="S66" s="718"/>
      <c r="T66" s="717">
        <f t="shared" si="3"/>
        <v>0</v>
      </c>
      <c r="U66" s="622"/>
      <c r="V66" s="622"/>
      <c r="W66" s="622"/>
      <c r="X66" s="622"/>
      <c r="Y66" s="622"/>
      <c r="Z66" s="622"/>
      <c r="AA66" s="622"/>
      <c r="AB66" s="622"/>
      <c r="AC66" s="622"/>
      <c r="AD66" s="622"/>
      <c r="AE66" s="622"/>
      <c r="AF66" s="622"/>
      <c r="AG66" s="717" t="e">
        <f t="shared" si="4"/>
        <v>#DIV/0!</v>
      </c>
      <c r="AH66" s="717">
        <v>0</v>
      </c>
      <c r="AI66" s="717">
        <v>0</v>
      </c>
      <c r="AJ66" s="717">
        <v>0</v>
      </c>
      <c r="AK66" s="717">
        <v>0</v>
      </c>
      <c r="AL66" s="717">
        <v>0</v>
      </c>
      <c r="AM66" s="717">
        <v>0</v>
      </c>
      <c r="AN66" s="717">
        <v>0</v>
      </c>
      <c r="AO66" s="717">
        <v>0</v>
      </c>
      <c r="AP66" s="717">
        <v>0</v>
      </c>
      <c r="AQ66" s="717">
        <v>0</v>
      </c>
      <c r="AR66" s="717">
        <v>0</v>
      </c>
      <c r="AS66" s="717">
        <v>0</v>
      </c>
      <c r="AT66" s="717">
        <f t="shared" si="5"/>
        <v>0</v>
      </c>
      <c r="AU66" s="718">
        <f>_xlfn.IFNA(VLOOKUP(A66&amp;B66,'[1]Management Report'!$F:$I,4,FALSE),0)</f>
        <v>0</v>
      </c>
      <c r="AV66" s="718"/>
    </row>
    <row r="67" spans="1:60" s="719" customFormat="1" ht="15" customHeight="1" x14ac:dyDescent="0.25">
      <c r="A67" s="703" t="s">
        <v>333</v>
      </c>
      <c r="B67" s="707" t="s">
        <v>202</v>
      </c>
      <c r="C67" s="621">
        <f t="shared" si="6"/>
        <v>0</v>
      </c>
      <c r="D67" s="621">
        <f t="shared" si="2"/>
        <v>0</v>
      </c>
      <c r="E67" s="717">
        <f>SUMIF($AH$3:$AS$3,$E$2,AH67:AS135)</f>
        <v>0</v>
      </c>
      <c r="F67" s="717"/>
      <c r="G67" s="717"/>
      <c r="H67" s="717">
        <v>0</v>
      </c>
      <c r="I67" s="717">
        <v>0</v>
      </c>
      <c r="J67" s="717">
        <v>0</v>
      </c>
      <c r="K67" s="717">
        <v>0</v>
      </c>
      <c r="L67" s="717"/>
      <c r="M67" s="717"/>
      <c r="N67" s="717"/>
      <c r="O67" s="717"/>
      <c r="P67" s="717"/>
      <c r="Q67" s="717"/>
      <c r="R67" s="718"/>
      <c r="S67" s="717"/>
      <c r="T67" s="717">
        <f t="shared" si="3"/>
        <v>0</v>
      </c>
      <c r="U67" s="622"/>
      <c r="V67" s="622"/>
      <c r="W67" s="622"/>
      <c r="X67" s="622"/>
      <c r="Y67" s="622"/>
      <c r="Z67" s="622"/>
      <c r="AA67" s="622"/>
      <c r="AB67" s="622"/>
      <c r="AC67" s="622"/>
      <c r="AD67" s="622"/>
      <c r="AE67" s="622"/>
      <c r="AF67" s="622"/>
      <c r="AG67" s="717" t="e">
        <f t="shared" si="4"/>
        <v>#DIV/0!</v>
      </c>
      <c r="AH67" s="717">
        <v>0</v>
      </c>
      <c r="AI67" s="717">
        <v>0</v>
      </c>
      <c r="AJ67" s="717">
        <v>0</v>
      </c>
      <c r="AK67" s="717">
        <v>0</v>
      </c>
      <c r="AL67" s="717">
        <v>0</v>
      </c>
      <c r="AM67" s="717">
        <v>0</v>
      </c>
      <c r="AN67" s="717">
        <v>0</v>
      </c>
      <c r="AO67" s="717">
        <v>0</v>
      </c>
      <c r="AP67" s="717">
        <v>0</v>
      </c>
      <c r="AQ67" s="717">
        <v>0</v>
      </c>
      <c r="AR67" s="717">
        <v>0</v>
      </c>
      <c r="AS67" s="717">
        <v>0</v>
      </c>
      <c r="AT67" s="717">
        <f t="shared" si="5"/>
        <v>0</v>
      </c>
      <c r="AU67" s="718">
        <f>_xlfn.IFNA(VLOOKUP(A67&amp;B67,'[1]Management Report'!$F:$I,4,FALSE),0)</f>
        <v>0</v>
      </c>
      <c r="AV67" s="718"/>
    </row>
    <row r="68" spans="1:60" s="719" customFormat="1" ht="15" customHeight="1" x14ac:dyDescent="0.25">
      <c r="A68" s="703" t="s">
        <v>333</v>
      </c>
      <c r="B68" s="707" t="s">
        <v>203</v>
      </c>
      <c r="C68" s="621">
        <f t="shared" si="6"/>
        <v>0</v>
      </c>
      <c r="D68" s="621">
        <f t="shared" si="2"/>
        <v>0</v>
      </c>
      <c r="E68" s="717">
        <f>SUMIF($AH$3:$AS$3,$E$2,AH68:AS135)</f>
        <v>0</v>
      </c>
      <c r="F68" s="717"/>
      <c r="G68" s="717"/>
      <c r="H68" s="717">
        <v>0</v>
      </c>
      <c r="I68" s="717">
        <v>0</v>
      </c>
      <c r="J68" s="717">
        <v>0</v>
      </c>
      <c r="K68" s="717">
        <v>0</v>
      </c>
      <c r="L68" s="717"/>
      <c r="M68" s="717"/>
      <c r="N68" s="717"/>
      <c r="O68" s="717"/>
      <c r="P68" s="717"/>
      <c r="Q68" s="717"/>
      <c r="R68" s="718"/>
      <c r="S68" s="717"/>
      <c r="T68" s="717">
        <f t="shared" si="3"/>
        <v>0</v>
      </c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717" t="e">
        <f t="shared" si="4"/>
        <v>#DIV/0!</v>
      </c>
      <c r="AH68" s="717">
        <v>0</v>
      </c>
      <c r="AI68" s="717">
        <v>0</v>
      </c>
      <c r="AJ68" s="717">
        <v>0</v>
      </c>
      <c r="AK68" s="717">
        <v>0</v>
      </c>
      <c r="AL68" s="717">
        <v>0</v>
      </c>
      <c r="AM68" s="717">
        <v>0</v>
      </c>
      <c r="AN68" s="717">
        <v>0</v>
      </c>
      <c r="AO68" s="717">
        <v>0</v>
      </c>
      <c r="AP68" s="717">
        <v>0</v>
      </c>
      <c r="AQ68" s="717">
        <v>0</v>
      </c>
      <c r="AR68" s="717">
        <v>0</v>
      </c>
      <c r="AS68" s="717">
        <v>0</v>
      </c>
      <c r="AT68" s="717">
        <f t="shared" si="5"/>
        <v>0</v>
      </c>
      <c r="AU68" s="718">
        <f>_xlfn.IFNA(VLOOKUP(A68&amp;B68,'[1]Management Report'!$F:$I,4,FALSE),0)</f>
        <v>0</v>
      </c>
      <c r="AV68" s="718"/>
    </row>
    <row r="69" spans="1:60" s="719" customFormat="1" ht="15" customHeight="1" x14ac:dyDescent="0.25">
      <c r="A69" s="703" t="s">
        <v>333</v>
      </c>
      <c r="B69" s="707" t="s">
        <v>204</v>
      </c>
      <c r="C69" s="621">
        <f t="shared" si="6"/>
        <v>0</v>
      </c>
      <c r="D69" s="621">
        <f t="shared" ref="D69:D102" si="9">SUMIF($U$3:$AF$3,$C$2,U69:AF69)</f>
        <v>0</v>
      </c>
      <c r="E69" s="717">
        <f>SUMIF($AH$3:$AS$3,$E$2,AH69:AS135)</f>
        <v>0</v>
      </c>
      <c r="F69" s="717"/>
      <c r="G69" s="717"/>
      <c r="H69" s="717">
        <v>0</v>
      </c>
      <c r="I69" s="717">
        <v>0</v>
      </c>
      <c r="J69" s="717">
        <v>0</v>
      </c>
      <c r="K69" s="717">
        <v>0</v>
      </c>
      <c r="L69" s="717"/>
      <c r="M69" s="717"/>
      <c r="N69" s="717"/>
      <c r="O69" s="717"/>
      <c r="P69" s="717"/>
      <c r="Q69" s="717"/>
      <c r="R69" s="718"/>
      <c r="S69" s="717"/>
      <c r="T69" s="717">
        <f t="shared" ref="T69:T102" si="10">IFERROR(AVERAGEIF($H$1:$S$1,$T$1,H69:S69),0)</f>
        <v>0</v>
      </c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717" t="e">
        <f t="shared" ref="AG69:AG102" si="11">AVERAGE(U69:V69)</f>
        <v>#DIV/0!</v>
      </c>
      <c r="AH69" s="717">
        <v>0</v>
      </c>
      <c r="AI69" s="717">
        <v>0</v>
      </c>
      <c r="AJ69" s="717">
        <v>0</v>
      </c>
      <c r="AK69" s="717">
        <v>0</v>
      </c>
      <c r="AL69" s="717">
        <v>0</v>
      </c>
      <c r="AM69" s="717">
        <v>0</v>
      </c>
      <c r="AN69" s="717">
        <v>0</v>
      </c>
      <c r="AO69" s="717">
        <v>0</v>
      </c>
      <c r="AP69" s="717">
        <v>0</v>
      </c>
      <c r="AQ69" s="717">
        <v>0</v>
      </c>
      <c r="AR69" s="717">
        <v>0</v>
      </c>
      <c r="AS69" s="717">
        <v>0</v>
      </c>
      <c r="AT69" s="717">
        <f t="shared" ref="AT69:AT102" si="12">AVERAGEIF($AH$1:$AS$1,$AT$1,AH69:AS69)</f>
        <v>0</v>
      </c>
      <c r="AU69" s="718">
        <f>_xlfn.IFNA(VLOOKUP(A69&amp;B69,'[1]Management Report'!$F:$I,4,FALSE),0)</f>
        <v>0</v>
      </c>
      <c r="AV69" s="718"/>
    </row>
    <row r="70" spans="1:60" s="719" customFormat="1" ht="15" customHeight="1" x14ac:dyDescent="0.25">
      <c r="A70" s="778" t="s">
        <v>334</v>
      </c>
      <c r="B70" s="779" t="s">
        <v>202</v>
      </c>
      <c r="C70" s="780">
        <f t="shared" si="6"/>
        <v>4.9000000000000004</v>
      </c>
      <c r="D70" s="780">
        <f t="shared" si="9"/>
        <v>0</v>
      </c>
      <c r="E70" s="781">
        <f>SUMIF($AH$3:$AS$3,$E$2,AH70:AS136)</f>
        <v>7</v>
      </c>
      <c r="F70" s="781"/>
      <c r="G70" s="781"/>
      <c r="H70" s="781">
        <f>H55+H58+H61+H64+H67</f>
        <v>6</v>
      </c>
      <c r="I70" s="781">
        <f t="shared" ref="I70:Q70" si="13">I55+I58+I61+I64+I67</f>
        <v>6</v>
      </c>
      <c r="J70" s="781">
        <f t="shared" si="13"/>
        <v>5.5</v>
      </c>
      <c r="K70" s="781">
        <f t="shared" si="13"/>
        <v>4.9000000000000004</v>
      </c>
      <c r="L70" s="781">
        <f t="shared" si="13"/>
        <v>0</v>
      </c>
      <c r="M70" s="781">
        <f t="shared" si="13"/>
        <v>0</v>
      </c>
      <c r="N70" s="781">
        <f t="shared" si="13"/>
        <v>0</v>
      </c>
      <c r="O70" s="781">
        <f t="shared" si="13"/>
        <v>0</v>
      </c>
      <c r="P70" s="781">
        <f t="shared" si="13"/>
        <v>0</v>
      </c>
      <c r="Q70" s="781">
        <f t="shared" si="13"/>
        <v>0</v>
      </c>
      <c r="R70" s="782">
        <f>R55+R58+R61+R64+R67</f>
        <v>0</v>
      </c>
      <c r="S70" s="782">
        <f>S55+S58+S61+S64+S67</f>
        <v>0</v>
      </c>
      <c r="T70" s="781">
        <f t="shared" si="10"/>
        <v>1.8666666666666665</v>
      </c>
      <c r="U70" s="781"/>
      <c r="V70" s="781"/>
      <c r="W70" s="781"/>
      <c r="X70" s="781"/>
      <c r="Y70" s="781"/>
      <c r="Z70" s="781"/>
      <c r="AA70" s="781"/>
      <c r="AB70" s="781"/>
      <c r="AC70" s="781"/>
      <c r="AD70" s="781"/>
      <c r="AE70" s="781"/>
      <c r="AF70" s="781"/>
      <c r="AG70" s="781" t="e">
        <f t="shared" si="11"/>
        <v>#DIV/0!</v>
      </c>
      <c r="AH70" s="781">
        <f>AH55+AH58+AH61+AH64+AH67</f>
        <v>6.9</v>
      </c>
      <c r="AI70" s="781">
        <f t="shared" ref="AI70:AQ70" si="14">AI55+AI58+AI61+AI64+AI67</f>
        <v>6</v>
      </c>
      <c r="AJ70" s="781">
        <f t="shared" si="14"/>
        <v>5.5</v>
      </c>
      <c r="AK70" s="781">
        <f t="shared" si="14"/>
        <v>7</v>
      </c>
      <c r="AL70" s="781">
        <f t="shared" si="14"/>
        <v>7</v>
      </c>
      <c r="AM70" s="781">
        <f t="shared" si="14"/>
        <v>6.97</v>
      </c>
      <c r="AN70" s="781">
        <f t="shared" si="14"/>
        <v>7</v>
      </c>
      <c r="AO70" s="781">
        <f t="shared" si="14"/>
        <v>7</v>
      </c>
      <c r="AP70" s="781">
        <f t="shared" si="14"/>
        <v>7</v>
      </c>
      <c r="AQ70" s="781">
        <f t="shared" si="14"/>
        <v>7</v>
      </c>
      <c r="AR70" s="781">
        <f>AR55+AR58+AR61+AR64+AR67</f>
        <v>6.59</v>
      </c>
      <c r="AS70" s="781">
        <f>AS55+AS58+AS61+AS64+AS67</f>
        <v>6</v>
      </c>
      <c r="AT70" s="781">
        <f t="shared" ref="AT70:AT72" si="15">IFERROR(AVERAGEIF($H$1:$S$1,$T$1,AH70:AS70),0)</f>
        <v>6.663333333333334</v>
      </c>
      <c r="AU70" s="718"/>
      <c r="AV70" s="718"/>
    </row>
    <row r="71" spans="1:60" s="719" customFormat="1" ht="15" customHeight="1" x14ac:dyDescent="0.25">
      <c r="A71" s="778" t="s">
        <v>334</v>
      </c>
      <c r="B71" s="779" t="s">
        <v>203</v>
      </c>
      <c r="C71" s="780">
        <f t="shared" si="6"/>
        <v>3.7</v>
      </c>
      <c r="D71" s="780">
        <f t="shared" si="9"/>
        <v>0</v>
      </c>
      <c r="E71" s="781">
        <f>SUMIF($AH$3:$AS$3,$E$2,AH71:AS136)</f>
        <v>4.67</v>
      </c>
      <c r="F71" s="781"/>
      <c r="G71" s="781"/>
      <c r="H71" s="781">
        <f t="shared" ref="H71:I72" si="16">H56+H59+H62+H65+H68</f>
        <v>5.6000000000000005</v>
      </c>
      <c r="I71" s="781">
        <f t="shared" si="16"/>
        <v>5.7605263157894733</v>
      </c>
      <c r="J71" s="781">
        <f t="shared" ref="J71:S72" si="17">J56+J59+J62+J65+J68</f>
        <v>4.7565789473684212</v>
      </c>
      <c r="K71" s="781">
        <f t="shared" si="17"/>
        <v>3.7</v>
      </c>
      <c r="L71" s="781">
        <f t="shared" si="17"/>
        <v>0</v>
      </c>
      <c r="M71" s="781">
        <f t="shared" si="17"/>
        <v>0</v>
      </c>
      <c r="N71" s="781">
        <f t="shared" si="17"/>
        <v>0</v>
      </c>
      <c r="O71" s="781">
        <f t="shared" si="17"/>
        <v>0</v>
      </c>
      <c r="P71" s="781">
        <f t="shared" si="17"/>
        <v>0</v>
      </c>
      <c r="Q71" s="781">
        <f t="shared" si="17"/>
        <v>0</v>
      </c>
      <c r="R71" s="782">
        <f t="shared" si="17"/>
        <v>0</v>
      </c>
      <c r="S71" s="782">
        <f t="shared" si="17"/>
        <v>0</v>
      </c>
      <c r="T71" s="781">
        <f t="shared" si="10"/>
        <v>1.6514254385964913</v>
      </c>
      <c r="U71" s="781"/>
      <c r="V71" s="781"/>
      <c r="W71" s="781"/>
      <c r="X71" s="781"/>
      <c r="Y71" s="781"/>
      <c r="Z71" s="781"/>
      <c r="AA71" s="781"/>
      <c r="AB71" s="781"/>
      <c r="AC71" s="781"/>
      <c r="AD71" s="781"/>
      <c r="AE71" s="781"/>
      <c r="AF71" s="781"/>
      <c r="AG71" s="781" t="e">
        <f t="shared" si="11"/>
        <v>#DIV/0!</v>
      </c>
      <c r="AH71" s="781">
        <f t="shared" ref="AH71:AS71" si="18">AH56+AH59+AH62+AH65+AH68</f>
        <v>6.4300000000000006</v>
      </c>
      <c r="AI71" s="781">
        <f t="shared" si="18"/>
        <v>5.55</v>
      </c>
      <c r="AJ71" s="781">
        <f t="shared" si="18"/>
        <v>4.8499999999999996</v>
      </c>
      <c r="AK71" s="781">
        <f t="shared" si="18"/>
        <v>4.67</v>
      </c>
      <c r="AL71" s="781">
        <f t="shared" si="18"/>
        <v>5.31</v>
      </c>
      <c r="AM71" s="781">
        <f t="shared" si="18"/>
        <v>6.03</v>
      </c>
      <c r="AN71" s="781">
        <f t="shared" si="18"/>
        <v>5.17</v>
      </c>
      <c r="AO71" s="781">
        <f t="shared" si="18"/>
        <v>5.75</v>
      </c>
      <c r="AP71" s="781">
        <f t="shared" si="18"/>
        <v>5.6400000000000006</v>
      </c>
      <c r="AQ71" s="781">
        <f t="shared" si="18"/>
        <v>6.5200000000000005</v>
      </c>
      <c r="AR71" s="781">
        <f t="shared" si="18"/>
        <v>5.82</v>
      </c>
      <c r="AS71" s="781">
        <f t="shared" si="18"/>
        <v>5.3171052631578952</v>
      </c>
      <c r="AT71" s="781">
        <f t="shared" si="15"/>
        <v>5.5880921052631578</v>
      </c>
      <c r="AU71" s="718"/>
      <c r="AV71" s="718"/>
      <c r="AW71" s="719">
        <f>+T71*0.14</f>
        <v>0.23119956140350881</v>
      </c>
      <c r="BA71" s="719" t="s">
        <v>622</v>
      </c>
      <c r="BB71" s="719">
        <v>1</v>
      </c>
      <c r="BD71" s="719" t="s">
        <v>628</v>
      </c>
      <c r="BE71" s="719">
        <v>1</v>
      </c>
      <c r="BG71" s="719" t="s">
        <v>637</v>
      </c>
      <c r="BH71" s="719">
        <v>1</v>
      </c>
    </row>
    <row r="72" spans="1:60" s="719" customFormat="1" ht="15" customHeight="1" x14ac:dyDescent="0.25">
      <c r="A72" s="778" t="s">
        <v>334</v>
      </c>
      <c r="B72" s="779" t="s">
        <v>204</v>
      </c>
      <c r="C72" s="780">
        <f t="shared" si="6"/>
        <v>0</v>
      </c>
      <c r="D72" s="780">
        <f t="shared" si="9"/>
        <v>0</v>
      </c>
      <c r="E72" s="781">
        <f>SUMIF($AH$3:$AS$3,$E$2,AH72:AS136)</f>
        <v>0</v>
      </c>
      <c r="F72" s="781"/>
      <c r="G72" s="781"/>
      <c r="H72" s="781">
        <f t="shared" si="16"/>
        <v>0</v>
      </c>
      <c r="I72" s="781">
        <f t="shared" si="16"/>
        <v>0</v>
      </c>
      <c r="J72" s="781">
        <f t="shared" si="17"/>
        <v>0</v>
      </c>
      <c r="K72" s="781">
        <f t="shared" si="17"/>
        <v>0</v>
      </c>
      <c r="L72" s="781">
        <f t="shared" si="17"/>
        <v>0</v>
      </c>
      <c r="M72" s="781">
        <f t="shared" si="17"/>
        <v>0</v>
      </c>
      <c r="N72" s="781">
        <f t="shared" si="17"/>
        <v>0</v>
      </c>
      <c r="O72" s="781">
        <f t="shared" si="17"/>
        <v>0</v>
      </c>
      <c r="P72" s="781">
        <f t="shared" si="17"/>
        <v>0</v>
      </c>
      <c r="Q72" s="781">
        <f t="shared" si="17"/>
        <v>0</v>
      </c>
      <c r="R72" s="782">
        <f t="shared" si="17"/>
        <v>0</v>
      </c>
      <c r="S72" s="782">
        <f t="shared" si="17"/>
        <v>0</v>
      </c>
      <c r="T72" s="781">
        <f t="shared" si="10"/>
        <v>0</v>
      </c>
      <c r="U72" s="783"/>
      <c r="V72" s="783"/>
      <c r="W72" s="783"/>
      <c r="X72" s="783"/>
      <c r="Y72" s="783"/>
      <c r="Z72" s="783"/>
      <c r="AA72" s="783"/>
      <c r="AB72" s="783"/>
      <c r="AC72" s="783"/>
      <c r="AD72" s="783"/>
      <c r="AE72" s="783"/>
      <c r="AF72" s="783"/>
      <c r="AG72" s="781" t="e">
        <f t="shared" si="11"/>
        <v>#DIV/0!</v>
      </c>
      <c r="AH72" s="781">
        <f t="shared" ref="AH72:AS72" si="19">AH57+AH60+AH63+AH66+AH69</f>
        <v>0</v>
      </c>
      <c r="AI72" s="781">
        <f t="shared" si="19"/>
        <v>0</v>
      </c>
      <c r="AJ72" s="781">
        <f t="shared" si="19"/>
        <v>0</v>
      </c>
      <c r="AK72" s="781">
        <f t="shared" si="19"/>
        <v>0</v>
      </c>
      <c r="AL72" s="781">
        <f t="shared" si="19"/>
        <v>0</v>
      </c>
      <c r="AM72" s="781">
        <f t="shared" si="19"/>
        <v>0</v>
      </c>
      <c r="AN72" s="781">
        <f t="shared" si="19"/>
        <v>0</v>
      </c>
      <c r="AO72" s="781">
        <f t="shared" si="19"/>
        <v>0</v>
      </c>
      <c r="AP72" s="781">
        <f t="shared" si="19"/>
        <v>0</v>
      </c>
      <c r="AQ72" s="781">
        <f t="shared" si="19"/>
        <v>0</v>
      </c>
      <c r="AR72" s="781">
        <f t="shared" si="19"/>
        <v>0.02</v>
      </c>
      <c r="AS72" s="781">
        <f t="shared" si="19"/>
        <v>0</v>
      </c>
      <c r="AT72" s="781">
        <f t="shared" si="15"/>
        <v>1.6666666666666668E-3</v>
      </c>
      <c r="AV72" s="718"/>
    </row>
    <row r="73" spans="1:60" s="719" customFormat="1" ht="15" customHeight="1" x14ac:dyDescent="0.25">
      <c r="A73" s="703" t="s">
        <v>297</v>
      </c>
      <c r="B73" s="707" t="s">
        <v>202</v>
      </c>
      <c r="C73" s="621">
        <f t="shared" si="6"/>
        <v>2</v>
      </c>
      <c r="D73" s="621">
        <f t="shared" si="9"/>
        <v>0</v>
      </c>
      <c r="E73" s="717">
        <f>SUMIF($AH$3:$AS$3,$E$2,AH73:AS137)</f>
        <v>2</v>
      </c>
      <c r="F73" s="717"/>
      <c r="G73" s="717"/>
      <c r="H73" s="717">
        <v>1</v>
      </c>
      <c r="I73" s="717">
        <v>0.99999999999999978</v>
      </c>
      <c r="J73" s="717">
        <v>1.9999999999999998</v>
      </c>
      <c r="K73" s="717">
        <v>2</v>
      </c>
      <c r="L73" s="717"/>
      <c r="M73" s="717"/>
      <c r="N73" s="717"/>
      <c r="O73" s="717"/>
      <c r="P73" s="717"/>
      <c r="Q73" s="717"/>
      <c r="R73" s="718"/>
      <c r="S73" s="718"/>
      <c r="T73" s="717">
        <f t="shared" si="10"/>
        <v>1.5</v>
      </c>
      <c r="U73" s="622"/>
      <c r="V73" s="622"/>
      <c r="W73" s="622"/>
      <c r="X73" s="622"/>
      <c r="Y73" s="622"/>
      <c r="Z73" s="622"/>
      <c r="AA73" s="622"/>
      <c r="AB73" s="622"/>
      <c r="AC73" s="622"/>
      <c r="AD73" s="622"/>
      <c r="AE73" s="622"/>
      <c r="AF73" s="622"/>
      <c r="AG73" s="717" t="e">
        <f t="shared" si="11"/>
        <v>#DIV/0!</v>
      </c>
      <c r="AH73" s="717">
        <v>2</v>
      </c>
      <c r="AI73" s="717">
        <v>2</v>
      </c>
      <c r="AJ73" s="717">
        <v>2</v>
      </c>
      <c r="AK73" s="717">
        <v>2</v>
      </c>
      <c r="AL73" s="717">
        <v>2</v>
      </c>
      <c r="AM73" s="717">
        <v>1</v>
      </c>
      <c r="AN73" s="717">
        <v>1</v>
      </c>
      <c r="AO73" s="717">
        <v>1</v>
      </c>
      <c r="AP73" s="717">
        <v>1</v>
      </c>
      <c r="AQ73" s="717">
        <v>1</v>
      </c>
      <c r="AR73" s="717">
        <v>1</v>
      </c>
      <c r="AS73" s="717">
        <v>1</v>
      </c>
      <c r="AT73" s="717">
        <f t="shared" si="12"/>
        <v>2</v>
      </c>
      <c r="AU73" s="718">
        <f>_xlfn.IFNA(VLOOKUP(A73&amp;B73,'[1]Management Report'!$F:$I,4,FALSE),0)</f>
        <v>2</v>
      </c>
      <c r="AV73" s="718"/>
    </row>
    <row r="74" spans="1:60" s="719" customFormat="1" ht="15" customHeight="1" x14ac:dyDescent="0.25">
      <c r="A74" s="703" t="s">
        <v>297</v>
      </c>
      <c r="B74" s="707" t="s">
        <v>203</v>
      </c>
      <c r="C74" s="621">
        <f t="shared" ref="C74:C98" si="20">SUMIF($H$3:$S$3,$C$2,H74:S74)</f>
        <v>0.8</v>
      </c>
      <c r="D74" s="621">
        <f t="shared" si="9"/>
        <v>0</v>
      </c>
      <c r="E74" s="717">
        <f>SUMIF($AH$3:$AS$3,$E$2,AH74:AS137)</f>
        <v>1.05</v>
      </c>
      <c r="F74" s="717"/>
      <c r="G74" s="717"/>
      <c r="H74" s="717">
        <v>1</v>
      </c>
      <c r="I74" s="717">
        <v>0.79999999999999982</v>
      </c>
      <c r="J74" s="717">
        <v>1.85</v>
      </c>
      <c r="K74" s="717">
        <v>0.8</v>
      </c>
      <c r="L74" s="717"/>
      <c r="M74" s="717"/>
      <c r="N74" s="717"/>
      <c r="O74" s="717"/>
      <c r="P74" s="717"/>
      <c r="Q74" s="717"/>
      <c r="R74" s="718"/>
      <c r="S74" s="718"/>
      <c r="T74" s="717">
        <f t="shared" si="10"/>
        <v>1.1125</v>
      </c>
      <c r="U74" s="622"/>
      <c r="V74" s="622"/>
      <c r="W74" s="622"/>
      <c r="X74" s="622"/>
      <c r="Y74" s="622"/>
      <c r="Z74" s="622"/>
      <c r="AA74" s="622"/>
      <c r="AB74" s="622"/>
      <c r="AC74" s="622"/>
      <c r="AD74" s="622"/>
      <c r="AE74" s="622"/>
      <c r="AF74" s="622"/>
      <c r="AG74" s="717" t="e">
        <f t="shared" si="11"/>
        <v>#DIV/0!</v>
      </c>
      <c r="AH74" s="717">
        <v>2</v>
      </c>
      <c r="AI74" s="717">
        <v>1.7</v>
      </c>
      <c r="AJ74" s="717">
        <v>1.8</v>
      </c>
      <c r="AK74" s="717">
        <v>1.05</v>
      </c>
      <c r="AL74" s="717">
        <v>1.7</v>
      </c>
      <c r="AM74" s="717">
        <v>0.73</v>
      </c>
      <c r="AN74" s="717">
        <v>0.6</v>
      </c>
      <c r="AO74" s="717">
        <v>0.8</v>
      </c>
      <c r="AP74" s="717">
        <v>0.95</v>
      </c>
      <c r="AQ74" s="717">
        <v>0.9</v>
      </c>
      <c r="AR74" s="717">
        <v>0.93</v>
      </c>
      <c r="AS74" s="717">
        <v>0.54999999999999993</v>
      </c>
      <c r="AT74" s="717">
        <f t="shared" si="12"/>
        <v>1.8333333333333333</v>
      </c>
      <c r="AU74" s="718">
        <f>_xlfn.IFNA(VLOOKUP(A74&amp;B74,'[1]Management Report'!$F:$I,4,FALSE),0)</f>
        <v>0.8</v>
      </c>
      <c r="AV74" s="718"/>
      <c r="BA74" s="719" t="s">
        <v>623</v>
      </c>
      <c r="BB74" s="719">
        <v>2</v>
      </c>
      <c r="BD74" s="719" t="s">
        <v>629</v>
      </c>
      <c r="BE74" s="719">
        <v>2</v>
      </c>
      <c r="BG74" s="719" t="s">
        <v>638</v>
      </c>
      <c r="BH74" s="719">
        <v>2</v>
      </c>
    </row>
    <row r="75" spans="1:60" s="719" customFormat="1" ht="15" customHeight="1" x14ac:dyDescent="0.25">
      <c r="A75" s="703" t="s">
        <v>297</v>
      </c>
      <c r="B75" s="707" t="s">
        <v>204</v>
      </c>
      <c r="C75" s="621">
        <f t="shared" si="20"/>
        <v>0</v>
      </c>
      <c r="D75" s="621">
        <f t="shared" si="9"/>
        <v>0</v>
      </c>
      <c r="E75" s="717">
        <f>SUMIF($AH$3:$AS$3,$E$2,AH75:AS137)</f>
        <v>0</v>
      </c>
      <c r="F75" s="717"/>
      <c r="G75" s="717"/>
      <c r="H75" s="717">
        <v>0</v>
      </c>
      <c r="I75" s="717">
        <v>0</v>
      </c>
      <c r="J75" s="717">
        <v>0</v>
      </c>
      <c r="K75" s="717">
        <v>0</v>
      </c>
      <c r="L75" s="717"/>
      <c r="M75" s="717"/>
      <c r="N75" s="717"/>
      <c r="O75" s="717"/>
      <c r="P75" s="717"/>
      <c r="Q75" s="717"/>
      <c r="R75" s="718"/>
      <c r="S75" s="718"/>
      <c r="T75" s="717">
        <f t="shared" si="10"/>
        <v>0</v>
      </c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717" t="e">
        <f t="shared" si="11"/>
        <v>#DIV/0!</v>
      </c>
      <c r="AH75" s="717">
        <v>0</v>
      </c>
      <c r="AI75" s="717">
        <v>0</v>
      </c>
      <c r="AJ75" s="717">
        <v>0</v>
      </c>
      <c r="AK75" s="717">
        <v>0</v>
      </c>
      <c r="AL75" s="717">
        <v>0</v>
      </c>
      <c r="AM75" s="717">
        <v>0</v>
      </c>
      <c r="AN75" s="717">
        <v>0</v>
      </c>
      <c r="AO75" s="717">
        <v>0</v>
      </c>
      <c r="AP75" s="717">
        <v>0</v>
      </c>
      <c r="AQ75" s="717">
        <v>0</v>
      </c>
      <c r="AR75" s="717">
        <v>0</v>
      </c>
      <c r="AS75" s="717">
        <v>0</v>
      </c>
      <c r="AT75" s="717">
        <f t="shared" si="12"/>
        <v>0</v>
      </c>
      <c r="AU75" s="718">
        <f>_xlfn.IFNA(VLOOKUP(A75&amp;B75,'[1]Management Report'!$F:$I,4,FALSE),0)</f>
        <v>0</v>
      </c>
      <c r="AV75" s="718"/>
    </row>
    <row r="76" spans="1:60" s="719" customFormat="1" ht="15" customHeight="1" x14ac:dyDescent="0.25">
      <c r="A76" s="703" t="s">
        <v>296</v>
      </c>
      <c r="B76" s="707" t="s">
        <v>202</v>
      </c>
      <c r="C76" s="621">
        <f>SUMIF($H$3:$S$3,$C$2,H76:S76)</f>
        <v>9</v>
      </c>
      <c r="D76" s="621">
        <f t="shared" si="9"/>
        <v>0</v>
      </c>
      <c r="E76" s="717">
        <f>SUMIF($AH$3:$AS$3,$E$2,AH76:AS142)</f>
        <v>8.1</v>
      </c>
      <c r="F76" s="717"/>
      <c r="G76" s="717"/>
      <c r="H76" s="717">
        <v>10</v>
      </c>
      <c r="I76" s="717">
        <v>9.973684210526315</v>
      </c>
      <c r="J76" s="717">
        <v>9.6026315789473689</v>
      </c>
      <c r="K76" s="717">
        <v>9</v>
      </c>
      <c r="L76" s="717"/>
      <c r="M76" s="717"/>
      <c r="N76" s="717"/>
      <c r="O76" s="717"/>
      <c r="P76" s="717"/>
      <c r="Q76" s="717"/>
      <c r="R76" s="718"/>
      <c r="S76" s="718"/>
      <c r="T76" s="717">
        <f t="shared" si="10"/>
        <v>9.6440789473684205</v>
      </c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717" t="e">
        <f t="shared" si="11"/>
        <v>#DIV/0!</v>
      </c>
      <c r="AH76" s="717">
        <v>9.65</v>
      </c>
      <c r="AI76" s="717">
        <v>8.85</v>
      </c>
      <c r="AJ76" s="717">
        <v>8.8000000000000007</v>
      </c>
      <c r="AK76" s="717">
        <v>8.1</v>
      </c>
      <c r="AL76" s="717">
        <v>8.25</v>
      </c>
      <c r="AM76" s="717">
        <v>8.93</v>
      </c>
      <c r="AN76" s="717">
        <v>8.3000000000000007</v>
      </c>
      <c r="AO76" s="717">
        <v>9</v>
      </c>
      <c r="AP76" s="717">
        <v>9</v>
      </c>
      <c r="AQ76" s="717">
        <v>9.5</v>
      </c>
      <c r="AR76" s="717">
        <v>9.9</v>
      </c>
      <c r="AS76" s="717">
        <v>10.409649342105263</v>
      </c>
      <c r="AT76" s="717">
        <f t="shared" si="12"/>
        <v>9.1</v>
      </c>
      <c r="AU76" s="718">
        <f>_xlfn.IFNA(VLOOKUP(A76&amp;B76,'[1]Management Report'!$F:$I,4,FALSE),0)</f>
        <v>9</v>
      </c>
      <c r="AV76" s="718"/>
    </row>
    <row r="77" spans="1:60" s="719" customFormat="1" ht="15" customHeight="1" x14ac:dyDescent="0.25">
      <c r="A77" s="703" t="s">
        <v>296</v>
      </c>
      <c r="B77" s="707" t="s">
        <v>203</v>
      </c>
      <c r="C77" s="621">
        <f>SUMIF($H$3:$S$3,$C$2,H77:S77)</f>
        <v>6.098245614035088</v>
      </c>
      <c r="D77" s="621">
        <f t="shared" si="9"/>
        <v>0</v>
      </c>
      <c r="E77" s="717">
        <f>SUMIF($AH$3:$AS$3,$E$2,AH77:AS142)</f>
        <v>6.32</v>
      </c>
      <c r="F77" s="717"/>
      <c r="G77" s="717"/>
      <c r="H77" s="717">
        <v>9.4901315789473699</v>
      </c>
      <c r="I77" s="717">
        <v>8.748026315789474</v>
      </c>
      <c r="J77" s="717">
        <v>7.7901315789473689</v>
      </c>
      <c r="K77" s="717">
        <v>6.098245614035088</v>
      </c>
      <c r="L77" s="717"/>
      <c r="M77" s="717"/>
      <c r="N77" s="717"/>
      <c r="O77" s="717"/>
      <c r="P77" s="717"/>
      <c r="Q77" s="717"/>
      <c r="R77" s="718"/>
      <c r="S77" s="718"/>
      <c r="T77" s="717">
        <f t="shared" si="10"/>
        <v>8.0316337719298243</v>
      </c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717" t="e">
        <f t="shared" si="11"/>
        <v>#DIV/0!</v>
      </c>
      <c r="AH77" s="717">
        <v>8.81</v>
      </c>
      <c r="AI77" s="717">
        <v>7.93</v>
      </c>
      <c r="AJ77" s="717">
        <v>8.1300000000000008</v>
      </c>
      <c r="AK77" s="717">
        <v>6.32</v>
      </c>
      <c r="AL77" s="717">
        <v>7.47</v>
      </c>
      <c r="AM77" s="717">
        <v>7.7</v>
      </c>
      <c r="AN77" s="717">
        <v>6.53</v>
      </c>
      <c r="AO77" s="717">
        <v>8.49</v>
      </c>
      <c r="AP77" s="717">
        <v>8.08</v>
      </c>
      <c r="AQ77" s="717">
        <v>8.92</v>
      </c>
      <c r="AR77" s="717">
        <v>9.07</v>
      </c>
      <c r="AS77" s="717">
        <v>9.234978289473684</v>
      </c>
      <c r="AT77" s="717">
        <f t="shared" si="12"/>
        <v>8.2900000000000009</v>
      </c>
      <c r="AU77" s="718">
        <f>_xlfn.IFNA(VLOOKUP(A77&amp;B77,'[1]Management Report'!$F:$I,4,FALSE),0)</f>
        <v>6.098245614035088</v>
      </c>
      <c r="AV77" s="718"/>
      <c r="AW77" s="719">
        <f>+C77*0.15</f>
        <v>0.91473684210526318</v>
      </c>
      <c r="BA77" s="719" t="s">
        <v>624</v>
      </c>
      <c r="BB77" s="719">
        <v>3</v>
      </c>
      <c r="BD77" s="719" t="s">
        <v>630</v>
      </c>
      <c r="BE77" s="719">
        <v>3</v>
      </c>
      <c r="BG77" s="719" t="s">
        <v>639</v>
      </c>
      <c r="BH77" s="719">
        <v>3</v>
      </c>
    </row>
    <row r="78" spans="1:60" s="719" customFormat="1" ht="15" customHeight="1" x14ac:dyDescent="0.25">
      <c r="A78" s="703" t="s">
        <v>296</v>
      </c>
      <c r="B78" s="707" t="s">
        <v>204</v>
      </c>
      <c r="C78" s="621">
        <f>SUMIF($H$3:$S$3,$C$2,H78:S78)</f>
        <v>0</v>
      </c>
      <c r="D78" s="621">
        <f t="shared" si="9"/>
        <v>0</v>
      </c>
      <c r="E78" s="717">
        <f>SUMIF($AH$3:$AS$3,$E$2,AH78:AS142)</f>
        <v>0</v>
      </c>
      <c r="F78" s="717"/>
      <c r="G78" s="717"/>
      <c r="H78" s="717">
        <v>0</v>
      </c>
      <c r="I78" s="717">
        <v>0</v>
      </c>
      <c r="J78" s="717">
        <v>0</v>
      </c>
      <c r="K78" s="717">
        <v>0</v>
      </c>
      <c r="L78" s="717"/>
      <c r="M78" s="717"/>
      <c r="N78" s="717"/>
      <c r="O78" s="717"/>
      <c r="P78" s="717"/>
      <c r="Q78" s="717"/>
      <c r="R78" s="718"/>
      <c r="S78" s="718"/>
      <c r="T78" s="717">
        <f t="shared" si="10"/>
        <v>0</v>
      </c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717" t="e">
        <f t="shared" si="11"/>
        <v>#DIV/0!</v>
      </c>
      <c r="AH78" s="717">
        <v>0</v>
      </c>
      <c r="AI78" s="717">
        <v>0</v>
      </c>
      <c r="AJ78" s="717">
        <v>0</v>
      </c>
      <c r="AK78" s="717">
        <v>0</v>
      </c>
      <c r="AL78" s="717">
        <v>0</v>
      </c>
      <c r="AM78" s="717">
        <v>0</v>
      </c>
      <c r="AN78" s="717">
        <v>0</v>
      </c>
      <c r="AO78" s="717">
        <v>0</v>
      </c>
      <c r="AP78" s="717">
        <v>0</v>
      </c>
      <c r="AQ78" s="717">
        <v>0</v>
      </c>
      <c r="AR78" s="717">
        <v>0</v>
      </c>
      <c r="AS78" s="717">
        <v>1.8201973684210528E-2</v>
      </c>
      <c r="AT78" s="717">
        <f t="shared" si="12"/>
        <v>0</v>
      </c>
      <c r="AU78" s="718">
        <f>_xlfn.IFNA(VLOOKUP(A78&amp;B78,'[1]Management Report'!$F:$I,4,FALSE),0)</f>
        <v>0</v>
      </c>
      <c r="AV78" s="718"/>
    </row>
    <row r="79" spans="1:60" s="719" customFormat="1" ht="15" customHeight="1" x14ac:dyDescent="0.25">
      <c r="A79" s="703" t="s">
        <v>295</v>
      </c>
      <c r="B79" s="707" t="s">
        <v>202</v>
      </c>
      <c r="C79" s="621">
        <f t="shared" si="20"/>
        <v>8.2000000000000011</v>
      </c>
      <c r="D79" s="621">
        <f t="shared" si="9"/>
        <v>0</v>
      </c>
      <c r="E79" s="717">
        <f>SUMIF($AH$3:$AS$3,$E$2,AH79:AS143)</f>
        <v>6.95</v>
      </c>
      <c r="F79" s="717"/>
      <c r="G79" s="717"/>
      <c r="H79" s="717">
        <v>8</v>
      </c>
      <c r="I79" s="717">
        <v>8</v>
      </c>
      <c r="J79" s="717">
        <v>7.9</v>
      </c>
      <c r="K79" s="717">
        <v>8.2000000000000011</v>
      </c>
      <c r="L79" s="717"/>
      <c r="M79" s="717"/>
      <c r="N79" s="717"/>
      <c r="O79" s="717"/>
      <c r="P79" s="717"/>
      <c r="Q79" s="717"/>
      <c r="R79" s="718"/>
      <c r="S79" s="718"/>
      <c r="T79" s="717">
        <f t="shared" si="10"/>
        <v>8.0250000000000004</v>
      </c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717" t="e">
        <f t="shared" si="11"/>
        <v>#DIV/0!</v>
      </c>
      <c r="AH79" s="717">
        <v>7</v>
      </c>
      <c r="AI79" s="717">
        <v>7.9</v>
      </c>
      <c r="AJ79" s="717">
        <v>7.85</v>
      </c>
      <c r="AK79" s="717">
        <v>6.95</v>
      </c>
      <c r="AL79" s="717">
        <v>8.6</v>
      </c>
      <c r="AM79" s="717">
        <v>8.9700000000000006</v>
      </c>
      <c r="AN79" s="717">
        <v>9.3000000000000007</v>
      </c>
      <c r="AO79" s="717">
        <v>10</v>
      </c>
      <c r="AP79" s="717">
        <v>10</v>
      </c>
      <c r="AQ79" s="717">
        <v>10</v>
      </c>
      <c r="AR79" s="717">
        <v>9.6</v>
      </c>
      <c r="AS79" s="717">
        <v>10.15</v>
      </c>
      <c r="AT79" s="717">
        <f t="shared" si="12"/>
        <v>7.583333333333333</v>
      </c>
      <c r="AU79" s="718">
        <f>_xlfn.IFNA(VLOOKUP(A79&amp;B79,'[1]Management Report'!$F:$I,4,FALSE),0)</f>
        <v>8.2000000000000011</v>
      </c>
      <c r="AV79" s="718"/>
    </row>
    <row r="80" spans="1:60" s="719" customFormat="1" ht="15" customHeight="1" x14ac:dyDescent="0.25">
      <c r="A80" s="703" t="s">
        <v>295</v>
      </c>
      <c r="B80" s="707" t="s">
        <v>203</v>
      </c>
      <c r="C80" s="621">
        <f t="shared" si="20"/>
        <v>5.7333333333333334</v>
      </c>
      <c r="D80" s="621">
        <f t="shared" si="9"/>
        <v>0</v>
      </c>
      <c r="E80" s="717">
        <f>SUMIF($AH$3:$AS$3,$E$2,AH80:AS143)</f>
        <v>4.7699999999999996</v>
      </c>
      <c r="F80" s="717"/>
      <c r="G80" s="717"/>
      <c r="H80" s="717">
        <v>7.3552631578947372</v>
      </c>
      <c r="I80" s="717">
        <v>7.3736842105263163</v>
      </c>
      <c r="J80" s="717">
        <v>6.0434210526315795</v>
      </c>
      <c r="K80" s="717">
        <v>5.7333333333333334</v>
      </c>
      <c r="L80" s="717"/>
      <c r="M80" s="717"/>
      <c r="N80" s="717"/>
      <c r="O80" s="717"/>
      <c r="P80" s="717"/>
      <c r="Q80" s="717"/>
      <c r="R80" s="718"/>
      <c r="S80" s="718"/>
      <c r="T80" s="717">
        <f t="shared" si="10"/>
        <v>6.6264254385964918</v>
      </c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717" t="e">
        <f t="shared" si="11"/>
        <v>#DIV/0!</v>
      </c>
      <c r="AH80" s="717">
        <v>5.55</v>
      </c>
      <c r="AI80" s="717">
        <v>6.59</v>
      </c>
      <c r="AJ80" s="717">
        <v>6.69</v>
      </c>
      <c r="AK80" s="717">
        <v>4.7699999999999996</v>
      </c>
      <c r="AL80" s="717">
        <v>7.83</v>
      </c>
      <c r="AM80" s="717">
        <v>8.09</v>
      </c>
      <c r="AN80" s="717">
        <v>6.9</v>
      </c>
      <c r="AO80" s="717">
        <v>9.68</v>
      </c>
      <c r="AP80" s="717">
        <v>9.1999999999999993</v>
      </c>
      <c r="AQ80" s="717">
        <v>9.3800000000000008</v>
      </c>
      <c r="AR80" s="717">
        <v>9</v>
      </c>
      <c r="AS80" s="717">
        <v>9.1105263157894729</v>
      </c>
      <c r="AT80" s="717">
        <f t="shared" si="12"/>
        <v>6.2766666666666673</v>
      </c>
      <c r="AU80" s="718">
        <f>_xlfn.IFNA(VLOOKUP(A80&amp;B80,'[1]Management Report'!$F:$I,4,FALSE),0)</f>
        <v>5.7333333333333334</v>
      </c>
      <c r="AV80" s="718"/>
      <c r="AW80" s="719">
        <f>+C80*0.15</f>
        <v>0.86</v>
      </c>
      <c r="AX80" s="719" t="s">
        <v>614</v>
      </c>
      <c r="AZ80" s="719">
        <v>1</v>
      </c>
      <c r="BA80" s="719" t="s">
        <v>625</v>
      </c>
      <c r="BB80" s="719">
        <v>4</v>
      </c>
      <c r="BD80" s="719" t="s">
        <v>501</v>
      </c>
      <c r="BE80" s="719">
        <v>4</v>
      </c>
      <c r="BG80" s="719" t="s">
        <v>640</v>
      </c>
      <c r="BH80" s="719">
        <v>4</v>
      </c>
    </row>
    <row r="81" spans="1:60" s="719" customFormat="1" ht="15" customHeight="1" x14ac:dyDescent="0.25">
      <c r="A81" s="703" t="s">
        <v>295</v>
      </c>
      <c r="B81" s="707" t="s">
        <v>204</v>
      </c>
      <c r="C81" s="621">
        <f t="shared" si="20"/>
        <v>0</v>
      </c>
      <c r="D81" s="621">
        <f t="shared" si="9"/>
        <v>0</v>
      </c>
      <c r="E81" s="717">
        <f>SUMIF($AH$3:$AS$3,$E$2,AH81:AS143)</f>
        <v>0</v>
      </c>
      <c r="F81" s="717"/>
      <c r="G81" s="717"/>
      <c r="H81" s="717">
        <v>0</v>
      </c>
      <c r="I81" s="717">
        <v>0</v>
      </c>
      <c r="J81" s="717">
        <v>0</v>
      </c>
      <c r="K81" s="717">
        <v>0</v>
      </c>
      <c r="L81" s="717"/>
      <c r="M81" s="717"/>
      <c r="N81" s="717"/>
      <c r="O81" s="717"/>
      <c r="P81" s="717"/>
      <c r="Q81" s="717"/>
      <c r="R81" s="718"/>
      <c r="S81" s="718"/>
      <c r="T81" s="717">
        <f t="shared" si="10"/>
        <v>0</v>
      </c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717" t="e">
        <f t="shared" si="11"/>
        <v>#DIV/0!</v>
      </c>
      <c r="AH81" s="717">
        <v>0</v>
      </c>
      <c r="AI81" s="717">
        <v>0</v>
      </c>
      <c r="AJ81" s="717">
        <v>0</v>
      </c>
      <c r="AK81" s="717">
        <v>0</v>
      </c>
      <c r="AL81" s="717">
        <v>0</v>
      </c>
      <c r="AM81" s="717">
        <v>0</v>
      </c>
      <c r="AN81" s="717">
        <v>0</v>
      </c>
      <c r="AO81" s="717">
        <v>0</v>
      </c>
      <c r="AP81" s="717">
        <v>0</v>
      </c>
      <c r="AQ81" s="717">
        <v>0</v>
      </c>
      <c r="AR81" s="717">
        <v>0</v>
      </c>
      <c r="AS81" s="717">
        <v>0</v>
      </c>
      <c r="AT81" s="717">
        <f t="shared" si="12"/>
        <v>0</v>
      </c>
      <c r="AU81" s="718">
        <f>_xlfn.IFNA(VLOOKUP(A81&amp;B81,'[1]Management Report'!$F:$I,4,FALSE),0)</f>
        <v>0</v>
      </c>
      <c r="AV81" s="718"/>
    </row>
    <row r="82" spans="1:60" s="719" customFormat="1" ht="15" customHeight="1" x14ac:dyDescent="0.25">
      <c r="A82" s="703" t="s">
        <v>298</v>
      </c>
      <c r="B82" s="707" t="s">
        <v>202</v>
      </c>
      <c r="C82" s="621">
        <f t="shared" si="20"/>
        <v>1.0000000000000002</v>
      </c>
      <c r="D82" s="621">
        <f t="shared" si="9"/>
        <v>0</v>
      </c>
      <c r="E82" s="717">
        <f>SUMIF($AH$3:$AS$3,$E$2,AH82:AS144)</f>
        <v>2</v>
      </c>
      <c r="F82" s="717"/>
      <c r="G82" s="717"/>
      <c r="H82" s="717">
        <v>1</v>
      </c>
      <c r="I82" s="717">
        <v>1</v>
      </c>
      <c r="J82" s="717">
        <v>1</v>
      </c>
      <c r="K82" s="717">
        <v>1.0000000000000002</v>
      </c>
      <c r="L82" s="717"/>
      <c r="M82" s="717"/>
      <c r="N82" s="717"/>
      <c r="O82" s="717"/>
      <c r="P82" s="720"/>
      <c r="Q82" s="717"/>
      <c r="R82" s="718"/>
      <c r="S82" s="718"/>
      <c r="T82" s="717">
        <f t="shared" si="10"/>
        <v>1</v>
      </c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717" t="e">
        <f t="shared" si="11"/>
        <v>#DIV/0!</v>
      </c>
      <c r="AH82" s="717">
        <v>2</v>
      </c>
      <c r="AI82" s="717">
        <v>2</v>
      </c>
      <c r="AJ82" s="717">
        <v>2</v>
      </c>
      <c r="AK82" s="717">
        <v>2</v>
      </c>
      <c r="AL82" s="717">
        <v>2</v>
      </c>
      <c r="AM82" s="717">
        <v>2</v>
      </c>
      <c r="AN82" s="717">
        <v>2</v>
      </c>
      <c r="AO82" s="717">
        <v>2</v>
      </c>
      <c r="AP82" s="720">
        <v>2</v>
      </c>
      <c r="AQ82" s="717">
        <v>2</v>
      </c>
      <c r="AR82" s="717">
        <v>2</v>
      </c>
      <c r="AS82" s="717">
        <v>1.65</v>
      </c>
      <c r="AT82" s="717">
        <f t="shared" si="12"/>
        <v>2</v>
      </c>
      <c r="AU82" s="718">
        <f>_xlfn.IFNA(VLOOKUP(A82&amp;B82,'[1]Management Report'!$F:$I,4,FALSE),0)</f>
        <v>1.0000000000000002</v>
      </c>
      <c r="AV82" s="718"/>
    </row>
    <row r="83" spans="1:60" s="719" customFormat="1" ht="15" customHeight="1" x14ac:dyDescent="0.25">
      <c r="A83" s="703" t="s">
        <v>298</v>
      </c>
      <c r="B83" s="707" t="s">
        <v>203</v>
      </c>
      <c r="C83" s="621">
        <f t="shared" si="20"/>
        <v>0.76666666666666672</v>
      </c>
      <c r="D83" s="621">
        <f t="shared" si="9"/>
        <v>0</v>
      </c>
      <c r="E83" s="717">
        <f>SUMIF($AH$3:$AS$3,$E$2,AH83:AS144)</f>
        <v>1.35</v>
      </c>
      <c r="F83" s="717"/>
      <c r="G83" s="717"/>
      <c r="H83" s="717">
        <v>1</v>
      </c>
      <c r="I83" s="717">
        <v>0.79999999999999993</v>
      </c>
      <c r="J83" s="717">
        <v>1</v>
      </c>
      <c r="K83" s="717">
        <v>0.76666666666666672</v>
      </c>
      <c r="L83" s="717"/>
      <c r="M83" s="717"/>
      <c r="N83" s="717"/>
      <c r="O83" s="717"/>
      <c r="P83" s="720"/>
      <c r="Q83" s="717"/>
      <c r="R83" s="718"/>
      <c r="S83" s="718"/>
      <c r="T83" s="717">
        <f t="shared" si="10"/>
        <v>0.89166666666666661</v>
      </c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717" t="e">
        <f t="shared" si="11"/>
        <v>#DIV/0!</v>
      </c>
      <c r="AH83" s="717">
        <v>1.97</v>
      </c>
      <c r="AI83" s="717">
        <v>1.9</v>
      </c>
      <c r="AJ83" s="717">
        <v>1.85</v>
      </c>
      <c r="AK83" s="717">
        <v>1.35</v>
      </c>
      <c r="AL83" s="717">
        <v>1.9</v>
      </c>
      <c r="AM83" s="717">
        <v>1.83</v>
      </c>
      <c r="AN83" s="717">
        <v>1.45</v>
      </c>
      <c r="AO83" s="717">
        <v>1.95</v>
      </c>
      <c r="AP83" s="720">
        <v>1.58</v>
      </c>
      <c r="AQ83" s="717">
        <v>2</v>
      </c>
      <c r="AR83" s="717">
        <v>1.97</v>
      </c>
      <c r="AS83" s="717">
        <v>1.4499999999999997</v>
      </c>
      <c r="AT83" s="717">
        <f t="shared" si="12"/>
        <v>1.906666666666667</v>
      </c>
      <c r="AU83" s="718">
        <f>_xlfn.IFNA(VLOOKUP(A83&amp;B83,'[1]Management Report'!$F:$I,4,FALSE),0)</f>
        <v>0.76666666666666672</v>
      </c>
      <c r="AV83" s="718"/>
      <c r="AX83" s="719" t="s">
        <v>620</v>
      </c>
      <c r="AZ83" s="719">
        <v>2</v>
      </c>
      <c r="BA83" s="719" t="s">
        <v>626</v>
      </c>
      <c r="BB83" s="719">
        <v>5</v>
      </c>
      <c r="BD83" s="719" t="s">
        <v>631</v>
      </c>
      <c r="BE83" s="719">
        <v>5</v>
      </c>
      <c r="BG83" s="719" t="s">
        <v>641</v>
      </c>
      <c r="BH83" s="719">
        <v>5</v>
      </c>
    </row>
    <row r="84" spans="1:60" s="719" customFormat="1" ht="15" customHeight="1" x14ac:dyDescent="0.25">
      <c r="A84" s="703" t="s">
        <v>298</v>
      </c>
      <c r="B84" s="707" t="s">
        <v>204</v>
      </c>
      <c r="C84" s="621">
        <f t="shared" si="20"/>
        <v>0</v>
      </c>
      <c r="D84" s="621">
        <f t="shared" si="9"/>
        <v>0</v>
      </c>
      <c r="E84" s="717">
        <f>SUMIF($AH$3:$AS$3,$E$2,AH84:AS144)</f>
        <v>0</v>
      </c>
      <c r="F84" s="717"/>
      <c r="G84" s="717"/>
      <c r="H84" s="717">
        <v>0</v>
      </c>
      <c r="I84" s="717">
        <v>0</v>
      </c>
      <c r="J84" s="717">
        <v>0</v>
      </c>
      <c r="K84" s="717">
        <v>0</v>
      </c>
      <c r="L84" s="717"/>
      <c r="M84" s="717"/>
      <c r="N84" s="717"/>
      <c r="O84" s="717"/>
      <c r="P84" s="720"/>
      <c r="Q84" s="717"/>
      <c r="R84" s="718"/>
      <c r="S84" s="718"/>
      <c r="T84" s="717">
        <f t="shared" si="10"/>
        <v>0</v>
      </c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717" t="e">
        <f t="shared" si="11"/>
        <v>#DIV/0!</v>
      </c>
      <c r="AH84" s="717">
        <v>0</v>
      </c>
      <c r="AI84" s="717">
        <v>0</v>
      </c>
      <c r="AJ84" s="717">
        <v>0</v>
      </c>
      <c r="AK84" s="717">
        <v>0</v>
      </c>
      <c r="AL84" s="717">
        <v>0</v>
      </c>
      <c r="AM84" s="717">
        <v>0</v>
      </c>
      <c r="AN84" s="717">
        <v>0</v>
      </c>
      <c r="AO84" s="717">
        <v>0</v>
      </c>
      <c r="AP84" s="720">
        <v>0</v>
      </c>
      <c r="AQ84" s="717">
        <v>0</v>
      </c>
      <c r="AR84" s="717">
        <v>0</v>
      </c>
      <c r="AS84" s="717">
        <v>0</v>
      </c>
      <c r="AT84" s="717">
        <f t="shared" si="12"/>
        <v>0</v>
      </c>
      <c r="AU84" s="718">
        <f>_xlfn.IFNA(VLOOKUP(A84&amp;B84,'[1]Management Report'!$F:$I,4,FALSE),0)</f>
        <v>0</v>
      </c>
      <c r="AV84" s="718"/>
    </row>
    <row r="85" spans="1:60" s="719" customFormat="1" ht="15" customHeight="1" x14ac:dyDescent="0.25">
      <c r="A85" s="778" t="s">
        <v>338</v>
      </c>
      <c r="B85" s="779" t="s">
        <v>202</v>
      </c>
      <c r="C85" s="780">
        <f t="shared" si="20"/>
        <v>7.0263157894736841</v>
      </c>
      <c r="D85" s="780">
        <f t="shared" si="9"/>
        <v>0</v>
      </c>
      <c r="E85" s="781">
        <f>SUMIF($AH$3:$AS$3,$E$2,AH85:AS145)</f>
        <v>8.6</v>
      </c>
      <c r="F85" s="781"/>
      <c r="G85" s="781"/>
      <c r="H85" s="781">
        <f>H40+H43+H46+H49+H52</f>
        <v>8.9526315789473685</v>
      </c>
      <c r="I85" s="781">
        <f t="shared" ref="I85:S87" si="21">I40+I43+I46+I49+I52</f>
        <v>9.1278513157894743</v>
      </c>
      <c r="J85" s="781">
        <f t="shared" si="21"/>
        <v>7.0263157894736841</v>
      </c>
      <c r="K85" s="781">
        <f t="shared" si="21"/>
        <v>7.0263157894736841</v>
      </c>
      <c r="L85" s="781">
        <f t="shared" si="21"/>
        <v>0</v>
      </c>
      <c r="M85" s="781">
        <f t="shared" si="21"/>
        <v>0</v>
      </c>
      <c r="N85" s="781">
        <f t="shared" si="21"/>
        <v>0</v>
      </c>
      <c r="O85" s="781">
        <f t="shared" si="21"/>
        <v>0</v>
      </c>
      <c r="P85" s="781">
        <f t="shared" si="21"/>
        <v>0</v>
      </c>
      <c r="Q85" s="781">
        <f t="shared" si="21"/>
        <v>0</v>
      </c>
      <c r="R85" s="782">
        <f t="shared" si="21"/>
        <v>0</v>
      </c>
      <c r="S85" s="782">
        <f t="shared" si="21"/>
        <v>0</v>
      </c>
      <c r="T85" s="781">
        <f t="shared" si="10"/>
        <v>2.6777595394736839</v>
      </c>
      <c r="U85" s="781"/>
      <c r="V85" s="781"/>
      <c r="W85" s="781"/>
      <c r="X85" s="781"/>
      <c r="Y85" s="781"/>
      <c r="Z85" s="781"/>
      <c r="AA85" s="781"/>
      <c r="AB85" s="781"/>
      <c r="AC85" s="781"/>
      <c r="AD85" s="781"/>
      <c r="AE85" s="781"/>
      <c r="AF85" s="781"/>
      <c r="AG85" s="781" t="e">
        <f t="shared" si="11"/>
        <v>#DIV/0!</v>
      </c>
      <c r="AH85" s="781">
        <f>AH40+AH43+AH46+AH49+AH52</f>
        <v>8.6</v>
      </c>
      <c r="AI85" s="781">
        <f t="shared" ref="AI85:AS85" si="22">AI40+AI43+AI46+AI49+AI52</f>
        <v>8.6</v>
      </c>
      <c r="AJ85" s="781">
        <f t="shared" si="22"/>
        <v>8.6</v>
      </c>
      <c r="AK85" s="781">
        <f t="shared" si="22"/>
        <v>8.6</v>
      </c>
      <c r="AL85" s="781">
        <f t="shared" si="22"/>
        <v>10.9</v>
      </c>
      <c r="AM85" s="781">
        <f t="shared" si="22"/>
        <v>11</v>
      </c>
      <c r="AN85" s="781">
        <f t="shared" si="22"/>
        <v>10.55</v>
      </c>
      <c r="AO85" s="781">
        <f t="shared" si="22"/>
        <v>12.65</v>
      </c>
      <c r="AP85" s="781">
        <f t="shared" si="22"/>
        <v>12.969999999999999</v>
      </c>
      <c r="AQ85" s="781">
        <f t="shared" si="22"/>
        <v>12</v>
      </c>
      <c r="AR85" s="781">
        <f t="shared" si="22"/>
        <v>9.9499999999999993</v>
      </c>
      <c r="AS85" s="781">
        <f t="shared" si="22"/>
        <v>8.8999999999999986</v>
      </c>
      <c r="AT85" s="781">
        <f t="shared" ref="AT85:AT87" si="23">IFERROR(AVERAGEIF($H$1:$S$1,$T$1,AH85:AS85),0)</f>
        <v>10.276666666666666</v>
      </c>
      <c r="AU85" s="717"/>
      <c r="AV85" s="718"/>
    </row>
    <row r="86" spans="1:60" s="719" customFormat="1" ht="15" customHeight="1" x14ac:dyDescent="0.25">
      <c r="A86" s="778" t="s">
        <v>338</v>
      </c>
      <c r="B86" s="779" t="s">
        <v>203</v>
      </c>
      <c r="C86" s="780">
        <f t="shared" si="20"/>
        <v>4.4637425438596487</v>
      </c>
      <c r="D86" s="780">
        <f t="shared" si="9"/>
        <v>0</v>
      </c>
      <c r="E86" s="781">
        <f>SUMIF($AH$3:$AS$3,$E$2,AH86:AS145)</f>
        <v>6.7</v>
      </c>
      <c r="F86" s="781"/>
      <c r="G86" s="781"/>
      <c r="H86" s="781">
        <f t="shared" ref="H86:I87" si="24">H41+H44+H47+H50+H53</f>
        <v>7.6690789473684227</v>
      </c>
      <c r="I86" s="781">
        <f t="shared" si="24"/>
        <v>8.4778513157894739</v>
      </c>
      <c r="J86" s="781">
        <f t="shared" si="21"/>
        <v>6.1263157894736846</v>
      </c>
      <c r="K86" s="781">
        <f t="shared" si="21"/>
        <v>4.4637425438596487</v>
      </c>
      <c r="L86" s="781">
        <f t="shared" si="21"/>
        <v>0</v>
      </c>
      <c r="M86" s="781">
        <f t="shared" si="21"/>
        <v>0</v>
      </c>
      <c r="N86" s="781">
        <f t="shared" si="21"/>
        <v>0</v>
      </c>
      <c r="O86" s="781">
        <f t="shared" si="21"/>
        <v>0</v>
      </c>
      <c r="P86" s="781">
        <f t="shared" si="21"/>
        <v>0</v>
      </c>
      <c r="Q86" s="781">
        <f t="shared" si="21"/>
        <v>0</v>
      </c>
      <c r="R86" s="782">
        <f t="shared" si="21"/>
        <v>0</v>
      </c>
      <c r="S86" s="782">
        <f t="shared" si="21"/>
        <v>0</v>
      </c>
      <c r="T86" s="781">
        <f t="shared" si="10"/>
        <v>2.228082383040936</v>
      </c>
      <c r="U86" s="781"/>
      <c r="V86" s="781"/>
      <c r="W86" s="781"/>
      <c r="X86" s="781"/>
      <c r="Y86" s="781"/>
      <c r="Z86" s="781"/>
      <c r="AA86" s="781"/>
      <c r="AB86" s="781"/>
      <c r="AC86" s="781"/>
      <c r="AD86" s="781"/>
      <c r="AE86" s="781"/>
      <c r="AF86" s="781"/>
      <c r="AG86" s="781" t="e">
        <f t="shared" si="11"/>
        <v>#DIV/0!</v>
      </c>
      <c r="AH86" s="781">
        <f t="shared" ref="AH86:AS86" si="25">AH41+AH44+AH47+AH50+AH53</f>
        <v>7.75</v>
      </c>
      <c r="AI86" s="781">
        <f t="shared" si="25"/>
        <v>8.0799999999999983</v>
      </c>
      <c r="AJ86" s="781">
        <f t="shared" si="25"/>
        <v>7.2799999999999994</v>
      </c>
      <c r="AK86" s="781">
        <f t="shared" si="25"/>
        <v>6.7</v>
      </c>
      <c r="AL86" s="781">
        <f t="shared" si="25"/>
        <v>9.1999999999999993</v>
      </c>
      <c r="AM86" s="781">
        <f t="shared" si="25"/>
        <v>9.77</v>
      </c>
      <c r="AN86" s="781">
        <f t="shared" si="25"/>
        <v>7.33</v>
      </c>
      <c r="AO86" s="781">
        <f t="shared" si="25"/>
        <v>11.43</v>
      </c>
      <c r="AP86" s="781">
        <f t="shared" si="25"/>
        <v>10.739999999999998</v>
      </c>
      <c r="AQ86" s="781">
        <f t="shared" si="25"/>
        <v>10.67</v>
      </c>
      <c r="AR86" s="781">
        <f t="shared" si="25"/>
        <v>9.6900000000000013</v>
      </c>
      <c r="AS86" s="781">
        <f t="shared" si="25"/>
        <v>7.1000000000000005</v>
      </c>
      <c r="AT86" s="781">
        <f t="shared" si="23"/>
        <v>8.8116666666666656</v>
      </c>
      <c r="AV86" s="718"/>
      <c r="AW86" s="719">
        <f>+C86*0.15</f>
        <v>0.66956138157894729</v>
      </c>
      <c r="AX86" s="719" t="s">
        <v>615</v>
      </c>
      <c r="AZ86" s="719">
        <v>3</v>
      </c>
      <c r="BA86" s="719" t="s">
        <v>627</v>
      </c>
      <c r="BB86" s="719">
        <v>6</v>
      </c>
      <c r="BD86" s="719" t="s">
        <v>632</v>
      </c>
      <c r="BE86" s="719">
        <v>6</v>
      </c>
      <c r="BG86" s="719" t="s">
        <v>642</v>
      </c>
      <c r="BH86" s="719">
        <v>6</v>
      </c>
    </row>
    <row r="87" spans="1:60" s="719" customFormat="1" ht="15" customHeight="1" x14ac:dyDescent="0.25">
      <c r="A87" s="778" t="s">
        <v>338</v>
      </c>
      <c r="B87" s="779" t="s">
        <v>204</v>
      </c>
      <c r="C87" s="780">
        <f t="shared" si="20"/>
        <v>0</v>
      </c>
      <c r="D87" s="780">
        <f t="shared" si="9"/>
        <v>0</v>
      </c>
      <c r="E87" s="781">
        <f>SUMIF($AH$3:$AS$3,$E$2,AH87:AS145)</f>
        <v>0</v>
      </c>
      <c r="F87" s="781"/>
      <c r="G87" s="781"/>
      <c r="H87" s="781">
        <f t="shared" si="24"/>
        <v>0</v>
      </c>
      <c r="I87" s="781">
        <f t="shared" si="24"/>
        <v>2.4125000000000001E-3</v>
      </c>
      <c r="J87" s="781">
        <f t="shared" si="21"/>
        <v>0</v>
      </c>
      <c r="K87" s="781">
        <f t="shared" si="21"/>
        <v>0</v>
      </c>
      <c r="L87" s="781">
        <f t="shared" si="21"/>
        <v>0</v>
      </c>
      <c r="M87" s="781">
        <f t="shared" si="21"/>
        <v>0</v>
      </c>
      <c r="N87" s="781">
        <f t="shared" si="21"/>
        <v>0</v>
      </c>
      <c r="O87" s="781">
        <f t="shared" si="21"/>
        <v>0</v>
      </c>
      <c r="P87" s="781">
        <f t="shared" si="21"/>
        <v>0</v>
      </c>
      <c r="Q87" s="781">
        <f t="shared" si="21"/>
        <v>0</v>
      </c>
      <c r="R87" s="782">
        <f t="shared" si="21"/>
        <v>0</v>
      </c>
      <c r="S87" s="782">
        <f t="shared" si="21"/>
        <v>0</v>
      </c>
      <c r="T87" s="781">
        <f t="shared" si="10"/>
        <v>2.0104166666666667E-4</v>
      </c>
      <c r="U87" s="783"/>
      <c r="V87" s="783"/>
      <c r="W87" s="783"/>
      <c r="X87" s="783"/>
      <c r="Y87" s="783"/>
      <c r="Z87" s="783"/>
      <c r="AA87" s="783"/>
      <c r="AB87" s="783"/>
      <c r="AC87" s="783"/>
      <c r="AD87" s="783"/>
      <c r="AE87" s="783"/>
      <c r="AF87" s="783"/>
      <c r="AG87" s="781" t="e">
        <f t="shared" si="11"/>
        <v>#DIV/0!</v>
      </c>
      <c r="AH87" s="781">
        <f t="shared" ref="AH87:AS87" si="26">AH42+AH45+AH48+AH51+AH54</f>
        <v>0</v>
      </c>
      <c r="AI87" s="781">
        <f t="shared" si="26"/>
        <v>0</v>
      </c>
      <c r="AJ87" s="781">
        <f t="shared" si="26"/>
        <v>0</v>
      </c>
      <c r="AK87" s="781">
        <f t="shared" si="26"/>
        <v>0</v>
      </c>
      <c r="AL87" s="781">
        <f t="shared" si="26"/>
        <v>0</v>
      </c>
      <c r="AM87" s="781">
        <f t="shared" si="26"/>
        <v>0</v>
      </c>
      <c r="AN87" s="781">
        <f t="shared" si="26"/>
        <v>0</v>
      </c>
      <c r="AO87" s="781">
        <f t="shared" si="26"/>
        <v>0.15</v>
      </c>
      <c r="AP87" s="781">
        <f t="shared" si="26"/>
        <v>0</v>
      </c>
      <c r="AQ87" s="781">
        <f t="shared" si="26"/>
        <v>0</v>
      </c>
      <c r="AR87" s="781">
        <f t="shared" si="26"/>
        <v>0</v>
      </c>
      <c r="AS87" s="781">
        <f t="shared" si="26"/>
        <v>0</v>
      </c>
      <c r="AT87" s="781">
        <f t="shared" si="23"/>
        <v>1.2499999999999999E-2</v>
      </c>
      <c r="AV87" s="718"/>
    </row>
    <row r="88" spans="1:60" s="719" customFormat="1" ht="15" customHeight="1" x14ac:dyDescent="0.25">
      <c r="A88" s="703" t="s">
        <v>289</v>
      </c>
      <c r="B88" s="707" t="s">
        <v>202</v>
      </c>
      <c r="C88" s="621">
        <f t="shared" si="20"/>
        <v>6</v>
      </c>
      <c r="D88" s="621">
        <f t="shared" si="9"/>
        <v>0</v>
      </c>
      <c r="E88" s="717">
        <f>SUMIF($AH$3:$AS$3,$E$2,AH88:AS146)</f>
        <v>4</v>
      </c>
      <c r="F88" s="717"/>
      <c r="G88" s="717"/>
      <c r="H88" s="717">
        <v>7</v>
      </c>
      <c r="I88" s="717">
        <v>6.1</v>
      </c>
      <c r="J88" s="717">
        <v>6</v>
      </c>
      <c r="K88" s="717">
        <v>6</v>
      </c>
      <c r="L88" s="717"/>
      <c r="M88" s="717"/>
      <c r="N88" s="717"/>
      <c r="O88" s="717"/>
      <c r="P88" s="717"/>
      <c r="Q88" s="717"/>
      <c r="R88" s="718"/>
      <c r="S88" s="718"/>
      <c r="T88" s="717">
        <f t="shared" si="10"/>
        <v>6.2750000000000004</v>
      </c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717" t="e">
        <f t="shared" si="11"/>
        <v>#DIV/0!</v>
      </c>
      <c r="AH88" s="717">
        <v>4.95</v>
      </c>
      <c r="AI88" s="717">
        <v>5</v>
      </c>
      <c r="AJ88" s="717">
        <v>5.0999999999999996</v>
      </c>
      <c r="AK88" s="717">
        <v>4</v>
      </c>
      <c r="AL88" s="717">
        <v>5</v>
      </c>
      <c r="AM88" s="717">
        <v>6.33</v>
      </c>
      <c r="AN88" s="717">
        <v>7</v>
      </c>
      <c r="AO88" s="717">
        <v>7</v>
      </c>
      <c r="AP88" s="717">
        <v>7</v>
      </c>
      <c r="AQ88" s="717">
        <v>7</v>
      </c>
      <c r="AR88" s="717">
        <v>7</v>
      </c>
      <c r="AS88" s="717">
        <v>7</v>
      </c>
      <c r="AT88" s="717">
        <f t="shared" si="12"/>
        <v>5.0166666666666666</v>
      </c>
      <c r="AU88" s="718">
        <f>_xlfn.IFNA(VLOOKUP(A88&amp;B88,'[1]Management Report'!$F:$I,4,FALSE),0)</f>
        <v>6</v>
      </c>
      <c r="AV88" s="718"/>
    </row>
    <row r="89" spans="1:60" s="719" customFormat="1" ht="15" customHeight="1" x14ac:dyDescent="0.25">
      <c r="A89" s="703" t="s">
        <v>289</v>
      </c>
      <c r="B89" s="707" t="s">
        <v>203</v>
      </c>
      <c r="C89" s="621">
        <f t="shared" si="20"/>
        <v>4.4333333333333336</v>
      </c>
      <c r="D89" s="621">
        <f t="shared" si="9"/>
        <v>0</v>
      </c>
      <c r="E89" s="717">
        <f>SUMIF($AH$3:$AS$3,$E$2,AH89:AS146)</f>
        <v>2.5499999999999998</v>
      </c>
      <c r="F89" s="717"/>
      <c r="G89" s="717"/>
      <c r="H89" s="717">
        <v>6.0500000000000007</v>
      </c>
      <c r="I89" s="717">
        <v>5.9763157894736842</v>
      </c>
      <c r="J89" s="717">
        <v>4.5710526315789473</v>
      </c>
      <c r="K89" s="717">
        <v>4.4333333333333336</v>
      </c>
      <c r="L89" s="717"/>
      <c r="M89" s="717"/>
      <c r="N89" s="717"/>
      <c r="O89" s="717"/>
      <c r="P89" s="717"/>
      <c r="Q89" s="717"/>
      <c r="R89" s="718"/>
      <c r="S89" s="718"/>
      <c r="T89" s="717">
        <f t="shared" si="10"/>
        <v>5.2576754385964914</v>
      </c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717" t="e">
        <f t="shared" si="11"/>
        <v>#DIV/0!</v>
      </c>
      <c r="AH89" s="717">
        <v>4.71</v>
      </c>
      <c r="AI89" s="717">
        <v>4.16</v>
      </c>
      <c r="AJ89" s="717">
        <v>4.9000000000000004</v>
      </c>
      <c r="AK89" s="717">
        <v>2.5499999999999998</v>
      </c>
      <c r="AL89" s="717">
        <v>4.5999999999999996</v>
      </c>
      <c r="AM89" s="717">
        <v>6.3</v>
      </c>
      <c r="AN89" s="717">
        <v>5.25</v>
      </c>
      <c r="AO89" s="717">
        <v>6.65</v>
      </c>
      <c r="AP89" s="717">
        <v>6.55</v>
      </c>
      <c r="AQ89" s="717">
        <v>6.85</v>
      </c>
      <c r="AR89" s="717">
        <v>6.15</v>
      </c>
      <c r="AS89" s="717">
        <v>6.2</v>
      </c>
      <c r="AT89" s="717">
        <f t="shared" si="12"/>
        <v>4.5900000000000007</v>
      </c>
      <c r="AU89" s="718">
        <f>_xlfn.IFNA(VLOOKUP(A89&amp;B89,'[1]Management Report'!$F:$I,4,FALSE),0)</f>
        <v>4.4333333333333336</v>
      </c>
      <c r="AV89" s="718"/>
      <c r="AX89" s="719" t="s">
        <v>621</v>
      </c>
      <c r="AZ89" s="719">
        <v>4</v>
      </c>
      <c r="BD89" s="719" t="s">
        <v>633</v>
      </c>
      <c r="BE89" s="719">
        <v>7</v>
      </c>
      <c r="BG89" s="719" t="s">
        <v>643</v>
      </c>
      <c r="BH89" s="719">
        <v>7</v>
      </c>
    </row>
    <row r="90" spans="1:60" s="719" customFormat="1" ht="15" customHeight="1" x14ac:dyDescent="0.25">
      <c r="A90" s="703" t="s">
        <v>289</v>
      </c>
      <c r="B90" s="707" t="s">
        <v>204</v>
      </c>
      <c r="C90" s="621">
        <f t="shared" si="20"/>
        <v>0</v>
      </c>
      <c r="D90" s="621">
        <f t="shared" si="9"/>
        <v>0</v>
      </c>
      <c r="E90" s="717">
        <f>SUMIF($AH$3:$AS$3,$E$2,AH90:AS146)</f>
        <v>0</v>
      </c>
      <c r="F90" s="717"/>
      <c r="G90" s="717"/>
      <c r="H90" s="717">
        <v>0</v>
      </c>
      <c r="I90" s="717">
        <v>0</v>
      </c>
      <c r="J90" s="717">
        <v>0</v>
      </c>
      <c r="K90" s="717">
        <v>0</v>
      </c>
      <c r="L90" s="717"/>
      <c r="M90" s="717"/>
      <c r="N90" s="717"/>
      <c r="O90" s="717"/>
      <c r="P90" s="717"/>
      <c r="Q90" s="717"/>
      <c r="R90" s="718"/>
      <c r="S90" s="718"/>
      <c r="T90" s="717">
        <f t="shared" si="10"/>
        <v>0</v>
      </c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717" t="e">
        <f t="shared" si="11"/>
        <v>#DIV/0!</v>
      </c>
      <c r="AH90" s="717">
        <v>0</v>
      </c>
      <c r="AI90" s="717">
        <v>0</v>
      </c>
      <c r="AJ90" s="717">
        <v>0</v>
      </c>
      <c r="AK90" s="717">
        <v>0</v>
      </c>
      <c r="AL90" s="717">
        <v>0</v>
      </c>
      <c r="AM90" s="717">
        <v>0</v>
      </c>
      <c r="AN90" s="717">
        <v>0</v>
      </c>
      <c r="AO90" s="717">
        <v>0</v>
      </c>
      <c r="AP90" s="717">
        <v>0</v>
      </c>
      <c r="AQ90" s="717">
        <v>0</v>
      </c>
      <c r="AR90" s="717">
        <v>0</v>
      </c>
      <c r="AS90" s="717">
        <v>0</v>
      </c>
      <c r="AT90" s="717">
        <f t="shared" si="12"/>
        <v>0</v>
      </c>
      <c r="AU90" s="718">
        <f>_xlfn.IFNA(VLOOKUP(A90&amp;B90,'[1]Management Report'!$F:$I,4,FALSE),0)</f>
        <v>0</v>
      </c>
      <c r="AV90" s="718"/>
    </row>
    <row r="91" spans="1:60" s="719" customFormat="1" ht="15" customHeight="1" x14ac:dyDescent="0.25">
      <c r="A91" s="703" t="s">
        <v>290</v>
      </c>
      <c r="B91" s="707" t="s">
        <v>202</v>
      </c>
      <c r="C91" s="621">
        <f t="shared" si="20"/>
        <v>0</v>
      </c>
      <c r="D91" s="621">
        <f t="shared" si="9"/>
        <v>0</v>
      </c>
      <c r="E91" s="717">
        <f>SUMIF($AH$3:$AS$3,$E$2,AH91:AS147)</f>
        <v>0.03</v>
      </c>
      <c r="F91" s="717"/>
      <c r="G91" s="717"/>
      <c r="H91" s="717">
        <v>0</v>
      </c>
      <c r="I91" s="717">
        <v>0</v>
      </c>
      <c r="J91" s="717">
        <v>0</v>
      </c>
      <c r="K91" s="717">
        <v>0</v>
      </c>
      <c r="L91" s="717"/>
      <c r="M91" s="717"/>
      <c r="N91" s="717"/>
      <c r="O91" s="717"/>
      <c r="P91" s="717"/>
      <c r="Q91" s="717"/>
      <c r="R91" s="718"/>
      <c r="S91" s="717"/>
      <c r="T91" s="717">
        <f t="shared" si="10"/>
        <v>0</v>
      </c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717" t="e">
        <f t="shared" si="11"/>
        <v>#DIV/0!</v>
      </c>
      <c r="AH91" s="717">
        <v>0.03</v>
      </c>
      <c r="AI91" s="717">
        <v>0.03</v>
      </c>
      <c r="AJ91" s="717">
        <v>0.03</v>
      </c>
      <c r="AK91" s="717">
        <v>0.03</v>
      </c>
      <c r="AL91" s="717">
        <v>0.03</v>
      </c>
      <c r="AM91" s="717">
        <v>0.03</v>
      </c>
      <c r="AN91" s="717">
        <v>0.03</v>
      </c>
      <c r="AO91" s="717">
        <v>0.03</v>
      </c>
      <c r="AP91" s="717">
        <v>0</v>
      </c>
      <c r="AQ91" s="717">
        <v>0</v>
      </c>
      <c r="AR91" s="717">
        <v>0</v>
      </c>
      <c r="AS91" s="717">
        <v>0</v>
      </c>
      <c r="AT91" s="717">
        <f t="shared" si="12"/>
        <v>0.03</v>
      </c>
      <c r="AU91" s="718">
        <f>_xlfn.IFNA(VLOOKUP(A91&amp;B91,'[1]Management Report'!$F:$I,4,FALSE),0)</f>
        <v>0</v>
      </c>
      <c r="AV91" s="718"/>
    </row>
    <row r="92" spans="1:60" s="719" customFormat="1" ht="15" customHeight="1" x14ac:dyDescent="0.25">
      <c r="A92" s="703" t="s">
        <v>290</v>
      </c>
      <c r="B92" s="707" t="s">
        <v>203</v>
      </c>
      <c r="C92" s="621">
        <f t="shared" si="20"/>
        <v>0</v>
      </c>
      <c r="D92" s="621">
        <f t="shared" si="9"/>
        <v>0</v>
      </c>
      <c r="E92" s="717">
        <f>SUMIF($AH$3:$AS$3,$E$2,AH92:AS147)</f>
        <v>0.03</v>
      </c>
      <c r="F92" s="717"/>
      <c r="G92" s="717"/>
      <c r="H92" s="717">
        <v>0</v>
      </c>
      <c r="I92" s="717">
        <v>0</v>
      </c>
      <c r="J92" s="717">
        <v>0</v>
      </c>
      <c r="K92" s="717">
        <v>0</v>
      </c>
      <c r="L92" s="717"/>
      <c r="M92" s="717"/>
      <c r="N92" s="717"/>
      <c r="O92" s="717"/>
      <c r="P92" s="717"/>
      <c r="Q92" s="717"/>
      <c r="R92" s="718"/>
      <c r="S92" s="717"/>
      <c r="T92" s="717">
        <f t="shared" si="10"/>
        <v>0</v>
      </c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717" t="e">
        <f t="shared" si="11"/>
        <v>#DIV/0!</v>
      </c>
      <c r="AH92" s="717">
        <v>0.03</v>
      </c>
      <c r="AI92" s="717">
        <v>0.03</v>
      </c>
      <c r="AJ92" s="717">
        <v>0.03</v>
      </c>
      <c r="AK92" s="717">
        <v>0.03</v>
      </c>
      <c r="AL92" s="717">
        <v>0.03</v>
      </c>
      <c r="AM92" s="717">
        <v>0.03</v>
      </c>
      <c r="AN92" s="717">
        <v>0.03</v>
      </c>
      <c r="AO92" s="717">
        <v>0.03</v>
      </c>
      <c r="AP92" s="717">
        <v>0.03</v>
      </c>
      <c r="AQ92" s="717">
        <v>0.03</v>
      </c>
      <c r="AR92" s="717">
        <v>0.03</v>
      </c>
      <c r="AS92" s="717">
        <v>0</v>
      </c>
      <c r="AT92" s="717">
        <f t="shared" si="12"/>
        <v>0.03</v>
      </c>
      <c r="AU92" s="718">
        <f>_xlfn.IFNA(VLOOKUP(A92&amp;B92,'[1]Management Report'!$F:$I,4,FALSE),0)</f>
        <v>0</v>
      </c>
      <c r="AV92" s="718"/>
      <c r="AX92" s="719" t="s">
        <v>616</v>
      </c>
      <c r="AZ92" s="719">
        <v>5</v>
      </c>
      <c r="BD92" s="719" t="s">
        <v>634</v>
      </c>
      <c r="BE92" s="719">
        <v>8</v>
      </c>
      <c r="BG92" s="719" t="s">
        <v>644</v>
      </c>
      <c r="BH92" s="719">
        <v>8</v>
      </c>
    </row>
    <row r="93" spans="1:60" s="719" customFormat="1" ht="15" customHeight="1" x14ac:dyDescent="0.25">
      <c r="A93" s="703" t="s">
        <v>290</v>
      </c>
      <c r="B93" s="707" t="s">
        <v>204</v>
      </c>
      <c r="C93" s="621">
        <f t="shared" si="20"/>
        <v>0</v>
      </c>
      <c r="D93" s="621">
        <f t="shared" si="9"/>
        <v>0</v>
      </c>
      <c r="E93" s="717">
        <f>SUMIF($AH$3:$AS$3,$E$2,AH93:AS147)</f>
        <v>0</v>
      </c>
      <c r="F93" s="717"/>
      <c r="G93" s="717"/>
      <c r="H93" s="717">
        <v>0</v>
      </c>
      <c r="I93" s="717">
        <v>0</v>
      </c>
      <c r="J93" s="717">
        <v>0</v>
      </c>
      <c r="K93" s="717">
        <v>0</v>
      </c>
      <c r="L93" s="717"/>
      <c r="M93" s="717"/>
      <c r="N93" s="717"/>
      <c r="O93" s="717"/>
      <c r="P93" s="717"/>
      <c r="Q93" s="717"/>
      <c r="R93" s="718"/>
      <c r="S93" s="717"/>
      <c r="T93" s="717">
        <f t="shared" si="10"/>
        <v>0</v>
      </c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717" t="e">
        <f t="shared" si="11"/>
        <v>#DIV/0!</v>
      </c>
      <c r="AH93" s="717">
        <v>0</v>
      </c>
      <c r="AI93" s="717">
        <v>0</v>
      </c>
      <c r="AJ93" s="717">
        <v>0</v>
      </c>
      <c r="AK93" s="717">
        <v>0</v>
      </c>
      <c r="AL93" s="717">
        <v>0</v>
      </c>
      <c r="AM93" s="717">
        <v>0</v>
      </c>
      <c r="AN93" s="717">
        <v>0</v>
      </c>
      <c r="AO93" s="717">
        <v>0</v>
      </c>
      <c r="AP93" s="717">
        <v>0</v>
      </c>
      <c r="AQ93" s="717">
        <v>0</v>
      </c>
      <c r="AR93" s="717">
        <v>0</v>
      </c>
      <c r="AS93" s="717">
        <v>0</v>
      </c>
      <c r="AT93" s="717">
        <f t="shared" si="12"/>
        <v>0</v>
      </c>
      <c r="AU93" s="718">
        <f>_xlfn.IFNA(VLOOKUP(A93&amp;B93,'[1]Management Report'!$F:$I,4,FALSE),0)</f>
        <v>0</v>
      </c>
      <c r="AV93" s="718"/>
    </row>
    <row r="94" spans="1:60" s="719" customFormat="1" ht="15" customHeight="1" x14ac:dyDescent="0.25">
      <c r="A94" s="778" t="s">
        <v>276</v>
      </c>
      <c r="B94" s="779" t="s">
        <v>202</v>
      </c>
      <c r="C94" s="780">
        <f>SUMIF($H$3:$S$3,$C$2,H94:S94)</f>
        <v>14.419297807017545</v>
      </c>
      <c r="D94" s="780">
        <f t="shared" si="9"/>
        <v>0</v>
      </c>
      <c r="E94" s="781">
        <f>SUMIF($AH$3:$AS$3,$E$2,AH94:AS148)</f>
        <v>14.66</v>
      </c>
      <c r="F94" s="781"/>
      <c r="G94" s="781"/>
      <c r="H94" s="781">
        <f>H10+H13+H16+H19+H22</f>
        <v>14.844519078947366</v>
      </c>
      <c r="I94" s="781">
        <f t="shared" ref="I94:J95" si="27">I10+I13+I16+I19+I22</f>
        <v>15.227079605263157</v>
      </c>
      <c r="J94" s="781">
        <f>J10+J13+J16+J19+J22</f>
        <v>15.209538815789474</v>
      </c>
      <c r="K94" s="781">
        <f t="shared" ref="K94:S96" si="28">K10+K13+K16+K19+K22</f>
        <v>14.419297807017545</v>
      </c>
      <c r="L94" s="781">
        <f t="shared" si="28"/>
        <v>0</v>
      </c>
      <c r="M94" s="781">
        <f t="shared" si="28"/>
        <v>0</v>
      </c>
      <c r="N94" s="781">
        <f t="shared" si="28"/>
        <v>0</v>
      </c>
      <c r="O94" s="781">
        <f t="shared" si="28"/>
        <v>0</v>
      </c>
      <c r="P94" s="781">
        <f t="shared" si="28"/>
        <v>0</v>
      </c>
      <c r="Q94" s="781">
        <f t="shared" si="28"/>
        <v>0</v>
      </c>
      <c r="R94" s="782">
        <f>R10+R13+R16+R19+R22</f>
        <v>0</v>
      </c>
      <c r="S94" s="782">
        <f t="shared" si="28"/>
        <v>0</v>
      </c>
      <c r="T94" s="781">
        <f t="shared" si="10"/>
        <v>4.9750362755847943</v>
      </c>
      <c r="U94" s="781"/>
      <c r="V94" s="781"/>
      <c r="W94" s="781"/>
      <c r="X94" s="781"/>
      <c r="Y94" s="781"/>
      <c r="Z94" s="781"/>
      <c r="AA94" s="781"/>
      <c r="AB94" s="781"/>
      <c r="AC94" s="781"/>
      <c r="AD94" s="781"/>
      <c r="AE94" s="781"/>
      <c r="AF94" s="781"/>
      <c r="AG94" s="781" t="e">
        <f t="shared" si="11"/>
        <v>#DIV/0!</v>
      </c>
      <c r="AH94" s="781">
        <f>AH10+AH13+AH16+AH19+AH22</f>
        <v>19.060616447368421</v>
      </c>
      <c r="AI94" s="781">
        <f t="shared" ref="AI94" si="29">AI10+AI13+AI16+AI19+AI22</f>
        <v>15.41</v>
      </c>
      <c r="AJ94" s="781">
        <f>AJ10+AJ13+AJ16+AJ19+AJ22</f>
        <v>15.18</v>
      </c>
      <c r="AK94" s="781">
        <f t="shared" ref="AK94:AQ94" si="30">AK10+AK13+AK16+AK19+AK22</f>
        <v>14.66</v>
      </c>
      <c r="AL94" s="781">
        <f t="shared" si="30"/>
        <v>14.31</v>
      </c>
      <c r="AM94" s="781">
        <f t="shared" si="30"/>
        <v>15.13</v>
      </c>
      <c r="AN94" s="781">
        <f t="shared" si="30"/>
        <v>15.52</v>
      </c>
      <c r="AO94" s="781">
        <f t="shared" si="30"/>
        <v>14.1</v>
      </c>
      <c r="AP94" s="781">
        <f t="shared" si="30"/>
        <v>14.05</v>
      </c>
      <c r="AQ94" s="781">
        <f t="shared" si="30"/>
        <v>14.44</v>
      </c>
      <c r="AR94" s="781">
        <f>AR10+AR13+AR16+AR19+AR22</f>
        <v>13.6</v>
      </c>
      <c r="AS94" s="781">
        <f t="shared" ref="AS94:AS96" si="31">AS10+AS13+AS16+AS19+AS22</f>
        <v>15.073774342105263</v>
      </c>
      <c r="AT94" s="781">
        <f t="shared" ref="AT94:AT99" si="32">IFERROR(AVERAGEIF($H$1:$S$1,$T$1,AH94:AS94),0)</f>
        <v>15.044532565789472</v>
      </c>
      <c r="AU94" s="718"/>
      <c r="AV94" s="718"/>
    </row>
    <row r="95" spans="1:60" s="719" customFormat="1" ht="15" customHeight="1" x14ac:dyDescent="0.25">
      <c r="A95" s="778" t="s">
        <v>276</v>
      </c>
      <c r="B95" s="779" t="s">
        <v>203</v>
      </c>
      <c r="C95" s="780">
        <f t="shared" si="20"/>
        <v>9.4692978070175435</v>
      </c>
      <c r="D95" s="780">
        <f t="shared" si="9"/>
        <v>0</v>
      </c>
      <c r="E95" s="781">
        <f>SUMIF($AH$3:$AS$3,$E$2,AH95:AS148)</f>
        <v>10.55</v>
      </c>
      <c r="F95" s="781"/>
      <c r="G95" s="781"/>
      <c r="H95" s="781">
        <f t="shared" ref="H95:I96" si="33">H11+H14+H17+H20+H23</f>
        <v>12.971163815789474</v>
      </c>
      <c r="I95" s="781">
        <f t="shared" si="33"/>
        <v>14.567869078947368</v>
      </c>
      <c r="J95" s="781">
        <f t="shared" si="27"/>
        <v>14.164801973684211</v>
      </c>
      <c r="K95" s="781">
        <f t="shared" si="28"/>
        <v>9.4692978070175435</v>
      </c>
      <c r="L95" s="781">
        <f t="shared" si="28"/>
        <v>0</v>
      </c>
      <c r="M95" s="781">
        <f t="shared" si="28"/>
        <v>0</v>
      </c>
      <c r="N95" s="781">
        <f t="shared" si="28"/>
        <v>0</v>
      </c>
      <c r="O95" s="781">
        <f t="shared" si="28"/>
        <v>0</v>
      </c>
      <c r="P95" s="781">
        <f t="shared" si="28"/>
        <v>0</v>
      </c>
      <c r="Q95" s="781">
        <f t="shared" si="28"/>
        <v>0</v>
      </c>
      <c r="R95" s="782">
        <f t="shared" si="28"/>
        <v>0</v>
      </c>
      <c r="S95" s="782">
        <f t="shared" ref="S95" si="34">S11+S14+S17+S20+S23</f>
        <v>0</v>
      </c>
      <c r="T95" s="781">
        <f t="shared" si="10"/>
        <v>4.2644277229532159</v>
      </c>
      <c r="U95" s="781"/>
      <c r="V95" s="781"/>
      <c r="W95" s="781"/>
      <c r="X95" s="781"/>
      <c r="Y95" s="781"/>
      <c r="Z95" s="781"/>
      <c r="AA95" s="781"/>
      <c r="AB95" s="781"/>
      <c r="AC95" s="781"/>
      <c r="AD95" s="781"/>
      <c r="AE95" s="781"/>
      <c r="AF95" s="781"/>
      <c r="AG95" s="781" t="e">
        <f t="shared" si="11"/>
        <v>#DIV/0!</v>
      </c>
      <c r="AH95" s="781">
        <f t="shared" ref="AH95:AR95" si="35">AH11+AH14+AH17+AH20+AH23</f>
        <v>16.648814473684212</v>
      </c>
      <c r="AI95" s="781">
        <f t="shared" si="35"/>
        <v>14.61</v>
      </c>
      <c r="AJ95" s="781">
        <f t="shared" si="35"/>
        <v>12.72</v>
      </c>
      <c r="AK95" s="781">
        <f t="shared" si="35"/>
        <v>10.55</v>
      </c>
      <c r="AL95" s="781">
        <f t="shared" si="35"/>
        <v>11.66</v>
      </c>
      <c r="AM95" s="781">
        <f t="shared" si="35"/>
        <v>13.77</v>
      </c>
      <c r="AN95" s="781">
        <f t="shared" si="35"/>
        <v>10.9</v>
      </c>
      <c r="AO95" s="781">
        <f t="shared" si="35"/>
        <v>12.78</v>
      </c>
      <c r="AP95" s="781">
        <f t="shared" si="35"/>
        <v>12.24</v>
      </c>
      <c r="AQ95" s="781">
        <f t="shared" si="35"/>
        <v>12.620000000000001</v>
      </c>
      <c r="AR95" s="781">
        <f t="shared" si="35"/>
        <v>12.41</v>
      </c>
      <c r="AS95" s="781">
        <f t="shared" si="31"/>
        <v>13.602721710526316</v>
      </c>
      <c r="AT95" s="781">
        <f t="shared" si="32"/>
        <v>12.875961348684209</v>
      </c>
      <c r="AU95" s="718"/>
      <c r="AV95" s="718"/>
      <c r="AX95" s="719" t="s">
        <v>617</v>
      </c>
      <c r="AZ95" s="719">
        <v>6</v>
      </c>
      <c r="BD95" s="719" t="s">
        <v>635</v>
      </c>
      <c r="BE95" s="719">
        <v>9</v>
      </c>
      <c r="BG95" s="719" t="s">
        <v>645</v>
      </c>
      <c r="BH95" s="719">
        <v>9</v>
      </c>
    </row>
    <row r="96" spans="1:60" s="719" customFormat="1" ht="15" customHeight="1" x14ac:dyDescent="0.25">
      <c r="A96" s="778" t="s">
        <v>276</v>
      </c>
      <c r="B96" s="779" t="s">
        <v>204</v>
      </c>
      <c r="C96" s="780">
        <f t="shared" si="20"/>
        <v>0.67543859649122806</v>
      </c>
      <c r="D96" s="780">
        <f t="shared" si="9"/>
        <v>0</v>
      </c>
      <c r="E96" s="781">
        <f>SUMIF($AH$3:$AS$3,$E$2,AH96:AS148)</f>
        <v>0.27</v>
      </c>
      <c r="F96" s="781"/>
      <c r="G96" s="781"/>
      <c r="H96" s="781">
        <f t="shared" si="33"/>
        <v>0.47291776315789469</v>
      </c>
      <c r="I96" s="781">
        <f t="shared" si="33"/>
        <v>0.46743092105263162</v>
      </c>
      <c r="J96" s="781">
        <f>J12+J15+J18+J21+J24</f>
        <v>0.55328750000000004</v>
      </c>
      <c r="K96" s="781">
        <f t="shared" si="28"/>
        <v>0.67543859649122806</v>
      </c>
      <c r="L96" s="781">
        <f t="shared" si="28"/>
        <v>0</v>
      </c>
      <c r="M96" s="781">
        <f t="shared" si="28"/>
        <v>0</v>
      </c>
      <c r="N96" s="781">
        <f t="shared" si="28"/>
        <v>0</v>
      </c>
      <c r="O96" s="781">
        <f t="shared" si="28"/>
        <v>0</v>
      </c>
      <c r="P96" s="781">
        <f t="shared" si="28"/>
        <v>0</v>
      </c>
      <c r="Q96" s="781">
        <f t="shared" si="28"/>
        <v>0</v>
      </c>
      <c r="R96" s="782">
        <f t="shared" si="28"/>
        <v>0</v>
      </c>
      <c r="S96" s="782">
        <f t="shared" ref="S96" si="36">S12+S15+S18+S21+S24</f>
        <v>0</v>
      </c>
      <c r="T96" s="781">
        <f t="shared" si="10"/>
        <v>0.18075623172514621</v>
      </c>
      <c r="U96" s="783"/>
      <c r="V96" s="783"/>
      <c r="W96" s="783"/>
      <c r="X96" s="783"/>
      <c r="Y96" s="783"/>
      <c r="Z96" s="783"/>
      <c r="AA96" s="783"/>
      <c r="AB96" s="783"/>
      <c r="AC96" s="783"/>
      <c r="AD96" s="783"/>
      <c r="AE96" s="783"/>
      <c r="AF96" s="783"/>
      <c r="AG96" s="781" t="e">
        <f t="shared" si="11"/>
        <v>#DIV/0!</v>
      </c>
      <c r="AH96" s="781">
        <f t="shared" ref="AH96:AI96" si="37">AH12+AH15+AH18+AH21+AH24</f>
        <v>0.82688552631578938</v>
      </c>
      <c r="AI96" s="781">
        <f t="shared" si="37"/>
        <v>0.52</v>
      </c>
      <c r="AJ96" s="781">
        <f>AJ12+AJ15+AJ18+AJ21+AJ24</f>
        <v>0.32</v>
      </c>
      <c r="AK96" s="781">
        <f t="shared" ref="AK96:AR96" si="38">AK12+AK15+AK18+AK21+AK24</f>
        <v>0.27</v>
      </c>
      <c r="AL96" s="781">
        <f t="shared" si="38"/>
        <v>0.29000000000000004</v>
      </c>
      <c r="AM96" s="781">
        <f t="shared" si="38"/>
        <v>0.5</v>
      </c>
      <c r="AN96" s="781">
        <f t="shared" si="38"/>
        <v>0.72</v>
      </c>
      <c r="AO96" s="781">
        <f t="shared" si="38"/>
        <v>0.54</v>
      </c>
      <c r="AP96" s="781">
        <f t="shared" si="38"/>
        <v>1.01</v>
      </c>
      <c r="AQ96" s="781">
        <f t="shared" si="38"/>
        <v>1.23</v>
      </c>
      <c r="AR96" s="781">
        <f t="shared" si="38"/>
        <v>0.91</v>
      </c>
      <c r="AS96" s="781">
        <f t="shared" si="31"/>
        <v>0.91173355263157885</v>
      </c>
      <c r="AT96" s="781">
        <f t="shared" si="32"/>
        <v>0.67071825657894735</v>
      </c>
      <c r="AU96" s="718"/>
      <c r="AV96" s="718"/>
    </row>
    <row r="97" spans="1:57" s="719" customFormat="1" ht="15" customHeight="1" x14ac:dyDescent="0.25">
      <c r="A97" s="778" t="s">
        <v>266</v>
      </c>
      <c r="B97" s="779" t="s">
        <v>202</v>
      </c>
      <c r="C97" s="780">
        <f t="shared" si="20"/>
        <v>76.598464473684217</v>
      </c>
      <c r="D97" s="780">
        <f t="shared" si="9"/>
        <v>0</v>
      </c>
      <c r="E97" s="781">
        <f>SUMIF($AH$3:$AS$3,$E$2,AH97:AS149)</f>
        <v>74.962999999999994</v>
      </c>
      <c r="F97" s="781"/>
      <c r="G97" s="781"/>
      <c r="H97" s="781">
        <f>H25+H28+H31+H34+H37</f>
        <v>79.154925657894722</v>
      </c>
      <c r="I97" s="781">
        <f t="shared" ref="I97:R99" si="39">I25+I28+I31+I34+I37</f>
        <v>75.769728289473676</v>
      </c>
      <c r="J97" s="781">
        <f t="shared" si="39"/>
        <v>79.043390131578946</v>
      </c>
      <c r="K97" s="781">
        <f>K25+K28+K31+K34+K37</f>
        <v>76.598464473684217</v>
      </c>
      <c r="L97" s="781">
        <f t="shared" ref="L97:R97" si="40">L25+L28+L31+L34+L37</f>
        <v>0</v>
      </c>
      <c r="M97" s="781">
        <f t="shared" si="40"/>
        <v>0</v>
      </c>
      <c r="N97" s="781">
        <f t="shared" si="40"/>
        <v>0</v>
      </c>
      <c r="O97" s="781">
        <f t="shared" si="40"/>
        <v>0</v>
      </c>
      <c r="P97" s="781">
        <f t="shared" si="40"/>
        <v>0</v>
      </c>
      <c r="Q97" s="781">
        <f t="shared" si="40"/>
        <v>0</v>
      </c>
      <c r="R97" s="782">
        <f t="shared" si="40"/>
        <v>0</v>
      </c>
      <c r="S97" s="782">
        <f t="shared" ref="S97" si="41">S25+S28+S31+S34+S37</f>
        <v>0</v>
      </c>
      <c r="T97" s="781">
        <f t="shared" si="10"/>
        <v>25.880542379385961</v>
      </c>
      <c r="U97" s="781"/>
      <c r="V97" s="781"/>
      <c r="W97" s="781"/>
      <c r="X97" s="781"/>
      <c r="Y97" s="781"/>
      <c r="Z97" s="781"/>
      <c r="AA97" s="781"/>
      <c r="AB97" s="781"/>
      <c r="AC97" s="781"/>
      <c r="AD97" s="781"/>
      <c r="AE97" s="781"/>
      <c r="AF97" s="781"/>
      <c r="AG97" s="781" t="e">
        <f t="shared" si="11"/>
        <v>#DIV/0!</v>
      </c>
      <c r="AH97" s="781">
        <f>AH25+AH28+AH31+AH34+AH37</f>
        <v>73.367000000000004</v>
      </c>
      <c r="AI97" s="781">
        <f t="shared" ref="AI97:AJ97" si="42">AI25+AI28+AI31+AI34+AI37</f>
        <v>75.215999999999994</v>
      </c>
      <c r="AJ97" s="781">
        <f t="shared" si="42"/>
        <v>77.012</v>
      </c>
      <c r="AK97" s="781">
        <f>AK25+AK28+AK31+AK34+AK37</f>
        <v>74.962999999999994</v>
      </c>
      <c r="AL97" s="781">
        <f t="shared" ref="AL97:AS99" si="43">AL25+AL28+AL31+AL34+AL37</f>
        <v>77.579000000000008</v>
      </c>
      <c r="AM97" s="781">
        <f t="shared" si="43"/>
        <v>74.867000000000004</v>
      </c>
      <c r="AN97" s="781">
        <f t="shared" si="43"/>
        <v>77.850999999999999</v>
      </c>
      <c r="AO97" s="781">
        <f t="shared" si="43"/>
        <v>74.42</v>
      </c>
      <c r="AP97" s="781">
        <f t="shared" si="43"/>
        <v>75.536999999999992</v>
      </c>
      <c r="AQ97" s="781">
        <f t="shared" si="43"/>
        <v>78.652999999999992</v>
      </c>
      <c r="AR97" s="781">
        <f t="shared" si="43"/>
        <v>78.180000000000007</v>
      </c>
      <c r="AS97" s="781">
        <f t="shared" si="43"/>
        <v>79.377195394736844</v>
      </c>
      <c r="AT97" s="781">
        <f t="shared" si="32"/>
        <v>76.418516282894743</v>
      </c>
      <c r="AU97" s="718"/>
      <c r="AV97" s="718"/>
      <c r="AW97" s="722"/>
    </row>
    <row r="98" spans="1:57" s="719" customFormat="1" ht="15" customHeight="1" x14ac:dyDescent="0.25">
      <c r="A98" s="778" t="s">
        <v>266</v>
      </c>
      <c r="B98" s="779" t="s">
        <v>203</v>
      </c>
      <c r="C98" s="780">
        <f t="shared" si="20"/>
        <v>57.879092982456129</v>
      </c>
      <c r="D98" s="780">
        <f t="shared" si="9"/>
        <v>0</v>
      </c>
      <c r="E98" s="781">
        <f>SUMIF($AH$3:$AS$3,$E$2,AH98:AS149)</f>
        <v>47.6</v>
      </c>
      <c r="F98" s="781"/>
      <c r="G98" s="781"/>
      <c r="H98" s="781">
        <f t="shared" ref="H98:I99" si="44">H26+H29+H32+H35+H38</f>
        <v>71.240342105263153</v>
      </c>
      <c r="I98" s="781">
        <f t="shared" si="44"/>
        <v>69.306570394736838</v>
      </c>
      <c r="J98" s="781">
        <f t="shared" si="39"/>
        <v>69.355480263157887</v>
      </c>
      <c r="K98" s="781">
        <f t="shared" si="39"/>
        <v>57.879092982456129</v>
      </c>
      <c r="L98" s="781">
        <f t="shared" si="39"/>
        <v>0</v>
      </c>
      <c r="M98" s="781">
        <f t="shared" si="39"/>
        <v>0</v>
      </c>
      <c r="N98" s="781">
        <f t="shared" si="39"/>
        <v>0</v>
      </c>
      <c r="O98" s="781">
        <f>O26+O29+O32+O35+O38</f>
        <v>0</v>
      </c>
      <c r="P98" s="781">
        <f t="shared" si="39"/>
        <v>0</v>
      </c>
      <c r="Q98" s="781">
        <f t="shared" si="39"/>
        <v>0</v>
      </c>
      <c r="R98" s="782">
        <f t="shared" si="39"/>
        <v>0</v>
      </c>
      <c r="S98" s="782">
        <f t="shared" ref="S98" si="45">S26+S29+S32+S35+S38</f>
        <v>0</v>
      </c>
      <c r="T98" s="781">
        <f t="shared" si="10"/>
        <v>22.315123812134502</v>
      </c>
      <c r="U98" s="781"/>
      <c r="V98" s="781"/>
      <c r="W98" s="781"/>
      <c r="X98" s="781"/>
      <c r="Y98" s="781"/>
      <c r="Z98" s="781"/>
      <c r="AA98" s="781"/>
      <c r="AB98" s="781"/>
      <c r="AC98" s="781"/>
      <c r="AD98" s="781"/>
      <c r="AE98" s="781"/>
      <c r="AF98" s="781"/>
      <c r="AG98" s="781" t="e">
        <f t="shared" si="11"/>
        <v>#DIV/0!</v>
      </c>
      <c r="AH98" s="781">
        <f t="shared" ref="AH98:AN98" si="46">AH26+AH29+AH32+AH35+AH38</f>
        <v>63.569999999999993</v>
      </c>
      <c r="AI98" s="781">
        <f t="shared" si="46"/>
        <v>65.39</v>
      </c>
      <c r="AJ98" s="781">
        <f t="shared" si="46"/>
        <v>58.66</v>
      </c>
      <c r="AK98" s="781">
        <f t="shared" si="46"/>
        <v>47.6</v>
      </c>
      <c r="AL98" s="781">
        <f t="shared" si="46"/>
        <v>66.37</v>
      </c>
      <c r="AM98" s="781">
        <f t="shared" si="46"/>
        <v>66.33</v>
      </c>
      <c r="AN98" s="781">
        <f t="shared" si="46"/>
        <v>60.87</v>
      </c>
      <c r="AO98" s="781">
        <f>AO26+AO29+AO32+AO35+AO38</f>
        <v>65.78</v>
      </c>
      <c r="AP98" s="781">
        <f t="shared" ref="AP98:AR98" si="47">AP26+AP29+AP32+AP35+AP38</f>
        <v>66.64</v>
      </c>
      <c r="AQ98" s="781">
        <f t="shared" si="47"/>
        <v>70.849999999999994</v>
      </c>
      <c r="AR98" s="781">
        <f t="shared" si="47"/>
        <v>72.23</v>
      </c>
      <c r="AS98" s="781">
        <f t="shared" si="43"/>
        <v>69.086076973684214</v>
      </c>
      <c r="AT98" s="781">
        <f t="shared" si="32"/>
        <v>64.448006414473682</v>
      </c>
      <c r="AU98" s="718"/>
      <c r="AV98" s="718"/>
      <c r="AX98" s="719" t="s">
        <v>618</v>
      </c>
      <c r="AZ98" s="719">
        <v>7</v>
      </c>
      <c r="BD98" s="719" t="s">
        <v>636</v>
      </c>
      <c r="BE98" s="719">
        <v>10</v>
      </c>
    </row>
    <row r="99" spans="1:57" s="719" customFormat="1" ht="15" customHeight="1" x14ac:dyDescent="0.25">
      <c r="A99" s="778" t="s">
        <v>266</v>
      </c>
      <c r="B99" s="779" t="s">
        <v>204</v>
      </c>
      <c r="C99" s="780">
        <f>SUMIF($H$3:$S$3,$C$2,H99:S99)</f>
        <v>5.6875736842105269</v>
      </c>
      <c r="D99" s="780">
        <f t="shared" si="9"/>
        <v>0</v>
      </c>
      <c r="E99" s="781">
        <f>SUMIF($AH$3:$AS$3,$E$2,AH99:AS149)</f>
        <v>2.7170000000000001</v>
      </c>
      <c r="F99" s="781"/>
      <c r="G99" s="781"/>
      <c r="H99" s="781">
        <f t="shared" si="44"/>
        <v>5.2070078947368419</v>
      </c>
      <c r="I99" s="781">
        <f t="shared" si="44"/>
        <v>5.8222546052631587</v>
      </c>
      <c r="J99" s="781">
        <f>J27+J30+J33+J36+J39</f>
        <v>6.5656776315789482</v>
      </c>
      <c r="K99" s="781">
        <f t="shared" si="39"/>
        <v>5.6875736842105269</v>
      </c>
      <c r="L99" s="781">
        <f t="shared" si="39"/>
        <v>0</v>
      </c>
      <c r="M99" s="781">
        <f t="shared" si="39"/>
        <v>0</v>
      </c>
      <c r="N99" s="781">
        <f t="shared" si="39"/>
        <v>0</v>
      </c>
      <c r="O99" s="781">
        <f t="shared" si="39"/>
        <v>0</v>
      </c>
      <c r="P99" s="781">
        <f t="shared" si="39"/>
        <v>0</v>
      </c>
      <c r="Q99" s="781">
        <f t="shared" si="39"/>
        <v>0</v>
      </c>
      <c r="R99" s="782">
        <f t="shared" si="39"/>
        <v>0</v>
      </c>
      <c r="S99" s="782">
        <f t="shared" ref="S99" si="48">S27+S30+S33+S36+S39</f>
        <v>0</v>
      </c>
      <c r="T99" s="781">
        <f t="shared" si="10"/>
        <v>1.9402094846491231</v>
      </c>
      <c r="U99" s="783"/>
      <c r="V99" s="783"/>
      <c r="W99" s="783"/>
      <c r="X99" s="783"/>
      <c r="Y99" s="783"/>
      <c r="Z99" s="783"/>
      <c r="AA99" s="783"/>
      <c r="AB99" s="783"/>
      <c r="AC99" s="783"/>
      <c r="AD99" s="783"/>
      <c r="AE99" s="783"/>
      <c r="AF99" s="783"/>
      <c r="AG99" s="781" t="e">
        <f t="shared" si="11"/>
        <v>#DIV/0!</v>
      </c>
      <c r="AH99" s="781">
        <f t="shared" ref="AH99:AI99" si="49">AH27+AH30+AH33+AH36+AH39</f>
        <v>2.4220000000000002</v>
      </c>
      <c r="AI99" s="781">
        <f t="shared" si="49"/>
        <v>4.2919999999999998</v>
      </c>
      <c r="AJ99" s="781">
        <f>AJ27+AJ30+AJ33+AJ36+AJ39</f>
        <v>3.0720000000000001</v>
      </c>
      <c r="AK99" s="781">
        <f t="shared" ref="AK99:AR99" si="50">AK27+AK30+AK33+AK36+AK39</f>
        <v>2.7170000000000001</v>
      </c>
      <c r="AL99" s="781">
        <f t="shared" si="50"/>
        <v>2.7119999999999997</v>
      </c>
      <c r="AM99" s="781">
        <f t="shared" si="50"/>
        <v>2.3010000000000002</v>
      </c>
      <c r="AN99" s="781">
        <f t="shared" si="50"/>
        <v>5.0999999999999996</v>
      </c>
      <c r="AO99" s="781">
        <f t="shared" si="50"/>
        <v>4.2040000000000006</v>
      </c>
      <c r="AP99" s="781">
        <f t="shared" si="50"/>
        <v>4.4000000000000004</v>
      </c>
      <c r="AQ99" s="781">
        <f t="shared" si="50"/>
        <v>5.4589999999999996</v>
      </c>
      <c r="AR99" s="781">
        <f t="shared" si="50"/>
        <v>5.3719999999999999</v>
      </c>
      <c r="AS99" s="781">
        <f t="shared" si="43"/>
        <v>6.223356578947369</v>
      </c>
      <c r="AT99" s="781">
        <f t="shared" si="32"/>
        <v>4.0228630482456138</v>
      </c>
      <c r="AU99" s="718"/>
      <c r="AV99" s="718"/>
    </row>
    <row r="100" spans="1:57" s="719" customFormat="1" ht="15" customHeight="1" x14ac:dyDescent="0.25">
      <c r="A100" s="703" t="s">
        <v>294</v>
      </c>
      <c r="B100" s="707" t="s">
        <v>202</v>
      </c>
      <c r="C100" s="621">
        <f t="shared" ref="C100:C102" si="51">SUMIF($H$3:$S$3,$C$2,H100:S100)</f>
        <v>1</v>
      </c>
      <c r="D100" s="621">
        <f t="shared" si="9"/>
        <v>0</v>
      </c>
      <c r="E100" s="717">
        <f>SUMIF($AH$3:$AS$3,$E$2,AH100:AS150)</f>
        <v>1</v>
      </c>
      <c r="F100" s="717"/>
      <c r="G100" s="717"/>
      <c r="H100" s="717">
        <v>1</v>
      </c>
      <c r="I100" s="717">
        <v>1</v>
      </c>
      <c r="J100" s="717">
        <v>1</v>
      </c>
      <c r="K100" s="717">
        <v>1</v>
      </c>
      <c r="L100" s="717"/>
      <c r="M100" s="717"/>
      <c r="N100" s="717"/>
      <c r="O100" s="717"/>
      <c r="P100" s="717"/>
      <c r="Q100" s="717"/>
      <c r="R100" s="718"/>
      <c r="S100" s="718"/>
      <c r="T100" s="717">
        <f t="shared" si="10"/>
        <v>1</v>
      </c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717" t="e">
        <f t="shared" si="11"/>
        <v>#DIV/0!</v>
      </c>
      <c r="AH100" s="717">
        <v>1</v>
      </c>
      <c r="AI100" s="717">
        <v>1</v>
      </c>
      <c r="AJ100" s="717">
        <v>1</v>
      </c>
      <c r="AK100" s="717">
        <v>1</v>
      </c>
      <c r="AL100" s="717">
        <v>1</v>
      </c>
      <c r="AM100" s="717">
        <v>1</v>
      </c>
      <c r="AN100" s="717">
        <v>1</v>
      </c>
      <c r="AO100" s="717">
        <v>1</v>
      </c>
      <c r="AP100" s="717">
        <v>1</v>
      </c>
      <c r="AQ100" s="717">
        <v>1</v>
      </c>
      <c r="AR100" s="717">
        <v>1</v>
      </c>
      <c r="AS100" s="717">
        <v>1</v>
      </c>
      <c r="AT100" s="717">
        <f t="shared" si="12"/>
        <v>1</v>
      </c>
      <c r="AU100" s="718">
        <f>_xlfn.IFNA(VLOOKUP(A100&amp;B100,'[1]Management Report'!$F:$I,4,FALSE),0)</f>
        <v>1</v>
      </c>
      <c r="AV100" s="718"/>
    </row>
    <row r="101" spans="1:57" s="719" customFormat="1" ht="15" customHeight="1" x14ac:dyDescent="0.25">
      <c r="A101" s="703" t="s">
        <v>294</v>
      </c>
      <c r="B101" s="707" t="s">
        <v>203</v>
      </c>
      <c r="C101" s="621">
        <f t="shared" si="51"/>
        <v>0.76666666666666672</v>
      </c>
      <c r="D101" s="621">
        <f t="shared" si="9"/>
        <v>0</v>
      </c>
      <c r="E101" s="717">
        <f>SUMIF($AH$3:$AS$3,$E$2,AH101:AS150)</f>
        <v>0.82</v>
      </c>
      <c r="F101" s="717"/>
      <c r="G101" s="717"/>
      <c r="H101" s="717">
        <v>0.9</v>
      </c>
      <c r="I101" s="717">
        <v>0.75</v>
      </c>
      <c r="J101" s="717">
        <v>0.81710526315789478</v>
      </c>
      <c r="K101" s="717">
        <v>0.76666666666666672</v>
      </c>
      <c r="L101" s="717"/>
      <c r="M101" s="717"/>
      <c r="N101" s="717"/>
      <c r="O101" s="717"/>
      <c r="P101" s="717"/>
      <c r="Q101" s="717"/>
      <c r="R101" s="718"/>
      <c r="S101" s="718"/>
      <c r="T101" s="717">
        <f t="shared" si="10"/>
        <v>0.80844298245614032</v>
      </c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717" t="e">
        <f t="shared" si="11"/>
        <v>#DIV/0!</v>
      </c>
      <c r="AH101" s="717">
        <v>0.81</v>
      </c>
      <c r="AI101" s="717">
        <v>0.87</v>
      </c>
      <c r="AJ101" s="717">
        <v>0.61</v>
      </c>
      <c r="AK101" s="717">
        <v>0.82</v>
      </c>
      <c r="AL101" s="717">
        <v>0.82</v>
      </c>
      <c r="AM101" s="717">
        <v>0.85</v>
      </c>
      <c r="AN101" s="717">
        <v>0.75</v>
      </c>
      <c r="AO101" s="717">
        <v>0.9</v>
      </c>
      <c r="AP101" s="717">
        <v>0.8</v>
      </c>
      <c r="AQ101" s="717">
        <v>0.95</v>
      </c>
      <c r="AR101" s="717">
        <v>0.98</v>
      </c>
      <c r="AS101" s="717">
        <v>0.73026315789473684</v>
      </c>
      <c r="AT101" s="717">
        <f t="shared" si="12"/>
        <v>0.76333333333333331</v>
      </c>
      <c r="AU101" s="718">
        <f>_xlfn.IFNA(VLOOKUP(A101&amp;B101,'[1]Management Report'!$F:$I,4,FALSE),0)</f>
        <v>0.76666666666666672</v>
      </c>
      <c r="AV101" s="718"/>
      <c r="AX101" s="719" t="s">
        <v>619</v>
      </c>
      <c r="AZ101" s="719">
        <v>8</v>
      </c>
    </row>
    <row r="102" spans="1:57" s="719" customFormat="1" ht="15" customHeight="1" x14ac:dyDescent="0.25">
      <c r="A102" s="703" t="s">
        <v>294</v>
      </c>
      <c r="B102" s="707" t="s">
        <v>204</v>
      </c>
      <c r="C102" s="621">
        <f t="shared" si="51"/>
        <v>0</v>
      </c>
      <c r="D102" s="621">
        <f t="shared" si="9"/>
        <v>0</v>
      </c>
      <c r="E102" s="717">
        <f>SUMIF($AH$3:$AS$3,$E$2,AH102:AS150)</f>
        <v>0</v>
      </c>
      <c r="F102" s="717"/>
      <c r="G102" s="717"/>
      <c r="H102" s="717">
        <v>0</v>
      </c>
      <c r="I102" s="717">
        <v>0</v>
      </c>
      <c r="J102" s="717">
        <v>0</v>
      </c>
      <c r="K102" s="717">
        <v>0</v>
      </c>
      <c r="L102" s="717"/>
      <c r="M102" s="717"/>
      <c r="N102" s="717"/>
      <c r="O102" s="717"/>
      <c r="P102" s="717"/>
      <c r="Q102" s="717"/>
      <c r="R102" s="718"/>
      <c r="S102" s="718"/>
      <c r="T102" s="717">
        <f t="shared" si="10"/>
        <v>0</v>
      </c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717" t="e">
        <f t="shared" si="11"/>
        <v>#DIV/0!</v>
      </c>
      <c r="AH102" s="717">
        <v>0</v>
      </c>
      <c r="AI102" s="717">
        <v>0</v>
      </c>
      <c r="AJ102" s="717">
        <v>0</v>
      </c>
      <c r="AK102" s="717">
        <v>0</v>
      </c>
      <c r="AL102" s="717">
        <v>0</v>
      </c>
      <c r="AM102" s="717">
        <v>0</v>
      </c>
      <c r="AN102" s="717">
        <v>0</v>
      </c>
      <c r="AO102" s="717">
        <v>0</v>
      </c>
      <c r="AP102" s="717">
        <v>0</v>
      </c>
      <c r="AQ102" s="717">
        <v>0</v>
      </c>
      <c r="AR102" s="717">
        <v>0</v>
      </c>
      <c r="AS102" s="717">
        <v>0</v>
      </c>
      <c r="AT102" s="717">
        <f t="shared" si="12"/>
        <v>0</v>
      </c>
      <c r="AU102" s="718">
        <f>_xlfn.IFNA(VLOOKUP(A102&amp;B102,'[1]Management Report'!$F:$I,4,FALSE),0)</f>
        <v>0</v>
      </c>
      <c r="AV102" s="718"/>
    </row>
    <row r="103" spans="1:57" x14ac:dyDescent="0.25">
      <c r="C103" s="709"/>
      <c r="D103" s="709"/>
      <c r="E103" s="709"/>
      <c r="F103" s="709"/>
      <c r="G103" s="709"/>
      <c r="H103" s="709"/>
      <c r="I103" s="709"/>
      <c r="J103" s="709"/>
      <c r="K103" s="709"/>
      <c r="L103" s="709"/>
      <c r="M103" s="709"/>
      <c r="N103" s="709"/>
      <c r="O103" s="709"/>
      <c r="P103" s="709"/>
      <c r="Q103" s="709"/>
      <c r="R103" s="709"/>
      <c r="S103" s="723"/>
      <c r="U103" s="709"/>
      <c r="V103" s="709"/>
      <c r="W103" s="709"/>
      <c r="X103" s="709"/>
      <c r="Y103" s="709"/>
      <c r="Z103" s="709"/>
      <c r="AA103" s="709"/>
      <c r="AB103" s="709"/>
      <c r="AC103" s="709"/>
      <c r="AD103" s="709"/>
      <c r="AE103" s="709"/>
      <c r="AF103" s="709"/>
      <c r="AG103" s="709" t="e">
        <f>+AG88+AG91+AG94+AG97</f>
        <v>#DIV/0!</v>
      </c>
      <c r="AH103" s="709"/>
      <c r="AI103" s="709"/>
      <c r="AJ103" s="709"/>
      <c r="AK103" s="709"/>
      <c r="AL103" s="709"/>
      <c r="AM103" s="709"/>
      <c r="AN103" s="709"/>
      <c r="AO103" s="709"/>
      <c r="AP103" s="709"/>
      <c r="AQ103" s="709"/>
      <c r="AR103" s="709"/>
      <c r="AS103" s="709"/>
      <c r="AT103" s="709"/>
      <c r="AV103" s="718"/>
      <c r="AX103" s="708" t="s">
        <v>646</v>
      </c>
      <c r="AZ103" s="708">
        <v>9</v>
      </c>
    </row>
    <row r="104" spans="1:57" s="719" customFormat="1" hidden="1" outlineLevel="1" x14ac:dyDescent="0.25">
      <c r="A104" s="724" t="s">
        <v>439</v>
      </c>
      <c r="B104" s="725" t="e">
        <f>+B100+B91+B88+B82+B79+B76+B73+B64+B61+B58+B55+B52+B46+B43+B40+B37+B34+B31+B28+B25+B22+B10</f>
        <v>#VALUE!</v>
      </c>
      <c r="C104" s="725"/>
      <c r="D104" s="725"/>
      <c r="E104" s="725"/>
      <c r="F104" s="725"/>
      <c r="G104" s="725"/>
      <c r="H104" s="725">
        <f t="shared" ref="H104:J106" si="52">+H100+H91+H88+H82+H79+H76+H73+H64+H61+H58+H55+H52+H46+H43+H40+H37+H34+H31+H28+H25+H22+H10</f>
        <v>136.95207631578947</v>
      </c>
      <c r="I104" s="725">
        <f t="shared" si="52"/>
        <v>133.19834342105261</v>
      </c>
      <c r="J104" s="725">
        <f t="shared" si="52"/>
        <v>134.28187631578948</v>
      </c>
      <c r="K104" s="725"/>
      <c r="L104" s="725"/>
      <c r="M104" s="725"/>
      <c r="N104" s="725">
        <f t="shared" ref="N104:Q106" si="53">+N100+N91+N88+N82+N79+N76+N73+N64+N61+N58+N55+N52+N46+N43+N40+N37+N34+N31+N28+N25+N22+N10</f>
        <v>0</v>
      </c>
      <c r="O104" s="725">
        <f t="shared" si="53"/>
        <v>0</v>
      </c>
      <c r="P104" s="725">
        <f t="shared" si="53"/>
        <v>0</v>
      </c>
      <c r="Q104" s="725">
        <f t="shared" si="53"/>
        <v>0</v>
      </c>
      <c r="R104" s="717"/>
      <c r="S104" s="718"/>
      <c r="T104" s="725">
        <f>+T100+T91+T88+T82+T79+T76+T73+T64+T61+T58+T55+T52+T46+T43+T40+T37+T34+T31+T28+T25+T22+T10</f>
        <v>133.09340533625729</v>
      </c>
      <c r="U104" s="717"/>
      <c r="V104" s="717"/>
      <c r="W104" s="717"/>
      <c r="X104" s="717"/>
      <c r="Y104" s="717"/>
      <c r="Z104" s="717"/>
      <c r="AA104" s="717"/>
      <c r="AB104" s="717"/>
      <c r="AC104" s="717"/>
      <c r="AD104" s="717"/>
      <c r="AE104" s="717"/>
      <c r="AF104" s="717"/>
      <c r="AG104" s="717"/>
      <c r="AH104" s="725">
        <f>+AH100+AH91+AH88+AH82+AH79+AH76+AH73+AH64+AH61+AH58+AH55+AH52+AH46+AH43+AH40+AH37+AH34+AH31+AH28+AH25+AH22+AH10</f>
        <v>134.55761644736842</v>
      </c>
      <c r="AI104" s="725">
        <f>+AI100+AI91+AI88+AI82+AI79+AI76+AI73+AI64+AI61+AI58+AI55+AI52+AI46+AI43+AI40+AI37+AI34+AI31+AI28+AI25+AI22+AI10</f>
        <v>132.006</v>
      </c>
      <c r="AJ104" s="725">
        <f>+AJ100+AJ91+AJ88+AJ82+AJ79+AJ76+AJ73+AJ64+AJ61+AJ58+AJ55+AJ52+AJ46+AJ43+AJ40+AJ37+AJ34+AJ31+AJ28+AJ25+AJ22+AJ10</f>
        <v>133.07199999999997</v>
      </c>
      <c r="AK104" s="717"/>
      <c r="AL104" s="717"/>
      <c r="AM104" s="717"/>
      <c r="AN104" s="717"/>
      <c r="AO104" s="717"/>
      <c r="AP104" s="717"/>
      <c r="AQ104" s="717"/>
      <c r="AR104" s="717"/>
      <c r="AS104" s="717"/>
      <c r="AT104" s="725">
        <f>+AT100+AT91+AT88+AT82+AT79+AT76+AT73+AT64+AT61+AT58+AT55+AT52+AT46+AT43+AT40+AT37+AT34+AT31+AT28+AT25+AT22+AT10</f>
        <v>133.2118721491228</v>
      </c>
      <c r="AV104" s="718"/>
    </row>
    <row r="105" spans="1:57" s="719" customFormat="1" hidden="1" outlineLevel="1" x14ac:dyDescent="0.25">
      <c r="A105" s="724" t="s">
        <v>440</v>
      </c>
      <c r="B105" s="725" t="e">
        <f>+B101+B92+B89+B83+B80+B77+B74+B65+B62+B59+B56+B53+B47+B44+B41+B38+B35+B32+B29+B26+B23+B11</f>
        <v>#VALUE!</v>
      </c>
      <c r="C105" s="725"/>
      <c r="D105" s="725"/>
      <c r="E105" s="725"/>
      <c r="F105" s="725"/>
      <c r="G105" s="725"/>
      <c r="H105" s="725">
        <f t="shared" si="52"/>
        <v>123.27597960526315</v>
      </c>
      <c r="I105" s="725">
        <f t="shared" si="52"/>
        <v>122.56084342105262</v>
      </c>
      <c r="J105" s="725">
        <f t="shared" si="52"/>
        <v>116.47488750000001</v>
      </c>
      <c r="K105" s="725"/>
      <c r="L105" s="725"/>
      <c r="M105" s="725"/>
      <c r="N105" s="725">
        <f t="shared" si="53"/>
        <v>0</v>
      </c>
      <c r="O105" s="725">
        <f t="shared" si="53"/>
        <v>0</v>
      </c>
      <c r="P105" s="725">
        <f t="shared" si="53"/>
        <v>0</v>
      </c>
      <c r="Q105" s="725">
        <f t="shared" si="53"/>
        <v>0</v>
      </c>
      <c r="R105" s="717"/>
      <c r="S105" s="718"/>
      <c r="T105" s="725">
        <f>+T101+T92+T89+T83+T80+T77+T74+T65+T62+T59+T56+T53+T47+T44+T41+T38+T35+T32+T29+T26+T23+T11</f>
        <v>113.62150084064325</v>
      </c>
      <c r="U105" s="717"/>
      <c r="V105" s="717"/>
      <c r="W105" s="717"/>
      <c r="X105" s="717"/>
      <c r="Y105" s="717"/>
      <c r="Z105" s="717"/>
      <c r="AA105" s="717"/>
      <c r="AB105" s="717"/>
      <c r="AC105" s="717"/>
      <c r="AD105" s="717"/>
      <c r="AE105" s="717"/>
      <c r="AF105" s="717"/>
      <c r="AG105" s="717"/>
      <c r="AH105" s="717">
        <f>+AH104-AH70-AH73-AH76-AH79-AH82-AH85-AH100</f>
        <v>97.407616447368412</v>
      </c>
      <c r="AI105" s="717">
        <f>+AI104-AI70-AI73-AI76-AI79-AI82-AI85-AI100</f>
        <v>95.656000000000006</v>
      </c>
      <c r="AJ105" s="717">
        <f>+AJ104-AJ70-AJ73-AJ76-AJ79-AJ82-AJ85-AJ100</f>
        <v>97.321999999999989</v>
      </c>
      <c r="AK105" s="717"/>
      <c r="AL105" s="717"/>
      <c r="AM105" s="717"/>
      <c r="AN105" s="717"/>
      <c r="AO105" s="717"/>
      <c r="AP105" s="717"/>
      <c r="AQ105" s="717"/>
      <c r="AR105" s="717"/>
      <c r="AS105" s="717"/>
      <c r="AT105" s="725">
        <f>+AT101+AT92+AT89+AT83+AT80+AT77+AT74+AT65+AT62+AT59+AT56+AT53+AT47+AT44+AT41+AT38+AT35+AT32+AT29+AT26+AT23+AT11</f>
        <v>114.20293815789475</v>
      </c>
      <c r="AV105" s="718"/>
    </row>
    <row r="106" spans="1:57" s="719" customFormat="1" hidden="1" outlineLevel="1" x14ac:dyDescent="0.25">
      <c r="A106" s="724" t="s">
        <v>441</v>
      </c>
      <c r="B106" s="725" t="e">
        <f>+B102+B93+B90+B84+B81+B78+B75+B66+B63+B60+B57+B54+B48+B45+B42+B39+B36+B33+B30+B27+B24+B12</f>
        <v>#VALUE!</v>
      </c>
      <c r="C106" s="725"/>
      <c r="D106" s="725"/>
      <c r="E106" s="725"/>
      <c r="F106" s="725"/>
      <c r="G106" s="725"/>
      <c r="H106" s="725">
        <f t="shared" si="52"/>
        <v>5.6799256578947359</v>
      </c>
      <c r="I106" s="725">
        <f t="shared" si="52"/>
        <v>6.2920980263157889</v>
      </c>
      <c r="J106" s="725">
        <f t="shared" si="52"/>
        <v>7.1189651315789479</v>
      </c>
      <c r="K106" s="725"/>
      <c r="L106" s="725"/>
      <c r="M106" s="725"/>
      <c r="N106" s="725">
        <f t="shared" si="53"/>
        <v>0</v>
      </c>
      <c r="O106" s="725">
        <f t="shared" si="53"/>
        <v>0</v>
      </c>
      <c r="P106" s="725">
        <f t="shared" si="53"/>
        <v>0</v>
      </c>
      <c r="Q106" s="725">
        <f t="shared" si="53"/>
        <v>0</v>
      </c>
      <c r="R106" s="717"/>
      <c r="S106" s="718"/>
      <c r="T106" s="725"/>
      <c r="U106" s="717"/>
      <c r="V106" s="717"/>
      <c r="W106" s="717"/>
      <c r="X106" s="717"/>
      <c r="Y106" s="717"/>
      <c r="Z106" s="717"/>
      <c r="AA106" s="717"/>
      <c r="AB106" s="717"/>
      <c r="AC106" s="717"/>
      <c r="AD106" s="717"/>
      <c r="AE106" s="717"/>
      <c r="AF106" s="717"/>
      <c r="AG106" s="717"/>
      <c r="AH106" s="717"/>
      <c r="AI106" s="717"/>
      <c r="AJ106" s="717"/>
      <c r="AK106" s="717"/>
      <c r="AL106" s="717"/>
      <c r="AM106" s="717"/>
      <c r="AN106" s="717"/>
      <c r="AO106" s="717"/>
      <c r="AP106" s="717"/>
      <c r="AQ106" s="717"/>
      <c r="AR106" s="717"/>
      <c r="AS106" s="717"/>
      <c r="AT106" s="725"/>
      <c r="AV106" s="718"/>
    </row>
    <row r="107" spans="1:57" s="719" customFormat="1" hidden="1" outlineLevel="1" x14ac:dyDescent="0.25">
      <c r="A107" s="724" t="s">
        <v>442</v>
      </c>
      <c r="B107" s="725" t="e">
        <f>+B104-B105-B106</f>
        <v>#VALUE!</v>
      </c>
      <c r="C107" s="725"/>
      <c r="D107" s="725"/>
      <c r="E107" s="725"/>
      <c r="F107" s="725"/>
      <c r="G107" s="725"/>
      <c r="H107" s="725"/>
      <c r="I107" s="725"/>
      <c r="J107" s="725"/>
      <c r="K107" s="725"/>
      <c r="L107" s="725"/>
      <c r="M107" s="725"/>
      <c r="N107" s="725">
        <f>+N104-N105</f>
        <v>0</v>
      </c>
      <c r="O107" s="725">
        <f>+O104-O105</f>
        <v>0</v>
      </c>
      <c r="P107" s="725">
        <f>+P104-P105</f>
        <v>0</v>
      </c>
      <c r="Q107" s="725">
        <f>+Q104-Q105</f>
        <v>0</v>
      </c>
      <c r="R107" s="717"/>
      <c r="S107" s="718"/>
      <c r="T107" s="717"/>
      <c r="U107" s="717"/>
      <c r="V107" s="717"/>
      <c r="W107" s="717"/>
      <c r="X107" s="717"/>
      <c r="Y107" s="717"/>
      <c r="Z107" s="717"/>
      <c r="AA107" s="717"/>
      <c r="AB107" s="717"/>
      <c r="AC107" s="717"/>
      <c r="AD107" s="717"/>
      <c r="AE107" s="717"/>
      <c r="AF107" s="717"/>
      <c r="AG107" s="717"/>
      <c r="AH107" s="717"/>
      <c r="AI107" s="717"/>
      <c r="AJ107" s="717"/>
      <c r="AK107" s="717"/>
      <c r="AL107" s="717"/>
      <c r="AM107" s="717"/>
      <c r="AN107" s="717"/>
      <c r="AO107" s="717"/>
      <c r="AP107" s="717"/>
      <c r="AQ107" s="717"/>
      <c r="AR107" s="717"/>
      <c r="AS107" s="717"/>
      <c r="AT107" s="717"/>
      <c r="AV107" s="718"/>
    </row>
    <row r="108" spans="1:57" hidden="1" outlineLevel="1" x14ac:dyDescent="0.25">
      <c r="A108" s="726" t="s">
        <v>409</v>
      </c>
      <c r="B108" s="727" t="s">
        <v>202</v>
      </c>
      <c r="C108" s="728">
        <f>SUMIF($B$4:$B$102,B108,$C$4:$C$102)</f>
        <v>234.05423728070178</v>
      </c>
      <c r="D108" s="728">
        <f>SUMIF($B$4:$B$102,B108,$D$4:$D$102)</f>
        <v>0</v>
      </c>
      <c r="E108" s="728">
        <f>SUMIF($B$4:$B$102,$B$108,E4:E102)</f>
        <v>237.34599999999998</v>
      </c>
      <c r="F108" s="728"/>
      <c r="G108" s="728"/>
      <c r="H108" s="728" t="e">
        <f>+H7+H10+H16+H19+H22+H25+H28+H31+H34+H37+H40+H43+H46+H49+H52+H55+H58+H61+H64+H67+#REF!+H79+H82+H85+H91+H94+H103</f>
        <v>#REF!</v>
      </c>
      <c r="I108" s="728" t="e">
        <f>+I7+I10+I16+I19+I22+I25+I28+I31+I34+I37+I40+I43+I46+I49+I52+I55+I58+I61+I64+I67+#REF!+I79+I82+I85+I91+I94+I103</f>
        <v>#REF!</v>
      </c>
      <c r="J108" s="728" t="e">
        <f>+J7+J10+J16+J19+J22+J25+J28+J31+J34+J37+J40+J43+J46+J49+J52+J55+J58+J61+J64+J67+#REF!+J79+J82+J85+J91+J94+J103</f>
        <v>#REF!</v>
      </c>
      <c r="K108" s="728" t="e">
        <f>+K7+K10+K16+K19+K22+K25+K28+K31+K34+K37+K40+K43+K46+K49+K52+K55+K58+K61+K64+K67+#REF!+K79+K82+K85+K91+K94+K103</f>
        <v>#REF!</v>
      </c>
      <c r="L108" s="728" t="e">
        <f>+L7+L10+L16+L19+L22+L25+L28+L31+L34+L37+L40+L43+L46+L49+L52+L55+L58+L61+L64+L67+#REF!+L79+L82+L85+L91+L94+L103</f>
        <v>#REF!</v>
      </c>
      <c r="M108" s="728" t="e">
        <f>+M7+M10+M16+M19+M22+M25+M28+M31+M34+M37+M40+M43+M46+M49+M52+M55+M58+M61+M64+M67+#REF!+M79+M82+M85+M91+M94+M103</f>
        <v>#REF!</v>
      </c>
      <c r="N108" s="728" t="e">
        <f>+N7+N10+N16+N19+N22+N25+N28+N31+N34+N37+N40+N43+N46+N49+N52+N55+N58+N61+N64+N67+#REF!+N79+N82+N85+N91+N94+N103</f>
        <v>#REF!</v>
      </c>
      <c r="O108" s="728" t="e">
        <f>+O7+O10+O16+O19+O22+O25+O28+O31+O34+O37+O40+O43+O46+O49+O52+O55+O58+O61+O64+O67+#REF!+O79+O82+O85+O91+O94+O103</f>
        <v>#REF!</v>
      </c>
      <c r="P108" s="728" t="e">
        <f>+P7+P10+P16+P19+P22+P25+P28+P31+P34+P37+P40+P43+P46+P49+P52+P55+P58+P61+P64+P67+#REF!+P79+P82+P85+P91+P94+P103</f>
        <v>#REF!</v>
      </c>
      <c r="Q108" s="728" t="e">
        <f>+Q7+Q10+Q16+Q19+Q22+Q25+Q28+Q31+Q34+Q37+Q40+Q43+Q46+Q49+Q52+Q55+Q58+Q61+Q64+Q67+#REF!+Q79+Q82+Q85+Q91+Q94+Q103</f>
        <v>#REF!</v>
      </c>
      <c r="R108" s="709" t="e">
        <f>+R7+R10+R16+R19+R22+R25+R28+R31+R34+R37+R40+R43+R46+R49+R52+R55+R58+R61+R64+R67+#REF!+R79+R82+R85+R91+R94+R103</f>
        <v>#REF!</v>
      </c>
      <c r="S108" s="723" t="e">
        <f>+S7+S10+S16+S19+S22+S25+S28+S31+S34+S37+S40+S43+S46+S49+S52+S55+S58+S61+S64+S67+#REF!+S79+S82+S85+S91+S94+S103</f>
        <v>#REF!</v>
      </c>
      <c r="U108" s="709">
        <f t="shared" ref="U108:AF108" si="54">SUMIF($B$4:$B$102,$B$108,U4:U102)</f>
        <v>0</v>
      </c>
      <c r="V108" s="709">
        <f t="shared" si="54"/>
        <v>0</v>
      </c>
      <c r="W108" s="709">
        <f t="shared" si="54"/>
        <v>0</v>
      </c>
      <c r="X108" s="709">
        <f t="shared" si="54"/>
        <v>0</v>
      </c>
      <c r="Y108" s="709">
        <f t="shared" si="54"/>
        <v>0</v>
      </c>
      <c r="Z108" s="709">
        <f t="shared" si="54"/>
        <v>0</v>
      </c>
      <c r="AA108" s="709">
        <f t="shared" si="54"/>
        <v>0</v>
      </c>
      <c r="AB108" s="709">
        <f t="shared" si="54"/>
        <v>0</v>
      </c>
      <c r="AC108" s="709">
        <f t="shared" si="54"/>
        <v>0</v>
      </c>
      <c r="AD108" s="709">
        <f t="shared" si="54"/>
        <v>0</v>
      </c>
      <c r="AE108" s="709">
        <f t="shared" si="54"/>
        <v>0</v>
      </c>
      <c r="AF108" s="709">
        <f t="shared" si="54"/>
        <v>0</v>
      </c>
      <c r="AG108" s="709"/>
      <c r="AH108" s="709">
        <f t="shared" ref="AH108:AS108" si="55">SUMIF($B$4:$B$102,$B$108,AH4:AH102)</f>
        <v>244.19685592105265</v>
      </c>
      <c r="AI108" s="709">
        <f t="shared" si="55"/>
        <v>238.81199999999995</v>
      </c>
      <c r="AJ108" s="709">
        <f t="shared" si="55"/>
        <v>241.624</v>
      </c>
      <c r="AK108" s="709">
        <f t="shared" si="55"/>
        <v>237.34599999999998</v>
      </c>
      <c r="AL108" s="709">
        <f t="shared" si="55"/>
        <v>249.04800000000003</v>
      </c>
      <c r="AM108" s="709">
        <f t="shared" si="55"/>
        <v>246.81400000000002</v>
      </c>
      <c r="AN108" s="709">
        <f t="shared" si="55"/>
        <v>252.21200000000002</v>
      </c>
      <c r="AO108" s="709">
        <f t="shared" si="55"/>
        <v>247.91000000000003</v>
      </c>
      <c r="AP108" s="709">
        <f t="shared" si="55"/>
        <v>249.95400000000001</v>
      </c>
      <c r="AQ108" s="709">
        <f t="shared" si="55"/>
        <v>255.51599999999999</v>
      </c>
      <c r="AR108" s="709">
        <f t="shared" si="55"/>
        <v>247.97</v>
      </c>
      <c r="AS108" s="709">
        <f t="shared" si="55"/>
        <v>250.6751855263158</v>
      </c>
      <c r="AT108" s="709"/>
      <c r="AV108" s="718"/>
    </row>
    <row r="109" spans="1:57" hidden="1" outlineLevel="1" x14ac:dyDescent="0.25">
      <c r="A109" s="726" t="s">
        <v>409</v>
      </c>
      <c r="B109" s="727" t="s">
        <v>203</v>
      </c>
      <c r="C109" s="728">
        <f>SUMIF($B$4:$B$102,B109,$C$4:$C$102)</f>
        <v>170.28859342105264</v>
      </c>
      <c r="D109" s="728">
        <f>SUMIF($B$4:$B$102,B109,$D$4:$D$102)</f>
        <v>0</v>
      </c>
      <c r="E109" s="728">
        <f>SUMIF($B$4:$B$102,$B$109,E4:E102)</f>
        <v>158.29999999999995</v>
      </c>
      <c r="F109" s="728"/>
      <c r="G109" s="728"/>
      <c r="H109" s="728" t="e">
        <f>+H8+H11+H17+H20+H23+H26+H29+H32+H35+H38+H41+H44+H47+H50+H53+H56+H59+H62+H65+H68+#REF!+H80+H83+H86+H92+H95+H104</f>
        <v>#REF!</v>
      </c>
      <c r="I109" s="728" t="e">
        <f>+I8+I11+I17+I20+I23+I26+I29+I32+I35+I38+I41+I44+I47+I50+I53+I56+I59+I62+I65+I68+#REF!+I80+I83+I86+I92+I95+I104</f>
        <v>#REF!</v>
      </c>
      <c r="J109" s="728" t="e">
        <f>+J8+J11+J17+J20+J23+J26+J29+J32+J35+J38+J41+J44+J47+J50+J53+J56+J59+J62+J65+J68+#REF!+J80+J83+J86+J92+J95+J104</f>
        <v>#REF!</v>
      </c>
      <c r="K109" s="728" t="e">
        <f>+K8+K11+K17+K20+K23+K26+K29+K32+K35+K38+K41+K44+K47+K50+K53+K56+K59+K62+K65+K68+#REF!+K80+K83+K86+K92+K95+K104</f>
        <v>#REF!</v>
      </c>
      <c r="L109" s="728" t="e">
        <f>+L8+L11+L17+L20+L23+L26+L29+L32+L35+L38+L41+L44+L47+L50+L53+L56+L59+L62+L65+L68+#REF!+L80+L83+L86+L92+L95+L104</f>
        <v>#REF!</v>
      </c>
      <c r="M109" s="728" t="e">
        <f>+M8+M11+M17+M20+M23+M26+M29+M32+M35+M38+M41+M44+M47+M50+M53+M56+M59+M62+M65+M68+#REF!+M80+M83+M86+M92+M95+M104</f>
        <v>#REF!</v>
      </c>
      <c r="N109" s="728" t="e">
        <f>+N8+N11+N17+N20+N23+N26+N29+N32+N35+N38+N41+N44+N47+N50+N53+N56+N59+N62+N65+N68+#REF!+N80+N83+N86+N92+N95+N104</f>
        <v>#REF!</v>
      </c>
      <c r="O109" s="728" t="e">
        <f>+O8+O11+O17+O20+O23+O26+O29+O32+O35+O38+O41+O44+O47+O50+O53+O56+O59+O62+O65+O68+#REF!+O80+O83+O86+O92+O95+O104</f>
        <v>#REF!</v>
      </c>
      <c r="P109" s="728" t="e">
        <f>+P8+P11+P17+P20+P23+P26+P29+P32+P35+P38+P41+P44+P47+P50+P53+P56+P59+P62+P65+P68+#REF!+P80+P83+P86+P92+P95+P104</f>
        <v>#REF!</v>
      </c>
      <c r="Q109" s="728" t="e">
        <f>+Q8+Q11+Q17+Q20+Q23+Q26+Q29+Q32+Q35+Q38+Q41+Q44+Q47+Q50+Q53+Q56+Q59+Q62+Q65+Q68+#REF!+Q80+Q83+Q86+Q92+Q95+Q104</f>
        <v>#REF!</v>
      </c>
      <c r="R109" s="709" t="e">
        <f>+R8+R11+R17+R20+R23+R26+R29+R32+R35+R38+R41+R44+R47+R50+R53+R56+R59+R62+R65+R68+#REF!+R80+R83+R86+R92+R95+R104</f>
        <v>#REF!</v>
      </c>
      <c r="S109" s="723" t="e">
        <f>+S8+S11+S17+S20+S23+S26+S29+S32+S35+S38+S41+S44+S47+S50+S53+S56+S59+S62+S65+S68+#REF!+S80+S83+S86+S92+S95+S104</f>
        <v>#REF!</v>
      </c>
      <c r="U109" s="709">
        <f t="shared" ref="U109:AF109" si="56">SUMIF($B$4:$B$102,$B$109,U4:U102)</f>
        <v>0</v>
      </c>
      <c r="V109" s="709">
        <f t="shared" si="56"/>
        <v>0</v>
      </c>
      <c r="W109" s="709">
        <f t="shared" si="56"/>
        <v>0</v>
      </c>
      <c r="X109" s="709">
        <f t="shared" si="56"/>
        <v>0</v>
      </c>
      <c r="Y109" s="709">
        <f t="shared" si="56"/>
        <v>0</v>
      </c>
      <c r="Z109" s="709">
        <f t="shared" si="56"/>
        <v>0</v>
      </c>
      <c r="AA109" s="709">
        <f t="shared" si="56"/>
        <v>0</v>
      </c>
      <c r="AB109" s="709">
        <f t="shared" si="56"/>
        <v>0</v>
      </c>
      <c r="AC109" s="709">
        <f t="shared" si="56"/>
        <v>0</v>
      </c>
      <c r="AD109" s="709">
        <f t="shared" si="56"/>
        <v>0</v>
      </c>
      <c r="AE109" s="709">
        <f t="shared" si="56"/>
        <v>0</v>
      </c>
      <c r="AF109" s="709">
        <f t="shared" si="56"/>
        <v>0</v>
      </c>
      <c r="AG109" s="709"/>
      <c r="AH109" s="709">
        <f t="shared" ref="AH109:AS109" si="57">SUMIF($B$4:$B$102,$B$109,AH4:AH102)</f>
        <v>214.23925197368422</v>
      </c>
      <c r="AI109" s="709">
        <f t="shared" si="57"/>
        <v>211.97000000000003</v>
      </c>
      <c r="AJ109" s="709">
        <f t="shared" si="57"/>
        <v>193.24</v>
      </c>
      <c r="AK109" s="709">
        <f t="shared" si="57"/>
        <v>158.29999999999995</v>
      </c>
      <c r="AL109" s="709">
        <f t="shared" si="57"/>
        <v>211.76999999999998</v>
      </c>
      <c r="AM109" s="709">
        <f t="shared" si="57"/>
        <v>219.5835100877193</v>
      </c>
      <c r="AN109" s="709">
        <f t="shared" si="57"/>
        <v>191.48999999999998</v>
      </c>
      <c r="AO109" s="709">
        <f t="shared" si="57"/>
        <v>221.17000000000002</v>
      </c>
      <c r="AP109" s="709">
        <f t="shared" si="57"/>
        <v>218.35000000000002</v>
      </c>
      <c r="AQ109" s="709">
        <f t="shared" si="57"/>
        <v>231.13</v>
      </c>
      <c r="AR109" s="709">
        <f t="shared" si="57"/>
        <v>229.16</v>
      </c>
      <c r="AS109" s="709">
        <f t="shared" si="57"/>
        <v>218.25117236842104</v>
      </c>
      <c r="AT109" s="709"/>
      <c r="AV109" s="718"/>
    </row>
    <row r="110" spans="1:57" hidden="1" outlineLevel="1" x14ac:dyDescent="0.25">
      <c r="A110" s="726" t="s">
        <v>409</v>
      </c>
      <c r="B110" s="727" t="s">
        <v>204</v>
      </c>
      <c r="C110" s="728">
        <f>SUMIF($B$4:$B$102,B110,$C$4:$C$102)</f>
        <v>12.904678947368421</v>
      </c>
      <c r="D110" s="728">
        <f>SUMIF($B$4:$B$102,B110,$D$4:$D$102)</f>
        <v>0</v>
      </c>
      <c r="E110" s="728">
        <f>SUMIF($B$4:$B$102,$B$110,E4:E102)</f>
        <v>6.444</v>
      </c>
      <c r="F110" s="728"/>
      <c r="G110" s="728"/>
      <c r="H110" s="728" t="e">
        <f>+H9+H12+H18+H21+H24+H27+H30+H33+H36+H39+H42+H45+H48+H51+H54+H57+H60+H63+H66+H69+#REF!+H81+H84+H87+H93+H96+H105</f>
        <v>#REF!</v>
      </c>
      <c r="I110" s="728" t="e">
        <f>+I9+I12+I18+I21+I24+I27+I30+I33+I36+I39+I42+I45+I48+I51+I54+I57+I60+I63+I66+I69+#REF!+I81+I84+I87+I93+I96+I105</f>
        <v>#REF!</v>
      </c>
      <c r="J110" s="728" t="e">
        <f>+J9+J12+J18+J21+J24+J27+J30+J33+J36+J39+J42+J45+J48+J51+J54+J57+J60+J63+J66+J69+#REF!+J81+J84+J87+J93+J96+J105</f>
        <v>#REF!</v>
      </c>
      <c r="K110" s="728" t="e">
        <f>+K9+K12+K18+K21+K24+K27+K30+K33+K36+K39+K42+K45+K48+K51+K54+K57+K60+K63+K66+K69+#REF!+K81+K84+K87+K93+K96+K105</f>
        <v>#REF!</v>
      </c>
      <c r="L110" s="728" t="e">
        <f>+L9+L12+L18+L21+L24+L27+L30+L33+L36+L39+L42+L45+L48+L51+L54+L57+L60+L63+L66+L69+#REF!+L81+L84+L87+L93+L96+L105</f>
        <v>#REF!</v>
      </c>
      <c r="M110" s="728" t="e">
        <f>+M9+M12+M18+M21+M24+M27+M30+M33+M36+M39+M42+M45+M48+M51+M54+M57+M60+M63+M66+M69+#REF!+M81+M84+M87+M93+M96+M105</f>
        <v>#REF!</v>
      </c>
      <c r="N110" s="728" t="e">
        <f>+N9+N12+N18+N21+N24+N27+N30+N33+N36+N39+N42+N45+N48+N51+N54+N57+N60+N63+N66+N69+#REF!+N81+N84+N87+N93+N96+N105</f>
        <v>#REF!</v>
      </c>
      <c r="O110" s="728" t="e">
        <f>+O9+O12+O18+O21+O24+O27+O30+O33+O36+O39+O42+O45+O48+O51+O54+O57+O60+O63+O66+O69+#REF!+O81+O84+O87+O93+O96+O105</f>
        <v>#REF!</v>
      </c>
      <c r="P110" s="728" t="e">
        <f>+P9+P12+P18+P21+P24+P27+P30+P33+P36+P39+P42+P45+P48+P51+P54+P57+P60+P63+P66+P69+#REF!+P81+P84+P87+P93+P96+P105</f>
        <v>#REF!</v>
      </c>
      <c r="Q110" s="728" t="e">
        <f>+Q9+Q12+Q18+Q21+Q24+Q27+Q30+Q33+Q36+Q39+Q42+Q45+Q48+Q51+Q54+Q57+Q60+Q63+Q66+Q69+#REF!+Q81+Q84+Q87+Q93+Q96+Q105</f>
        <v>#REF!</v>
      </c>
      <c r="R110" s="709" t="e">
        <f>+R9+R12+R18+R21+R24+R27+R30+R33+R36+R39+R42+R45+R48+R51+R54+R57+R60+R63+R66+R69+#REF!+R81+R84+R87+R93+R96+R105</f>
        <v>#REF!</v>
      </c>
      <c r="S110" s="723" t="e">
        <f>+S9+S12+S18+S21+S24+S27+S30+S33+S36+S39+S42+S45+S48+S51+S54+S57+S60+S63+S66+S69+#REF!+S81+S84+S87+S93+S96+S105</f>
        <v>#REF!</v>
      </c>
      <c r="U110" s="709">
        <f t="shared" ref="U110:AF110" si="58">SUMIF($B$4:$B$102,$B$110,U4:U102)</f>
        <v>0</v>
      </c>
      <c r="V110" s="709">
        <f t="shared" si="58"/>
        <v>0</v>
      </c>
      <c r="W110" s="709">
        <f t="shared" si="58"/>
        <v>0</v>
      </c>
      <c r="X110" s="709">
        <f t="shared" si="58"/>
        <v>0</v>
      </c>
      <c r="Y110" s="709">
        <f t="shared" si="58"/>
        <v>0</v>
      </c>
      <c r="Z110" s="709">
        <f t="shared" si="58"/>
        <v>0</v>
      </c>
      <c r="AA110" s="709">
        <f t="shared" si="58"/>
        <v>0</v>
      </c>
      <c r="AB110" s="709">
        <f t="shared" si="58"/>
        <v>0</v>
      </c>
      <c r="AC110" s="709">
        <f t="shared" si="58"/>
        <v>0</v>
      </c>
      <c r="AD110" s="709">
        <f t="shared" si="58"/>
        <v>0</v>
      </c>
      <c r="AE110" s="709">
        <f t="shared" si="58"/>
        <v>0</v>
      </c>
      <c r="AF110" s="709">
        <f t="shared" si="58"/>
        <v>0</v>
      </c>
      <c r="AG110" s="709"/>
      <c r="AH110" s="709">
        <f t="shared" ref="AH110:AS110" si="59">SUMIF($B$4:$B$102,$B$110,AH4:AH102)</f>
        <v>6.7159730263157886</v>
      </c>
      <c r="AI110" s="709">
        <f t="shared" si="59"/>
        <v>9.8640000000000008</v>
      </c>
      <c r="AJ110" s="709">
        <f t="shared" si="59"/>
        <v>7.0640000000000001</v>
      </c>
      <c r="AK110" s="709">
        <f t="shared" si="59"/>
        <v>6.444</v>
      </c>
      <c r="AL110" s="709">
        <f t="shared" si="59"/>
        <v>6.2139999999999995</v>
      </c>
      <c r="AM110" s="709">
        <f t="shared" si="59"/>
        <v>5.6620000000000008</v>
      </c>
      <c r="AN110" s="709">
        <f t="shared" si="59"/>
        <v>11.84</v>
      </c>
      <c r="AO110" s="709">
        <f t="shared" si="59"/>
        <v>9.838000000000001</v>
      </c>
      <c r="AP110" s="709">
        <f t="shared" si="59"/>
        <v>10.82</v>
      </c>
      <c r="AQ110" s="709">
        <f t="shared" si="59"/>
        <v>13.407999999999999</v>
      </c>
      <c r="AR110" s="709">
        <f t="shared" si="59"/>
        <v>12.633999999999999</v>
      </c>
      <c r="AS110" s="709">
        <f t="shared" si="59"/>
        <v>14.338272368421055</v>
      </c>
      <c r="AT110" s="709"/>
      <c r="AV110" s="718"/>
    </row>
    <row r="111" spans="1:57" hidden="1" outlineLevel="1" x14ac:dyDescent="0.25">
      <c r="A111" s="711"/>
      <c r="B111" s="707"/>
      <c r="C111" s="709"/>
      <c r="D111" s="709"/>
      <c r="E111" s="709"/>
      <c r="F111" s="709"/>
      <c r="G111" s="709"/>
      <c r="H111" s="709"/>
      <c r="I111" s="709"/>
      <c r="J111" s="709"/>
      <c r="K111" s="709"/>
      <c r="L111" s="709"/>
      <c r="M111" s="709"/>
      <c r="N111" s="709"/>
      <c r="O111" s="709"/>
      <c r="P111" s="709"/>
      <c r="Q111" s="709"/>
      <c r="R111" s="709"/>
      <c r="S111" s="723"/>
      <c r="U111" s="709"/>
      <c r="V111" s="709"/>
      <c r="W111" s="709"/>
      <c r="X111" s="709"/>
      <c r="Y111" s="709"/>
      <c r="Z111" s="709"/>
      <c r="AA111" s="709"/>
      <c r="AB111" s="709"/>
      <c r="AC111" s="709"/>
      <c r="AD111" s="709"/>
      <c r="AE111" s="709"/>
      <c r="AF111" s="709"/>
      <c r="AG111" s="709"/>
      <c r="AH111" s="709"/>
      <c r="AI111" s="709"/>
      <c r="AJ111" s="709"/>
      <c r="AK111" s="709"/>
      <c r="AL111" s="709"/>
      <c r="AM111" s="709"/>
      <c r="AN111" s="709"/>
      <c r="AO111" s="709"/>
      <c r="AP111" s="709"/>
      <c r="AQ111" s="709"/>
      <c r="AR111" s="709"/>
      <c r="AS111" s="709"/>
      <c r="AT111" s="709"/>
    </row>
    <row r="112" spans="1:57" hidden="1" outlineLevel="1" x14ac:dyDescent="0.25">
      <c r="A112" s="711" t="s">
        <v>410</v>
      </c>
      <c r="B112" s="707" t="s">
        <v>202</v>
      </c>
      <c r="C112" s="709">
        <f t="shared" ref="C112:E114" si="60">C4+C7+C13+C16+C19+C22+C25+C28+C31+C34+C37</f>
        <v>91.01776228070176</v>
      </c>
      <c r="D112" s="709">
        <f t="shared" si="60"/>
        <v>0</v>
      </c>
      <c r="E112" s="709">
        <f t="shared" si="60"/>
        <v>91.152999999999992</v>
      </c>
      <c r="F112" s="709"/>
      <c r="G112" s="709"/>
      <c r="H112" s="709">
        <f t="shared" ref="H112:Q114" si="61">H4+H7+H13+H16+H19+H22+H25+H28+H31+H34+H37</f>
        <v>93.999444736842094</v>
      </c>
      <c r="I112" s="709">
        <f t="shared" si="61"/>
        <v>90.996807894736833</v>
      </c>
      <c r="J112" s="709">
        <f t="shared" si="61"/>
        <v>94.252928947368417</v>
      </c>
      <c r="K112" s="709">
        <f t="shared" si="61"/>
        <v>91.01776228070176</v>
      </c>
      <c r="L112" s="709">
        <f t="shared" si="61"/>
        <v>0</v>
      </c>
      <c r="M112" s="709">
        <f t="shared" si="61"/>
        <v>0</v>
      </c>
      <c r="N112" s="709">
        <f t="shared" si="61"/>
        <v>0</v>
      </c>
      <c r="O112" s="709">
        <f t="shared" si="61"/>
        <v>0</v>
      </c>
      <c r="P112" s="709">
        <f t="shared" si="61"/>
        <v>0</v>
      </c>
      <c r="Q112" s="709">
        <f t="shared" si="61"/>
        <v>0</v>
      </c>
      <c r="R112" s="709" t="e">
        <f>+R11+R14+R20+R23+R26+R29+R32+R35+R38+R41+R44+R47+R50+R53+R56+R59+R62+R65+R68+R71+#REF!+R83+R86+R89+R95+R98+R108</f>
        <v>#REF!</v>
      </c>
      <c r="S112" s="723" t="e">
        <f>+S11+S14+S20+S23+S26+S29+S32+S35+S38+S41+S44+S47+S50+S53+S56+S59+S62+S65+S68+S71+#REF!+S83+S86+S89+S95+S98+S108</f>
        <v>#REF!</v>
      </c>
      <c r="U112" s="709">
        <f t="shared" ref="U112:AF114" si="62">U4+U7+U13+U16+U19+U22+U25+U28+U31+U34+U37</f>
        <v>0</v>
      </c>
      <c r="V112" s="709">
        <f t="shared" si="62"/>
        <v>0</v>
      </c>
      <c r="W112" s="709">
        <f t="shared" si="62"/>
        <v>0</v>
      </c>
      <c r="X112" s="709">
        <f t="shared" si="62"/>
        <v>0</v>
      </c>
      <c r="Y112" s="709">
        <f t="shared" si="62"/>
        <v>0</v>
      </c>
      <c r="Z112" s="709">
        <f t="shared" si="62"/>
        <v>0</v>
      </c>
      <c r="AA112" s="709">
        <f t="shared" si="62"/>
        <v>0</v>
      </c>
      <c r="AB112" s="709">
        <f t="shared" si="62"/>
        <v>0</v>
      </c>
      <c r="AC112" s="709">
        <f t="shared" si="62"/>
        <v>0</v>
      </c>
      <c r="AD112" s="709">
        <f t="shared" si="62"/>
        <v>0</v>
      </c>
      <c r="AE112" s="709">
        <f t="shared" si="62"/>
        <v>0</v>
      </c>
      <c r="AF112" s="709">
        <f t="shared" si="62"/>
        <v>0</v>
      </c>
      <c r="AG112" s="709"/>
      <c r="AH112" s="709">
        <f t="shared" ref="AH112:AS114" si="63">AH4+AH7+AH13+AH16+AH19+AH22+AH25+AH28+AH31+AH34+AH37</f>
        <v>91.829239473684211</v>
      </c>
      <c r="AI112" s="709">
        <f t="shared" si="63"/>
        <v>90.855999999999995</v>
      </c>
      <c r="AJ112" s="709">
        <f t="shared" si="63"/>
        <v>93.162000000000006</v>
      </c>
      <c r="AK112" s="709">
        <f t="shared" si="63"/>
        <v>91.152999999999992</v>
      </c>
      <c r="AL112" s="709">
        <f t="shared" si="63"/>
        <v>93.158999999999992</v>
      </c>
      <c r="AM112" s="709">
        <f t="shared" si="63"/>
        <v>91.36699999999999</v>
      </c>
      <c r="AN112" s="709">
        <f t="shared" si="63"/>
        <v>93.670999999999992</v>
      </c>
      <c r="AO112" s="709">
        <f t="shared" si="63"/>
        <v>88.860000000000014</v>
      </c>
      <c r="AP112" s="709">
        <f t="shared" si="63"/>
        <v>89.126999999999995</v>
      </c>
      <c r="AQ112" s="709">
        <f t="shared" si="63"/>
        <v>92.652999999999992</v>
      </c>
      <c r="AR112" s="709">
        <f t="shared" si="63"/>
        <v>92.01</v>
      </c>
      <c r="AS112" s="709">
        <f t="shared" si="63"/>
        <v>93.874566447368423</v>
      </c>
      <c r="AT112" s="709"/>
    </row>
    <row r="113" spans="1:53" hidden="1" outlineLevel="1" x14ac:dyDescent="0.25">
      <c r="A113" s="711" t="s">
        <v>410</v>
      </c>
      <c r="B113" s="707" t="s">
        <v>203</v>
      </c>
      <c r="C113" s="709">
        <f t="shared" si="60"/>
        <v>67.348390789473669</v>
      </c>
      <c r="D113" s="709">
        <f t="shared" si="60"/>
        <v>0</v>
      </c>
      <c r="E113" s="709">
        <f t="shared" si="60"/>
        <v>59.48</v>
      </c>
      <c r="F113" s="709"/>
      <c r="G113" s="709"/>
      <c r="H113" s="709">
        <f t="shared" si="61"/>
        <v>84.21150592105262</v>
      </c>
      <c r="I113" s="709">
        <f t="shared" si="61"/>
        <v>83.874439473684205</v>
      </c>
      <c r="J113" s="709">
        <f t="shared" si="61"/>
        <v>83.520282236842093</v>
      </c>
      <c r="K113" s="709">
        <f t="shared" si="61"/>
        <v>67.348390789473669</v>
      </c>
      <c r="L113" s="709">
        <f t="shared" si="61"/>
        <v>0</v>
      </c>
      <c r="M113" s="709">
        <f t="shared" si="61"/>
        <v>0</v>
      </c>
      <c r="N113" s="709">
        <f t="shared" si="61"/>
        <v>0</v>
      </c>
      <c r="O113" s="709">
        <f t="shared" si="61"/>
        <v>0</v>
      </c>
      <c r="P113" s="709">
        <f t="shared" si="61"/>
        <v>0</v>
      </c>
      <c r="Q113" s="709">
        <f t="shared" si="61"/>
        <v>0</v>
      </c>
      <c r="R113" s="709" t="e">
        <f>+R12+R15+R21+R24+R27+R30+R33+R36+R39+R42+R45+R48+R51+R54+R57+R60+R63+R66+R69+R72+#REF!+R84+R87+R90+R96+R99+R109</f>
        <v>#REF!</v>
      </c>
      <c r="S113" s="723" t="e">
        <f>+S12+S15+S21+S24+S27+S30+S33+S36+S39+S42+S45+S48+S51+S54+S57+S60+S63+S66+S69+S72+#REF!+S84+S87+S90+S96+S99+S109</f>
        <v>#REF!</v>
      </c>
      <c r="U113" s="709">
        <f t="shared" si="62"/>
        <v>0</v>
      </c>
      <c r="V113" s="709">
        <f t="shared" si="62"/>
        <v>0</v>
      </c>
      <c r="W113" s="709">
        <f t="shared" si="62"/>
        <v>0</v>
      </c>
      <c r="X113" s="709">
        <f t="shared" si="62"/>
        <v>0</v>
      </c>
      <c r="Y113" s="709">
        <f t="shared" si="62"/>
        <v>0</v>
      </c>
      <c r="Z113" s="709">
        <f t="shared" si="62"/>
        <v>0</v>
      </c>
      <c r="AA113" s="709">
        <f t="shared" si="62"/>
        <v>0</v>
      </c>
      <c r="AB113" s="709">
        <f t="shared" si="62"/>
        <v>0</v>
      </c>
      <c r="AC113" s="709">
        <f t="shared" si="62"/>
        <v>0</v>
      </c>
      <c r="AD113" s="709">
        <f t="shared" si="62"/>
        <v>0</v>
      </c>
      <c r="AE113" s="709">
        <f t="shared" si="62"/>
        <v>0</v>
      </c>
      <c r="AF113" s="709">
        <f t="shared" si="62"/>
        <v>0</v>
      </c>
      <c r="AG113" s="709"/>
      <c r="AH113" s="709">
        <f t="shared" si="63"/>
        <v>79.570437499999997</v>
      </c>
      <c r="AI113" s="709">
        <f t="shared" si="63"/>
        <v>80.239999999999995</v>
      </c>
      <c r="AJ113" s="709">
        <f t="shared" si="63"/>
        <v>72.5</v>
      </c>
      <c r="AK113" s="709">
        <f t="shared" si="63"/>
        <v>59.48</v>
      </c>
      <c r="AL113" s="709">
        <f t="shared" si="63"/>
        <v>79.2</v>
      </c>
      <c r="AM113" s="709">
        <f t="shared" si="63"/>
        <v>81.243510087719301</v>
      </c>
      <c r="AN113" s="709">
        <f t="shared" si="63"/>
        <v>72.12</v>
      </c>
      <c r="AO113" s="709">
        <f t="shared" si="63"/>
        <v>78.75</v>
      </c>
      <c r="AP113" s="709">
        <f t="shared" si="63"/>
        <v>78.52</v>
      </c>
      <c r="AQ113" s="709">
        <f t="shared" si="63"/>
        <v>83.68</v>
      </c>
      <c r="AR113" s="709">
        <f t="shared" si="63"/>
        <v>84.77</v>
      </c>
      <c r="AS113" s="709">
        <f t="shared" si="63"/>
        <v>82.112395394736836</v>
      </c>
      <c r="AT113" s="709"/>
    </row>
    <row r="114" spans="1:53" hidden="1" outlineLevel="1" x14ac:dyDescent="0.25">
      <c r="A114" s="711" t="s">
        <v>410</v>
      </c>
      <c r="B114" s="707" t="s">
        <v>204</v>
      </c>
      <c r="C114" s="709">
        <f t="shared" si="60"/>
        <v>6.3630122807017546</v>
      </c>
      <c r="D114" s="709">
        <f t="shared" si="60"/>
        <v>0</v>
      </c>
      <c r="E114" s="709">
        <f t="shared" si="60"/>
        <v>3.3170000000000002</v>
      </c>
      <c r="F114" s="709"/>
      <c r="G114" s="709"/>
      <c r="H114" s="729">
        <f t="shared" si="61"/>
        <v>5.6799256578947368</v>
      </c>
      <c r="I114" s="729">
        <f t="shared" si="61"/>
        <v>6.2896855263157896</v>
      </c>
      <c r="J114" s="729">
        <f t="shared" si="61"/>
        <v>7.1189651315789479</v>
      </c>
      <c r="K114" s="729">
        <f t="shared" si="61"/>
        <v>6.3630122807017546</v>
      </c>
      <c r="L114" s="729">
        <f t="shared" si="61"/>
        <v>0</v>
      </c>
      <c r="M114" s="729">
        <f t="shared" si="61"/>
        <v>0</v>
      </c>
      <c r="N114" s="729">
        <f t="shared" si="61"/>
        <v>0</v>
      </c>
      <c r="O114" s="729">
        <f t="shared" si="61"/>
        <v>0</v>
      </c>
      <c r="P114" s="729">
        <f t="shared" si="61"/>
        <v>0</v>
      </c>
      <c r="Q114" s="729">
        <f t="shared" si="61"/>
        <v>0</v>
      </c>
      <c r="R114" s="709" t="e">
        <f>+R13+R16+R22+R25+R28+R31+R34+R37+R40+R43+R46+R49+R52+R55+R58+R61+R64+R67+R70+R73+#REF!+R85+R88+R91+R97+R100+R110</f>
        <v>#REF!</v>
      </c>
      <c r="S114" s="723" t="e">
        <f>+S13+S16+S22+S25+S28+S31+S34+S37+S40+S43+S46+S49+S52+S55+S58+S61+S64+S67+S70+S73+#REF!+S85+S88+S91+S97+S100+S110</f>
        <v>#REF!</v>
      </c>
      <c r="U114" s="709">
        <f t="shared" si="62"/>
        <v>0</v>
      </c>
      <c r="V114" s="709">
        <f t="shared" si="62"/>
        <v>0</v>
      </c>
      <c r="W114" s="709">
        <f t="shared" si="62"/>
        <v>0</v>
      </c>
      <c r="X114" s="709">
        <f t="shared" si="62"/>
        <v>0</v>
      </c>
      <c r="Y114" s="709">
        <f t="shared" si="62"/>
        <v>0</v>
      </c>
      <c r="Z114" s="709">
        <f t="shared" si="62"/>
        <v>0</v>
      </c>
      <c r="AA114" s="709">
        <f t="shared" si="62"/>
        <v>0</v>
      </c>
      <c r="AB114" s="709">
        <f t="shared" si="62"/>
        <v>0</v>
      </c>
      <c r="AC114" s="709">
        <f t="shared" si="62"/>
        <v>0</v>
      </c>
      <c r="AD114" s="709">
        <f t="shared" si="62"/>
        <v>0</v>
      </c>
      <c r="AE114" s="709">
        <f t="shared" si="62"/>
        <v>0</v>
      </c>
      <c r="AF114" s="709">
        <f t="shared" si="62"/>
        <v>0</v>
      </c>
      <c r="AG114" s="709"/>
      <c r="AH114" s="709">
        <f t="shared" si="63"/>
        <v>3.3070874999999997</v>
      </c>
      <c r="AI114" s="709">
        <f t="shared" si="63"/>
        <v>4.9020000000000001</v>
      </c>
      <c r="AJ114" s="709">
        <f t="shared" si="63"/>
        <v>3.5620000000000003</v>
      </c>
      <c r="AK114" s="709">
        <f t="shared" si="63"/>
        <v>3.3170000000000002</v>
      </c>
      <c r="AL114" s="709">
        <f t="shared" si="63"/>
        <v>3.0819999999999999</v>
      </c>
      <c r="AM114" s="709">
        <f t="shared" si="63"/>
        <v>2.8210000000000002</v>
      </c>
      <c r="AN114" s="709">
        <f t="shared" si="63"/>
        <v>5.76</v>
      </c>
      <c r="AO114" s="709">
        <f t="shared" si="63"/>
        <v>4.7439999999999998</v>
      </c>
      <c r="AP114" s="709">
        <f t="shared" si="63"/>
        <v>5.34</v>
      </c>
      <c r="AQ114" s="709">
        <f t="shared" si="63"/>
        <v>6.5990000000000002</v>
      </c>
      <c r="AR114" s="709">
        <f t="shared" si="63"/>
        <v>6.3119999999999994</v>
      </c>
      <c r="AS114" s="709">
        <f t="shared" si="63"/>
        <v>6.884980263157896</v>
      </c>
      <c r="AT114" s="709"/>
    </row>
    <row r="115" spans="1:53" hidden="1" outlineLevel="1" x14ac:dyDescent="0.25">
      <c r="A115" s="711"/>
      <c r="B115" s="707"/>
      <c r="C115" s="709"/>
      <c r="D115" s="709"/>
      <c r="E115" s="709"/>
      <c r="F115" s="709"/>
      <c r="G115" s="709"/>
      <c r="H115" s="624"/>
      <c r="I115" s="624"/>
      <c r="J115" s="624"/>
      <c r="K115" s="624"/>
      <c r="L115" s="624"/>
      <c r="M115" s="624"/>
      <c r="N115" s="624"/>
      <c r="O115" s="624"/>
      <c r="P115" s="624"/>
      <c r="Q115" s="625">
        <f>((75000*Q114)/12)*1.5</f>
        <v>0</v>
      </c>
      <c r="R115" s="709"/>
      <c r="S115" s="723"/>
      <c r="U115" s="709"/>
      <c r="V115" s="709"/>
      <c r="W115" s="709"/>
      <c r="X115" s="709"/>
      <c r="Y115" s="709"/>
      <c r="Z115" s="709"/>
      <c r="AA115" s="709"/>
      <c r="AB115" s="709"/>
      <c r="AC115" s="709"/>
      <c r="AD115" s="709"/>
      <c r="AE115" s="709"/>
      <c r="AF115" s="709"/>
      <c r="AG115" s="709"/>
      <c r="AH115" s="709"/>
      <c r="AI115" s="709"/>
      <c r="AJ115" s="709"/>
      <c r="AK115" s="709"/>
      <c r="AL115" s="709"/>
      <c r="AM115" s="709"/>
      <c r="AN115" s="709"/>
      <c r="AO115" s="709"/>
      <c r="AP115" s="709"/>
      <c r="AQ115" s="709"/>
      <c r="AR115" s="709"/>
      <c r="AS115" s="709"/>
      <c r="AT115" s="709"/>
    </row>
    <row r="116" spans="1:53" hidden="1" outlineLevel="1" x14ac:dyDescent="0.25">
      <c r="A116" s="711" t="s">
        <v>411</v>
      </c>
      <c r="B116" s="707" t="s">
        <v>202</v>
      </c>
      <c r="C116" s="709">
        <f t="shared" ref="C116:E118" si="64">C4+C7+C13+C16+C19+C22+C25+C28+C31+C34+C37+C88+C91</f>
        <v>97.01776228070176</v>
      </c>
      <c r="D116" s="709">
        <f t="shared" si="64"/>
        <v>0</v>
      </c>
      <c r="E116" s="709">
        <f t="shared" si="64"/>
        <v>95.182999999999993</v>
      </c>
      <c r="F116" s="709"/>
      <c r="G116" s="709"/>
      <c r="H116" s="709">
        <f t="shared" ref="H116:Q118" si="65">H4+H7+H13+H16+H19+H22+H25+H28+H31+H34+H37+H88+H91</f>
        <v>100.99944473684209</v>
      </c>
      <c r="I116" s="709">
        <f t="shared" si="65"/>
        <v>97.096807894736827</v>
      </c>
      <c r="J116" s="709">
        <f t="shared" si="65"/>
        <v>100.25292894736842</v>
      </c>
      <c r="K116" s="709">
        <f t="shared" si="65"/>
        <v>97.01776228070176</v>
      </c>
      <c r="L116" s="709">
        <f t="shared" si="65"/>
        <v>0</v>
      </c>
      <c r="M116" s="709">
        <f t="shared" si="65"/>
        <v>0</v>
      </c>
      <c r="N116" s="709">
        <f t="shared" si="65"/>
        <v>0</v>
      </c>
      <c r="O116" s="709">
        <f t="shared" si="65"/>
        <v>0</v>
      </c>
      <c r="P116" s="709">
        <f t="shared" si="65"/>
        <v>0</v>
      </c>
      <c r="Q116" s="709">
        <f t="shared" si="65"/>
        <v>0</v>
      </c>
      <c r="R116" s="709" t="e">
        <f>+R15+R18+R24+R27+R30+R33+R36+R39+R42+R45+R48+R51+R54+R57+R60+R63+R66+R69+R72+R75+#REF!+R87+R90+R93+R99+R102+R112</f>
        <v>#REF!</v>
      </c>
      <c r="S116" s="723" t="e">
        <f>+S15+S18+S24+S27+S30+S33+S36+S39+S42+S45+S48+S51+S54+S57+S60+S63+S66+S69+S72+S75+#REF!+S87+S90+S93+S99+S102+S112</f>
        <v>#REF!</v>
      </c>
      <c r="U116" s="709">
        <f t="shared" ref="U116:AF118" si="66">U4+U7+U13+U16+U19+U22+U25+U28+U31+U34+U37+U88+U91</f>
        <v>0</v>
      </c>
      <c r="V116" s="709">
        <f t="shared" si="66"/>
        <v>0</v>
      </c>
      <c r="W116" s="709">
        <f t="shared" si="66"/>
        <v>0</v>
      </c>
      <c r="X116" s="709">
        <f t="shared" si="66"/>
        <v>0</v>
      </c>
      <c r="Y116" s="709">
        <f t="shared" si="66"/>
        <v>0</v>
      </c>
      <c r="Z116" s="709">
        <f t="shared" si="66"/>
        <v>0</v>
      </c>
      <c r="AA116" s="709">
        <f t="shared" si="66"/>
        <v>0</v>
      </c>
      <c r="AB116" s="709">
        <f t="shared" si="66"/>
        <v>0</v>
      </c>
      <c r="AC116" s="709">
        <f t="shared" si="66"/>
        <v>0</v>
      </c>
      <c r="AD116" s="709">
        <f t="shared" si="66"/>
        <v>0</v>
      </c>
      <c r="AE116" s="709">
        <f t="shared" si="66"/>
        <v>0</v>
      </c>
      <c r="AF116" s="709">
        <f t="shared" si="66"/>
        <v>0</v>
      </c>
      <c r="AG116" s="709"/>
      <c r="AH116" s="709">
        <f t="shared" ref="AH116:AS118" si="67">AH4+AH7+AH13+AH16+AH19+AH22+AH25+AH28+AH31+AH34+AH37+AH88+AH91</f>
        <v>96.809239473684215</v>
      </c>
      <c r="AI116" s="709">
        <f t="shared" si="67"/>
        <v>95.885999999999996</v>
      </c>
      <c r="AJ116" s="709">
        <f t="shared" si="67"/>
        <v>98.292000000000002</v>
      </c>
      <c r="AK116" s="709">
        <f t="shared" si="67"/>
        <v>95.182999999999993</v>
      </c>
      <c r="AL116" s="709">
        <f t="shared" si="67"/>
        <v>98.188999999999993</v>
      </c>
      <c r="AM116" s="709">
        <f t="shared" si="67"/>
        <v>97.72699999999999</v>
      </c>
      <c r="AN116" s="709">
        <f t="shared" si="67"/>
        <v>100.70099999999999</v>
      </c>
      <c r="AO116" s="709">
        <f t="shared" si="67"/>
        <v>95.890000000000015</v>
      </c>
      <c r="AP116" s="709">
        <f t="shared" si="67"/>
        <v>96.126999999999995</v>
      </c>
      <c r="AQ116" s="709">
        <f t="shared" si="67"/>
        <v>99.652999999999992</v>
      </c>
      <c r="AR116" s="709">
        <f t="shared" si="67"/>
        <v>99.01</v>
      </c>
      <c r="AS116" s="709">
        <f t="shared" si="67"/>
        <v>100.87456644736842</v>
      </c>
      <c r="AT116" s="709"/>
    </row>
    <row r="117" spans="1:53" hidden="1" outlineLevel="1" x14ac:dyDescent="0.25">
      <c r="A117" s="711" t="s">
        <v>411</v>
      </c>
      <c r="B117" s="707" t="s">
        <v>203</v>
      </c>
      <c r="C117" s="709">
        <f t="shared" si="64"/>
        <v>71.781724122807006</v>
      </c>
      <c r="D117" s="709">
        <f t="shared" si="64"/>
        <v>0</v>
      </c>
      <c r="E117" s="709">
        <f t="shared" si="64"/>
        <v>62.059999999999995</v>
      </c>
      <c r="F117" s="709"/>
      <c r="G117" s="709"/>
      <c r="H117" s="709">
        <f t="shared" si="65"/>
        <v>90.261505921052617</v>
      </c>
      <c r="I117" s="709">
        <f t="shared" si="65"/>
        <v>89.850755263157893</v>
      </c>
      <c r="J117" s="709">
        <f t="shared" si="65"/>
        <v>88.091334868421043</v>
      </c>
      <c r="K117" s="709">
        <f t="shared" si="65"/>
        <v>71.781724122807006</v>
      </c>
      <c r="L117" s="709">
        <f t="shared" si="65"/>
        <v>0</v>
      </c>
      <c r="M117" s="709">
        <f t="shared" si="65"/>
        <v>0</v>
      </c>
      <c r="N117" s="709">
        <f t="shared" si="65"/>
        <v>0</v>
      </c>
      <c r="O117" s="709">
        <f t="shared" si="65"/>
        <v>0</v>
      </c>
      <c r="P117" s="709">
        <f t="shared" si="65"/>
        <v>0</v>
      </c>
      <c r="Q117" s="709">
        <f t="shared" si="65"/>
        <v>0</v>
      </c>
      <c r="R117" s="709" t="e">
        <f>+R16+R19+R25+R28+R31+R34+R37+R40+R43+R46+R49+R52+R55+R58+R61+R64+R67+R70+R73+#REF!+#REF!+R88+R91+R94+R100+R103+R113</f>
        <v>#REF!</v>
      </c>
      <c r="S117" s="723" t="e">
        <f>+S16+S19+S25+S28+S31+S34+S37+S40+S43+S46+S49+S52+S55+S58+S61+S64+S67+S70+S73+#REF!+#REF!+S88+S91+S94+S100+S103+S113</f>
        <v>#REF!</v>
      </c>
      <c r="U117" s="709">
        <f t="shared" si="66"/>
        <v>0</v>
      </c>
      <c r="V117" s="709">
        <f t="shared" si="66"/>
        <v>0</v>
      </c>
      <c r="W117" s="709">
        <f t="shared" si="66"/>
        <v>0</v>
      </c>
      <c r="X117" s="709">
        <f t="shared" si="66"/>
        <v>0</v>
      </c>
      <c r="Y117" s="709">
        <f t="shared" si="66"/>
        <v>0</v>
      </c>
      <c r="Z117" s="709">
        <f t="shared" si="66"/>
        <v>0</v>
      </c>
      <c r="AA117" s="709">
        <f t="shared" si="66"/>
        <v>0</v>
      </c>
      <c r="AB117" s="709">
        <f t="shared" si="66"/>
        <v>0</v>
      </c>
      <c r="AC117" s="709">
        <f t="shared" si="66"/>
        <v>0</v>
      </c>
      <c r="AD117" s="709">
        <f t="shared" si="66"/>
        <v>0</v>
      </c>
      <c r="AE117" s="709">
        <f t="shared" si="66"/>
        <v>0</v>
      </c>
      <c r="AF117" s="709">
        <f t="shared" si="66"/>
        <v>0</v>
      </c>
      <c r="AG117" s="709"/>
      <c r="AH117" s="709">
        <f t="shared" si="67"/>
        <v>84.310437499999992</v>
      </c>
      <c r="AI117" s="709">
        <f t="shared" si="67"/>
        <v>84.429999999999993</v>
      </c>
      <c r="AJ117" s="709">
        <f t="shared" si="67"/>
        <v>77.430000000000007</v>
      </c>
      <c r="AK117" s="709">
        <f t="shared" si="67"/>
        <v>62.059999999999995</v>
      </c>
      <c r="AL117" s="709">
        <f t="shared" si="67"/>
        <v>83.83</v>
      </c>
      <c r="AM117" s="709">
        <f t="shared" si="67"/>
        <v>87.573510087719299</v>
      </c>
      <c r="AN117" s="709">
        <f t="shared" si="67"/>
        <v>77.400000000000006</v>
      </c>
      <c r="AO117" s="709">
        <f t="shared" si="67"/>
        <v>85.43</v>
      </c>
      <c r="AP117" s="709">
        <f t="shared" si="67"/>
        <v>85.1</v>
      </c>
      <c r="AQ117" s="709">
        <f t="shared" si="67"/>
        <v>90.56</v>
      </c>
      <c r="AR117" s="709">
        <f t="shared" si="67"/>
        <v>90.95</v>
      </c>
      <c r="AS117" s="709">
        <f t="shared" si="67"/>
        <v>88.312395394736839</v>
      </c>
      <c r="AT117" s="709"/>
    </row>
    <row r="118" spans="1:53" ht="15.75" hidden="1" outlineLevel="1" thickBot="1" x14ac:dyDescent="0.3">
      <c r="A118" s="711" t="s">
        <v>411</v>
      </c>
      <c r="B118" s="707" t="s">
        <v>204</v>
      </c>
      <c r="C118" s="709">
        <f t="shared" si="64"/>
        <v>6.3630122807017546</v>
      </c>
      <c r="D118" s="709">
        <f t="shared" si="64"/>
        <v>0</v>
      </c>
      <c r="E118" s="709">
        <f t="shared" si="64"/>
        <v>3.3170000000000002</v>
      </c>
      <c r="F118" s="709"/>
      <c r="G118" s="709"/>
      <c r="H118" s="709">
        <f t="shared" si="65"/>
        <v>5.6799256578947368</v>
      </c>
      <c r="I118" s="709">
        <f t="shared" si="65"/>
        <v>6.2896855263157896</v>
      </c>
      <c r="J118" s="709">
        <f t="shared" si="65"/>
        <v>7.1189651315789479</v>
      </c>
      <c r="K118" s="709">
        <f t="shared" si="65"/>
        <v>6.3630122807017546</v>
      </c>
      <c r="L118" s="709">
        <f t="shared" si="65"/>
        <v>0</v>
      </c>
      <c r="M118" s="709">
        <f t="shared" si="65"/>
        <v>0</v>
      </c>
      <c r="N118" s="709">
        <f t="shared" si="65"/>
        <v>0</v>
      </c>
      <c r="O118" s="709">
        <f t="shared" si="65"/>
        <v>0</v>
      </c>
      <c r="P118" s="709">
        <f t="shared" si="65"/>
        <v>0</v>
      </c>
      <c r="Q118" s="709">
        <f t="shared" si="65"/>
        <v>0</v>
      </c>
      <c r="R118" s="709" t="e">
        <f>+R17+R20+R26+R29+R32+R35+R38+R41+R44+R47+R50+R53+R56+R59+R62+R65+R68+R71+R74+#REF!+#REF!+R89+R92+R95+R101+R104+R114</f>
        <v>#REF!</v>
      </c>
      <c r="S118" s="723" t="e">
        <f>+S17+S20+S26+S29+S32+S35+S38+S41+S44+S47+S50+S53+S56+S59+S62+S65+S68+S71+S74+#REF!+#REF!+S89+S92+S95+S101+S104+S114</f>
        <v>#REF!</v>
      </c>
      <c r="U118" s="709">
        <f t="shared" si="66"/>
        <v>0</v>
      </c>
      <c r="V118" s="709">
        <f t="shared" si="66"/>
        <v>0</v>
      </c>
      <c r="W118" s="709">
        <f t="shared" si="66"/>
        <v>0</v>
      </c>
      <c r="X118" s="709">
        <f t="shared" si="66"/>
        <v>0</v>
      </c>
      <c r="Y118" s="709">
        <f t="shared" si="66"/>
        <v>0</v>
      </c>
      <c r="Z118" s="709">
        <f t="shared" si="66"/>
        <v>0</v>
      </c>
      <c r="AA118" s="709">
        <f t="shared" si="66"/>
        <v>0</v>
      </c>
      <c r="AB118" s="709">
        <f t="shared" si="66"/>
        <v>0</v>
      </c>
      <c r="AC118" s="709">
        <f t="shared" si="66"/>
        <v>0</v>
      </c>
      <c r="AD118" s="709">
        <f t="shared" si="66"/>
        <v>0</v>
      </c>
      <c r="AE118" s="709">
        <f t="shared" si="66"/>
        <v>0</v>
      </c>
      <c r="AF118" s="709">
        <f t="shared" si="66"/>
        <v>0</v>
      </c>
      <c r="AG118" s="709"/>
      <c r="AH118" s="709">
        <f t="shared" si="67"/>
        <v>3.3070874999999997</v>
      </c>
      <c r="AI118" s="709">
        <f t="shared" si="67"/>
        <v>4.9020000000000001</v>
      </c>
      <c r="AJ118" s="709">
        <f t="shared" si="67"/>
        <v>3.5620000000000003</v>
      </c>
      <c r="AK118" s="709">
        <f t="shared" si="67"/>
        <v>3.3170000000000002</v>
      </c>
      <c r="AL118" s="709">
        <f t="shared" si="67"/>
        <v>3.0819999999999999</v>
      </c>
      <c r="AM118" s="709">
        <f t="shared" si="67"/>
        <v>2.8210000000000002</v>
      </c>
      <c r="AN118" s="709">
        <f t="shared" si="67"/>
        <v>5.76</v>
      </c>
      <c r="AO118" s="709">
        <f t="shared" si="67"/>
        <v>4.7439999999999998</v>
      </c>
      <c r="AP118" s="709">
        <f t="shared" si="67"/>
        <v>5.34</v>
      </c>
      <c r="AQ118" s="709">
        <f t="shared" si="67"/>
        <v>6.5990000000000002</v>
      </c>
      <c r="AR118" s="709">
        <f t="shared" si="67"/>
        <v>6.3119999999999994</v>
      </c>
      <c r="AS118" s="709">
        <f t="shared" si="67"/>
        <v>6.884980263157896</v>
      </c>
      <c r="AT118" s="709"/>
    </row>
    <row r="119" spans="1:53" hidden="1" outlineLevel="1" x14ac:dyDescent="0.25">
      <c r="A119" s="730"/>
      <c r="B119" s="731"/>
      <c r="C119" s="732"/>
      <c r="D119" s="732"/>
      <c r="E119" s="732"/>
      <c r="F119" s="732"/>
      <c r="G119" s="732"/>
      <c r="H119" s="732"/>
      <c r="I119" s="732"/>
      <c r="J119" s="732"/>
      <c r="K119" s="732"/>
      <c r="L119" s="732"/>
      <c r="M119" s="732"/>
      <c r="N119" s="732"/>
      <c r="O119" s="732"/>
      <c r="P119" s="732"/>
      <c r="Q119" s="732"/>
      <c r="R119" s="732"/>
      <c r="S119" s="733"/>
      <c r="T119" s="734" t="s">
        <v>444</v>
      </c>
      <c r="U119" s="734"/>
      <c r="V119" s="734"/>
      <c r="W119" s="734"/>
      <c r="X119" s="734"/>
      <c r="Y119" s="734"/>
      <c r="Z119" s="734"/>
      <c r="AA119" s="734"/>
      <c r="AB119" s="734"/>
      <c r="AC119" s="734"/>
      <c r="AD119" s="734"/>
      <c r="AE119" s="734"/>
      <c r="AF119" s="734"/>
      <c r="AG119" s="734"/>
      <c r="AH119" s="734"/>
      <c r="AI119" s="734"/>
      <c r="AJ119" s="734"/>
      <c r="AK119" s="734"/>
      <c r="AL119" s="734"/>
      <c r="AM119" s="734"/>
      <c r="AN119" s="734"/>
      <c r="AO119" s="734"/>
      <c r="AP119" s="734"/>
      <c r="AQ119" s="734"/>
      <c r="AR119" s="734"/>
      <c r="AS119" s="734"/>
      <c r="AT119" s="734" t="s">
        <v>443</v>
      </c>
      <c r="AU119" s="735"/>
      <c r="AV119" s="735"/>
      <c r="AW119" s="735" t="s">
        <v>449</v>
      </c>
      <c r="AX119" s="735" t="s">
        <v>449</v>
      </c>
      <c r="AY119" s="735"/>
      <c r="AZ119" s="735" t="s">
        <v>416</v>
      </c>
      <c r="BA119" s="736" t="s">
        <v>453</v>
      </c>
    </row>
    <row r="120" spans="1:53" ht="15.75" hidden="1" outlineLevel="1" thickBot="1" x14ac:dyDescent="0.3">
      <c r="A120" s="737"/>
      <c r="B120" s="738"/>
      <c r="C120" s="739"/>
      <c r="D120" s="739"/>
      <c r="E120" s="739"/>
      <c r="F120" s="739"/>
      <c r="G120" s="739"/>
      <c r="H120" s="739"/>
      <c r="I120" s="739"/>
      <c r="J120" s="739"/>
      <c r="K120" s="739"/>
      <c r="L120" s="739"/>
      <c r="M120" s="739"/>
      <c r="N120" s="739"/>
      <c r="O120" s="739"/>
      <c r="P120" s="739"/>
      <c r="Q120" s="739"/>
      <c r="R120" s="739"/>
      <c r="S120" s="740"/>
      <c r="T120" s="741"/>
      <c r="U120" s="741"/>
      <c r="V120" s="741"/>
      <c r="W120" s="741"/>
      <c r="X120" s="741"/>
      <c r="Y120" s="741"/>
      <c r="Z120" s="741"/>
      <c r="AA120" s="741"/>
      <c r="AB120" s="741"/>
      <c r="AC120" s="741"/>
      <c r="AD120" s="741"/>
      <c r="AE120" s="741"/>
      <c r="AF120" s="741"/>
      <c r="AG120" s="741"/>
      <c r="AH120" s="741"/>
      <c r="AI120" s="741"/>
      <c r="AJ120" s="741"/>
      <c r="AK120" s="741"/>
      <c r="AL120" s="741"/>
      <c r="AM120" s="741"/>
      <c r="AN120" s="741"/>
      <c r="AO120" s="741"/>
      <c r="AP120" s="741"/>
      <c r="AQ120" s="741"/>
      <c r="AR120" s="741"/>
      <c r="AS120" s="741"/>
      <c r="AT120" s="741"/>
      <c r="AU120" s="742"/>
      <c r="AV120" s="742"/>
      <c r="AW120" s="742" t="s">
        <v>450</v>
      </c>
      <c r="AX120" s="742" t="s">
        <v>451</v>
      </c>
      <c r="AY120" s="742"/>
      <c r="AZ120" s="742" t="s">
        <v>452</v>
      </c>
      <c r="BA120" s="743" t="s">
        <v>452</v>
      </c>
    </row>
    <row r="121" spans="1:53" hidden="1" outlineLevel="1" x14ac:dyDescent="0.25">
      <c r="A121" s="744" t="s">
        <v>316</v>
      </c>
      <c r="B121" s="745"/>
      <c r="C121" s="746"/>
      <c r="D121" s="746"/>
      <c r="E121" s="746"/>
      <c r="F121" s="746"/>
      <c r="G121" s="746"/>
      <c r="H121" s="746"/>
      <c r="I121" s="746"/>
      <c r="J121" s="746"/>
      <c r="K121" s="746"/>
      <c r="L121" s="746"/>
      <c r="M121" s="746"/>
      <c r="N121" s="746"/>
      <c r="O121" s="746"/>
      <c r="P121" s="746"/>
      <c r="Q121" s="746"/>
      <c r="R121" s="746"/>
      <c r="S121" s="747"/>
      <c r="T121" s="746">
        <f>+T5</f>
        <v>0.72603229166666672</v>
      </c>
      <c r="U121" s="746"/>
      <c r="V121" s="746"/>
      <c r="W121" s="746"/>
      <c r="X121" s="746"/>
      <c r="Y121" s="746"/>
      <c r="Z121" s="746"/>
      <c r="AA121" s="746"/>
      <c r="AB121" s="746"/>
      <c r="AC121" s="746"/>
      <c r="AD121" s="746"/>
      <c r="AE121" s="746"/>
      <c r="AF121" s="746"/>
      <c r="AG121" s="746"/>
      <c r="AH121" s="746"/>
      <c r="AI121" s="746"/>
      <c r="AJ121" s="746"/>
      <c r="AK121" s="746"/>
      <c r="AL121" s="746"/>
      <c r="AM121" s="746"/>
      <c r="AN121" s="746"/>
      <c r="AO121" s="746"/>
      <c r="AP121" s="746"/>
      <c r="AQ121" s="746"/>
      <c r="AR121" s="746"/>
      <c r="AS121" s="746"/>
      <c r="AT121" s="746">
        <f>+AT5</f>
        <v>1.7672076754385966</v>
      </c>
      <c r="AU121" s="450"/>
      <c r="AV121" s="450"/>
      <c r="AW121" s="451" t="e">
        <f>+((AU121/AV121)*AT121)-T121</f>
        <v>#DIV/0!</v>
      </c>
      <c r="AX121" s="451">
        <f>+AT121*BA121-T121</f>
        <v>-47505.035555756585</v>
      </c>
      <c r="AY121" s="745"/>
      <c r="AZ121" s="452" t="e">
        <f>+AU121/AV121</f>
        <v>#DIV/0!</v>
      </c>
      <c r="BA121" s="453">
        <f>+'Test Number'!S4/'Test Number'!AT4</f>
        <v>-26881</v>
      </c>
    </row>
    <row r="122" spans="1:53" hidden="1" outlineLevel="1" collapsed="1" x14ac:dyDescent="0.25">
      <c r="A122" s="748" t="s">
        <v>317</v>
      </c>
      <c r="B122" s="749"/>
      <c r="C122" s="750"/>
      <c r="D122" s="750"/>
      <c r="E122" s="750"/>
      <c r="F122" s="750"/>
      <c r="G122" s="750"/>
      <c r="H122" s="750"/>
      <c r="I122" s="750"/>
      <c r="J122" s="750"/>
      <c r="K122" s="750"/>
      <c r="L122" s="750"/>
      <c r="M122" s="750"/>
      <c r="N122" s="750"/>
      <c r="O122" s="750"/>
      <c r="P122" s="750"/>
      <c r="Q122" s="750"/>
      <c r="R122" s="750"/>
      <c r="S122" s="751"/>
      <c r="T122" s="750">
        <f>+T8</f>
        <v>0</v>
      </c>
      <c r="U122" s="750"/>
      <c r="V122" s="750"/>
      <c r="W122" s="750"/>
      <c r="X122" s="750"/>
      <c r="Y122" s="750"/>
      <c r="Z122" s="750"/>
      <c r="AA122" s="750"/>
      <c r="AB122" s="750"/>
      <c r="AC122" s="750"/>
      <c r="AD122" s="750"/>
      <c r="AE122" s="750"/>
      <c r="AF122" s="750"/>
      <c r="AG122" s="750"/>
      <c r="AH122" s="750"/>
      <c r="AI122" s="750"/>
      <c r="AJ122" s="750"/>
      <c r="AK122" s="750"/>
      <c r="AL122" s="750"/>
      <c r="AM122" s="750"/>
      <c r="AN122" s="750"/>
      <c r="AO122" s="750"/>
      <c r="AP122" s="750"/>
      <c r="AQ122" s="750"/>
      <c r="AR122" s="750"/>
      <c r="AS122" s="750"/>
      <c r="AT122" s="750">
        <f>+AT8</f>
        <v>0</v>
      </c>
      <c r="AU122" s="454"/>
      <c r="AV122" s="454"/>
      <c r="AW122" s="455" t="e">
        <f>+((AU122/AV122)*AT122)-T122</f>
        <v>#DIV/0!</v>
      </c>
      <c r="AX122" s="455">
        <f>+AT122*BA122-T122</f>
        <v>0</v>
      </c>
      <c r="AY122" s="749"/>
      <c r="AZ122" s="456" t="e">
        <f>+AU122/AV122</f>
        <v>#DIV/0!</v>
      </c>
      <c r="BA122" s="457">
        <f>+'Test Number'!S5/'Test Number'!AT5</f>
        <v>-390</v>
      </c>
    </row>
    <row r="123" spans="1:53" hidden="1" outlineLevel="1" x14ac:dyDescent="0.25">
      <c r="A123" s="748" t="s">
        <v>319</v>
      </c>
      <c r="B123" s="749"/>
      <c r="C123" s="750"/>
      <c r="D123" s="750"/>
      <c r="E123" s="750"/>
      <c r="F123" s="750"/>
      <c r="G123" s="750"/>
      <c r="H123" s="750"/>
      <c r="I123" s="750"/>
      <c r="J123" s="750"/>
      <c r="K123" s="750"/>
      <c r="L123" s="750"/>
      <c r="M123" s="750"/>
      <c r="N123" s="750"/>
      <c r="O123" s="750"/>
      <c r="P123" s="750"/>
      <c r="Q123" s="750"/>
      <c r="R123" s="750"/>
      <c r="S123" s="751"/>
      <c r="T123" s="750"/>
      <c r="U123" s="750"/>
      <c r="V123" s="750"/>
      <c r="W123" s="750"/>
      <c r="X123" s="750"/>
      <c r="Y123" s="750"/>
      <c r="Z123" s="750"/>
      <c r="AA123" s="750"/>
      <c r="AB123" s="750"/>
      <c r="AC123" s="750"/>
      <c r="AD123" s="750"/>
      <c r="AE123" s="750"/>
      <c r="AF123" s="750"/>
      <c r="AG123" s="750"/>
      <c r="AH123" s="750"/>
      <c r="AI123" s="750"/>
      <c r="AJ123" s="750"/>
      <c r="AK123" s="750"/>
      <c r="AL123" s="750"/>
      <c r="AM123" s="750"/>
      <c r="AN123" s="750"/>
      <c r="AO123" s="750"/>
      <c r="AP123" s="750"/>
      <c r="AQ123" s="750"/>
      <c r="AR123" s="750"/>
      <c r="AS123" s="750"/>
      <c r="AT123" s="750"/>
      <c r="AU123" s="454"/>
      <c r="AV123" s="454"/>
      <c r="AW123" s="455"/>
      <c r="AX123" s="455"/>
      <c r="AY123" s="749"/>
      <c r="AZ123" s="456" t="e">
        <f t="shared" ref="AZ123:AZ162" si="68">+AU123/AV123</f>
        <v>#DIV/0!</v>
      </c>
      <c r="BA123" s="457"/>
    </row>
    <row r="124" spans="1:53" hidden="1" outlineLevel="1" x14ac:dyDescent="0.25">
      <c r="A124" s="748" t="s">
        <v>320</v>
      </c>
      <c r="B124" s="749"/>
      <c r="C124" s="750"/>
      <c r="D124" s="750"/>
      <c r="E124" s="750"/>
      <c r="F124" s="750"/>
      <c r="G124" s="750"/>
      <c r="H124" s="750"/>
      <c r="I124" s="750"/>
      <c r="J124" s="750"/>
      <c r="K124" s="750"/>
      <c r="L124" s="750"/>
      <c r="M124" s="750"/>
      <c r="N124" s="750"/>
      <c r="O124" s="750"/>
      <c r="P124" s="750"/>
      <c r="Q124" s="750"/>
      <c r="R124" s="750"/>
      <c r="S124" s="751"/>
      <c r="T124" s="750"/>
      <c r="U124" s="750"/>
      <c r="V124" s="750"/>
      <c r="W124" s="750"/>
      <c r="X124" s="750"/>
      <c r="Y124" s="750"/>
      <c r="Z124" s="750"/>
      <c r="AA124" s="750"/>
      <c r="AB124" s="750"/>
      <c r="AC124" s="750"/>
      <c r="AD124" s="750"/>
      <c r="AE124" s="750"/>
      <c r="AF124" s="750"/>
      <c r="AG124" s="750"/>
      <c r="AH124" s="750"/>
      <c r="AI124" s="750"/>
      <c r="AJ124" s="750"/>
      <c r="AK124" s="750"/>
      <c r="AL124" s="750"/>
      <c r="AM124" s="750"/>
      <c r="AN124" s="750"/>
      <c r="AO124" s="750"/>
      <c r="AP124" s="750"/>
      <c r="AQ124" s="750"/>
      <c r="AR124" s="750"/>
      <c r="AS124" s="750"/>
      <c r="AT124" s="750"/>
      <c r="AU124" s="454"/>
      <c r="AV124" s="454"/>
      <c r="AW124" s="455"/>
      <c r="AX124" s="455"/>
      <c r="AY124" s="749"/>
      <c r="AZ124" s="456" t="e">
        <f t="shared" si="68"/>
        <v>#DIV/0!</v>
      </c>
      <c r="BA124" s="457"/>
    </row>
    <row r="125" spans="1:53" hidden="1" outlineLevel="1" x14ac:dyDescent="0.25">
      <c r="A125" s="748" t="s">
        <v>321</v>
      </c>
      <c r="B125" s="749"/>
      <c r="C125" s="750"/>
      <c r="D125" s="750"/>
      <c r="E125" s="750"/>
      <c r="F125" s="750"/>
      <c r="G125" s="750"/>
      <c r="H125" s="750"/>
      <c r="I125" s="750"/>
      <c r="J125" s="750"/>
      <c r="K125" s="750"/>
      <c r="L125" s="750"/>
      <c r="M125" s="750"/>
      <c r="N125" s="750"/>
      <c r="O125" s="750"/>
      <c r="P125" s="750"/>
      <c r="Q125" s="750"/>
      <c r="R125" s="750"/>
      <c r="S125" s="751"/>
      <c r="T125" s="750"/>
      <c r="U125" s="750"/>
      <c r="V125" s="750"/>
      <c r="W125" s="750"/>
      <c r="X125" s="750"/>
      <c r="Y125" s="750"/>
      <c r="Z125" s="750"/>
      <c r="AA125" s="750"/>
      <c r="AB125" s="750"/>
      <c r="AC125" s="750"/>
      <c r="AD125" s="750"/>
      <c r="AE125" s="750"/>
      <c r="AF125" s="750"/>
      <c r="AG125" s="750"/>
      <c r="AH125" s="750"/>
      <c r="AI125" s="750"/>
      <c r="AJ125" s="750"/>
      <c r="AK125" s="750"/>
      <c r="AL125" s="750"/>
      <c r="AM125" s="750"/>
      <c r="AN125" s="750"/>
      <c r="AO125" s="750"/>
      <c r="AP125" s="750"/>
      <c r="AQ125" s="750"/>
      <c r="AR125" s="750"/>
      <c r="AS125" s="750"/>
      <c r="AT125" s="750"/>
      <c r="AU125" s="454"/>
      <c r="AV125" s="454"/>
      <c r="AW125" s="455"/>
      <c r="AX125" s="455"/>
      <c r="AY125" s="749"/>
      <c r="AZ125" s="456" t="e">
        <f t="shared" si="68"/>
        <v>#DIV/0!</v>
      </c>
      <c r="BA125" s="457"/>
    </row>
    <row r="126" spans="1:53" hidden="1" outlineLevel="1" x14ac:dyDescent="0.25">
      <c r="A126" s="748" t="s">
        <v>322</v>
      </c>
      <c r="B126" s="749"/>
      <c r="C126" s="750"/>
      <c r="D126" s="750"/>
      <c r="E126" s="750"/>
      <c r="F126" s="750"/>
      <c r="G126" s="750"/>
      <c r="H126" s="750"/>
      <c r="I126" s="750"/>
      <c r="J126" s="750"/>
      <c r="K126" s="750"/>
      <c r="L126" s="750"/>
      <c r="M126" s="750"/>
      <c r="N126" s="750"/>
      <c r="O126" s="750"/>
      <c r="P126" s="750"/>
      <c r="Q126" s="750"/>
      <c r="R126" s="750"/>
      <c r="S126" s="751"/>
      <c r="T126" s="750">
        <f>+T23</f>
        <v>12.067250877192981</v>
      </c>
      <c r="U126" s="750"/>
      <c r="V126" s="750"/>
      <c r="W126" s="750"/>
      <c r="X126" s="750"/>
      <c r="Y126" s="750"/>
      <c r="Z126" s="750"/>
      <c r="AA126" s="750"/>
      <c r="AB126" s="750"/>
      <c r="AC126" s="750"/>
      <c r="AD126" s="750"/>
      <c r="AE126" s="750"/>
      <c r="AF126" s="750"/>
      <c r="AG126" s="750"/>
      <c r="AH126" s="750"/>
      <c r="AI126" s="750"/>
      <c r="AJ126" s="750"/>
      <c r="AK126" s="750"/>
      <c r="AL126" s="750"/>
      <c r="AM126" s="750"/>
      <c r="AN126" s="750"/>
      <c r="AO126" s="750"/>
      <c r="AP126" s="750"/>
      <c r="AQ126" s="750"/>
      <c r="AR126" s="750"/>
      <c r="AS126" s="750"/>
      <c r="AT126" s="750">
        <f>+AT23</f>
        <v>13.129604824561405</v>
      </c>
      <c r="AU126" s="454"/>
      <c r="AV126" s="454"/>
      <c r="AW126" s="455" t="e">
        <f>+((AU126/AV126)*AT126)-T126</f>
        <v>#DIV/0!</v>
      </c>
      <c r="AX126" s="455">
        <f>+AT126*BA126-T126</f>
        <v>-146157.69855307016</v>
      </c>
      <c r="AY126" s="749"/>
      <c r="AZ126" s="456" t="e">
        <f t="shared" si="68"/>
        <v>#DIV/0!</v>
      </c>
      <c r="BA126" s="457">
        <f>+'Test Number'!S11/'Test Number'!AT11</f>
        <v>-11131</v>
      </c>
    </row>
    <row r="127" spans="1:53" hidden="1" outlineLevel="1" x14ac:dyDescent="0.25">
      <c r="A127" s="748" t="s">
        <v>323</v>
      </c>
      <c r="B127" s="749"/>
      <c r="C127" s="750"/>
      <c r="D127" s="750"/>
      <c r="E127" s="750"/>
      <c r="F127" s="750"/>
      <c r="G127" s="750"/>
      <c r="H127" s="750"/>
      <c r="I127" s="750"/>
      <c r="J127" s="750"/>
      <c r="K127" s="750"/>
      <c r="L127" s="750"/>
      <c r="M127" s="750"/>
      <c r="N127" s="750"/>
      <c r="O127" s="750"/>
      <c r="P127" s="750"/>
      <c r="Q127" s="750"/>
      <c r="R127" s="750"/>
      <c r="S127" s="751"/>
      <c r="T127" s="750">
        <f>+T26</f>
        <v>0.90745614035087718</v>
      </c>
      <c r="U127" s="750"/>
      <c r="V127" s="750"/>
      <c r="W127" s="750"/>
      <c r="X127" s="750"/>
      <c r="Y127" s="750"/>
      <c r="Z127" s="750"/>
      <c r="AA127" s="750"/>
      <c r="AB127" s="750"/>
      <c r="AC127" s="750"/>
      <c r="AD127" s="750"/>
      <c r="AE127" s="750"/>
      <c r="AF127" s="750"/>
      <c r="AG127" s="750"/>
      <c r="AH127" s="750"/>
      <c r="AI127" s="750"/>
      <c r="AJ127" s="750"/>
      <c r="AK127" s="750"/>
      <c r="AL127" s="750"/>
      <c r="AM127" s="750"/>
      <c r="AN127" s="750"/>
      <c r="AO127" s="750"/>
      <c r="AP127" s="750"/>
      <c r="AQ127" s="750"/>
      <c r="AR127" s="750"/>
      <c r="AS127" s="750"/>
      <c r="AT127" s="750">
        <f>+AT26</f>
        <v>3.2666666666666671</v>
      </c>
      <c r="AU127" s="454"/>
      <c r="AV127" s="454"/>
      <c r="AW127" s="455" t="e">
        <f>+((AU127/AV127)*AT127)-T127</f>
        <v>#DIV/0!</v>
      </c>
      <c r="AX127" s="455"/>
      <c r="AY127" s="749"/>
      <c r="AZ127" s="456" t="e">
        <f t="shared" si="68"/>
        <v>#DIV/0!</v>
      </c>
      <c r="BA127" s="457"/>
    </row>
    <row r="128" spans="1:53" hidden="1" outlineLevel="1" x14ac:dyDescent="0.25">
      <c r="A128" s="748" t="s">
        <v>324</v>
      </c>
      <c r="B128" s="749"/>
      <c r="C128" s="750"/>
      <c r="D128" s="750"/>
      <c r="E128" s="750"/>
      <c r="F128" s="750"/>
      <c r="G128" s="750"/>
      <c r="H128" s="750"/>
      <c r="I128" s="750"/>
      <c r="J128" s="750"/>
      <c r="K128" s="750"/>
      <c r="L128" s="750"/>
      <c r="M128" s="750"/>
      <c r="N128" s="750"/>
      <c r="O128" s="750"/>
      <c r="P128" s="750"/>
      <c r="Q128" s="750"/>
      <c r="R128" s="750"/>
      <c r="S128" s="751"/>
      <c r="T128" s="750">
        <f>+T29</f>
        <v>9.9194072368421047</v>
      </c>
      <c r="U128" s="750"/>
      <c r="V128" s="750"/>
      <c r="W128" s="750"/>
      <c r="X128" s="750"/>
      <c r="Y128" s="750"/>
      <c r="Z128" s="750"/>
      <c r="AA128" s="750"/>
      <c r="AB128" s="750"/>
      <c r="AC128" s="750"/>
      <c r="AD128" s="750"/>
      <c r="AE128" s="750"/>
      <c r="AF128" s="750"/>
      <c r="AG128" s="750"/>
      <c r="AH128" s="750"/>
      <c r="AI128" s="750"/>
      <c r="AJ128" s="750"/>
      <c r="AK128" s="750"/>
      <c r="AL128" s="750"/>
      <c r="AM128" s="750"/>
      <c r="AN128" s="750"/>
      <c r="AO128" s="750"/>
      <c r="AP128" s="750"/>
      <c r="AQ128" s="750"/>
      <c r="AR128" s="750"/>
      <c r="AS128" s="750"/>
      <c r="AT128" s="750">
        <f>+AT29</f>
        <v>8.68</v>
      </c>
      <c r="AU128" s="454"/>
      <c r="AV128" s="454"/>
      <c r="AW128" s="455" t="e">
        <f>+((AU128/AV128)*AT128)-T128</f>
        <v>#DIV/0!</v>
      </c>
      <c r="AX128" s="455">
        <f>+AT128*BA128-T128</f>
        <v>0.17130988158612759</v>
      </c>
      <c r="AY128" s="749"/>
      <c r="AZ128" s="456" t="e">
        <f t="shared" si="68"/>
        <v>#DIV/0!</v>
      </c>
      <c r="BA128" s="457">
        <f>+Snapshot!AB11/Snapshot!AC11</f>
        <v>1.1625250136438057</v>
      </c>
    </row>
    <row r="129" spans="1:53" hidden="1" outlineLevel="1" x14ac:dyDescent="0.25">
      <c r="A129" s="748" t="s">
        <v>325</v>
      </c>
      <c r="B129" s="749"/>
      <c r="C129" s="750"/>
      <c r="D129" s="750"/>
      <c r="E129" s="750"/>
      <c r="F129" s="750"/>
      <c r="G129" s="750"/>
      <c r="H129" s="750"/>
      <c r="I129" s="750"/>
      <c r="J129" s="750"/>
      <c r="K129" s="750"/>
      <c r="L129" s="750"/>
      <c r="M129" s="750"/>
      <c r="N129" s="750"/>
      <c r="O129" s="750"/>
      <c r="P129" s="750"/>
      <c r="Q129" s="750"/>
      <c r="R129" s="750"/>
      <c r="S129" s="751"/>
      <c r="T129" s="750" t="e">
        <f>+#REF!</f>
        <v>#REF!</v>
      </c>
      <c r="U129" s="750"/>
      <c r="V129" s="750"/>
      <c r="W129" s="750"/>
      <c r="X129" s="750"/>
      <c r="Y129" s="750"/>
      <c r="Z129" s="750"/>
      <c r="AA129" s="750"/>
      <c r="AB129" s="750"/>
      <c r="AC129" s="750"/>
      <c r="AD129" s="750"/>
      <c r="AE129" s="750"/>
      <c r="AF129" s="750"/>
      <c r="AG129" s="750"/>
      <c r="AH129" s="750"/>
      <c r="AI129" s="750"/>
      <c r="AJ129" s="750"/>
      <c r="AK129" s="750"/>
      <c r="AL129" s="750"/>
      <c r="AM129" s="750"/>
      <c r="AN129" s="750"/>
      <c r="AO129" s="750"/>
      <c r="AP129" s="750"/>
      <c r="AQ129" s="750"/>
      <c r="AR129" s="750"/>
      <c r="AS129" s="750"/>
      <c r="AT129" s="750" t="e">
        <f>+#REF!</f>
        <v>#REF!</v>
      </c>
      <c r="AU129" s="454"/>
      <c r="AV129" s="454"/>
      <c r="AW129" s="455" t="e">
        <f>+((AU129/AV129)*AT129)-T129</f>
        <v>#DIV/0!</v>
      </c>
      <c r="AX129" s="455" t="e">
        <f>+AT129*BA129-T129</f>
        <v>#REF!</v>
      </c>
      <c r="AY129" s="749"/>
      <c r="AZ129" s="456" t="e">
        <f t="shared" si="68"/>
        <v>#DIV/0!</v>
      </c>
      <c r="BA129" s="457">
        <f>+'Test Number'!S14/'Test Number'!AT14</f>
        <v>-27488</v>
      </c>
    </row>
    <row r="130" spans="1:53" hidden="1" outlineLevel="1" x14ac:dyDescent="0.25">
      <c r="A130" s="748" t="s">
        <v>326</v>
      </c>
      <c r="B130" s="749"/>
      <c r="C130" s="750"/>
      <c r="D130" s="750"/>
      <c r="E130" s="750"/>
      <c r="F130" s="750"/>
      <c r="G130" s="750"/>
      <c r="H130" s="750"/>
      <c r="I130" s="750"/>
      <c r="J130" s="750"/>
      <c r="K130" s="750"/>
      <c r="L130" s="750"/>
      <c r="M130" s="750"/>
      <c r="N130" s="750"/>
      <c r="O130" s="750"/>
      <c r="P130" s="750"/>
      <c r="Q130" s="750"/>
      <c r="R130" s="750"/>
      <c r="S130" s="751"/>
      <c r="T130" s="750" t="e">
        <f>+#REF!</f>
        <v>#REF!</v>
      </c>
      <c r="U130" s="750"/>
      <c r="V130" s="750"/>
      <c r="W130" s="750"/>
      <c r="X130" s="750"/>
      <c r="Y130" s="750"/>
      <c r="Z130" s="750"/>
      <c r="AA130" s="750"/>
      <c r="AB130" s="750"/>
      <c r="AC130" s="750"/>
      <c r="AD130" s="750"/>
      <c r="AE130" s="750"/>
      <c r="AF130" s="750"/>
      <c r="AG130" s="750"/>
      <c r="AH130" s="750"/>
      <c r="AI130" s="750"/>
      <c r="AJ130" s="750"/>
      <c r="AK130" s="750"/>
      <c r="AL130" s="750"/>
      <c r="AM130" s="750"/>
      <c r="AN130" s="750"/>
      <c r="AO130" s="750"/>
      <c r="AP130" s="750"/>
      <c r="AQ130" s="750"/>
      <c r="AR130" s="750"/>
      <c r="AS130" s="750"/>
      <c r="AT130" s="750" t="e">
        <f>+#REF!</f>
        <v>#REF!</v>
      </c>
      <c r="AU130" s="454"/>
      <c r="AV130" s="454"/>
      <c r="AW130" s="455" t="e">
        <f>+((AU130/AV130)*AT130)-T130</f>
        <v>#DIV/0!</v>
      </c>
      <c r="AX130" s="455" t="e">
        <f>+AT130*BA130-T130</f>
        <v>#REF!</v>
      </c>
      <c r="AY130" s="749"/>
      <c r="AZ130" s="456" t="e">
        <f t="shared" si="68"/>
        <v>#DIV/0!</v>
      </c>
      <c r="BA130" s="457">
        <f>+'Test Number'!S15/'Test Number'!AT15</f>
        <v>-60177</v>
      </c>
    </row>
    <row r="131" spans="1:53" ht="15.75" hidden="1" outlineLevel="1" thickBot="1" x14ac:dyDescent="0.3">
      <c r="A131" s="752" t="s">
        <v>327</v>
      </c>
      <c r="B131" s="753"/>
      <c r="C131" s="754"/>
      <c r="D131" s="754"/>
      <c r="E131" s="754"/>
      <c r="F131" s="754"/>
      <c r="G131" s="754"/>
      <c r="H131" s="754"/>
      <c r="I131" s="754"/>
      <c r="J131" s="754"/>
      <c r="K131" s="754"/>
      <c r="L131" s="754"/>
      <c r="M131" s="754"/>
      <c r="N131" s="754"/>
      <c r="O131" s="754"/>
      <c r="P131" s="754"/>
      <c r="Q131" s="754"/>
      <c r="R131" s="754"/>
      <c r="S131" s="755"/>
      <c r="T131" s="754" t="e">
        <f>+#REF!</f>
        <v>#REF!</v>
      </c>
      <c r="U131" s="754"/>
      <c r="V131" s="754"/>
      <c r="W131" s="754"/>
      <c r="X131" s="754"/>
      <c r="Y131" s="754"/>
      <c r="Z131" s="754"/>
      <c r="AA131" s="754"/>
      <c r="AB131" s="754"/>
      <c r="AC131" s="754"/>
      <c r="AD131" s="754"/>
      <c r="AE131" s="754"/>
      <c r="AF131" s="754"/>
      <c r="AG131" s="754"/>
      <c r="AH131" s="754"/>
      <c r="AI131" s="754"/>
      <c r="AJ131" s="754"/>
      <c r="AK131" s="754"/>
      <c r="AL131" s="754"/>
      <c r="AM131" s="754"/>
      <c r="AN131" s="754"/>
      <c r="AO131" s="754"/>
      <c r="AP131" s="754"/>
      <c r="AQ131" s="754"/>
      <c r="AR131" s="754"/>
      <c r="AS131" s="754"/>
      <c r="AT131" s="754" t="e">
        <f>+#REF!</f>
        <v>#REF!</v>
      </c>
      <c r="AU131" s="458"/>
      <c r="AV131" s="458"/>
      <c r="AW131" s="459" t="e">
        <f t="shared" ref="AW131:AW162" si="69">+((AU131/AV131)*AT131)-T131</f>
        <v>#DIV/0!</v>
      </c>
      <c r="AX131" s="459" t="e">
        <f t="shared" ref="AX131:AX162" si="70">+AT131*BA131-T131</f>
        <v>#REF!</v>
      </c>
      <c r="AY131" s="753"/>
      <c r="AZ131" s="460" t="e">
        <f t="shared" si="68"/>
        <v>#DIV/0!</v>
      </c>
      <c r="BA131" s="461">
        <f>+'Test Number'!S16/'Test Number'!AT16</f>
        <v>-91439</v>
      </c>
    </row>
    <row r="132" spans="1:53" hidden="1" outlineLevel="1" x14ac:dyDescent="0.25">
      <c r="A132" s="703" t="s">
        <v>328</v>
      </c>
      <c r="C132" s="709"/>
      <c r="D132" s="709"/>
      <c r="E132" s="709"/>
      <c r="F132" s="709"/>
      <c r="G132" s="709"/>
      <c r="H132" s="709"/>
      <c r="I132" s="709"/>
      <c r="J132" s="709"/>
      <c r="K132" s="709"/>
      <c r="L132" s="709"/>
      <c r="M132" s="709"/>
      <c r="N132" s="709"/>
      <c r="O132" s="709"/>
      <c r="P132" s="709"/>
      <c r="Q132" s="709"/>
      <c r="R132" s="709"/>
      <c r="S132" s="723"/>
      <c r="T132" s="709">
        <f>+T41</f>
        <v>1.5791118421052632</v>
      </c>
      <c r="U132" s="709"/>
      <c r="V132" s="709"/>
      <c r="W132" s="709"/>
      <c r="X132" s="709"/>
      <c r="Y132" s="709"/>
      <c r="Z132" s="709"/>
      <c r="AA132" s="709"/>
      <c r="AB132" s="709"/>
      <c r="AC132" s="709"/>
      <c r="AD132" s="709"/>
      <c r="AE132" s="709"/>
      <c r="AF132" s="709"/>
      <c r="AG132" s="709"/>
      <c r="AH132" s="709"/>
      <c r="AI132" s="709"/>
      <c r="AJ132" s="709"/>
      <c r="AK132" s="709"/>
      <c r="AL132" s="709"/>
      <c r="AM132" s="709"/>
      <c r="AN132" s="709"/>
      <c r="AO132" s="709"/>
      <c r="AP132" s="709"/>
      <c r="AQ132" s="709"/>
      <c r="AR132" s="709"/>
      <c r="AS132" s="709"/>
      <c r="AT132" s="709">
        <f>+AT41</f>
        <v>1.31</v>
      </c>
      <c r="AU132" s="441"/>
      <c r="AV132" s="441"/>
      <c r="AW132" s="448" t="e">
        <f t="shared" si="69"/>
        <v>#DIV/0!</v>
      </c>
      <c r="AX132" s="448">
        <f t="shared" si="70"/>
        <v>-1.5791118421052632</v>
      </c>
      <c r="AZ132" s="449" t="e">
        <f t="shared" si="68"/>
        <v>#DIV/0!</v>
      </c>
      <c r="BA132" s="449"/>
    </row>
    <row r="133" spans="1:53" hidden="1" outlineLevel="1" x14ac:dyDescent="0.25">
      <c r="A133" s="703" t="s">
        <v>329</v>
      </c>
      <c r="C133" s="709"/>
      <c r="D133" s="709"/>
      <c r="E133" s="709"/>
      <c r="F133" s="709"/>
      <c r="G133" s="709"/>
      <c r="H133" s="709"/>
      <c r="I133" s="709"/>
      <c r="J133" s="709"/>
      <c r="K133" s="709"/>
      <c r="L133" s="709"/>
      <c r="M133" s="709"/>
      <c r="N133" s="709"/>
      <c r="O133" s="709"/>
      <c r="P133" s="709"/>
      <c r="Q133" s="709"/>
      <c r="R133" s="709"/>
      <c r="S133" s="723"/>
      <c r="T133" s="709">
        <f>+T44</f>
        <v>0.79263530701754381</v>
      </c>
      <c r="U133" s="709"/>
      <c r="V133" s="709"/>
      <c r="W133" s="709"/>
      <c r="X133" s="709"/>
      <c r="Y133" s="709"/>
      <c r="Z133" s="709"/>
      <c r="AA133" s="709"/>
      <c r="AB133" s="709"/>
      <c r="AC133" s="709"/>
      <c r="AD133" s="709"/>
      <c r="AE133" s="709"/>
      <c r="AF133" s="709"/>
      <c r="AG133" s="709"/>
      <c r="AH133" s="709"/>
      <c r="AI133" s="709"/>
      <c r="AJ133" s="709"/>
      <c r="AK133" s="709"/>
      <c r="AL133" s="709"/>
      <c r="AM133" s="709"/>
      <c r="AN133" s="709"/>
      <c r="AO133" s="709"/>
      <c r="AP133" s="709"/>
      <c r="AQ133" s="709"/>
      <c r="AR133" s="709"/>
      <c r="AS133" s="709"/>
      <c r="AT133" s="709">
        <f>+AT44</f>
        <v>1.8666666666666665</v>
      </c>
      <c r="AU133" s="441"/>
      <c r="AV133" s="441"/>
      <c r="AW133" s="448" t="e">
        <f t="shared" si="69"/>
        <v>#DIV/0!</v>
      </c>
      <c r="AX133" s="448">
        <f t="shared" si="70"/>
        <v>-0.79263530701754381</v>
      </c>
      <c r="AZ133" s="449" t="e">
        <f t="shared" si="68"/>
        <v>#DIV/0!</v>
      </c>
      <c r="BA133" s="449"/>
    </row>
    <row r="134" spans="1:53" hidden="1" outlineLevel="1" x14ac:dyDescent="0.25">
      <c r="A134" s="703" t="s">
        <v>330</v>
      </c>
      <c r="C134" s="709"/>
      <c r="D134" s="709"/>
      <c r="E134" s="709"/>
      <c r="F134" s="709"/>
      <c r="G134" s="709"/>
      <c r="H134" s="709"/>
      <c r="I134" s="709"/>
      <c r="J134" s="709"/>
      <c r="K134" s="709"/>
      <c r="L134" s="709"/>
      <c r="M134" s="709"/>
      <c r="N134" s="709"/>
      <c r="O134" s="709"/>
      <c r="P134" s="709"/>
      <c r="Q134" s="709"/>
      <c r="R134" s="709"/>
      <c r="S134" s="723"/>
      <c r="T134" s="709">
        <f>+T47</f>
        <v>1.675</v>
      </c>
      <c r="U134" s="709"/>
      <c r="V134" s="709"/>
      <c r="W134" s="709"/>
      <c r="X134" s="709"/>
      <c r="Y134" s="709"/>
      <c r="Z134" s="709"/>
      <c r="AA134" s="709"/>
      <c r="AB134" s="709"/>
      <c r="AC134" s="709"/>
      <c r="AD134" s="709"/>
      <c r="AE134" s="709"/>
      <c r="AF134" s="709"/>
      <c r="AG134" s="709"/>
      <c r="AH134" s="709"/>
      <c r="AI134" s="709"/>
      <c r="AJ134" s="709"/>
      <c r="AK134" s="709"/>
      <c r="AL134" s="709"/>
      <c r="AM134" s="709"/>
      <c r="AN134" s="709"/>
      <c r="AO134" s="709"/>
      <c r="AP134" s="709"/>
      <c r="AQ134" s="709"/>
      <c r="AR134" s="709"/>
      <c r="AS134" s="709"/>
      <c r="AT134" s="709">
        <f>+AT47</f>
        <v>0.89999999999999991</v>
      </c>
      <c r="AU134" s="441"/>
      <c r="AV134" s="441"/>
      <c r="AW134" s="448" t="e">
        <f t="shared" si="69"/>
        <v>#DIV/0!</v>
      </c>
      <c r="AX134" s="448">
        <f t="shared" si="70"/>
        <v>-1.675</v>
      </c>
      <c r="AZ134" s="449" t="e">
        <f t="shared" si="68"/>
        <v>#DIV/0!</v>
      </c>
      <c r="BA134" s="449"/>
    </row>
    <row r="135" spans="1:53" hidden="1" outlineLevel="1" x14ac:dyDescent="0.25">
      <c r="A135" s="703" t="s">
        <v>284</v>
      </c>
      <c r="C135" s="709"/>
      <c r="D135" s="709"/>
      <c r="E135" s="709"/>
      <c r="F135" s="709"/>
      <c r="G135" s="709"/>
      <c r="H135" s="709"/>
      <c r="I135" s="709"/>
      <c r="J135" s="709"/>
      <c r="K135" s="709"/>
      <c r="L135" s="709"/>
      <c r="M135" s="709"/>
      <c r="N135" s="709"/>
      <c r="O135" s="709"/>
      <c r="P135" s="709"/>
      <c r="Q135" s="709"/>
      <c r="R135" s="709"/>
      <c r="S135" s="723"/>
      <c r="T135" s="709">
        <f>+T50</f>
        <v>0</v>
      </c>
      <c r="U135" s="709"/>
      <c r="V135" s="709"/>
      <c r="W135" s="709"/>
      <c r="X135" s="709"/>
      <c r="Y135" s="709"/>
      <c r="Z135" s="709"/>
      <c r="AA135" s="709"/>
      <c r="AB135" s="709"/>
      <c r="AC135" s="709"/>
      <c r="AD135" s="709"/>
      <c r="AE135" s="709"/>
      <c r="AF135" s="709"/>
      <c r="AG135" s="709"/>
      <c r="AH135" s="709"/>
      <c r="AI135" s="709"/>
      <c r="AJ135" s="709"/>
      <c r="AK135" s="709"/>
      <c r="AL135" s="709"/>
      <c r="AM135" s="709"/>
      <c r="AN135" s="709"/>
      <c r="AO135" s="709"/>
      <c r="AP135" s="709"/>
      <c r="AQ135" s="709"/>
      <c r="AR135" s="709"/>
      <c r="AS135" s="709"/>
      <c r="AT135" s="709">
        <f>+AT50</f>
        <v>0</v>
      </c>
      <c r="AU135" s="441"/>
      <c r="AV135" s="441"/>
      <c r="AW135" s="448" t="e">
        <f t="shared" si="69"/>
        <v>#DIV/0!</v>
      </c>
      <c r="AX135" s="448">
        <f t="shared" si="70"/>
        <v>0</v>
      </c>
      <c r="AZ135" s="449" t="e">
        <f t="shared" si="68"/>
        <v>#DIV/0!</v>
      </c>
      <c r="BA135" s="449"/>
    </row>
    <row r="136" spans="1:53" hidden="1" outlineLevel="1" x14ac:dyDescent="0.25">
      <c r="A136" s="703" t="s">
        <v>331</v>
      </c>
      <c r="C136" s="709"/>
      <c r="D136" s="709"/>
      <c r="E136" s="709"/>
      <c r="F136" s="709"/>
      <c r="G136" s="709"/>
      <c r="H136" s="709"/>
      <c r="I136" s="709"/>
      <c r="J136" s="709"/>
      <c r="K136" s="709"/>
      <c r="L136" s="709"/>
      <c r="M136" s="709"/>
      <c r="N136" s="709"/>
      <c r="O136" s="709"/>
      <c r="P136" s="709"/>
      <c r="Q136" s="709"/>
      <c r="R136" s="709"/>
      <c r="S136" s="723"/>
      <c r="T136" s="709">
        <f>+T53</f>
        <v>2.6375000000000002</v>
      </c>
      <c r="U136" s="709"/>
      <c r="V136" s="709"/>
      <c r="W136" s="709"/>
      <c r="X136" s="709"/>
      <c r="Y136" s="709"/>
      <c r="Z136" s="709"/>
      <c r="AA136" s="709"/>
      <c r="AB136" s="709"/>
      <c r="AC136" s="709"/>
      <c r="AD136" s="709"/>
      <c r="AE136" s="709"/>
      <c r="AF136" s="709"/>
      <c r="AG136" s="709"/>
      <c r="AH136" s="709"/>
      <c r="AI136" s="709"/>
      <c r="AJ136" s="709"/>
      <c r="AK136" s="709"/>
      <c r="AL136" s="709"/>
      <c r="AM136" s="709"/>
      <c r="AN136" s="709"/>
      <c r="AO136" s="709"/>
      <c r="AP136" s="709"/>
      <c r="AQ136" s="709"/>
      <c r="AR136" s="709"/>
      <c r="AS136" s="709"/>
      <c r="AT136" s="709">
        <f>+AT53</f>
        <v>3.6266666666666669</v>
      </c>
      <c r="AU136" s="441"/>
      <c r="AV136" s="441"/>
      <c r="AW136" s="448" t="e">
        <f t="shared" si="69"/>
        <v>#DIV/0!</v>
      </c>
      <c r="AX136" s="448">
        <f t="shared" si="70"/>
        <v>-2.6375000000000002</v>
      </c>
      <c r="AZ136" s="449" t="e">
        <f t="shared" si="68"/>
        <v>#DIV/0!</v>
      </c>
      <c r="BA136" s="449"/>
    </row>
    <row r="137" spans="1:53" hidden="1" outlineLevel="1" x14ac:dyDescent="0.25">
      <c r="A137" s="703" t="s">
        <v>282</v>
      </c>
      <c r="C137" s="709"/>
      <c r="D137" s="709"/>
      <c r="E137" s="709"/>
      <c r="F137" s="709"/>
      <c r="G137" s="709"/>
      <c r="H137" s="709"/>
      <c r="I137" s="709"/>
      <c r="J137" s="709"/>
      <c r="K137" s="709"/>
      <c r="L137" s="709"/>
      <c r="M137" s="709"/>
      <c r="N137" s="709"/>
      <c r="O137" s="709"/>
      <c r="P137" s="709"/>
      <c r="Q137" s="709"/>
      <c r="R137" s="709"/>
      <c r="S137" s="723"/>
      <c r="T137" s="709">
        <f>+T56</f>
        <v>0.92083333333333339</v>
      </c>
      <c r="U137" s="709"/>
      <c r="V137" s="709"/>
      <c r="W137" s="709"/>
      <c r="X137" s="709"/>
      <c r="Y137" s="709"/>
      <c r="Z137" s="709"/>
      <c r="AA137" s="709"/>
      <c r="AB137" s="709"/>
      <c r="AC137" s="709"/>
      <c r="AD137" s="709"/>
      <c r="AE137" s="709"/>
      <c r="AF137" s="709"/>
      <c r="AG137" s="709"/>
      <c r="AH137" s="709"/>
      <c r="AI137" s="709"/>
      <c r="AJ137" s="709"/>
      <c r="AK137" s="709"/>
      <c r="AL137" s="709"/>
      <c r="AM137" s="709"/>
      <c r="AN137" s="709"/>
      <c r="AO137" s="709"/>
      <c r="AP137" s="709"/>
      <c r="AQ137" s="709"/>
      <c r="AR137" s="709"/>
      <c r="AS137" s="709"/>
      <c r="AT137" s="709">
        <f>+AT56</f>
        <v>0.95000000000000007</v>
      </c>
      <c r="AU137" s="441"/>
      <c r="AV137" s="441"/>
      <c r="AW137" s="448" t="e">
        <f t="shared" si="69"/>
        <v>#DIV/0!</v>
      </c>
      <c r="AX137" s="448">
        <f t="shared" si="70"/>
        <v>-0.92083333333333339</v>
      </c>
      <c r="AZ137" s="449" t="e">
        <f t="shared" si="68"/>
        <v>#DIV/0!</v>
      </c>
      <c r="BA137" s="449"/>
    </row>
    <row r="138" spans="1:53" hidden="1" outlineLevel="1" x14ac:dyDescent="0.25">
      <c r="A138" s="703" t="s">
        <v>285</v>
      </c>
      <c r="C138" s="709"/>
      <c r="D138" s="709"/>
      <c r="E138" s="709"/>
      <c r="F138" s="709"/>
      <c r="G138" s="709"/>
      <c r="H138" s="709"/>
      <c r="I138" s="709"/>
      <c r="J138" s="709"/>
      <c r="K138" s="709"/>
      <c r="L138" s="709"/>
      <c r="M138" s="709"/>
      <c r="N138" s="709"/>
      <c r="O138" s="709"/>
      <c r="P138" s="709"/>
      <c r="Q138" s="709"/>
      <c r="R138" s="709"/>
      <c r="S138" s="723"/>
      <c r="T138" s="709">
        <f>+T59</f>
        <v>0.86666666666666659</v>
      </c>
      <c r="U138" s="709"/>
      <c r="V138" s="709"/>
      <c r="W138" s="709"/>
      <c r="X138" s="709"/>
      <c r="Y138" s="709"/>
      <c r="Z138" s="709"/>
      <c r="AA138" s="709"/>
      <c r="AB138" s="709"/>
      <c r="AC138" s="709"/>
      <c r="AD138" s="709"/>
      <c r="AE138" s="709"/>
      <c r="AF138" s="709"/>
      <c r="AG138" s="709"/>
      <c r="AH138" s="709"/>
      <c r="AI138" s="709"/>
      <c r="AJ138" s="709"/>
      <c r="AK138" s="709"/>
      <c r="AL138" s="709"/>
      <c r="AM138" s="709"/>
      <c r="AN138" s="709"/>
      <c r="AO138" s="709"/>
      <c r="AP138" s="709"/>
      <c r="AQ138" s="709"/>
      <c r="AR138" s="709"/>
      <c r="AS138" s="709"/>
      <c r="AT138" s="709">
        <f>+AT59</f>
        <v>0.71666666666666667</v>
      </c>
      <c r="AU138" s="441"/>
      <c r="AV138" s="441"/>
      <c r="AW138" s="448" t="e">
        <f t="shared" si="69"/>
        <v>#DIV/0!</v>
      </c>
      <c r="AX138" s="448">
        <f t="shared" si="70"/>
        <v>-0.86666666666666659</v>
      </c>
      <c r="AZ138" s="449" t="e">
        <f t="shared" si="68"/>
        <v>#DIV/0!</v>
      </c>
      <c r="BA138" s="449"/>
    </row>
    <row r="139" spans="1:53" hidden="1" outlineLevel="1" x14ac:dyDescent="0.25">
      <c r="A139" s="703" t="s">
        <v>281</v>
      </c>
      <c r="C139" s="709"/>
      <c r="D139" s="709"/>
      <c r="E139" s="709"/>
      <c r="F139" s="709"/>
      <c r="G139" s="709"/>
      <c r="H139" s="709"/>
      <c r="I139" s="709"/>
      <c r="J139" s="709"/>
      <c r="K139" s="709"/>
      <c r="L139" s="709"/>
      <c r="M139" s="709"/>
      <c r="N139" s="709"/>
      <c r="O139" s="709"/>
      <c r="P139" s="709"/>
      <c r="Q139" s="709"/>
      <c r="R139" s="709"/>
      <c r="S139" s="723"/>
      <c r="T139" s="709">
        <f>+T62</f>
        <v>1.6858552631578947</v>
      </c>
      <c r="U139" s="709"/>
      <c r="V139" s="709"/>
      <c r="W139" s="709"/>
      <c r="X139" s="709"/>
      <c r="Y139" s="709"/>
      <c r="Z139" s="709"/>
      <c r="AA139" s="709"/>
      <c r="AB139" s="709"/>
      <c r="AC139" s="709"/>
      <c r="AD139" s="709"/>
      <c r="AE139" s="709"/>
      <c r="AF139" s="709"/>
      <c r="AG139" s="709"/>
      <c r="AH139" s="709"/>
      <c r="AI139" s="709"/>
      <c r="AJ139" s="709"/>
      <c r="AK139" s="709"/>
      <c r="AL139" s="709"/>
      <c r="AM139" s="709"/>
      <c r="AN139" s="709"/>
      <c r="AO139" s="709"/>
      <c r="AP139" s="709"/>
      <c r="AQ139" s="709"/>
      <c r="AR139" s="709"/>
      <c r="AS139" s="709"/>
      <c r="AT139" s="709">
        <f>+AT62</f>
        <v>2.0833333333333335</v>
      </c>
      <c r="AU139" s="441"/>
      <c r="AV139" s="441"/>
      <c r="AW139" s="448" t="e">
        <f t="shared" si="69"/>
        <v>#DIV/0!</v>
      </c>
      <c r="AX139" s="448">
        <f t="shared" si="70"/>
        <v>-1.6858552631578947</v>
      </c>
      <c r="AZ139" s="449" t="e">
        <f t="shared" si="68"/>
        <v>#DIV/0!</v>
      </c>
      <c r="BA139" s="449"/>
    </row>
    <row r="140" spans="1:53" hidden="1" outlineLevel="1" x14ac:dyDescent="0.25">
      <c r="A140" s="703" t="s">
        <v>332</v>
      </c>
      <c r="C140" s="709"/>
      <c r="D140" s="709"/>
      <c r="E140" s="709"/>
      <c r="F140" s="709"/>
      <c r="G140" s="709"/>
      <c r="H140" s="709"/>
      <c r="I140" s="709"/>
      <c r="J140" s="709"/>
      <c r="K140" s="709"/>
      <c r="L140" s="709"/>
      <c r="M140" s="709"/>
      <c r="N140" s="709"/>
      <c r="O140" s="709"/>
      <c r="P140" s="709"/>
      <c r="Q140" s="709"/>
      <c r="R140" s="709"/>
      <c r="S140" s="723"/>
      <c r="T140" s="709">
        <f>+T65</f>
        <v>1.480921052631579</v>
      </c>
      <c r="U140" s="709"/>
      <c r="V140" s="709"/>
      <c r="W140" s="709"/>
      <c r="X140" s="709"/>
      <c r="Y140" s="709"/>
      <c r="Z140" s="709"/>
      <c r="AA140" s="709"/>
      <c r="AB140" s="709"/>
      <c r="AC140" s="709"/>
      <c r="AD140" s="709"/>
      <c r="AE140" s="709"/>
      <c r="AF140" s="709"/>
      <c r="AG140" s="709"/>
      <c r="AH140" s="709"/>
      <c r="AI140" s="709"/>
      <c r="AJ140" s="709"/>
      <c r="AK140" s="709"/>
      <c r="AL140" s="709"/>
      <c r="AM140" s="709"/>
      <c r="AN140" s="709"/>
      <c r="AO140" s="709"/>
      <c r="AP140" s="709"/>
      <c r="AQ140" s="709"/>
      <c r="AR140" s="709"/>
      <c r="AS140" s="709"/>
      <c r="AT140" s="709">
        <f>+AT65</f>
        <v>1.86</v>
      </c>
      <c r="AU140" s="441"/>
      <c r="AV140" s="441"/>
      <c r="AW140" s="448" t="e">
        <f t="shared" si="69"/>
        <v>#DIV/0!</v>
      </c>
      <c r="AX140" s="448">
        <f t="shared" si="70"/>
        <v>-1.480921052631579</v>
      </c>
      <c r="AZ140" s="449" t="e">
        <f t="shared" si="68"/>
        <v>#DIV/0!</v>
      </c>
      <c r="BA140" s="449"/>
    </row>
    <row r="141" spans="1:53" hidden="1" outlineLevel="1" x14ac:dyDescent="0.25">
      <c r="A141" s="703" t="s">
        <v>333</v>
      </c>
      <c r="C141" s="709"/>
      <c r="D141" s="709"/>
      <c r="E141" s="709"/>
      <c r="F141" s="709"/>
      <c r="G141" s="709"/>
      <c r="H141" s="709"/>
      <c r="I141" s="709"/>
      <c r="J141" s="709"/>
      <c r="K141" s="709"/>
      <c r="L141" s="709"/>
      <c r="M141" s="709"/>
      <c r="N141" s="709"/>
      <c r="O141" s="709"/>
      <c r="P141" s="709"/>
      <c r="Q141" s="709"/>
      <c r="R141" s="709"/>
      <c r="S141" s="723"/>
      <c r="T141" s="709">
        <f>+T68</f>
        <v>0</v>
      </c>
      <c r="U141" s="709"/>
      <c r="V141" s="709"/>
      <c r="W141" s="709"/>
      <c r="X141" s="709"/>
      <c r="Y141" s="709"/>
      <c r="Z141" s="709"/>
      <c r="AA141" s="709"/>
      <c r="AB141" s="709"/>
      <c r="AC141" s="709"/>
      <c r="AD141" s="709"/>
      <c r="AE141" s="709"/>
      <c r="AF141" s="709"/>
      <c r="AG141" s="709"/>
      <c r="AH141" s="709"/>
      <c r="AI141" s="709"/>
      <c r="AJ141" s="709"/>
      <c r="AK141" s="709"/>
      <c r="AL141" s="709"/>
      <c r="AM141" s="709"/>
      <c r="AN141" s="709"/>
      <c r="AO141" s="709"/>
      <c r="AP141" s="709"/>
      <c r="AQ141" s="709"/>
      <c r="AR141" s="709"/>
      <c r="AS141" s="709"/>
      <c r="AT141" s="709">
        <f>+AT68</f>
        <v>0</v>
      </c>
      <c r="AU141" s="441"/>
      <c r="AV141" s="441"/>
      <c r="AW141" s="448" t="e">
        <f t="shared" si="69"/>
        <v>#DIV/0!</v>
      </c>
      <c r="AX141" s="448">
        <f t="shared" si="70"/>
        <v>0</v>
      </c>
      <c r="AZ141" s="449" t="e">
        <f t="shared" si="68"/>
        <v>#DIV/0!</v>
      </c>
      <c r="BA141" s="449"/>
    </row>
    <row r="142" spans="1:53" hidden="1" outlineLevel="1" x14ac:dyDescent="0.25">
      <c r="A142" s="703" t="s">
        <v>334</v>
      </c>
      <c r="C142" s="709"/>
      <c r="D142" s="709"/>
      <c r="E142" s="709"/>
      <c r="F142" s="709"/>
      <c r="G142" s="709"/>
      <c r="H142" s="709"/>
      <c r="I142" s="709"/>
      <c r="J142" s="709"/>
      <c r="K142" s="709"/>
      <c r="L142" s="709"/>
      <c r="M142" s="709"/>
      <c r="N142" s="709"/>
      <c r="O142" s="709"/>
      <c r="P142" s="709"/>
      <c r="Q142" s="709"/>
      <c r="R142" s="709"/>
      <c r="S142" s="723"/>
      <c r="U142" s="709"/>
      <c r="V142" s="709"/>
      <c r="W142" s="709"/>
      <c r="X142" s="709"/>
      <c r="Y142" s="709"/>
      <c r="Z142" s="709"/>
      <c r="AA142" s="709"/>
      <c r="AB142" s="709"/>
      <c r="AC142" s="709"/>
      <c r="AD142" s="709"/>
      <c r="AE142" s="709"/>
      <c r="AF142" s="709"/>
      <c r="AG142" s="709"/>
      <c r="AH142" s="709"/>
      <c r="AI142" s="709"/>
      <c r="AJ142" s="709"/>
      <c r="AK142" s="709"/>
      <c r="AL142" s="709"/>
      <c r="AM142" s="709"/>
      <c r="AN142" s="709"/>
      <c r="AO142" s="709"/>
      <c r="AP142" s="709"/>
      <c r="AQ142" s="709"/>
      <c r="AR142" s="709"/>
      <c r="AS142" s="709"/>
      <c r="AT142" s="709"/>
      <c r="AU142" s="441"/>
      <c r="AV142" s="441"/>
      <c r="AW142" s="448" t="e">
        <f t="shared" si="69"/>
        <v>#DIV/0!</v>
      </c>
      <c r="AX142" s="448">
        <f t="shared" si="70"/>
        <v>0</v>
      </c>
      <c r="AZ142" s="449" t="e">
        <f t="shared" si="68"/>
        <v>#DIV/0!</v>
      </c>
      <c r="BA142" s="449"/>
    </row>
    <row r="143" spans="1:53" ht="15.75" hidden="1" outlineLevel="1" thickBot="1" x14ac:dyDescent="0.3">
      <c r="A143" s="703" t="s">
        <v>297</v>
      </c>
      <c r="C143" s="709"/>
      <c r="D143" s="709"/>
      <c r="E143" s="709"/>
      <c r="F143" s="709"/>
      <c r="G143" s="709"/>
      <c r="H143" s="709"/>
      <c r="I143" s="709"/>
      <c r="J143" s="709"/>
      <c r="K143" s="709"/>
      <c r="L143" s="709"/>
      <c r="M143" s="709"/>
      <c r="N143" s="709"/>
      <c r="O143" s="709"/>
      <c r="P143" s="709"/>
      <c r="Q143" s="709"/>
      <c r="R143" s="709"/>
      <c r="S143" s="723"/>
      <c r="U143" s="709"/>
      <c r="V143" s="709"/>
      <c r="W143" s="709"/>
      <c r="X143" s="709"/>
      <c r="Y143" s="709"/>
      <c r="Z143" s="709"/>
      <c r="AA143" s="709"/>
      <c r="AB143" s="709"/>
      <c r="AC143" s="709"/>
      <c r="AD143" s="709"/>
      <c r="AE143" s="709"/>
      <c r="AF143" s="709"/>
      <c r="AG143" s="709"/>
      <c r="AH143" s="709"/>
      <c r="AI143" s="709"/>
      <c r="AJ143" s="709"/>
      <c r="AK143" s="709"/>
      <c r="AL143" s="709"/>
      <c r="AM143" s="709"/>
      <c r="AN143" s="709"/>
      <c r="AO143" s="709"/>
      <c r="AP143" s="709"/>
      <c r="AQ143" s="709"/>
      <c r="AR143" s="709"/>
      <c r="AS143" s="709"/>
      <c r="AT143" s="709"/>
      <c r="AU143" s="441"/>
      <c r="AV143" s="441"/>
      <c r="AW143" s="448" t="e">
        <f t="shared" si="69"/>
        <v>#DIV/0!</v>
      </c>
      <c r="AX143" s="448">
        <f t="shared" si="70"/>
        <v>0</v>
      </c>
      <c r="AZ143" s="449" t="e">
        <f t="shared" si="68"/>
        <v>#DIV/0!</v>
      </c>
      <c r="BA143" s="449"/>
    </row>
    <row r="144" spans="1:53" hidden="1" outlineLevel="1" x14ac:dyDescent="0.25">
      <c r="A144" s="744" t="s">
        <v>335</v>
      </c>
      <c r="B144" s="745"/>
      <c r="C144" s="746"/>
      <c r="D144" s="746"/>
      <c r="E144" s="746"/>
      <c r="F144" s="746"/>
      <c r="G144" s="746"/>
      <c r="H144" s="746"/>
      <c r="I144" s="746"/>
      <c r="J144" s="746"/>
      <c r="K144" s="746"/>
      <c r="L144" s="746"/>
      <c r="M144" s="746"/>
      <c r="N144" s="746"/>
      <c r="O144" s="746"/>
      <c r="P144" s="746"/>
      <c r="Q144" s="746"/>
      <c r="R144" s="746"/>
      <c r="S144" s="747"/>
      <c r="T144" s="746" t="e">
        <f>+T126+T130</f>
        <v>#REF!</v>
      </c>
      <c r="U144" s="746"/>
      <c r="V144" s="746"/>
      <c r="W144" s="746"/>
      <c r="X144" s="746"/>
      <c r="Y144" s="746"/>
      <c r="Z144" s="746"/>
      <c r="AA144" s="746"/>
      <c r="AB144" s="746"/>
      <c r="AC144" s="746"/>
      <c r="AD144" s="746"/>
      <c r="AE144" s="746"/>
      <c r="AF144" s="746"/>
      <c r="AG144" s="746"/>
      <c r="AH144" s="746"/>
      <c r="AI144" s="746"/>
      <c r="AJ144" s="746"/>
      <c r="AK144" s="746"/>
      <c r="AL144" s="746"/>
      <c r="AM144" s="746"/>
      <c r="AN144" s="746"/>
      <c r="AO144" s="746"/>
      <c r="AP144" s="746"/>
      <c r="AQ144" s="746"/>
      <c r="AR144" s="746"/>
      <c r="AS144" s="746"/>
      <c r="AT144" s="746" t="e">
        <f>+AT126+AT130</f>
        <v>#REF!</v>
      </c>
      <c r="AU144" s="450"/>
      <c r="AV144" s="450"/>
      <c r="AW144" s="451" t="e">
        <f t="shared" si="69"/>
        <v>#DIV/0!</v>
      </c>
      <c r="AX144" s="451" t="e">
        <f t="shared" si="70"/>
        <v>#REF!</v>
      </c>
      <c r="AY144" s="745"/>
      <c r="AZ144" s="452" t="e">
        <f t="shared" si="68"/>
        <v>#DIV/0!</v>
      </c>
      <c r="BA144" s="453">
        <f>+('Test Number'!S11+'Test Number'!S15)/('Test Number'!AT11+'Test Number'!AT15)</f>
        <v>-35654</v>
      </c>
    </row>
    <row r="145" spans="1:53" hidden="1" outlineLevel="1" x14ac:dyDescent="0.25">
      <c r="A145" s="748" t="s">
        <v>336</v>
      </c>
      <c r="B145" s="749"/>
      <c r="C145" s="750"/>
      <c r="D145" s="750"/>
      <c r="E145" s="750"/>
      <c r="F145" s="750"/>
      <c r="G145" s="750"/>
      <c r="H145" s="750"/>
      <c r="I145" s="750"/>
      <c r="J145" s="750"/>
      <c r="K145" s="750"/>
      <c r="L145" s="750"/>
      <c r="M145" s="750"/>
      <c r="N145" s="750"/>
      <c r="O145" s="750"/>
      <c r="P145" s="750"/>
      <c r="Q145" s="750"/>
      <c r="R145" s="750"/>
      <c r="S145" s="751"/>
      <c r="T145" s="750" t="e">
        <f>+T122+T130</f>
        <v>#REF!</v>
      </c>
      <c r="U145" s="750"/>
      <c r="V145" s="750"/>
      <c r="W145" s="750"/>
      <c r="X145" s="750"/>
      <c r="Y145" s="750"/>
      <c r="Z145" s="750"/>
      <c r="AA145" s="750"/>
      <c r="AB145" s="750"/>
      <c r="AC145" s="750"/>
      <c r="AD145" s="750"/>
      <c r="AE145" s="750"/>
      <c r="AF145" s="750"/>
      <c r="AG145" s="750"/>
      <c r="AH145" s="750"/>
      <c r="AI145" s="750"/>
      <c r="AJ145" s="750"/>
      <c r="AK145" s="750"/>
      <c r="AL145" s="750"/>
      <c r="AM145" s="750"/>
      <c r="AN145" s="750"/>
      <c r="AO145" s="750"/>
      <c r="AP145" s="750"/>
      <c r="AQ145" s="750"/>
      <c r="AR145" s="750"/>
      <c r="AS145" s="750"/>
      <c r="AT145" s="750" t="e">
        <f>+AT122+AT130</f>
        <v>#REF!</v>
      </c>
      <c r="AU145" s="454"/>
      <c r="AV145" s="454"/>
      <c r="AW145" s="455" t="e">
        <f t="shared" si="69"/>
        <v>#DIV/0!</v>
      </c>
      <c r="AX145" s="455" t="e">
        <f t="shared" si="70"/>
        <v>#REF!</v>
      </c>
      <c r="AY145" s="749"/>
      <c r="AZ145" s="456" t="e">
        <f t="shared" si="68"/>
        <v>#DIV/0!</v>
      </c>
      <c r="BA145" s="457">
        <f>+('Test Number'!S5+'Test Number'!S16)/('Test Number'!AT5+'Test Number'!AT16)</f>
        <v>-45914.5</v>
      </c>
    </row>
    <row r="146" spans="1:53" hidden="1" outlineLevel="1" x14ac:dyDescent="0.25">
      <c r="A146" s="748" t="s">
        <v>283</v>
      </c>
      <c r="B146" s="749"/>
      <c r="C146" s="750"/>
      <c r="D146" s="750"/>
      <c r="E146" s="750"/>
      <c r="F146" s="750"/>
      <c r="G146" s="750"/>
      <c r="H146" s="750"/>
      <c r="I146" s="750"/>
      <c r="J146" s="750"/>
      <c r="K146" s="750"/>
      <c r="L146" s="750"/>
      <c r="M146" s="750"/>
      <c r="N146" s="750"/>
      <c r="O146" s="750"/>
      <c r="P146" s="750"/>
      <c r="Q146" s="750"/>
      <c r="R146" s="750"/>
      <c r="S146" s="751"/>
      <c r="T146" s="750" t="e">
        <f>+T129</f>
        <v>#REF!</v>
      </c>
      <c r="U146" s="750"/>
      <c r="V146" s="750"/>
      <c r="W146" s="750"/>
      <c r="X146" s="750"/>
      <c r="Y146" s="750"/>
      <c r="Z146" s="750"/>
      <c r="AA146" s="750"/>
      <c r="AB146" s="750"/>
      <c r="AC146" s="750"/>
      <c r="AD146" s="750"/>
      <c r="AE146" s="750"/>
      <c r="AF146" s="750"/>
      <c r="AG146" s="750"/>
      <c r="AH146" s="750"/>
      <c r="AI146" s="750"/>
      <c r="AJ146" s="750"/>
      <c r="AK146" s="750"/>
      <c r="AL146" s="750"/>
      <c r="AM146" s="750"/>
      <c r="AN146" s="750"/>
      <c r="AO146" s="750"/>
      <c r="AP146" s="750"/>
      <c r="AQ146" s="750"/>
      <c r="AR146" s="750"/>
      <c r="AS146" s="750"/>
      <c r="AT146" s="750" t="e">
        <f>+AT129</f>
        <v>#REF!</v>
      </c>
      <c r="AU146" s="454"/>
      <c r="AV146" s="454"/>
      <c r="AW146" s="455" t="e">
        <f t="shared" si="69"/>
        <v>#DIV/0!</v>
      </c>
      <c r="AX146" s="455" t="e">
        <f t="shared" si="70"/>
        <v>#REF!</v>
      </c>
      <c r="AY146" s="749"/>
      <c r="AZ146" s="456" t="e">
        <f t="shared" si="68"/>
        <v>#DIV/0!</v>
      </c>
      <c r="BA146" s="457">
        <f>+BA129</f>
        <v>-27488</v>
      </c>
    </row>
    <row r="147" spans="1:53" ht="15.75" hidden="1" outlineLevel="1" thickBot="1" x14ac:dyDescent="0.3">
      <c r="A147" s="752" t="s">
        <v>337</v>
      </c>
      <c r="B147" s="753"/>
      <c r="C147" s="754"/>
      <c r="D147" s="754"/>
      <c r="E147" s="754"/>
      <c r="F147" s="754"/>
      <c r="G147" s="754"/>
      <c r="H147" s="754"/>
      <c r="I147" s="754"/>
      <c r="J147" s="754"/>
      <c r="K147" s="754"/>
      <c r="L147" s="754"/>
      <c r="M147" s="754"/>
      <c r="N147" s="754"/>
      <c r="O147" s="754"/>
      <c r="P147" s="754"/>
      <c r="Q147" s="754"/>
      <c r="R147" s="754"/>
      <c r="S147" s="755"/>
      <c r="T147" s="754">
        <f>+T121+T128</f>
        <v>10.645439528508771</v>
      </c>
      <c r="U147" s="754"/>
      <c r="V147" s="754"/>
      <c r="W147" s="754"/>
      <c r="X147" s="754"/>
      <c r="Y147" s="754"/>
      <c r="Z147" s="754"/>
      <c r="AA147" s="754"/>
      <c r="AB147" s="754"/>
      <c r="AC147" s="754"/>
      <c r="AD147" s="754"/>
      <c r="AE147" s="754"/>
      <c r="AF147" s="754"/>
      <c r="AG147" s="754"/>
      <c r="AH147" s="754"/>
      <c r="AI147" s="754"/>
      <c r="AJ147" s="754"/>
      <c r="AK147" s="754"/>
      <c r="AL147" s="754"/>
      <c r="AM147" s="754"/>
      <c r="AN147" s="754"/>
      <c r="AO147" s="754"/>
      <c r="AP147" s="754"/>
      <c r="AQ147" s="754"/>
      <c r="AR147" s="754"/>
      <c r="AS147" s="754"/>
      <c r="AT147" s="754">
        <f>+AT121+AT128</f>
        <v>10.447207675438596</v>
      </c>
      <c r="AU147" s="458"/>
      <c r="AV147" s="458"/>
      <c r="AW147" s="459" t="e">
        <f t="shared" si="69"/>
        <v>#DIV/0!</v>
      </c>
      <c r="AX147" s="459">
        <f t="shared" si="70"/>
        <v>-307330.93002406799</v>
      </c>
      <c r="AY147" s="753"/>
      <c r="AZ147" s="460" t="e">
        <f t="shared" si="68"/>
        <v>#DIV/0!</v>
      </c>
      <c r="BA147" s="461">
        <f>+('Test Number'!S4+'Test Number'!S13)/('Test Number'!AT4+'Test Number'!AT13)</f>
        <v>-29416.5</v>
      </c>
    </row>
    <row r="148" spans="1:53" hidden="1" outlineLevel="1" x14ac:dyDescent="0.25">
      <c r="A148" s="703" t="s">
        <v>296</v>
      </c>
      <c r="C148" s="709"/>
      <c r="D148" s="709"/>
      <c r="E148" s="709"/>
      <c r="F148" s="709"/>
      <c r="G148" s="709"/>
      <c r="H148" s="709"/>
      <c r="I148" s="709"/>
      <c r="J148" s="709"/>
      <c r="K148" s="709"/>
      <c r="L148" s="709"/>
      <c r="M148" s="709"/>
      <c r="N148" s="709"/>
      <c r="O148" s="709"/>
      <c r="P148" s="709"/>
      <c r="Q148" s="709"/>
      <c r="R148" s="709"/>
      <c r="S148" s="723"/>
      <c r="U148" s="709"/>
      <c r="V148" s="709"/>
      <c r="W148" s="709"/>
      <c r="X148" s="709"/>
      <c r="Y148" s="709"/>
      <c r="Z148" s="709"/>
      <c r="AA148" s="709"/>
      <c r="AB148" s="709"/>
      <c r="AC148" s="709"/>
      <c r="AD148" s="709"/>
      <c r="AE148" s="709"/>
      <c r="AF148" s="709"/>
      <c r="AG148" s="709"/>
      <c r="AH148" s="709"/>
      <c r="AI148" s="709"/>
      <c r="AJ148" s="709"/>
      <c r="AK148" s="709"/>
      <c r="AL148" s="709"/>
      <c r="AM148" s="709"/>
      <c r="AN148" s="709"/>
      <c r="AO148" s="709"/>
      <c r="AP148" s="709"/>
      <c r="AQ148" s="709"/>
      <c r="AR148" s="709"/>
      <c r="AS148" s="709"/>
      <c r="AT148" s="709"/>
      <c r="AU148" s="441"/>
      <c r="AV148" s="441"/>
      <c r="AW148" s="448" t="e">
        <f t="shared" si="69"/>
        <v>#DIV/0!</v>
      </c>
      <c r="AX148" s="448">
        <f t="shared" si="70"/>
        <v>0</v>
      </c>
      <c r="AZ148" s="449" t="e">
        <f t="shared" si="68"/>
        <v>#DIV/0!</v>
      </c>
      <c r="BA148" s="449"/>
    </row>
    <row r="149" spans="1:53" hidden="1" outlineLevel="1" x14ac:dyDescent="0.25">
      <c r="A149" s="703" t="s">
        <v>295</v>
      </c>
      <c r="C149" s="709"/>
      <c r="D149" s="709"/>
      <c r="E149" s="709"/>
      <c r="F149" s="709"/>
      <c r="G149" s="709"/>
      <c r="H149" s="709"/>
      <c r="I149" s="709"/>
      <c r="J149" s="709"/>
      <c r="K149" s="709"/>
      <c r="L149" s="709"/>
      <c r="M149" s="709"/>
      <c r="N149" s="709"/>
      <c r="O149" s="709"/>
      <c r="P149" s="709"/>
      <c r="Q149" s="709"/>
      <c r="R149" s="709"/>
      <c r="S149" s="723"/>
      <c r="U149" s="709"/>
      <c r="V149" s="709"/>
      <c r="W149" s="709"/>
      <c r="X149" s="709"/>
      <c r="Y149" s="709"/>
      <c r="Z149" s="709"/>
      <c r="AA149" s="709"/>
      <c r="AB149" s="709"/>
      <c r="AC149" s="709"/>
      <c r="AD149" s="709"/>
      <c r="AE149" s="709"/>
      <c r="AF149" s="709"/>
      <c r="AG149" s="709"/>
      <c r="AH149" s="709"/>
      <c r="AI149" s="709"/>
      <c r="AJ149" s="709"/>
      <c r="AK149" s="709"/>
      <c r="AL149" s="709"/>
      <c r="AM149" s="709"/>
      <c r="AN149" s="709"/>
      <c r="AO149" s="709"/>
      <c r="AP149" s="709"/>
      <c r="AQ149" s="709"/>
      <c r="AR149" s="709"/>
      <c r="AS149" s="709"/>
      <c r="AT149" s="709"/>
      <c r="AU149" s="441"/>
      <c r="AV149" s="441"/>
      <c r="AW149" s="448" t="e">
        <f t="shared" si="69"/>
        <v>#DIV/0!</v>
      </c>
      <c r="AX149" s="448">
        <f t="shared" si="70"/>
        <v>0</v>
      </c>
      <c r="AZ149" s="449" t="e">
        <f t="shared" si="68"/>
        <v>#DIV/0!</v>
      </c>
      <c r="BA149" s="449"/>
    </row>
    <row r="150" spans="1:53" hidden="1" outlineLevel="1" x14ac:dyDescent="0.25">
      <c r="A150" s="703" t="s">
        <v>298</v>
      </c>
      <c r="C150" s="709"/>
      <c r="D150" s="709"/>
      <c r="E150" s="709"/>
      <c r="F150" s="709"/>
      <c r="G150" s="709"/>
      <c r="H150" s="709"/>
      <c r="I150" s="709"/>
      <c r="J150" s="709"/>
      <c r="K150" s="709"/>
      <c r="L150" s="709"/>
      <c r="M150" s="709"/>
      <c r="N150" s="709"/>
      <c r="O150" s="709"/>
      <c r="P150" s="709"/>
      <c r="Q150" s="709"/>
      <c r="R150" s="709"/>
      <c r="S150" s="723"/>
      <c r="U150" s="709"/>
      <c r="V150" s="709"/>
      <c r="W150" s="709"/>
      <c r="X150" s="709"/>
      <c r="Y150" s="709"/>
      <c r="Z150" s="709"/>
      <c r="AA150" s="709"/>
      <c r="AB150" s="709"/>
      <c r="AC150" s="709"/>
      <c r="AD150" s="709"/>
      <c r="AE150" s="709"/>
      <c r="AF150" s="709"/>
      <c r="AG150" s="709"/>
      <c r="AH150" s="709"/>
      <c r="AI150" s="709"/>
      <c r="AJ150" s="709"/>
      <c r="AK150" s="709"/>
      <c r="AL150" s="709"/>
      <c r="AM150" s="709"/>
      <c r="AN150" s="709"/>
      <c r="AO150" s="709"/>
      <c r="AP150" s="709"/>
      <c r="AQ150" s="709"/>
      <c r="AR150" s="709"/>
      <c r="AS150" s="709"/>
      <c r="AT150" s="709"/>
      <c r="AU150" s="441"/>
      <c r="AV150" s="441"/>
      <c r="AW150" s="448" t="e">
        <f t="shared" si="69"/>
        <v>#DIV/0!</v>
      </c>
      <c r="AX150" s="448">
        <f t="shared" si="70"/>
        <v>0</v>
      </c>
      <c r="AZ150" s="449" t="e">
        <f t="shared" si="68"/>
        <v>#DIV/0!</v>
      </c>
      <c r="BA150" s="449"/>
    </row>
    <row r="151" spans="1:53" hidden="1" outlineLevel="1" x14ac:dyDescent="0.25">
      <c r="A151" s="703" t="s">
        <v>338</v>
      </c>
      <c r="C151" s="709"/>
      <c r="D151" s="709"/>
      <c r="E151" s="709"/>
      <c r="F151" s="709"/>
      <c r="G151" s="709"/>
      <c r="H151" s="709"/>
      <c r="I151" s="709"/>
      <c r="J151" s="709"/>
      <c r="K151" s="709"/>
      <c r="L151" s="709"/>
      <c r="M151" s="709"/>
      <c r="N151" s="709"/>
      <c r="O151" s="709"/>
      <c r="P151" s="709"/>
      <c r="Q151" s="709"/>
      <c r="R151" s="709"/>
      <c r="S151" s="723"/>
      <c r="U151" s="709"/>
      <c r="V151" s="709"/>
      <c r="W151" s="709"/>
      <c r="X151" s="709"/>
      <c r="Y151" s="709"/>
      <c r="Z151" s="709"/>
      <c r="AA151" s="709"/>
      <c r="AB151" s="709"/>
      <c r="AC151" s="709"/>
      <c r="AD151" s="709"/>
      <c r="AE151" s="709"/>
      <c r="AF151" s="709"/>
      <c r="AG151" s="709"/>
      <c r="AH151" s="709"/>
      <c r="AI151" s="709"/>
      <c r="AJ151" s="709"/>
      <c r="AK151" s="709"/>
      <c r="AL151" s="709"/>
      <c r="AM151" s="709"/>
      <c r="AN151" s="709"/>
      <c r="AO151" s="709"/>
      <c r="AP151" s="709"/>
      <c r="AQ151" s="709"/>
      <c r="AR151" s="709"/>
      <c r="AS151" s="709"/>
      <c r="AT151" s="709"/>
      <c r="AU151" s="441"/>
      <c r="AV151" s="441"/>
      <c r="AW151" s="448" t="e">
        <f t="shared" si="69"/>
        <v>#DIV/0!</v>
      </c>
      <c r="AX151" s="448">
        <f t="shared" si="70"/>
        <v>0</v>
      </c>
      <c r="AZ151" s="449" t="e">
        <f t="shared" si="68"/>
        <v>#DIV/0!</v>
      </c>
      <c r="BA151" s="449"/>
    </row>
    <row r="152" spans="1:53" hidden="1" outlineLevel="1" x14ac:dyDescent="0.25">
      <c r="A152" s="703" t="s">
        <v>289</v>
      </c>
      <c r="C152" s="709"/>
      <c r="D152" s="709"/>
      <c r="E152" s="709"/>
      <c r="F152" s="709"/>
      <c r="G152" s="709"/>
      <c r="H152" s="709"/>
      <c r="I152" s="709"/>
      <c r="J152" s="709"/>
      <c r="K152" s="709"/>
      <c r="L152" s="709"/>
      <c r="M152" s="709"/>
      <c r="N152" s="709"/>
      <c r="O152" s="709"/>
      <c r="P152" s="709"/>
      <c r="Q152" s="709"/>
      <c r="R152" s="709"/>
      <c r="S152" s="723"/>
      <c r="U152" s="709"/>
      <c r="V152" s="709"/>
      <c r="W152" s="709"/>
      <c r="X152" s="709"/>
      <c r="Y152" s="709"/>
      <c r="Z152" s="709"/>
      <c r="AA152" s="709"/>
      <c r="AB152" s="709"/>
      <c r="AC152" s="709"/>
      <c r="AD152" s="709"/>
      <c r="AE152" s="709"/>
      <c r="AF152" s="709"/>
      <c r="AG152" s="709"/>
      <c r="AH152" s="709"/>
      <c r="AI152" s="709"/>
      <c r="AJ152" s="709"/>
      <c r="AK152" s="709"/>
      <c r="AL152" s="709"/>
      <c r="AM152" s="709"/>
      <c r="AN152" s="709"/>
      <c r="AO152" s="709"/>
      <c r="AP152" s="709"/>
      <c r="AQ152" s="709"/>
      <c r="AR152" s="709"/>
      <c r="AS152" s="709"/>
      <c r="AT152" s="709"/>
      <c r="AU152" s="441"/>
      <c r="AV152" s="441"/>
      <c r="AW152" s="448" t="e">
        <f t="shared" si="69"/>
        <v>#DIV/0!</v>
      </c>
      <c r="AX152" s="448">
        <f t="shared" si="70"/>
        <v>0</v>
      </c>
      <c r="AZ152" s="449" t="e">
        <f t="shared" si="68"/>
        <v>#DIV/0!</v>
      </c>
      <c r="BA152" s="449"/>
    </row>
    <row r="153" spans="1:53" hidden="1" outlineLevel="1" x14ac:dyDescent="0.25">
      <c r="A153" s="703" t="s">
        <v>290</v>
      </c>
      <c r="C153" s="709"/>
      <c r="D153" s="709"/>
      <c r="E153" s="709"/>
      <c r="F153" s="709"/>
      <c r="G153" s="709"/>
      <c r="H153" s="709"/>
      <c r="I153" s="709"/>
      <c r="J153" s="709"/>
      <c r="K153" s="709"/>
      <c r="L153" s="709"/>
      <c r="M153" s="709"/>
      <c r="N153" s="709"/>
      <c r="O153" s="709"/>
      <c r="P153" s="709"/>
      <c r="Q153" s="709"/>
      <c r="R153" s="709"/>
      <c r="S153" s="723"/>
      <c r="U153" s="709"/>
      <c r="V153" s="709"/>
      <c r="W153" s="709"/>
      <c r="X153" s="709"/>
      <c r="Y153" s="709"/>
      <c r="Z153" s="709"/>
      <c r="AA153" s="709"/>
      <c r="AB153" s="709"/>
      <c r="AC153" s="709"/>
      <c r="AD153" s="709"/>
      <c r="AE153" s="709"/>
      <c r="AF153" s="709"/>
      <c r="AG153" s="709"/>
      <c r="AH153" s="709"/>
      <c r="AI153" s="709"/>
      <c r="AJ153" s="709"/>
      <c r="AK153" s="709"/>
      <c r="AL153" s="709"/>
      <c r="AM153" s="709"/>
      <c r="AN153" s="709"/>
      <c r="AO153" s="709"/>
      <c r="AP153" s="709"/>
      <c r="AQ153" s="709"/>
      <c r="AR153" s="709"/>
      <c r="AS153" s="709"/>
      <c r="AT153" s="709"/>
      <c r="AU153" s="441"/>
      <c r="AV153" s="441"/>
      <c r="AW153" s="448" t="e">
        <f t="shared" si="69"/>
        <v>#DIV/0!</v>
      </c>
      <c r="AX153" s="448">
        <f t="shared" si="70"/>
        <v>0</v>
      </c>
      <c r="AZ153" s="449" t="e">
        <f t="shared" si="68"/>
        <v>#DIV/0!</v>
      </c>
      <c r="BA153" s="449"/>
    </row>
    <row r="154" spans="1:53" hidden="1" outlineLevel="1" x14ac:dyDescent="0.25">
      <c r="A154" s="703" t="s">
        <v>276</v>
      </c>
      <c r="C154" s="709"/>
      <c r="D154" s="709"/>
      <c r="E154" s="709"/>
      <c r="F154" s="709"/>
      <c r="G154" s="709"/>
      <c r="H154" s="709"/>
      <c r="I154" s="709"/>
      <c r="J154" s="709"/>
      <c r="K154" s="709"/>
      <c r="L154" s="709"/>
      <c r="M154" s="709"/>
      <c r="N154" s="709"/>
      <c r="O154" s="709"/>
      <c r="P154" s="709"/>
      <c r="Q154" s="709"/>
      <c r="R154" s="709"/>
      <c r="S154" s="723"/>
      <c r="U154" s="709"/>
      <c r="V154" s="709"/>
      <c r="W154" s="709"/>
      <c r="X154" s="709"/>
      <c r="Y154" s="709"/>
      <c r="Z154" s="709"/>
      <c r="AA154" s="709"/>
      <c r="AB154" s="709"/>
      <c r="AC154" s="709"/>
      <c r="AD154" s="709"/>
      <c r="AE154" s="709"/>
      <c r="AF154" s="709"/>
      <c r="AG154" s="709"/>
      <c r="AH154" s="709"/>
      <c r="AI154" s="709"/>
      <c r="AJ154" s="709"/>
      <c r="AK154" s="709"/>
      <c r="AL154" s="709"/>
      <c r="AM154" s="709"/>
      <c r="AN154" s="709"/>
      <c r="AO154" s="709"/>
      <c r="AP154" s="709"/>
      <c r="AQ154" s="709"/>
      <c r="AR154" s="709"/>
      <c r="AS154" s="709"/>
      <c r="AT154" s="709"/>
      <c r="AU154" s="441"/>
      <c r="AV154" s="441"/>
      <c r="AW154" s="448" t="e">
        <f t="shared" si="69"/>
        <v>#DIV/0!</v>
      </c>
      <c r="AX154" s="448">
        <f t="shared" si="70"/>
        <v>0</v>
      </c>
      <c r="AZ154" s="449" t="e">
        <f t="shared" si="68"/>
        <v>#DIV/0!</v>
      </c>
      <c r="BA154" s="449"/>
    </row>
    <row r="155" spans="1:53" hidden="1" outlineLevel="1" x14ac:dyDescent="0.25">
      <c r="A155" s="703" t="s">
        <v>266</v>
      </c>
      <c r="C155" s="709"/>
      <c r="D155" s="709"/>
      <c r="E155" s="709"/>
      <c r="F155" s="709"/>
      <c r="G155" s="709"/>
      <c r="H155" s="709"/>
      <c r="I155" s="709"/>
      <c r="J155" s="709"/>
      <c r="K155" s="709"/>
      <c r="L155" s="709"/>
      <c r="M155" s="709"/>
      <c r="N155" s="709"/>
      <c r="O155" s="709"/>
      <c r="P155" s="709"/>
      <c r="Q155" s="709"/>
      <c r="R155" s="709"/>
      <c r="S155" s="723"/>
      <c r="U155" s="709"/>
      <c r="V155" s="709"/>
      <c r="W155" s="709"/>
      <c r="X155" s="709"/>
      <c r="Y155" s="709"/>
      <c r="Z155" s="709"/>
      <c r="AA155" s="709"/>
      <c r="AB155" s="709"/>
      <c r="AC155" s="709"/>
      <c r="AD155" s="709"/>
      <c r="AE155" s="709"/>
      <c r="AF155" s="709"/>
      <c r="AG155" s="709"/>
      <c r="AH155" s="709"/>
      <c r="AI155" s="709"/>
      <c r="AJ155" s="709"/>
      <c r="AK155" s="709"/>
      <c r="AL155" s="709"/>
      <c r="AM155" s="709"/>
      <c r="AN155" s="709"/>
      <c r="AO155" s="709"/>
      <c r="AP155" s="709"/>
      <c r="AQ155" s="709"/>
      <c r="AR155" s="709"/>
      <c r="AS155" s="709"/>
      <c r="AT155" s="709"/>
      <c r="AU155" s="441"/>
      <c r="AV155" s="441"/>
      <c r="AW155" s="448" t="e">
        <f t="shared" si="69"/>
        <v>#DIV/0!</v>
      </c>
      <c r="AX155" s="448">
        <f t="shared" si="70"/>
        <v>0</v>
      </c>
      <c r="AZ155" s="449" t="e">
        <f t="shared" si="68"/>
        <v>#DIV/0!</v>
      </c>
      <c r="BA155" s="449"/>
    </row>
    <row r="156" spans="1:53" ht="15.75" hidden="1" outlineLevel="1" thickBot="1" x14ac:dyDescent="0.3">
      <c r="A156" s="703" t="s">
        <v>294</v>
      </c>
      <c r="C156" s="709"/>
      <c r="D156" s="709"/>
      <c r="E156" s="709"/>
      <c r="F156" s="709"/>
      <c r="G156" s="709"/>
      <c r="H156" s="709"/>
      <c r="I156" s="709"/>
      <c r="J156" s="709"/>
      <c r="K156" s="709"/>
      <c r="L156" s="709"/>
      <c r="M156" s="709"/>
      <c r="N156" s="709"/>
      <c r="O156" s="709"/>
      <c r="P156" s="709"/>
      <c r="Q156" s="709"/>
      <c r="R156" s="709"/>
      <c r="S156" s="723"/>
      <c r="U156" s="709"/>
      <c r="V156" s="709"/>
      <c r="W156" s="709"/>
      <c r="X156" s="709"/>
      <c r="Y156" s="709"/>
      <c r="Z156" s="709"/>
      <c r="AA156" s="709"/>
      <c r="AB156" s="709"/>
      <c r="AC156" s="709"/>
      <c r="AD156" s="709"/>
      <c r="AE156" s="709"/>
      <c r="AF156" s="709"/>
      <c r="AG156" s="709"/>
      <c r="AH156" s="709"/>
      <c r="AI156" s="709"/>
      <c r="AJ156" s="709"/>
      <c r="AK156" s="709"/>
      <c r="AL156" s="709"/>
      <c r="AM156" s="709"/>
      <c r="AN156" s="709"/>
      <c r="AO156" s="709"/>
      <c r="AP156" s="709"/>
      <c r="AQ156" s="709"/>
      <c r="AR156" s="709"/>
      <c r="AS156" s="709"/>
      <c r="AT156" s="709"/>
      <c r="AU156" s="441"/>
      <c r="AV156" s="441"/>
      <c r="AW156" s="448" t="e">
        <f t="shared" si="69"/>
        <v>#DIV/0!</v>
      </c>
      <c r="AX156" s="448">
        <f t="shared" si="70"/>
        <v>0</v>
      </c>
      <c r="AZ156" s="449" t="e">
        <f t="shared" si="68"/>
        <v>#DIV/0!</v>
      </c>
      <c r="BA156" s="449"/>
    </row>
    <row r="157" spans="1:53" hidden="1" outlineLevel="1" x14ac:dyDescent="0.25">
      <c r="A157" s="756" t="s">
        <v>445</v>
      </c>
      <c r="B157" s="745" t="s">
        <v>454</v>
      </c>
      <c r="C157" s="746"/>
      <c r="D157" s="746"/>
      <c r="E157" s="746"/>
      <c r="F157" s="746"/>
      <c r="G157" s="746"/>
      <c r="H157" s="746"/>
      <c r="I157" s="746"/>
      <c r="J157" s="746"/>
      <c r="K157" s="746"/>
      <c r="L157" s="746"/>
      <c r="M157" s="746"/>
      <c r="N157" s="746"/>
      <c r="O157" s="746"/>
      <c r="P157" s="746"/>
      <c r="Q157" s="746"/>
      <c r="R157" s="746"/>
      <c r="S157" s="747"/>
      <c r="T157" s="746" t="e">
        <f>+T144+T140+T133</f>
        <v>#REF!</v>
      </c>
      <c r="U157" s="746"/>
      <c r="V157" s="746"/>
      <c r="W157" s="746"/>
      <c r="X157" s="746"/>
      <c r="Y157" s="746"/>
      <c r="Z157" s="746"/>
      <c r="AA157" s="746"/>
      <c r="AB157" s="746"/>
      <c r="AC157" s="746"/>
      <c r="AD157" s="746"/>
      <c r="AE157" s="746"/>
      <c r="AF157" s="746"/>
      <c r="AG157" s="746"/>
      <c r="AH157" s="746"/>
      <c r="AI157" s="746"/>
      <c r="AJ157" s="746"/>
      <c r="AK157" s="746"/>
      <c r="AL157" s="746"/>
      <c r="AM157" s="746"/>
      <c r="AN157" s="746"/>
      <c r="AO157" s="746"/>
      <c r="AP157" s="746"/>
      <c r="AQ157" s="746"/>
      <c r="AR157" s="746"/>
      <c r="AS157" s="746"/>
      <c r="AT157" s="746" t="e">
        <f>+AT144+AT140+AT133</f>
        <v>#REF!</v>
      </c>
      <c r="AU157" s="450"/>
      <c r="AV157" s="450"/>
      <c r="AW157" s="451" t="e">
        <f t="shared" si="69"/>
        <v>#DIV/0!</v>
      </c>
      <c r="AX157" s="451" t="e">
        <f t="shared" si="70"/>
        <v>#REF!</v>
      </c>
      <c r="AY157" s="745"/>
      <c r="AZ157" s="452" t="e">
        <f t="shared" si="68"/>
        <v>#DIV/0!</v>
      </c>
      <c r="BA157" s="453">
        <f>+BA144</f>
        <v>-35654</v>
      </c>
    </row>
    <row r="158" spans="1:53" hidden="1" outlineLevel="1" x14ac:dyDescent="0.25">
      <c r="A158" s="757" t="s">
        <v>446</v>
      </c>
      <c r="B158" s="749"/>
      <c r="C158" s="750"/>
      <c r="D158" s="750"/>
      <c r="E158" s="750"/>
      <c r="F158" s="750"/>
      <c r="G158" s="750"/>
      <c r="H158" s="750"/>
      <c r="I158" s="750"/>
      <c r="J158" s="750"/>
      <c r="K158" s="750"/>
      <c r="L158" s="750"/>
      <c r="M158" s="750"/>
      <c r="N158" s="750"/>
      <c r="O158" s="750"/>
      <c r="P158" s="750"/>
      <c r="Q158" s="750"/>
      <c r="R158" s="750"/>
      <c r="S158" s="751"/>
      <c r="T158" s="750" t="e">
        <f>+T145+T139+T132</f>
        <v>#REF!</v>
      </c>
      <c r="U158" s="750"/>
      <c r="V158" s="750"/>
      <c r="W158" s="750"/>
      <c r="X158" s="750"/>
      <c r="Y158" s="750"/>
      <c r="Z158" s="750"/>
      <c r="AA158" s="750"/>
      <c r="AB158" s="750"/>
      <c r="AC158" s="750"/>
      <c r="AD158" s="750"/>
      <c r="AE158" s="750"/>
      <c r="AF158" s="750"/>
      <c r="AG158" s="750"/>
      <c r="AH158" s="750"/>
      <c r="AI158" s="750"/>
      <c r="AJ158" s="750"/>
      <c r="AK158" s="750"/>
      <c r="AL158" s="750"/>
      <c r="AM158" s="750"/>
      <c r="AN158" s="750"/>
      <c r="AO158" s="750"/>
      <c r="AP158" s="750"/>
      <c r="AQ158" s="750"/>
      <c r="AR158" s="750"/>
      <c r="AS158" s="750"/>
      <c r="AT158" s="750" t="e">
        <f>+AT145+AT139+AT132</f>
        <v>#REF!</v>
      </c>
      <c r="AU158" s="454"/>
      <c r="AV158" s="454"/>
      <c r="AW158" s="455" t="e">
        <f t="shared" si="69"/>
        <v>#DIV/0!</v>
      </c>
      <c r="AX158" s="455" t="e">
        <f t="shared" si="70"/>
        <v>#REF!</v>
      </c>
      <c r="AY158" s="749"/>
      <c r="AZ158" s="456" t="e">
        <f t="shared" si="68"/>
        <v>#DIV/0!</v>
      </c>
      <c r="BA158" s="457">
        <f>+BA145</f>
        <v>-45914.5</v>
      </c>
    </row>
    <row r="159" spans="1:53" hidden="1" outlineLevel="1" x14ac:dyDescent="0.25">
      <c r="A159" s="757" t="s">
        <v>447</v>
      </c>
      <c r="B159" s="749"/>
      <c r="C159" s="750"/>
      <c r="D159" s="750"/>
      <c r="E159" s="750"/>
      <c r="F159" s="750"/>
      <c r="G159" s="750"/>
      <c r="H159" s="750"/>
      <c r="I159" s="750"/>
      <c r="J159" s="750"/>
      <c r="K159" s="750"/>
      <c r="L159" s="750"/>
      <c r="M159" s="750"/>
      <c r="N159" s="750"/>
      <c r="O159" s="750"/>
      <c r="P159" s="750"/>
      <c r="Q159" s="750"/>
      <c r="R159" s="750"/>
      <c r="S159" s="751"/>
      <c r="T159" s="750" t="e">
        <f>+T146+T138+T135</f>
        <v>#REF!</v>
      </c>
      <c r="U159" s="750"/>
      <c r="V159" s="750"/>
      <c r="W159" s="750"/>
      <c r="X159" s="750"/>
      <c r="Y159" s="750"/>
      <c r="Z159" s="750"/>
      <c r="AA159" s="750"/>
      <c r="AB159" s="750"/>
      <c r="AC159" s="750"/>
      <c r="AD159" s="750"/>
      <c r="AE159" s="750"/>
      <c r="AF159" s="750"/>
      <c r="AG159" s="750"/>
      <c r="AH159" s="750"/>
      <c r="AI159" s="750"/>
      <c r="AJ159" s="750"/>
      <c r="AK159" s="750"/>
      <c r="AL159" s="750"/>
      <c r="AM159" s="750"/>
      <c r="AN159" s="750"/>
      <c r="AO159" s="750"/>
      <c r="AP159" s="750"/>
      <c r="AQ159" s="750"/>
      <c r="AR159" s="750"/>
      <c r="AS159" s="750"/>
      <c r="AT159" s="750" t="e">
        <f>+AT146+AT138+AT135</f>
        <v>#REF!</v>
      </c>
      <c r="AU159" s="454"/>
      <c r="AV159" s="454"/>
      <c r="AW159" s="455" t="e">
        <f t="shared" si="69"/>
        <v>#DIV/0!</v>
      </c>
      <c r="AX159" s="455" t="e">
        <f t="shared" si="70"/>
        <v>#REF!</v>
      </c>
      <c r="AY159" s="749"/>
      <c r="AZ159" s="456" t="e">
        <f t="shared" si="68"/>
        <v>#DIV/0!</v>
      </c>
      <c r="BA159" s="457">
        <f>+BA146</f>
        <v>-27488</v>
      </c>
    </row>
    <row r="160" spans="1:53" ht="15.75" hidden="1" outlineLevel="1" thickBot="1" x14ac:dyDescent="0.3">
      <c r="A160" s="758" t="s">
        <v>448</v>
      </c>
      <c r="B160" s="753"/>
      <c r="C160" s="754"/>
      <c r="D160" s="754"/>
      <c r="E160" s="754"/>
      <c r="F160" s="754"/>
      <c r="G160" s="754"/>
      <c r="H160" s="754"/>
      <c r="I160" s="754"/>
      <c r="J160" s="754"/>
      <c r="K160" s="754"/>
      <c r="L160" s="754"/>
      <c r="M160" s="754"/>
      <c r="N160" s="754"/>
      <c r="O160" s="754"/>
      <c r="P160" s="754"/>
      <c r="Q160" s="754"/>
      <c r="R160" s="754"/>
      <c r="S160" s="755"/>
      <c r="T160" s="754">
        <f>+T134+T137+T147</f>
        <v>13.241272861842104</v>
      </c>
      <c r="U160" s="754"/>
      <c r="V160" s="754"/>
      <c r="W160" s="754"/>
      <c r="X160" s="754"/>
      <c r="Y160" s="754"/>
      <c r="Z160" s="754"/>
      <c r="AA160" s="754"/>
      <c r="AB160" s="754"/>
      <c r="AC160" s="754"/>
      <c r="AD160" s="754"/>
      <c r="AE160" s="754"/>
      <c r="AF160" s="754"/>
      <c r="AG160" s="754"/>
      <c r="AH160" s="754"/>
      <c r="AI160" s="754"/>
      <c r="AJ160" s="754"/>
      <c r="AK160" s="754"/>
      <c r="AL160" s="754"/>
      <c r="AM160" s="754"/>
      <c r="AN160" s="754"/>
      <c r="AO160" s="754"/>
      <c r="AP160" s="754"/>
      <c r="AQ160" s="754"/>
      <c r="AR160" s="754"/>
      <c r="AS160" s="754"/>
      <c r="AT160" s="754">
        <f>+AT134+AT137+AT147</f>
        <v>12.297207675438596</v>
      </c>
      <c r="AU160" s="458"/>
      <c r="AV160" s="458"/>
      <c r="AW160" s="459" t="e">
        <f t="shared" si="69"/>
        <v>#DIV/0!</v>
      </c>
      <c r="AX160" s="459">
        <f t="shared" si="70"/>
        <v>-361754.05085740128</v>
      </c>
      <c r="AY160" s="753"/>
      <c r="AZ160" s="460" t="e">
        <f t="shared" si="68"/>
        <v>#DIV/0!</v>
      </c>
      <c r="BA160" s="461">
        <f>+BA134+BA137+BA147</f>
        <v>-29416.5</v>
      </c>
    </row>
    <row r="161" spans="1:53" hidden="1" outlineLevel="1" x14ac:dyDescent="0.25">
      <c r="C161" s="709"/>
      <c r="D161" s="709"/>
      <c r="E161" s="709"/>
      <c r="F161" s="709"/>
      <c r="G161" s="709"/>
      <c r="H161" s="709"/>
      <c r="I161" s="709"/>
      <c r="J161" s="709"/>
      <c r="K161" s="709"/>
      <c r="L161" s="709"/>
      <c r="M161" s="709"/>
      <c r="N161" s="709"/>
      <c r="O161" s="709"/>
      <c r="P161" s="709"/>
      <c r="Q161" s="709"/>
      <c r="R161" s="709"/>
      <c r="S161" s="723"/>
      <c r="U161" s="709"/>
      <c r="V161" s="709"/>
      <c r="W161" s="709"/>
      <c r="X161" s="709"/>
      <c r="Y161" s="709"/>
      <c r="Z161" s="709"/>
      <c r="AA161" s="709"/>
      <c r="AB161" s="709"/>
      <c r="AC161" s="709"/>
      <c r="AD161" s="709"/>
      <c r="AE161" s="709"/>
      <c r="AF161" s="709"/>
      <c r="AG161" s="709"/>
      <c r="AH161" s="709"/>
      <c r="AI161" s="709"/>
      <c r="AJ161" s="709"/>
      <c r="AK161" s="709"/>
      <c r="AL161" s="709"/>
      <c r="AM161" s="709"/>
      <c r="AN161" s="709"/>
      <c r="AO161" s="709"/>
      <c r="AP161" s="709"/>
      <c r="AQ161" s="709"/>
      <c r="AR161" s="709"/>
      <c r="AS161" s="709"/>
      <c r="AT161" s="709"/>
      <c r="AU161" s="441"/>
      <c r="AV161" s="441"/>
      <c r="AW161" s="448"/>
      <c r="AX161" s="448"/>
      <c r="AZ161" s="449"/>
      <c r="BA161" s="449"/>
    </row>
    <row r="162" spans="1:53" hidden="1" outlineLevel="1" x14ac:dyDescent="0.25">
      <c r="A162" s="708" t="s">
        <v>272</v>
      </c>
      <c r="C162" s="709"/>
      <c r="D162" s="709"/>
      <c r="E162" s="709"/>
      <c r="F162" s="709"/>
      <c r="G162" s="709"/>
      <c r="H162" s="709"/>
      <c r="I162" s="709"/>
      <c r="J162" s="709"/>
      <c r="K162" s="709"/>
      <c r="L162" s="709"/>
      <c r="M162" s="709"/>
      <c r="N162" s="709"/>
      <c r="O162" s="709"/>
      <c r="P162" s="709"/>
      <c r="Q162" s="709"/>
      <c r="R162" s="709"/>
      <c r="S162" s="723"/>
      <c r="T162" s="709" t="e">
        <f>SUM(T157:T161)</f>
        <v>#REF!</v>
      </c>
      <c r="U162" s="709"/>
      <c r="V162" s="709"/>
      <c r="W162" s="709"/>
      <c r="X162" s="709"/>
      <c r="Y162" s="709"/>
      <c r="Z162" s="709"/>
      <c r="AA162" s="709"/>
      <c r="AB162" s="709"/>
      <c r="AC162" s="709"/>
      <c r="AD162" s="709"/>
      <c r="AE162" s="709"/>
      <c r="AF162" s="709"/>
      <c r="AG162" s="709"/>
      <c r="AH162" s="709"/>
      <c r="AI162" s="709"/>
      <c r="AJ162" s="709"/>
      <c r="AK162" s="709"/>
      <c r="AL162" s="709"/>
      <c r="AM162" s="709"/>
      <c r="AN162" s="709"/>
      <c r="AO162" s="709"/>
      <c r="AP162" s="709"/>
      <c r="AQ162" s="709"/>
      <c r="AR162" s="709"/>
      <c r="AS162" s="709"/>
      <c r="AT162" s="709" t="e">
        <f>SUM(AT157:AT161)</f>
        <v>#REF!</v>
      </c>
      <c r="AU162" s="441"/>
      <c r="AV162" s="441"/>
      <c r="AW162" s="448" t="e">
        <f t="shared" si="69"/>
        <v>#DIV/0!</v>
      </c>
      <c r="AX162" s="448" t="e">
        <f t="shared" si="70"/>
        <v>#REF!</v>
      </c>
      <c r="AZ162" s="449" t="e">
        <f t="shared" si="68"/>
        <v>#DIV/0!</v>
      </c>
      <c r="BA162" s="449" t="e">
        <f>+'Test Number'!S39/'Test Number'!AT39</f>
        <v>#DIV/0!</v>
      </c>
    </row>
    <row r="163" spans="1:53" hidden="1" outlineLevel="1" x14ac:dyDescent="0.25">
      <c r="C163" s="709"/>
      <c r="D163" s="709"/>
      <c r="E163" s="709"/>
      <c r="F163" s="709"/>
      <c r="G163" s="709"/>
      <c r="H163" s="709"/>
      <c r="I163" s="709"/>
      <c r="J163" s="709"/>
      <c r="K163" s="709"/>
      <c r="L163" s="709"/>
      <c r="M163" s="709"/>
      <c r="N163" s="709"/>
      <c r="O163" s="709"/>
      <c r="P163" s="709"/>
      <c r="Q163" s="709"/>
      <c r="R163" s="709"/>
      <c r="S163" s="723"/>
      <c r="U163" s="709"/>
      <c r="V163" s="709"/>
      <c r="W163" s="709"/>
      <c r="X163" s="709"/>
      <c r="Y163" s="709"/>
      <c r="Z163" s="709"/>
      <c r="AA163" s="709"/>
      <c r="AB163" s="709"/>
      <c r="AC163" s="709"/>
      <c r="AD163" s="709"/>
      <c r="AE163" s="709"/>
      <c r="AF163" s="709"/>
      <c r="AG163" s="709"/>
      <c r="AH163" s="709"/>
      <c r="AI163" s="709"/>
      <c r="AJ163" s="709"/>
      <c r="AK163" s="709"/>
      <c r="AL163" s="709"/>
      <c r="AM163" s="709"/>
      <c r="AN163" s="709"/>
      <c r="AO163" s="709"/>
      <c r="AP163" s="709"/>
      <c r="AQ163" s="709"/>
      <c r="AR163" s="709"/>
      <c r="AS163" s="709"/>
      <c r="AT163" s="709"/>
      <c r="AZ163" s="449"/>
      <c r="BA163" s="449"/>
    </row>
    <row r="164" spans="1:53" hidden="1" outlineLevel="1" x14ac:dyDescent="0.25">
      <c r="C164" s="709"/>
      <c r="D164" s="709"/>
      <c r="E164" s="709"/>
      <c r="F164" s="709"/>
      <c r="G164" s="709"/>
      <c r="H164" s="709"/>
      <c r="I164" s="709"/>
      <c r="J164" s="709"/>
      <c r="K164" s="709"/>
      <c r="L164" s="709"/>
      <c r="M164" s="709"/>
      <c r="N164" s="709"/>
      <c r="O164" s="709"/>
      <c r="P164" s="709"/>
      <c r="Q164" s="709"/>
      <c r="R164" s="709"/>
      <c r="S164" s="723"/>
      <c r="U164" s="709"/>
      <c r="V164" s="709"/>
      <c r="W164" s="709"/>
      <c r="X164" s="709"/>
      <c r="Y164" s="709"/>
      <c r="Z164" s="709"/>
      <c r="AA164" s="709"/>
      <c r="AB164" s="709"/>
      <c r="AC164" s="709"/>
      <c r="AD164" s="709"/>
      <c r="AE164" s="709"/>
      <c r="AF164" s="709"/>
      <c r="AG164" s="709"/>
      <c r="AH164" s="709"/>
      <c r="AI164" s="709"/>
      <c r="AJ164" s="709"/>
      <c r="AK164" s="709"/>
      <c r="AL164" s="709"/>
      <c r="AM164" s="709"/>
      <c r="AN164" s="709"/>
      <c r="AO164" s="709"/>
      <c r="AP164" s="709"/>
      <c r="AQ164" s="709"/>
      <c r="AR164" s="709"/>
      <c r="AS164" s="709"/>
      <c r="AT164" s="709"/>
      <c r="AU164" s="759"/>
    </row>
    <row r="165" spans="1:53" hidden="1" outlineLevel="1" x14ac:dyDescent="0.25">
      <c r="C165" s="709"/>
      <c r="D165" s="709"/>
      <c r="E165" s="709"/>
      <c r="F165" s="709"/>
      <c r="G165" s="709"/>
      <c r="H165" s="709"/>
      <c r="I165" s="709"/>
      <c r="J165" s="709"/>
      <c r="K165" s="709"/>
      <c r="L165" s="709"/>
      <c r="M165" s="709"/>
      <c r="N165" s="709"/>
      <c r="O165" s="709"/>
      <c r="P165" s="709"/>
      <c r="Q165" s="709"/>
      <c r="R165" s="709"/>
      <c r="S165" s="723"/>
      <c r="U165" s="709"/>
      <c r="V165" s="709"/>
      <c r="W165" s="709"/>
      <c r="X165" s="709"/>
      <c r="Y165" s="709"/>
      <c r="Z165" s="709"/>
      <c r="AA165" s="709"/>
      <c r="AB165" s="709"/>
      <c r="AC165" s="709"/>
      <c r="AD165" s="709"/>
      <c r="AE165" s="709"/>
      <c r="AF165" s="709"/>
      <c r="AG165" s="709"/>
      <c r="AH165" s="709"/>
      <c r="AI165" s="709"/>
      <c r="AJ165" s="709"/>
      <c r="AK165" s="709"/>
      <c r="AL165" s="709"/>
      <c r="AM165" s="709"/>
      <c r="AN165" s="709"/>
      <c r="AO165" s="709"/>
      <c r="AP165" s="709"/>
      <c r="AQ165" s="709"/>
      <c r="AR165" s="709"/>
      <c r="AS165" s="709"/>
      <c r="AT165" s="709"/>
    </row>
    <row r="166" spans="1:53" hidden="1" outlineLevel="1" x14ac:dyDescent="0.25">
      <c r="C166" s="709"/>
      <c r="D166" s="709"/>
      <c r="E166" s="709"/>
      <c r="F166" s="709"/>
      <c r="G166" s="709"/>
      <c r="H166" s="709"/>
      <c r="I166" s="709"/>
      <c r="J166" s="709"/>
      <c r="K166" s="709"/>
      <c r="L166" s="709"/>
      <c r="M166" s="709"/>
      <c r="N166" s="709"/>
      <c r="O166" s="709"/>
      <c r="P166" s="709"/>
      <c r="Q166" s="709"/>
      <c r="R166" s="709"/>
      <c r="S166" s="723"/>
      <c r="U166" s="709"/>
      <c r="V166" s="709"/>
      <c r="W166" s="709"/>
      <c r="X166" s="709"/>
      <c r="Y166" s="709"/>
      <c r="Z166" s="709"/>
      <c r="AA166" s="709"/>
      <c r="AB166" s="709"/>
      <c r="AC166" s="709"/>
      <c r="AD166" s="709"/>
      <c r="AE166" s="709"/>
      <c r="AF166" s="709"/>
      <c r="AG166" s="709"/>
      <c r="AH166" s="709"/>
      <c r="AI166" s="709"/>
      <c r="AJ166" s="709"/>
      <c r="AK166" s="709"/>
      <c r="AL166" s="709"/>
      <c r="AM166" s="709"/>
      <c r="AN166" s="709"/>
      <c r="AO166" s="709"/>
      <c r="AP166" s="709"/>
      <c r="AQ166" s="709"/>
      <c r="AR166" s="709"/>
      <c r="AS166" s="709"/>
      <c r="AT166" s="709"/>
    </row>
    <row r="167" spans="1:53" hidden="1" outlineLevel="1" x14ac:dyDescent="0.25">
      <c r="C167" s="709"/>
      <c r="D167" s="709"/>
      <c r="E167" s="709"/>
      <c r="F167" s="709"/>
      <c r="G167" s="709"/>
      <c r="H167" s="709"/>
      <c r="I167" s="709"/>
      <c r="J167" s="709"/>
      <c r="K167" s="709"/>
      <c r="L167" s="709"/>
      <c r="M167" s="709"/>
      <c r="N167" s="709"/>
      <c r="O167" s="709"/>
      <c r="P167" s="709"/>
      <c r="Q167" s="709"/>
      <c r="R167" s="709"/>
      <c r="S167" s="723"/>
      <c r="U167" s="709"/>
      <c r="V167" s="709"/>
      <c r="W167" s="709"/>
      <c r="X167" s="709"/>
      <c r="Y167" s="709"/>
      <c r="Z167" s="709"/>
      <c r="AA167" s="709"/>
      <c r="AB167" s="709"/>
      <c r="AC167" s="709"/>
      <c r="AD167" s="709"/>
      <c r="AE167" s="709"/>
      <c r="AF167" s="709"/>
      <c r="AG167" s="709"/>
      <c r="AH167" s="709"/>
      <c r="AI167" s="709"/>
      <c r="AJ167" s="709"/>
      <c r="AK167" s="709"/>
      <c r="AL167" s="709"/>
      <c r="AM167" s="709"/>
      <c r="AN167" s="709"/>
      <c r="AO167" s="709"/>
      <c r="AP167" s="709"/>
      <c r="AQ167" s="709"/>
      <c r="AR167" s="709"/>
      <c r="AS167" s="709"/>
      <c r="AT167" s="709"/>
    </row>
    <row r="168" spans="1:53" collapsed="1" x14ac:dyDescent="0.25">
      <c r="C168" s="709"/>
      <c r="D168" s="709"/>
      <c r="E168" s="709"/>
      <c r="F168" s="709"/>
      <c r="G168" s="709"/>
      <c r="H168" s="709"/>
      <c r="I168" s="709"/>
      <c r="J168" s="709"/>
      <c r="K168" s="709"/>
      <c r="L168" s="709"/>
      <c r="M168" s="709"/>
      <c r="N168" s="709"/>
      <c r="O168" s="709"/>
      <c r="P168" s="709"/>
      <c r="Q168" s="709"/>
      <c r="R168" s="709"/>
      <c r="S168" s="723"/>
      <c r="U168" s="709"/>
      <c r="V168" s="709"/>
      <c r="W168" s="709"/>
      <c r="X168" s="709"/>
      <c r="Y168" s="709"/>
      <c r="Z168" s="709"/>
      <c r="AA168" s="709"/>
      <c r="AB168" s="709"/>
      <c r="AC168" s="709"/>
      <c r="AD168" s="709"/>
      <c r="AE168" s="709"/>
      <c r="AF168" s="709"/>
      <c r="AG168" s="709"/>
      <c r="AH168" s="709"/>
      <c r="AI168" s="709"/>
      <c r="AJ168" s="709"/>
      <c r="AK168" s="709"/>
      <c r="AL168" s="709"/>
      <c r="AM168" s="709"/>
      <c r="AN168" s="709"/>
      <c r="AO168" s="709"/>
      <c r="AP168" s="709"/>
      <c r="AQ168" s="709"/>
      <c r="AR168" s="709"/>
      <c r="AS168" s="709"/>
      <c r="AT168" s="709"/>
    </row>
    <row r="169" spans="1:53" x14ac:dyDescent="0.25">
      <c r="B169" s="835" t="s">
        <v>474</v>
      </c>
      <c r="C169" s="781">
        <f>C100+C97+C94+C91+C88+C85+C82+C79+C76+C73+C70</f>
        <v>130.14407807017545</v>
      </c>
      <c r="D169" s="781">
        <f t="shared" ref="D169:E171" si="71">D100+D97+D94+D91+D88+D85+D82+D79+D76+D73+D70</f>
        <v>0</v>
      </c>
      <c r="E169" s="781">
        <f t="shared" si="71"/>
        <v>129.303</v>
      </c>
      <c r="F169" s="709"/>
      <c r="G169" s="709"/>
      <c r="H169" s="709">
        <f t="shared" ref="H169:P171" si="72">H100+H97+H94+H91+H88+H85+H82+H79+H76+H73+H70</f>
        <v>136.95207631578947</v>
      </c>
      <c r="I169" s="709">
        <f t="shared" si="72"/>
        <v>133.19834342105261</v>
      </c>
      <c r="J169" s="709">
        <f t="shared" si="72"/>
        <v>134.28187631578948</v>
      </c>
      <c r="K169" s="709">
        <f t="shared" si="72"/>
        <v>130.14407807017545</v>
      </c>
      <c r="L169" s="709">
        <f t="shared" si="72"/>
        <v>0</v>
      </c>
      <c r="M169" s="709">
        <f>M100+M97+M94+M91+M88+M85+M82+M79+M76+M73+M70</f>
        <v>0</v>
      </c>
      <c r="N169" s="709">
        <f t="shared" ref="N169:T171" si="73">N100+N97+N94+N91+N88+N85+N82+N79+N76+N73+N70</f>
        <v>0</v>
      </c>
      <c r="O169" s="709">
        <f t="shared" si="73"/>
        <v>0</v>
      </c>
      <c r="P169" s="709">
        <f t="shared" si="73"/>
        <v>0</v>
      </c>
      <c r="Q169" s="709">
        <f t="shared" si="73"/>
        <v>0</v>
      </c>
      <c r="R169" s="723">
        <f>R100+R97+R94+R91+R88+R85+R82+R79+R76+R73+R70</f>
        <v>0</v>
      </c>
      <c r="S169" s="723">
        <f t="shared" si="73"/>
        <v>0</v>
      </c>
      <c r="T169" s="709">
        <f>T100+T97+T94+T91+T88+T85+T82+T79+T76+T73+T70</f>
        <v>62.844083808479525</v>
      </c>
      <c r="U169" s="709"/>
      <c r="V169" s="709"/>
      <c r="W169" s="709"/>
      <c r="X169" s="709"/>
      <c r="Y169" s="709"/>
      <c r="Z169" s="709"/>
      <c r="AA169" s="709"/>
      <c r="AB169" s="709"/>
      <c r="AC169" s="709"/>
      <c r="AD169" s="709"/>
      <c r="AE169" s="709"/>
      <c r="AF169" s="709"/>
      <c r="AG169" s="709" t="e">
        <f>AG100+AG97+AG94+AG91+AG88+AG85+AG82+AG79+AG76+AG73+AG70</f>
        <v>#DIV/0!</v>
      </c>
      <c r="AH169" s="709">
        <f t="shared" ref="AH169:AT171" si="74">AH100+AH97+AH94+AH91+AH88+AH85+AH82+AH79+AH76+AH73+AH70</f>
        <v>134.55761644736842</v>
      </c>
      <c r="AI169" s="709">
        <f t="shared" si="74"/>
        <v>132.00599999999997</v>
      </c>
      <c r="AJ169" s="709">
        <f t="shared" si="74"/>
        <v>133.072</v>
      </c>
      <c r="AK169" s="709">
        <f t="shared" si="74"/>
        <v>129.303</v>
      </c>
      <c r="AL169" s="709">
        <f t="shared" si="74"/>
        <v>136.66900000000001</v>
      </c>
      <c r="AM169" s="709">
        <f t="shared" si="74"/>
        <v>136.227</v>
      </c>
      <c r="AN169" s="709">
        <f t="shared" si="74"/>
        <v>139.55099999999999</v>
      </c>
      <c r="AO169" s="709">
        <f t="shared" si="74"/>
        <v>138.19999999999999</v>
      </c>
      <c r="AP169" s="709">
        <f t="shared" si="74"/>
        <v>139.55699999999999</v>
      </c>
      <c r="AQ169" s="709">
        <f t="shared" si="74"/>
        <v>142.59299999999999</v>
      </c>
      <c r="AR169" s="709">
        <f t="shared" si="74"/>
        <v>138.82</v>
      </c>
      <c r="AS169" s="709">
        <f t="shared" si="74"/>
        <v>140.56061907894738</v>
      </c>
      <c r="AT169" s="709">
        <f>AT100+AT97+AT94+AT91+AT88+AT85+AT82+AT79+AT76+AT73+AT70</f>
        <v>135.13304884868418</v>
      </c>
    </row>
    <row r="170" spans="1:53" x14ac:dyDescent="0.25">
      <c r="B170" s="835" t="s">
        <v>475</v>
      </c>
      <c r="C170" s="781">
        <f t="shared" ref="C170:C171" si="75">C101+C98+C95+C92+C89+C86+C83+C80+C77+C74+C71</f>
        <v>94.110378947368417</v>
      </c>
      <c r="D170" s="781">
        <f t="shared" si="71"/>
        <v>0</v>
      </c>
      <c r="E170" s="781">
        <f t="shared" si="71"/>
        <v>86.41</v>
      </c>
      <c r="F170" s="709"/>
      <c r="G170" s="709"/>
      <c r="H170" s="709">
        <f t="shared" si="72"/>
        <v>123.27597960526316</v>
      </c>
      <c r="I170" s="709">
        <f t="shared" si="72"/>
        <v>122.56084342105264</v>
      </c>
      <c r="J170" s="709">
        <f>J101+J98+J95+J92+J89+J86+J83+J80+J77+J74+J71</f>
        <v>116.47488749999999</v>
      </c>
      <c r="K170" s="709">
        <f t="shared" si="72"/>
        <v>94.110378947368417</v>
      </c>
      <c r="L170" s="709">
        <f t="shared" si="72"/>
        <v>0</v>
      </c>
      <c r="M170" s="709">
        <f t="shared" si="72"/>
        <v>0</v>
      </c>
      <c r="N170" s="709">
        <f t="shared" si="72"/>
        <v>0</v>
      </c>
      <c r="O170" s="709">
        <f>O101+O98+O95+O92+O89+O86+O83+O80+O77+O74+O71</f>
        <v>0</v>
      </c>
      <c r="P170" s="709">
        <f t="shared" si="72"/>
        <v>0</v>
      </c>
      <c r="Q170" s="709">
        <f t="shared" si="73"/>
        <v>0</v>
      </c>
      <c r="R170" s="709">
        <f t="shared" si="73"/>
        <v>0</v>
      </c>
      <c r="S170" s="723">
        <f t="shared" si="73"/>
        <v>0</v>
      </c>
      <c r="T170" s="709">
        <f t="shared" si="73"/>
        <v>53.187403654970751</v>
      </c>
      <c r="U170" s="709"/>
      <c r="V170" s="709"/>
      <c r="W170" s="709"/>
      <c r="X170" s="709"/>
      <c r="Y170" s="709"/>
      <c r="Z170" s="709"/>
      <c r="AA170" s="709"/>
      <c r="AB170" s="709"/>
      <c r="AC170" s="709"/>
      <c r="AD170" s="709"/>
      <c r="AE170" s="709"/>
      <c r="AF170" s="709"/>
      <c r="AG170" s="709" t="e">
        <f t="shared" ref="AG170:AG171" si="76">AG101+AG98+AG95+AG92+AG89+AG86+AG83+AG80+AG77+AG74+AG71</f>
        <v>#DIV/0!</v>
      </c>
      <c r="AH170" s="709">
        <f t="shared" si="74"/>
        <v>118.27881447368421</v>
      </c>
      <c r="AI170" s="709">
        <f t="shared" si="74"/>
        <v>116.81</v>
      </c>
      <c r="AJ170" s="709">
        <f t="shared" si="74"/>
        <v>107.51999999999998</v>
      </c>
      <c r="AK170" s="709">
        <f t="shared" si="74"/>
        <v>86.41</v>
      </c>
      <c r="AL170" s="709">
        <f t="shared" si="74"/>
        <v>116.89</v>
      </c>
      <c r="AM170" s="709">
        <f t="shared" si="74"/>
        <v>121.42999999999999</v>
      </c>
      <c r="AN170" s="709">
        <f t="shared" si="74"/>
        <v>105.78</v>
      </c>
      <c r="AO170" s="709">
        <f t="shared" si="74"/>
        <v>124.24000000000001</v>
      </c>
      <c r="AP170" s="709">
        <f t="shared" si="74"/>
        <v>122.44999999999999</v>
      </c>
      <c r="AQ170" s="709">
        <f t="shared" si="74"/>
        <v>129.69</v>
      </c>
      <c r="AR170" s="709">
        <f t="shared" si="74"/>
        <v>128.28</v>
      </c>
      <c r="AS170" s="709">
        <f t="shared" si="74"/>
        <v>122.38167171052632</v>
      </c>
      <c r="AT170" s="709">
        <f t="shared" si="74"/>
        <v>115.41372653508773</v>
      </c>
    </row>
    <row r="171" spans="1:53" x14ac:dyDescent="0.25">
      <c r="B171" s="835" t="s">
        <v>476</v>
      </c>
      <c r="C171" s="781">
        <f t="shared" si="75"/>
        <v>6.3630122807017546</v>
      </c>
      <c r="D171" s="781">
        <f t="shared" si="71"/>
        <v>0</v>
      </c>
      <c r="E171" s="781">
        <f t="shared" si="71"/>
        <v>2.9870000000000001</v>
      </c>
      <c r="F171" s="709"/>
      <c r="G171" s="709"/>
      <c r="H171" s="709">
        <f t="shared" si="72"/>
        <v>5.6799256578947368</v>
      </c>
      <c r="I171" s="709">
        <f t="shared" si="72"/>
        <v>6.2920980263157906</v>
      </c>
      <c r="J171" s="709">
        <f t="shared" si="72"/>
        <v>7.1189651315789479</v>
      </c>
      <c r="K171" s="709">
        <f t="shared" si="72"/>
        <v>6.3630122807017546</v>
      </c>
      <c r="L171" s="709">
        <f t="shared" si="72"/>
        <v>0</v>
      </c>
      <c r="M171" s="709">
        <v>3.02</v>
      </c>
      <c r="N171" s="709">
        <v>5.76</v>
      </c>
      <c r="O171" s="709">
        <v>4.88</v>
      </c>
      <c r="P171" s="709">
        <v>5.33</v>
      </c>
      <c r="Q171" s="709">
        <f t="shared" si="73"/>
        <v>0</v>
      </c>
      <c r="R171" s="709">
        <f t="shared" si="73"/>
        <v>0</v>
      </c>
      <c r="S171" s="723">
        <f t="shared" si="73"/>
        <v>0</v>
      </c>
      <c r="T171" s="709">
        <f t="shared" si="73"/>
        <v>2.1211667580409359</v>
      </c>
      <c r="U171" s="709"/>
      <c r="V171" s="709"/>
      <c r="W171" s="709"/>
      <c r="X171" s="709"/>
      <c r="Y171" s="709"/>
      <c r="Z171" s="709"/>
      <c r="AA171" s="709"/>
      <c r="AB171" s="709"/>
      <c r="AC171" s="709"/>
      <c r="AD171" s="709"/>
      <c r="AE171" s="709"/>
      <c r="AF171" s="709"/>
      <c r="AG171" s="709" t="e">
        <f t="shared" si="76"/>
        <v>#DIV/0!</v>
      </c>
      <c r="AH171" s="709">
        <f t="shared" si="74"/>
        <v>3.2488855263157896</v>
      </c>
      <c r="AI171" s="709">
        <f t="shared" si="74"/>
        <v>4.8119999999999994</v>
      </c>
      <c r="AJ171" s="709">
        <f t="shared" si="74"/>
        <v>3.3919999999999999</v>
      </c>
      <c r="AK171" s="709">
        <f t="shared" si="74"/>
        <v>2.9870000000000001</v>
      </c>
      <c r="AL171" s="709">
        <f t="shared" si="74"/>
        <v>3.0019999999999998</v>
      </c>
      <c r="AM171" s="709">
        <f t="shared" si="74"/>
        <v>2.8010000000000002</v>
      </c>
      <c r="AN171" s="709">
        <f t="shared" si="74"/>
        <v>5.8199999999999994</v>
      </c>
      <c r="AO171" s="709">
        <f t="shared" si="74"/>
        <v>4.894000000000001</v>
      </c>
      <c r="AP171" s="709">
        <f t="shared" si="74"/>
        <v>5.41</v>
      </c>
      <c r="AQ171" s="709">
        <f t="shared" si="74"/>
        <v>6.6890000000000001</v>
      </c>
      <c r="AR171" s="709">
        <f t="shared" si="74"/>
        <v>6.3019999999999996</v>
      </c>
      <c r="AS171" s="709">
        <f t="shared" si="74"/>
        <v>7.1532921052631586</v>
      </c>
      <c r="AT171" s="709">
        <f t="shared" si="74"/>
        <v>4.7077479714912283</v>
      </c>
    </row>
    <row r="172" spans="1:53" x14ac:dyDescent="0.25">
      <c r="C172" s="709"/>
      <c r="D172" s="709"/>
      <c r="E172" s="709"/>
      <c r="F172" s="709"/>
      <c r="G172" s="709"/>
      <c r="H172" s="709"/>
      <c r="I172" s="709"/>
      <c r="J172" s="709"/>
      <c r="K172" s="709"/>
      <c r="L172" s="709"/>
      <c r="M172" s="709"/>
      <c r="N172" s="709"/>
      <c r="O172" s="709"/>
      <c r="P172" s="709"/>
      <c r="Q172" s="709"/>
      <c r="R172" s="709"/>
      <c r="S172" s="723"/>
      <c r="U172" s="709"/>
      <c r="V172" s="709"/>
      <c r="W172" s="709"/>
      <c r="X172" s="709"/>
      <c r="Y172" s="709"/>
      <c r="Z172" s="709"/>
      <c r="AA172" s="709"/>
      <c r="AB172" s="709"/>
      <c r="AC172" s="709"/>
      <c r="AD172" s="709"/>
      <c r="AE172" s="709"/>
      <c r="AF172" s="709"/>
      <c r="AG172" s="709"/>
      <c r="AH172" s="709"/>
      <c r="AI172" s="709"/>
      <c r="AJ172" s="709"/>
      <c r="AK172" s="709"/>
      <c r="AL172" s="709"/>
      <c r="AM172" s="709"/>
      <c r="AN172" s="709"/>
      <c r="AO172" s="709"/>
      <c r="AP172" s="709"/>
      <c r="AQ172" s="709"/>
      <c r="AR172" s="709"/>
      <c r="AS172" s="709"/>
      <c r="AT172" s="709"/>
    </row>
    <row r="173" spans="1:53" x14ac:dyDescent="0.25">
      <c r="C173" s="709"/>
      <c r="D173" s="709"/>
      <c r="E173" s="709"/>
      <c r="F173" s="709"/>
      <c r="G173" s="709"/>
      <c r="H173" s="709">
        <f t="shared" ref="H173:O173" si="77">+H169-H170</f>
        <v>13.676096710526309</v>
      </c>
      <c r="I173" s="709">
        <f t="shared" si="77"/>
        <v>10.637499999999974</v>
      </c>
      <c r="J173" s="709">
        <f t="shared" si="77"/>
        <v>17.806988815789481</v>
      </c>
      <c r="K173" s="709">
        <f t="shared" si="77"/>
        <v>36.033699122807036</v>
      </c>
      <c r="L173" s="709">
        <f t="shared" si="77"/>
        <v>0</v>
      </c>
      <c r="M173" s="709">
        <f t="shared" si="77"/>
        <v>0</v>
      </c>
      <c r="N173" s="709">
        <f t="shared" si="77"/>
        <v>0</v>
      </c>
      <c r="O173" s="709">
        <f t="shared" si="77"/>
        <v>0</v>
      </c>
      <c r="P173" s="709">
        <f>+P169-P170</f>
        <v>0</v>
      </c>
      <c r="Q173" s="709">
        <f>+Q169-Q170</f>
        <v>0</v>
      </c>
      <c r="R173" s="709">
        <f>+R169-R170</f>
        <v>0</v>
      </c>
      <c r="S173" s="723">
        <f>+S169-S170</f>
        <v>0</v>
      </c>
      <c r="U173" s="709"/>
      <c r="V173" s="709"/>
      <c r="W173" s="709"/>
      <c r="X173" s="709"/>
      <c r="Y173" s="709"/>
      <c r="Z173" s="709"/>
      <c r="AA173" s="709"/>
      <c r="AB173" s="709"/>
      <c r="AC173" s="709"/>
      <c r="AD173" s="709"/>
      <c r="AE173" s="709"/>
      <c r="AF173" s="709"/>
      <c r="AG173" s="709"/>
      <c r="AH173" s="709"/>
      <c r="AI173" s="709"/>
      <c r="AJ173" s="709"/>
      <c r="AK173" s="709"/>
      <c r="AL173" s="709"/>
      <c r="AM173" s="709"/>
      <c r="AN173" s="709"/>
      <c r="AO173" s="709"/>
      <c r="AP173" s="709"/>
      <c r="AQ173" s="709"/>
      <c r="AR173" s="709"/>
      <c r="AS173" s="709"/>
      <c r="AT173" s="709"/>
    </row>
    <row r="174" spans="1:53" x14ac:dyDescent="0.25">
      <c r="B174" s="835" t="s">
        <v>557</v>
      </c>
      <c r="C174" s="781">
        <f>SUM(C88,C91,C94,C97)</f>
        <v>97.01776228070176</v>
      </c>
      <c r="D174" s="781">
        <f t="shared" ref="D174:E174" si="78">SUM(D88,D91,D94,D97)</f>
        <v>0</v>
      </c>
      <c r="E174" s="781">
        <f t="shared" si="78"/>
        <v>93.652999999999992</v>
      </c>
      <c r="F174" s="709"/>
      <c r="G174" s="709"/>
      <c r="H174" s="709">
        <f t="shared" ref="H174:S174" si="79">SUM(H88,H91,H94,H97)</f>
        <v>100.99944473684209</v>
      </c>
      <c r="I174" s="709">
        <f t="shared" si="79"/>
        <v>97.096807894736827</v>
      </c>
      <c r="J174" s="709">
        <f t="shared" si="79"/>
        <v>100.25292894736842</v>
      </c>
      <c r="K174" s="709">
        <f t="shared" si="79"/>
        <v>97.01776228070176</v>
      </c>
      <c r="L174" s="709">
        <f t="shared" si="79"/>
        <v>0</v>
      </c>
      <c r="M174" s="709">
        <f t="shared" si="79"/>
        <v>0</v>
      </c>
      <c r="N174" s="709">
        <f t="shared" si="79"/>
        <v>0</v>
      </c>
      <c r="O174" s="709">
        <f t="shared" si="79"/>
        <v>0</v>
      </c>
      <c r="P174" s="709">
        <f t="shared" si="79"/>
        <v>0</v>
      </c>
      <c r="Q174" s="709">
        <f t="shared" si="79"/>
        <v>0</v>
      </c>
      <c r="R174" s="709">
        <f t="shared" si="79"/>
        <v>0</v>
      </c>
      <c r="S174" s="723">
        <f t="shared" si="79"/>
        <v>0</v>
      </c>
      <c r="T174" s="709">
        <f>AVERAGEIF($H$1:S1,$T$1,H174:S174)</f>
        <v>32.947245321637418</v>
      </c>
      <c r="U174" s="709"/>
      <c r="V174" s="709"/>
      <c r="W174" s="709"/>
      <c r="X174" s="709"/>
      <c r="Y174" s="709"/>
      <c r="Z174" s="709"/>
      <c r="AA174" s="709"/>
      <c r="AB174" s="709"/>
      <c r="AC174" s="709"/>
      <c r="AD174" s="709"/>
      <c r="AE174" s="709"/>
      <c r="AF174" s="709"/>
      <c r="AG174" s="709"/>
      <c r="AH174" s="709">
        <f t="shared" ref="AH174:AS174" si="80">SUM(AH88,AH91,AH94,AH97)</f>
        <v>97.407616447368426</v>
      </c>
      <c r="AI174" s="709">
        <f t="shared" si="80"/>
        <v>95.655999999999992</v>
      </c>
      <c r="AJ174" s="709">
        <f t="shared" si="80"/>
        <v>97.322000000000003</v>
      </c>
      <c r="AK174" s="709">
        <f t="shared" si="80"/>
        <v>93.652999999999992</v>
      </c>
      <c r="AL174" s="709">
        <f t="shared" si="80"/>
        <v>96.919000000000011</v>
      </c>
      <c r="AM174" s="709">
        <f t="shared" si="80"/>
        <v>96.356999999999999</v>
      </c>
      <c r="AN174" s="709">
        <f t="shared" si="80"/>
        <v>100.401</v>
      </c>
      <c r="AO174" s="709">
        <f t="shared" si="80"/>
        <v>95.55</v>
      </c>
      <c r="AP174" s="709">
        <f t="shared" si="80"/>
        <v>96.586999999999989</v>
      </c>
      <c r="AQ174" s="709">
        <f t="shared" si="80"/>
        <v>100.09299999999999</v>
      </c>
      <c r="AR174" s="709">
        <f t="shared" si="80"/>
        <v>98.78</v>
      </c>
      <c r="AS174" s="709">
        <f t="shared" si="80"/>
        <v>101.45096973684211</v>
      </c>
      <c r="AT174" s="709">
        <f>SUM(AT88,AT91,AT94,AT97)</f>
        <v>96.509715515350877</v>
      </c>
    </row>
    <row r="175" spans="1:53" x14ac:dyDescent="0.25">
      <c r="B175" s="835" t="s">
        <v>558</v>
      </c>
      <c r="C175" s="781">
        <f>SUM(C70,C85,C82,C73)</f>
        <v>14.926315789473684</v>
      </c>
      <c r="D175" s="781">
        <f t="shared" ref="D175:E175" si="81">SUM(D70,D85,D82,D73)</f>
        <v>0</v>
      </c>
      <c r="E175" s="781">
        <f t="shared" si="81"/>
        <v>19.600000000000001</v>
      </c>
      <c r="F175" s="709"/>
      <c r="G175" s="709"/>
      <c r="H175" s="709">
        <f t="shared" ref="H175:S175" si="82">SUM(H70,H85,H82,H73)</f>
        <v>16.952631578947368</v>
      </c>
      <c r="I175" s="709">
        <f t="shared" si="82"/>
        <v>17.127851315789474</v>
      </c>
      <c r="J175" s="709">
        <f t="shared" si="82"/>
        <v>15.526315789473685</v>
      </c>
      <c r="K175" s="709">
        <f t="shared" si="82"/>
        <v>14.926315789473684</v>
      </c>
      <c r="L175" s="709">
        <f t="shared" si="82"/>
        <v>0</v>
      </c>
      <c r="M175" s="709">
        <f t="shared" si="82"/>
        <v>0</v>
      </c>
      <c r="N175" s="709">
        <f t="shared" si="82"/>
        <v>0</v>
      </c>
      <c r="O175" s="709">
        <f t="shared" si="82"/>
        <v>0</v>
      </c>
      <c r="P175" s="709">
        <f t="shared" si="82"/>
        <v>0</v>
      </c>
      <c r="Q175" s="709">
        <f t="shared" si="82"/>
        <v>0</v>
      </c>
      <c r="R175" s="709">
        <f t="shared" si="82"/>
        <v>0</v>
      </c>
      <c r="S175" s="723">
        <f t="shared" si="82"/>
        <v>0</v>
      </c>
      <c r="T175" s="709">
        <f ca="1">AVERAGEIF($H$1:S2,$T$1,H175:S175)</f>
        <v>5.3777595394736837</v>
      </c>
      <c r="U175" s="709"/>
      <c r="V175" s="709"/>
      <c r="W175" s="709"/>
      <c r="X175" s="709"/>
      <c r="Y175" s="709"/>
      <c r="Z175" s="709"/>
      <c r="AA175" s="709"/>
      <c r="AB175" s="709"/>
      <c r="AC175" s="709"/>
      <c r="AD175" s="709"/>
      <c r="AE175" s="709"/>
      <c r="AF175" s="709"/>
      <c r="AG175" s="709"/>
      <c r="AH175" s="709">
        <f t="shared" ref="AH175:AT175" si="83">SUM(AH70,AH85,AH82,AH73)</f>
        <v>19.5</v>
      </c>
      <c r="AI175" s="709">
        <f t="shared" si="83"/>
        <v>18.600000000000001</v>
      </c>
      <c r="AJ175" s="709">
        <f t="shared" si="83"/>
        <v>18.100000000000001</v>
      </c>
      <c r="AK175" s="709">
        <f t="shared" si="83"/>
        <v>19.600000000000001</v>
      </c>
      <c r="AL175" s="709">
        <f t="shared" si="83"/>
        <v>21.9</v>
      </c>
      <c r="AM175" s="709">
        <f t="shared" si="83"/>
        <v>20.97</v>
      </c>
      <c r="AN175" s="709">
        <f t="shared" si="83"/>
        <v>20.55</v>
      </c>
      <c r="AO175" s="709">
        <f t="shared" si="83"/>
        <v>22.65</v>
      </c>
      <c r="AP175" s="709">
        <f t="shared" si="83"/>
        <v>22.97</v>
      </c>
      <c r="AQ175" s="709">
        <f t="shared" si="83"/>
        <v>22</v>
      </c>
      <c r="AR175" s="709">
        <f t="shared" si="83"/>
        <v>19.54</v>
      </c>
      <c r="AS175" s="709">
        <f t="shared" si="83"/>
        <v>17.549999999999997</v>
      </c>
      <c r="AT175" s="709">
        <f t="shared" si="83"/>
        <v>20.939999999999998</v>
      </c>
    </row>
    <row r="176" spans="1:53" x14ac:dyDescent="0.25">
      <c r="AT176" s="709"/>
    </row>
  </sheetData>
  <autoFilter ref="A3:AT102"/>
  <mergeCells count="3">
    <mergeCell ref="H2:T2"/>
    <mergeCell ref="U2:AG2"/>
    <mergeCell ref="AH2:AT2"/>
  </mergeCells>
  <pageMargins left="0.70866141732283472" right="0.70866141732283472" top="0.74803149606299213" bottom="0.74803149606299213" header="0.31496062992125984" footer="0.31496062992125984"/>
  <pageSetup paperSize="9" scale="32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3</vt:i4>
      </vt:variant>
    </vt:vector>
  </HeadingPairs>
  <TitlesOfParts>
    <vt:vector size="54" baseType="lpstr">
      <vt:lpstr>Tab Colour</vt:lpstr>
      <vt:lpstr>Analysis</vt:lpstr>
      <vt:lpstr>Snapshot</vt:lpstr>
      <vt:lpstr>Mngt-P&amp;L  (Overall)</vt:lpstr>
      <vt:lpstr>Op Profit analysis</vt:lpstr>
      <vt:lpstr>Mngt-Revenue </vt:lpstr>
      <vt:lpstr>Mngt-Revenue (Rebate)</vt:lpstr>
      <vt:lpstr>Mngt-Payroll</vt:lpstr>
      <vt:lpstr>Mngt-Microbiology </vt:lpstr>
      <vt:lpstr>Mngt-Chemistry </vt:lpstr>
      <vt:lpstr>Mngt-Consulting </vt:lpstr>
      <vt:lpstr>Mngt-Senior Audit </vt:lpstr>
      <vt:lpstr>Mngt-Consulting Micro SC </vt:lpstr>
      <vt:lpstr>Mngt-Digital Solution</vt:lpstr>
      <vt:lpstr>Mngt-Lab Admin Total</vt:lpstr>
      <vt:lpstr>Mngt-IT</vt:lpstr>
      <vt:lpstr>Mngt-S&amp;M </vt:lpstr>
      <vt:lpstr>Mngt-Quality </vt:lpstr>
      <vt:lpstr>Mngt-Research &amp; Development</vt:lpstr>
      <vt:lpstr>Mngt-G&amp;A Total</vt:lpstr>
      <vt:lpstr>Mngt-G&amp;A (Management)</vt:lpstr>
      <vt:lpstr>Mngt-G&amp;A (Finance)</vt:lpstr>
      <vt:lpstr>Mngt-G&amp;A (HR) </vt:lpstr>
      <vt:lpstr>Mngt-Customer Care Total </vt:lpstr>
      <vt:lpstr>Mngt-Central Customer Care </vt:lpstr>
      <vt:lpstr>Mngt-Sydney Customer Care </vt:lpstr>
      <vt:lpstr>Mngt-Bris Customer Care </vt:lpstr>
      <vt:lpstr>Mngt-Melb Customer Care </vt:lpstr>
      <vt:lpstr>Mngt-Perth Customer Care </vt:lpstr>
      <vt:lpstr>Mngt-Central Lab Admin </vt:lpstr>
      <vt:lpstr>Mngt-Sydney Lab Admin </vt:lpstr>
      <vt:lpstr>Mngt-Melb Lab Admin </vt:lpstr>
      <vt:lpstr>Mngt-Perth Lab Admin</vt:lpstr>
      <vt:lpstr>Mngt-Bris Lab Admin </vt:lpstr>
      <vt:lpstr>Mngt-Sydney Micro </vt:lpstr>
      <vt:lpstr>Mngt-Melbourne Micro </vt:lpstr>
      <vt:lpstr>Mngt-Brisbane Micro </vt:lpstr>
      <vt:lpstr>Mngt-Perth Micro </vt:lpstr>
      <vt:lpstr>Mngt-Sydney Chem </vt:lpstr>
      <vt:lpstr>Mngt-Melb Chem External</vt:lpstr>
      <vt:lpstr>Mngt-Bris Chem External</vt:lpstr>
      <vt:lpstr>Mngt-Perth Chem External</vt:lpstr>
      <vt:lpstr>Mngt-Chem Milk Testing </vt:lpstr>
      <vt:lpstr>Mngt-Melb Milk Testing</vt:lpstr>
      <vt:lpstr>Mngt-Bris Milk Testing </vt:lpstr>
      <vt:lpstr>Consistency Check - Actual</vt:lpstr>
      <vt:lpstr>Consistency Check - Budget</vt:lpstr>
      <vt:lpstr>Consistency Check - Prior</vt:lpstr>
      <vt:lpstr>Test Number</vt:lpstr>
      <vt:lpstr>FTE analysis</vt:lpstr>
      <vt:lpstr>FTE</vt:lpstr>
      <vt:lpstr>FTE!Print_Area</vt:lpstr>
      <vt:lpstr>'Mngt-Payroll'!Print_Area</vt:lpstr>
      <vt:lpstr>'Test Number'!Print_Area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Charmaine Chan</dc:creator>
  <cp:lastModifiedBy>M</cp:lastModifiedBy>
  <cp:lastPrinted>2020-12-08T23:02:20Z</cp:lastPrinted>
  <dcterms:created xsi:type="dcterms:W3CDTF">2018-06-07T00:27:30Z</dcterms:created>
  <dcterms:modified xsi:type="dcterms:W3CDTF">2023-02-05T22:45:22Z</dcterms:modified>
</cp:coreProperties>
</file>
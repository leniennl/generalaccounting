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lee\Dropbox\Side Hussle\VBA\Finished Project\"/>
    </mc:Choice>
  </mc:AlternateContent>
  <bookViews>
    <workbookView xWindow="0" yWindow="0" windowWidth="18600" windowHeight="7070" tabRatio="888" activeTab="3"/>
  </bookViews>
  <sheets>
    <sheet name="TB Dump" sheetId="109" r:id="rId1"/>
    <sheet name="Trial Balance" sheetId="97" r:id="rId2"/>
    <sheet name="Cash in Hand-1020" sheetId="2" state="hidden" r:id="rId3"/>
    <sheet name="Cash at Bank-1020.100" sheetId="3" r:id="rId4"/>
    <sheet name="Rental Bond-1030.110" sheetId="25" r:id="rId5"/>
    <sheet name="CMA-1030.100" sheetId="29" state="hidden" r:id="rId6"/>
    <sheet name="AR Control-1050" sheetId="31" r:id="rId7"/>
    <sheet name="Logged Receipts-1050.300" sheetId="65" r:id="rId8"/>
    <sheet name="AR FX-1050.200" sheetId="73" state="hidden" r:id="rId9"/>
    <sheet name="Inv to Issue-1060" sheetId="54" r:id="rId10"/>
    <sheet name="Credit Notes to Issue-1070" sheetId="45" r:id="rId11"/>
    <sheet name="Provision for Bad Debts-1080" sheetId="55" r:id="rId12"/>
    <sheet name="Advances to Suppliers-1120" sheetId="56" state="hidden" r:id="rId13"/>
    <sheet name="Deposits-1120.100" sheetId="108" state="hidden" r:id="rId14"/>
    <sheet name="Accrued Revenue-1140" sheetId="36" r:id="rId15"/>
    <sheet name="Other Receivables-1190" sheetId="92" state="hidden" r:id="rId16"/>
    <sheet name="Netting Suspense-1190.200" sheetId="74" r:id="rId17"/>
    <sheet name="Stock-1220" sheetId="7" r:id="rId18"/>
    <sheet name="Prepaid Expense-1250" sheetId="28" r:id="rId19"/>
    <sheet name="WIP-1270" sheetId="8" r:id="rId20"/>
    <sheet name="Def Tax Asset Current-1290" sheetId="58" r:id="rId21"/>
    <sheet name="CWIP-1380" sheetId="98" state="hidden" r:id="rId22"/>
    <sheet name="LE-1370&amp;1520" sheetId="35" r:id="rId23"/>
    <sheet name="MV-1400&amp;1470" sheetId="33" r:id="rId24"/>
    <sheet name="CHware-1410&amp;1480" sheetId="40" r:id="rId25"/>
    <sheet name="CSware-1420&amp;1490" sheetId="51" r:id="rId26"/>
    <sheet name="P&amp;E-1430&amp;1500" sheetId="24" r:id="rId27"/>
    <sheet name="F&amp;F-1450&amp;1510" sheetId="34" r:id="rId28"/>
    <sheet name="Goodwill-1560&amp;1570" sheetId="59" state="hidden" r:id="rId29"/>
    <sheet name="Deferred Tax Assets-1770" sheetId="66" r:id="rId30"/>
    <sheet name="Right-Of-Use Building-1850&amp;1853" sheetId="102" r:id="rId31"/>
    <sheet name="Right Of Use Auto-1851&amp;1854" sheetId="100" r:id="rId32"/>
    <sheet name="Right-Of-Use Equip-1852&amp;1855" sheetId="101" r:id="rId33"/>
    <sheet name="Creditor Control-2020" sheetId="22" r:id="rId34"/>
    <sheet name="AP FX Rev. Offset-2020.200" sheetId="71" state="hidden" r:id="rId35"/>
    <sheet name="Accrued Trade Payables-2040.100" sheetId="107" r:id="rId36"/>
    <sheet name="Prov for Audit Fees-2040.200" sheetId="15" r:id="rId37"/>
    <sheet name="Prov for Lease Liab-2040.300" sheetId="86" state="hidden" r:id="rId38"/>
    <sheet name="Credit Note to Receive-2050" sheetId="84" state="hidden" r:id="rId39"/>
    <sheet name="GRNV-2055" sheetId="60" r:id="rId40"/>
    <sheet name="NOTE PAYABLE ST - OP LEASE-2115" sheetId="104" r:id="rId41"/>
    <sheet name="PAYG clg-2150" sheetId="18" r:id="rId42"/>
    <sheet name="Accrued Payroll-2160" sheetId="90" r:id="rId43"/>
    <sheet name="Payroll Clearing-2160.100" sheetId="89" r:id="rId44"/>
    <sheet name="Super Clearing-2160.200" sheetId="88" r:id="rId45"/>
    <sheet name="Accrued Payroll Taxes-2170" sheetId="87" r:id="rId46"/>
    <sheet name="Accrued FBT-2170.100" sheetId="70" r:id="rId47"/>
    <sheet name="AL&amp;Loading-2180.100&amp;2180.200" sheetId="38" r:id="rId48"/>
    <sheet name="LSL-2180.300&amp;2180.400" sheetId="63" r:id="rId49"/>
    <sheet name="Bonus Provision-2190.100" sheetId="13" r:id="rId50"/>
    <sheet name="Income Tax Prov-2210" sheetId="41" r:id="rId51"/>
    <sheet name="GST Clg-2220" sheetId="21" r:id="rId52"/>
    <sheet name="Withholding Tax Payable-2230" sheetId="78" state="hidden" r:id="rId53"/>
    <sheet name="St Debt-2245" sheetId="93" state="hidden" r:id="rId54"/>
    <sheet name="Provision for Contingency -2270" sheetId="99" state="hidden" r:id="rId55"/>
    <sheet name="PROVISION FOR LITIGATION -2260" sheetId="105" r:id="rId56"/>
    <sheet name="Deferred Income-2310" sheetId="91" state="hidden" r:id="rId57"/>
    <sheet name="Deferred Tax Liability-2330" sheetId="67" r:id="rId58"/>
    <sheet name="Group Loan-2480" sheetId="95" r:id="rId59"/>
    <sheet name="Other Liab LT-2490" sheetId="96" state="hidden" r:id="rId60"/>
    <sheet name="EXT PAYABLE LT-OP LEASE-2421" sheetId="103" r:id="rId61"/>
    <sheet name="Paid Up Capital-2911" sheetId="48" r:id="rId62"/>
    <sheet name="Retained Earnings-2931&amp;2931.100" sheetId="79" r:id="rId63"/>
  </sheets>
  <externalReferences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xlnm._FilterDatabase" localSheetId="7" hidden="1">'Logged Receipts-1050.300'!$A$13:$C$13</definedName>
    <definedName name="_xlnm._FilterDatabase" localSheetId="0" hidden="1">'TB Dump'!$A$3:$K$1354</definedName>
    <definedName name="_xlnm._FilterDatabase" localSheetId="1" hidden="1">'Trial Balance'!$A$3:$T$1028</definedName>
    <definedName name="_xlnm.Print_Area" localSheetId="47">'AL&amp;Loading-2180.100&amp;2180.200'!$A:$B</definedName>
    <definedName name="_xlnm.Print_Area" localSheetId="8">'AR FX-1050.200'!$A$1:$I$41</definedName>
    <definedName name="_xlnm.Print_Area" localSheetId="50">'Income Tax Prov-2210'!$A$1:$C$44</definedName>
    <definedName name="_xlnm.Print_Area" localSheetId="48">'LSL-2180.300&amp;2180.400'!$A:$B</definedName>
    <definedName name="_xlnm.Print_Area" localSheetId="1">'Trial Balance'!$A$1:$J$89</definedName>
    <definedName name="_xlnm.Print_Titles" localSheetId="1">'Trial Balance'!$3:$3</definedName>
  </definedNames>
  <calcPr calcId="152511"/>
</workbook>
</file>

<file path=xl/calcChain.xml><?xml version="1.0" encoding="utf-8"?>
<calcChain xmlns="http://schemas.openxmlformats.org/spreadsheetml/2006/main">
  <c r="G29" i="31" l="1"/>
  <c r="G14" i="3"/>
  <c r="C12" i="48"/>
  <c r="C27" i="41"/>
  <c r="G6" i="79" l="1"/>
  <c r="I1" i="97" s="1"/>
  <c r="G16" i="79"/>
  <c r="G18" i="79" s="1"/>
  <c r="G9" i="79"/>
  <c r="F8" i="48"/>
  <c r="F11" i="48"/>
  <c r="F13" i="48" s="1"/>
  <c r="F8" i="103"/>
  <c r="F11" i="103"/>
  <c r="G8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F8" i="67"/>
  <c r="F11" i="67"/>
  <c r="H10" i="105"/>
  <c r="H21" i="105"/>
  <c r="J8" i="21"/>
  <c r="J14" i="21"/>
  <c r="G8" i="41"/>
  <c r="G13" i="41"/>
  <c r="J6" i="13"/>
  <c r="J8" i="13"/>
  <c r="D16" i="63"/>
  <c r="D42" i="63"/>
  <c r="D35" i="63"/>
  <c r="D24" i="63"/>
  <c r="D17" i="63"/>
  <c r="D16" i="38"/>
  <c r="D42" i="38"/>
  <c r="D35" i="38"/>
  <c r="D24" i="38"/>
  <c r="D17" i="38"/>
  <c r="G7" i="70"/>
  <c r="G12" i="70"/>
  <c r="G8" i="87"/>
  <c r="G8" i="88"/>
  <c r="G8" i="89"/>
  <c r="F8" i="90"/>
  <c r="F30" i="90"/>
  <c r="F8" i="18"/>
  <c r="F14" i="18"/>
  <c r="F8" i="104"/>
  <c r="F12" i="104"/>
  <c r="F14" i="104" s="1"/>
  <c r="G8" i="60"/>
  <c r="G12" i="60"/>
  <c r="G15" i="60" s="1"/>
  <c r="G8" i="15"/>
  <c r="G11" i="15"/>
  <c r="G14" i="15" s="1"/>
  <c r="G8" i="107"/>
  <c r="G12" i="107"/>
  <c r="G14" i="107" s="1"/>
  <c r="F9" i="22"/>
  <c r="F37" i="22"/>
  <c r="F8" i="101"/>
  <c r="F23" i="101" s="1"/>
  <c r="F26" i="101"/>
  <c r="F30" i="101" s="1"/>
  <c r="F11" i="101"/>
  <c r="F8" i="100"/>
  <c r="F23" i="100" s="1"/>
  <c r="F26" i="100"/>
  <c r="F30" i="100" s="1"/>
  <c r="F11" i="100"/>
  <c r="F8" i="102"/>
  <c r="F23" i="102" s="1"/>
  <c r="F26" i="102"/>
  <c r="F30" i="102" s="1"/>
  <c r="F11" i="102"/>
  <c r="F8" i="66"/>
  <c r="F11" i="66"/>
  <c r="F8" i="34"/>
  <c r="F19" i="34" s="1"/>
  <c r="F22" i="34"/>
  <c r="F11" i="34"/>
  <c r="F8" i="24"/>
  <c r="F19" i="24" s="1"/>
  <c r="F22" i="24"/>
  <c r="F11" i="24"/>
  <c r="F8" i="51"/>
  <c r="F19" i="51" s="1"/>
  <c r="F22" i="51"/>
  <c r="F11" i="51"/>
  <c r="F8" i="40"/>
  <c r="F19" i="40" s="1"/>
  <c r="F22" i="40"/>
  <c r="F11" i="40"/>
  <c r="F8" i="33"/>
  <c r="F19" i="33" s="1"/>
  <c r="F22" i="33"/>
  <c r="F11" i="33"/>
  <c r="F8" i="35"/>
  <c r="F19" i="35" s="1"/>
  <c r="F22" i="35"/>
  <c r="F11" i="35"/>
  <c r="F8" i="58"/>
  <c r="F11" i="58"/>
  <c r="F16" i="58" s="1"/>
  <c r="F8" i="8"/>
  <c r="F15" i="8"/>
  <c r="F14" i="8"/>
  <c r="F13" i="8"/>
  <c r="F8" i="28"/>
  <c r="F12" i="28"/>
  <c r="F14" i="28" s="1"/>
  <c r="G6" i="7"/>
  <c r="G12" i="7"/>
  <c r="G11" i="7"/>
  <c r="G10" i="7"/>
  <c r="G18" i="7" s="1"/>
  <c r="G8" i="74"/>
  <c r="Q9" i="36"/>
  <c r="G8" i="55"/>
  <c r="G12" i="55"/>
  <c r="I8" i="45"/>
  <c r="I11" i="45" s="1"/>
  <c r="I13" i="45" s="1"/>
  <c r="I17" i="45" s="1"/>
  <c r="G8" i="54"/>
  <c r="G5" i="31"/>
  <c r="G25" i="31"/>
  <c r="F8" i="25"/>
  <c r="F13" i="25"/>
  <c r="F12" i="25"/>
  <c r="F15" i="25" s="1"/>
  <c r="G11" i="3"/>
  <c r="F18" i="8" l="1"/>
  <c r="G14" i="79"/>
  <c r="G25" i="95"/>
  <c r="D34" i="63"/>
  <c r="D34" i="38"/>
  <c r="C10" i="70"/>
  <c r="D66" i="63" l="1"/>
  <c r="D62" i="63"/>
  <c r="D53" i="63"/>
  <c r="D49" i="63"/>
  <c r="D52" i="38"/>
  <c r="D48" i="38"/>
  <c r="D63" i="38" l="1"/>
  <c r="D59" i="38"/>
  <c r="B23" i="15" l="1"/>
  <c r="C14" i="88" l="1"/>
  <c r="E22" i="13" l="1"/>
  <c r="A32" i="79" l="1"/>
  <c r="C21" i="79"/>
  <c r="C19" i="79"/>
  <c r="A20" i="48"/>
  <c r="C13" i="48"/>
  <c r="I82" i="97" s="1"/>
  <c r="A18" i="103"/>
  <c r="A19" i="96"/>
  <c r="C9" i="96"/>
  <c r="A31" i="95"/>
  <c r="C25" i="95"/>
  <c r="I81" i="97" s="1"/>
  <c r="A18" i="67"/>
  <c r="A29" i="91"/>
  <c r="C22" i="91"/>
  <c r="S15" i="91"/>
  <c r="R15" i="91"/>
  <c r="R17" i="91" s="1"/>
  <c r="Q15" i="91"/>
  <c r="Q17" i="91" s="1"/>
  <c r="P15" i="91"/>
  <c r="P17" i="91" s="1"/>
  <c r="O15" i="91"/>
  <c r="O17" i="91" s="1"/>
  <c r="N15" i="91"/>
  <c r="N17" i="91" s="1"/>
  <c r="M15" i="91"/>
  <c r="L15" i="91"/>
  <c r="L17" i="91" s="1"/>
  <c r="K15" i="91"/>
  <c r="K17" i="91" s="1"/>
  <c r="J15" i="91"/>
  <c r="J17" i="91" s="1"/>
  <c r="I15" i="91"/>
  <c r="I17" i="91" s="1"/>
  <c r="H15" i="91"/>
  <c r="H17" i="91" s="1"/>
  <c r="C22" i="105"/>
  <c r="I77" i="97" s="1"/>
  <c r="A21" i="99"/>
  <c r="C14" i="99"/>
  <c r="C9" i="99"/>
  <c r="F54" i="93"/>
  <c r="H51" i="93"/>
  <c r="H50" i="93"/>
  <c r="H49" i="93"/>
  <c r="H48" i="93"/>
  <c r="H47" i="93"/>
  <c r="H46" i="93"/>
  <c r="H45" i="93"/>
  <c r="H44" i="93"/>
  <c r="H43" i="93"/>
  <c r="H42" i="93"/>
  <c r="H41" i="93"/>
  <c r="H40" i="93"/>
  <c r="H39" i="93"/>
  <c r="H38" i="93"/>
  <c r="H37" i="93"/>
  <c r="H36" i="93"/>
  <c r="H35" i="93"/>
  <c r="H34" i="93"/>
  <c r="H33" i="93"/>
  <c r="H32" i="93"/>
  <c r="H31" i="93"/>
  <c r="H30" i="93"/>
  <c r="H29" i="93"/>
  <c r="H28" i="93"/>
  <c r="H27" i="93"/>
  <c r="H26" i="93"/>
  <c r="H25" i="93"/>
  <c r="H24" i="93"/>
  <c r="H23" i="93"/>
  <c r="H22" i="93"/>
  <c r="H21" i="93"/>
  <c r="H20" i="93"/>
  <c r="H19" i="93"/>
  <c r="H18" i="93"/>
  <c r="H17" i="93"/>
  <c r="H16" i="93"/>
  <c r="H15" i="93"/>
  <c r="H14" i="93"/>
  <c r="H13" i="93"/>
  <c r="H12" i="93"/>
  <c r="H11" i="93"/>
  <c r="C11" i="93"/>
  <c r="C14" i="93" s="1"/>
  <c r="H10" i="93"/>
  <c r="H9" i="93"/>
  <c r="C9" i="93"/>
  <c r="H8" i="93"/>
  <c r="H7" i="93"/>
  <c r="H6" i="93"/>
  <c r="H5" i="93"/>
  <c r="H4" i="93"/>
  <c r="G4" i="93"/>
  <c r="H3" i="93"/>
  <c r="I3" i="93" s="1"/>
  <c r="A18" i="78"/>
  <c r="C9" i="78"/>
  <c r="C13" i="78" s="1"/>
  <c r="A26" i="21"/>
  <c r="A38" i="41"/>
  <c r="C24" i="41"/>
  <c r="A34" i="13"/>
  <c r="D25" i="13"/>
  <c r="C25" i="13"/>
  <c r="B25" i="13"/>
  <c r="E23" i="13"/>
  <c r="E21" i="13"/>
  <c r="E20" i="13"/>
  <c r="E19" i="13"/>
  <c r="E18" i="13"/>
  <c r="E17" i="13"/>
  <c r="E16" i="13"/>
  <c r="E15" i="13"/>
  <c r="E14" i="13"/>
  <c r="E13" i="13"/>
  <c r="E12" i="13"/>
  <c r="J9" i="13" s="1"/>
  <c r="J10" i="13" s="1"/>
  <c r="F11" i="13"/>
  <c r="F12" i="13" s="1"/>
  <c r="F13" i="13" s="1"/>
  <c r="F14" i="13" s="1"/>
  <c r="F15" i="13" s="1"/>
  <c r="F16" i="13" s="1"/>
  <c r="F17" i="13" s="1"/>
  <c r="F18" i="13" s="1"/>
  <c r="F19" i="13" s="1"/>
  <c r="F20" i="13" s="1"/>
  <c r="F21" i="13" s="1"/>
  <c r="F22" i="13" s="1"/>
  <c r="F23" i="13" s="1"/>
  <c r="E28" i="13" s="1"/>
  <c r="I72" i="97" s="1"/>
  <c r="A70" i="63"/>
  <c r="A69" i="38"/>
  <c r="A37" i="70"/>
  <c r="C24" i="70"/>
  <c r="B22" i="70"/>
  <c r="B49" i="87"/>
  <c r="A30" i="87"/>
  <c r="D21" i="87"/>
  <c r="C12" i="87"/>
  <c r="I66" i="97" s="1"/>
  <c r="A47" i="88"/>
  <c r="I65" i="97"/>
  <c r="A27" i="89"/>
  <c r="C11" i="89"/>
  <c r="C20" i="89" s="1"/>
  <c r="I64" i="97" s="1"/>
  <c r="A40" i="90"/>
  <c r="C30" i="90"/>
  <c r="I63" i="97" s="1"/>
  <c r="A21" i="18"/>
  <c r="C15" i="18"/>
  <c r="I62" i="97" s="1"/>
  <c r="A21" i="104"/>
  <c r="A22" i="60"/>
  <c r="A20" i="84"/>
  <c r="C13" i="84"/>
  <c r="C15" i="84" s="1"/>
  <c r="K74" i="86"/>
  <c r="K73" i="86"/>
  <c r="K72" i="86"/>
  <c r="K71" i="86"/>
  <c r="K70" i="86"/>
  <c r="K69" i="86"/>
  <c r="K68" i="86"/>
  <c r="K67" i="86"/>
  <c r="K66" i="86"/>
  <c r="K65" i="86"/>
  <c r="K64" i="86"/>
  <c r="K63" i="86"/>
  <c r="K62" i="86"/>
  <c r="K61" i="86"/>
  <c r="K60" i="86"/>
  <c r="K59" i="86"/>
  <c r="K58" i="86"/>
  <c r="K57" i="86"/>
  <c r="K56" i="86"/>
  <c r="K55" i="86"/>
  <c r="K54" i="86"/>
  <c r="K53" i="86"/>
  <c r="K52" i="86"/>
  <c r="K51" i="86"/>
  <c r="K50" i="86"/>
  <c r="K49" i="86"/>
  <c r="K48" i="86"/>
  <c r="K47" i="86"/>
  <c r="K46" i="86"/>
  <c r="K45" i="86"/>
  <c r="K44" i="86"/>
  <c r="I43" i="86"/>
  <c r="I75" i="86" s="1"/>
  <c r="K42" i="86"/>
  <c r="K41" i="86"/>
  <c r="K40" i="86"/>
  <c r="J39" i="86"/>
  <c r="K39" i="86" s="1"/>
  <c r="K38" i="86"/>
  <c r="K37" i="86"/>
  <c r="K36" i="86"/>
  <c r="K35" i="86"/>
  <c r="K34" i="86"/>
  <c r="K33" i="86"/>
  <c r="K32" i="86"/>
  <c r="K31" i="86"/>
  <c r="K30" i="86"/>
  <c r="K29" i="86"/>
  <c r="K28" i="86"/>
  <c r="K27" i="86"/>
  <c r="K26" i="86"/>
  <c r="K25" i="86"/>
  <c r="K24" i="86"/>
  <c r="K23" i="86"/>
  <c r="A23" i="86"/>
  <c r="K22" i="86"/>
  <c r="K21" i="86"/>
  <c r="K20" i="86"/>
  <c r="K19" i="86"/>
  <c r="K18" i="86"/>
  <c r="K17" i="86"/>
  <c r="K16" i="86"/>
  <c r="K15" i="86"/>
  <c r="L15" i="86" s="1"/>
  <c r="C9" i="86"/>
  <c r="M8" i="86"/>
  <c r="K7" i="86"/>
  <c r="K6" i="86"/>
  <c r="K4" i="86"/>
  <c r="K3" i="86"/>
  <c r="K2" i="86"/>
  <c r="A36" i="15"/>
  <c r="C15" i="15"/>
  <c r="C12" i="15"/>
  <c r="A26" i="107"/>
  <c r="A21" i="71"/>
  <c r="C14" i="71"/>
  <c r="C16" i="71" s="1"/>
  <c r="A44" i="22"/>
  <c r="A39" i="101"/>
  <c r="A40" i="100"/>
  <c r="A42" i="102"/>
  <c r="A18" i="66"/>
  <c r="A45" i="59"/>
  <c r="Q37" i="59"/>
  <c r="P37" i="59"/>
  <c r="P39" i="59" s="1"/>
  <c r="O37" i="59"/>
  <c r="O39" i="59" s="1"/>
  <c r="N37" i="59"/>
  <c r="N39" i="59" s="1"/>
  <c r="M37" i="59"/>
  <c r="M39" i="59" s="1"/>
  <c r="L37" i="59"/>
  <c r="L39" i="59" s="1"/>
  <c r="K37" i="59"/>
  <c r="K39" i="59" s="1"/>
  <c r="J37" i="59"/>
  <c r="J39" i="59" s="1"/>
  <c r="I37" i="59"/>
  <c r="I39" i="59" s="1"/>
  <c r="H37" i="59"/>
  <c r="H39" i="59" s="1"/>
  <c r="G37" i="59"/>
  <c r="G39" i="59" s="1"/>
  <c r="F37" i="59"/>
  <c r="F39" i="59" s="1"/>
  <c r="C36" i="59"/>
  <c r="Q28" i="59" s="1"/>
  <c r="Q21" i="59"/>
  <c r="P21" i="59"/>
  <c r="P23" i="59" s="1"/>
  <c r="O21" i="59"/>
  <c r="O23" i="59" s="1"/>
  <c r="N21" i="59"/>
  <c r="N23" i="59" s="1"/>
  <c r="M21" i="59"/>
  <c r="M23" i="59" s="1"/>
  <c r="L21" i="59"/>
  <c r="L23" i="59" s="1"/>
  <c r="K21" i="59"/>
  <c r="K23" i="59" s="1"/>
  <c r="J21" i="59"/>
  <c r="J23" i="59" s="1"/>
  <c r="I21" i="59"/>
  <c r="I23" i="59" s="1"/>
  <c r="H21" i="59"/>
  <c r="H23" i="59" s="1"/>
  <c r="G21" i="59"/>
  <c r="G23" i="59" s="1"/>
  <c r="F21" i="59"/>
  <c r="F23" i="59" s="1"/>
  <c r="C20" i="59"/>
  <c r="C9" i="59"/>
  <c r="A29" i="34"/>
  <c r="A29" i="24"/>
  <c r="A29" i="51"/>
  <c r="I29" i="97"/>
  <c r="A29" i="40"/>
  <c r="A29" i="33"/>
  <c r="A29" i="35"/>
  <c r="A26" i="98"/>
  <c r="C13" i="98"/>
  <c r="C9" i="98"/>
  <c r="A23" i="58"/>
  <c r="A25" i="8"/>
  <c r="A21" i="28"/>
  <c r="A35" i="7"/>
  <c r="A44" i="74"/>
  <c r="C37" i="74"/>
  <c r="G10" i="74" s="1"/>
  <c r="C18" i="92"/>
  <c r="C20" i="92" s="1"/>
  <c r="K13" i="36"/>
  <c r="K11" i="36"/>
  <c r="C19" i="108"/>
  <c r="Q14" i="108"/>
  <c r="Q16" i="108" s="1"/>
  <c r="P14" i="108"/>
  <c r="P16" i="108" s="1"/>
  <c r="O14" i="108"/>
  <c r="O16" i="108" s="1"/>
  <c r="N14" i="108"/>
  <c r="N16" i="108" s="1"/>
  <c r="M14" i="108"/>
  <c r="M16" i="108" s="1"/>
  <c r="L14" i="108"/>
  <c r="K14" i="108"/>
  <c r="K16" i="108" s="1"/>
  <c r="J14" i="108"/>
  <c r="J16" i="108" s="1"/>
  <c r="I14" i="108"/>
  <c r="I16" i="108" s="1"/>
  <c r="H14" i="108"/>
  <c r="H16" i="108" s="1"/>
  <c r="G14" i="108"/>
  <c r="F14" i="108"/>
  <c r="F16" i="108" s="1"/>
  <c r="G9" i="108"/>
  <c r="C9" i="108"/>
  <c r="L9" i="108" s="1"/>
  <c r="L16" i="108" s="1"/>
  <c r="A26" i="56"/>
  <c r="C19" i="56"/>
  <c r="C9" i="56"/>
  <c r="A23" i="55"/>
  <c r="A64" i="45"/>
  <c r="C40" i="45"/>
  <c r="C35" i="45"/>
  <c r="A29" i="54"/>
  <c r="A19" i="73"/>
  <c r="C14" i="73"/>
  <c r="A25" i="65"/>
  <c r="C18" i="65"/>
  <c r="I6" i="97" s="1"/>
  <c r="A49" i="31"/>
  <c r="C44" i="31"/>
  <c r="A25" i="29"/>
  <c r="P17" i="29"/>
  <c r="O17" i="29"/>
  <c r="N17" i="29"/>
  <c r="M17" i="29"/>
  <c r="L17" i="29"/>
  <c r="K17" i="29"/>
  <c r="J17" i="29"/>
  <c r="I17" i="29"/>
  <c r="H17" i="29"/>
  <c r="F17" i="29"/>
  <c r="E17" i="29"/>
  <c r="C12" i="29"/>
  <c r="G12" i="29" s="1"/>
  <c r="G17" i="29" s="1"/>
  <c r="A26" i="25"/>
  <c r="B13" i="25"/>
  <c r="B12" i="25"/>
  <c r="A26" i="3"/>
  <c r="A34" i="105" s="1"/>
  <c r="A3" i="3"/>
  <c r="A3" i="2" s="1"/>
  <c r="C19" i="2"/>
  <c r="Q14" i="2"/>
  <c r="Q16" i="2" s="1"/>
  <c r="P14" i="2"/>
  <c r="P16" i="2" s="1"/>
  <c r="O14" i="2"/>
  <c r="O16" i="2" s="1"/>
  <c r="N14" i="2"/>
  <c r="N16" i="2" s="1"/>
  <c r="M14" i="2"/>
  <c r="M16" i="2" s="1"/>
  <c r="L14" i="2"/>
  <c r="L16" i="2" s="1"/>
  <c r="K14" i="2"/>
  <c r="K16" i="2" s="1"/>
  <c r="J14" i="2"/>
  <c r="J16" i="2" s="1"/>
  <c r="I14" i="2"/>
  <c r="H14" i="2"/>
  <c r="H16" i="2" s="1"/>
  <c r="G14" i="2"/>
  <c r="F14" i="2"/>
  <c r="F16" i="2" s="1"/>
  <c r="G9" i="2"/>
  <c r="C9" i="2"/>
  <c r="A83" i="97"/>
  <c r="I83" i="97"/>
  <c r="A82" i="97"/>
  <c r="A81" i="97"/>
  <c r="A80" i="97"/>
  <c r="A79" i="97"/>
  <c r="A78" i="97"/>
  <c r="I78" i="97"/>
  <c r="A77" i="97"/>
  <c r="A76" i="97"/>
  <c r="A75" i="97"/>
  <c r="A74" i="97"/>
  <c r="A73" i="97"/>
  <c r="A72" i="97"/>
  <c r="A71" i="97"/>
  <c r="A70" i="97"/>
  <c r="A69" i="97"/>
  <c r="A68" i="97"/>
  <c r="A67" i="97"/>
  <c r="A66" i="97"/>
  <c r="A65" i="97"/>
  <c r="A64" i="97"/>
  <c r="A63" i="97"/>
  <c r="A62" i="97"/>
  <c r="A61" i="97"/>
  <c r="A60" i="97"/>
  <c r="A59" i="97"/>
  <c r="A58" i="97"/>
  <c r="A57" i="97"/>
  <c r="A56" i="97"/>
  <c r="A55" i="97"/>
  <c r="A54" i="97"/>
  <c r="A53" i="97"/>
  <c r="A52" i="97"/>
  <c r="A51" i="97"/>
  <c r="A50" i="97"/>
  <c r="A49" i="97"/>
  <c r="A48" i="97"/>
  <c r="A47" i="97"/>
  <c r="A46" i="97"/>
  <c r="A45" i="97"/>
  <c r="A44" i="97"/>
  <c r="A43" i="97"/>
  <c r="A42" i="97"/>
  <c r="A41" i="97"/>
  <c r="A40" i="97"/>
  <c r="A39" i="97"/>
  <c r="A38" i="97"/>
  <c r="A37" i="97"/>
  <c r="A36" i="97"/>
  <c r="A35" i="97"/>
  <c r="A34" i="97"/>
  <c r="A33" i="97"/>
  <c r="A32" i="97"/>
  <c r="A31" i="97"/>
  <c r="A30" i="97"/>
  <c r="A29" i="97"/>
  <c r="A28" i="97"/>
  <c r="A27" i="97"/>
  <c r="A26" i="97"/>
  <c r="A25" i="97"/>
  <c r="A24" i="97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10" i="97"/>
  <c r="A9" i="97"/>
  <c r="A8" i="97"/>
  <c r="A7" i="97"/>
  <c r="H6" i="97"/>
  <c r="A6" i="97"/>
  <c r="A5" i="97"/>
  <c r="A4" i="97"/>
  <c r="K1354" i="109"/>
  <c r="J1354" i="109"/>
  <c r="K1353" i="109"/>
  <c r="J1353" i="109"/>
  <c r="K1352" i="109"/>
  <c r="J1352" i="109"/>
  <c r="K1351" i="109"/>
  <c r="J1351" i="109"/>
  <c r="K1350" i="109"/>
  <c r="J1350" i="109"/>
  <c r="K1349" i="109"/>
  <c r="J1349" i="109"/>
  <c r="K1348" i="109"/>
  <c r="J1348" i="109"/>
  <c r="K1347" i="109"/>
  <c r="J1347" i="109"/>
  <c r="K1346" i="109"/>
  <c r="J1346" i="109"/>
  <c r="K1345" i="109"/>
  <c r="J1345" i="109"/>
  <c r="K1344" i="109"/>
  <c r="J1344" i="109"/>
  <c r="K1343" i="109"/>
  <c r="J1343" i="109"/>
  <c r="K1342" i="109"/>
  <c r="J1342" i="109"/>
  <c r="K1341" i="109"/>
  <c r="J1341" i="109"/>
  <c r="K1340" i="109"/>
  <c r="J1340" i="109"/>
  <c r="K1339" i="109"/>
  <c r="J1339" i="109"/>
  <c r="K1338" i="109"/>
  <c r="J1338" i="109"/>
  <c r="K1337" i="109"/>
  <c r="J1337" i="109"/>
  <c r="K1336" i="109"/>
  <c r="J1336" i="109"/>
  <c r="K1335" i="109"/>
  <c r="J1335" i="109"/>
  <c r="K1334" i="109"/>
  <c r="J1334" i="109"/>
  <c r="K1333" i="109"/>
  <c r="J1333" i="109"/>
  <c r="K1332" i="109"/>
  <c r="J1332" i="109"/>
  <c r="K1331" i="109"/>
  <c r="J1331" i="109"/>
  <c r="K1330" i="109"/>
  <c r="J1330" i="109"/>
  <c r="K1329" i="109"/>
  <c r="J1329" i="109"/>
  <c r="K1328" i="109"/>
  <c r="J1328" i="109"/>
  <c r="K1327" i="109"/>
  <c r="J1327" i="109"/>
  <c r="K1326" i="109"/>
  <c r="J1326" i="109"/>
  <c r="K1325" i="109"/>
  <c r="J1325" i="109"/>
  <c r="K1324" i="109"/>
  <c r="J1324" i="109"/>
  <c r="K1323" i="109"/>
  <c r="J1323" i="109"/>
  <c r="K1322" i="109"/>
  <c r="J1322" i="109"/>
  <c r="K1321" i="109"/>
  <c r="J1321" i="109"/>
  <c r="K1320" i="109"/>
  <c r="J1320" i="109"/>
  <c r="K1319" i="109"/>
  <c r="J1319" i="109"/>
  <c r="K1318" i="109"/>
  <c r="J1318" i="109"/>
  <c r="K1317" i="109"/>
  <c r="J1317" i="109"/>
  <c r="K1316" i="109"/>
  <c r="J1316" i="109"/>
  <c r="K1315" i="109"/>
  <c r="J1315" i="109"/>
  <c r="K1314" i="109"/>
  <c r="J1314" i="109"/>
  <c r="K1313" i="109"/>
  <c r="J1313" i="109"/>
  <c r="K1312" i="109"/>
  <c r="J1312" i="109"/>
  <c r="K1311" i="109"/>
  <c r="J1311" i="109"/>
  <c r="K1310" i="109"/>
  <c r="J1310" i="109"/>
  <c r="K1309" i="109"/>
  <c r="J1309" i="109"/>
  <c r="K1308" i="109"/>
  <c r="J1308" i="109"/>
  <c r="K1307" i="109"/>
  <c r="J1307" i="109"/>
  <c r="K1306" i="109"/>
  <c r="J1306" i="109"/>
  <c r="K1305" i="109"/>
  <c r="J1305" i="109"/>
  <c r="K1304" i="109"/>
  <c r="J1304" i="109"/>
  <c r="K1303" i="109"/>
  <c r="J1303" i="109"/>
  <c r="K1302" i="109"/>
  <c r="J1302" i="109"/>
  <c r="K1301" i="109"/>
  <c r="J1301" i="109"/>
  <c r="K1300" i="109"/>
  <c r="J1300" i="109"/>
  <c r="K1299" i="109"/>
  <c r="J1299" i="109"/>
  <c r="K1298" i="109"/>
  <c r="J1298" i="109"/>
  <c r="K1297" i="109"/>
  <c r="J1297" i="109"/>
  <c r="K1296" i="109"/>
  <c r="J1296" i="109"/>
  <c r="K1295" i="109"/>
  <c r="J1295" i="109"/>
  <c r="K1294" i="109"/>
  <c r="J1294" i="109"/>
  <c r="K1293" i="109"/>
  <c r="J1293" i="109"/>
  <c r="K1292" i="109"/>
  <c r="J1292" i="109"/>
  <c r="K1291" i="109"/>
  <c r="J1291" i="109"/>
  <c r="K1290" i="109"/>
  <c r="J1290" i="109"/>
  <c r="K1289" i="109"/>
  <c r="J1289" i="109"/>
  <c r="K1288" i="109"/>
  <c r="J1288" i="109"/>
  <c r="K1287" i="109"/>
  <c r="J1287" i="109"/>
  <c r="K1286" i="109"/>
  <c r="J1286" i="109"/>
  <c r="K1285" i="109"/>
  <c r="J1285" i="109"/>
  <c r="K1284" i="109"/>
  <c r="J1284" i="109"/>
  <c r="K1283" i="109"/>
  <c r="J1283" i="109"/>
  <c r="K1282" i="109"/>
  <c r="J1282" i="109"/>
  <c r="K1281" i="109"/>
  <c r="J1281" i="109"/>
  <c r="K1280" i="109"/>
  <c r="J1280" i="109"/>
  <c r="K1279" i="109"/>
  <c r="J1279" i="109"/>
  <c r="K1278" i="109"/>
  <c r="J1278" i="109"/>
  <c r="K1277" i="109"/>
  <c r="J1277" i="109"/>
  <c r="K1276" i="109"/>
  <c r="J1276" i="109"/>
  <c r="K1275" i="109"/>
  <c r="J1275" i="109"/>
  <c r="K1274" i="109"/>
  <c r="J1274" i="109"/>
  <c r="K1273" i="109"/>
  <c r="J1273" i="109"/>
  <c r="K1272" i="109"/>
  <c r="J1272" i="109"/>
  <c r="K1271" i="109"/>
  <c r="J1271" i="109"/>
  <c r="K1270" i="109"/>
  <c r="J1270" i="109"/>
  <c r="K1269" i="109"/>
  <c r="J1269" i="109"/>
  <c r="K1268" i="109"/>
  <c r="J1268" i="109"/>
  <c r="K1267" i="109"/>
  <c r="J1267" i="109"/>
  <c r="K1266" i="109"/>
  <c r="J1266" i="109"/>
  <c r="K1265" i="109"/>
  <c r="J1265" i="109"/>
  <c r="K1264" i="109"/>
  <c r="J1264" i="109"/>
  <c r="K1263" i="109"/>
  <c r="J1263" i="109"/>
  <c r="K1262" i="109"/>
  <c r="J1262" i="109"/>
  <c r="K1261" i="109"/>
  <c r="J1261" i="109"/>
  <c r="K1260" i="109"/>
  <c r="J1260" i="109"/>
  <c r="K1259" i="109"/>
  <c r="J1259" i="109"/>
  <c r="K1258" i="109"/>
  <c r="J1258" i="109"/>
  <c r="K1257" i="109"/>
  <c r="J1257" i="109"/>
  <c r="K1256" i="109"/>
  <c r="J1256" i="109"/>
  <c r="K1255" i="109"/>
  <c r="J1255" i="109"/>
  <c r="K1254" i="109"/>
  <c r="J1254" i="109"/>
  <c r="K1253" i="109"/>
  <c r="J1253" i="109"/>
  <c r="K1252" i="109"/>
  <c r="J1252" i="109"/>
  <c r="K1251" i="109"/>
  <c r="J1251" i="109"/>
  <c r="K1250" i="109"/>
  <c r="J1250" i="109"/>
  <c r="K1249" i="109"/>
  <c r="J1249" i="109"/>
  <c r="K1248" i="109"/>
  <c r="J1248" i="109"/>
  <c r="K1247" i="109"/>
  <c r="J1247" i="109"/>
  <c r="K1246" i="109"/>
  <c r="J1246" i="109"/>
  <c r="K1245" i="109"/>
  <c r="J1245" i="109"/>
  <c r="K1244" i="109"/>
  <c r="J1244" i="109"/>
  <c r="K1243" i="109"/>
  <c r="J1243" i="109"/>
  <c r="K1242" i="109"/>
  <c r="J1242" i="109"/>
  <c r="K1241" i="109"/>
  <c r="J1241" i="109"/>
  <c r="K1240" i="109"/>
  <c r="J1240" i="109"/>
  <c r="K1239" i="109"/>
  <c r="J1239" i="109"/>
  <c r="K1238" i="109"/>
  <c r="J1238" i="109"/>
  <c r="K1237" i="109"/>
  <c r="J1237" i="109"/>
  <c r="K1236" i="109"/>
  <c r="J1236" i="109"/>
  <c r="K1235" i="109"/>
  <c r="J1235" i="109"/>
  <c r="K1234" i="109"/>
  <c r="J1234" i="109"/>
  <c r="K1233" i="109"/>
  <c r="J1233" i="109"/>
  <c r="K1232" i="109"/>
  <c r="J1232" i="109"/>
  <c r="K1231" i="109"/>
  <c r="J1231" i="109"/>
  <c r="K1230" i="109"/>
  <c r="J1230" i="109"/>
  <c r="K1229" i="109"/>
  <c r="J1229" i="109"/>
  <c r="K1228" i="109"/>
  <c r="J1228" i="109"/>
  <c r="K1227" i="109"/>
  <c r="J1227" i="109"/>
  <c r="K1226" i="109"/>
  <c r="J1226" i="109"/>
  <c r="K1225" i="109"/>
  <c r="J1225" i="109"/>
  <c r="K1224" i="109"/>
  <c r="J1224" i="109"/>
  <c r="K1223" i="109"/>
  <c r="J1223" i="109"/>
  <c r="K1222" i="109"/>
  <c r="J1222" i="109"/>
  <c r="K1221" i="109"/>
  <c r="J1221" i="109"/>
  <c r="K1220" i="109"/>
  <c r="J1220" i="109"/>
  <c r="K1219" i="109"/>
  <c r="J1219" i="109"/>
  <c r="K1218" i="109"/>
  <c r="J1218" i="109"/>
  <c r="K1217" i="109"/>
  <c r="J1217" i="109"/>
  <c r="K1216" i="109"/>
  <c r="J1216" i="109"/>
  <c r="K1215" i="109"/>
  <c r="J1215" i="109"/>
  <c r="K1214" i="109"/>
  <c r="J1214" i="109"/>
  <c r="K1213" i="109"/>
  <c r="J1213" i="109"/>
  <c r="K1212" i="109"/>
  <c r="J1212" i="109"/>
  <c r="K1211" i="109"/>
  <c r="J1211" i="109"/>
  <c r="K1210" i="109"/>
  <c r="J1210" i="109"/>
  <c r="K1209" i="109"/>
  <c r="J1209" i="109"/>
  <c r="K1208" i="109"/>
  <c r="J1208" i="109"/>
  <c r="K1207" i="109"/>
  <c r="J1207" i="109"/>
  <c r="K1206" i="109"/>
  <c r="J1206" i="109"/>
  <c r="K1205" i="109"/>
  <c r="J1205" i="109"/>
  <c r="K1204" i="109"/>
  <c r="J1204" i="109"/>
  <c r="K1203" i="109"/>
  <c r="J1203" i="109"/>
  <c r="K1202" i="109"/>
  <c r="J1202" i="109"/>
  <c r="K1201" i="109"/>
  <c r="J1201" i="109"/>
  <c r="K1200" i="109"/>
  <c r="J1200" i="109"/>
  <c r="K1199" i="109"/>
  <c r="J1199" i="109"/>
  <c r="K1198" i="109"/>
  <c r="J1198" i="109"/>
  <c r="K1197" i="109"/>
  <c r="J1197" i="109"/>
  <c r="K1196" i="109"/>
  <c r="J1196" i="109"/>
  <c r="K1195" i="109"/>
  <c r="J1195" i="109"/>
  <c r="K1194" i="109"/>
  <c r="J1194" i="109"/>
  <c r="K1193" i="109"/>
  <c r="J1193" i="109"/>
  <c r="K1192" i="109"/>
  <c r="J1192" i="109"/>
  <c r="K1191" i="109"/>
  <c r="J1191" i="109"/>
  <c r="K1190" i="109"/>
  <c r="J1190" i="109"/>
  <c r="K1189" i="109"/>
  <c r="J1189" i="109"/>
  <c r="K1188" i="109"/>
  <c r="J1188" i="109"/>
  <c r="K1187" i="109"/>
  <c r="J1187" i="109"/>
  <c r="K1186" i="109"/>
  <c r="J1186" i="109"/>
  <c r="K1185" i="109"/>
  <c r="J1185" i="109"/>
  <c r="K1184" i="109"/>
  <c r="J1184" i="109"/>
  <c r="K1183" i="109"/>
  <c r="J1183" i="109"/>
  <c r="K1182" i="109"/>
  <c r="J1182" i="109"/>
  <c r="K1181" i="109"/>
  <c r="J1181" i="109"/>
  <c r="K1180" i="109"/>
  <c r="J1180" i="109"/>
  <c r="K1179" i="109"/>
  <c r="J1179" i="109"/>
  <c r="K1178" i="109"/>
  <c r="J1178" i="109"/>
  <c r="K1177" i="109"/>
  <c r="J1177" i="109"/>
  <c r="K1176" i="109"/>
  <c r="J1176" i="109"/>
  <c r="K1175" i="109"/>
  <c r="J1175" i="109"/>
  <c r="K1174" i="109"/>
  <c r="J1174" i="109"/>
  <c r="K1173" i="109"/>
  <c r="J1173" i="109"/>
  <c r="K1172" i="109"/>
  <c r="J1172" i="109"/>
  <c r="K1171" i="109"/>
  <c r="J1171" i="109"/>
  <c r="K1170" i="109"/>
  <c r="J1170" i="109"/>
  <c r="K1169" i="109"/>
  <c r="J1169" i="109"/>
  <c r="K1168" i="109"/>
  <c r="J1168" i="109"/>
  <c r="K1167" i="109"/>
  <c r="J1167" i="109"/>
  <c r="K1166" i="109"/>
  <c r="J1166" i="109"/>
  <c r="K1165" i="109"/>
  <c r="J1165" i="109"/>
  <c r="K1164" i="109"/>
  <c r="J1164" i="109"/>
  <c r="K1163" i="109"/>
  <c r="J1163" i="109"/>
  <c r="K1162" i="109"/>
  <c r="J1162" i="109"/>
  <c r="K1161" i="109"/>
  <c r="J1161" i="109"/>
  <c r="K1160" i="109"/>
  <c r="J1160" i="109"/>
  <c r="K1159" i="109"/>
  <c r="J1159" i="109"/>
  <c r="K1158" i="109"/>
  <c r="J1158" i="109"/>
  <c r="K1157" i="109"/>
  <c r="J1157" i="109"/>
  <c r="K1156" i="109"/>
  <c r="J1156" i="109"/>
  <c r="K1155" i="109"/>
  <c r="J1155" i="109"/>
  <c r="K1154" i="109"/>
  <c r="J1154" i="109"/>
  <c r="K1153" i="109"/>
  <c r="J1153" i="109"/>
  <c r="K1152" i="109"/>
  <c r="J1152" i="109"/>
  <c r="K1151" i="109"/>
  <c r="J1151" i="109"/>
  <c r="K1150" i="109"/>
  <c r="J1150" i="109"/>
  <c r="K1149" i="109"/>
  <c r="J1149" i="109"/>
  <c r="K1148" i="109"/>
  <c r="J1148" i="109"/>
  <c r="K1147" i="109"/>
  <c r="J1147" i="109"/>
  <c r="K1146" i="109"/>
  <c r="J1146" i="109"/>
  <c r="K1145" i="109"/>
  <c r="J1145" i="109"/>
  <c r="K1144" i="109"/>
  <c r="J1144" i="109"/>
  <c r="K1143" i="109"/>
  <c r="J1143" i="109"/>
  <c r="K1142" i="109"/>
  <c r="J1142" i="109"/>
  <c r="K1141" i="109"/>
  <c r="J1141" i="109"/>
  <c r="K1140" i="109"/>
  <c r="J1140" i="109"/>
  <c r="K1139" i="109"/>
  <c r="J1139" i="109"/>
  <c r="K1138" i="109"/>
  <c r="J1138" i="109"/>
  <c r="K1137" i="109"/>
  <c r="J1137" i="109"/>
  <c r="K1136" i="109"/>
  <c r="J1136" i="109"/>
  <c r="K1135" i="109"/>
  <c r="J1135" i="109"/>
  <c r="K1134" i="109"/>
  <c r="J1134" i="109"/>
  <c r="K1133" i="109"/>
  <c r="J1133" i="109"/>
  <c r="K1132" i="109"/>
  <c r="J1132" i="109"/>
  <c r="K1131" i="109"/>
  <c r="J1131" i="109"/>
  <c r="K1130" i="109"/>
  <c r="J1130" i="109"/>
  <c r="K1129" i="109"/>
  <c r="J1129" i="109"/>
  <c r="K1128" i="109"/>
  <c r="J1128" i="109"/>
  <c r="K1127" i="109"/>
  <c r="J1127" i="109"/>
  <c r="K1126" i="109"/>
  <c r="J1126" i="109"/>
  <c r="K1125" i="109"/>
  <c r="J1125" i="109"/>
  <c r="K1124" i="109"/>
  <c r="J1124" i="109"/>
  <c r="K1123" i="109"/>
  <c r="J1123" i="109"/>
  <c r="K1122" i="109"/>
  <c r="J1122" i="109"/>
  <c r="K1121" i="109"/>
  <c r="J1121" i="109"/>
  <c r="K1120" i="109"/>
  <c r="J1120" i="109"/>
  <c r="K1119" i="109"/>
  <c r="J1119" i="109"/>
  <c r="K1118" i="109"/>
  <c r="J1118" i="109"/>
  <c r="K1117" i="109"/>
  <c r="J1117" i="109"/>
  <c r="K1116" i="109"/>
  <c r="J1116" i="109"/>
  <c r="K1115" i="109"/>
  <c r="J1115" i="109"/>
  <c r="K1114" i="109"/>
  <c r="J1114" i="109"/>
  <c r="K1113" i="109"/>
  <c r="J1113" i="109"/>
  <c r="K1112" i="109"/>
  <c r="J1112" i="109"/>
  <c r="K1111" i="109"/>
  <c r="J1111" i="109"/>
  <c r="K1110" i="109"/>
  <c r="J1110" i="109"/>
  <c r="K1109" i="109"/>
  <c r="J1109" i="109"/>
  <c r="K1108" i="109"/>
  <c r="J1108" i="109"/>
  <c r="K1107" i="109"/>
  <c r="J1107" i="109"/>
  <c r="K1106" i="109"/>
  <c r="J1106" i="109"/>
  <c r="K1105" i="109"/>
  <c r="J1105" i="109"/>
  <c r="K1104" i="109"/>
  <c r="J1104" i="109"/>
  <c r="K1103" i="109"/>
  <c r="J1103" i="109"/>
  <c r="K1102" i="109"/>
  <c r="J1102" i="109"/>
  <c r="K1101" i="109"/>
  <c r="J1101" i="109"/>
  <c r="K1100" i="109"/>
  <c r="J1100" i="109"/>
  <c r="K1099" i="109"/>
  <c r="J1099" i="109"/>
  <c r="K1098" i="109"/>
  <c r="J1098" i="109"/>
  <c r="K1097" i="109"/>
  <c r="J1097" i="109"/>
  <c r="K1096" i="109"/>
  <c r="J1096" i="109"/>
  <c r="K1095" i="109"/>
  <c r="J1095" i="109"/>
  <c r="K1094" i="109"/>
  <c r="J1094" i="109"/>
  <c r="K1093" i="109"/>
  <c r="J1093" i="109"/>
  <c r="K1092" i="109"/>
  <c r="J1092" i="109"/>
  <c r="K1091" i="109"/>
  <c r="J1091" i="109"/>
  <c r="K1090" i="109"/>
  <c r="J1090" i="109"/>
  <c r="K1089" i="109"/>
  <c r="J1089" i="109"/>
  <c r="K1088" i="109"/>
  <c r="J1088" i="109"/>
  <c r="K1087" i="109"/>
  <c r="J1087" i="109"/>
  <c r="K1086" i="109"/>
  <c r="J1086" i="109"/>
  <c r="K1085" i="109"/>
  <c r="J1085" i="109"/>
  <c r="K1084" i="109"/>
  <c r="J1084" i="109"/>
  <c r="K1083" i="109"/>
  <c r="J1083" i="109"/>
  <c r="K1082" i="109"/>
  <c r="J1082" i="109"/>
  <c r="K1081" i="109"/>
  <c r="J1081" i="109"/>
  <c r="K1080" i="109"/>
  <c r="J1080" i="109"/>
  <c r="K1079" i="109"/>
  <c r="J1079" i="109"/>
  <c r="K1078" i="109"/>
  <c r="J1078" i="109"/>
  <c r="K1077" i="109"/>
  <c r="J1077" i="109"/>
  <c r="K1076" i="109"/>
  <c r="J1076" i="109"/>
  <c r="K1075" i="109"/>
  <c r="J1075" i="109"/>
  <c r="K1074" i="109"/>
  <c r="J1074" i="109"/>
  <c r="K1073" i="109"/>
  <c r="J1073" i="109"/>
  <c r="K1072" i="109"/>
  <c r="J1072" i="109"/>
  <c r="K1071" i="109"/>
  <c r="J1071" i="109"/>
  <c r="K1070" i="109"/>
  <c r="J1070" i="109"/>
  <c r="K1069" i="109"/>
  <c r="J1069" i="109"/>
  <c r="K1068" i="109"/>
  <c r="J1068" i="109"/>
  <c r="K1067" i="109"/>
  <c r="J1067" i="109"/>
  <c r="K1066" i="109"/>
  <c r="J1066" i="109"/>
  <c r="K1065" i="109"/>
  <c r="J1065" i="109"/>
  <c r="K1064" i="109"/>
  <c r="J1064" i="109"/>
  <c r="K1063" i="109"/>
  <c r="J1063" i="109"/>
  <c r="K1062" i="109"/>
  <c r="J1062" i="109"/>
  <c r="K1061" i="109"/>
  <c r="J1061" i="109"/>
  <c r="K1060" i="109"/>
  <c r="J1060" i="109"/>
  <c r="K1059" i="109"/>
  <c r="J1059" i="109"/>
  <c r="K1058" i="109"/>
  <c r="J1058" i="109"/>
  <c r="K1057" i="109"/>
  <c r="J1057" i="109"/>
  <c r="K1056" i="109"/>
  <c r="J1056" i="109"/>
  <c r="K1055" i="109"/>
  <c r="J1055" i="109"/>
  <c r="K1054" i="109"/>
  <c r="J1054" i="109"/>
  <c r="K1053" i="109"/>
  <c r="J1053" i="109"/>
  <c r="K1052" i="109"/>
  <c r="J1052" i="109"/>
  <c r="K1051" i="109"/>
  <c r="J1051" i="109"/>
  <c r="K1050" i="109"/>
  <c r="J1050" i="109"/>
  <c r="K1049" i="109"/>
  <c r="J1049" i="109"/>
  <c r="K1048" i="109"/>
  <c r="J1048" i="109"/>
  <c r="K1047" i="109"/>
  <c r="J1047" i="109"/>
  <c r="K1046" i="109"/>
  <c r="J1046" i="109"/>
  <c r="K1045" i="109"/>
  <c r="J1045" i="109"/>
  <c r="K1044" i="109"/>
  <c r="J1044" i="109"/>
  <c r="K1043" i="109"/>
  <c r="J1043" i="109"/>
  <c r="K1042" i="109"/>
  <c r="J1042" i="109"/>
  <c r="K1041" i="109"/>
  <c r="J1041" i="109"/>
  <c r="K1040" i="109"/>
  <c r="J1040" i="109"/>
  <c r="K1039" i="109"/>
  <c r="J1039" i="109"/>
  <c r="K1038" i="109"/>
  <c r="J1038" i="109"/>
  <c r="K1037" i="109"/>
  <c r="J1037" i="109"/>
  <c r="K1036" i="109"/>
  <c r="J1036" i="109"/>
  <c r="K1035" i="109"/>
  <c r="J1035" i="109"/>
  <c r="K1034" i="109"/>
  <c r="J1034" i="109"/>
  <c r="K1033" i="109"/>
  <c r="J1033" i="109"/>
  <c r="K1032" i="109"/>
  <c r="J1032" i="109"/>
  <c r="K1031" i="109"/>
  <c r="J1031" i="109"/>
  <c r="K1030" i="109"/>
  <c r="J1030" i="109"/>
  <c r="K1029" i="109"/>
  <c r="J1029" i="109"/>
  <c r="K1028" i="109"/>
  <c r="J1028" i="109"/>
  <c r="K1027" i="109"/>
  <c r="J1027" i="109"/>
  <c r="K1026" i="109"/>
  <c r="J1026" i="109"/>
  <c r="K1025" i="109"/>
  <c r="J1025" i="109"/>
  <c r="K1024" i="109"/>
  <c r="J1024" i="109"/>
  <c r="K1023" i="109"/>
  <c r="J1023" i="109"/>
  <c r="K1022" i="109"/>
  <c r="J1022" i="109"/>
  <c r="K1021" i="109"/>
  <c r="J1021" i="109"/>
  <c r="K1020" i="109"/>
  <c r="J1020" i="109"/>
  <c r="K1019" i="109"/>
  <c r="J1019" i="109"/>
  <c r="K1018" i="109"/>
  <c r="J1018" i="109"/>
  <c r="K1017" i="109"/>
  <c r="J1017" i="109"/>
  <c r="K1016" i="109"/>
  <c r="J1016" i="109"/>
  <c r="K1015" i="109"/>
  <c r="J1015" i="109"/>
  <c r="K1014" i="109"/>
  <c r="J1014" i="109"/>
  <c r="K1013" i="109"/>
  <c r="J1013" i="109"/>
  <c r="K1012" i="109"/>
  <c r="J1012" i="109"/>
  <c r="K1011" i="109"/>
  <c r="J1011" i="109"/>
  <c r="K1010" i="109"/>
  <c r="J1010" i="109"/>
  <c r="K1009" i="109"/>
  <c r="J1009" i="109"/>
  <c r="K1008" i="109"/>
  <c r="J1008" i="109"/>
  <c r="K1007" i="109"/>
  <c r="J1007" i="109"/>
  <c r="K1006" i="109"/>
  <c r="J1006" i="109"/>
  <c r="K1005" i="109"/>
  <c r="J1005" i="109"/>
  <c r="K1004" i="109"/>
  <c r="J1004" i="109"/>
  <c r="K1003" i="109"/>
  <c r="J1003" i="109"/>
  <c r="K1002" i="109"/>
  <c r="J1002" i="109"/>
  <c r="K1001" i="109"/>
  <c r="J1001" i="109"/>
  <c r="K1000" i="109"/>
  <c r="J1000" i="109"/>
  <c r="K999" i="109"/>
  <c r="J999" i="109"/>
  <c r="K998" i="109"/>
  <c r="J998" i="109"/>
  <c r="K997" i="109"/>
  <c r="J997" i="109"/>
  <c r="K996" i="109"/>
  <c r="J996" i="109"/>
  <c r="K995" i="109"/>
  <c r="J995" i="109"/>
  <c r="K994" i="109"/>
  <c r="J994" i="109"/>
  <c r="K993" i="109"/>
  <c r="J993" i="109"/>
  <c r="K992" i="109"/>
  <c r="J992" i="109"/>
  <c r="K991" i="109"/>
  <c r="J991" i="109"/>
  <c r="K990" i="109"/>
  <c r="J990" i="109"/>
  <c r="K989" i="109"/>
  <c r="J989" i="109"/>
  <c r="K988" i="109"/>
  <c r="J988" i="109"/>
  <c r="K987" i="109"/>
  <c r="J987" i="109"/>
  <c r="K986" i="109"/>
  <c r="J986" i="109"/>
  <c r="K985" i="109"/>
  <c r="J985" i="109"/>
  <c r="K984" i="109"/>
  <c r="J984" i="109"/>
  <c r="K983" i="109"/>
  <c r="J983" i="109"/>
  <c r="K982" i="109"/>
  <c r="J982" i="109"/>
  <c r="K981" i="109"/>
  <c r="J981" i="109"/>
  <c r="K980" i="109"/>
  <c r="J980" i="109"/>
  <c r="K979" i="109"/>
  <c r="J979" i="109"/>
  <c r="K978" i="109"/>
  <c r="J978" i="109"/>
  <c r="K977" i="109"/>
  <c r="J977" i="109"/>
  <c r="K976" i="109"/>
  <c r="J976" i="109"/>
  <c r="K975" i="109"/>
  <c r="J975" i="109"/>
  <c r="K974" i="109"/>
  <c r="J974" i="109"/>
  <c r="K973" i="109"/>
  <c r="J973" i="109"/>
  <c r="K972" i="109"/>
  <c r="J972" i="109"/>
  <c r="K971" i="109"/>
  <c r="J971" i="109"/>
  <c r="K970" i="109"/>
  <c r="J970" i="109"/>
  <c r="K969" i="109"/>
  <c r="J969" i="109"/>
  <c r="K968" i="109"/>
  <c r="J968" i="109"/>
  <c r="K967" i="109"/>
  <c r="J967" i="109"/>
  <c r="K966" i="109"/>
  <c r="J966" i="109"/>
  <c r="K965" i="109"/>
  <c r="J965" i="109"/>
  <c r="K964" i="109"/>
  <c r="J964" i="109"/>
  <c r="K963" i="109"/>
  <c r="J963" i="109"/>
  <c r="K962" i="109"/>
  <c r="J962" i="109"/>
  <c r="K961" i="109"/>
  <c r="J961" i="109"/>
  <c r="K960" i="109"/>
  <c r="J960" i="109"/>
  <c r="K959" i="109"/>
  <c r="J959" i="109"/>
  <c r="K958" i="109"/>
  <c r="J958" i="109"/>
  <c r="K957" i="109"/>
  <c r="J957" i="109"/>
  <c r="K956" i="109"/>
  <c r="J956" i="109"/>
  <c r="K955" i="109"/>
  <c r="J955" i="109"/>
  <c r="K954" i="109"/>
  <c r="J954" i="109"/>
  <c r="K953" i="109"/>
  <c r="J953" i="109"/>
  <c r="K952" i="109"/>
  <c r="J952" i="109"/>
  <c r="K951" i="109"/>
  <c r="J951" i="109"/>
  <c r="K950" i="109"/>
  <c r="J950" i="109"/>
  <c r="K949" i="109"/>
  <c r="J949" i="109"/>
  <c r="K948" i="109"/>
  <c r="J948" i="109"/>
  <c r="K947" i="109"/>
  <c r="J947" i="109"/>
  <c r="K946" i="109"/>
  <c r="J946" i="109"/>
  <c r="K945" i="109"/>
  <c r="J945" i="109"/>
  <c r="K944" i="109"/>
  <c r="J944" i="109"/>
  <c r="K943" i="109"/>
  <c r="J943" i="109"/>
  <c r="K942" i="109"/>
  <c r="J942" i="109"/>
  <c r="K941" i="109"/>
  <c r="J941" i="109"/>
  <c r="K940" i="109"/>
  <c r="J940" i="109"/>
  <c r="K939" i="109"/>
  <c r="J939" i="109"/>
  <c r="K938" i="109"/>
  <c r="J938" i="109"/>
  <c r="K937" i="109"/>
  <c r="J937" i="109"/>
  <c r="K936" i="109"/>
  <c r="J936" i="109"/>
  <c r="K935" i="109"/>
  <c r="J935" i="109"/>
  <c r="K934" i="109"/>
  <c r="J934" i="109"/>
  <c r="K933" i="109"/>
  <c r="J933" i="109"/>
  <c r="K932" i="109"/>
  <c r="J932" i="109"/>
  <c r="K931" i="109"/>
  <c r="J931" i="109"/>
  <c r="K930" i="109"/>
  <c r="J930" i="109"/>
  <c r="K929" i="109"/>
  <c r="J929" i="109"/>
  <c r="K928" i="109"/>
  <c r="J928" i="109"/>
  <c r="K927" i="109"/>
  <c r="J927" i="109"/>
  <c r="K926" i="109"/>
  <c r="J926" i="109"/>
  <c r="K925" i="109"/>
  <c r="J925" i="109"/>
  <c r="K924" i="109"/>
  <c r="J924" i="109"/>
  <c r="K923" i="109"/>
  <c r="J923" i="109"/>
  <c r="K922" i="109"/>
  <c r="J922" i="109"/>
  <c r="K921" i="109"/>
  <c r="J921" i="109"/>
  <c r="K920" i="109"/>
  <c r="J920" i="109"/>
  <c r="K919" i="109"/>
  <c r="J919" i="109"/>
  <c r="K918" i="109"/>
  <c r="J918" i="109"/>
  <c r="K917" i="109"/>
  <c r="J917" i="109"/>
  <c r="K916" i="109"/>
  <c r="J916" i="109"/>
  <c r="K915" i="109"/>
  <c r="J915" i="109"/>
  <c r="K914" i="109"/>
  <c r="J914" i="109"/>
  <c r="K913" i="109"/>
  <c r="J913" i="109"/>
  <c r="K912" i="109"/>
  <c r="J912" i="109"/>
  <c r="K911" i="109"/>
  <c r="J911" i="109"/>
  <c r="K910" i="109"/>
  <c r="J910" i="109"/>
  <c r="K909" i="109"/>
  <c r="J909" i="109"/>
  <c r="K908" i="109"/>
  <c r="J908" i="109"/>
  <c r="K907" i="109"/>
  <c r="J907" i="109"/>
  <c r="K906" i="109"/>
  <c r="J906" i="109"/>
  <c r="K905" i="109"/>
  <c r="J905" i="109"/>
  <c r="K904" i="109"/>
  <c r="J904" i="109"/>
  <c r="K903" i="109"/>
  <c r="J903" i="109"/>
  <c r="K902" i="109"/>
  <c r="J902" i="109"/>
  <c r="K901" i="109"/>
  <c r="J901" i="109"/>
  <c r="K900" i="109"/>
  <c r="J900" i="109"/>
  <c r="K899" i="109"/>
  <c r="J899" i="109"/>
  <c r="K898" i="109"/>
  <c r="J898" i="109"/>
  <c r="K897" i="109"/>
  <c r="J897" i="109"/>
  <c r="K896" i="109"/>
  <c r="J896" i="109"/>
  <c r="K895" i="109"/>
  <c r="J895" i="109"/>
  <c r="K894" i="109"/>
  <c r="J894" i="109"/>
  <c r="K893" i="109"/>
  <c r="J893" i="109"/>
  <c r="K892" i="109"/>
  <c r="J892" i="109"/>
  <c r="K891" i="109"/>
  <c r="J891" i="109"/>
  <c r="K890" i="109"/>
  <c r="J890" i="109"/>
  <c r="K889" i="109"/>
  <c r="J889" i="109"/>
  <c r="K888" i="109"/>
  <c r="J888" i="109"/>
  <c r="K887" i="109"/>
  <c r="J887" i="109"/>
  <c r="K886" i="109"/>
  <c r="J886" i="109"/>
  <c r="K885" i="109"/>
  <c r="J885" i="109"/>
  <c r="K884" i="109"/>
  <c r="J884" i="109"/>
  <c r="K883" i="109"/>
  <c r="J883" i="109"/>
  <c r="K882" i="109"/>
  <c r="J882" i="109"/>
  <c r="K881" i="109"/>
  <c r="J881" i="109"/>
  <c r="K880" i="109"/>
  <c r="J880" i="109"/>
  <c r="K879" i="109"/>
  <c r="J879" i="109"/>
  <c r="K878" i="109"/>
  <c r="J878" i="109"/>
  <c r="K877" i="109"/>
  <c r="J877" i="109"/>
  <c r="K876" i="109"/>
  <c r="J876" i="109"/>
  <c r="K875" i="109"/>
  <c r="J875" i="109"/>
  <c r="K874" i="109"/>
  <c r="J874" i="109"/>
  <c r="K873" i="109"/>
  <c r="J873" i="109"/>
  <c r="K872" i="109"/>
  <c r="J872" i="109"/>
  <c r="K871" i="109"/>
  <c r="J871" i="109"/>
  <c r="K870" i="109"/>
  <c r="J870" i="109"/>
  <c r="K869" i="109"/>
  <c r="J869" i="109"/>
  <c r="K868" i="109"/>
  <c r="J868" i="109"/>
  <c r="K867" i="109"/>
  <c r="J867" i="109"/>
  <c r="K866" i="109"/>
  <c r="J866" i="109"/>
  <c r="K865" i="109"/>
  <c r="J865" i="109"/>
  <c r="K864" i="109"/>
  <c r="J864" i="109"/>
  <c r="K863" i="109"/>
  <c r="J863" i="109"/>
  <c r="K862" i="109"/>
  <c r="J862" i="109"/>
  <c r="K861" i="109"/>
  <c r="J861" i="109"/>
  <c r="K860" i="109"/>
  <c r="J860" i="109"/>
  <c r="K859" i="109"/>
  <c r="J859" i="109"/>
  <c r="K858" i="109"/>
  <c r="J858" i="109"/>
  <c r="K857" i="109"/>
  <c r="J857" i="109"/>
  <c r="K856" i="109"/>
  <c r="J856" i="109"/>
  <c r="K855" i="109"/>
  <c r="J855" i="109"/>
  <c r="K854" i="109"/>
  <c r="J854" i="109"/>
  <c r="K853" i="109"/>
  <c r="J853" i="109"/>
  <c r="K852" i="109"/>
  <c r="J852" i="109"/>
  <c r="K851" i="109"/>
  <c r="J851" i="109"/>
  <c r="K850" i="109"/>
  <c r="J850" i="109"/>
  <c r="K849" i="109"/>
  <c r="J849" i="109"/>
  <c r="K848" i="109"/>
  <c r="J848" i="109"/>
  <c r="K847" i="109"/>
  <c r="J847" i="109"/>
  <c r="K846" i="109"/>
  <c r="J846" i="109"/>
  <c r="K845" i="109"/>
  <c r="J845" i="109"/>
  <c r="K844" i="109"/>
  <c r="J844" i="109"/>
  <c r="K843" i="109"/>
  <c r="J843" i="109"/>
  <c r="K842" i="109"/>
  <c r="J842" i="109"/>
  <c r="K841" i="109"/>
  <c r="J841" i="109"/>
  <c r="K840" i="109"/>
  <c r="J840" i="109"/>
  <c r="K839" i="109"/>
  <c r="J839" i="109"/>
  <c r="K838" i="109"/>
  <c r="J838" i="109"/>
  <c r="K837" i="109"/>
  <c r="J837" i="109"/>
  <c r="K836" i="109"/>
  <c r="J836" i="109"/>
  <c r="K835" i="109"/>
  <c r="J835" i="109"/>
  <c r="K834" i="109"/>
  <c r="J834" i="109"/>
  <c r="K833" i="109"/>
  <c r="J833" i="109"/>
  <c r="K832" i="109"/>
  <c r="J832" i="109"/>
  <c r="K831" i="109"/>
  <c r="J831" i="109"/>
  <c r="K830" i="109"/>
  <c r="J830" i="109"/>
  <c r="K829" i="109"/>
  <c r="J829" i="109"/>
  <c r="K828" i="109"/>
  <c r="J828" i="109"/>
  <c r="K827" i="109"/>
  <c r="J827" i="109"/>
  <c r="K826" i="109"/>
  <c r="J826" i="109"/>
  <c r="K825" i="109"/>
  <c r="J825" i="109"/>
  <c r="K824" i="109"/>
  <c r="J824" i="109"/>
  <c r="K823" i="109"/>
  <c r="J823" i="109"/>
  <c r="K822" i="109"/>
  <c r="J822" i="109"/>
  <c r="K821" i="109"/>
  <c r="J821" i="109"/>
  <c r="K820" i="109"/>
  <c r="J820" i="109"/>
  <c r="K819" i="109"/>
  <c r="J819" i="109"/>
  <c r="K818" i="109"/>
  <c r="J818" i="109"/>
  <c r="K817" i="109"/>
  <c r="J817" i="109"/>
  <c r="K816" i="109"/>
  <c r="J816" i="109"/>
  <c r="K815" i="109"/>
  <c r="J815" i="109"/>
  <c r="K814" i="109"/>
  <c r="J814" i="109"/>
  <c r="K813" i="109"/>
  <c r="J813" i="109"/>
  <c r="K812" i="109"/>
  <c r="J812" i="109"/>
  <c r="K811" i="109"/>
  <c r="J811" i="109"/>
  <c r="K810" i="109"/>
  <c r="J810" i="109"/>
  <c r="K809" i="109"/>
  <c r="J809" i="109"/>
  <c r="K808" i="109"/>
  <c r="J808" i="109"/>
  <c r="K807" i="109"/>
  <c r="J807" i="109"/>
  <c r="K806" i="109"/>
  <c r="J806" i="109"/>
  <c r="K805" i="109"/>
  <c r="J805" i="109"/>
  <c r="K804" i="109"/>
  <c r="J804" i="109"/>
  <c r="K803" i="109"/>
  <c r="J803" i="109"/>
  <c r="K802" i="109"/>
  <c r="J802" i="109"/>
  <c r="K801" i="109"/>
  <c r="J801" i="109"/>
  <c r="K800" i="109"/>
  <c r="J800" i="109"/>
  <c r="K799" i="109"/>
  <c r="J799" i="109"/>
  <c r="K798" i="109"/>
  <c r="J798" i="109"/>
  <c r="K797" i="109"/>
  <c r="J797" i="109"/>
  <c r="K796" i="109"/>
  <c r="J796" i="109"/>
  <c r="K795" i="109"/>
  <c r="J795" i="109"/>
  <c r="K794" i="109"/>
  <c r="J794" i="109"/>
  <c r="K793" i="109"/>
  <c r="J793" i="109"/>
  <c r="K792" i="109"/>
  <c r="J792" i="109"/>
  <c r="K791" i="109"/>
  <c r="J791" i="109"/>
  <c r="K790" i="109"/>
  <c r="J790" i="109"/>
  <c r="K789" i="109"/>
  <c r="J789" i="109"/>
  <c r="K788" i="109"/>
  <c r="J788" i="109"/>
  <c r="K787" i="109"/>
  <c r="J787" i="109"/>
  <c r="K786" i="109"/>
  <c r="J786" i="109"/>
  <c r="K785" i="109"/>
  <c r="J785" i="109"/>
  <c r="K784" i="109"/>
  <c r="J784" i="109"/>
  <c r="K783" i="109"/>
  <c r="J783" i="109"/>
  <c r="K782" i="109"/>
  <c r="J782" i="109"/>
  <c r="K781" i="109"/>
  <c r="J781" i="109"/>
  <c r="K780" i="109"/>
  <c r="J780" i="109"/>
  <c r="K779" i="109"/>
  <c r="J779" i="109"/>
  <c r="K778" i="109"/>
  <c r="J778" i="109"/>
  <c r="K777" i="109"/>
  <c r="J777" i="109"/>
  <c r="K776" i="109"/>
  <c r="J776" i="109"/>
  <c r="K775" i="109"/>
  <c r="J775" i="109"/>
  <c r="K774" i="109"/>
  <c r="J774" i="109"/>
  <c r="K773" i="109"/>
  <c r="J773" i="109"/>
  <c r="K772" i="109"/>
  <c r="J772" i="109"/>
  <c r="K771" i="109"/>
  <c r="J771" i="109"/>
  <c r="K770" i="109"/>
  <c r="J770" i="109"/>
  <c r="K769" i="109"/>
  <c r="J769" i="109"/>
  <c r="K768" i="109"/>
  <c r="J768" i="109"/>
  <c r="K767" i="109"/>
  <c r="J767" i="109"/>
  <c r="K766" i="109"/>
  <c r="J766" i="109"/>
  <c r="K765" i="109"/>
  <c r="J765" i="109"/>
  <c r="K764" i="109"/>
  <c r="J764" i="109"/>
  <c r="K763" i="109"/>
  <c r="J763" i="109"/>
  <c r="K762" i="109"/>
  <c r="J762" i="109"/>
  <c r="K761" i="109"/>
  <c r="J761" i="109"/>
  <c r="K760" i="109"/>
  <c r="J760" i="109"/>
  <c r="K759" i="109"/>
  <c r="J759" i="109"/>
  <c r="K758" i="109"/>
  <c r="J758" i="109"/>
  <c r="K757" i="109"/>
  <c r="J757" i="109"/>
  <c r="K756" i="109"/>
  <c r="J756" i="109"/>
  <c r="K755" i="109"/>
  <c r="J755" i="109"/>
  <c r="K754" i="109"/>
  <c r="J754" i="109"/>
  <c r="K753" i="109"/>
  <c r="J753" i="109"/>
  <c r="K752" i="109"/>
  <c r="J752" i="109"/>
  <c r="K751" i="109"/>
  <c r="J751" i="109"/>
  <c r="K750" i="109"/>
  <c r="J750" i="109"/>
  <c r="K749" i="109"/>
  <c r="J749" i="109"/>
  <c r="K748" i="109"/>
  <c r="J748" i="109"/>
  <c r="K747" i="109"/>
  <c r="J747" i="109"/>
  <c r="K746" i="109"/>
  <c r="J746" i="109"/>
  <c r="K745" i="109"/>
  <c r="J745" i="109"/>
  <c r="K744" i="109"/>
  <c r="J744" i="109"/>
  <c r="K743" i="109"/>
  <c r="J743" i="109"/>
  <c r="K742" i="109"/>
  <c r="J742" i="109"/>
  <c r="K741" i="109"/>
  <c r="J741" i="109"/>
  <c r="K740" i="109"/>
  <c r="J740" i="109"/>
  <c r="K739" i="109"/>
  <c r="J739" i="109"/>
  <c r="K738" i="109"/>
  <c r="J738" i="109"/>
  <c r="K737" i="109"/>
  <c r="J737" i="109"/>
  <c r="K736" i="109"/>
  <c r="J736" i="109"/>
  <c r="K735" i="109"/>
  <c r="J735" i="109"/>
  <c r="K734" i="109"/>
  <c r="J734" i="109"/>
  <c r="K733" i="109"/>
  <c r="J733" i="109"/>
  <c r="K732" i="109"/>
  <c r="J732" i="109"/>
  <c r="K731" i="109"/>
  <c r="J731" i="109"/>
  <c r="K730" i="109"/>
  <c r="J730" i="109"/>
  <c r="K729" i="109"/>
  <c r="J729" i="109"/>
  <c r="K728" i="109"/>
  <c r="J728" i="109"/>
  <c r="K727" i="109"/>
  <c r="J727" i="109"/>
  <c r="K726" i="109"/>
  <c r="J726" i="109"/>
  <c r="K725" i="109"/>
  <c r="J725" i="109"/>
  <c r="K724" i="109"/>
  <c r="J724" i="109"/>
  <c r="K723" i="109"/>
  <c r="J723" i="109"/>
  <c r="K722" i="109"/>
  <c r="J722" i="109"/>
  <c r="K721" i="109"/>
  <c r="J721" i="109"/>
  <c r="K720" i="109"/>
  <c r="J720" i="109"/>
  <c r="K719" i="109"/>
  <c r="J719" i="109"/>
  <c r="K718" i="109"/>
  <c r="J718" i="109"/>
  <c r="K717" i="109"/>
  <c r="J717" i="109"/>
  <c r="K716" i="109"/>
  <c r="J716" i="109"/>
  <c r="K715" i="109"/>
  <c r="J715" i="109"/>
  <c r="K714" i="109"/>
  <c r="J714" i="109"/>
  <c r="K713" i="109"/>
  <c r="J713" i="109"/>
  <c r="K712" i="109"/>
  <c r="J712" i="109"/>
  <c r="K711" i="109"/>
  <c r="J711" i="109"/>
  <c r="K710" i="109"/>
  <c r="J710" i="109"/>
  <c r="K709" i="109"/>
  <c r="J709" i="109"/>
  <c r="K708" i="109"/>
  <c r="J708" i="109"/>
  <c r="K707" i="109"/>
  <c r="J707" i="109"/>
  <c r="K706" i="109"/>
  <c r="J706" i="109"/>
  <c r="K705" i="109"/>
  <c r="J705" i="109"/>
  <c r="K704" i="109"/>
  <c r="J704" i="109"/>
  <c r="K703" i="109"/>
  <c r="J703" i="109"/>
  <c r="K702" i="109"/>
  <c r="J702" i="109"/>
  <c r="K701" i="109"/>
  <c r="J701" i="109"/>
  <c r="K700" i="109"/>
  <c r="J700" i="109"/>
  <c r="K699" i="109"/>
  <c r="J699" i="109"/>
  <c r="K698" i="109"/>
  <c r="J698" i="109"/>
  <c r="K697" i="109"/>
  <c r="J697" i="109"/>
  <c r="K696" i="109"/>
  <c r="J696" i="109"/>
  <c r="K695" i="109"/>
  <c r="J695" i="109"/>
  <c r="K694" i="109"/>
  <c r="J694" i="109"/>
  <c r="K693" i="109"/>
  <c r="J693" i="109"/>
  <c r="K692" i="109"/>
  <c r="J692" i="109"/>
  <c r="K691" i="109"/>
  <c r="J691" i="109"/>
  <c r="K690" i="109"/>
  <c r="J690" i="109"/>
  <c r="K689" i="109"/>
  <c r="J689" i="109"/>
  <c r="K688" i="109"/>
  <c r="J688" i="109"/>
  <c r="K687" i="109"/>
  <c r="J687" i="109"/>
  <c r="K686" i="109"/>
  <c r="J686" i="109"/>
  <c r="K685" i="109"/>
  <c r="J685" i="109"/>
  <c r="K684" i="109"/>
  <c r="J684" i="109"/>
  <c r="K683" i="109"/>
  <c r="J683" i="109"/>
  <c r="K682" i="109"/>
  <c r="J682" i="109"/>
  <c r="K681" i="109"/>
  <c r="J681" i="109"/>
  <c r="K680" i="109"/>
  <c r="J680" i="109"/>
  <c r="K679" i="109"/>
  <c r="J679" i="109"/>
  <c r="K678" i="109"/>
  <c r="J678" i="109"/>
  <c r="K677" i="109"/>
  <c r="J677" i="109"/>
  <c r="K676" i="109"/>
  <c r="J676" i="109"/>
  <c r="K675" i="109"/>
  <c r="J675" i="109"/>
  <c r="K674" i="109"/>
  <c r="J674" i="109"/>
  <c r="K673" i="109"/>
  <c r="J673" i="109"/>
  <c r="K672" i="109"/>
  <c r="J672" i="109"/>
  <c r="K671" i="109"/>
  <c r="J671" i="109"/>
  <c r="K670" i="109"/>
  <c r="J670" i="109"/>
  <c r="K669" i="109"/>
  <c r="J669" i="109"/>
  <c r="K668" i="109"/>
  <c r="J668" i="109"/>
  <c r="K667" i="109"/>
  <c r="J667" i="109"/>
  <c r="K666" i="109"/>
  <c r="J666" i="109"/>
  <c r="K665" i="109"/>
  <c r="J665" i="109"/>
  <c r="K664" i="109"/>
  <c r="J664" i="109"/>
  <c r="K663" i="109"/>
  <c r="J663" i="109"/>
  <c r="K662" i="109"/>
  <c r="J662" i="109"/>
  <c r="K661" i="109"/>
  <c r="J661" i="109"/>
  <c r="K660" i="109"/>
  <c r="J660" i="109"/>
  <c r="K659" i="109"/>
  <c r="J659" i="109"/>
  <c r="K658" i="109"/>
  <c r="J658" i="109"/>
  <c r="K657" i="109"/>
  <c r="J657" i="109"/>
  <c r="K656" i="109"/>
  <c r="J656" i="109"/>
  <c r="K655" i="109"/>
  <c r="J655" i="109"/>
  <c r="K654" i="109"/>
  <c r="J654" i="109"/>
  <c r="K653" i="109"/>
  <c r="J653" i="109"/>
  <c r="K652" i="109"/>
  <c r="J652" i="109"/>
  <c r="K651" i="109"/>
  <c r="J651" i="109"/>
  <c r="K650" i="109"/>
  <c r="J650" i="109"/>
  <c r="K649" i="109"/>
  <c r="J649" i="109"/>
  <c r="K648" i="109"/>
  <c r="J648" i="109"/>
  <c r="K647" i="109"/>
  <c r="J647" i="109"/>
  <c r="K646" i="109"/>
  <c r="J646" i="109"/>
  <c r="K645" i="109"/>
  <c r="J645" i="109"/>
  <c r="K644" i="109"/>
  <c r="J644" i="109"/>
  <c r="K643" i="109"/>
  <c r="J643" i="109"/>
  <c r="K642" i="109"/>
  <c r="J642" i="109"/>
  <c r="K641" i="109"/>
  <c r="J641" i="109"/>
  <c r="K640" i="109"/>
  <c r="J640" i="109"/>
  <c r="K639" i="109"/>
  <c r="J639" i="109"/>
  <c r="K638" i="109"/>
  <c r="J638" i="109"/>
  <c r="K637" i="109"/>
  <c r="J637" i="109"/>
  <c r="K636" i="109"/>
  <c r="J636" i="109"/>
  <c r="K635" i="109"/>
  <c r="J635" i="109"/>
  <c r="K634" i="109"/>
  <c r="J634" i="109"/>
  <c r="K633" i="109"/>
  <c r="J633" i="109"/>
  <c r="K632" i="109"/>
  <c r="J632" i="109"/>
  <c r="K631" i="109"/>
  <c r="J631" i="109"/>
  <c r="K630" i="109"/>
  <c r="J630" i="109"/>
  <c r="K629" i="109"/>
  <c r="J629" i="109"/>
  <c r="K628" i="109"/>
  <c r="J628" i="109"/>
  <c r="K627" i="109"/>
  <c r="J627" i="109"/>
  <c r="K626" i="109"/>
  <c r="J626" i="109"/>
  <c r="K625" i="109"/>
  <c r="J625" i="109"/>
  <c r="K624" i="109"/>
  <c r="J624" i="109"/>
  <c r="K623" i="109"/>
  <c r="J623" i="109"/>
  <c r="K622" i="109"/>
  <c r="J622" i="109"/>
  <c r="K621" i="109"/>
  <c r="J621" i="109"/>
  <c r="K620" i="109"/>
  <c r="J620" i="109"/>
  <c r="K619" i="109"/>
  <c r="J619" i="109"/>
  <c r="K618" i="109"/>
  <c r="J618" i="109"/>
  <c r="K617" i="109"/>
  <c r="J617" i="109"/>
  <c r="K616" i="109"/>
  <c r="J616" i="109"/>
  <c r="K615" i="109"/>
  <c r="J615" i="109"/>
  <c r="K614" i="109"/>
  <c r="J614" i="109"/>
  <c r="K613" i="109"/>
  <c r="J613" i="109"/>
  <c r="K612" i="109"/>
  <c r="J612" i="109"/>
  <c r="K611" i="109"/>
  <c r="J611" i="109"/>
  <c r="K610" i="109"/>
  <c r="J610" i="109"/>
  <c r="K609" i="109"/>
  <c r="J609" i="109"/>
  <c r="K608" i="109"/>
  <c r="J608" i="109"/>
  <c r="K607" i="109"/>
  <c r="J607" i="109"/>
  <c r="K606" i="109"/>
  <c r="J606" i="109"/>
  <c r="K605" i="109"/>
  <c r="J605" i="109"/>
  <c r="K604" i="109"/>
  <c r="J604" i="109"/>
  <c r="K603" i="109"/>
  <c r="J603" i="109"/>
  <c r="K602" i="109"/>
  <c r="J602" i="109"/>
  <c r="K601" i="109"/>
  <c r="J601" i="109"/>
  <c r="K600" i="109"/>
  <c r="J600" i="109"/>
  <c r="K599" i="109"/>
  <c r="J599" i="109"/>
  <c r="K598" i="109"/>
  <c r="J598" i="109"/>
  <c r="K597" i="109"/>
  <c r="J597" i="109"/>
  <c r="K596" i="109"/>
  <c r="J596" i="109"/>
  <c r="K595" i="109"/>
  <c r="J595" i="109"/>
  <c r="K594" i="109"/>
  <c r="J594" i="109"/>
  <c r="K593" i="109"/>
  <c r="J593" i="109"/>
  <c r="K592" i="109"/>
  <c r="J592" i="109"/>
  <c r="K591" i="109"/>
  <c r="J591" i="109"/>
  <c r="K590" i="109"/>
  <c r="J590" i="109"/>
  <c r="K589" i="109"/>
  <c r="J589" i="109"/>
  <c r="K588" i="109"/>
  <c r="J588" i="109"/>
  <c r="K587" i="109"/>
  <c r="J587" i="109"/>
  <c r="K586" i="109"/>
  <c r="J586" i="109"/>
  <c r="K585" i="109"/>
  <c r="J585" i="109"/>
  <c r="K584" i="109"/>
  <c r="J584" i="109"/>
  <c r="K583" i="109"/>
  <c r="J583" i="109"/>
  <c r="K582" i="109"/>
  <c r="J582" i="109"/>
  <c r="K581" i="109"/>
  <c r="J581" i="109"/>
  <c r="K580" i="109"/>
  <c r="J580" i="109"/>
  <c r="K579" i="109"/>
  <c r="J579" i="109"/>
  <c r="K578" i="109"/>
  <c r="J578" i="109"/>
  <c r="K577" i="109"/>
  <c r="J577" i="109"/>
  <c r="K576" i="109"/>
  <c r="J576" i="109"/>
  <c r="K575" i="109"/>
  <c r="J575" i="109"/>
  <c r="K574" i="109"/>
  <c r="J574" i="109"/>
  <c r="K573" i="109"/>
  <c r="J573" i="109"/>
  <c r="K572" i="109"/>
  <c r="J572" i="109"/>
  <c r="K571" i="109"/>
  <c r="J571" i="109"/>
  <c r="K570" i="109"/>
  <c r="J570" i="109"/>
  <c r="K569" i="109"/>
  <c r="J569" i="109"/>
  <c r="K568" i="109"/>
  <c r="J568" i="109"/>
  <c r="K567" i="109"/>
  <c r="J567" i="109"/>
  <c r="K566" i="109"/>
  <c r="J566" i="109"/>
  <c r="K565" i="109"/>
  <c r="J565" i="109"/>
  <c r="K564" i="109"/>
  <c r="J564" i="109"/>
  <c r="K563" i="109"/>
  <c r="J563" i="109"/>
  <c r="K562" i="109"/>
  <c r="J562" i="109"/>
  <c r="K561" i="109"/>
  <c r="J561" i="109"/>
  <c r="K560" i="109"/>
  <c r="J560" i="109"/>
  <c r="K559" i="109"/>
  <c r="J559" i="109"/>
  <c r="K558" i="109"/>
  <c r="J558" i="109"/>
  <c r="K557" i="109"/>
  <c r="J557" i="109"/>
  <c r="K556" i="109"/>
  <c r="J556" i="109"/>
  <c r="K555" i="109"/>
  <c r="J555" i="109"/>
  <c r="K554" i="109"/>
  <c r="J554" i="109"/>
  <c r="K553" i="109"/>
  <c r="J553" i="109"/>
  <c r="K552" i="109"/>
  <c r="J552" i="109"/>
  <c r="K551" i="109"/>
  <c r="J551" i="109"/>
  <c r="K550" i="109"/>
  <c r="J550" i="109"/>
  <c r="K549" i="109"/>
  <c r="J549" i="109"/>
  <c r="K548" i="109"/>
  <c r="J548" i="109"/>
  <c r="K547" i="109"/>
  <c r="J547" i="109"/>
  <c r="K546" i="109"/>
  <c r="J546" i="109"/>
  <c r="K545" i="109"/>
  <c r="J545" i="109"/>
  <c r="K544" i="109"/>
  <c r="J544" i="109"/>
  <c r="K543" i="109"/>
  <c r="J543" i="109"/>
  <c r="K542" i="109"/>
  <c r="J542" i="109"/>
  <c r="K541" i="109"/>
  <c r="J541" i="109"/>
  <c r="K540" i="109"/>
  <c r="J540" i="109"/>
  <c r="K539" i="109"/>
  <c r="J539" i="109"/>
  <c r="K538" i="109"/>
  <c r="J538" i="109"/>
  <c r="K537" i="109"/>
  <c r="J537" i="109"/>
  <c r="K536" i="109"/>
  <c r="J536" i="109"/>
  <c r="K535" i="109"/>
  <c r="J535" i="109"/>
  <c r="K534" i="109"/>
  <c r="J534" i="109"/>
  <c r="K533" i="109"/>
  <c r="J533" i="109"/>
  <c r="K532" i="109"/>
  <c r="J532" i="109"/>
  <c r="K531" i="109"/>
  <c r="J531" i="109"/>
  <c r="K530" i="109"/>
  <c r="J530" i="109"/>
  <c r="K529" i="109"/>
  <c r="J529" i="109"/>
  <c r="K528" i="109"/>
  <c r="J528" i="109"/>
  <c r="K527" i="109"/>
  <c r="J527" i="109"/>
  <c r="K526" i="109"/>
  <c r="J526" i="109"/>
  <c r="K525" i="109"/>
  <c r="J525" i="109"/>
  <c r="K524" i="109"/>
  <c r="J524" i="109"/>
  <c r="K523" i="109"/>
  <c r="J523" i="109"/>
  <c r="K522" i="109"/>
  <c r="J522" i="109"/>
  <c r="K521" i="109"/>
  <c r="J521" i="109"/>
  <c r="K520" i="109"/>
  <c r="J520" i="109"/>
  <c r="K519" i="109"/>
  <c r="J519" i="109"/>
  <c r="K518" i="109"/>
  <c r="J518" i="109"/>
  <c r="K517" i="109"/>
  <c r="J517" i="109"/>
  <c r="K516" i="109"/>
  <c r="J516" i="109"/>
  <c r="K515" i="109"/>
  <c r="J515" i="109"/>
  <c r="K514" i="109"/>
  <c r="J514" i="109"/>
  <c r="K513" i="109"/>
  <c r="J513" i="109"/>
  <c r="K512" i="109"/>
  <c r="J512" i="109"/>
  <c r="K511" i="109"/>
  <c r="J511" i="109"/>
  <c r="K510" i="109"/>
  <c r="J510" i="109"/>
  <c r="K509" i="109"/>
  <c r="J509" i="109"/>
  <c r="K508" i="109"/>
  <c r="J508" i="109"/>
  <c r="K507" i="109"/>
  <c r="J507" i="109"/>
  <c r="K506" i="109"/>
  <c r="J506" i="109"/>
  <c r="K505" i="109"/>
  <c r="J505" i="109"/>
  <c r="K504" i="109"/>
  <c r="J504" i="109"/>
  <c r="K503" i="109"/>
  <c r="J503" i="109"/>
  <c r="K502" i="109"/>
  <c r="J502" i="109"/>
  <c r="K501" i="109"/>
  <c r="J501" i="109"/>
  <c r="K500" i="109"/>
  <c r="J500" i="109"/>
  <c r="K499" i="109"/>
  <c r="J499" i="109"/>
  <c r="K498" i="109"/>
  <c r="J498" i="109"/>
  <c r="K497" i="109"/>
  <c r="J497" i="109"/>
  <c r="K496" i="109"/>
  <c r="J496" i="109"/>
  <c r="K495" i="109"/>
  <c r="J495" i="109"/>
  <c r="K494" i="109"/>
  <c r="J494" i="109"/>
  <c r="K493" i="109"/>
  <c r="J493" i="109"/>
  <c r="K492" i="109"/>
  <c r="J492" i="109"/>
  <c r="K491" i="109"/>
  <c r="J491" i="109"/>
  <c r="K490" i="109"/>
  <c r="J490" i="109"/>
  <c r="K489" i="109"/>
  <c r="J489" i="109"/>
  <c r="K488" i="109"/>
  <c r="J488" i="109"/>
  <c r="K487" i="109"/>
  <c r="J487" i="109"/>
  <c r="K486" i="109"/>
  <c r="J486" i="109"/>
  <c r="K485" i="109"/>
  <c r="J485" i="109"/>
  <c r="K484" i="109"/>
  <c r="J484" i="109"/>
  <c r="K483" i="109"/>
  <c r="J483" i="109"/>
  <c r="K482" i="109"/>
  <c r="J482" i="109"/>
  <c r="K481" i="109"/>
  <c r="J481" i="109"/>
  <c r="K480" i="109"/>
  <c r="J480" i="109"/>
  <c r="K479" i="109"/>
  <c r="J479" i="109"/>
  <c r="K478" i="109"/>
  <c r="J478" i="109"/>
  <c r="K477" i="109"/>
  <c r="J477" i="109"/>
  <c r="K476" i="109"/>
  <c r="J476" i="109"/>
  <c r="K475" i="109"/>
  <c r="J475" i="109"/>
  <c r="K474" i="109"/>
  <c r="J474" i="109"/>
  <c r="K473" i="109"/>
  <c r="J473" i="109"/>
  <c r="K472" i="109"/>
  <c r="J472" i="109"/>
  <c r="K471" i="109"/>
  <c r="J471" i="109"/>
  <c r="K470" i="109"/>
  <c r="J470" i="109"/>
  <c r="K469" i="109"/>
  <c r="J469" i="109"/>
  <c r="K468" i="109"/>
  <c r="J468" i="109"/>
  <c r="K467" i="109"/>
  <c r="J467" i="109"/>
  <c r="K466" i="109"/>
  <c r="J466" i="109"/>
  <c r="K465" i="109"/>
  <c r="J465" i="109"/>
  <c r="K464" i="109"/>
  <c r="J464" i="109"/>
  <c r="K463" i="109"/>
  <c r="J463" i="109"/>
  <c r="K462" i="109"/>
  <c r="J462" i="109"/>
  <c r="K461" i="109"/>
  <c r="J461" i="109"/>
  <c r="K460" i="109"/>
  <c r="J460" i="109"/>
  <c r="K459" i="109"/>
  <c r="J459" i="109"/>
  <c r="K458" i="109"/>
  <c r="J458" i="109"/>
  <c r="K457" i="109"/>
  <c r="J457" i="109"/>
  <c r="K456" i="109"/>
  <c r="J456" i="109"/>
  <c r="K455" i="109"/>
  <c r="J455" i="109"/>
  <c r="K454" i="109"/>
  <c r="J454" i="109"/>
  <c r="K453" i="109"/>
  <c r="J453" i="109"/>
  <c r="K452" i="109"/>
  <c r="J452" i="109"/>
  <c r="K451" i="109"/>
  <c r="J451" i="109"/>
  <c r="K450" i="109"/>
  <c r="J450" i="109"/>
  <c r="K449" i="109"/>
  <c r="J449" i="109"/>
  <c r="K448" i="109"/>
  <c r="J448" i="109"/>
  <c r="K447" i="109"/>
  <c r="J447" i="109"/>
  <c r="K446" i="109"/>
  <c r="J446" i="109"/>
  <c r="K445" i="109"/>
  <c r="J445" i="109"/>
  <c r="K444" i="109"/>
  <c r="J444" i="109"/>
  <c r="K443" i="109"/>
  <c r="J443" i="109"/>
  <c r="K442" i="109"/>
  <c r="J442" i="109"/>
  <c r="K441" i="109"/>
  <c r="J441" i="109"/>
  <c r="K440" i="109"/>
  <c r="J440" i="109"/>
  <c r="K439" i="109"/>
  <c r="J439" i="109"/>
  <c r="K438" i="109"/>
  <c r="J438" i="109"/>
  <c r="K437" i="109"/>
  <c r="J437" i="109"/>
  <c r="K436" i="109"/>
  <c r="J436" i="109"/>
  <c r="K435" i="109"/>
  <c r="J435" i="109"/>
  <c r="K434" i="109"/>
  <c r="J434" i="109"/>
  <c r="K433" i="109"/>
  <c r="J433" i="109"/>
  <c r="K432" i="109"/>
  <c r="J432" i="109"/>
  <c r="K431" i="109"/>
  <c r="J431" i="109"/>
  <c r="K430" i="109"/>
  <c r="J430" i="109"/>
  <c r="K429" i="109"/>
  <c r="J429" i="109"/>
  <c r="K428" i="109"/>
  <c r="J428" i="109"/>
  <c r="K427" i="109"/>
  <c r="J427" i="109"/>
  <c r="K426" i="109"/>
  <c r="J426" i="109"/>
  <c r="K425" i="109"/>
  <c r="J425" i="109"/>
  <c r="K424" i="109"/>
  <c r="J424" i="109"/>
  <c r="K423" i="109"/>
  <c r="J423" i="109"/>
  <c r="K422" i="109"/>
  <c r="J422" i="109"/>
  <c r="K421" i="109"/>
  <c r="J421" i="109"/>
  <c r="K420" i="109"/>
  <c r="J420" i="109"/>
  <c r="K419" i="109"/>
  <c r="J419" i="109"/>
  <c r="K418" i="109"/>
  <c r="J418" i="109"/>
  <c r="K417" i="109"/>
  <c r="J417" i="109"/>
  <c r="K416" i="109"/>
  <c r="J416" i="109"/>
  <c r="K415" i="109"/>
  <c r="J415" i="109"/>
  <c r="K414" i="109"/>
  <c r="J414" i="109"/>
  <c r="K413" i="109"/>
  <c r="J413" i="109"/>
  <c r="K412" i="109"/>
  <c r="J412" i="109"/>
  <c r="K411" i="109"/>
  <c r="J411" i="109"/>
  <c r="K410" i="109"/>
  <c r="J410" i="109"/>
  <c r="K409" i="109"/>
  <c r="J409" i="109"/>
  <c r="K408" i="109"/>
  <c r="J408" i="109"/>
  <c r="K407" i="109"/>
  <c r="J407" i="109"/>
  <c r="K406" i="109"/>
  <c r="J406" i="109"/>
  <c r="K405" i="109"/>
  <c r="J405" i="109"/>
  <c r="K404" i="109"/>
  <c r="J404" i="109"/>
  <c r="K403" i="109"/>
  <c r="J403" i="109"/>
  <c r="K402" i="109"/>
  <c r="J402" i="109"/>
  <c r="K401" i="109"/>
  <c r="J401" i="109"/>
  <c r="K400" i="109"/>
  <c r="J400" i="109"/>
  <c r="K399" i="109"/>
  <c r="J399" i="109"/>
  <c r="K398" i="109"/>
  <c r="J398" i="109"/>
  <c r="K397" i="109"/>
  <c r="J397" i="109"/>
  <c r="K396" i="109"/>
  <c r="J396" i="109"/>
  <c r="K395" i="109"/>
  <c r="J395" i="109"/>
  <c r="K394" i="109"/>
  <c r="J394" i="109"/>
  <c r="K393" i="109"/>
  <c r="J393" i="109"/>
  <c r="K392" i="109"/>
  <c r="J392" i="109"/>
  <c r="K391" i="109"/>
  <c r="J391" i="109"/>
  <c r="K390" i="109"/>
  <c r="J390" i="109"/>
  <c r="K389" i="109"/>
  <c r="J389" i="109"/>
  <c r="K388" i="109"/>
  <c r="J388" i="109"/>
  <c r="K387" i="109"/>
  <c r="J387" i="109"/>
  <c r="K386" i="109"/>
  <c r="J386" i="109"/>
  <c r="K385" i="109"/>
  <c r="J385" i="109"/>
  <c r="K384" i="109"/>
  <c r="J384" i="109"/>
  <c r="K383" i="109"/>
  <c r="J383" i="109"/>
  <c r="K382" i="109"/>
  <c r="J382" i="109"/>
  <c r="K381" i="109"/>
  <c r="J381" i="109"/>
  <c r="K380" i="109"/>
  <c r="J380" i="109"/>
  <c r="K379" i="109"/>
  <c r="J379" i="109"/>
  <c r="K378" i="109"/>
  <c r="J378" i="109"/>
  <c r="K377" i="109"/>
  <c r="J377" i="109"/>
  <c r="K376" i="109"/>
  <c r="J376" i="109"/>
  <c r="K375" i="109"/>
  <c r="J375" i="109"/>
  <c r="K374" i="109"/>
  <c r="J374" i="109"/>
  <c r="K373" i="109"/>
  <c r="J373" i="109"/>
  <c r="K372" i="109"/>
  <c r="J372" i="109"/>
  <c r="K371" i="109"/>
  <c r="J371" i="109"/>
  <c r="K370" i="109"/>
  <c r="J370" i="109"/>
  <c r="K369" i="109"/>
  <c r="J369" i="109"/>
  <c r="K368" i="109"/>
  <c r="J368" i="109"/>
  <c r="K367" i="109"/>
  <c r="J367" i="109"/>
  <c r="K366" i="109"/>
  <c r="J366" i="109"/>
  <c r="K365" i="109"/>
  <c r="J365" i="109"/>
  <c r="K364" i="109"/>
  <c r="J364" i="109"/>
  <c r="K363" i="109"/>
  <c r="J363" i="109"/>
  <c r="K362" i="109"/>
  <c r="J362" i="109"/>
  <c r="K361" i="109"/>
  <c r="J361" i="109"/>
  <c r="K360" i="109"/>
  <c r="J360" i="109"/>
  <c r="K359" i="109"/>
  <c r="J359" i="109"/>
  <c r="K358" i="109"/>
  <c r="J358" i="109"/>
  <c r="K357" i="109"/>
  <c r="J357" i="109"/>
  <c r="K356" i="109"/>
  <c r="J356" i="109"/>
  <c r="K355" i="109"/>
  <c r="J355" i="109"/>
  <c r="K354" i="109"/>
  <c r="J354" i="109"/>
  <c r="K353" i="109"/>
  <c r="J353" i="109"/>
  <c r="K352" i="109"/>
  <c r="J352" i="109"/>
  <c r="K351" i="109"/>
  <c r="J351" i="109"/>
  <c r="K350" i="109"/>
  <c r="J350" i="109"/>
  <c r="K349" i="109"/>
  <c r="J349" i="109"/>
  <c r="K348" i="109"/>
  <c r="J348" i="109"/>
  <c r="K347" i="109"/>
  <c r="J347" i="109"/>
  <c r="K346" i="109"/>
  <c r="J346" i="109"/>
  <c r="K345" i="109"/>
  <c r="J345" i="109"/>
  <c r="K344" i="109"/>
  <c r="J344" i="109"/>
  <c r="K343" i="109"/>
  <c r="J343" i="109"/>
  <c r="K342" i="109"/>
  <c r="J342" i="109"/>
  <c r="K341" i="109"/>
  <c r="J341" i="109"/>
  <c r="K340" i="109"/>
  <c r="J340" i="109"/>
  <c r="K339" i="109"/>
  <c r="J339" i="109"/>
  <c r="K338" i="109"/>
  <c r="J338" i="109"/>
  <c r="K337" i="109"/>
  <c r="J337" i="109"/>
  <c r="K336" i="109"/>
  <c r="J336" i="109"/>
  <c r="K335" i="109"/>
  <c r="J335" i="109"/>
  <c r="K334" i="109"/>
  <c r="J334" i="109"/>
  <c r="K333" i="109"/>
  <c r="J333" i="109"/>
  <c r="K332" i="109"/>
  <c r="J332" i="109"/>
  <c r="K331" i="109"/>
  <c r="J331" i="109"/>
  <c r="K330" i="109"/>
  <c r="J330" i="109"/>
  <c r="K329" i="109"/>
  <c r="J329" i="109"/>
  <c r="K328" i="109"/>
  <c r="J328" i="109"/>
  <c r="K327" i="109"/>
  <c r="J327" i="109"/>
  <c r="K326" i="109"/>
  <c r="J326" i="109"/>
  <c r="K325" i="109"/>
  <c r="J325" i="109"/>
  <c r="K324" i="109"/>
  <c r="J324" i="109"/>
  <c r="K323" i="109"/>
  <c r="J323" i="109"/>
  <c r="K322" i="109"/>
  <c r="J322" i="109"/>
  <c r="K321" i="109"/>
  <c r="J321" i="109"/>
  <c r="K320" i="109"/>
  <c r="J320" i="109"/>
  <c r="K319" i="109"/>
  <c r="J319" i="109"/>
  <c r="K318" i="109"/>
  <c r="J318" i="109"/>
  <c r="K317" i="109"/>
  <c r="J317" i="109"/>
  <c r="K316" i="109"/>
  <c r="J316" i="109"/>
  <c r="K315" i="109"/>
  <c r="J315" i="109"/>
  <c r="K314" i="109"/>
  <c r="J314" i="109"/>
  <c r="K313" i="109"/>
  <c r="J313" i="109"/>
  <c r="K312" i="109"/>
  <c r="J312" i="109"/>
  <c r="K311" i="109"/>
  <c r="J311" i="109"/>
  <c r="K310" i="109"/>
  <c r="J310" i="109"/>
  <c r="K309" i="109"/>
  <c r="J309" i="109"/>
  <c r="K308" i="109"/>
  <c r="J308" i="109"/>
  <c r="K307" i="109"/>
  <c r="J307" i="109"/>
  <c r="K306" i="109"/>
  <c r="J306" i="109"/>
  <c r="K305" i="109"/>
  <c r="J305" i="109"/>
  <c r="K304" i="109"/>
  <c r="J304" i="109"/>
  <c r="K303" i="109"/>
  <c r="J303" i="109"/>
  <c r="K302" i="109"/>
  <c r="J302" i="109"/>
  <c r="K301" i="109"/>
  <c r="J301" i="109"/>
  <c r="K300" i="109"/>
  <c r="J300" i="109"/>
  <c r="K299" i="109"/>
  <c r="J299" i="109"/>
  <c r="K298" i="109"/>
  <c r="J298" i="109"/>
  <c r="K297" i="109"/>
  <c r="J297" i="109"/>
  <c r="K296" i="109"/>
  <c r="J296" i="109"/>
  <c r="K295" i="109"/>
  <c r="J295" i="109"/>
  <c r="K294" i="109"/>
  <c r="J294" i="109"/>
  <c r="K293" i="109"/>
  <c r="J293" i="109"/>
  <c r="K292" i="109"/>
  <c r="J292" i="109"/>
  <c r="K291" i="109"/>
  <c r="J291" i="109"/>
  <c r="K290" i="109"/>
  <c r="J290" i="109"/>
  <c r="K289" i="109"/>
  <c r="J289" i="109"/>
  <c r="K288" i="109"/>
  <c r="J288" i="109"/>
  <c r="K287" i="109"/>
  <c r="J287" i="109"/>
  <c r="K286" i="109"/>
  <c r="J286" i="109"/>
  <c r="K285" i="109"/>
  <c r="J285" i="109"/>
  <c r="K284" i="109"/>
  <c r="J284" i="109"/>
  <c r="K283" i="109"/>
  <c r="J283" i="109"/>
  <c r="K282" i="109"/>
  <c r="J282" i="109"/>
  <c r="K281" i="109"/>
  <c r="J281" i="109"/>
  <c r="K280" i="109"/>
  <c r="J280" i="109"/>
  <c r="K279" i="109"/>
  <c r="J279" i="109"/>
  <c r="K278" i="109"/>
  <c r="J278" i="109"/>
  <c r="K277" i="109"/>
  <c r="J277" i="109"/>
  <c r="K276" i="109"/>
  <c r="J276" i="109"/>
  <c r="K275" i="109"/>
  <c r="J275" i="109"/>
  <c r="K274" i="109"/>
  <c r="J274" i="109"/>
  <c r="K273" i="109"/>
  <c r="J273" i="109"/>
  <c r="K272" i="109"/>
  <c r="J272" i="109"/>
  <c r="K271" i="109"/>
  <c r="J271" i="109"/>
  <c r="K270" i="109"/>
  <c r="J270" i="109"/>
  <c r="K269" i="109"/>
  <c r="J269" i="109"/>
  <c r="K268" i="109"/>
  <c r="J268" i="109"/>
  <c r="K267" i="109"/>
  <c r="J267" i="109"/>
  <c r="K266" i="109"/>
  <c r="J266" i="109"/>
  <c r="K265" i="109"/>
  <c r="J265" i="109"/>
  <c r="K264" i="109"/>
  <c r="J264" i="109"/>
  <c r="K263" i="109"/>
  <c r="J263" i="109"/>
  <c r="K262" i="109"/>
  <c r="J262" i="109"/>
  <c r="K261" i="109"/>
  <c r="J261" i="109"/>
  <c r="K260" i="109"/>
  <c r="J260" i="109"/>
  <c r="K259" i="109"/>
  <c r="J259" i="109"/>
  <c r="K258" i="109"/>
  <c r="J258" i="109"/>
  <c r="K257" i="109"/>
  <c r="J257" i="109"/>
  <c r="K256" i="109"/>
  <c r="J256" i="109"/>
  <c r="K255" i="109"/>
  <c r="J255" i="109"/>
  <c r="K254" i="109"/>
  <c r="J254" i="109"/>
  <c r="K253" i="109"/>
  <c r="J253" i="109"/>
  <c r="K252" i="109"/>
  <c r="J252" i="109"/>
  <c r="K251" i="109"/>
  <c r="J251" i="109"/>
  <c r="K250" i="109"/>
  <c r="J250" i="109"/>
  <c r="K249" i="109"/>
  <c r="J249" i="109"/>
  <c r="K248" i="109"/>
  <c r="J248" i="109"/>
  <c r="K247" i="109"/>
  <c r="J247" i="109"/>
  <c r="K246" i="109"/>
  <c r="J246" i="109"/>
  <c r="K245" i="109"/>
  <c r="J245" i="109"/>
  <c r="K244" i="109"/>
  <c r="J244" i="109"/>
  <c r="K243" i="109"/>
  <c r="J243" i="109"/>
  <c r="K242" i="109"/>
  <c r="J242" i="109"/>
  <c r="K241" i="109"/>
  <c r="J241" i="109"/>
  <c r="K240" i="109"/>
  <c r="J240" i="109"/>
  <c r="K239" i="109"/>
  <c r="J239" i="109"/>
  <c r="K238" i="109"/>
  <c r="J238" i="109"/>
  <c r="K237" i="109"/>
  <c r="J237" i="109"/>
  <c r="K236" i="109"/>
  <c r="J236" i="109"/>
  <c r="K235" i="109"/>
  <c r="J235" i="109"/>
  <c r="K234" i="109"/>
  <c r="J234" i="109"/>
  <c r="K233" i="109"/>
  <c r="J233" i="109"/>
  <c r="K232" i="109"/>
  <c r="J232" i="109"/>
  <c r="K231" i="109"/>
  <c r="J231" i="109"/>
  <c r="K230" i="109"/>
  <c r="J230" i="109"/>
  <c r="K229" i="109"/>
  <c r="J229" i="109"/>
  <c r="K228" i="109"/>
  <c r="J228" i="109"/>
  <c r="K227" i="109"/>
  <c r="J227" i="109"/>
  <c r="K226" i="109"/>
  <c r="J226" i="109"/>
  <c r="K225" i="109"/>
  <c r="J225" i="109"/>
  <c r="K224" i="109"/>
  <c r="J224" i="109"/>
  <c r="K223" i="109"/>
  <c r="J223" i="109"/>
  <c r="K222" i="109"/>
  <c r="J222" i="109"/>
  <c r="K221" i="109"/>
  <c r="J221" i="109"/>
  <c r="K220" i="109"/>
  <c r="J220" i="109"/>
  <c r="K219" i="109"/>
  <c r="J219" i="109"/>
  <c r="K218" i="109"/>
  <c r="J218" i="109"/>
  <c r="K217" i="109"/>
  <c r="J217" i="109"/>
  <c r="K216" i="109"/>
  <c r="J216" i="109"/>
  <c r="K215" i="109"/>
  <c r="J215" i="109"/>
  <c r="K214" i="109"/>
  <c r="J214" i="109"/>
  <c r="K213" i="109"/>
  <c r="J213" i="109"/>
  <c r="K212" i="109"/>
  <c r="J212" i="109"/>
  <c r="K211" i="109"/>
  <c r="J211" i="109"/>
  <c r="K210" i="109"/>
  <c r="J210" i="109"/>
  <c r="K209" i="109"/>
  <c r="J209" i="109"/>
  <c r="K208" i="109"/>
  <c r="J208" i="109"/>
  <c r="K207" i="109"/>
  <c r="J207" i="109"/>
  <c r="K206" i="109"/>
  <c r="J206" i="109"/>
  <c r="K205" i="109"/>
  <c r="J205" i="109"/>
  <c r="K204" i="109"/>
  <c r="J204" i="109"/>
  <c r="K203" i="109"/>
  <c r="J203" i="109"/>
  <c r="K202" i="109"/>
  <c r="J202" i="109"/>
  <c r="K201" i="109"/>
  <c r="J201" i="109"/>
  <c r="K200" i="109"/>
  <c r="J200" i="109"/>
  <c r="K199" i="109"/>
  <c r="J199" i="109"/>
  <c r="K198" i="109"/>
  <c r="J198" i="109"/>
  <c r="K197" i="109"/>
  <c r="J197" i="109"/>
  <c r="K196" i="109"/>
  <c r="J196" i="109"/>
  <c r="K195" i="109"/>
  <c r="J195" i="109"/>
  <c r="K194" i="109"/>
  <c r="J194" i="109"/>
  <c r="K193" i="109"/>
  <c r="J193" i="109"/>
  <c r="K192" i="109"/>
  <c r="J192" i="109"/>
  <c r="K191" i="109"/>
  <c r="J191" i="109"/>
  <c r="K190" i="109"/>
  <c r="J190" i="109"/>
  <c r="K189" i="109"/>
  <c r="J189" i="109"/>
  <c r="K188" i="109"/>
  <c r="J188" i="109"/>
  <c r="K187" i="109"/>
  <c r="J187" i="109"/>
  <c r="K186" i="109"/>
  <c r="J186" i="109"/>
  <c r="K185" i="109"/>
  <c r="J185" i="109"/>
  <c r="K184" i="109"/>
  <c r="J184" i="109"/>
  <c r="K183" i="109"/>
  <c r="J183" i="109"/>
  <c r="K182" i="109"/>
  <c r="J182" i="109"/>
  <c r="K181" i="109"/>
  <c r="J181" i="109"/>
  <c r="K180" i="109"/>
  <c r="J180" i="109"/>
  <c r="K179" i="109"/>
  <c r="J179" i="109"/>
  <c r="K178" i="109"/>
  <c r="J178" i="109"/>
  <c r="K177" i="109"/>
  <c r="J177" i="109"/>
  <c r="K176" i="109"/>
  <c r="J176" i="109"/>
  <c r="K175" i="109"/>
  <c r="J175" i="109"/>
  <c r="K174" i="109"/>
  <c r="J174" i="109"/>
  <c r="K173" i="109"/>
  <c r="J173" i="109"/>
  <c r="K172" i="109"/>
  <c r="J172" i="109"/>
  <c r="K171" i="109"/>
  <c r="J171" i="109"/>
  <c r="K170" i="109"/>
  <c r="J170" i="109"/>
  <c r="K169" i="109"/>
  <c r="J169" i="109"/>
  <c r="K168" i="109"/>
  <c r="J168" i="109"/>
  <c r="K167" i="109"/>
  <c r="J167" i="109"/>
  <c r="K166" i="109"/>
  <c r="J166" i="109"/>
  <c r="K165" i="109"/>
  <c r="J165" i="109"/>
  <c r="K164" i="109"/>
  <c r="J164" i="109"/>
  <c r="K163" i="109"/>
  <c r="J163" i="109"/>
  <c r="K162" i="109"/>
  <c r="J162" i="109"/>
  <c r="K161" i="109"/>
  <c r="J161" i="109"/>
  <c r="K160" i="109"/>
  <c r="J160" i="109"/>
  <c r="K159" i="109"/>
  <c r="J159" i="109"/>
  <c r="K158" i="109"/>
  <c r="J158" i="109"/>
  <c r="K157" i="109"/>
  <c r="J157" i="109"/>
  <c r="K156" i="109"/>
  <c r="J156" i="109"/>
  <c r="K155" i="109"/>
  <c r="J155" i="109"/>
  <c r="K154" i="109"/>
  <c r="J154" i="109"/>
  <c r="K153" i="109"/>
  <c r="J153" i="109"/>
  <c r="K152" i="109"/>
  <c r="J152" i="109"/>
  <c r="K151" i="109"/>
  <c r="J151" i="109"/>
  <c r="K150" i="109"/>
  <c r="J150" i="109"/>
  <c r="K149" i="109"/>
  <c r="J149" i="109"/>
  <c r="K148" i="109"/>
  <c r="J148" i="109"/>
  <c r="K147" i="109"/>
  <c r="J147" i="109"/>
  <c r="K146" i="109"/>
  <c r="J146" i="109"/>
  <c r="K145" i="109"/>
  <c r="J145" i="109"/>
  <c r="K144" i="109"/>
  <c r="J144" i="109"/>
  <c r="K143" i="109"/>
  <c r="J143" i="109"/>
  <c r="K142" i="109"/>
  <c r="J142" i="109"/>
  <c r="K141" i="109"/>
  <c r="J141" i="109"/>
  <c r="K140" i="109"/>
  <c r="J140" i="109"/>
  <c r="K139" i="109"/>
  <c r="J139" i="109"/>
  <c r="K138" i="109"/>
  <c r="J138" i="109"/>
  <c r="K137" i="109"/>
  <c r="J137" i="109"/>
  <c r="K136" i="109"/>
  <c r="J136" i="109"/>
  <c r="K135" i="109"/>
  <c r="J135" i="109"/>
  <c r="K134" i="109"/>
  <c r="J134" i="109"/>
  <c r="K133" i="109"/>
  <c r="J133" i="109"/>
  <c r="K132" i="109"/>
  <c r="J132" i="109"/>
  <c r="K131" i="109"/>
  <c r="J131" i="109"/>
  <c r="K130" i="109"/>
  <c r="J130" i="109"/>
  <c r="K129" i="109"/>
  <c r="J129" i="109"/>
  <c r="K128" i="109"/>
  <c r="J128" i="109"/>
  <c r="K127" i="109"/>
  <c r="J127" i="109"/>
  <c r="K126" i="109"/>
  <c r="J126" i="109"/>
  <c r="K125" i="109"/>
  <c r="J125" i="109"/>
  <c r="K124" i="109"/>
  <c r="J124" i="109"/>
  <c r="K123" i="109"/>
  <c r="J123" i="109"/>
  <c r="K122" i="109"/>
  <c r="J122" i="109"/>
  <c r="K121" i="109"/>
  <c r="J121" i="109"/>
  <c r="K120" i="109"/>
  <c r="J120" i="109"/>
  <c r="K119" i="109"/>
  <c r="J119" i="109"/>
  <c r="K118" i="109"/>
  <c r="J118" i="109"/>
  <c r="K117" i="109"/>
  <c r="J117" i="109"/>
  <c r="K116" i="109"/>
  <c r="J116" i="109"/>
  <c r="K115" i="109"/>
  <c r="J115" i="109"/>
  <c r="K114" i="109"/>
  <c r="J114" i="109"/>
  <c r="K113" i="109"/>
  <c r="J113" i="109"/>
  <c r="K112" i="109"/>
  <c r="J112" i="109"/>
  <c r="K111" i="109"/>
  <c r="J111" i="109"/>
  <c r="K110" i="109"/>
  <c r="J110" i="109"/>
  <c r="K109" i="109"/>
  <c r="J109" i="109"/>
  <c r="K108" i="109"/>
  <c r="J108" i="109"/>
  <c r="K107" i="109"/>
  <c r="J107" i="109"/>
  <c r="K106" i="109"/>
  <c r="J106" i="109"/>
  <c r="K105" i="109"/>
  <c r="J105" i="109"/>
  <c r="K104" i="109"/>
  <c r="J104" i="109"/>
  <c r="K103" i="109"/>
  <c r="J103" i="109"/>
  <c r="K102" i="109"/>
  <c r="J102" i="109"/>
  <c r="K101" i="109"/>
  <c r="J101" i="109"/>
  <c r="K100" i="109"/>
  <c r="J100" i="109"/>
  <c r="K99" i="109"/>
  <c r="J99" i="109"/>
  <c r="K98" i="109"/>
  <c r="J98" i="109"/>
  <c r="K97" i="109"/>
  <c r="J97" i="109"/>
  <c r="K96" i="109"/>
  <c r="J96" i="109"/>
  <c r="K95" i="109"/>
  <c r="J95" i="109"/>
  <c r="K94" i="109"/>
  <c r="J94" i="109"/>
  <c r="K93" i="109"/>
  <c r="J93" i="109"/>
  <c r="K92" i="109"/>
  <c r="J92" i="109"/>
  <c r="K91" i="109"/>
  <c r="J91" i="109"/>
  <c r="K90" i="109"/>
  <c r="J90" i="109"/>
  <c r="K89" i="109"/>
  <c r="J89" i="109"/>
  <c r="K88" i="109"/>
  <c r="J88" i="109"/>
  <c r="K87" i="109"/>
  <c r="J87" i="109"/>
  <c r="K86" i="109"/>
  <c r="J86" i="109"/>
  <c r="K85" i="109"/>
  <c r="J85" i="109"/>
  <c r="K84" i="109"/>
  <c r="J84" i="109"/>
  <c r="K83" i="109"/>
  <c r="J83" i="109"/>
  <c r="K82" i="109"/>
  <c r="J82" i="109"/>
  <c r="K81" i="109"/>
  <c r="J81" i="109"/>
  <c r="K80" i="109"/>
  <c r="J80" i="109"/>
  <c r="K79" i="109"/>
  <c r="J79" i="109"/>
  <c r="K78" i="109"/>
  <c r="J78" i="109"/>
  <c r="K77" i="109"/>
  <c r="J77" i="109"/>
  <c r="K76" i="109"/>
  <c r="J76" i="109"/>
  <c r="K75" i="109"/>
  <c r="J75" i="109"/>
  <c r="K74" i="109"/>
  <c r="J74" i="109"/>
  <c r="K73" i="109"/>
  <c r="J73" i="109"/>
  <c r="K72" i="109"/>
  <c r="J72" i="109"/>
  <c r="K71" i="109"/>
  <c r="J71" i="109"/>
  <c r="K70" i="109"/>
  <c r="J70" i="109"/>
  <c r="K69" i="109"/>
  <c r="J69" i="109"/>
  <c r="K68" i="109"/>
  <c r="J68" i="109"/>
  <c r="K67" i="109"/>
  <c r="J67" i="109"/>
  <c r="K66" i="109"/>
  <c r="J66" i="109"/>
  <c r="K65" i="109"/>
  <c r="J65" i="109"/>
  <c r="K64" i="109"/>
  <c r="J64" i="109"/>
  <c r="K63" i="109"/>
  <c r="J63" i="109"/>
  <c r="K62" i="109"/>
  <c r="J62" i="109"/>
  <c r="K61" i="109"/>
  <c r="J61" i="109"/>
  <c r="K60" i="109"/>
  <c r="J60" i="109"/>
  <c r="K59" i="109"/>
  <c r="J59" i="109"/>
  <c r="K58" i="109"/>
  <c r="J58" i="109"/>
  <c r="K57" i="109"/>
  <c r="J57" i="109"/>
  <c r="K56" i="109"/>
  <c r="J56" i="109"/>
  <c r="K55" i="109"/>
  <c r="J55" i="109"/>
  <c r="K54" i="109"/>
  <c r="J54" i="109"/>
  <c r="K53" i="109"/>
  <c r="J53" i="109"/>
  <c r="K52" i="109"/>
  <c r="J52" i="109"/>
  <c r="K51" i="109"/>
  <c r="J51" i="109"/>
  <c r="K50" i="109"/>
  <c r="J50" i="109"/>
  <c r="K49" i="109"/>
  <c r="J49" i="109"/>
  <c r="K48" i="109"/>
  <c r="J48" i="109"/>
  <c r="K47" i="109"/>
  <c r="J47" i="109"/>
  <c r="K46" i="109"/>
  <c r="J46" i="109"/>
  <c r="K45" i="109"/>
  <c r="J45" i="109"/>
  <c r="K44" i="109"/>
  <c r="J44" i="109"/>
  <c r="K43" i="109"/>
  <c r="J43" i="109"/>
  <c r="K42" i="109"/>
  <c r="J42" i="109"/>
  <c r="K41" i="109"/>
  <c r="J41" i="109"/>
  <c r="K40" i="109"/>
  <c r="J40" i="109"/>
  <c r="K39" i="109"/>
  <c r="J39" i="109"/>
  <c r="K38" i="109"/>
  <c r="J38" i="109"/>
  <c r="K37" i="109"/>
  <c r="J37" i="109"/>
  <c r="K36" i="109"/>
  <c r="J36" i="109"/>
  <c r="K35" i="109"/>
  <c r="J35" i="109"/>
  <c r="K34" i="109"/>
  <c r="J34" i="109"/>
  <c r="K33" i="109"/>
  <c r="J33" i="109"/>
  <c r="K32" i="109"/>
  <c r="J32" i="109"/>
  <c r="K31" i="109"/>
  <c r="J31" i="109"/>
  <c r="K30" i="109"/>
  <c r="J30" i="109"/>
  <c r="K29" i="109"/>
  <c r="J29" i="109"/>
  <c r="K28" i="109"/>
  <c r="J28" i="109"/>
  <c r="K27" i="109"/>
  <c r="J27" i="109"/>
  <c r="K26" i="109"/>
  <c r="J26" i="109"/>
  <c r="K25" i="109"/>
  <c r="J25" i="109"/>
  <c r="K24" i="109"/>
  <c r="J24" i="109"/>
  <c r="K23" i="109"/>
  <c r="J23" i="109"/>
  <c r="K22" i="109"/>
  <c r="J22" i="109"/>
  <c r="K21" i="109"/>
  <c r="J21" i="109"/>
  <c r="K20" i="109"/>
  <c r="J20" i="109"/>
  <c r="K19" i="109"/>
  <c r="J19" i="109"/>
  <c r="K18" i="109"/>
  <c r="J18" i="109"/>
  <c r="K17" i="109"/>
  <c r="J17" i="109"/>
  <c r="K16" i="109"/>
  <c r="J16" i="109"/>
  <c r="K15" i="109"/>
  <c r="J15" i="109"/>
  <c r="K14" i="109"/>
  <c r="J14" i="109"/>
  <c r="K13" i="109"/>
  <c r="J13" i="109"/>
  <c r="K12" i="109"/>
  <c r="J12" i="109"/>
  <c r="K11" i="109"/>
  <c r="J11" i="109"/>
  <c r="K10" i="109"/>
  <c r="J10" i="109"/>
  <c r="K9" i="109"/>
  <c r="J9" i="109"/>
  <c r="K8" i="109"/>
  <c r="J8" i="109"/>
  <c r="K7" i="109"/>
  <c r="J7" i="109"/>
  <c r="K6" i="109"/>
  <c r="J6" i="109"/>
  <c r="K5" i="109"/>
  <c r="J5" i="109"/>
  <c r="K4" i="109"/>
  <c r="J4" i="109"/>
  <c r="C21" i="45" l="1"/>
  <c r="C37" i="45" s="1"/>
  <c r="D59" i="45" s="1"/>
  <c r="I9" i="97" s="1"/>
  <c r="C18" i="15"/>
  <c r="B24" i="15" s="1"/>
  <c r="B25" i="15" s="1"/>
  <c r="I21" i="97"/>
  <c r="F4" i="97"/>
  <c r="F24" i="97"/>
  <c r="F36" i="97"/>
  <c r="F48" i="97"/>
  <c r="F56" i="97"/>
  <c r="F64" i="97"/>
  <c r="F72" i="97"/>
  <c r="F84" i="97"/>
  <c r="F17" i="97"/>
  <c r="F33" i="97"/>
  <c r="F45" i="97"/>
  <c r="F57" i="97"/>
  <c r="F65" i="97"/>
  <c r="C9" i="88" s="1"/>
  <c r="G9" i="88" s="1"/>
  <c r="G13" i="88" s="1"/>
  <c r="F77" i="97"/>
  <c r="F38" i="97"/>
  <c r="F54" i="97"/>
  <c r="F66" i="97"/>
  <c r="F78" i="97"/>
  <c r="F5" i="97"/>
  <c r="F9" i="97"/>
  <c r="F25" i="97"/>
  <c r="F37" i="97"/>
  <c r="F53" i="97"/>
  <c r="F69" i="97"/>
  <c r="F81" i="97"/>
  <c r="F50" i="97"/>
  <c r="F70" i="97"/>
  <c r="F6" i="97"/>
  <c r="F10" i="97"/>
  <c r="F14" i="97"/>
  <c r="F18" i="97"/>
  <c r="F22" i="97"/>
  <c r="F26" i="97"/>
  <c r="F30" i="97"/>
  <c r="F34" i="97"/>
  <c r="F46" i="97"/>
  <c r="F62" i="97"/>
  <c r="F82" i="97"/>
  <c r="F7" i="97"/>
  <c r="F11" i="97"/>
  <c r="F15" i="97"/>
  <c r="F19" i="97"/>
  <c r="F23" i="97"/>
  <c r="F27" i="97"/>
  <c r="F31" i="97"/>
  <c r="F35" i="97"/>
  <c r="F39" i="97"/>
  <c r="F43" i="97"/>
  <c r="F47" i="97"/>
  <c r="F51" i="97"/>
  <c r="F55" i="97"/>
  <c r="F59" i="97"/>
  <c r="F63" i="97"/>
  <c r="F67" i="97"/>
  <c r="C8" i="70" s="1"/>
  <c r="G8" i="70" s="1"/>
  <c r="G14" i="70" s="1"/>
  <c r="F71" i="97"/>
  <c r="F75" i="97"/>
  <c r="F79" i="97"/>
  <c r="F83" i="97"/>
  <c r="F8" i="97"/>
  <c r="F12" i="97"/>
  <c r="F16" i="97"/>
  <c r="F20" i="97"/>
  <c r="F28" i="97"/>
  <c r="F32" i="97"/>
  <c r="F40" i="97"/>
  <c r="F44" i="97"/>
  <c r="F52" i="97"/>
  <c r="F60" i="97"/>
  <c r="F68" i="97"/>
  <c r="F76" i="97"/>
  <c r="F80" i="97"/>
  <c r="F13" i="97"/>
  <c r="F21" i="97"/>
  <c r="F29" i="97"/>
  <c r="F41" i="97"/>
  <c r="F49" i="97"/>
  <c r="F61" i="97"/>
  <c r="F73" i="97"/>
  <c r="F42" i="97"/>
  <c r="F58" i="97"/>
  <c r="F74" i="97"/>
  <c r="C25" i="79"/>
  <c r="I84" i="97" s="1"/>
  <c r="G16" i="2"/>
  <c r="C31" i="41"/>
  <c r="I73" i="97" s="1"/>
  <c r="C21" i="56"/>
  <c r="C16" i="99"/>
  <c r="C21" i="2"/>
  <c r="Q39" i="59"/>
  <c r="K43" i="86"/>
  <c r="C22" i="59"/>
  <c r="K5" i="86"/>
  <c r="K8" i="86" s="1"/>
  <c r="K9" i="86" s="1"/>
  <c r="C30" i="70"/>
  <c r="I67" i="97" s="1"/>
  <c r="I31" i="97"/>
  <c r="C15" i="98"/>
  <c r="G16" i="108"/>
  <c r="A3" i="67"/>
  <c r="A3" i="91"/>
  <c r="A2" i="105"/>
  <c r="A3" i="103"/>
  <c r="A3" i="29"/>
  <c r="A3" i="108"/>
  <c r="I9" i="2"/>
  <c r="I16" i="2" s="1"/>
  <c r="A3" i="22"/>
  <c r="A37" i="22" s="1"/>
  <c r="A3" i="25"/>
  <c r="A3" i="31" s="1"/>
  <c r="C21" i="108"/>
  <c r="Q10" i="59"/>
  <c r="Q23" i="59" s="1"/>
  <c r="C38" i="59"/>
  <c r="C40" i="59" s="1"/>
  <c r="L16" i="86"/>
  <c r="L17" i="86" s="1"/>
  <c r="L18" i="86" s="1"/>
  <c r="L19" i="86" s="1"/>
  <c r="L20" i="86" s="1"/>
  <c r="L21" i="86" s="1"/>
  <c r="L22" i="86" s="1"/>
  <c r="L23" i="86" s="1"/>
  <c r="L24" i="86" s="1"/>
  <c r="L25" i="86" s="1"/>
  <c r="L26" i="86" s="1"/>
  <c r="L27" i="86" s="1"/>
  <c r="L28" i="86" s="1"/>
  <c r="L29" i="86" s="1"/>
  <c r="L30" i="86" s="1"/>
  <c r="L31" i="86" s="1"/>
  <c r="L32" i="86" s="1"/>
  <c r="L33" i="86" s="1"/>
  <c r="L34" i="86" s="1"/>
  <c r="L35" i="86" s="1"/>
  <c r="L36" i="86" s="1"/>
  <c r="L37" i="86" s="1"/>
  <c r="L38" i="86" s="1"/>
  <c r="L39" i="86" s="1"/>
  <c r="L40" i="86" s="1"/>
  <c r="L41" i="86" s="1"/>
  <c r="L42" i="86" s="1"/>
  <c r="C16" i="93"/>
  <c r="E25" i="13"/>
  <c r="G5" i="93"/>
  <c r="I4" i="93"/>
  <c r="C30" i="15" l="1"/>
  <c r="L43" i="86"/>
  <c r="L44" i="86" s="1"/>
  <c r="L45" i="86" s="1"/>
  <c r="L46" i="86" s="1"/>
  <c r="L47" i="86" s="1"/>
  <c r="L48" i="86" s="1"/>
  <c r="L49" i="86" s="1"/>
  <c r="L50" i="86" s="1"/>
  <c r="L51" i="86" s="1"/>
  <c r="L52" i="86" s="1"/>
  <c r="L53" i="86" s="1"/>
  <c r="L54" i="86" s="1"/>
  <c r="L55" i="86" s="1"/>
  <c r="L56" i="86" s="1"/>
  <c r="L57" i="86" s="1"/>
  <c r="L58" i="86" s="1"/>
  <c r="L59" i="86" s="1"/>
  <c r="L60" i="86" s="1"/>
  <c r="L61" i="86" s="1"/>
  <c r="L62" i="86" s="1"/>
  <c r="L63" i="86" s="1"/>
  <c r="L64" i="86" s="1"/>
  <c r="C11" i="86" s="1"/>
  <c r="C16" i="86" s="1"/>
  <c r="C18" i="86" s="1"/>
  <c r="F1034" i="97"/>
  <c r="F1042" i="97" s="1"/>
  <c r="F87" i="97"/>
  <c r="F89" i="97" s="1"/>
  <c r="C20" i="40"/>
  <c r="F20" i="40" s="1"/>
  <c r="F24" i="40" s="1"/>
  <c r="C9" i="103"/>
  <c r="F9" i="103" s="1"/>
  <c r="F13" i="103" s="1"/>
  <c r="C9" i="89"/>
  <c r="G9" i="89" s="1"/>
  <c r="G12" i="89" s="1"/>
  <c r="J64" i="97"/>
  <c r="C9" i="60"/>
  <c r="G9" i="60" s="1"/>
  <c r="G17" i="60" s="1"/>
  <c r="C20" i="33"/>
  <c r="F20" i="33" s="1"/>
  <c r="F24" i="33" s="1"/>
  <c r="C20" i="51"/>
  <c r="F20" i="51" s="1"/>
  <c r="F24" i="51" s="1"/>
  <c r="J6" i="97"/>
  <c r="C9" i="65"/>
  <c r="C20" i="65" s="1"/>
  <c r="C9" i="91"/>
  <c r="J78" i="97"/>
  <c r="C9" i="18"/>
  <c r="F9" i="18" s="1"/>
  <c r="F16" i="18" s="1"/>
  <c r="J62" i="97"/>
  <c r="C9" i="107"/>
  <c r="G9" i="107" s="1"/>
  <c r="G16" i="107" s="1"/>
  <c r="C9" i="24"/>
  <c r="F9" i="24" s="1"/>
  <c r="F13" i="24" s="1"/>
  <c r="C9" i="25"/>
  <c r="F9" i="25" s="1"/>
  <c r="F17" i="25" s="1"/>
  <c r="C7" i="79"/>
  <c r="G7" i="79" s="1"/>
  <c r="G11" i="79" s="1"/>
  <c r="J83" i="97"/>
  <c r="C9" i="48"/>
  <c r="F9" i="48" s="1"/>
  <c r="F15" i="48" s="1"/>
  <c r="J82" i="97"/>
  <c r="C8" i="105"/>
  <c r="H11" i="105" s="1"/>
  <c r="H23" i="105" s="1"/>
  <c r="J77" i="97"/>
  <c r="B9" i="104"/>
  <c r="F9" i="104" s="1"/>
  <c r="F16" i="104" s="1"/>
  <c r="C10" i="22"/>
  <c r="F10" i="22" s="1"/>
  <c r="F14" i="22" s="1"/>
  <c r="F34" i="22" s="1"/>
  <c r="F39" i="22" s="1"/>
  <c r="C9" i="51"/>
  <c r="F9" i="51" s="1"/>
  <c r="F13" i="51" s="1"/>
  <c r="J29" i="97"/>
  <c r="C12" i="3"/>
  <c r="G12" i="3" s="1"/>
  <c r="G17" i="3" s="1"/>
  <c r="C10" i="21"/>
  <c r="B24" i="101"/>
  <c r="F24" i="101" s="1"/>
  <c r="F32" i="101" s="1"/>
  <c r="C9" i="40"/>
  <c r="F9" i="40" s="1"/>
  <c r="F13" i="40" s="1"/>
  <c r="A3" i="95"/>
  <c r="A3" i="96"/>
  <c r="A3" i="71"/>
  <c r="A3" i="84"/>
  <c r="J65" i="97"/>
  <c r="C9" i="67"/>
  <c r="F9" i="67" s="1"/>
  <c r="F13" i="67" s="1"/>
  <c r="C9" i="15"/>
  <c r="G9" i="15" s="1"/>
  <c r="G16" i="15" s="1"/>
  <c r="C9" i="34"/>
  <c r="F9" i="34" s="1"/>
  <c r="F13" i="34" s="1"/>
  <c r="J31" i="97"/>
  <c r="C9" i="21"/>
  <c r="B24" i="100"/>
  <c r="F24" i="100" s="1"/>
  <c r="F32" i="100" s="1"/>
  <c r="C9" i="33"/>
  <c r="F9" i="33" s="1"/>
  <c r="F13" i="33" s="1"/>
  <c r="C11" i="21"/>
  <c r="B24" i="102"/>
  <c r="F24" i="102" s="1"/>
  <c r="F32" i="102" s="1"/>
  <c r="C9" i="35"/>
  <c r="F9" i="35" s="1"/>
  <c r="F13" i="35" s="1"/>
  <c r="A3" i="79"/>
  <c r="A3" i="48"/>
  <c r="J67" i="97"/>
  <c r="C9" i="87"/>
  <c r="G9" i="87" s="1"/>
  <c r="G12" i="87" s="1"/>
  <c r="J66" i="97"/>
  <c r="C9" i="41"/>
  <c r="G9" i="41" s="1"/>
  <c r="G15" i="41" s="1"/>
  <c r="J73" i="97"/>
  <c r="B9" i="101"/>
  <c r="F9" i="101" s="1"/>
  <c r="F13" i="101" s="1"/>
  <c r="C9" i="58"/>
  <c r="F9" i="58" s="1"/>
  <c r="F18" i="58" s="1"/>
  <c r="E7" i="13"/>
  <c r="J7" i="13" s="1"/>
  <c r="J12" i="13" s="1"/>
  <c r="J72" i="97"/>
  <c r="B9" i="100"/>
  <c r="F9" i="100" s="1"/>
  <c r="F13" i="100" s="1"/>
  <c r="C9" i="8"/>
  <c r="F9" i="8" s="1"/>
  <c r="F20" i="8" s="1"/>
  <c r="C20" i="24"/>
  <c r="F20" i="24" s="1"/>
  <c r="F24" i="24" s="1"/>
  <c r="C9" i="95"/>
  <c r="G9" i="95" s="1"/>
  <c r="G27" i="95" s="1"/>
  <c r="J81" i="97"/>
  <c r="A3" i="73"/>
  <c r="A3" i="65" s="1"/>
  <c r="A3" i="54" s="1"/>
  <c r="E43" i="31" a="1"/>
  <c r="E43" i="31" s="1"/>
  <c r="C9" i="90"/>
  <c r="F9" i="90" s="1"/>
  <c r="F32" i="90" s="1"/>
  <c r="J63" i="97"/>
  <c r="C9" i="55"/>
  <c r="G9" i="55" s="1"/>
  <c r="G14" i="55" s="1"/>
  <c r="G16" i="55" s="1"/>
  <c r="G18" i="55" s="1"/>
  <c r="I47" i="97"/>
  <c r="J47" i="97" s="1"/>
  <c r="C9" i="54"/>
  <c r="G9" i="54" s="1"/>
  <c r="G21" i="54" s="1"/>
  <c r="G23" i="54" s="1"/>
  <c r="G25" i="54" s="1"/>
  <c r="B29" i="63"/>
  <c r="D40" i="63" s="1"/>
  <c r="B9" i="102"/>
  <c r="F9" i="102" s="1"/>
  <c r="F13" i="102" s="1"/>
  <c r="C9" i="28"/>
  <c r="F9" i="28" s="1"/>
  <c r="F16" i="28" s="1"/>
  <c r="D9" i="45"/>
  <c r="I9" i="45" s="1"/>
  <c r="I19" i="45" s="1"/>
  <c r="J9" i="97"/>
  <c r="B11" i="63"/>
  <c r="D22" i="63" s="1"/>
  <c r="D25" i="63" s="1"/>
  <c r="C9" i="66"/>
  <c r="F9" i="66" s="1"/>
  <c r="F13" i="66" s="1"/>
  <c r="D7" i="7"/>
  <c r="G7" i="7" s="1"/>
  <c r="G20" i="7" s="1"/>
  <c r="I5" i="93"/>
  <c r="G6" i="93"/>
  <c r="B29" i="38"/>
  <c r="D40" i="38" s="1"/>
  <c r="C20" i="35"/>
  <c r="F20" i="35" s="1"/>
  <c r="F24" i="35" s="1"/>
  <c r="C9" i="74"/>
  <c r="G9" i="74" s="1"/>
  <c r="G12" i="74" s="1"/>
  <c r="J21" i="97"/>
  <c r="C6" i="31"/>
  <c r="G6" i="31" s="1"/>
  <c r="G27" i="31" s="1"/>
  <c r="G37" i="31" s="1"/>
  <c r="C15" i="79"/>
  <c r="G15" i="79" s="1"/>
  <c r="G20" i="79" s="1"/>
  <c r="J84" i="97"/>
  <c r="B11" i="38"/>
  <c r="D22" i="38" s="1"/>
  <c r="C20" i="34"/>
  <c r="F20" i="34" s="1"/>
  <c r="F24" i="34" s="1"/>
  <c r="C9" i="36"/>
  <c r="Q10" i="36" s="1"/>
  <c r="L65" i="86" l="1"/>
  <c r="L66" i="86" s="1"/>
  <c r="L67" i="86" s="1"/>
  <c r="L68" i="86" s="1"/>
  <c r="L69" i="86" s="1"/>
  <c r="L70" i="86" s="1"/>
  <c r="L71" i="86" s="1"/>
  <c r="L72" i="86" s="1"/>
  <c r="L73" i="86" s="1"/>
  <c r="L74" i="86" s="1"/>
  <c r="C32" i="15"/>
  <c r="C33" i="41"/>
  <c r="F10" i="21"/>
  <c r="C17" i="18"/>
  <c r="C24" i="91"/>
  <c r="M9" i="91"/>
  <c r="M17" i="91" s="1"/>
  <c r="S9" i="91"/>
  <c r="S17" i="91" s="1"/>
  <c r="C7" i="31"/>
  <c r="C44" i="88"/>
  <c r="C27" i="105"/>
  <c r="C22" i="89"/>
  <c r="C32" i="70"/>
  <c r="G7" i="93"/>
  <c r="I6" i="93"/>
  <c r="C28" i="95"/>
  <c r="C39" i="74"/>
  <c r="D61" i="45"/>
  <c r="C32" i="90"/>
  <c r="C15" i="48"/>
  <c r="E30" i="13"/>
  <c r="A3" i="93"/>
  <c r="A3" i="60"/>
  <c r="A3" i="104"/>
  <c r="C27" i="79"/>
  <c r="C25" i="87"/>
  <c r="A9" i="45"/>
  <c r="A3" i="45"/>
  <c r="A3" i="55" s="1"/>
  <c r="F11" i="21"/>
  <c r="C14" i="21"/>
  <c r="J9" i="21" s="1"/>
  <c r="J16" i="21" s="1"/>
  <c r="C14" i="22"/>
  <c r="C11" i="79"/>
  <c r="G8" i="93" l="1"/>
  <c r="I7" i="93"/>
  <c r="A3" i="15"/>
  <c r="A3" i="18" s="1"/>
  <c r="A3" i="90" s="1"/>
  <c r="A3" i="89" s="1"/>
  <c r="A3" i="107"/>
  <c r="A3" i="86"/>
  <c r="A3" i="74"/>
  <c r="A3" i="56"/>
  <c r="C16" i="21"/>
  <c r="C19" i="21" s="1"/>
  <c r="C21" i="21" s="1"/>
  <c r="A3" i="92" l="1"/>
  <c r="A3" i="36"/>
  <c r="A3" i="7" s="1"/>
  <c r="A3" i="88"/>
  <c r="A3" i="87"/>
  <c r="A3" i="70" s="1"/>
  <c r="A3" i="38" s="1"/>
  <c r="A3" i="63" s="1"/>
  <c r="A3" i="13" s="1"/>
  <c r="I8" i="93"/>
  <c r="G9" i="93"/>
  <c r="I74" i="97"/>
  <c r="J74" i="97" s="1"/>
  <c r="I75" i="97"/>
  <c r="J75" i="97" s="1"/>
  <c r="I76" i="97"/>
  <c r="J76" i="97" s="1"/>
  <c r="A3" i="99" l="1"/>
  <c r="A3" i="78"/>
  <c r="A3" i="41"/>
  <c r="A3" i="21" s="1"/>
  <c r="A3" i="28"/>
  <c r="A3" i="8"/>
  <c r="A3" i="58" s="1"/>
  <c r="G10" i="93"/>
  <c r="I9" i="93"/>
  <c r="D36" i="63" l="1"/>
  <c r="D1" i="3"/>
  <c r="I10" i="93"/>
  <c r="G11" i="93"/>
  <c r="A3" i="98"/>
  <c r="A3" i="35"/>
  <c r="A3" i="33" s="1"/>
  <c r="A3" i="40" s="1"/>
  <c r="A3" i="51" s="1"/>
  <c r="A3" i="24" s="1"/>
  <c r="A3" i="34" s="1"/>
  <c r="A3" i="59" s="1"/>
  <c r="D37" i="63" l="1"/>
  <c r="D39" i="63" s="1"/>
  <c r="D18" i="63"/>
  <c r="D19" i="63"/>
  <c r="D19" i="38"/>
  <c r="D18" i="38"/>
  <c r="E1" i="105"/>
  <c r="D1" i="90"/>
  <c r="D1" i="100"/>
  <c r="D1" i="35"/>
  <c r="D1" i="28"/>
  <c r="D1" i="24"/>
  <c r="D1" i="66"/>
  <c r="C11" i="66" s="1"/>
  <c r="D1" i="73"/>
  <c r="D1" i="21"/>
  <c r="D1" i="15"/>
  <c r="D1" i="33"/>
  <c r="D1" i="74"/>
  <c r="D1" i="54"/>
  <c r="D1" i="48"/>
  <c r="D1" i="18"/>
  <c r="D1" i="70"/>
  <c r="D1" i="65"/>
  <c r="D1" i="7"/>
  <c r="E1" i="36"/>
  <c r="D1" i="103"/>
  <c r="C11" i="103" s="1"/>
  <c r="D1" i="95"/>
  <c r="D1" i="104"/>
  <c r="B12" i="104" s="1"/>
  <c r="D1" i="101"/>
  <c r="D1" i="29"/>
  <c r="C14" i="29" s="1"/>
  <c r="E1" i="45"/>
  <c r="D1" i="59"/>
  <c r="D1" i="60"/>
  <c r="C12" i="60" s="1"/>
  <c r="D1" i="8"/>
  <c r="D1" i="67"/>
  <c r="C11" i="67" s="1"/>
  <c r="D1" i="41"/>
  <c r="B3" i="38"/>
  <c r="D1" i="22"/>
  <c r="C14" i="3"/>
  <c r="D1" i="31"/>
  <c r="C20" i="31" s="1"/>
  <c r="I13" i="97" s="1"/>
  <c r="J13" i="97" s="1"/>
  <c r="D1" i="40"/>
  <c r="D1" i="91"/>
  <c r="H1" i="13"/>
  <c r="D1" i="87"/>
  <c r="D1" i="51"/>
  <c r="D1" i="58"/>
  <c r="D1" i="34"/>
  <c r="D1" i="107"/>
  <c r="B3" i="63"/>
  <c r="D1" i="89"/>
  <c r="D1" i="88"/>
  <c r="D1" i="102"/>
  <c r="D1" i="55"/>
  <c r="C12" i="55" s="1"/>
  <c r="D1" i="25"/>
  <c r="D1" i="79"/>
  <c r="G12" i="93"/>
  <c r="I11" i="93"/>
  <c r="D36" i="38"/>
  <c r="A3" i="100"/>
  <c r="A3" i="101"/>
  <c r="A3" i="102"/>
  <c r="A3" i="66"/>
  <c r="D21" i="63" l="1"/>
  <c r="D23" i="63" s="1"/>
  <c r="D43" i="63"/>
  <c r="D41" i="63"/>
  <c r="D21" i="38"/>
  <c r="D25" i="38" s="1"/>
  <c r="D37" i="38"/>
  <c r="D39" i="38" s="1"/>
  <c r="B14" i="104"/>
  <c r="I61" i="97" s="1"/>
  <c r="J61" i="97" s="1"/>
  <c r="B16" i="104"/>
  <c r="C11" i="24"/>
  <c r="C22" i="24"/>
  <c r="B11" i="102"/>
  <c r="B15" i="102" s="1"/>
  <c r="B26" i="102"/>
  <c r="B32" i="102" s="1"/>
  <c r="I79" i="97"/>
  <c r="J79" i="97" s="1"/>
  <c r="C13" i="67"/>
  <c r="C11" i="54"/>
  <c r="C15" i="54"/>
  <c r="C17" i="54"/>
  <c r="C19" i="54"/>
  <c r="C21" i="54"/>
  <c r="C18" i="54"/>
  <c r="C14" i="54"/>
  <c r="C16" i="54"/>
  <c r="C20" i="54"/>
  <c r="C13" i="54"/>
  <c r="C12" i="54"/>
  <c r="C13" i="8"/>
  <c r="C15" i="8"/>
  <c r="C14" i="8"/>
  <c r="C16" i="8"/>
  <c r="I80" i="97"/>
  <c r="J80" i="97" s="1"/>
  <c r="C13" i="103"/>
  <c r="C22" i="35"/>
  <c r="C11" i="35"/>
  <c r="C15" i="60"/>
  <c r="C17" i="60" s="1"/>
  <c r="I48" i="97"/>
  <c r="J48" i="97" s="1"/>
  <c r="C11" i="40"/>
  <c r="C22" i="40"/>
  <c r="B26" i="100"/>
  <c r="B32" i="100" s="1"/>
  <c r="B11" i="100"/>
  <c r="B15" i="100" s="1"/>
  <c r="C10" i="31"/>
  <c r="I17" i="97" s="1"/>
  <c r="J17" i="97" s="1"/>
  <c r="C23" i="31"/>
  <c r="I12" i="97" s="1"/>
  <c r="J12" i="97" s="1"/>
  <c r="C31" i="31"/>
  <c r="C21" i="31"/>
  <c r="I16" i="97" s="1"/>
  <c r="J16" i="97" s="1"/>
  <c r="C17" i="31"/>
  <c r="C14" i="31"/>
  <c r="C9" i="31"/>
  <c r="C12" i="31"/>
  <c r="C16" i="31"/>
  <c r="C19" i="31"/>
  <c r="I14" i="97" s="1"/>
  <c r="J14" i="97" s="1"/>
  <c r="C15" i="31"/>
  <c r="I11" i="97" s="1"/>
  <c r="J11" i="97" s="1"/>
  <c r="C11" i="31"/>
  <c r="I18" i="97" s="1"/>
  <c r="J18" i="97" s="1"/>
  <c r="C22" i="31"/>
  <c r="C18" i="31"/>
  <c r="C13" i="31"/>
  <c r="I19" i="97" s="1"/>
  <c r="J19" i="97" s="1"/>
  <c r="D11" i="7"/>
  <c r="D10" i="7"/>
  <c r="D12" i="7"/>
  <c r="D15" i="7"/>
  <c r="C11" i="34"/>
  <c r="C13" i="34" s="1"/>
  <c r="C22" i="34"/>
  <c r="I4" i="97"/>
  <c r="J4" i="97" s="1"/>
  <c r="C17" i="3"/>
  <c r="C22" i="33"/>
  <c r="C11" i="33"/>
  <c r="C12" i="25"/>
  <c r="C13" i="25"/>
  <c r="E13" i="36" s="1"/>
  <c r="M13" i="36" s="1"/>
  <c r="C13" i="36" s="1"/>
  <c r="Q13" i="36" s="1"/>
  <c r="C11" i="58"/>
  <c r="C13" i="58"/>
  <c r="C23" i="22"/>
  <c r="I56" i="97" s="1"/>
  <c r="J56" i="97" s="1"/>
  <c r="C20" i="22"/>
  <c r="I55" i="97" s="1"/>
  <c r="J55" i="97" s="1"/>
  <c r="C15" i="22"/>
  <c r="C25" i="22"/>
  <c r="C30" i="22"/>
  <c r="I59" i="97" s="1"/>
  <c r="J59" i="97" s="1"/>
  <c r="C17" i="22"/>
  <c r="I52" i="97" s="1"/>
  <c r="J52" i="97" s="1"/>
  <c r="C22" i="22"/>
  <c r="C26" i="22"/>
  <c r="C32" i="22"/>
  <c r="I49" i="97" s="1"/>
  <c r="J49" i="97" s="1"/>
  <c r="C37" i="22"/>
  <c r="C19" i="22"/>
  <c r="I54" i="97" s="1"/>
  <c r="J54" i="97" s="1"/>
  <c r="C24" i="22"/>
  <c r="I57" i="97" s="1"/>
  <c r="J57" i="97" s="1"/>
  <c r="C29" i="22"/>
  <c r="I50" i="97" s="1"/>
  <c r="J50" i="97" s="1"/>
  <c r="C18" i="22"/>
  <c r="I53" i="97" s="1"/>
  <c r="J53" i="97" s="1"/>
  <c r="C16" i="22"/>
  <c r="C21" i="22"/>
  <c r="C27" i="22"/>
  <c r="C31" i="22"/>
  <c r="I58" i="97" s="1"/>
  <c r="J58" i="97" s="1"/>
  <c r="C28" i="22"/>
  <c r="I60" i="97" s="1"/>
  <c r="J60" i="97" s="1"/>
  <c r="C20" i="29"/>
  <c r="C22" i="29"/>
  <c r="C14" i="55"/>
  <c r="C11" i="51"/>
  <c r="C13" i="51" s="1"/>
  <c r="C22" i="51"/>
  <c r="B26" i="101"/>
  <c r="B32" i="101" s="1"/>
  <c r="B11" i="101"/>
  <c r="B15" i="101" s="1"/>
  <c r="I38" i="97"/>
  <c r="J38" i="97" s="1"/>
  <c r="C13" i="66"/>
  <c r="I12" i="93"/>
  <c r="G13" i="93"/>
  <c r="B30" i="63"/>
  <c r="D23" i="38" l="1"/>
  <c r="D43" i="38"/>
  <c r="D41" i="38"/>
  <c r="C24" i="33"/>
  <c r="I32" i="97"/>
  <c r="J32" i="97" s="1"/>
  <c r="C13" i="33"/>
  <c r="I27" i="97"/>
  <c r="J27" i="97" s="1"/>
  <c r="B30" i="38"/>
  <c r="E11" i="36"/>
  <c r="M11" i="36" s="1"/>
  <c r="C15" i="25"/>
  <c r="D29" i="7"/>
  <c r="C18" i="8"/>
  <c r="I42" i="97"/>
  <c r="J42" i="97" s="1"/>
  <c r="B35" i="102"/>
  <c r="C13" i="40"/>
  <c r="I28" i="97"/>
  <c r="J28" i="97" s="1"/>
  <c r="I41" i="97"/>
  <c r="J41" i="97" s="1"/>
  <c r="B17" i="101"/>
  <c r="I51" i="97"/>
  <c r="J51" i="97" s="1"/>
  <c r="C34" i="22"/>
  <c r="C39" i="22" s="1"/>
  <c r="I26" i="97"/>
  <c r="J26" i="97" s="1"/>
  <c r="C13" i="35"/>
  <c r="I39" i="97"/>
  <c r="J39" i="97" s="1"/>
  <c r="B17" i="102"/>
  <c r="I44" i="97"/>
  <c r="J44" i="97" s="1"/>
  <c r="B34" i="101"/>
  <c r="I45" i="97"/>
  <c r="J45" i="97" s="1"/>
  <c r="C27" i="31"/>
  <c r="C29" i="31" s="1"/>
  <c r="C46" i="31" s="1"/>
  <c r="I15" i="97"/>
  <c r="I37" i="97"/>
  <c r="J37" i="97" s="1"/>
  <c r="C24" i="35"/>
  <c r="I35" i="97"/>
  <c r="J35" i="97" s="1"/>
  <c r="C24" i="24"/>
  <c r="C24" i="51"/>
  <c r="I34" i="97"/>
  <c r="J34" i="97" s="1"/>
  <c r="I40" i="97"/>
  <c r="J40" i="97" s="1"/>
  <c r="B17" i="100"/>
  <c r="I30" i="97"/>
  <c r="J30" i="97" s="1"/>
  <c r="C13" i="24"/>
  <c r="I36" i="97"/>
  <c r="J36" i="97" s="1"/>
  <c r="C24" i="34"/>
  <c r="I43" i="97"/>
  <c r="J43" i="97" s="1"/>
  <c r="B34" i="100"/>
  <c r="C16" i="55"/>
  <c r="C16" i="58"/>
  <c r="I33" i="97"/>
  <c r="J33" i="97" s="1"/>
  <c r="C24" i="40"/>
  <c r="C23" i="54"/>
  <c r="I71" i="97"/>
  <c r="J71" i="97" s="1"/>
  <c r="B31" i="63"/>
  <c r="B12" i="63"/>
  <c r="B12" i="38"/>
  <c r="G14" i="93"/>
  <c r="I13" i="93"/>
  <c r="C18" i="55" l="1"/>
  <c r="I10" i="97"/>
  <c r="J10" i="97" s="1"/>
  <c r="I24" i="97"/>
  <c r="J24" i="97" s="1"/>
  <c r="C20" i="8"/>
  <c r="I22" i="97"/>
  <c r="J22" i="97" s="1"/>
  <c r="D32" i="7"/>
  <c r="I5" i="97"/>
  <c r="J5" i="97" s="1"/>
  <c r="C17" i="25"/>
  <c r="C11" i="36"/>
  <c r="M16" i="36"/>
  <c r="I8" i="97"/>
  <c r="J8" i="97" s="1"/>
  <c r="C25" i="54"/>
  <c r="I7" i="97"/>
  <c r="J7" i="97" s="1"/>
  <c r="I25" i="97"/>
  <c r="J25" i="97" s="1"/>
  <c r="C18" i="58"/>
  <c r="I70" i="97"/>
  <c r="J70" i="97" s="1"/>
  <c r="B13" i="63"/>
  <c r="I68" i="97"/>
  <c r="J68" i="97" s="1"/>
  <c r="B14" i="38"/>
  <c r="I69" i="97"/>
  <c r="J69" i="97" s="1"/>
  <c r="B31" i="38"/>
  <c r="G15" i="93"/>
  <c r="I14" i="93"/>
  <c r="Q11" i="36" l="1"/>
  <c r="Q14" i="36" s="1"/>
  <c r="Q16" i="36" s="1"/>
  <c r="C15" i="36"/>
  <c r="H16" i="36" s="1"/>
  <c r="H17" i="36" s="1"/>
  <c r="G16" i="93"/>
  <c r="I15" i="93"/>
  <c r="C19" i="36" l="1"/>
  <c r="C17" i="36"/>
  <c r="I20" i="97" s="1"/>
  <c r="J20" i="97" s="1"/>
  <c r="G17" i="93"/>
  <c r="I16" i="93"/>
  <c r="I17" i="93" l="1"/>
  <c r="G18" i="93"/>
  <c r="G19" i="93" l="1"/>
  <c r="I18" i="93"/>
  <c r="G20" i="93" l="1"/>
  <c r="I19" i="93"/>
  <c r="I20" i="93" l="1"/>
  <c r="G21" i="93"/>
  <c r="G22" i="93" l="1"/>
  <c r="I21" i="93"/>
  <c r="I22" i="93" l="1"/>
  <c r="G23" i="93"/>
  <c r="G24" i="93" l="1"/>
  <c r="I23" i="93"/>
  <c r="G25" i="93" l="1"/>
  <c r="I24" i="93"/>
  <c r="I25" i="93" l="1"/>
  <c r="G26" i="93"/>
  <c r="G27" i="93" l="1"/>
  <c r="I26" i="93"/>
  <c r="G28" i="93" l="1"/>
  <c r="I27" i="93"/>
  <c r="G29" i="93" l="1"/>
  <c r="I28" i="93"/>
  <c r="G30" i="93" l="1"/>
  <c r="I29" i="93"/>
  <c r="I30" i="93" l="1"/>
  <c r="G31" i="93"/>
  <c r="G32" i="93" l="1"/>
  <c r="I31" i="93"/>
  <c r="G33" i="93" l="1"/>
  <c r="I32" i="93"/>
  <c r="I33" i="93" l="1"/>
  <c r="G34" i="93"/>
  <c r="G35" i="93" l="1"/>
  <c r="I34" i="93"/>
  <c r="G36" i="93" l="1"/>
  <c r="I35" i="93"/>
  <c r="G37" i="93" l="1"/>
  <c r="I36" i="93"/>
  <c r="G38" i="93" l="1"/>
  <c r="I37" i="93"/>
  <c r="I38" i="93" l="1"/>
  <c r="G39" i="93"/>
  <c r="I39" i="93" l="1"/>
  <c r="G40" i="93"/>
  <c r="G41" i="93" l="1"/>
  <c r="I40" i="93"/>
  <c r="C12" i="96" s="1"/>
  <c r="C14" i="96" s="1"/>
  <c r="I41" i="93" l="1"/>
  <c r="G42" i="93"/>
  <c r="G43" i="93" l="1"/>
  <c r="I42" i="93"/>
  <c r="G44" i="93" l="1"/>
  <c r="I43" i="93"/>
  <c r="G45" i="93" l="1"/>
  <c r="I44" i="93"/>
  <c r="G46" i="93" l="1"/>
  <c r="I45" i="93"/>
  <c r="I46" i="93" l="1"/>
  <c r="G47" i="93"/>
  <c r="G48" i="93" l="1"/>
  <c r="I47" i="93"/>
  <c r="G49" i="93" l="1"/>
  <c r="I48" i="93"/>
  <c r="G50" i="93" l="1"/>
  <c r="I49" i="93"/>
  <c r="G51" i="93" l="1"/>
  <c r="I50" i="93"/>
  <c r="G52" i="93" l="1"/>
  <c r="I52" i="93" s="1"/>
  <c r="I51" i="93"/>
  <c r="C12" i="28" l="1"/>
  <c r="C14" i="28" s="1"/>
  <c r="C16" i="28" l="1"/>
  <c r="I23" i="97"/>
  <c r="J23" i="97" s="1"/>
  <c r="C12" i="107" l="1"/>
  <c r="C19" i="107" l="1"/>
  <c r="C21" i="107" s="1"/>
  <c r="I46" i="97"/>
  <c r="J46" i="97" s="1"/>
</calcChain>
</file>

<file path=xl/comments1.xml><?xml version="1.0" encoding="utf-8"?>
<comments xmlns="http://schemas.openxmlformats.org/spreadsheetml/2006/main">
  <authors>
    <author>Matthew Lee</author>
    <author>Charmaine Chan</author>
    <author>Tina Yue</author>
  </authors>
  <commentList>
    <comment ref="G15" authorId="0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credit note tracker journal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</rPr>
          <t>Matthew Lee:</t>
        </r>
        <r>
          <rPr>
            <sz val="9"/>
            <color indexed="81"/>
            <rFont val="Tahoma"/>
            <family val="2"/>
          </rPr>
          <t xml:space="preserve">
SC REV M60: 18371.34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Matthew Lee:</t>
        </r>
        <r>
          <rPr>
            <sz val="9"/>
            <color indexed="81"/>
            <rFont val="Tahoma"/>
            <family val="2"/>
          </rPr>
          <t xml:space="preserve">
SC REV M60: 18371.34</t>
        </r>
      </text>
    </comment>
    <comment ref="C20" authorId="1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provision for FY20 Q4 Jul to Sep</t>
        </r>
      </text>
    </comment>
    <comment ref="B23" authorId="2" shapeId="0">
      <text>
        <r>
          <rPr>
            <b/>
            <sz val="9"/>
            <rFont val="Tahoma"/>
            <family val="2"/>
          </rPr>
          <t>Tina Yue:</t>
        </r>
        <r>
          <rPr>
            <sz val="9"/>
            <rFont val="Tahoma"/>
            <family val="2"/>
          </rPr>
          <t xml:space="preserve">
Lactalis Accrual Release $17422.45
</t>
        </r>
      </text>
    </comment>
    <comment ref="B27" authorId="0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Reb Mar 22: -7653</t>
        </r>
      </text>
    </comment>
  </commentList>
</comments>
</file>

<file path=xl/comments2.xml><?xml version="1.0" encoding="utf-8"?>
<comments xmlns="http://schemas.openxmlformats.org/spreadsheetml/2006/main">
  <authors>
    <author>Charmaine Chan</author>
  </authors>
  <commentList>
    <comment ref="C11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Audit Fees prov for FY21 - year end audit</t>
        </r>
      </text>
    </comment>
    <comment ref="E12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JA 4848</t>
        </r>
      </text>
    </comment>
    <comment ref="A15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Audit Fees prov for FY21 - year end audit $17,432.80</t>
        </r>
      </text>
    </comment>
  </commentList>
</comments>
</file>

<file path=xl/comments3.xml><?xml version="1.0" encoding="utf-8"?>
<comments xmlns="http://schemas.openxmlformats.org/spreadsheetml/2006/main">
  <authors>
    <author>Charmaine Chan</author>
  </authors>
  <commentList>
    <comment ref="A24" authorId="0" shapeId="0">
      <text>
        <r>
          <rPr>
            <b/>
            <sz val="9"/>
            <rFont val="Tahoma"/>
            <family val="2"/>
          </rPr>
          <t>Charmaine Chan:</t>
        </r>
        <r>
          <rPr>
            <sz val="9"/>
            <rFont val="Tahoma"/>
            <family val="2"/>
          </rPr>
          <t xml:space="preserve">
estimated amount
$10,900</t>
        </r>
      </text>
    </comment>
  </commentList>
</comments>
</file>

<file path=xl/comments4.xml><?xml version="1.0" encoding="utf-8"?>
<comments xmlns="http://schemas.openxmlformats.org/spreadsheetml/2006/main">
  <authors>
    <author>Charmaine Chan</author>
  </authors>
  <commentList>
    <comment ref="B22" authorId="0" shapeId="0">
      <text>
        <r>
          <rPr>
            <b/>
            <sz val="9"/>
            <rFont val="Tahoma"/>
            <family val="2"/>
          </rPr>
          <t xml:space="preserve">As per Trial Balance of the month
</t>
        </r>
        <r>
          <rPr>
            <sz val="9"/>
            <rFont val="Tahoma"/>
            <family val="2"/>
          </rPr>
          <t xml:space="preserve">
</t>
        </r>
      </text>
    </comment>
    <comment ref="B40" authorId="0" shapeId="0">
      <text>
        <r>
          <rPr>
            <b/>
            <sz val="9"/>
            <rFont val="Tahoma"/>
            <family val="2"/>
          </rPr>
          <t>As per Trial Balance of the month</t>
        </r>
        <r>
          <rPr>
            <sz val="9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Charmaine Chan</author>
  </authors>
  <commentList>
    <comment ref="B22" authorId="0" shapeId="0">
      <text>
        <r>
          <rPr>
            <b/>
            <sz val="9"/>
            <rFont val="Tahoma"/>
            <family val="2"/>
          </rPr>
          <t>As per Trial Balance of the month</t>
        </r>
        <r>
          <rPr>
            <sz val="9"/>
            <rFont val="Tahoma"/>
            <family val="2"/>
          </rPr>
          <t xml:space="preserve">
</t>
        </r>
      </text>
    </comment>
    <comment ref="B40" authorId="0" shapeId="0">
      <text>
        <r>
          <rPr>
            <b/>
            <sz val="9"/>
            <rFont val="Tahoma"/>
            <family val="2"/>
          </rPr>
          <t>As per Trial Balance of the month</t>
        </r>
        <r>
          <rPr>
            <sz val="9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Tina Yue</author>
  </authors>
  <commentList>
    <comment ref="R9" authorId="0" shapeId="0">
      <text>
        <r>
          <rPr>
            <b/>
            <sz val="9"/>
            <rFont val="Tahoma"/>
            <family val="2"/>
          </rPr>
          <t>Tina Yue:</t>
        </r>
        <r>
          <rPr>
            <sz val="9"/>
            <rFont val="Tahoma"/>
            <family val="2"/>
          </rPr>
          <t xml:space="preserve">
TS Deferred Income Release Aug21</t>
        </r>
      </text>
    </comment>
  </commentList>
</comments>
</file>

<file path=xl/sharedStrings.xml><?xml version="1.0" encoding="utf-8"?>
<sst xmlns="http://schemas.openxmlformats.org/spreadsheetml/2006/main" count="3063" uniqueCount="873">
  <si>
    <t>R55094121A</t>
  </si>
  <si>
    <t>SILLIKER GROUP CORP.</t>
  </si>
  <si>
    <t>Trial Balance By Object Report</t>
  </si>
  <si>
    <t>BUSINESS UNIT</t>
  </si>
  <si>
    <t>ACCOUNT NUMBER</t>
  </si>
  <si>
    <t>SUBSIDIARY</t>
  </si>
  <si>
    <t>ACCOUNT DESCRIPTION</t>
  </si>
  <si>
    <t>YEAR TO DATE</t>
  </si>
  <si>
    <t>CAT CODE 21</t>
  </si>
  <si>
    <t>Westpac</t>
  </si>
  <si>
    <t>RENTAL BOND WESTPAC</t>
  </si>
  <si>
    <t>TRADE ACCOUNTS RECEIVABLE</t>
  </si>
  <si>
    <t>INVOICE TO ISSUE</t>
  </si>
  <si>
    <t>CREDIT NOTE TO ISSUE</t>
  </si>
  <si>
    <t>ALLOWANCE FOR DOUBTFUL ACCOUNT</t>
  </si>
  <si>
    <t>Silliker - Chelab Itlay</t>
  </si>
  <si>
    <t>Merieux Nutrisciences C</t>
  </si>
  <si>
    <t>SILLIKER MEXICO</t>
  </si>
  <si>
    <t>SILLIKER IBERICA SA</t>
  </si>
  <si>
    <t>SILLIKER USA</t>
  </si>
  <si>
    <t>Silliker - MNS USA</t>
  </si>
  <si>
    <t>SILLIKER SHANGHAÏ TESTING</t>
  </si>
  <si>
    <t>ACCRUED INTERESTS / RECEIVABLE</t>
  </si>
  <si>
    <t>NETTING SUSPENSE (S.BE ZER0)</t>
  </si>
  <si>
    <t>46A000</t>
  </si>
  <si>
    <t>INVENTORY</t>
  </si>
  <si>
    <t>PREPAID EXPENSES</t>
  </si>
  <si>
    <t>WORK IN PROGRESS</t>
  </si>
  <si>
    <t>DEFERRED TAX ASSET CURRENT</t>
  </si>
  <si>
    <t>LEASEHOLD IMPROVEMENTS</t>
  </si>
  <si>
    <t>AUTOS</t>
  </si>
  <si>
    <t>COMPUTER HARDWARE</t>
  </si>
  <si>
    <t>COMPUTER SOFTWARE</t>
  </si>
  <si>
    <t>EQUIPMENT</t>
  </si>
  <si>
    <t>FURNITURE &amp; FIXTURES</t>
  </si>
  <si>
    <t>ACCUM. DEPRECIATION AUTOS</t>
  </si>
  <si>
    <t>ACCUM. DEP. COMP HARDWARE</t>
  </si>
  <si>
    <t>ACCUM. DEP. COMP SOFTWARE</t>
  </si>
  <si>
    <t>ACCUM. DEPRECIATION EQUIPMENT</t>
  </si>
  <si>
    <t>ACCUM. DEP. FURN &amp; FIXT</t>
  </si>
  <si>
    <t>ACCUM. DEPRECIATION LEASEHOLD</t>
  </si>
  <si>
    <t>DEFERRED TAX ASSET - LT</t>
  </si>
  <si>
    <t>RIGHT-OF-USE BUILDINGS</t>
  </si>
  <si>
    <t>RIGHT-OF-USE AUTOS</t>
  </si>
  <si>
    <t>RIGHT-OF-USE EQUIPMENT</t>
  </si>
  <si>
    <t>ACCUM DEP RIGHT-OF-USE BUILD</t>
  </si>
  <si>
    <t>ACCUM. DEP RIGHT-TO-USE AUTOS</t>
  </si>
  <si>
    <t>ACCUM DEP RIGHT-OF-USE EQUIP</t>
  </si>
  <si>
    <t>ACCOUNTS PAYABLE - TRADE</t>
  </si>
  <si>
    <t>ACCRUED LIAB. - TRADE PAYABLE</t>
  </si>
  <si>
    <t>ACCRUED LIAB. - AUDIT FEES</t>
  </si>
  <si>
    <t>RECEIVED NOT VOUCHERED - 3RD P</t>
  </si>
  <si>
    <t>SILLIKER FRANCE</t>
  </si>
  <si>
    <t>SWIFT SILLIKER</t>
  </si>
  <si>
    <t>Merieux Nutrisciences Certific</t>
  </si>
  <si>
    <t xml:space="preserve">  EMAP Holdings LLC</t>
  </si>
  <si>
    <t>MXNS Digital Solution LLC</t>
  </si>
  <si>
    <t>NOTE PAYABLE ST - OP LEASE</t>
  </si>
  <si>
    <t>1686C0</t>
  </si>
  <si>
    <t>PAYROLL WITHHOLDING</t>
  </si>
  <si>
    <t>42P001</t>
  </si>
  <si>
    <t>ACCRUED PAYROLL</t>
  </si>
  <si>
    <t>42P002</t>
  </si>
  <si>
    <t>PAYROLL CLEARING</t>
  </si>
  <si>
    <t>SUPER CLEARING</t>
  </si>
  <si>
    <t>ACCRUED PAYROLL TAXES</t>
  </si>
  <si>
    <t>42P000</t>
  </si>
  <si>
    <t>ACCRUED FBT</t>
  </si>
  <si>
    <t>ACCRUED ANNUAL LEAVE</t>
  </si>
  <si>
    <t>42P003</t>
  </si>
  <si>
    <t>ACCRUED ANNUAL LEAVE LOADING</t>
  </si>
  <si>
    <t>LONG SERVICE LEAVE-CURRENT</t>
  </si>
  <si>
    <t>LONG SERVICE LEAVE-NON CURRENT</t>
  </si>
  <si>
    <t>ACCRUED INCENTIVE COMP-ST</t>
  </si>
  <si>
    <t>42P004</t>
  </si>
  <si>
    <t>GSTSALES</t>
  </si>
  <si>
    <t>GST on Sales</t>
  </si>
  <si>
    <t>45P000</t>
  </si>
  <si>
    <t>GSTCLR</t>
  </si>
  <si>
    <t>GST Return Clearing</t>
  </si>
  <si>
    <t>GSTPURCH</t>
  </si>
  <si>
    <t>GST on Purchases</t>
  </si>
  <si>
    <t>DEFERRED INCOME</t>
  </si>
  <si>
    <t>DEFERRED TAX LIABILITY - ST</t>
  </si>
  <si>
    <t>EXT NOTE PAYABLE LT - OP LEASE</t>
  </si>
  <si>
    <t>1686NC</t>
  </si>
  <si>
    <t>DUE TO AFFILIATES - GROUP LOAN</t>
  </si>
  <si>
    <t>COMMON STOCK</t>
  </si>
  <si>
    <t>RETAINED EARNINGS</t>
  </si>
  <si>
    <t>OPENING RET EARNINGS-PR</t>
  </si>
  <si>
    <t>OPERATING REVENUE- THIRD PARTY</t>
  </si>
  <si>
    <t>DISCOUNTS ON 1/3 PARTY REVENUE</t>
  </si>
  <si>
    <t>SALARIES AND WAGES</t>
  </si>
  <si>
    <t>641000LP</t>
  </si>
  <si>
    <t>ALLOWANCES</t>
  </si>
  <si>
    <t>641000IT</t>
  </si>
  <si>
    <t>TERMINATION</t>
  </si>
  <si>
    <t>OVERTIME</t>
  </si>
  <si>
    <t>641000QL</t>
  </si>
  <si>
    <t>641000GA</t>
  </si>
  <si>
    <t>641000CS</t>
  </si>
  <si>
    <t>641000SM</t>
  </si>
  <si>
    <t>CASUAL WAGES</t>
  </si>
  <si>
    <t>641000RD</t>
  </si>
  <si>
    <t>WORKERS COMPENSATION PAYMENTS</t>
  </si>
  <si>
    <t>PAYROLL TAX</t>
  </si>
  <si>
    <t>645000CS</t>
  </si>
  <si>
    <t>FBT</t>
  </si>
  <si>
    <t>645000GA</t>
  </si>
  <si>
    <t>645000SM</t>
  </si>
  <si>
    <t>645000IT</t>
  </si>
  <si>
    <t>645000QL</t>
  </si>
  <si>
    <t>645000LP</t>
  </si>
  <si>
    <t>645000RD</t>
  </si>
  <si>
    <t>PAYROLL - REINVOICING INCOME</t>
  </si>
  <si>
    <t>746100SM</t>
  </si>
  <si>
    <t>746100LP</t>
  </si>
  <si>
    <t>TEMP/ CASUAL LABOR &amp; FREELANCE</t>
  </si>
  <si>
    <t>645100GA</t>
  </si>
  <si>
    <t>ANNUAL LEAVE &amp; LOADING - PROVI</t>
  </si>
  <si>
    <t>645200SM</t>
  </si>
  <si>
    <t>LONG SERVICE LEAVE - PROVISION</t>
  </si>
  <si>
    <t>645200CS</t>
  </si>
  <si>
    <t>645200LP</t>
  </si>
  <si>
    <t>645200RD</t>
  </si>
  <si>
    <t>645200QL</t>
  </si>
  <si>
    <t>645200IT</t>
  </si>
  <si>
    <t>645200GA</t>
  </si>
  <si>
    <t>INCENTIVE COMPENSATION</t>
  </si>
  <si>
    <t>645300CS</t>
  </si>
  <si>
    <t>645300QL</t>
  </si>
  <si>
    <t>645300LP</t>
  </si>
  <si>
    <t>645300SM</t>
  </si>
  <si>
    <t>645300GA</t>
  </si>
  <si>
    <t>WORKERS COMPENSATION PREMIUM</t>
  </si>
  <si>
    <t>645500CS</t>
  </si>
  <si>
    <t>645500LP</t>
  </si>
  <si>
    <t>645500SM</t>
  </si>
  <si>
    <t>645500QL</t>
  </si>
  <si>
    <t>645500IT</t>
  </si>
  <si>
    <t>645500GA</t>
  </si>
  <si>
    <t>SUPERANNUATION - COMPANY CONTR</t>
  </si>
  <si>
    <t>645700SM</t>
  </si>
  <si>
    <t>645700LP</t>
  </si>
  <si>
    <t>645700CS</t>
  </si>
  <si>
    <t>645700RD</t>
  </si>
  <si>
    <t>645700QL</t>
  </si>
  <si>
    <t>645700IT</t>
  </si>
  <si>
    <t>645700GA</t>
  </si>
  <si>
    <t>MEDIA &amp; CHEMICAL - ACTUAL  COG</t>
  </si>
  <si>
    <t>MEDIA - PURCHASE PRICE VARIANC</t>
  </si>
  <si>
    <t>MEDIA – NOT IN ITEM MASTER</t>
  </si>
  <si>
    <t>CHEMICALS - STANDARD COST</t>
  </si>
  <si>
    <t>CHEMICALS - PURCHASE PRICE VAR</t>
  </si>
  <si>
    <t>GLASS &amp; PLASTIC - STANDARD COS</t>
  </si>
  <si>
    <t>GLASS &amp; PLASTIC - PURCHASE PRI</t>
  </si>
  <si>
    <t>GLASS &amp; PLASTICS - NOT IN ITEM</t>
  </si>
  <si>
    <t>SUPPLIES - STANDARD COST</t>
  </si>
  <si>
    <t>607005LP</t>
  </si>
  <si>
    <t>SUPPLIES - PURCHASE PRICE VARI</t>
  </si>
  <si>
    <t>SUPPLIES - NOT IN ITEM MASTER</t>
  </si>
  <si>
    <t>PURCHASE OF SAMPLES</t>
  </si>
  <si>
    <t>OUTS ANALYSIS &amp; SERV- 1/3 PART</t>
  </si>
  <si>
    <t>OUTS ANALYSIS - PURCHASE PRICE</t>
  </si>
  <si>
    <t xml:space="preserve"> EMAP Holdings</t>
  </si>
  <si>
    <t xml:space="preserve">       MXNS Certification LLC</t>
  </si>
  <si>
    <t>Merieux Nutrisciences India</t>
  </si>
  <si>
    <t>Chelab - Italy</t>
  </si>
  <si>
    <t>SILLIKER CANADA ULC</t>
  </si>
  <si>
    <t>Institut Kirchhoff</t>
  </si>
  <si>
    <t>OUTS ANALISYS &amp; SERV- IC - STA</t>
  </si>
  <si>
    <t>COURIER - NO CHARGE TO CLIENT</t>
  </si>
  <si>
    <t>COURIER - RECHARGE TO CLIENTS</t>
  </si>
  <si>
    <t>FREIGHT ON SUNDRY PURCHASES</t>
  </si>
  <si>
    <t>604004LP</t>
  </si>
  <si>
    <t>OVERHEAD - STANDARD COST PU&amp;C</t>
  </si>
  <si>
    <t>OUTSIDE WASTE MANAGEMENT EXP.</t>
  </si>
  <si>
    <t>DEPRECIATION - EQUIPMENT</t>
  </si>
  <si>
    <t>DEPRECIATION - ALT TO L/H PREM</t>
  </si>
  <si>
    <t>681120LP</t>
  </si>
  <si>
    <t>681120SM</t>
  </si>
  <si>
    <t>681120IT</t>
  </si>
  <si>
    <t>DEPRECIATION - FURN &amp; FIT</t>
  </si>
  <si>
    <t>681120GA</t>
  </si>
  <si>
    <t>681120CS</t>
  </si>
  <si>
    <t>DEPRECIATION - INTANGIBLE</t>
  </si>
  <si>
    <t>DEP EXP- RIGHT-OF-USE</t>
  </si>
  <si>
    <t>681125CS</t>
  </si>
  <si>
    <t>681125GA</t>
  </si>
  <si>
    <t>681125SM</t>
  </si>
  <si>
    <t>681125IT</t>
  </si>
  <si>
    <t>681125LP</t>
  </si>
  <si>
    <t>PURCHASED EQUIPMENT EXP</t>
  </si>
  <si>
    <t>610001LP</t>
  </si>
  <si>
    <t>610001SM</t>
  </si>
  <si>
    <t>610001IT</t>
  </si>
  <si>
    <t>LEASED EQUIPMENT EXP</t>
  </si>
  <si>
    <t>COPIERS</t>
  </si>
  <si>
    <t>610002LP</t>
  </si>
  <si>
    <t>610002CS</t>
  </si>
  <si>
    <t>610002SM</t>
  </si>
  <si>
    <t>610002GA</t>
  </si>
  <si>
    <t>610002IT</t>
  </si>
  <si>
    <t>EQUIPMENT REPAIR</t>
  </si>
  <si>
    <t>610003LP</t>
  </si>
  <si>
    <t>MAINT. AGREEMT- HARDWARE</t>
  </si>
  <si>
    <t>610004IT</t>
  </si>
  <si>
    <t>PROCEEDS - TANGIB .ASSET DISP.</t>
  </si>
  <si>
    <t>UTILITYWATER</t>
  </si>
  <si>
    <t>610008LP</t>
  </si>
  <si>
    <t>610008SM</t>
  </si>
  <si>
    <t>610008IT</t>
  </si>
  <si>
    <t>610008GA</t>
  </si>
  <si>
    <t>610008CS</t>
  </si>
  <si>
    <t>UTILITYELECTRIC</t>
  </si>
  <si>
    <t>610008QL</t>
  </si>
  <si>
    <t>UTILITYGAS</t>
  </si>
  <si>
    <t>WASTE DISPOSAL</t>
  </si>
  <si>
    <t>LAUNDRY</t>
  </si>
  <si>
    <t>610009LP</t>
  </si>
  <si>
    <t>610009CS</t>
  </si>
  <si>
    <t>610009GA</t>
  </si>
  <si>
    <t>610009SM</t>
  </si>
  <si>
    <t>610009IT</t>
  </si>
  <si>
    <t>TELEPHONE</t>
  </si>
  <si>
    <t>610010IT</t>
  </si>
  <si>
    <t>IT COMMUNICATIONS &amp; INTERNET</t>
  </si>
  <si>
    <t>610010SM</t>
  </si>
  <si>
    <t>610010GA</t>
  </si>
  <si>
    <t>610010LP</t>
  </si>
  <si>
    <t>610010QL</t>
  </si>
  <si>
    <t>UTILITYCELLULAR</t>
  </si>
  <si>
    <t>610010CS</t>
  </si>
  <si>
    <t>OUTGOINGS</t>
  </si>
  <si>
    <t>613000LP</t>
  </si>
  <si>
    <t>613000SM</t>
  </si>
  <si>
    <t>613000CS</t>
  </si>
  <si>
    <t>INSURANCE - PUBLIC LIABILITY (</t>
  </si>
  <si>
    <t>616000LP</t>
  </si>
  <si>
    <t>INSURANCE - MOTOR VEHICLES (LO</t>
  </si>
  <si>
    <t>616000CS</t>
  </si>
  <si>
    <t>616000SM</t>
  </si>
  <si>
    <t>616000GA</t>
  </si>
  <si>
    <t>INSURANCE - OTHER (LOCAL)</t>
  </si>
  <si>
    <t>616000IT</t>
  </si>
  <si>
    <t>BUILDING REPAIRS &amp; MAINTENANCE</t>
  </si>
  <si>
    <t>615000LP</t>
  </si>
  <si>
    <t>BUILDING CLEANING</t>
  </si>
  <si>
    <t>BUILDING SECURITY</t>
  </si>
  <si>
    <t>615000CS</t>
  </si>
  <si>
    <t>615000SM</t>
  </si>
  <si>
    <t>615000IT</t>
  </si>
  <si>
    <t>615000GA</t>
  </si>
  <si>
    <t>615000QL</t>
  </si>
  <si>
    <t>REAL ESTATE &amp; PROPERTY TAXES</t>
  </si>
  <si>
    <t>614000LP</t>
  </si>
  <si>
    <t>614000SM</t>
  </si>
  <si>
    <t>614000IT</t>
  </si>
  <si>
    <t>614000GA</t>
  </si>
  <si>
    <t>614000CS</t>
  </si>
  <si>
    <t>MV - OPERATING</t>
  </si>
  <si>
    <t>625000LP</t>
  </si>
  <si>
    <t>AIRFARES - DOMESTIC</t>
  </si>
  <si>
    <t xml:space="preserve"> AIRFARES - INTERNATIONAL</t>
  </si>
  <si>
    <t>ACCOMMODATION &amp; MEALS - DOMEST</t>
  </si>
  <si>
    <t>ACCOMMODATION &amp; MEALS - INTERN</t>
  </si>
  <si>
    <t>TRAVEL - MISC EXP DOMESTIC</t>
  </si>
  <si>
    <t>TRAVEL - MISC EXP INTERNATIONA</t>
  </si>
  <si>
    <t>RENTAL CARS - DOMESTIC</t>
  </si>
  <si>
    <t>ENTERTAINMENT - DOMESTIC (FBT)</t>
  </si>
  <si>
    <t>625000QL</t>
  </si>
  <si>
    <t>625000SM</t>
  </si>
  <si>
    <t>625000IT</t>
  </si>
  <si>
    <t>625000GA</t>
  </si>
  <si>
    <t>MV - LEASE</t>
  </si>
  <si>
    <t>ENTERTAINMENT - DOMESTIC (NON</t>
  </si>
  <si>
    <t>625000CS</t>
  </si>
  <si>
    <t>TRAVEL &amp; CAR RELATED EXPENSES</t>
  </si>
  <si>
    <t>QA PROFICIENCY TESTING - EXTER</t>
  </si>
  <si>
    <t>QA MATERIALS PURCHASED</t>
  </si>
  <si>
    <t>QA AUDIT - EXTERNAL FEES</t>
  </si>
  <si>
    <t>620002QL</t>
  </si>
  <si>
    <t>SAFETYTRNG/EQUIP/OUTSIDE SERV</t>
  </si>
  <si>
    <t>620003LP</t>
  </si>
  <si>
    <t>620003GA</t>
  </si>
  <si>
    <t>POSTAGE</t>
  </si>
  <si>
    <t>626000LP</t>
  </si>
  <si>
    <t>LICENSE FEES &amp; CHARGES</t>
  </si>
  <si>
    <t>BUSINESS LICENSES &amp; FEES</t>
  </si>
  <si>
    <t>BUSINESS LICENCES</t>
  </si>
  <si>
    <t>620004LP</t>
  </si>
  <si>
    <t>620004SM</t>
  </si>
  <si>
    <t>620004GA</t>
  </si>
  <si>
    <t>620004CS</t>
  </si>
  <si>
    <t>OUTS CONSULT.SUPP. &amp; GL SERV.</t>
  </si>
  <si>
    <t>622000GA</t>
  </si>
  <si>
    <t>622000IT</t>
  </si>
  <si>
    <t>OTHER REINVOIC.INCOM- INTERCO.</t>
  </si>
  <si>
    <t>720007SM</t>
  </si>
  <si>
    <t>OTHER REINVOICING EXPENSE - IC</t>
  </si>
  <si>
    <t>620007IT</t>
  </si>
  <si>
    <t>620007GA</t>
  </si>
  <si>
    <t>PRINTING</t>
  </si>
  <si>
    <t>620008SM</t>
  </si>
  <si>
    <t>620008GA</t>
  </si>
  <si>
    <t>ADVERTISING</t>
  </si>
  <si>
    <t>623000SM</t>
  </si>
  <si>
    <t>TRADE SHOWS</t>
  </si>
  <si>
    <t>WEBSITE</t>
  </si>
  <si>
    <t>OFFICE &amp; IT SUPPLIES</t>
  </si>
  <si>
    <t>620008LP</t>
  </si>
  <si>
    <t>620008CS</t>
  </si>
  <si>
    <t>620008IT</t>
  </si>
  <si>
    <t>AUDIT FEES &amp; EXPENSES</t>
  </si>
  <si>
    <t>620010GA</t>
  </si>
  <si>
    <t>ACCOUNTING &amp; TAX FEES</t>
  </si>
  <si>
    <t>BAD DEBT ALLOWANCE</t>
  </si>
  <si>
    <t>620012SM</t>
  </si>
  <si>
    <t>BAD DEBT ALLOWANCE &amp; REVERSAL</t>
  </si>
  <si>
    <t>620011SM</t>
  </si>
  <si>
    <t>BAD DEBT COLLECTION FEE</t>
  </si>
  <si>
    <t>620013SM</t>
  </si>
  <si>
    <t>BANK SERVICE CHARGES</t>
  </si>
  <si>
    <t>EMPLOYEE RECOGNITION</t>
  </si>
  <si>
    <t>620016LP</t>
  </si>
  <si>
    <t>620016SM</t>
  </si>
  <si>
    <t>SEMINARS</t>
  </si>
  <si>
    <t>TRAINING - INTERNAL</t>
  </si>
  <si>
    <t>620016GA</t>
  </si>
  <si>
    <t>TRAINING - EXTERNAL</t>
  </si>
  <si>
    <t>620016IT</t>
  </si>
  <si>
    <t>RECRUITING COSTS</t>
  </si>
  <si>
    <t>628001GA</t>
  </si>
  <si>
    <t>628001LP</t>
  </si>
  <si>
    <t>RECRUITING COST &amp; RELOCATION</t>
  </si>
  <si>
    <t>RELOCATION COSTS</t>
  </si>
  <si>
    <t>628001SM</t>
  </si>
  <si>
    <t>BOOKS AND SUBSCRIPTIONS</t>
  </si>
  <si>
    <t>628000LP</t>
  </si>
  <si>
    <t>CATERING</t>
  </si>
  <si>
    <t>628000SM</t>
  </si>
  <si>
    <t>MEMBERSHIPS INDIVIDUAL</t>
  </si>
  <si>
    <t>628000CS</t>
  </si>
  <si>
    <t>628000QL</t>
  </si>
  <si>
    <t>MEMBERSHIPS CORPORATE</t>
  </si>
  <si>
    <t>628000GA</t>
  </si>
  <si>
    <t>MEMBERSHIPS OTHER</t>
  </si>
  <si>
    <t>628000IT</t>
  </si>
  <si>
    <t>FX GAIN ON ST B/S ITEMS</t>
  </si>
  <si>
    <t>FX LOSS ON ST B/S ITEMS</t>
  </si>
  <si>
    <t>MANAGEMENT FEES - INTERCOMPANY</t>
  </si>
  <si>
    <t>INTEREST INCOME - THIRD PARTY</t>
  </si>
  <si>
    <t>INTEREST EXPENSE- INTERCOMPANY</t>
  </si>
  <si>
    <t>INTEREST EXP - OPERATING LEASE</t>
  </si>
  <si>
    <t>Type</t>
  </si>
  <si>
    <t>Balance Per Rec</t>
  </si>
  <si>
    <t>Check</t>
  </si>
  <si>
    <t>Comments</t>
  </si>
  <si>
    <t>LOGGED RECEIPTS CONTROL</t>
  </si>
  <si>
    <t>Institut Kirchhoff Berlin GmbH</t>
  </si>
  <si>
    <t>INCOME TAX PAYABLE</t>
  </si>
  <si>
    <t>PROVISION FOR LITIGATION</t>
  </si>
  <si>
    <t>Total</t>
  </si>
  <si>
    <t>check</t>
  </si>
  <si>
    <t>SILLIKER AUSTRALIA PTY LTD</t>
  </si>
  <si>
    <t xml:space="preserve">Cash In Hand </t>
  </si>
  <si>
    <t>Account  - 112.1020</t>
  </si>
  <si>
    <t>Balance as per GL</t>
  </si>
  <si>
    <t>Received</t>
  </si>
  <si>
    <t>Bushfire Donation</t>
  </si>
  <si>
    <t>Variance</t>
  </si>
  <si>
    <t>Charmaine Chan</t>
  </si>
  <si>
    <t>Prepared By</t>
  </si>
  <si>
    <t>Authorised By</t>
  </si>
  <si>
    <t>Cash at Bank</t>
  </si>
  <si>
    <t>BSB - 033-112</t>
  </si>
  <si>
    <t>Account Number - 620854</t>
  </si>
  <si>
    <t>Bank -Westpac Banking Corporation</t>
  </si>
  <si>
    <t>Account Number - 112.1020.100</t>
  </si>
  <si>
    <t>Balance as per Bank Statement</t>
  </si>
  <si>
    <t>Rental Bond</t>
  </si>
  <si>
    <t>Account Number  - 112.1030.110</t>
  </si>
  <si>
    <t>Balance as per Trial Balance</t>
  </si>
  <si>
    <t>Maturity Date</t>
  </si>
  <si>
    <t>Rental Bond - Regent Park (Sydney)</t>
  </si>
  <si>
    <t>Rental Bond - Queensland</t>
  </si>
  <si>
    <t>Cash Management Account with Westpac</t>
  </si>
  <si>
    <t>Account Number - 180211</t>
  </si>
  <si>
    <t>Account Number - 112.1030.100</t>
  </si>
  <si>
    <t>Balance in Westpac Business Flexi Account</t>
  </si>
  <si>
    <t>(see statement attached)</t>
  </si>
  <si>
    <t>Accounts Receivable Control Account - 112.1050</t>
  </si>
  <si>
    <t>Account -112.1050 - Trade Accounts Receivable</t>
  </si>
  <si>
    <t>Total Balance as per GL</t>
  </si>
  <si>
    <t>Due From Affiliates - Trade</t>
  </si>
  <si>
    <t>Account - 112.1100.104 - Silliker France SAS</t>
  </si>
  <si>
    <t>Silliker France SAS 104</t>
  </si>
  <si>
    <t>Account - 112.1100.113 - Silliker USA</t>
  </si>
  <si>
    <t>Silliker USA 113</t>
  </si>
  <si>
    <t>Account - 112.1100.117 - Silliker MNS USA</t>
  </si>
  <si>
    <t>Silliker MNS USA 117</t>
  </si>
  <si>
    <t>Account - 112.1100.119 - Silliker Shanghai</t>
  </si>
  <si>
    <t>Silliker Shanghai</t>
  </si>
  <si>
    <t>Account - 112.1100.136 - Silliker Shanghai Testing</t>
  </si>
  <si>
    <t>Silliker Shanghai Testing 136</t>
  </si>
  <si>
    <t>Account - 112.1100.139 - Silliker MICROCHEM</t>
  </si>
  <si>
    <t>Silliker MICROCHEM</t>
  </si>
  <si>
    <t>Account - 112.1100.154 - Silliker CHELAB</t>
  </si>
  <si>
    <t>Silliker CHELAB</t>
  </si>
  <si>
    <t>Account - 112.1100.174 - Total Quality Food Cons</t>
  </si>
  <si>
    <t>Total Quality Food Cons</t>
  </si>
  <si>
    <t>Account - 112.1100.110 - Silliker Poland</t>
  </si>
  <si>
    <t>Silliker Poland</t>
  </si>
  <si>
    <t>Account - 112.1100.160 - Silliker Qing Don</t>
  </si>
  <si>
    <t>Silliker Qing Don</t>
  </si>
  <si>
    <t>Account - 112.1100.171 - Merieux Nutrisciences Certification LLC</t>
  </si>
  <si>
    <t>Merieux Nutrisciences Certification LLC 171</t>
  </si>
  <si>
    <t>Account - 112.1100.109 - Silliker Iberica SA</t>
  </si>
  <si>
    <t>Silliker Iberica SA 109</t>
  </si>
  <si>
    <t>Account - 112.1100.201 - KTBA Netherlands</t>
  </si>
  <si>
    <t>KTBA Netherlands</t>
  </si>
  <si>
    <t>Account - 112.1100.103 - Silliker Mexico Sa de CV</t>
  </si>
  <si>
    <t>Silliker Mexico Sa de CV 103</t>
  </si>
  <si>
    <t>Total From Affiliates</t>
  </si>
  <si>
    <t>Total From Affiliates as per G/L</t>
  </si>
  <si>
    <t>Grand Total</t>
  </si>
  <si>
    <t>As per ARTB</t>
  </si>
  <si>
    <t>Run A/R Detail with Aging "As Of" (R03B4201B)</t>
  </si>
  <si>
    <t>Credit Balances in debtors A/c trf to Creditor Control(2005)</t>
  </si>
  <si>
    <t>Customer 20455 Allocation Timing Difference</t>
  </si>
  <si>
    <t>variance</t>
  </si>
  <si>
    <t>Customer 508383 Allocation Timing Difference</t>
  </si>
  <si>
    <t>Account Number - 112.1050.300</t>
  </si>
  <si>
    <t>Made up as Follows</t>
  </si>
  <si>
    <t>Doc No</t>
  </si>
  <si>
    <t>G/L Date</t>
  </si>
  <si>
    <t>Amount</t>
  </si>
  <si>
    <t xml:space="preserve">The logged receipts control account is used when a receipt is recorded in JDE </t>
  </si>
  <si>
    <t>without knowing from whom the money has come.</t>
  </si>
  <si>
    <t>A/R FX REVALUATION OFFSET</t>
  </si>
  <si>
    <t>Account Number  - 112.1050.200</t>
  </si>
  <si>
    <t>JX 405823 Unrealized Gain/Loss for Dec 15</t>
  </si>
  <si>
    <t>JDE system generated calculation attached</t>
  </si>
  <si>
    <t>Invoice to Issue</t>
  </si>
  <si>
    <t>Account Number - 112.1060</t>
  </si>
  <si>
    <t>Accrual for Audit Income</t>
  </si>
  <si>
    <t>Reversal</t>
  </si>
  <si>
    <t>Accrual for Audit Income - Intercompany</t>
  </si>
  <si>
    <t>Accrual for Audit Credit Note</t>
  </si>
  <si>
    <t>Accrue for TS - Food</t>
  </si>
  <si>
    <t>Accrue for TS - NF</t>
  </si>
  <si>
    <t>EMAP Revenue Accual</t>
  </si>
  <si>
    <t>570 &amp; 580 Status Revenue Accruals - Micro &amp; Chem</t>
  </si>
  <si>
    <t>571 status Revenue Accruals - SC Micro</t>
  </si>
  <si>
    <t>Other status Revenue Accruals - SC Micro</t>
  </si>
  <si>
    <t>Science Center Accrual</t>
  </si>
  <si>
    <t>Balance - small sundries</t>
  </si>
  <si>
    <t>Provision for Client Claims (Credit Notes to Issue)</t>
  </si>
  <si>
    <t>Account Number 112.1070</t>
  </si>
  <si>
    <t>Estimate of Rebate for:</t>
  </si>
  <si>
    <t>Lactalis</t>
  </si>
  <si>
    <t xml:space="preserve">Rebate provision </t>
  </si>
  <si>
    <t>Rebate payment (104)</t>
  </si>
  <si>
    <t>Rebate provision balance</t>
  </si>
  <si>
    <t>Others</t>
  </si>
  <si>
    <t>Credit note accruals</t>
  </si>
  <si>
    <t>Lactalis Rebate provision</t>
  </si>
  <si>
    <t>Opening Balance</t>
  </si>
  <si>
    <t>FY22 provision</t>
  </si>
  <si>
    <t>FY22 Payment</t>
  </si>
  <si>
    <t>Current balance for Lactalis Rebate</t>
  </si>
  <si>
    <t>Credit note:</t>
  </si>
  <si>
    <t>General Mills</t>
  </si>
  <si>
    <t>SPF Diana</t>
  </si>
  <si>
    <t>Lipa Pharma</t>
  </si>
  <si>
    <t>Hydrochem Melbourne</t>
  </si>
  <si>
    <t>Hydro Flow Pty Ltd (NSW)</t>
  </si>
  <si>
    <t>Allowance for Doubtful Debts</t>
  </si>
  <si>
    <t>Account Number 112.1080</t>
  </si>
  <si>
    <t>As per impairment calculation attached/Provison required as per provision report</t>
  </si>
  <si>
    <t>(Surplus)/Deficit to be journalled</t>
  </si>
  <si>
    <t>Advances toSuppliers</t>
  </si>
  <si>
    <t>Account Number - 112.1120</t>
  </si>
  <si>
    <t>Made up of</t>
  </si>
  <si>
    <t>Deposits</t>
  </si>
  <si>
    <t>Account  - 112.1120.100</t>
  </si>
  <si>
    <t>Donation Received</t>
  </si>
  <si>
    <t>Accrued Revenue</t>
  </si>
  <si>
    <t>Account Number - 112.1140</t>
  </si>
  <si>
    <t>Terms</t>
  </si>
  <si>
    <t>Interest Rate</t>
  </si>
  <si>
    <t>Lodgement Date</t>
  </si>
  <si>
    <t>Total Days</t>
  </si>
  <si>
    <t>Interest earned at end of month</t>
  </si>
  <si>
    <t>6 months</t>
  </si>
  <si>
    <t>11 months</t>
  </si>
  <si>
    <t>Monthly Accrue</t>
  </si>
  <si>
    <t>112.1140</t>
  </si>
  <si>
    <t>12019799.5910</t>
  </si>
  <si>
    <t>* Monthly recurring jnl</t>
  </si>
  <si>
    <t>Other Receivables</t>
  </si>
  <si>
    <t>Account Number - 112.1190</t>
  </si>
  <si>
    <t>Netting Suspense</t>
  </si>
  <si>
    <t>Account Number - 112.1190.200</t>
  </si>
  <si>
    <t>Explanation</t>
  </si>
  <si>
    <t>Inventory</t>
  </si>
  <si>
    <t>Account Number - 112.1220</t>
  </si>
  <si>
    <t>As per attached stock sheets</t>
  </si>
  <si>
    <t>Microbiology</t>
  </si>
  <si>
    <t>Chemistry</t>
  </si>
  <si>
    <t>Admin</t>
  </si>
  <si>
    <t>Material Cost for next month</t>
  </si>
  <si>
    <t>Prepaid Expenses</t>
  </si>
  <si>
    <t>Account Number - 112.1250</t>
  </si>
  <si>
    <t>Refer to attached prepayment schedule</t>
  </si>
  <si>
    <t>Prepayments (Per schedule)</t>
  </si>
  <si>
    <t>Work in Progress</t>
  </si>
  <si>
    <t>Account Number - 112.1270</t>
  </si>
  <si>
    <t xml:space="preserve">WIP  Valuation of Tests in Progress - Microbiology </t>
  </si>
  <si>
    <t>WIP  Valuation of Tests in Progress - Microbiology Science Centre</t>
  </si>
  <si>
    <t>WIP  Valuation of Tests in Progress - Chemistry</t>
  </si>
  <si>
    <t>WIP  Valuation  - Technical Service</t>
  </si>
  <si>
    <t xml:space="preserve">Total </t>
  </si>
  <si>
    <t>Deferred Tax Assets Current</t>
  </si>
  <si>
    <t>Account Number - 112.1290</t>
  </si>
  <si>
    <t>DTA Calculation FY21</t>
  </si>
  <si>
    <t>Adjustment</t>
  </si>
  <si>
    <t>Construction in progress</t>
  </si>
  <si>
    <t>Account Number - 112.1380</t>
  </si>
  <si>
    <t>Leasehold Improvements</t>
  </si>
  <si>
    <t>Account Number - 112.1370</t>
  </si>
  <si>
    <t>Balance as per FA register (Asset Group 25)</t>
  </si>
  <si>
    <t>Leased Assets Upload(JE 3281)</t>
  </si>
  <si>
    <t xml:space="preserve">Accumulated Depreciation on Leasehold </t>
  </si>
  <si>
    <t>Account Number - 112.1520</t>
  </si>
  <si>
    <t>Motor Vehicles</t>
  </si>
  <si>
    <t>Account Number - 112.1400</t>
  </si>
  <si>
    <t>Balance as per FA register (Asset Group 30)</t>
  </si>
  <si>
    <t>Accumulated Depreciation on Motor Vehicles</t>
  </si>
  <si>
    <t>Account Number - 112.1470</t>
  </si>
  <si>
    <t xml:space="preserve">Computer Hardware </t>
  </si>
  <si>
    <t>Account Number - 112.1410</t>
  </si>
  <si>
    <t>Balance as per FA register (Asset Group 70)</t>
  </si>
  <si>
    <t>Accumulated Depreciation on Computer Hardware</t>
  </si>
  <si>
    <t>Account Number - 112.1480</t>
  </si>
  <si>
    <t xml:space="preserve">Computer Software </t>
  </si>
  <si>
    <t>Account Number - 112.1420</t>
  </si>
  <si>
    <t>Balance as per FA register (Asset Group 60)</t>
  </si>
  <si>
    <t>Accumulated Depreciation on Computer Software</t>
  </si>
  <si>
    <t>Account Number - 112.1490</t>
  </si>
  <si>
    <t>Plant and Equipment</t>
  </si>
  <si>
    <t>Account Number - 112.1430</t>
  </si>
  <si>
    <t>Balance as per FA register (Asset Group 40)</t>
  </si>
  <si>
    <t xml:space="preserve">Accumulated Depreciation </t>
  </si>
  <si>
    <t>Account Number  - 112.1500</t>
  </si>
  <si>
    <t>Furniture and Fittings</t>
  </si>
  <si>
    <t>Account Number - 112.1450</t>
  </si>
  <si>
    <t>Balance as per FA register (Asset Group 50)</t>
  </si>
  <si>
    <t>Accumulated Depreciation on F&amp;F</t>
  </si>
  <si>
    <t>Account Number - 112.1510</t>
  </si>
  <si>
    <t xml:space="preserve">Goodwill  </t>
  </si>
  <si>
    <t>Account Number - 112.1560</t>
  </si>
  <si>
    <t>Balance carried forward</t>
  </si>
  <si>
    <t>Goodwill re DL shares</t>
  </si>
  <si>
    <t>Goodwill re PISC shares</t>
  </si>
  <si>
    <t>Amdel Purchase</t>
  </si>
  <si>
    <t>Goodwill merger</t>
  </si>
  <si>
    <t>Goodwill Stanford</t>
  </si>
  <si>
    <t>Acquisition Costs Stanford</t>
  </si>
  <si>
    <t>Microserve</t>
  </si>
  <si>
    <t>DMG Purchases</t>
  </si>
  <si>
    <t>FY15</t>
  </si>
  <si>
    <t>Accumulated Amortisation</t>
  </si>
  <si>
    <t>Account Number - 112.1570</t>
  </si>
  <si>
    <t>Balance carried as per GL</t>
  </si>
  <si>
    <t>(No change since FY15)</t>
  </si>
  <si>
    <t>Deferred Tax Assets L/T</t>
  </si>
  <si>
    <t>Account  Number - 112.1770</t>
  </si>
  <si>
    <t>Right-of-use Buildings</t>
  </si>
  <si>
    <t>Account Number - 112.1850</t>
  </si>
  <si>
    <t>Balance as per IFRS 16 Initial measurement</t>
  </si>
  <si>
    <t>IFRS 16 Initial measurement</t>
  </si>
  <si>
    <t>Rounding</t>
  </si>
  <si>
    <t>Accum Dep Right-of-use Buildings</t>
  </si>
  <si>
    <t>Account Number - 112.1853</t>
  </si>
  <si>
    <t>Lease Dep Expense (YTD)</t>
  </si>
  <si>
    <t>Right-of-use Auto</t>
  </si>
  <si>
    <t>Account Number - 112.1851</t>
  </si>
  <si>
    <t>Accum Dep Right-of-use Auto</t>
  </si>
  <si>
    <t>Account Number - 112.1854</t>
  </si>
  <si>
    <t>Right-of-use Equipment</t>
  </si>
  <si>
    <t>Account Number - 112.1852</t>
  </si>
  <si>
    <t>Accum Dep Right-of-use Equipment</t>
  </si>
  <si>
    <t>Account Number - 112.1855</t>
  </si>
  <si>
    <t>Creditor Control</t>
  </si>
  <si>
    <t>Account  Number- 112.2020</t>
  </si>
  <si>
    <t>112.2020 - Accounts Payable</t>
  </si>
  <si>
    <t>112.1120 - Advances Paid to Suppliers</t>
  </si>
  <si>
    <t>112.2150 - PAYG Payable (in the AP TB under vendor 40789)</t>
  </si>
  <si>
    <t>112.2230.100 Withholding Tax Payable (Volunteers)</t>
  </si>
  <si>
    <t>Total Trade Payables</t>
  </si>
  <si>
    <t>112.2070.104 Silliker France</t>
  </si>
  <si>
    <t>112.2070.109 SILLIKER IBERICA SA</t>
  </si>
  <si>
    <t>112.2070.111 SILLIKER CANADA ULC</t>
  </si>
  <si>
    <t>112.2070.113 Silliker USA</t>
  </si>
  <si>
    <t>112.2070.117 MNS USA</t>
  </si>
  <si>
    <t>112.2070.136 Shanghai Testing</t>
  </si>
  <si>
    <t>112.2070.138 BIOFORTIS</t>
  </si>
  <si>
    <t>112.2070.139 MICROCHEM</t>
  </si>
  <si>
    <t>112.2070.152 SWIFT SILLIKER</t>
  </si>
  <si>
    <t>112.2070.154 - Silliker - Chelab Itlay</t>
  </si>
  <si>
    <t>112.2070.129 - JR LABORATORY INC</t>
  </si>
  <si>
    <t>112.2070.160 - SINO Analytica Qingdao</t>
  </si>
  <si>
    <t>112.2070.178 - LABSER</t>
  </si>
  <si>
    <t>112.2070.180 - MXNS Digital Solution LLC</t>
  </si>
  <si>
    <t>112.2070.186 - Merieux Nutrisciences India</t>
  </si>
  <si>
    <t>112.2070.177 - EMAP HOLDING</t>
  </si>
  <si>
    <t>112.2070.171 - Merieux Nutrisciences Certification</t>
  </si>
  <si>
    <t>112.2070.190 - Institut Kirchhoff Berlin GmbH</t>
  </si>
  <si>
    <t>Balance as per Creditor Summary Trial Balance</t>
  </si>
  <si>
    <t>A/P FX Revaluation Offset</t>
  </si>
  <si>
    <t>Account Number - 112.2020.200</t>
  </si>
  <si>
    <t>JX 405822 Unrealized Gain &amp; Lose for Feb 15</t>
  </si>
  <si>
    <t>Accrued Liabilities - Trade Payable</t>
  </si>
  <si>
    <t>Account Number - 112.2040.100</t>
  </si>
  <si>
    <t>As per Accrued Exp schedule</t>
  </si>
  <si>
    <t>Provision for Audit Fees</t>
  </si>
  <si>
    <t>Account Number - 112.2040.200</t>
  </si>
  <si>
    <t xml:space="preserve">Opening Balance </t>
  </si>
  <si>
    <t>YTD Audit Fee O/B Accrual</t>
  </si>
  <si>
    <t>YTD Audit Fee Accrual FY22</t>
  </si>
  <si>
    <t xml:space="preserve">Monthly Accrual </t>
  </si>
  <si>
    <t xml:space="preserve">YTD Ernst &amp; Young Audit Fee </t>
  </si>
  <si>
    <t>Payment and adjustment for FY21</t>
  </si>
  <si>
    <t xml:space="preserve">Final Audit FY21 Ernst &amp; Young Audit Fee </t>
  </si>
  <si>
    <t>Audit Fee Accrual Release in Nov 21</t>
  </si>
  <si>
    <t>Current accrual</t>
  </si>
  <si>
    <t>Under/(Over) Accrual FY21</t>
  </si>
  <si>
    <t>Property</t>
  </si>
  <si>
    <t>Eagle Farm, QLD</t>
  </si>
  <si>
    <t>Expense Year</t>
  </si>
  <si>
    <t xml:space="preserve">Amount </t>
  </si>
  <si>
    <t>Lease Start Date</t>
  </si>
  <si>
    <t>2014</t>
  </si>
  <si>
    <t>Lease Term</t>
  </si>
  <si>
    <t>5 years</t>
  </si>
  <si>
    <t>2015</t>
  </si>
  <si>
    <t>Rent for 1st year</t>
  </si>
  <si>
    <t>2016</t>
  </si>
  <si>
    <t>Provision for Lease Liability</t>
  </si>
  <si>
    <t>Fixed increases</t>
  </si>
  <si>
    <t>2017</t>
  </si>
  <si>
    <t>Rent free period</t>
  </si>
  <si>
    <t>months</t>
  </si>
  <si>
    <t>2018</t>
  </si>
  <si>
    <t>Account Number - 112.2040.300</t>
  </si>
  <si>
    <t>Value of rent free period</t>
  </si>
  <si>
    <t>2019</t>
  </si>
  <si>
    <t>Monthly Rent as per contract</t>
  </si>
  <si>
    <t>Average rent per month</t>
  </si>
  <si>
    <t>Per lease schedule</t>
  </si>
  <si>
    <t>Month</t>
  </si>
  <si>
    <t>Period</t>
  </si>
  <si>
    <t>Invoice Amount</t>
  </si>
  <si>
    <t>Monthly rent</t>
  </si>
  <si>
    <t>Liabilty Adjustment Value</t>
  </si>
  <si>
    <t>Accrued Liabilty</t>
  </si>
  <si>
    <t>GL account 2040.300 JA387072</t>
  </si>
  <si>
    <t>Account Number - 112.2050</t>
  </si>
  <si>
    <t>Goods Received Not Vouchered Account</t>
  </si>
  <si>
    <t>Account Number - 112.2055</t>
  </si>
  <si>
    <t xml:space="preserve">Made up of </t>
  </si>
  <si>
    <t>See schedule Attached</t>
  </si>
  <si>
    <t>Balance as per GRNV</t>
  </si>
  <si>
    <t>Account Number - 112.2115</t>
  </si>
  <si>
    <t>PAYG  Clearing (Payroll Withholding)</t>
  </si>
  <si>
    <t>Account Number - 112.2150</t>
  </si>
  <si>
    <t>Accrued Payroll</t>
  </si>
  <si>
    <t>Account Number - 112.2160</t>
  </si>
  <si>
    <t>Payroll Clearing Account</t>
  </si>
  <si>
    <t>Account Number - 112.2160.100</t>
  </si>
  <si>
    <t>12020800.4010.100</t>
  </si>
  <si>
    <t>112.2160.100</t>
  </si>
  <si>
    <t>Superannuation Clearing Account</t>
  </si>
  <si>
    <t>Account Number 112.2160.200</t>
  </si>
  <si>
    <t xml:space="preserve">Superannuation to be paid in next quarter: </t>
  </si>
  <si>
    <t>QTR Payment (Pay in Oct)</t>
  </si>
  <si>
    <t>FN05072022</t>
  </si>
  <si>
    <t>FN19072022</t>
  </si>
  <si>
    <t>DR</t>
  </si>
  <si>
    <t>112.2160.200</t>
  </si>
  <si>
    <t>CR</t>
  </si>
  <si>
    <t>xxx.4010.100</t>
  </si>
  <si>
    <t>Accrued Payroll Tax Account</t>
  </si>
  <si>
    <t>Account Number - 112.2170</t>
  </si>
  <si>
    <t>Accrual</t>
  </si>
  <si>
    <t>JE 1061755- 15/07/20</t>
  </si>
  <si>
    <t xml:space="preserve">Year end Adjustment </t>
  </si>
  <si>
    <t>Payroll Tax Accruals</t>
  </si>
  <si>
    <t>Payment</t>
  </si>
  <si>
    <t>Office of State Revenue - WA Mar20</t>
  </si>
  <si>
    <t>VIC</t>
  </si>
  <si>
    <t>Office of State Revenue - WA Apr20</t>
  </si>
  <si>
    <t>NSW</t>
  </si>
  <si>
    <t>Office of State Revenue - WA May20</t>
  </si>
  <si>
    <t>QLD</t>
  </si>
  <si>
    <t>Office of State Revenue - WA Jun20</t>
  </si>
  <si>
    <t>WA</t>
  </si>
  <si>
    <t>Office of State Revenue - NSW Jun20</t>
  </si>
  <si>
    <t>Jounal to fix</t>
  </si>
  <si>
    <t>Office of State Revenue - VIC Jun20</t>
  </si>
  <si>
    <t>Office of State Revenue - QLD Jun20</t>
  </si>
  <si>
    <t>Accrued FBT Account</t>
  </si>
  <si>
    <t>Account -112. 2170.100</t>
  </si>
  <si>
    <t>FBT Accruals balance</t>
  </si>
  <si>
    <t>2022-2023 FBT Year</t>
  </si>
  <si>
    <t xml:space="preserve">FBT Accruals </t>
  </si>
  <si>
    <t>FBT Instalments Paid (YTD)</t>
  </si>
  <si>
    <t>2021-2022 FBT Year Instalment</t>
  </si>
  <si>
    <t>- Jul 2021</t>
  </si>
  <si>
    <t>- Sep 2021</t>
  </si>
  <si>
    <t>- Dec 2021</t>
  </si>
  <si>
    <t>- Mar 2022</t>
  </si>
  <si>
    <t>2022 FBT Year Refund</t>
  </si>
  <si>
    <t>- Jul 2022</t>
  </si>
  <si>
    <t>- Sep 2022</t>
  </si>
  <si>
    <t>- Dec 2022</t>
  </si>
  <si>
    <t>- Mar 2023</t>
  </si>
  <si>
    <t>refund</t>
  </si>
  <si>
    <t>Annual Leave &amp; Leave Loading</t>
  </si>
  <si>
    <t>Account Number - 112.2180.100 &amp; 2180.200</t>
  </si>
  <si>
    <t>Annual Leave - 112.2180.100</t>
  </si>
  <si>
    <t>Balance as per Trial blanace</t>
  </si>
  <si>
    <t xml:space="preserve">Total Balance as per AL </t>
  </si>
  <si>
    <t>Opening Bal FY20</t>
  </si>
  <si>
    <t>Provision (YTD)</t>
  </si>
  <si>
    <t>Payments (YTD)</t>
  </si>
  <si>
    <t>Transferred</t>
  </si>
  <si>
    <t>Total Balance</t>
  </si>
  <si>
    <t>G/L</t>
  </si>
  <si>
    <t>Difference</t>
  </si>
  <si>
    <t>AL Calculation</t>
  </si>
  <si>
    <t>Annual Leave Loading- 112.2180.200</t>
  </si>
  <si>
    <t>112.2180.100</t>
  </si>
  <si>
    <t>Provision</t>
  </si>
  <si>
    <t>Transferred to Accured Annual Leave Loading</t>
  </si>
  <si>
    <t>112.2180.200</t>
  </si>
  <si>
    <t>Long Service Leave</t>
  </si>
  <si>
    <t>Account Number - 112.2180.300 &amp; 2180.400</t>
  </si>
  <si>
    <t>Long Service Leave - Current -112.2180.300</t>
  </si>
  <si>
    <t xml:space="preserve">Total Balance as per LSL </t>
  </si>
  <si>
    <t>LSL Calculation</t>
  </si>
  <si>
    <t>Long Service Leave - Non Current - 112.2180.400</t>
  </si>
  <si>
    <t>Total Balance as per LSL</t>
  </si>
  <si>
    <t>112.2180.300</t>
  </si>
  <si>
    <t>Transferred to LSL Non Current</t>
  </si>
  <si>
    <t>112.2180.400</t>
  </si>
  <si>
    <t>Provision for Employee Bonuses</t>
  </si>
  <si>
    <t>Account - 112.2190.100</t>
  </si>
  <si>
    <t>Banlace as per Trial Balance</t>
  </si>
  <si>
    <t>Accrued</t>
  </si>
  <si>
    <t>Paid</t>
  </si>
  <si>
    <t>Reversed</t>
  </si>
  <si>
    <t>Balance</t>
  </si>
  <si>
    <t>Movement</t>
  </si>
  <si>
    <t>Closing Balance</t>
  </si>
  <si>
    <t>Income Tax Provision</t>
  </si>
  <si>
    <t>Account Number - 112.2210</t>
  </si>
  <si>
    <t>Instalment Payment OB</t>
  </si>
  <si>
    <t xml:space="preserve">Less: Instalment Payment </t>
  </si>
  <si>
    <t>Add: Income Tax Expense for FY20</t>
  </si>
  <si>
    <t>Add: Income Tax credit for FY22</t>
  </si>
  <si>
    <t>GST Accounts Reconciliations</t>
  </si>
  <si>
    <t>Account Number - 112.2220</t>
  </si>
  <si>
    <t>Previous month bal</t>
  </si>
  <si>
    <t>112.2220 - GST Clearing</t>
  </si>
  <si>
    <t>112.2220 - GST Purch</t>
  </si>
  <si>
    <t>112.2220 - GST Sales</t>
  </si>
  <si>
    <t>112.2220 - VAT Payable</t>
  </si>
  <si>
    <t>Balance as per GL (GST Payable)</t>
  </si>
  <si>
    <t>Net GST Refundable/ (payable) as per BAS</t>
  </si>
  <si>
    <t>Withholding Tax Payable</t>
  </si>
  <si>
    <t>Account Number - 112.2230.100</t>
  </si>
  <si>
    <t>Volunteers</t>
  </si>
  <si>
    <t>Nat-Tech Schedule</t>
  </si>
  <si>
    <t>Instalment</t>
  </si>
  <si>
    <t>Current</t>
  </si>
  <si>
    <t>Non-Current</t>
  </si>
  <si>
    <t>Other Liabilities</t>
  </si>
  <si>
    <t>Account Number - 112.2245</t>
  </si>
  <si>
    <t>Per schedule</t>
  </si>
  <si>
    <t>Provision for Litigation</t>
  </si>
  <si>
    <t>Account Number - 112.2260</t>
  </si>
  <si>
    <t>Account Number - 112.2270</t>
  </si>
  <si>
    <t>Reserve for claims pending:</t>
  </si>
  <si>
    <t>Club Trading</t>
  </si>
  <si>
    <t>Deferred Income</t>
  </si>
  <si>
    <t>Account Number - 112.2310</t>
  </si>
  <si>
    <t>ALDI FS (YTD)</t>
  </si>
  <si>
    <t>ALDI NFS (YTD)</t>
  </si>
  <si>
    <t>Deferred Tax Liability</t>
  </si>
  <si>
    <t>Account Number - 112.2330</t>
  </si>
  <si>
    <t>DTL Calculation FY21</t>
  </si>
  <si>
    <t>Group Loan</t>
  </si>
  <si>
    <t>Account Number - 112.2480</t>
  </si>
  <si>
    <t>Merieux NutriSciences - Received 19/02/19</t>
  </si>
  <si>
    <t>Merieux NutriSciences - Received 20/03/19</t>
  </si>
  <si>
    <t>Merieux NutriSciences - Received 10/05/19</t>
  </si>
  <si>
    <t>Merieux NutriSciences - Received 17/06/19</t>
  </si>
  <si>
    <t>Merieux NutriSciences - Received 23/07/19</t>
  </si>
  <si>
    <t>Merieux NutriSciences - Received 23/08/19</t>
  </si>
  <si>
    <t>Merieux NutriSciences - Received 27/09/19</t>
  </si>
  <si>
    <t>Merieux NutriSciences - Received 17/12/19</t>
  </si>
  <si>
    <t>Merieux NutriSciences - Received 17/08/20</t>
  </si>
  <si>
    <t>Merieux NutriSciences - Received 16/03/21</t>
  </si>
  <si>
    <t>Merieux NutriSciences - Debt Capitalisation 10/04/21</t>
  </si>
  <si>
    <t>Merieux NutriSciences - Received 13/07/21</t>
  </si>
  <si>
    <t>Merieux NutriSciences - Received 13/04/22</t>
  </si>
  <si>
    <t>Merieux NutriSciences - Received 12/8/22</t>
  </si>
  <si>
    <t>Other Liabilities - Long Term</t>
  </si>
  <si>
    <t>Account Number - 112.2490</t>
  </si>
  <si>
    <t>Refer to rec St Debt - 2245</t>
  </si>
  <si>
    <t>Account Number - 112.2421</t>
  </si>
  <si>
    <t xml:space="preserve"> Calculation</t>
  </si>
  <si>
    <t>Common Stock</t>
  </si>
  <si>
    <t>Account Number - 112.2911</t>
  </si>
  <si>
    <t>Paid Up Capital</t>
  </si>
  <si>
    <t xml:space="preserve">Closing Balance </t>
  </si>
  <si>
    <t>Retained Earnings</t>
  </si>
  <si>
    <t>Account Number - 112.2931</t>
  </si>
  <si>
    <t xml:space="preserve">Balance Balance c/f </t>
  </si>
  <si>
    <t>Account - 112.2931.100</t>
  </si>
  <si>
    <t>Blance as per Trial Balance</t>
  </si>
  <si>
    <t>Opening Amount</t>
  </si>
  <si>
    <t>Lease Adjustment</t>
  </si>
  <si>
    <t>Opening Balance c/f</t>
  </si>
  <si>
    <t>Lease Contract Adjustment</t>
  </si>
  <si>
    <t>Goodwill &amp; Retained earnings</t>
  </si>
  <si>
    <t>aligning with stat account</t>
  </si>
  <si>
    <t>3rd Pay Period ending 30/8/202</t>
  </si>
  <si>
    <t>2nd Pay Period ending 16/8/202</t>
  </si>
  <si>
    <t>1st Pay Period ending 2/8/2022</t>
  </si>
  <si>
    <t>Super Bounced- Janis Ramalinga 300822</t>
  </si>
  <si>
    <t>Acumen Scientific Sdn Bhd.</t>
  </si>
  <si>
    <t>1510C0</t>
  </si>
  <si>
    <t>SWIFT Silliker</t>
  </si>
  <si>
    <t>PROCEEDS - TANGIB .ASSET</t>
  </si>
  <si>
    <t>775200LP</t>
  </si>
  <si>
    <t>CERTIFICATION FEES (ANNUAL FEE</t>
  </si>
  <si>
    <t>720007LP</t>
  </si>
  <si>
    <t>720007GA</t>
  </si>
  <si>
    <t>LEGAL FEES</t>
  </si>
  <si>
    <t>620009GA</t>
  </si>
  <si>
    <t>Account - 112.1100.192 - Merieux Malaysia SDN</t>
  </si>
  <si>
    <t>Merieux Malaysia SDN 192</t>
  </si>
  <si>
    <t>Offset By Document RC 1290216</t>
  </si>
  <si>
    <t>J:\Financial Reporting\FY22\Stock\WIP</t>
  </si>
  <si>
    <t>Est for audit FY22 (based on Lowe Lippmann engagaement letter)</t>
  </si>
  <si>
    <t>2nd Pay Period ending 27/9/202</t>
  </si>
  <si>
    <t>3 Day Accrued Payroll Sep 22</t>
  </si>
  <si>
    <t>1st Pay Period ending 13/9/202</t>
  </si>
  <si>
    <t>Super Bounced - Radha Ikshita</t>
  </si>
  <si>
    <t>Ateev Vohra 07&amp;21JUL&amp;04$08Aug</t>
  </si>
  <si>
    <t>SUPER PPE 16.08.2022</t>
  </si>
  <si>
    <t>19SEP2022 DED Ateev Vohra</t>
  </si>
  <si>
    <t>Credit Refund to Uphamgo Australia</t>
  </si>
  <si>
    <t>645100LP</t>
  </si>
  <si>
    <t>OSI International Foods (Eagle Farms)</t>
  </si>
  <si>
    <t>Bubs</t>
  </si>
  <si>
    <t>Payroll Tax Sep Actual entered in Sep</t>
  </si>
  <si>
    <t>Super Bouced back (to be adjusted in next Quarter payment)</t>
  </si>
  <si>
    <t>EQUIPMENT REPAIR-FIXED ASSETS</t>
  </si>
  <si>
    <t>FY23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</si>
</sst>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6" formatCode="&quot;$&quot;#,##0;[Red]\-&quot;$&quot;#,##0"/>
    <numFmt numFmtId="8" formatCode="&quot;$&quot;#,##0.00;[Red]\-&quot;$&quot;#,##0.00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_ ;[Red]\-#,##0\ "/>
    <numFmt numFmtId="165" formatCode="0.000"/>
    <numFmt numFmtId="166" formatCode="_(&quot;$&quot;* #,##0.00_);_(&quot;$&quot;* \(#,##0.00\);_(&quot;$&quot;* &quot;-&quot;??_);_(@_)"/>
    <numFmt numFmtId="167" formatCode="_-* #,##0.00\ _F_-;\-* #,##0.00\ _F_-;_-* &quot;-&quot;??\ _F_-;_-@_-"/>
    <numFmt numFmtId="168" formatCode="_(&quot;€&quot;* #,##0.00_);_(&quot;€&quot;* \(#,##0.00\);_(&quot;€&quot;* &quot;-&quot;??_);_(@_)"/>
    <numFmt numFmtId="169" formatCode="_-* #,##0.00\ _€_-;\-* #,##0.00\ _€_-;_-* &quot;-&quot;??\ _€_-;_-@_-"/>
    <numFmt numFmtId="170" formatCode="_(&quot;€&quot;* #,##0_);_(&quot;€&quot;* \(#,##0\);_(&quot;€&quot;* &quot;-&quot;_);_(@_)"/>
    <numFmt numFmtId="171" formatCode="_(* #,##0.00_);_(* \(#,##0.00\);_(* &quot;-&quot;??_);_(@_)"/>
    <numFmt numFmtId="172" formatCode="_-* #,##0.00\ &quot;F&quot;_-;\-* #,##0.00\ &quot;F&quot;_-;_-* &quot;-&quot;??\ &quot;F&quot;_-;_-@_-"/>
    <numFmt numFmtId="173" formatCode="_([$€]* #,##0.00_);_([$€]* \(#,##0.00\);_([$€]* &quot;-&quot;??_);_(@_)"/>
    <numFmt numFmtId="174" formatCode="#,##0.00_ ;[Red]\-#,##0.00\ "/>
    <numFmt numFmtId="175" formatCode="_-* #,##0_-;\-* #,##0_-;_-* &quot;-&quot;??_-;_-@_-"/>
    <numFmt numFmtId="176" formatCode="0.0000"/>
    <numFmt numFmtId="177" formatCode="#,##0.00;\(#,##0.00\)"/>
    <numFmt numFmtId="178" formatCode="#,##0.0"/>
    <numFmt numFmtId="179" formatCode="d/m/yy;@"/>
    <numFmt numFmtId="180" formatCode="d/mm/yy;@"/>
    <numFmt numFmtId="181" formatCode="_-* #,##0.0000_-;\-* #,##0.0000_-;_-* &quot;-&quot;??_-;_-@_-"/>
  </numFmts>
  <fonts count="87">
    <font>
      <sz val="10"/>
      <name val="Arial"/>
      <charset val="13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i/>
      <sz val="8"/>
      <color rgb="FF0070C0"/>
      <name val="Arial"/>
      <family val="2"/>
    </font>
    <font>
      <i/>
      <sz val="10"/>
      <color rgb="FF0070C0"/>
      <name val="Arial"/>
      <family val="2"/>
    </font>
    <font>
      <i/>
      <sz val="8"/>
      <name val="Arial"/>
      <family val="2"/>
    </font>
    <font>
      <i/>
      <sz val="10"/>
      <name val="Arial"/>
      <family val="2"/>
    </font>
    <font>
      <b/>
      <i/>
      <sz val="10"/>
      <color rgb="FF0070C0"/>
      <name val="Arial"/>
      <family val="2"/>
    </font>
    <font>
      <b/>
      <i/>
      <sz val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i/>
      <sz val="9"/>
      <color rgb="FF0070C0"/>
      <name val="Arial"/>
      <family val="2"/>
    </font>
    <font>
      <i/>
      <sz val="10"/>
      <color rgb="FF00B0F0"/>
      <name val="Arial"/>
      <family val="2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8"/>
      <color rgb="FF0070C0"/>
      <name val="Arial"/>
      <family val="2"/>
    </font>
    <font>
      <sz val="10"/>
      <color rgb="FF00B0F0"/>
      <name val="Arial"/>
      <family val="2"/>
    </font>
    <font>
      <sz val="11"/>
      <name val="Calibri"/>
      <family val="2"/>
      <scheme val="minor"/>
    </font>
    <font>
      <b/>
      <sz val="11"/>
      <color theme="3"/>
      <name val="Calibri"/>
      <family val="2"/>
    </font>
    <font>
      <b/>
      <sz val="13"/>
      <color theme="3"/>
      <name val="Calibri"/>
      <family val="2"/>
      <scheme val="minor"/>
    </font>
    <font>
      <sz val="11"/>
      <color rgb="FF9C0006"/>
      <name val="Calibri"/>
      <family val="2"/>
    </font>
    <font>
      <sz val="11"/>
      <color theme="0"/>
      <name val="Calibri"/>
      <family val="2"/>
      <scheme val="minor"/>
    </font>
    <font>
      <i/>
      <sz val="11"/>
      <color indexed="23"/>
      <name val="Calibri"/>
      <family val="2"/>
    </font>
    <font>
      <sz val="11"/>
      <color indexed="9"/>
      <name val="Calibri"/>
      <family val="2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1"/>
    </font>
    <font>
      <b/>
      <sz val="18"/>
      <color theme="3"/>
      <name val="Cambria"/>
      <family val="1"/>
      <scheme val="major"/>
    </font>
    <font>
      <b/>
      <sz val="11"/>
      <color theme="3"/>
      <name val="Calibri"/>
      <family val="2"/>
      <scheme val="minor"/>
    </font>
    <font>
      <b/>
      <sz val="13"/>
      <color indexed="62"/>
      <name val="Calibri"/>
      <family val="2"/>
    </font>
    <font>
      <sz val="11"/>
      <color rgb="FF3F3F76"/>
      <name val="Calibri"/>
      <family val="2"/>
    </font>
    <font>
      <sz val="11"/>
      <color rgb="FF3F3F76"/>
      <name val="Calibri"/>
      <family val="2"/>
      <scheme val="minor"/>
    </font>
    <font>
      <b/>
      <sz val="11"/>
      <color indexed="62"/>
      <name val="Calibri"/>
      <family val="2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Times New Roman"/>
      <family val="1"/>
    </font>
    <font>
      <sz val="11"/>
      <color rgb="FF9C6500"/>
      <name val="Calibri"/>
      <family val="2"/>
    </font>
    <font>
      <sz val="11"/>
      <color rgb="FF9C6500"/>
      <name val="Calibri"/>
      <family val="2"/>
      <scheme val="minor"/>
    </font>
    <font>
      <b/>
      <sz val="18"/>
      <color indexed="62"/>
      <name val="Cambria"/>
      <family val="1"/>
    </font>
    <font>
      <sz val="11"/>
      <color rgb="FFFA7D00"/>
      <name val="Calibri"/>
      <family val="2"/>
    </font>
    <font>
      <sz val="8"/>
      <name val="Arial"/>
      <family val="2"/>
    </font>
    <font>
      <b/>
      <sz val="11"/>
      <color indexed="9"/>
      <name val="Calibri"/>
      <family val="2"/>
    </font>
    <font>
      <b/>
      <sz val="15"/>
      <color indexed="62"/>
      <name val="Calibri"/>
      <family val="2"/>
    </font>
    <font>
      <b/>
      <sz val="10"/>
      <color indexed="48"/>
      <name val="Century Gothic"/>
      <family val="2"/>
    </font>
    <font>
      <b/>
      <sz val="11"/>
      <color rgb="FF3F3F3F"/>
      <name val="Calibri"/>
      <family val="2"/>
    </font>
    <font>
      <sz val="11"/>
      <color indexed="20"/>
      <name val="Calibri"/>
      <family val="2"/>
    </font>
    <font>
      <sz val="10"/>
      <color rgb="FF000000"/>
      <name val="Arial"/>
      <family val="2"/>
    </font>
    <font>
      <b/>
      <sz val="13"/>
      <color theme="3"/>
      <name val="Calibri"/>
      <family val="2"/>
    </font>
    <font>
      <sz val="11"/>
      <color indexed="10"/>
      <name val="Calibri"/>
      <family val="2"/>
    </font>
    <font>
      <sz val="18"/>
      <color theme="3"/>
      <name val="Cambria"/>
      <family val="1"/>
      <scheme val="major"/>
    </font>
    <font>
      <sz val="11"/>
      <color indexed="58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rgb="FF7F7F7F"/>
      <name val="Calibri"/>
      <family val="2"/>
    </font>
    <font>
      <b/>
      <sz val="11"/>
      <color indexed="52"/>
      <name val="Calibri"/>
      <family val="2"/>
    </font>
    <font>
      <b/>
      <sz val="15"/>
      <color theme="3"/>
      <name val="Calibri"/>
      <family val="2"/>
    </font>
    <font>
      <u/>
      <sz val="10"/>
      <color theme="10"/>
      <name val="Arial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sz val="11"/>
      <color rgb="FF006100"/>
      <name val="Calibri"/>
      <family val="2"/>
    </font>
    <font>
      <b/>
      <sz val="9"/>
      <name val="Tahoma"/>
      <family val="2"/>
    </font>
    <font>
      <sz val="9"/>
      <name val="Tahoma"/>
      <family val="2"/>
    </font>
    <font>
      <sz val="10.5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3"/>
      <name val="Cambria"/>
      <family val="2"/>
      <scheme val="major"/>
    </font>
    <font>
      <b/>
      <sz val="18"/>
      <color indexed="62"/>
      <name val="Cambria"/>
      <family val="2"/>
    </font>
    <font>
      <b/>
      <sz val="18"/>
      <color theme="3"/>
      <name val="Cambria"/>
      <family val="2"/>
    </font>
    <font>
      <sz val="18"/>
      <color theme="3"/>
      <name val="Cambria"/>
      <family val="2"/>
      <scheme val="major"/>
    </font>
  </fonts>
  <fills count="137">
    <fill>
      <patternFill patternType="none"/>
    </fill>
    <fill>
      <patternFill patternType="gray125"/>
    </fill>
    <fill>
      <patternFill patternType="solid">
        <fgColor theme="6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82909634693444"/>
        <bgColor indexed="64"/>
      </patternFill>
    </fill>
    <fill>
      <patternFill patternType="solid">
        <fgColor theme="9" tint="0.79982909634693444"/>
        <bgColor indexed="64"/>
      </patternFill>
    </fill>
    <fill>
      <patternFill patternType="solid">
        <fgColor theme="8" tint="0.59974974822229687"/>
        <bgColor indexed="64"/>
      </patternFill>
    </fill>
    <fill>
      <patternFill patternType="solid">
        <fgColor theme="6" tint="0.5997497482222968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79982909634693444"/>
        <bgColor indexed="64"/>
      </patternFill>
    </fill>
    <fill>
      <patternFill patternType="solid">
        <fgColor theme="6" tint="0.79982909634693444"/>
        <bgColor indexed="64"/>
      </patternFill>
    </fill>
    <fill>
      <patternFill patternType="solid">
        <fgColor theme="5" tint="0.59974974822229687"/>
        <bgColor indexed="64"/>
      </patternFill>
    </fill>
    <fill>
      <patternFill patternType="solid">
        <fgColor theme="9" tint="0.59974974822229687"/>
        <bgColor indexed="64"/>
      </patternFill>
    </fill>
    <fill>
      <patternFill patternType="solid">
        <fgColor theme="4" tint="0.79982909634693444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0.59978026673177287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7" tint="0.79982909634693444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59974974822229687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5" tint="0.5998718222602008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87182226020086"/>
        <bgColor indexed="64"/>
      </patternFill>
    </fill>
    <fill>
      <patternFill patternType="solid">
        <fgColor theme="6" tint="0.5998718222602008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7" tint="0.5999023407696768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5997497482222968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7802667317728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0.5998107852412488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6" tint="0.7998596148564104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7" tint="0.5998718222602008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4" tint="0.59981078524124887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5997802667317728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 tint="0.59987182226020086"/>
        <bgColor indexed="64"/>
      </patternFill>
    </fill>
    <fill>
      <patternFill patternType="solid">
        <fgColor theme="4" tint="0.59978026673177287"/>
        <bgColor indexed="64"/>
      </patternFill>
    </fill>
    <fill>
      <patternFill patternType="solid">
        <fgColor theme="9" tint="0.59981078524124887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59981078524124887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8" tint="0.79985961485641044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0234076967686"/>
        <bgColor indexed="64"/>
      </patternFill>
    </fill>
    <fill>
      <patternFill patternType="solid">
        <fgColor theme="9" tint="0.79985961485641044"/>
        <bgColor indexed="64"/>
      </patternFill>
    </fill>
    <fill>
      <patternFill patternType="solid">
        <fgColor theme="4" tint="0.5999023407696768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5" tint="0.59978026673177287"/>
        <bgColor indexed="64"/>
      </patternFill>
    </fill>
    <fill>
      <patternFill patternType="solid">
        <fgColor theme="8" tint="0.59987182226020086"/>
        <bgColor indexed="64"/>
      </patternFill>
    </fill>
    <fill>
      <patternFill patternType="solid">
        <fgColor theme="8" tint="0.59981078524124887"/>
        <bgColor indexed="64"/>
      </patternFill>
    </fill>
    <fill>
      <patternFill patternType="solid">
        <fgColor theme="6" tint="0.5999023407696768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 tint="0.5999023407696768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8" tint="0.59990234076967686"/>
        <bgColor indexed="64"/>
      </patternFill>
    </fill>
    <fill>
      <patternFill patternType="solid">
        <fgColor theme="8" tint="0.59978026673177287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5998107852412488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89013336588644"/>
        <bgColor indexed="64"/>
      </patternFill>
    </fill>
    <fill>
      <patternFill patternType="solid">
        <fgColor theme="5" tint="0.79989013336588644"/>
        <bgColor indexed="64"/>
      </patternFill>
    </fill>
    <fill>
      <patternFill patternType="solid">
        <fgColor theme="6" tint="0.79989013336588644"/>
        <bgColor indexed="64"/>
      </patternFill>
    </fill>
    <fill>
      <patternFill patternType="solid">
        <fgColor theme="7" tint="0.79989013336588644"/>
        <bgColor indexed="64"/>
      </patternFill>
    </fill>
    <fill>
      <patternFill patternType="solid">
        <fgColor theme="8" tint="0.79989013336588644"/>
        <bgColor indexed="64"/>
      </patternFill>
    </fill>
    <fill>
      <patternFill patternType="solid">
        <fgColor theme="9" tint="0.7998901333658864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ck">
        <color theme="4" tint="0.499893185216834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 tint="0.49977111117893003"/>
      </bottom>
      <diagonal/>
    </border>
    <border>
      <left/>
      <right/>
      <top/>
      <bottom style="thick">
        <color theme="4" tint="0.49967955565050204"/>
      </bottom>
      <diagonal/>
    </border>
    <border>
      <left/>
      <right/>
      <top/>
      <bottom style="medium">
        <color theme="4" tint="0.39994506668294322"/>
      </bottom>
      <diagonal/>
    </border>
    <border>
      <left/>
      <right/>
      <top/>
      <bottom style="thick">
        <color indexed="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theme="4" tint="0.49964903714102604"/>
      </bottom>
      <diagonal/>
    </border>
    <border>
      <left/>
      <right/>
      <top/>
      <bottom style="thick">
        <color theme="4" tint="0.49986266670735802"/>
      </bottom>
      <diagonal/>
    </border>
    <border>
      <left/>
      <right/>
      <top/>
      <bottom style="thick">
        <color theme="4" tint="0.4998016296884060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 tint="0.49971007415997803"/>
      </bottom>
      <diagonal/>
    </border>
  </borders>
  <cellStyleXfs count="2926">
    <xf numFmtId="0" fontId="0" fillId="0" borderId="0"/>
    <xf numFmtId="0" fontId="16" fillId="11" borderId="0" applyNumberFormat="0" applyBorder="0" applyAlignment="0" applyProtection="0"/>
    <xf numFmtId="0" fontId="16" fillId="17" borderId="0" applyNumberFormat="0" applyBorder="0" applyAlignment="0" applyProtection="0"/>
    <xf numFmtId="0" fontId="32" fillId="12" borderId="0" applyNumberFormat="0" applyBorder="0" applyAlignment="0" applyProtection="0"/>
    <xf numFmtId="43" fontId="7" fillId="0" borderId="0" applyFont="0" applyFill="0" applyBorder="0" applyAlignment="0" applyProtection="0"/>
    <xf numFmtId="0" fontId="16" fillId="19" borderId="0" applyNumberFormat="0" applyBorder="0" applyAlignment="0" applyProtection="0"/>
    <xf numFmtId="43" fontId="7" fillId="0" borderId="0" applyFont="0" applyFill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43" fontId="7" fillId="0" borderId="0" applyFont="0" applyFill="0" applyBorder="0" applyProtection="0"/>
    <xf numFmtId="0" fontId="16" fillId="29" borderId="0" applyNumberFormat="0" applyBorder="0" applyAlignment="0" applyProtection="0"/>
    <xf numFmtId="0" fontId="16" fillId="0" borderId="0"/>
    <xf numFmtId="0" fontId="16" fillId="10" borderId="0" applyNumberFormat="0" applyBorder="0" applyAlignment="0" applyProtection="0"/>
    <xf numFmtId="0" fontId="7" fillId="0" borderId="0">
      <alignment vertical="center"/>
    </xf>
    <xf numFmtId="43" fontId="15" fillId="0" borderId="0" applyFont="0" applyFill="0" applyBorder="0" applyAlignment="0" applyProtection="0"/>
    <xf numFmtId="0" fontId="16" fillId="17" borderId="0" applyNumberFormat="0" applyBorder="0" applyAlignment="0" applyProtection="0"/>
    <xf numFmtId="44" fontId="7" fillId="0" borderId="0" applyFont="0" applyFill="0" applyBorder="0" applyAlignment="0" applyProtection="0"/>
    <xf numFmtId="0" fontId="16" fillId="8" borderId="0" applyNumberFormat="0" applyBorder="0" applyAlignment="0" applyProtection="0"/>
    <xf numFmtId="9" fontId="7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/>
    <xf numFmtId="0" fontId="31" fillId="0" borderId="21" applyNumberFormat="0" applyFill="0" applyAlignment="0" applyProtection="0"/>
    <xf numFmtId="0" fontId="16" fillId="11" borderId="0" applyNumberFormat="0" applyBorder="0" applyAlignment="0" applyProtection="0"/>
    <xf numFmtId="0" fontId="16" fillId="9" borderId="0" applyNumberFormat="0" applyBorder="0" applyAlignment="0" applyProtection="0"/>
    <xf numFmtId="0" fontId="16" fillId="0" borderId="0"/>
    <xf numFmtId="0" fontId="16" fillId="11" borderId="0" applyNumberFormat="0" applyBorder="0" applyAlignment="0" applyProtection="0"/>
    <xf numFmtId="0" fontId="16" fillId="9" borderId="0" applyNumberFormat="0" applyBorder="0" applyAlignment="0" applyProtection="0"/>
    <xf numFmtId="43" fontId="15" fillId="0" borderId="0" applyFont="0" applyFill="0" applyBorder="0" applyAlignment="0" applyProtection="0"/>
    <xf numFmtId="0" fontId="16" fillId="37" borderId="0" applyNumberFormat="0" applyBorder="0" applyAlignment="0" applyProtection="0"/>
    <xf numFmtId="0" fontId="16" fillId="9" borderId="0" applyNumberFormat="0" applyBorder="0" applyAlignment="0" applyProtection="0"/>
    <xf numFmtId="0" fontId="16" fillId="11" borderId="0" applyNumberFormat="0" applyBorder="0" applyAlignment="0" applyProtection="0"/>
    <xf numFmtId="43" fontId="15" fillId="0" borderId="0" applyFont="0" applyFill="0" applyBorder="0" applyAlignment="0" applyProtection="0"/>
    <xf numFmtId="0" fontId="16" fillId="17" borderId="0" applyNumberFormat="0" applyBorder="0" applyAlignment="0" applyProtection="0"/>
    <xf numFmtId="0" fontId="16" fillId="0" borderId="0"/>
    <xf numFmtId="0" fontId="16" fillId="0" borderId="0"/>
    <xf numFmtId="0" fontId="19" fillId="39" borderId="0" applyNumberFormat="0" applyBorder="0" applyAlignment="0" applyProtection="0"/>
    <xf numFmtId="0" fontId="16" fillId="23" borderId="0" applyNumberFormat="0" applyBorder="0" applyAlignment="0" applyProtection="0"/>
    <xf numFmtId="0" fontId="16" fillId="20" borderId="0" applyNumberFormat="0" applyBorder="0" applyAlignment="0" applyProtection="0"/>
    <xf numFmtId="43" fontId="7" fillId="0" borderId="0" applyFont="0" applyFill="0" applyBorder="0" applyProtection="0"/>
    <xf numFmtId="0" fontId="35" fillId="31" borderId="0" applyNumberFormat="0" applyBorder="0" applyAlignment="0" applyProtection="0"/>
    <xf numFmtId="0" fontId="16" fillId="16" borderId="0" applyNumberFormat="0" applyBorder="0" applyAlignment="0" applyProtection="0"/>
    <xf numFmtId="43" fontId="15" fillId="0" borderId="0" applyFont="0" applyFill="0" applyBorder="0" applyAlignment="0" applyProtection="0"/>
    <xf numFmtId="0" fontId="16" fillId="0" borderId="0"/>
    <xf numFmtId="0" fontId="19" fillId="20" borderId="0" applyNumberFormat="0" applyBorder="0" applyAlignment="0" applyProtection="0"/>
    <xf numFmtId="0" fontId="16" fillId="44" borderId="0" applyNumberFormat="0" applyBorder="0" applyAlignment="0" applyProtection="0"/>
    <xf numFmtId="43" fontId="7" fillId="0" borderId="0" applyFont="0" applyFill="0" applyBorder="0" applyAlignment="0" applyProtection="0"/>
    <xf numFmtId="0" fontId="16" fillId="24" borderId="0" applyNumberFormat="0" applyBorder="0" applyAlignment="0" applyProtection="0"/>
    <xf numFmtId="0" fontId="35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16" borderId="0" applyNumberFormat="0" applyBorder="0" applyAlignment="0" applyProtection="0"/>
    <xf numFmtId="0" fontId="16" fillId="9" borderId="0" applyNumberFormat="0" applyBorder="0" applyAlignment="0" applyProtection="0"/>
    <xf numFmtId="43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13" borderId="20" applyNumberFormat="0" applyFont="0" applyAlignment="0" applyProtection="0"/>
    <xf numFmtId="0" fontId="16" fillId="19" borderId="0" applyNumberFormat="0" applyBorder="0" applyAlignment="0" applyProtection="0"/>
    <xf numFmtId="0" fontId="19" fillId="17" borderId="0" applyNumberFormat="0" applyBorder="0" applyAlignment="0" applyProtection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6" fillId="20" borderId="0" applyNumberFormat="0" applyBorder="0" applyAlignment="0" applyProtection="0"/>
    <xf numFmtId="43" fontId="7" fillId="0" borderId="0" applyFont="0" applyFill="0" applyBorder="0" applyProtection="0"/>
    <xf numFmtId="0" fontId="16" fillId="54" borderId="0" applyNumberFormat="0" applyBorder="0" applyAlignment="0" applyProtection="0"/>
    <xf numFmtId="43" fontId="7" fillId="0" borderId="0" applyFont="0" applyFill="0" applyBorder="0" applyAlignment="0" applyProtection="0"/>
    <xf numFmtId="0" fontId="16" fillId="24" borderId="0" applyNumberFormat="0" applyBorder="0" applyAlignment="0" applyProtection="0"/>
    <xf numFmtId="0" fontId="35" fillId="53" borderId="0" applyNumberFormat="0" applyBorder="0" applyAlignment="0" applyProtection="0"/>
    <xf numFmtId="0" fontId="16" fillId="29" borderId="0" applyNumberFormat="0" applyBorder="0" applyAlignment="0" applyProtection="0"/>
    <xf numFmtId="9" fontId="7" fillId="0" borderId="0" applyFont="0" applyFill="0" applyBorder="0" applyAlignment="0" applyProtection="0"/>
    <xf numFmtId="0" fontId="53" fillId="48" borderId="0" applyNumberFormat="0" applyBorder="0" applyAlignment="0" applyProtection="0"/>
    <xf numFmtId="0" fontId="16" fillId="29" borderId="0" applyNumberFormat="0" applyBorder="0" applyAlignment="0" applyProtection="0"/>
    <xf numFmtId="0" fontId="16" fillId="8" borderId="0" applyNumberFormat="0" applyBorder="0" applyAlignment="0" applyProtection="0"/>
    <xf numFmtId="0" fontId="16" fillId="19" borderId="0" applyNumberFormat="0" applyBorder="0" applyAlignment="0" applyProtection="0"/>
    <xf numFmtId="43" fontId="7" fillId="0" borderId="0" applyFont="0" applyFill="0" applyBorder="0" applyAlignment="0" applyProtection="0"/>
    <xf numFmtId="0" fontId="16" fillId="56" borderId="0" applyNumberFormat="0" applyBorder="0" applyAlignment="0" applyProtection="0"/>
    <xf numFmtId="43" fontId="15" fillId="0" borderId="0" applyFont="0" applyFill="0" applyBorder="0" applyAlignment="0" applyProtection="0"/>
    <xf numFmtId="0" fontId="16" fillId="8" borderId="0" applyNumberFormat="0" applyBorder="0" applyAlignment="0" applyProtection="0"/>
    <xf numFmtId="0" fontId="35" fillId="46" borderId="0" applyNumberFormat="0" applyBorder="0" applyAlignment="0" applyProtection="0"/>
    <xf numFmtId="167" fontId="7" fillId="0" borderId="0" applyFont="0" applyFill="0" applyBorder="0" applyAlignment="0" applyProtection="0"/>
    <xf numFmtId="0" fontId="16" fillId="29" borderId="0" applyNumberFormat="0" applyBorder="0" applyAlignment="0" applyProtection="0"/>
    <xf numFmtId="0" fontId="16" fillId="18" borderId="0" applyNumberFormat="0" applyBorder="0" applyAlignment="0" applyProtection="0"/>
    <xf numFmtId="0" fontId="55" fillId="0" borderId="0" applyNumberFormat="0" applyFill="0" applyBorder="0" applyAlignment="0" applyProtection="0"/>
    <xf numFmtId="0" fontId="16" fillId="29" borderId="0" applyNumberFormat="0" applyBorder="0" applyAlignment="0" applyProtection="0"/>
    <xf numFmtId="168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6" fillId="17" borderId="0" applyNumberFormat="0" applyBorder="0" applyAlignment="0" applyProtection="0"/>
    <xf numFmtId="0" fontId="16" fillId="19" borderId="0" applyNumberFormat="0" applyBorder="0" applyAlignment="0" applyProtection="0"/>
    <xf numFmtId="43" fontId="7" fillId="0" borderId="0" applyFont="0" applyFill="0" applyBorder="0" applyAlignment="0" applyProtection="0"/>
    <xf numFmtId="0" fontId="35" fillId="21" borderId="0" applyNumberFormat="0" applyBorder="0" applyAlignment="0" applyProtection="0"/>
    <xf numFmtId="0" fontId="19" fillId="20" borderId="0" applyNumberFormat="0" applyBorder="0" applyAlignment="0" applyProtection="0"/>
    <xf numFmtId="43" fontId="7" fillId="0" borderId="0" applyFont="0" applyFill="0" applyBorder="0" applyProtection="0"/>
    <xf numFmtId="0" fontId="16" fillId="61" borderId="0" applyNumberFormat="0" applyBorder="0" applyAlignment="0" applyProtection="0"/>
    <xf numFmtId="0" fontId="16" fillId="24" borderId="0" applyNumberFormat="0" applyBorder="0" applyAlignment="0" applyProtection="0"/>
    <xf numFmtId="0" fontId="16" fillId="8" borderId="0" applyNumberFormat="0" applyBorder="0" applyAlignment="0" applyProtection="0"/>
    <xf numFmtId="0" fontId="35" fillId="60" borderId="0" applyNumberFormat="0" applyBorder="0" applyAlignment="0" applyProtection="0"/>
    <xf numFmtId="0" fontId="33" fillId="21" borderId="0" applyNumberFormat="0" applyBorder="0" applyAlignment="0" applyProtection="0"/>
    <xf numFmtId="0" fontId="7" fillId="39" borderId="31" applyNumberFormat="0" applyFont="0" applyAlignment="0" applyProtection="0"/>
    <xf numFmtId="0" fontId="16" fillId="63" borderId="0" applyNumberFormat="0" applyBorder="0" applyAlignment="0" applyProtection="0"/>
    <xf numFmtId="43" fontId="7" fillId="0" borderId="0" applyFont="0" applyFill="0" applyBorder="0" applyProtection="0"/>
    <xf numFmtId="0" fontId="16" fillId="61" borderId="0" applyNumberFormat="0" applyBorder="0" applyAlignment="0" applyProtection="0"/>
    <xf numFmtId="0" fontId="16" fillId="13" borderId="20" applyNumberFormat="0" applyFont="0" applyAlignment="0" applyProtection="0"/>
    <xf numFmtId="43" fontId="7" fillId="0" borderId="0" applyFont="0" applyFill="0" applyBorder="0" applyAlignment="0" applyProtection="0"/>
    <xf numFmtId="0" fontId="16" fillId="22" borderId="0" applyNumberFormat="0" applyBorder="0" applyAlignment="0" applyProtection="0"/>
    <xf numFmtId="0" fontId="16" fillId="24" borderId="0" applyNumberFormat="0" applyBorder="0" applyAlignment="0" applyProtection="0"/>
    <xf numFmtId="0" fontId="16" fillId="8" borderId="0" applyNumberFormat="0" applyBorder="0" applyAlignment="0" applyProtection="0"/>
    <xf numFmtId="0" fontId="35" fillId="43" borderId="0" applyNumberFormat="0" applyBorder="0" applyAlignment="0" applyProtection="0"/>
    <xf numFmtId="168" fontId="15" fillId="0" borderId="0" applyFont="0" applyFill="0" applyBorder="0" applyAlignment="0" applyProtection="0"/>
    <xf numFmtId="0" fontId="16" fillId="20" borderId="0" applyNumberFormat="0" applyBorder="0" applyAlignment="0" applyProtection="0"/>
    <xf numFmtId="43" fontId="7" fillId="0" borderId="0" applyFont="0" applyFill="0" applyBorder="0" applyProtection="0"/>
    <xf numFmtId="0" fontId="16" fillId="66" borderId="0" applyNumberFormat="0" applyBorder="0" applyAlignment="0" applyProtection="0"/>
    <xf numFmtId="43" fontId="15" fillId="0" borderId="0" applyFont="0" applyFill="0" applyBorder="0" applyAlignment="0" applyProtection="0"/>
    <xf numFmtId="0" fontId="16" fillId="10" borderId="0" applyNumberFormat="0" applyBorder="0" applyAlignment="0" applyProtection="0"/>
    <xf numFmtId="0" fontId="16" fillId="37" borderId="0" applyNumberFormat="0" applyBorder="0" applyAlignment="0" applyProtection="0"/>
    <xf numFmtId="43" fontId="7" fillId="0" borderId="0" applyFont="0" applyFill="0" applyBorder="0" applyAlignment="0" applyProtection="0"/>
    <xf numFmtId="0" fontId="16" fillId="9" borderId="0" applyNumberFormat="0" applyBorder="0" applyAlignment="0" applyProtection="0"/>
    <xf numFmtId="0" fontId="33" fillId="21" borderId="0" applyNumberFormat="0" applyBorder="0" applyAlignment="0" applyProtection="0"/>
    <xf numFmtId="9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20" borderId="0" applyNumberFormat="0" applyBorder="0" applyAlignment="0" applyProtection="0"/>
    <xf numFmtId="43" fontId="7" fillId="0" borderId="0" applyFont="0" applyFill="0" applyBorder="0" applyProtection="0"/>
    <xf numFmtId="169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6" fillId="10" borderId="0" applyNumberFormat="0" applyBorder="0" applyAlignment="0" applyProtection="0"/>
    <xf numFmtId="0" fontId="16" fillId="70" borderId="0" applyNumberFormat="0" applyBorder="0" applyAlignment="0" applyProtection="0"/>
    <xf numFmtId="0" fontId="35" fillId="55" borderId="0" applyNumberFormat="0" applyBorder="0" applyAlignment="0" applyProtection="0"/>
    <xf numFmtId="0" fontId="33" fillId="57" borderId="0" applyNumberFormat="0" applyBorder="0" applyAlignment="0" applyProtection="0"/>
    <xf numFmtId="43" fontId="7" fillId="0" borderId="0" applyFont="0" applyFill="0" applyBorder="0" applyAlignment="0" applyProtection="0"/>
    <xf numFmtId="0" fontId="16" fillId="24" borderId="0" applyNumberFormat="0" applyBorder="0" applyAlignment="0" applyProtection="0"/>
    <xf numFmtId="0" fontId="16" fillId="19" borderId="0" applyNumberFormat="0" applyBorder="0" applyAlignment="0" applyProtection="0"/>
    <xf numFmtId="0" fontId="19" fillId="53" borderId="0" applyNumberFormat="0" applyBorder="0" applyAlignment="0" applyProtection="0"/>
    <xf numFmtId="0" fontId="19" fillId="16" borderId="0" applyNumberFormat="0" applyBorder="0" applyAlignment="0" applyProtection="0"/>
    <xf numFmtId="0" fontId="16" fillId="61" borderId="0" applyNumberFormat="0" applyBorder="0" applyAlignment="0" applyProtection="0"/>
    <xf numFmtId="0" fontId="16" fillId="13" borderId="20" applyNumberFormat="0" applyFont="0" applyAlignment="0" applyProtection="0"/>
    <xf numFmtId="0" fontId="16" fillId="19" borderId="0" applyNumberFormat="0" applyBorder="0" applyAlignment="0" applyProtection="0"/>
    <xf numFmtId="0" fontId="19" fillId="16" borderId="0" applyNumberFormat="0" applyBorder="0" applyAlignment="0" applyProtection="0"/>
    <xf numFmtId="43" fontId="7" fillId="0" borderId="0" applyFont="0" applyFill="0" applyBorder="0" applyAlignment="0" applyProtection="0"/>
    <xf numFmtId="0" fontId="16" fillId="16" borderId="0" applyNumberFormat="0" applyBorder="0" applyAlignment="0" applyProtection="0"/>
    <xf numFmtId="43" fontId="7" fillId="0" borderId="0" applyFont="0" applyFill="0" applyBorder="0" applyProtection="0"/>
    <xf numFmtId="43" fontId="7" fillId="0" borderId="0" applyFont="0" applyFill="0" applyBorder="0" applyAlignment="0" applyProtection="0"/>
    <xf numFmtId="0" fontId="16" fillId="16" borderId="0" applyNumberFormat="0" applyBorder="0" applyAlignment="0" applyProtection="0"/>
    <xf numFmtId="43" fontId="7" fillId="0" borderId="0" applyFont="0" applyFill="0" applyBorder="0" applyProtection="0"/>
    <xf numFmtId="0" fontId="19" fillId="53" borderId="0" applyNumberFormat="0" applyBorder="0" applyAlignment="0" applyProtection="0"/>
    <xf numFmtId="43" fontId="7" fillId="0" borderId="0" applyFont="0" applyFill="0" applyBorder="0" applyAlignment="0" applyProtection="0"/>
    <xf numFmtId="0" fontId="16" fillId="16" borderId="0" applyNumberFormat="0" applyBorder="0" applyAlignment="0" applyProtection="0"/>
    <xf numFmtId="43" fontId="7" fillId="0" borderId="0" applyFont="0" applyFill="0" applyBorder="0" applyAlignment="0" applyProtection="0"/>
    <xf numFmtId="0" fontId="16" fillId="66" borderId="0" applyNumberFormat="0" applyBorder="0" applyAlignment="0" applyProtection="0"/>
    <xf numFmtId="41" fontId="15" fillId="0" borderId="0" applyFont="0" applyFill="0" applyBorder="0" applyAlignment="0" applyProtection="0"/>
    <xf numFmtId="0" fontId="19" fillId="17" borderId="0" applyNumberFormat="0" applyBorder="0" applyAlignment="0" applyProtection="0"/>
    <xf numFmtId="0" fontId="16" fillId="19" borderId="0" applyNumberFormat="0" applyBorder="0" applyAlignment="0" applyProtection="0"/>
    <xf numFmtId="0" fontId="16" fillId="24" borderId="0" applyNumberFormat="0" applyBorder="0" applyAlignment="0" applyProtection="0"/>
    <xf numFmtId="43" fontId="7" fillId="0" borderId="0" applyFont="0" applyFill="0" applyBorder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29" borderId="0" applyNumberFormat="0" applyBorder="0" applyAlignment="0" applyProtection="0"/>
    <xf numFmtId="0" fontId="16" fillId="19" borderId="0" applyNumberFormat="0" applyBorder="0" applyAlignment="0" applyProtection="0"/>
    <xf numFmtId="9" fontId="7" fillId="0" borderId="0" applyFont="0" applyFill="0" applyBorder="0" applyAlignment="0" applyProtection="0"/>
    <xf numFmtId="0" fontId="16" fillId="29" borderId="0" applyNumberFormat="0" applyBorder="0" applyAlignment="0" applyProtection="0"/>
    <xf numFmtId="0" fontId="16" fillId="24" borderId="0" applyNumberFormat="0" applyBorder="0" applyAlignment="0" applyProtection="0"/>
    <xf numFmtId="41" fontId="15" fillId="0" borderId="0" applyFont="0" applyFill="0" applyBorder="0" applyAlignment="0" applyProtection="0"/>
    <xf numFmtId="0" fontId="19" fillId="24" borderId="0" applyNumberFormat="0" applyBorder="0" applyAlignment="0" applyProtection="0"/>
    <xf numFmtId="0" fontId="16" fillId="13" borderId="20" applyNumberFormat="0" applyFont="0" applyAlignment="0" applyProtection="0"/>
    <xf numFmtId="0" fontId="16" fillId="29" borderId="0" applyNumberFormat="0" applyBorder="0" applyAlignment="0" applyProtection="0"/>
    <xf numFmtId="0" fontId="16" fillId="19" borderId="0" applyNumberFormat="0" applyBorder="0" applyAlignment="0" applyProtection="0"/>
    <xf numFmtId="0" fontId="16" fillId="0" borderId="0"/>
    <xf numFmtId="0" fontId="19" fillId="24" borderId="0" applyNumberFormat="0" applyBorder="0" applyAlignment="0" applyProtection="0"/>
    <xf numFmtId="43" fontId="15" fillId="0" borderId="0" applyFont="0" applyFill="0" applyBorder="0" applyAlignment="0" applyProtection="0"/>
    <xf numFmtId="0" fontId="16" fillId="29" borderId="0" applyNumberFormat="0" applyBorder="0" applyAlignment="0" applyProtection="0"/>
    <xf numFmtId="0" fontId="16" fillId="19" borderId="0" applyNumberFormat="0" applyBorder="0" applyAlignment="0" applyProtection="0"/>
    <xf numFmtId="43" fontId="7" fillId="0" borderId="0" applyFont="0" applyFill="0" applyBorder="0" applyAlignment="0" applyProtection="0"/>
    <xf numFmtId="0" fontId="16" fillId="0" borderId="0"/>
    <xf numFmtId="0" fontId="16" fillId="7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168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6" fillId="24" borderId="0" applyNumberFormat="0" applyBorder="0" applyAlignment="0" applyProtection="0"/>
    <xf numFmtId="0" fontId="16" fillId="29" borderId="0" applyNumberFormat="0" applyBorder="0" applyAlignment="0" applyProtection="0"/>
    <xf numFmtId="0" fontId="16" fillId="19" borderId="0" applyNumberFormat="0" applyBorder="0" applyAlignment="0" applyProtection="0"/>
    <xf numFmtId="9" fontId="7" fillId="0" borderId="0" applyFont="0" applyFill="0" applyBorder="0" applyAlignment="0" applyProtection="0"/>
    <xf numFmtId="0" fontId="16" fillId="29" borderId="0" applyNumberFormat="0" applyBorder="0" applyAlignment="0" applyProtection="0"/>
    <xf numFmtId="0" fontId="16" fillId="0" borderId="0"/>
    <xf numFmtId="168" fontId="15" fillId="0" borderId="0" applyFont="0" applyFill="0" applyBorder="0" applyAlignment="0" applyProtection="0"/>
    <xf numFmtId="0" fontId="19" fillId="8" borderId="0" applyNumberFormat="0" applyBorder="0" applyAlignment="0" applyProtection="0"/>
    <xf numFmtId="0" fontId="16" fillId="19" borderId="0" applyNumberFormat="0" applyBorder="0" applyAlignment="0" applyProtection="0"/>
    <xf numFmtId="9" fontId="16" fillId="0" borderId="0" applyFont="0" applyFill="0" applyBorder="0" applyAlignment="0" applyProtection="0"/>
    <xf numFmtId="0" fontId="16" fillId="20" borderId="0" applyNumberFormat="0" applyBorder="0" applyAlignment="0" applyProtection="0"/>
    <xf numFmtId="168" fontId="15" fillId="0" borderId="0" applyFont="0" applyFill="0" applyBorder="0" applyAlignment="0" applyProtection="0"/>
    <xf numFmtId="0" fontId="19" fillId="8" borderId="0" applyNumberFormat="0" applyBorder="0" applyAlignment="0" applyProtection="0"/>
    <xf numFmtId="43" fontId="7" fillId="0" borderId="0" applyFont="0" applyFill="0" applyBorder="0" applyProtection="0"/>
    <xf numFmtId="0" fontId="16" fillId="20" borderId="0" applyNumberFormat="0" applyBorder="0" applyAlignment="0" applyProtection="0"/>
    <xf numFmtId="0" fontId="19" fillId="8" borderId="0" applyNumberFormat="0" applyBorder="0" applyAlignment="0" applyProtection="0"/>
    <xf numFmtId="0" fontId="16" fillId="19" borderId="0" applyNumberFormat="0" applyBorder="0" applyAlignment="0" applyProtection="0"/>
    <xf numFmtId="9" fontId="16" fillId="0" borderId="0" applyFont="0" applyFill="0" applyBorder="0" applyAlignment="0" applyProtection="0"/>
    <xf numFmtId="0" fontId="16" fillId="20" borderId="0" applyNumberFormat="0" applyBorder="0" applyAlignment="0" applyProtection="0"/>
    <xf numFmtId="168" fontId="15" fillId="0" borderId="0" applyFont="0" applyFill="0" applyBorder="0" applyAlignment="0" applyProtection="0"/>
    <xf numFmtId="0" fontId="16" fillId="75" borderId="0" applyNumberFormat="0" applyBorder="0" applyAlignment="0" applyProtection="0"/>
    <xf numFmtId="0" fontId="16" fillId="20" borderId="0" applyNumberFormat="0" applyBorder="0" applyAlignment="0" applyProtection="0"/>
    <xf numFmtId="0" fontId="16" fillId="8" borderId="0" applyNumberFormat="0" applyBorder="0" applyAlignment="0" applyProtection="0"/>
    <xf numFmtId="0" fontId="16" fillId="20" borderId="0" applyNumberFormat="0" applyBorder="0" applyAlignment="0" applyProtection="0"/>
    <xf numFmtId="0" fontId="16" fillId="8" borderId="0" applyNumberFormat="0" applyBorder="0" applyAlignment="0" applyProtection="0"/>
    <xf numFmtId="43" fontId="15" fillId="0" borderId="0" applyFont="0" applyFill="0" applyBorder="0" applyAlignment="0" applyProtection="0"/>
    <xf numFmtId="0" fontId="16" fillId="8" borderId="0" applyNumberFormat="0" applyBorder="0" applyAlignment="0" applyProtection="0"/>
    <xf numFmtId="0" fontId="16" fillId="29" borderId="0" applyNumberFormat="0" applyBorder="0" applyAlignment="0" applyProtection="0"/>
    <xf numFmtId="0" fontId="16" fillId="19" borderId="0" applyNumberFormat="0" applyBorder="0" applyAlignment="0" applyProtection="0"/>
    <xf numFmtId="170" fontId="15" fillId="0" borderId="0" applyFont="0" applyFill="0" applyBorder="0" applyAlignment="0" applyProtection="0"/>
    <xf numFmtId="0" fontId="16" fillId="0" borderId="0"/>
    <xf numFmtId="168" fontId="15" fillId="0" borderId="0" applyFont="0" applyFill="0" applyBorder="0" applyAlignment="0" applyProtection="0"/>
    <xf numFmtId="0" fontId="19" fillId="9" borderId="0" applyNumberFormat="0" applyBorder="0" applyAlignment="0" applyProtection="0"/>
    <xf numFmtId="43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20" borderId="0" applyNumberFormat="0" applyBorder="0" applyAlignment="0" applyProtection="0"/>
    <xf numFmtId="0" fontId="44" fillId="34" borderId="26" applyNumberFormat="0" applyAlignment="0" applyProtection="0"/>
    <xf numFmtId="0" fontId="19" fillId="9" borderId="0" applyNumberFormat="0" applyBorder="0" applyAlignment="0" applyProtection="0"/>
    <xf numFmtId="9" fontId="16" fillId="0" borderId="0" applyFont="0" applyFill="0" applyBorder="0" applyAlignment="0" applyProtection="0"/>
    <xf numFmtId="0" fontId="16" fillId="20" borderId="0" applyNumberFormat="0" applyBorder="0" applyAlignment="0" applyProtection="0"/>
    <xf numFmtId="0" fontId="44" fillId="34" borderId="26" applyNumberFormat="0" applyAlignment="0" applyProtection="0"/>
    <xf numFmtId="0" fontId="16" fillId="78" borderId="0" applyNumberFormat="0" applyBorder="0" applyAlignment="0" applyProtection="0"/>
    <xf numFmtId="0" fontId="16" fillId="9" borderId="0" applyNumberFormat="0" applyBorder="0" applyAlignment="0" applyProtection="0"/>
    <xf numFmtId="43" fontId="7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18" borderId="0" applyNumberFormat="0" applyBorder="0" applyAlignment="0" applyProtection="0"/>
    <xf numFmtId="0" fontId="16" fillId="9" borderId="0" applyNumberFormat="0" applyBorder="0" applyAlignment="0" applyProtection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18" borderId="0" applyNumberFormat="0" applyBorder="0" applyAlignment="0" applyProtection="0"/>
    <xf numFmtId="43" fontId="15" fillId="0" borderId="0" applyFont="0" applyFill="0" applyBorder="0" applyAlignment="0" applyProtection="0"/>
    <xf numFmtId="0" fontId="16" fillId="0" borderId="0"/>
    <xf numFmtId="0" fontId="16" fillId="9" borderId="0" applyNumberFormat="0" applyBorder="0" applyAlignment="0" applyProtection="0"/>
    <xf numFmtId="0" fontId="19" fillId="53" borderId="0" applyNumberFormat="0" applyBorder="0" applyAlignment="0" applyProtection="0"/>
    <xf numFmtId="0" fontId="19" fillId="15" borderId="0" applyNumberFormat="0" applyBorder="0" applyAlignment="0" applyProtection="0"/>
    <xf numFmtId="0" fontId="16" fillId="11" borderId="0" applyNumberFormat="0" applyBorder="0" applyAlignment="0" applyProtection="0"/>
    <xf numFmtId="170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0" borderId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11" borderId="0" applyNumberFormat="0" applyBorder="0" applyAlignment="0" applyProtection="0"/>
    <xf numFmtId="0" fontId="16" fillId="81" borderId="0" applyNumberFormat="0" applyBorder="0" applyAlignment="0" applyProtection="0"/>
    <xf numFmtId="0" fontId="16" fillId="20" borderId="0" applyNumberFormat="0" applyBorder="0" applyAlignment="0" applyProtection="0"/>
    <xf numFmtId="0" fontId="16" fillId="42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56" fillId="0" borderId="29" applyNumberFormat="0" applyFill="0" applyAlignment="0" applyProtection="0"/>
    <xf numFmtId="0" fontId="41" fillId="33" borderId="25" applyNumberFormat="0" applyAlignment="0" applyProtection="0"/>
    <xf numFmtId="0" fontId="16" fillId="11" borderId="0" applyNumberFormat="0" applyBorder="0" applyAlignment="0" applyProtection="0"/>
    <xf numFmtId="170" fontId="15" fillId="0" borderId="0" applyFont="0" applyFill="0" applyBorder="0" applyAlignment="0" applyProtection="0"/>
    <xf numFmtId="0" fontId="58" fillId="34" borderId="26" applyNumberFormat="0" applyAlignment="0" applyProtection="0"/>
    <xf numFmtId="0" fontId="45" fillId="0" borderId="27" applyNumberFormat="0" applyFill="0" applyAlignment="0" applyProtection="0"/>
    <xf numFmtId="0" fontId="16" fillId="0" borderId="0"/>
    <xf numFmtId="43" fontId="15" fillId="0" borderId="0" applyFont="0" applyFill="0" applyBorder="0" applyAlignment="0" applyProtection="0"/>
    <xf numFmtId="0" fontId="16" fillId="20" borderId="0" applyNumberFormat="0" applyBorder="0" applyAlignment="0" applyProtection="0"/>
    <xf numFmtId="0" fontId="19" fillId="47" borderId="0" applyNumberFormat="0" applyBorder="0" applyAlignment="0" applyProtection="0"/>
    <xf numFmtId="170" fontId="15" fillId="0" borderId="0" applyFont="0" applyFill="0" applyBorder="0" applyAlignment="0" applyProtection="0"/>
    <xf numFmtId="0" fontId="16" fillId="20" borderId="0" applyNumberFormat="0" applyBorder="0" applyAlignment="0" applyProtection="0"/>
    <xf numFmtId="0" fontId="19" fillId="10" borderId="0" applyNumberFormat="0" applyBorder="0" applyAlignment="0" applyProtection="0"/>
    <xf numFmtId="0" fontId="16" fillId="20" borderId="0" applyNumberFormat="0" applyBorder="0" applyAlignment="0" applyProtection="0"/>
    <xf numFmtId="0" fontId="19" fillId="47" borderId="0" applyNumberFormat="0" applyBorder="0" applyAlignment="0" applyProtection="0"/>
    <xf numFmtId="43" fontId="7" fillId="0" borderId="0" applyFont="0" applyFill="0" applyBorder="0" applyProtection="0"/>
    <xf numFmtId="0" fontId="19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79" borderId="0" applyNumberFormat="0" applyBorder="0" applyAlignment="0" applyProtection="0"/>
    <xf numFmtId="170" fontId="15" fillId="0" borderId="0" applyFont="0" applyFill="0" applyBorder="0" applyAlignment="0" applyProtection="0"/>
    <xf numFmtId="0" fontId="16" fillId="20" borderId="0" applyNumberFormat="0" applyBorder="0" applyAlignment="0" applyProtection="0"/>
    <xf numFmtId="0" fontId="16" fillId="68" borderId="0" applyNumberFormat="0" applyBorder="0" applyAlignment="0" applyProtection="0"/>
    <xf numFmtId="0" fontId="16" fillId="20" borderId="0" applyNumberFormat="0" applyBorder="0" applyAlignment="0" applyProtection="0"/>
    <xf numFmtId="0" fontId="39" fillId="0" borderId="23" applyNumberFormat="0" applyFill="0" applyAlignment="0" applyProtection="0"/>
    <xf numFmtId="0" fontId="7" fillId="0" borderId="0"/>
    <xf numFmtId="0" fontId="16" fillId="17" borderId="0" applyNumberFormat="0" applyBorder="0" applyAlignment="0" applyProtection="0"/>
    <xf numFmtId="0" fontId="16" fillId="68" borderId="0" applyNumberFormat="0" applyBorder="0" applyAlignment="0" applyProtection="0"/>
    <xf numFmtId="0" fontId="16" fillId="20" borderId="0" applyNumberFormat="0" applyBorder="0" applyAlignment="0" applyProtection="0"/>
    <xf numFmtId="0" fontId="16" fillId="50" borderId="0" applyNumberFormat="0" applyBorder="0" applyAlignment="0" applyProtection="0"/>
    <xf numFmtId="0" fontId="16" fillId="20" borderId="0" applyNumberFormat="0" applyBorder="0" applyAlignment="0" applyProtection="0"/>
    <xf numFmtId="0" fontId="19" fillId="46" borderId="0" applyNumberFormat="0" applyBorder="0" applyAlignment="0" applyProtection="0"/>
    <xf numFmtId="0" fontId="16" fillId="68" borderId="0" applyNumberFormat="0" applyBorder="0" applyAlignment="0" applyProtection="0"/>
    <xf numFmtId="0" fontId="16" fillId="20" borderId="0" applyNumberFormat="0" applyBorder="0" applyAlignment="0" applyProtection="0"/>
    <xf numFmtId="0" fontId="16" fillId="36" borderId="0" applyNumberFormat="0" applyBorder="0" applyAlignment="0" applyProtection="0"/>
    <xf numFmtId="0" fontId="16" fillId="69" borderId="0" applyNumberFormat="0" applyBorder="0" applyAlignment="0" applyProtection="0"/>
    <xf numFmtId="43" fontId="7" fillId="0" borderId="0" applyFont="0" applyFill="0" applyBorder="0" applyAlignment="0" applyProtection="0"/>
    <xf numFmtId="0" fontId="16" fillId="20" borderId="0" applyNumberFormat="0" applyBorder="0" applyAlignment="0" applyProtection="0"/>
    <xf numFmtId="0" fontId="16" fillId="11" borderId="0" applyNumberFormat="0" applyBorder="0" applyAlignment="0" applyProtection="0"/>
    <xf numFmtId="0" fontId="16" fillId="16" borderId="0" applyNumberFormat="0" applyBorder="0" applyAlignment="0" applyProtection="0"/>
    <xf numFmtId="0" fontId="16" fillId="32" borderId="0" applyNumberFormat="0" applyBorder="0" applyAlignment="0" applyProtection="0"/>
    <xf numFmtId="0" fontId="16" fillId="8" borderId="0" applyNumberFormat="0" applyBorder="0" applyAlignment="0" applyProtection="0"/>
    <xf numFmtId="0" fontId="19" fillId="53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43" fontId="15" fillId="0" borderId="0" applyFont="0" applyFill="0" applyBorder="0" applyAlignment="0" applyProtection="0"/>
    <xf numFmtId="0" fontId="16" fillId="8" borderId="0" applyNumberFormat="0" applyBorder="0" applyAlignment="0" applyProtection="0"/>
    <xf numFmtId="0" fontId="16" fillId="16" borderId="0" applyNumberFormat="0" applyBorder="0" applyAlignment="0" applyProtection="0"/>
    <xf numFmtId="9" fontId="7" fillId="0" borderId="0" applyFont="0" applyFill="0" applyBorder="0" applyAlignment="0" applyProtection="0"/>
    <xf numFmtId="0" fontId="16" fillId="8" borderId="0" applyNumberFormat="0" applyBorder="0" applyAlignment="0" applyProtection="0"/>
    <xf numFmtId="0" fontId="16" fillId="24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43" fontId="15" fillId="0" borderId="0" applyFont="0" applyFill="0" applyBorder="0" applyAlignment="0" applyProtection="0"/>
    <xf numFmtId="0" fontId="16" fillId="16" borderId="0" applyNumberFormat="0" applyBorder="0" applyAlignment="0" applyProtection="0"/>
    <xf numFmtId="43" fontId="15" fillId="0" borderId="0" applyFont="0" applyFill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43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5" fillId="31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33" fillId="71" borderId="0" applyNumberFormat="0" applyBorder="0" applyAlignment="0" applyProtection="0"/>
    <xf numFmtId="41" fontId="15" fillId="0" borderId="0" applyFont="0" applyFill="0" applyBorder="0" applyAlignment="0" applyProtection="0"/>
    <xf numFmtId="0" fontId="16" fillId="16" borderId="0" applyNumberFormat="0" applyBorder="0" applyAlignment="0" applyProtection="0"/>
    <xf numFmtId="0" fontId="16" fillId="0" borderId="0"/>
    <xf numFmtId="41" fontId="15" fillId="0" borderId="0" applyFont="0" applyFill="0" applyBorder="0" applyAlignment="0" applyProtection="0"/>
    <xf numFmtId="0" fontId="16" fillId="16" borderId="0" applyNumberFormat="0" applyBorder="0" applyAlignment="0" applyProtection="0"/>
    <xf numFmtId="0" fontId="16" fillId="0" borderId="0"/>
    <xf numFmtId="41" fontId="15" fillId="0" borderId="0" applyFont="0" applyFill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8" borderId="0" applyNumberFormat="0" applyBorder="0" applyAlignment="0" applyProtection="0"/>
    <xf numFmtId="0" fontId="16" fillId="59" borderId="0" applyNumberFormat="0" applyBorder="0" applyAlignment="0" applyProtection="0"/>
    <xf numFmtId="0" fontId="16" fillId="47" borderId="0" applyNumberFormat="0" applyBorder="0" applyAlignment="0" applyProtection="0"/>
    <xf numFmtId="0" fontId="16" fillId="16" borderId="0" applyNumberFormat="0" applyBorder="0" applyAlignment="0" applyProtection="0"/>
    <xf numFmtId="0" fontId="16" fillId="47" borderId="0" applyNumberFormat="0" applyBorder="0" applyAlignment="0" applyProtection="0"/>
    <xf numFmtId="0" fontId="16" fillId="16" borderId="0" applyNumberFormat="0" applyBorder="0" applyAlignment="0" applyProtection="0"/>
    <xf numFmtId="0" fontId="16" fillId="47" borderId="0" applyNumberFormat="0" applyBorder="0" applyAlignment="0" applyProtection="0"/>
    <xf numFmtId="0" fontId="16" fillId="16" borderId="0" applyNumberFormat="0" applyBorder="0" applyAlignment="0" applyProtection="0"/>
    <xf numFmtId="0" fontId="16" fillId="47" borderId="0" applyNumberFormat="0" applyBorder="0" applyAlignment="0" applyProtection="0"/>
    <xf numFmtId="0" fontId="16" fillId="16" borderId="0" applyNumberFormat="0" applyBorder="0" applyAlignment="0" applyProtection="0"/>
    <xf numFmtId="0" fontId="33" fillId="35" borderId="0" applyNumberFormat="0" applyBorder="0" applyAlignment="0" applyProtection="0"/>
    <xf numFmtId="41" fontId="15" fillId="0" borderId="0" applyFont="0" applyFill="0" applyBorder="0" applyAlignment="0" applyProtection="0"/>
    <xf numFmtId="0" fontId="16" fillId="47" borderId="0" applyNumberFormat="0" applyBorder="0" applyAlignment="0" applyProtection="0"/>
    <xf numFmtId="0" fontId="16" fillId="16" borderId="0" applyNumberFormat="0" applyBorder="0" applyAlignment="0" applyProtection="0"/>
    <xf numFmtId="0" fontId="19" fillId="18" borderId="0" applyNumberFormat="0" applyBorder="0" applyAlignment="0" applyProtection="0"/>
    <xf numFmtId="170" fontId="15" fillId="0" borderId="0" applyFont="0" applyFill="0" applyBorder="0" applyAlignment="0" applyProtection="0"/>
    <xf numFmtId="0" fontId="16" fillId="16" borderId="0" applyNumberFormat="0" applyBorder="0" applyAlignment="0" applyProtection="0"/>
    <xf numFmtId="0" fontId="16" fillId="18" borderId="0" applyNumberFormat="0" applyBorder="0" applyAlignment="0" applyProtection="0"/>
    <xf numFmtId="0" fontId="16" fillId="16" borderId="0" applyNumberFormat="0" applyBorder="0" applyAlignment="0" applyProtection="0"/>
    <xf numFmtId="0" fontId="16" fillId="18" borderId="0" applyNumberFormat="0" applyBorder="0" applyAlignment="0" applyProtection="0"/>
    <xf numFmtId="0" fontId="16" fillId="16" borderId="0" applyNumberFormat="0" applyBorder="0" applyAlignment="0" applyProtection="0"/>
    <xf numFmtId="0" fontId="16" fillId="86" borderId="0" applyNumberFormat="0" applyBorder="0" applyAlignment="0" applyProtection="0"/>
    <xf numFmtId="43" fontId="7" fillId="0" borderId="0" applyFont="0" applyFill="0" applyBorder="0" applyAlignment="0" applyProtection="0"/>
    <xf numFmtId="0" fontId="16" fillId="16" borderId="0" applyNumberFormat="0" applyBorder="0" applyAlignment="0" applyProtection="0"/>
    <xf numFmtId="0" fontId="16" fillId="11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32" borderId="0" applyNumberFormat="0" applyBorder="0" applyAlignment="0" applyProtection="0"/>
    <xf numFmtId="43" fontId="7" fillId="0" borderId="0" applyFont="0" applyFill="0" applyBorder="0" applyAlignment="0" applyProtection="0"/>
    <xf numFmtId="0" fontId="16" fillId="50" borderId="0" applyNumberFormat="0" applyBorder="0" applyAlignment="0" applyProtection="0"/>
    <xf numFmtId="0" fontId="16" fillId="16" borderId="0" applyNumberFormat="0" applyBorder="0" applyAlignment="0" applyProtection="0"/>
    <xf numFmtId="43" fontId="7" fillId="0" borderId="0" applyFont="0" applyFill="0" applyBorder="0" applyAlignment="0" applyProtection="0"/>
    <xf numFmtId="0" fontId="19" fillId="60" borderId="0" applyNumberFormat="0" applyBorder="0" applyAlignment="0" applyProtection="0"/>
    <xf numFmtId="0" fontId="16" fillId="32" borderId="0" applyNumberFormat="0" applyBorder="0" applyAlignment="0" applyProtection="0"/>
    <xf numFmtId="0" fontId="16" fillId="16" borderId="0" applyNumberFormat="0" applyBorder="0" applyAlignment="0" applyProtection="0"/>
    <xf numFmtId="9" fontId="7" fillId="0" borderId="0" applyFont="0" applyFill="0" applyBorder="0" applyAlignment="0" applyProtection="0"/>
    <xf numFmtId="0" fontId="16" fillId="29" borderId="0" applyNumberFormat="0" applyBorder="0" applyAlignment="0" applyProtection="0"/>
    <xf numFmtId="0" fontId="16" fillId="81" borderId="0" applyNumberFormat="0" applyBorder="0" applyAlignment="0" applyProtection="0"/>
    <xf numFmtId="0" fontId="16" fillId="29" borderId="0" applyNumberFormat="0" applyBorder="0" applyAlignment="0" applyProtection="0"/>
    <xf numFmtId="0" fontId="16" fillId="16" borderId="0" applyNumberFormat="0" applyBorder="0" applyAlignment="0" applyProtection="0"/>
    <xf numFmtId="9" fontId="7" fillId="0" borderId="0" applyFont="0" applyFill="0" applyBorder="0" applyAlignment="0" applyProtection="0"/>
    <xf numFmtId="0" fontId="16" fillId="29" borderId="0" applyNumberFormat="0" applyBorder="0" applyAlignment="0" applyProtection="0"/>
    <xf numFmtId="0" fontId="16" fillId="17" borderId="0" applyNumberFormat="0" applyBorder="0" applyAlignment="0" applyProtection="0"/>
    <xf numFmtId="43" fontId="15" fillId="0" borderId="0" applyFont="0" applyFill="0" applyBorder="0" applyAlignment="0" applyProtection="0"/>
    <xf numFmtId="0" fontId="16" fillId="17" borderId="0" applyNumberFormat="0" applyBorder="0" applyAlignment="0" applyProtection="0"/>
    <xf numFmtId="0" fontId="16" fillId="69" borderId="0" applyNumberFormat="0" applyBorder="0" applyAlignment="0" applyProtection="0"/>
    <xf numFmtId="0" fontId="16" fillId="17" borderId="0" applyNumberFormat="0" applyBorder="0" applyAlignment="0" applyProtection="0"/>
    <xf numFmtId="41" fontId="15" fillId="0" borderId="0" applyFont="0" applyFill="0" applyBorder="0" applyAlignment="0" applyProtection="0"/>
    <xf numFmtId="0" fontId="7" fillId="0" borderId="0">
      <alignment vertical="center"/>
    </xf>
    <xf numFmtId="0" fontId="16" fillId="17" borderId="0" applyNumberFormat="0" applyBorder="0" applyAlignment="0" applyProtection="0"/>
    <xf numFmtId="0" fontId="16" fillId="64" borderId="0" applyNumberFormat="0" applyBorder="0" applyAlignment="0" applyProtection="0"/>
    <xf numFmtId="0" fontId="16" fillId="9" borderId="0" applyNumberFormat="0" applyBorder="0" applyAlignment="0" applyProtection="0"/>
    <xf numFmtId="0" fontId="16" fillId="0" borderId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11" borderId="0" applyNumberFormat="0" applyBorder="0" applyAlignment="0" applyProtection="0"/>
    <xf numFmtId="0" fontId="39" fillId="0" borderId="0" applyNumberFormat="0" applyFill="0" applyBorder="0" applyAlignment="0" applyProtection="0"/>
    <xf numFmtId="0" fontId="16" fillId="17" borderId="0" applyNumberFormat="0" applyBorder="0" applyAlignment="0" applyProtection="0"/>
    <xf numFmtId="0" fontId="16" fillId="11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34" fillId="0" borderId="0" applyNumberFormat="0" applyFill="0" applyBorder="0" applyAlignment="0" applyProtection="0"/>
    <xf numFmtId="0" fontId="16" fillId="17" borderId="0" applyNumberFormat="0" applyBorder="0" applyAlignment="0" applyProtection="0"/>
    <xf numFmtId="0" fontId="16" fillId="11" borderId="0" applyNumberFormat="0" applyBorder="0" applyAlignment="0" applyProtection="0"/>
    <xf numFmtId="0" fontId="16" fillId="0" borderId="0"/>
    <xf numFmtId="0" fontId="16" fillId="17" borderId="0" applyNumberFormat="0" applyBorder="0" applyAlignment="0" applyProtection="0"/>
    <xf numFmtId="43" fontId="15" fillId="0" borderId="0" applyFont="0" applyFill="0" applyBorder="0" applyAlignment="0" applyProtection="0"/>
    <xf numFmtId="0" fontId="19" fillId="15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43" fontId="15" fillId="0" borderId="0" applyFont="0" applyFill="0" applyBorder="0" applyAlignment="0" applyProtection="0"/>
    <xf numFmtId="0" fontId="35" fillId="43" borderId="0" applyNumberFormat="0" applyBorder="0" applyAlignment="0" applyProtection="0"/>
    <xf numFmtId="0" fontId="16" fillId="11" borderId="0" applyNumberFormat="0" applyBorder="0" applyAlignment="0" applyProtection="0"/>
    <xf numFmtId="0" fontId="16" fillId="17" borderId="0" applyNumberFormat="0" applyBorder="0" applyAlignment="0" applyProtection="0"/>
    <xf numFmtId="0" fontId="16" fillId="73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9" fillId="11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84" borderId="0" applyNumberFormat="0" applyBorder="0" applyAlignment="0" applyProtection="0"/>
    <xf numFmtId="43" fontId="7" fillId="0" borderId="0" applyFont="0" applyFill="0" applyBorder="0" applyAlignment="0" applyProtection="0"/>
    <xf numFmtId="0" fontId="16" fillId="17" borderId="0" applyNumberFormat="0" applyBorder="0" applyAlignment="0" applyProtection="0"/>
    <xf numFmtId="43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38" borderId="0" applyNumberFormat="0" applyBorder="0" applyAlignment="0" applyProtection="0"/>
    <xf numFmtId="0" fontId="16" fillId="17" borderId="0" applyNumberFormat="0" applyBorder="0" applyAlignment="0" applyProtection="0"/>
    <xf numFmtId="43" fontId="7" fillId="0" borderId="0" applyFont="0" applyFill="0" applyBorder="0" applyAlignment="0" applyProtection="0"/>
    <xf numFmtId="0" fontId="16" fillId="38" borderId="0" applyNumberFormat="0" applyBorder="0" applyAlignment="0" applyProtection="0"/>
    <xf numFmtId="0" fontId="16" fillId="17" borderId="0" applyNumberFormat="0" applyBorder="0" applyAlignment="0" applyProtection="0"/>
    <xf numFmtId="43" fontId="7" fillId="0" borderId="0" applyFont="0" applyFill="0" applyBorder="0" applyAlignment="0" applyProtection="0"/>
    <xf numFmtId="0" fontId="16" fillId="17" borderId="0" applyNumberFormat="0" applyBorder="0" applyAlignment="0" applyProtection="0"/>
    <xf numFmtId="0" fontId="19" fillId="15" borderId="0" applyNumberFormat="0" applyBorder="0" applyAlignment="0" applyProtection="0"/>
    <xf numFmtId="0" fontId="16" fillId="38" borderId="0" applyNumberFormat="0" applyBorder="0" applyAlignment="0" applyProtection="0"/>
    <xf numFmtId="0" fontId="16" fillId="17" borderId="0" applyNumberFormat="0" applyBorder="0" applyAlignment="0" applyProtection="0"/>
    <xf numFmtId="0" fontId="16" fillId="10" borderId="0" applyNumberFormat="0" applyBorder="0" applyAlignment="0" applyProtection="0"/>
    <xf numFmtId="0" fontId="16" fillId="22" borderId="0" applyNumberFormat="0" applyBorder="0" applyAlignment="0" applyProtection="0"/>
    <xf numFmtId="9" fontId="7" fillId="0" borderId="0" applyFont="0" applyFill="0" applyBorder="0" applyAlignment="0" applyProtection="0"/>
    <xf numFmtId="0" fontId="16" fillId="29" borderId="0" applyNumberFormat="0" applyBorder="0" applyAlignment="0" applyProtection="0"/>
    <xf numFmtId="0" fontId="16" fillId="17" borderId="0" applyNumberFormat="0" applyBorder="0" applyAlignment="0" applyProtection="0"/>
    <xf numFmtId="0" fontId="16" fillId="10" borderId="0" applyNumberFormat="0" applyBorder="0" applyAlignment="0" applyProtection="0"/>
    <xf numFmtId="0" fontId="16" fillId="0" borderId="0"/>
    <xf numFmtId="43" fontId="7" fillId="0" borderId="0" applyFont="0" applyFill="0" applyBorder="0" applyAlignment="0" applyProtection="0"/>
    <xf numFmtId="0" fontId="19" fillId="45" borderId="0" applyNumberFormat="0" applyBorder="0" applyAlignment="0" applyProtection="0"/>
    <xf numFmtId="0" fontId="16" fillId="24" borderId="0" applyNumberFormat="0" applyBorder="0" applyAlignment="0" applyProtection="0"/>
    <xf numFmtId="0" fontId="16" fillId="29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9" fillId="62" borderId="0" applyNumberFormat="0" applyBorder="0" applyAlignment="0" applyProtection="0"/>
    <xf numFmtId="43" fontId="7" fillId="0" borderId="0" applyFont="0" applyFill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9" fillId="53" borderId="0" applyNumberFormat="0" applyBorder="0" applyAlignment="0" applyProtection="0"/>
    <xf numFmtId="43" fontId="7" fillId="0" borderId="0" applyFont="0" applyFill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43" fontId="7" fillId="0" borderId="0" applyFont="0" applyFill="0" applyBorder="0" applyAlignment="0" applyProtection="0"/>
    <xf numFmtId="0" fontId="16" fillId="24" borderId="0" applyNumberFormat="0" applyBorder="0" applyAlignment="0" applyProtection="0"/>
    <xf numFmtId="0" fontId="16" fillId="9" borderId="0" applyNumberFormat="0" applyBorder="0" applyAlignment="0" applyProtection="0"/>
    <xf numFmtId="0" fontId="16" fillId="24" borderId="0" applyNumberFormat="0" applyBorder="0" applyAlignment="0" applyProtection="0"/>
    <xf numFmtId="0" fontId="7" fillId="39" borderId="31" applyNumberFormat="0" applyFont="0" applyAlignment="0" applyProtection="0"/>
    <xf numFmtId="0" fontId="16" fillId="65" borderId="0" applyNumberFormat="0" applyBorder="0" applyAlignment="0" applyProtection="0"/>
    <xf numFmtId="9" fontId="7" fillId="0" borderId="0" applyFont="0" applyFill="0" applyBorder="0" applyAlignment="0" applyProtection="0"/>
    <xf numFmtId="0" fontId="16" fillId="24" borderId="0" applyNumberFormat="0" applyBorder="0" applyAlignment="0" applyProtection="0"/>
    <xf numFmtId="0" fontId="16" fillId="8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9" fillId="29" borderId="0" applyNumberFormat="0" applyBorder="0" applyAlignment="0" applyProtection="0"/>
    <xf numFmtId="0" fontId="16" fillId="24" borderId="0" applyNumberFormat="0" applyBorder="0" applyAlignment="0" applyProtection="0"/>
    <xf numFmtId="0" fontId="16" fillId="47" borderId="0" applyNumberFormat="0" applyBorder="0" applyAlignment="0" applyProtection="0"/>
    <xf numFmtId="0" fontId="16" fillId="24" borderId="0" applyNumberFormat="0" applyBorder="0" applyAlignment="0" applyProtection="0"/>
    <xf numFmtId="43" fontId="7" fillId="0" borderId="0" applyFont="0" applyFill="0" applyBorder="0" applyAlignment="0" applyProtection="0"/>
    <xf numFmtId="0" fontId="16" fillId="24" borderId="0" applyNumberFormat="0" applyBorder="0" applyAlignment="0" applyProtection="0"/>
    <xf numFmtId="43" fontId="7" fillId="0" borderId="0" applyFont="0" applyFill="0" applyBorder="0" applyAlignment="0" applyProtection="0"/>
    <xf numFmtId="0" fontId="19" fillId="15" borderId="0" applyNumberFormat="0" applyBorder="0" applyAlignment="0" applyProtection="0"/>
    <xf numFmtId="0" fontId="16" fillId="8" borderId="0" applyNumberFormat="0" applyBorder="0" applyAlignment="0" applyProtection="0"/>
    <xf numFmtId="0" fontId="16" fillId="47" borderId="0" applyNumberFormat="0" applyBorder="0" applyAlignment="0" applyProtection="0"/>
    <xf numFmtId="41" fontId="15" fillId="0" borderId="0" applyFont="0" applyFill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43" fontId="7" fillId="0" borderId="0" applyFont="0" applyFill="0" applyBorder="0" applyProtection="0"/>
    <xf numFmtId="0" fontId="30" fillId="0" borderId="23" applyNumberFormat="0" applyFill="0" applyAlignment="0" applyProtection="0"/>
    <xf numFmtId="0" fontId="16" fillId="8" borderId="0" applyNumberFormat="0" applyBorder="0" applyAlignment="0" applyProtection="0"/>
    <xf numFmtId="43" fontId="7" fillId="0" borderId="0" applyFont="0" applyFill="0" applyBorder="0" applyProtection="0"/>
    <xf numFmtId="0" fontId="30" fillId="0" borderId="0" applyNumberFormat="0" applyFill="0" applyBorder="0" applyAlignment="0" applyProtection="0"/>
    <xf numFmtId="0" fontId="16" fillId="8" borderId="0" applyNumberFormat="0" applyBorder="0" applyAlignment="0" applyProtection="0"/>
    <xf numFmtId="43" fontId="7" fillId="0" borderId="0" applyFont="0" applyFill="0" applyBorder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9" fillId="10" borderId="0" applyNumberFormat="0" applyBorder="0" applyAlignment="0" applyProtection="0"/>
    <xf numFmtId="0" fontId="16" fillId="8" borderId="0" applyNumberFormat="0" applyBorder="0" applyAlignment="0" applyProtection="0"/>
    <xf numFmtId="0" fontId="16" fillId="18" borderId="0" applyNumberFormat="0" applyBorder="0" applyAlignment="0" applyProtection="0"/>
    <xf numFmtId="0" fontId="16" fillId="8" borderId="0" applyNumberFormat="0" applyBorder="0" applyAlignment="0" applyProtection="0"/>
    <xf numFmtId="43" fontId="7" fillId="0" borderId="0" applyFont="0" applyFill="0" applyBorder="0" applyAlignment="0" applyProtection="0"/>
    <xf numFmtId="0" fontId="16" fillId="8" borderId="0" applyNumberFormat="0" applyBorder="0" applyAlignment="0" applyProtection="0"/>
    <xf numFmtId="0" fontId="48" fillId="41" borderId="25" applyNumberFormat="0" applyAlignment="0" applyProtection="0"/>
    <xf numFmtId="0" fontId="16" fillId="89" borderId="0" applyNumberFormat="0" applyBorder="0" applyAlignment="0" applyProtection="0"/>
    <xf numFmtId="0" fontId="37" fillId="0" borderId="0" applyNumberFormat="0" applyFill="0" applyBorder="0" applyAlignment="0" applyProtection="0"/>
    <xf numFmtId="43" fontId="7" fillId="0" borderId="0" applyFont="0" applyFill="0" applyBorder="0" applyAlignment="0" applyProtection="0"/>
    <xf numFmtId="0" fontId="16" fillId="8" borderId="0" applyNumberFormat="0" applyBorder="0" applyAlignment="0" applyProtection="0"/>
    <xf numFmtId="41" fontId="15" fillId="0" borderId="0" applyFont="0" applyFill="0" applyBorder="0" applyAlignment="0" applyProtection="0"/>
    <xf numFmtId="0" fontId="48" fillId="41" borderId="25" applyNumberFormat="0" applyAlignment="0" applyProtection="0"/>
    <xf numFmtId="43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82" borderId="0" applyNumberFormat="0" applyBorder="0" applyAlignment="0" applyProtection="0"/>
    <xf numFmtId="0" fontId="37" fillId="0" borderId="0" applyNumberFormat="0" applyFill="0" applyBorder="0" applyAlignment="0" applyProtection="0"/>
    <xf numFmtId="0" fontId="16" fillId="8" borderId="0" applyNumberFormat="0" applyBorder="0" applyAlignment="0" applyProtection="0"/>
    <xf numFmtId="41" fontId="15" fillId="0" borderId="0" applyFont="0" applyFill="0" applyBorder="0" applyAlignment="0" applyProtection="0"/>
    <xf numFmtId="0" fontId="49" fillId="41" borderId="25" applyNumberFormat="0" applyAlignment="0" applyProtection="0"/>
    <xf numFmtId="43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10" borderId="0" applyNumberFormat="0" applyBorder="0" applyAlignment="0" applyProtection="0"/>
    <xf numFmtId="0" fontId="16" fillId="82" borderId="0" applyNumberFormat="0" applyBorder="0" applyAlignment="0" applyProtection="0"/>
    <xf numFmtId="43" fontId="7" fillId="0" borderId="0" applyFont="0" applyFill="0" applyBorder="0" applyAlignment="0" applyProtection="0"/>
    <xf numFmtId="0" fontId="66" fillId="0" borderId="0" applyNumberFormat="0" applyFill="0" applyBorder="0" applyAlignment="0" applyProtection="0"/>
    <xf numFmtId="0" fontId="16" fillId="8" borderId="0" applyNumberFormat="0" applyBorder="0" applyAlignment="0" applyProtection="0"/>
    <xf numFmtId="41" fontId="15" fillId="0" borderId="0" applyFont="0" applyFill="0" applyBorder="0" applyAlignment="0" applyProtection="0"/>
    <xf numFmtId="0" fontId="16" fillId="82" borderId="0" applyNumberFormat="0" applyBorder="0" applyAlignment="0" applyProtection="0"/>
    <xf numFmtId="0" fontId="16" fillId="8" borderId="0" applyNumberFormat="0" applyBorder="0" applyAlignment="0" applyProtection="0"/>
    <xf numFmtId="41" fontId="15" fillId="0" borderId="0" applyFont="0" applyFill="0" applyBorder="0" applyAlignment="0" applyProtection="0"/>
    <xf numFmtId="0" fontId="16" fillId="90" borderId="0" applyNumberFormat="0" applyBorder="0" applyAlignment="0" applyProtection="0"/>
    <xf numFmtId="41" fontId="15" fillId="0" borderId="0" applyFont="0" applyFill="0" applyBorder="0" applyAlignment="0" applyProtection="0"/>
    <xf numFmtId="0" fontId="16" fillId="8" borderId="0" applyNumberFormat="0" applyBorder="0" applyAlignment="0" applyProtection="0"/>
    <xf numFmtId="41" fontId="15" fillId="0" borderId="0" applyFont="0" applyFill="0" applyBorder="0" applyAlignment="0" applyProtection="0"/>
    <xf numFmtId="0" fontId="16" fillId="9" borderId="0" applyNumberFormat="0" applyBorder="0" applyAlignment="0" applyProtection="0"/>
    <xf numFmtId="0" fontId="16" fillId="18" borderId="0" applyNumberFormat="0" applyBorder="0" applyAlignment="0" applyProtection="0"/>
    <xf numFmtId="0" fontId="16" fillId="9" borderId="0" applyNumberFormat="0" applyBorder="0" applyAlignment="0" applyProtection="0"/>
    <xf numFmtId="0" fontId="16" fillId="0" borderId="0"/>
    <xf numFmtId="168" fontId="15" fillId="0" borderId="0" applyFont="0" applyFill="0" applyBorder="0" applyAlignment="0" applyProtection="0"/>
    <xf numFmtId="0" fontId="16" fillId="10" borderId="0" applyNumberFormat="0" applyBorder="0" applyAlignment="0" applyProtection="0"/>
    <xf numFmtId="0" fontId="7" fillId="0" borderId="0">
      <alignment vertical="center"/>
    </xf>
    <xf numFmtId="41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9" borderId="0" applyNumberFormat="0" applyBorder="0" applyAlignment="0" applyProtection="0"/>
    <xf numFmtId="0" fontId="7" fillId="0" borderId="0">
      <alignment vertical="center"/>
    </xf>
    <xf numFmtId="41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9" borderId="0" applyNumberFormat="0" applyBorder="0" applyAlignment="0" applyProtection="0"/>
    <xf numFmtId="0" fontId="35" fillId="76" borderId="0" applyNumberFormat="0" applyBorder="0" applyAlignment="0" applyProtection="0"/>
    <xf numFmtId="0" fontId="16" fillId="9" borderId="0" applyNumberFormat="0" applyBorder="0" applyAlignment="0" applyProtection="0"/>
    <xf numFmtId="0" fontId="33" fillId="76" borderId="0" applyNumberFormat="0" applyBorder="0" applyAlignment="0" applyProtection="0"/>
    <xf numFmtId="0" fontId="16" fillId="47" borderId="0" applyNumberFormat="0" applyBorder="0" applyAlignment="0" applyProtection="0"/>
    <xf numFmtId="0" fontId="16" fillId="9" borderId="0" applyNumberFormat="0" applyBorder="0" applyAlignment="0" applyProtection="0"/>
    <xf numFmtId="43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33" fillId="76" borderId="0" applyNumberFormat="0" applyBorder="0" applyAlignment="0" applyProtection="0"/>
    <xf numFmtId="0" fontId="16" fillId="47" borderId="0" applyNumberFormat="0" applyBorder="0" applyAlignment="0" applyProtection="0"/>
    <xf numFmtId="0" fontId="16" fillId="9" borderId="0" applyNumberFormat="0" applyBorder="0" applyAlignment="0" applyProtection="0"/>
    <xf numFmtId="43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43" fontId="15" fillId="0" borderId="0" applyFont="0" applyFill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35" fillId="91" borderId="0" applyNumberFormat="0" applyBorder="0" applyAlignment="0" applyProtection="0"/>
    <xf numFmtId="0" fontId="16" fillId="9" borderId="0" applyNumberFormat="0" applyBorder="0" applyAlignment="0" applyProtection="0"/>
    <xf numFmtId="0" fontId="33" fillId="91" borderId="0" applyNumberFormat="0" applyBorder="0" applyAlignment="0" applyProtection="0"/>
    <xf numFmtId="43" fontId="7" fillId="0" borderId="0" applyFont="0" applyFill="0" applyBorder="0" applyAlignment="0" applyProtection="0"/>
    <xf numFmtId="0" fontId="16" fillId="9" borderId="0" applyNumberFormat="0" applyBorder="0" applyAlignment="0" applyProtection="0"/>
    <xf numFmtId="0" fontId="19" fillId="19" borderId="0" applyNumberFormat="0" applyBorder="0" applyAlignment="0" applyProtection="0"/>
    <xf numFmtId="0" fontId="31" fillId="0" borderId="35" applyNumberFormat="0" applyFill="0" applyAlignment="0" applyProtection="0"/>
    <xf numFmtId="0" fontId="16" fillId="9" borderId="0" applyNumberFormat="0" applyBorder="0" applyAlignment="0" applyProtection="0"/>
    <xf numFmtId="43" fontId="7" fillId="0" borderId="0" applyFont="0" applyFill="0" applyBorder="0" applyAlignment="0" applyProtection="0"/>
    <xf numFmtId="0" fontId="16" fillId="9" borderId="0" applyNumberFormat="0" applyBorder="0" applyAlignment="0" applyProtection="0"/>
    <xf numFmtId="0" fontId="16" fillId="77" borderId="0" applyNumberFormat="0" applyBorder="0" applyAlignment="0" applyProtection="0"/>
    <xf numFmtId="0" fontId="31" fillId="0" borderId="36" applyNumberFormat="0" applyFill="0" applyAlignment="0" applyProtection="0"/>
    <xf numFmtId="0" fontId="16" fillId="9" borderId="0" applyNumberFormat="0" applyBorder="0" applyAlignment="0" applyProtection="0"/>
    <xf numFmtId="41" fontId="15" fillId="0" borderId="0" applyFont="0" applyFill="0" applyBorder="0" applyAlignment="0" applyProtection="0"/>
    <xf numFmtId="0" fontId="16" fillId="37" borderId="0" applyNumberFormat="0" applyBorder="0" applyAlignment="0" applyProtection="0"/>
    <xf numFmtId="0" fontId="16" fillId="9" borderId="0" applyNumberFormat="0" applyBorder="0" applyAlignment="0" applyProtection="0"/>
    <xf numFmtId="41" fontId="15" fillId="0" borderId="0" applyFont="0" applyFill="0" applyBorder="0" applyAlignment="0" applyProtection="0"/>
    <xf numFmtId="0" fontId="16" fillId="50" borderId="0" applyNumberFormat="0" applyBorder="0" applyAlignment="0" applyProtection="0"/>
    <xf numFmtId="0" fontId="16" fillId="9" borderId="0" applyNumberFormat="0" applyBorder="0" applyAlignment="0" applyProtection="0"/>
    <xf numFmtId="9" fontId="7" fillId="0" borderId="0" applyFont="0" applyFill="0" applyBorder="0" applyAlignment="0" applyProtection="0"/>
    <xf numFmtId="0" fontId="16" fillId="9" borderId="0" applyNumberFormat="0" applyBorder="0" applyAlignment="0" applyProtection="0"/>
    <xf numFmtId="0" fontId="16" fillId="29" borderId="0" applyNumberFormat="0" applyBorder="0" applyAlignment="0" applyProtection="0"/>
    <xf numFmtId="0" fontId="19" fillId="85" borderId="0" applyNumberFormat="0" applyBorder="0" applyAlignment="0" applyProtection="0"/>
    <xf numFmtId="43" fontId="7" fillId="0" borderId="0" applyFont="0" applyFill="0" applyBorder="0" applyAlignment="0" applyProtection="0"/>
    <xf numFmtId="0" fontId="19" fillId="62" borderId="0" applyNumberFormat="0" applyBorder="0" applyAlignment="0" applyProtection="0"/>
    <xf numFmtId="43" fontId="7" fillId="0" borderId="0" applyFont="0" applyFill="0" applyBorder="0" applyAlignment="0" applyProtection="0"/>
    <xf numFmtId="0" fontId="16" fillId="19" borderId="0" applyNumberFormat="0" applyBorder="0" applyAlignment="0" applyProtection="0"/>
    <xf numFmtId="0" fontId="35" fillId="43" borderId="0" applyNumberFormat="0" applyBorder="0" applyAlignment="0" applyProtection="0"/>
    <xf numFmtId="9" fontId="15" fillId="0" borderId="0" applyFont="0" applyFill="0" applyBorder="0" applyAlignment="0" applyProtection="0"/>
    <xf numFmtId="0" fontId="19" fillId="88" borderId="0" applyNumberFormat="0" applyBorder="0" applyAlignment="0" applyProtection="0"/>
    <xf numFmtId="43" fontId="7" fillId="0" borderId="0" applyFont="0" applyFill="0" applyBorder="0" applyAlignment="0" applyProtection="0"/>
    <xf numFmtId="0" fontId="16" fillId="19" borderId="0" applyNumberFormat="0" applyBorder="0" applyAlignment="0" applyProtection="0"/>
    <xf numFmtId="0" fontId="33" fillId="49" borderId="0" applyNumberFormat="0" applyBorder="0" applyAlignment="0" applyProtection="0"/>
    <xf numFmtId="9" fontId="7" fillId="0" borderId="0" applyFont="0" applyFill="0" applyBorder="0" applyAlignment="0" applyProtection="0"/>
    <xf numFmtId="0" fontId="19" fillId="53" borderId="0" applyNumberFormat="0" applyBorder="0" applyAlignment="0" applyProtection="0"/>
    <xf numFmtId="0" fontId="19" fillId="47" borderId="0" applyNumberFormat="0" applyBorder="0" applyAlignment="0" applyProtection="0"/>
    <xf numFmtId="0" fontId="16" fillId="69" borderId="0" applyNumberFormat="0" applyBorder="0" applyAlignment="0" applyProtection="0"/>
    <xf numFmtId="0" fontId="19" fillId="18" borderId="0" applyNumberFormat="0" applyBorder="0" applyAlignment="0" applyProtection="0"/>
    <xf numFmtId="0" fontId="16" fillId="11" borderId="0" applyNumberFormat="0" applyBorder="0" applyAlignment="0" applyProtection="0"/>
    <xf numFmtId="41" fontId="15" fillId="0" borderId="0" applyFont="0" applyFill="0" applyBorder="0" applyAlignment="0" applyProtection="0"/>
    <xf numFmtId="0" fontId="16" fillId="81" borderId="0" applyNumberFormat="0" applyBorder="0" applyAlignment="0" applyProtection="0"/>
    <xf numFmtId="0" fontId="16" fillId="11" borderId="0" applyNumberFormat="0" applyBorder="0" applyAlignment="0" applyProtection="0"/>
    <xf numFmtId="0" fontId="19" fillId="11" borderId="0" applyNumberFormat="0" applyBorder="0" applyAlignment="0" applyProtection="0"/>
    <xf numFmtId="43" fontId="7" fillId="0" borderId="0" applyFont="0" applyFill="0" applyBorder="0" applyAlignment="0" applyProtection="0"/>
    <xf numFmtId="0" fontId="16" fillId="92" borderId="0" applyNumberFormat="0" applyBorder="0" applyAlignment="0" applyProtection="0"/>
    <xf numFmtId="0" fontId="16" fillId="11" borderId="0" applyNumberFormat="0" applyBorder="0" applyAlignment="0" applyProtection="0"/>
    <xf numFmtId="43" fontId="7" fillId="0" borderId="0" applyFont="0" applyFill="0" applyBorder="0" applyProtection="0"/>
    <xf numFmtId="0" fontId="19" fillId="29" borderId="0" applyNumberFormat="0" applyBorder="0" applyAlignment="0" applyProtection="0"/>
    <xf numFmtId="43" fontId="7" fillId="0" borderId="0" applyFont="0" applyFill="0" applyBorder="0" applyProtection="0"/>
    <xf numFmtId="0" fontId="16" fillId="0" borderId="0"/>
    <xf numFmtId="0" fontId="16" fillId="66" borderId="0" applyNumberFormat="0" applyBorder="0" applyAlignment="0" applyProtection="0"/>
    <xf numFmtId="43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90" borderId="0" applyNumberFormat="0" applyBorder="0" applyAlignment="0" applyProtection="0"/>
    <xf numFmtId="0" fontId="51" fillId="12" borderId="0" applyNumberFormat="0" applyBorder="0" applyAlignment="0" applyProtection="0"/>
    <xf numFmtId="170" fontId="15" fillId="0" borderId="0" applyFont="0" applyFill="0" applyBorder="0" applyAlignment="0" applyProtection="0"/>
    <xf numFmtId="0" fontId="16" fillId="10" borderId="0" applyNumberFormat="0" applyBorder="0" applyAlignment="0" applyProtection="0"/>
    <xf numFmtId="0" fontId="16" fillId="90" borderId="0" applyNumberFormat="0" applyBorder="0" applyAlignment="0" applyProtection="0"/>
    <xf numFmtId="43" fontId="16" fillId="0" borderId="0" applyFont="0" applyFill="0" applyBorder="0" applyAlignment="0" applyProtection="0"/>
    <xf numFmtId="0" fontId="49" fillId="41" borderId="25" applyNumberFormat="0" applyAlignment="0" applyProtection="0"/>
    <xf numFmtId="43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10" borderId="0" applyNumberFormat="0" applyBorder="0" applyAlignment="0" applyProtection="0"/>
    <xf numFmtId="0" fontId="16" fillId="83" borderId="0" applyNumberFormat="0" applyBorder="0" applyAlignment="0" applyProtection="0"/>
    <xf numFmtId="0" fontId="16" fillId="47" borderId="0" applyNumberFormat="0" applyBorder="0" applyAlignment="0" applyProtection="0"/>
    <xf numFmtId="9" fontId="16" fillId="0" borderId="0" applyFont="0" applyFill="0" applyBorder="0" applyAlignment="0" applyProtection="0"/>
    <xf numFmtId="0" fontId="33" fillId="71" borderId="0" applyNumberFormat="0" applyBorder="0" applyAlignment="0" applyProtection="0"/>
    <xf numFmtId="0" fontId="16" fillId="47" borderId="0" applyNumberFormat="0" applyBorder="0" applyAlignment="0" applyProtection="0"/>
    <xf numFmtId="41" fontId="15" fillId="0" borderId="0" applyFont="0" applyFill="0" applyBorder="0" applyAlignment="0" applyProtection="0"/>
    <xf numFmtId="0" fontId="16" fillId="47" borderId="0" applyNumberFormat="0" applyBorder="0" applyAlignment="0" applyProtection="0"/>
    <xf numFmtId="41" fontId="15" fillId="0" borderId="0" applyFont="0" applyFill="0" applyBorder="0" applyAlignment="0" applyProtection="0"/>
    <xf numFmtId="0" fontId="7" fillId="0" borderId="0"/>
    <xf numFmtId="0" fontId="16" fillId="47" borderId="0" applyNumberFormat="0" applyBorder="0" applyAlignment="0" applyProtection="0"/>
    <xf numFmtId="0" fontId="33" fillId="71" borderId="0" applyNumberFormat="0" applyBorder="0" applyAlignment="0" applyProtection="0"/>
    <xf numFmtId="0" fontId="16" fillId="47" borderId="0" applyNumberFormat="0" applyBorder="0" applyAlignment="0" applyProtection="0"/>
    <xf numFmtId="0" fontId="35" fillId="43" borderId="0" applyNumberFormat="0" applyBorder="0" applyAlignment="0" applyProtection="0"/>
    <xf numFmtId="0" fontId="55" fillId="0" borderId="0" applyNumberFormat="0" applyFill="0" applyBorder="0" applyAlignment="0" applyProtection="0"/>
    <xf numFmtId="0" fontId="16" fillId="47" borderId="0" applyNumberFormat="0" applyBorder="0" applyAlignment="0" applyProtection="0"/>
    <xf numFmtId="0" fontId="16" fillId="47" borderId="0" applyNumberFormat="0" applyBorder="0" applyAlignment="0" applyProtection="0"/>
    <xf numFmtId="0" fontId="33" fillId="28" borderId="0" applyNumberFormat="0" applyBorder="0" applyAlignment="0" applyProtection="0"/>
    <xf numFmtId="0" fontId="16" fillId="47" borderId="0" applyNumberFormat="0" applyBorder="0" applyAlignment="0" applyProtection="0"/>
    <xf numFmtId="0" fontId="33" fillId="28" borderId="0" applyNumberFormat="0" applyBorder="0" applyAlignment="0" applyProtection="0"/>
    <xf numFmtId="0" fontId="16" fillId="47" borderId="0" applyNumberFormat="0" applyBorder="0" applyAlignment="0" applyProtection="0"/>
    <xf numFmtId="9" fontId="7" fillId="0" borderId="0" applyFont="0" applyFill="0" applyBorder="0" applyAlignment="0" applyProtection="0"/>
    <xf numFmtId="0" fontId="16" fillId="47" borderId="0" applyNumberFormat="0" applyBorder="0" applyAlignment="0" applyProtection="0"/>
    <xf numFmtId="0" fontId="33" fillId="30" borderId="0" applyNumberFormat="0" applyBorder="0" applyAlignment="0" applyProtection="0"/>
    <xf numFmtId="0" fontId="16" fillId="47" borderId="0" applyNumberFormat="0" applyBorder="0" applyAlignment="0" applyProtection="0"/>
    <xf numFmtId="0" fontId="33" fillId="30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43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18" borderId="0" applyNumberFormat="0" applyBorder="0" applyAlignment="0" applyProtection="0"/>
    <xf numFmtId="0" fontId="16" fillId="47" borderId="0" applyNumberFormat="0" applyBorder="0" applyAlignment="0" applyProtection="0"/>
    <xf numFmtId="0" fontId="16" fillId="47" borderId="0" applyNumberFormat="0" applyBorder="0" applyAlignment="0" applyProtection="0"/>
    <xf numFmtId="0" fontId="16" fillId="47" borderId="0" applyNumberFormat="0" applyBorder="0" applyAlignment="0" applyProtection="0"/>
    <xf numFmtId="43" fontId="7" fillId="0" borderId="0" applyFont="0" applyFill="0" applyBorder="0" applyAlignment="0" applyProtection="0"/>
    <xf numFmtId="0" fontId="16" fillId="47" borderId="0" applyNumberFormat="0" applyBorder="0" applyAlignment="0" applyProtection="0"/>
    <xf numFmtId="41" fontId="15" fillId="0" borderId="0" applyFont="0" applyFill="0" applyBorder="0" applyAlignment="0" applyProtection="0"/>
    <xf numFmtId="0" fontId="16" fillId="47" borderId="0" applyNumberFormat="0" applyBorder="0" applyAlignment="0" applyProtection="0"/>
    <xf numFmtId="0" fontId="16" fillId="47" borderId="0" applyNumberFormat="0" applyBorder="0" applyAlignment="0" applyProtection="0"/>
    <xf numFmtId="0" fontId="16" fillId="47" borderId="0" applyNumberFormat="0" applyBorder="0" applyAlignment="0" applyProtection="0"/>
    <xf numFmtId="0" fontId="16" fillId="47" borderId="0" applyNumberFormat="0" applyBorder="0" applyAlignment="0" applyProtection="0"/>
    <xf numFmtId="0" fontId="33" fillId="28" borderId="0" applyNumberFormat="0" applyBorder="0" applyAlignment="0" applyProtection="0"/>
    <xf numFmtId="41" fontId="15" fillId="0" borderId="0" applyFont="0" applyFill="0" applyBorder="0" applyAlignment="0" applyProtection="0"/>
    <xf numFmtId="0" fontId="16" fillId="47" borderId="0" applyNumberFormat="0" applyBorder="0" applyAlignment="0" applyProtection="0"/>
    <xf numFmtId="0" fontId="19" fillId="31" borderId="0" applyNumberFormat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6" fillId="18" borderId="0" applyNumberFormat="0" applyBorder="0" applyAlignment="0" applyProtection="0"/>
    <xf numFmtId="43" fontId="16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18" borderId="0" applyNumberFormat="0" applyBorder="0" applyAlignment="0" applyProtection="0"/>
    <xf numFmtId="0" fontId="16" fillId="0" borderId="0"/>
    <xf numFmtId="43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171" fontId="16" fillId="0" borderId="0" applyFont="0" applyFill="0" applyBorder="0" applyAlignment="0" applyProtection="0"/>
    <xf numFmtId="0" fontId="16" fillId="18" borderId="0" applyNumberFormat="0" applyBorder="0" applyAlignment="0" applyProtection="0"/>
    <xf numFmtId="43" fontId="15" fillId="0" borderId="0" applyFont="0" applyFill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43" fontId="7" fillId="0" borderId="0" applyFont="0" applyFill="0" applyBorder="0" applyAlignment="0" applyProtection="0"/>
    <xf numFmtId="0" fontId="16" fillId="18" borderId="0" applyNumberFormat="0" applyBorder="0" applyAlignment="0" applyProtection="0"/>
    <xf numFmtId="43" fontId="15" fillId="0" borderId="0" applyFont="0" applyFill="0" applyBorder="0" applyAlignment="0" applyProtection="0"/>
    <xf numFmtId="0" fontId="16" fillId="18" borderId="0" applyNumberFormat="0" applyBorder="0" applyAlignment="0" applyProtection="0"/>
    <xf numFmtId="43" fontId="15" fillId="0" borderId="0" applyFont="0" applyFill="0" applyBorder="0" applyAlignment="0" applyProtection="0"/>
    <xf numFmtId="0" fontId="16" fillId="18" borderId="0" applyNumberFormat="0" applyBorder="0" applyAlignment="0" applyProtection="0"/>
    <xf numFmtId="43" fontId="15" fillId="0" borderId="0" applyFont="0" applyFill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43" fontId="15" fillId="0" borderId="0" applyFont="0" applyFill="0" applyBorder="0" applyAlignment="0" applyProtection="0"/>
    <xf numFmtId="0" fontId="16" fillId="10" borderId="0" applyNumberFormat="0" applyBorder="0" applyAlignment="0" applyProtection="0"/>
    <xf numFmtId="43" fontId="15" fillId="0" borderId="0" applyFont="0" applyFill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0" fontId="35" fillId="67" borderId="0" applyNumberFormat="0" applyBorder="0" applyAlignment="0" applyProtection="0"/>
    <xf numFmtId="0" fontId="16" fillId="18" borderId="0" applyNumberFormat="0" applyBorder="0" applyAlignment="0" applyProtection="0"/>
    <xf numFmtId="0" fontId="33" fillId="25" borderId="0" applyNumberFormat="0" applyBorder="0" applyAlignment="0" applyProtection="0"/>
    <xf numFmtId="41" fontId="15" fillId="0" borderId="0" applyFont="0" applyFill="0" applyBorder="0" applyAlignment="0" applyProtection="0"/>
    <xf numFmtId="0" fontId="16" fillId="18" borderId="0" applyNumberFormat="0" applyBorder="0" applyAlignment="0" applyProtection="0"/>
    <xf numFmtId="0" fontId="33" fillId="30" borderId="0" applyNumberFormat="0" applyBorder="0" applyAlignment="0" applyProtection="0"/>
    <xf numFmtId="41" fontId="15" fillId="0" borderId="0" applyFont="0" applyFill="0" applyBorder="0" applyAlignment="0" applyProtection="0"/>
    <xf numFmtId="0" fontId="16" fillId="18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55" fillId="0" borderId="0" applyNumberFormat="0" applyFill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69" fillId="53" borderId="38" applyNumberFormat="0" applyAlignment="0" applyProtection="0"/>
    <xf numFmtId="0" fontId="16" fillId="11" borderId="0" applyNumberFormat="0" applyBorder="0" applyAlignment="0" applyProtection="0"/>
    <xf numFmtId="0" fontId="33" fillId="76" borderId="0" applyNumberFormat="0" applyBorder="0" applyAlignment="0" applyProtection="0"/>
    <xf numFmtId="41" fontId="15" fillId="0" borderId="0" applyFont="0" applyFill="0" applyBorder="0" applyAlignment="0" applyProtection="0"/>
    <xf numFmtId="0" fontId="16" fillId="11" borderId="0" applyNumberFormat="0" applyBorder="0" applyAlignment="0" applyProtection="0"/>
    <xf numFmtId="41" fontId="15" fillId="0" borderId="0" applyFont="0" applyFill="0" applyBorder="0" applyAlignment="0" applyProtection="0"/>
    <xf numFmtId="0" fontId="16" fillId="11" borderId="0" applyNumberFormat="0" applyBorder="0" applyAlignment="0" applyProtection="0"/>
    <xf numFmtId="0" fontId="16" fillId="29" borderId="0" applyNumberFormat="0" applyBorder="0" applyAlignment="0" applyProtection="0"/>
    <xf numFmtId="9" fontId="7" fillId="0" borderId="0" applyFont="0" applyFill="0" applyBorder="0" applyAlignment="0" applyProtection="0"/>
    <xf numFmtId="0" fontId="16" fillId="29" borderId="0" applyNumberFormat="0" applyBorder="0" applyAlignment="0" applyProtection="0"/>
    <xf numFmtId="0" fontId="16" fillId="29" borderId="0" applyNumberFormat="0" applyBorder="0" applyAlignment="0" applyProtection="0"/>
    <xf numFmtId="0" fontId="35" fillId="53" borderId="0" applyNumberFormat="0" applyBorder="0" applyAlignment="0" applyProtection="0"/>
    <xf numFmtId="9" fontId="7" fillId="0" borderId="0" applyFont="0" applyFill="0" applyBorder="0" applyAlignment="0" applyProtection="0"/>
    <xf numFmtId="0" fontId="16" fillId="29" borderId="0" applyNumberFormat="0" applyBorder="0" applyAlignment="0" applyProtection="0"/>
    <xf numFmtId="0" fontId="16" fillId="29" borderId="0" applyNumberFormat="0" applyBorder="0" applyAlignment="0" applyProtection="0"/>
    <xf numFmtId="0" fontId="16" fillId="29" borderId="0" applyNumberFormat="0" applyBorder="0" applyAlignment="0" applyProtection="0"/>
    <xf numFmtId="0" fontId="33" fillId="72" borderId="0" applyNumberFormat="0" applyBorder="0" applyAlignment="0" applyProtection="0"/>
    <xf numFmtId="41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6" fillId="29" borderId="0" applyNumberFormat="0" applyBorder="0" applyAlignment="0" applyProtection="0"/>
    <xf numFmtId="0" fontId="16" fillId="29" borderId="0" applyNumberFormat="0" applyBorder="0" applyAlignment="0" applyProtection="0"/>
    <xf numFmtId="43" fontId="15" fillId="0" borderId="0" applyFont="0" applyFill="0" applyBorder="0" applyAlignment="0" applyProtection="0"/>
    <xf numFmtId="0" fontId="16" fillId="29" borderId="0" applyNumberFormat="0" applyBorder="0" applyAlignment="0" applyProtection="0"/>
    <xf numFmtId="0" fontId="16" fillId="29" borderId="0" applyNumberFormat="0" applyBorder="0" applyAlignment="0" applyProtection="0"/>
    <xf numFmtId="44" fontId="7" fillId="0" borderId="0" applyFont="0" applyFill="0" applyBorder="0" applyAlignment="0" applyProtection="0"/>
    <xf numFmtId="0" fontId="16" fillId="10" borderId="0" applyNumberFormat="0" applyBorder="0" applyAlignment="0" applyProtection="0"/>
    <xf numFmtId="9" fontId="7" fillId="0" borderId="0" applyFont="0" applyFill="0" applyBorder="0" applyProtection="0"/>
    <xf numFmtId="0" fontId="16" fillId="29" borderId="0" applyNumberFormat="0" applyBorder="0" applyAlignment="0" applyProtection="0"/>
    <xf numFmtId="0" fontId="61" fillId="41" borderId="28" applyNumberFormat="0" applyAlignment="0" applyProtection="0"/>
    <xf numFmtId="0" fontId="16" fillId="10" borderId="0" applyNumberFormat="0" applyBorder="0" applyAlignment="0" applyProtection="0"/>
    <xf numFmtId="0" fontId="16" fillId="29" borderId="0" applyNumberFormat="0" applyBorder="0" applyAlignment="0" applyProtection="0"/>
    <xf numFmtId="0" fontId="16" fillId="10" borderId="0" applyNumberFormat="0" applyBorder="0" applyAlignment="0" applyProtection="0"/>
    <xf numFmtId="9" fontId="16" fillId="0" borderId="0" applyFont="0" applyFill="0" applyBorder="0" applyAlignment="0" applyProtection="0"/>
    <xf numFmtId="0" fontId="16" fillId="29" borderId="0" applyNumberFormat="0" applyBorder="0" applyAlignment="0" applyProtection="0"/>
    <xf numFmtId="43" fontId="7" fillId="0" borderId="0" applyFont="0" applyFill="0" applyBorder="0" applyAlignment="0" applyProtection="0"/>
    <xf numFmtId="0" fontId="33" fillId="91" borderId="0" applyNumberFormat="0" applyBorder="0" applyAlignment="0" applyProtection="0"/>
    <xf numFmtId="41" fontId="15" fillId="0" borderId="0" applyFont="0" applyFill="0" applyBorder="0" applyAlignment="0" applyProtection="0"/>
    <xf numFmtId="0" fontId="16" fillId="0" borderId="0"/>
    <xf numFmtId="0" fontId="16" fillId="10" borderId="0" applyNumberFormat="0" applyBorder="0" applyAlignment="0" applyProtection="0"/>
    <xf numFmtId="170" fontId="15" fillId="0" borderId="0" applyFont="0" applyFill="0" applyBorder="0" applyAlignment="0" applyProtection="0"/>
    <xf numFmtId="0" fontId="16" fillId="10" borderId="0" applyNumberFormat="0" applyBorder="0" applyAlignment="0" applyProtection="0"/>
    <xf numFmtId="169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10" borderId="0" applyNumberFormat="0" applyBorder="0" applyAlignment="0" applyProtection="0"/>
    <xf numFmtId="44" fontId="7" fillId="0" borderId="0" applyFont="0" applyFill="0" applyBorder="0" applyAlignment="0" applyProtection="0"/>
    <xf numFmtId="0" fontId="16" fillId="10" borderId="0" applyNumberFormat="0" applyBorder="0" applyAlignment="0" applyProtection="0"/>
    <xf numFmtId="0" fontId="16" fillId="0" borderId="0"/>
    <xf numFmtId="43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10" borderId="0" applyNumberFormat="0" applyBorder="0" applyAlignment="0" applyProtection="0"/>
    <xf numFmtId="0" fontId="16" fillId="0" borderId="0"/>
    <xf numFmtId="43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10" borderId="0" applyNumberFormat="0" applyBorder="0" applyAlignment="0" applyProtection="0"/>
    <xf numFmtId="168" fontId="15" fillId="0" borderId="0" applyFont="0" applyFill="0" applyBorder="0" applyAlignment="0" applyProtection="0"/>
    <xf numFmtId="0" fontId="16" fillId="10" borderId="0" applyNumberFormat="0" applyBorder="0" applyAlignment="0" applyProtection="0"/>
    <xf numFmtId="0" fontId="56" fillId="0" borderId="29" applyNumberFormat="0" applyFill="0" applyAlignment="0" applyProtection="0"/>
    <xf numFmtId="43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10" borderId="0" applyNumberFormat="0" applyBorder="0" applyAlignment="0" applyProtection="0"/>
    <xf numFmtId="0" fontId="60" fillId="0" borderId="0" applyNumberFormat="0" applyFill="0" applyBorder="0">
      <protection locked="0"/>
    </xf>
    <xf numFmtId="168" fontId="15" fillId="0" borderId="0" applyFont="0" applyFill="0" applyBorder="0" applyAlignment="0" applyProtection="0"/>
    <xf numFmtId="0" fontId="16" fillId="10" borderId="0" applyNumberFormat="0" applyBorder="0" applyAlignment="0" applyProtection="0"/>
    <xf numFmtId="43" fontId="15" fillId="0" borderId="0" applyFont="0" applyFill="0" applyBorder="0" applyAlignment="0" applyProtection="0"/>
    <xf numFmtId="0" fontId="16" fillId="0" borderId="0"/>
    <xf numFmtId="168" fontId="15" fillId="0" borderId="0" applyFont="0" applyFill="0" applyBorder="0" applyAlignment="0" applyProtection="0"/>
    <xf numFmtId="0" fontId="16" fillId="10" borderId="0" applyNumberFormat="0" applyBorder="0" applyAlignment="0" applyProtection="0"/>
    <xf numFmtId="0" fontId="16" fillId="0" borderId="0"/>
    <xf numFmtId="168" fontId="15" fillId="0" borderId="0" applyFont="0" applyFill="0" applyBorder="0" applyAlignment="0" applyProtection="0"/>
    <xf numFmtId="0" fontId="16" fillId="10" borderId="0" applyNumberFormat="0" applyBorder="0" applyAlignment="0" applyProtection="0"/>
    <xf numFmtId="0" fontId="16" fillId="0" borderId="0"/>
    <xf numFmtId="0" fontId="16" fillId="10" borderId="0" applyNumberFormat="0" applyBorder="0" applyAlignment="0" applyProtection="0"/>
    <xf numFmtId="44" fontId="7" fillId="0" borderId="0" applyFont="0" applyFill="0" applyBorder="0" applyAlignment="0" applyProtection="0"/>
    <xf numFmtId="0" fontId="16" fillId="10" borderId="0" applyNumberFormat="0" applyBorder="0" applyAlignment="0" applyProtection="0"/>
    <xf numFmtId="168" fontId="15" fillId="0" borderId="0" applyFont="0" applyFill="0" applyBorder="0" applyAlignment="0" applyProtection="0"/>
    <xf numFmtId="0" fontId="16" fillId="10" borderId="0" applyNumberFormat="0" applyBorder="0" applyAlignment="0" applyProtection="0"/>
    <xf numFmtId="0" fontId="61" fillId="41" borderId="28" applyNumberFormat="0" applyAlignment="0" applyProtection="0"/>
    <xf numFmtId="0" fontId="16" fillId="0" borderId="0"/>
    <xf numFmtId="0" fontId="16" fillId="10" borderId="0" applyNumberFormat="0" applyBorder="0" applyAlignment="0" applyProtection="0"/>
    <xf numFmtId="0" fontId="47" fillId="41" borderId="28" applyNumberFormat="0" applyAlignment="0" applyProtection="0"/>
    <xf numFmtId="44" fontId="7" fillId="0" borderId="0" applyFont="0" applyFill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43" fontId="15" fillId="0" borderId="0" applyFont="0" applyFill="0" applyBorder="0" applyAlignment="0" applyProtection="0"/>
    <xf numFmtId="0" fontId="16" fillId="0" borderId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170" fontId="15" fillId="0" borderId="0" applyFont="0" applyFill="0" applyBorder="0" applyAlignment="0" applyProtection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43" fontId="7" fillId="0" borderId="0" applyFont="0" applyFill="0" applyBorder="0" applyAlignment="0" applyProtection="0"/>
    <xf numFmtId="0" fontId="16" fillId="19" borderId="0" applyNumberFormat="0" applyBorder="0" applyAlignment="0" applyProtection="0"/>
    <xf numFmtId="43" fontId="7" fillId="0" borderId="0" applyFont="0" applyFill="0" applyBorder="0" applyAlignment="0" applyProtection="0"/>
    <xf numFmtId="0" fontId="16" fillId="19" borderId="0" applyNumberFormat="0" applyBorder="0" applyAlignment="0" applyProtection="0"/>
    <xf numFmtId="43" fontId="7" fillId="0" borderId="0" applyFont="0" applyFill="0" applyBorder="0" applyAlignment="0" applyProtection="0"/>
    <xf numFmtId="0" fontId="35" fillId="43" borderId="0" applyNumberFormat="0" applyBorder="0" applyAlignment="0" applyProtection="0"/>
    <xf numFmtId="0" fontId="16" fillId="19" borderId="0" applyNumberFormat="0" applyBorder="0" applyAlignment="0" applyProtection="0"/>
    <xf numFmtId="0" fontId="35" fillId="58" borderId="0" applyNumberFormat="0" applyBorder="0" applyAlignment="0" applyProtection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43" fontId="7" fillId="0" borderId="0" applyFont="0" applyFill="0" applyBorder="0" applyAlignment="0" applyProtection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170" fontId="15" fillId="0" borderId="0" applyFont="0" applyFill="0" applyBorder="0" applyAlignment="0" applyProtection="0"/>
    <xf numFmtId="0" fontId="16" fillId="19" borderId="0" applyNumberFormat="0" applyBorder="0" applyAlignment="0" applyProtection="0"/>
    <xf numFmtId="43" fontId="15" fillId="0" borderId="0" applyFont="0" applyFill="0" applyBorder="0" applyAlignment="0" applyProtection="0"/>
    <xf numFmtId="0" fontId="19" fillId="60" borderId="0" applyNumberFormat="0" applyBorder="0" applyAlignment="0" applyProtection="0"/>
    <xf numFmtId="43" fontId="15" fillId="0" borderId="0" applyFont="0" applyFill="0" applyBorder="0" applyAlignment="0" applyProtection="0"/>
    <xf numFmtId="0" fontId="19" fillId="31" borderId="0" applyNumberFormat="0" applyBorder="0" applyAlignment="0" applyProtection="0"/>
    <xf numFmtId="168" fontId="15" fillId="0" borderId="0" applyFont="0" applyFill="0" applyBorder="0" applyAlignment="0" applyProtection="0"/>
    <xf numFmtId="0" fontId="19" fillId="46" borderId="0" applyNumberFormat="0" applyBorder="0" applyAlignment="0" applyProtection="0"/>
    <xf numFmtId="168" fontId="15" fillId="0" borderId="0" applyFont="0" applyFill="0" applyBorder="0" applyAlignment="0" applyProtection="0"/>
    <xf numFmtId="0" fontId="19" fillId="60" borderId="0" applyNumberFormat="0" applyBorder="0" applyAlignment="0" applyProtection="0"/>
    <xf numFmtId="0" fontId="19" fillId="15" borderId="0" applyNumberFormat="0" applyBorder="0" applyAlignment="0" applyProtection="0"/>
    <xf numFmtId="0" fontId="35" fillId="21" borderId="0" applyNumberFormat="0" applyBorder="0" applyAlignment="0" applyProtection="0"/>
    <xf numFmtId="170" fontId="15" fillId="0" borderId="0" applyFont="0" applyFill="0" applyBorder="0" applyAlignment="0" applyProtection="0"/>
    <xf numFmtId="0" fontId="35" fillId="71" borderId="0" applyNumberFormat="0" applyBorder="0" applyAlignment="0" applyProtection="0"/>
    <xf numFmtId="9" fontId="16" fillId="0" borderId="0" applyFont="0" applyFill="0" applyBorder="0" applyAlignment="0" applyProtection="0"/>
    <xf numFmtId="0" fontId="35" fillId="71" borderId="0" applyNumberFormat="0" applyBorder="0" applyAlignment="0" applyProtection="0"/>
    <xf numFmtId="170" fontId="15" fillId="0" borderId="0" applyFont="0" applyFill="0" applyBorder="0" applyAlignment="0" applyProtection="0"/>
    <xf numFmtId="0" fontId="35" fillId="28" borderId="0" applyNumberFormat="0" applyBorder="0" applyAlignment="0" applyProtection="0"/>
    <xf numFmtId="9" fontId="16" fillId="0" borderId="0" applyFont="0" applyFill="0" applyBorder="0" applyAlignment="0" applyProtection="0"/>
    <xf numFmtId="0" fontId="35" fillId="28" borderId="0" applyNumberFormat="0" applyBorder="0" applyAlignment="0" applyProtection="0"/>
    <xf numFmtId="0" fontId="35" fillId="30" borderId="0" applyNumberFormat="0" applyBorder="0" applyAlignment="0" applyProtection="0"/>
    <xf numFmtId="0" fontId="35" fillId="30" borderId="0" applyNumberFormat="0" applyBorder="0" applyAlignment="0" applyProtection="0"/>
    <xf numFmtId="0" fontId="35" fillId="76" borderId="0" applyNumberFormat="0" applyBorder="0" applyAlignment="0" applyProtection="0"/>
    <xf numFmtId="0" fontId="35" fillId="91" borderId="0" applyNumberFormat="0" applyBorder="0" applyAlignment="0" applyProtection="0"/>
    <xf numFmtId="0" fontId="33" fillId="91" borderId="0" applyNumberFormat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5" fillId="43" borderId="0" applyNumberFormat="0" applyBorder="0" applyAlignment="0" applyProtection="0"/>
    <xf numFmtId="43" fontId="7" fillId="0" borderId="0" applyFont="0" applyFill="0" applyBorder="0" applyAlignment="0" applyProtection="0"/>
    <xf numFmtId="0" fontId="33" fillId="21" borderId="0" applyNumberFormat="0" applyBorder="0" applyAlignment="0" applyProtection="0"/>
    <xf numFmtId="41" fontId="15" fillId="0" borderId="0" applyFont="0" applyFill="0" applyBorder="0" applyAlignment="0" applyProtection="0"/>
    <xf numFmtId="0" fontId="35" fillId="43" borderId="0" applyNumberFormat="0" applyBorder="0" applyAlignment="0" applyProtection="0"/>
    <xf numFmtId="0" fontId="16" fillId="0" borderId="0"/>
    <xf numFmtId="0" fontId="52" fillId="0" borderId="0" applyNumberFormat="0" applyFill="0" applyBorder="0" applyAlignment="0" applyProtection="0"/>
    <xf numFmtId="43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33" fillId="49" borderId="0" applyNumberFormat="0" applyBorder="0" applyAlignment="0" applyProtection="0"/>
    <xf numFmtId="0" fontId="35" fillId="58" borderId="0" applyNumberFormat="0" applyBorder="0" applyAlignment="0" applyProtection="0"/>
    <xf numFmtId="0" fontId="33" fillId="57" borderId="0" applyNumberFormat="0" applyBorder="0" applyAlignment="0" applyProtection="0"/>
    <xf numFmtId="0" fontId="35" fillId="80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5" fillId="93" borderId="0" applyNumberFormat="0" applyBorder="0" applyAlignment="0" applyProtection="0"/>
    <xf numFmtId="0" fontId="33" fillId="27" borderId="0" applyNumberFormat="0" applyBorder="0" applyAlignment="0" applyProtection="0"/>
    <xf numFmtId="0" fontId="33" fillId="27" borderId="0" applyNumberFormat="0" applyBorder="0" applyAlignment="0" applyProtection="0"/>
    <xf numFmtId="0" fontId="33" fillId="51" borderId="0" applyNumberFormat="0" applyBorder="0" applyAlignment="0" applyProtection="0"/>
    <xf numFmtId="41" fontId="15" fillId="0" borderId="0" applyFont="0" applyFill="0" applyBorder="0" applyAlignment="0" applyProtection="0"/>
    <xf numFmtId="0" fontId="33" fillId="51" borderId="0" applyNumberFormat="0" applyBorder="0" applyAlignment="0" applyProtection="0"/>
    <xf numFmtId="170" fontId="15" fillId="0" borderId="0" applyFont="0" applyFill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65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16" fillId="0" borderId="0"/>
    <xf numFmtId="168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19" fillId="0" borderId="0"/>
    <xf numFmtId="168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62" fillId="87" borderId="0" applyNumberFormat="0" applyBorder="0" applyAlignment="0" applyProtection="0"/>
    <xf numFmtId="0" fontId="51" fillId="12" borderId="0" applyNumberFormat="0" applyBorder="0" applyAlignment="0" applyProtection="0"/>
    <xf numFmtId="0" fontId="67" fillId="7" borderId="0" applyNumberFormat="0" applyBorder="0" applyAlignment="0" applyProtection="0"/>
    <xf numFmtId="41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6" fillId="0" borderId="0"/>
    <xf numFmtId="0" fontId="71" fillId="62" borderId="38" applyNumberFormat="0" applyAlignment="0" applyProtection="0"/>
    <xf numFmtId="0" fontId="16" fillId="0" borderId="0"/>
    <xf numFmtId="0" fontId="49" fillId="41" borderId="25" applyNumberFormat="0" applyAlignment="0" applyProtection="0"/>
    <xf numFmtId="43" fontId="7" fillId="0" borderId="0" applyFont="0" applyFill="0" applyBorder="0" applyAlignment="0" applyProtection="0"/>
    <xf numFmtId="0" fontId="71" fillId="62" borderId="38" applyNumberFormat="0" applyAlignment="0" applyProtection="0"/>
    <xf numFmtId="0" fontId="58" fillId="67" borderId="32" applyNumberFormat="0" applyAlignment="0" applyProtection="0"/>
    <xf numFmtId="43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8" fillId="0" borderId="37" applyNumberFormat="0" applyFill="0" applyAlignment="0" applyProtection="0"/>
    <xf numFmtId="0" fontId="50" fillId="0" borderId="29" applyNumberFormat="0" applyFill="0" applyAlignment="0" applyProtection="0"/>
    <xf numFmtId="0" fontId="50" fillId="0" borderId="29" applyNumberFormat="0" applyFill="0" applyAlignment="0" applyProtection="0"/>
    <xf numFmtId="0" fontId="58" fillId="67" borderId="32" applyNumberFormat="0" applyAlignment="0" applyProtection="0"/>
    <xf numFmtId="0" fontId="44" fillId="34" borderId="26" applyNumberFormat="0" applyAlignment="0" applyProtection="0"/>
    <xf numFmtId="0" fontId="7" fillId="0" borderId="0">
      <alignment vertical="center"/>
    </xf>
    <xf numFmtId="41" fontId="15" fillId="0" borderId="0" applyFont="0" applyFill="0" applyBorder="0" applyAlignment="0" applyProtection="0"/>
    <xf numFmtId="43" fontId="7" fillId="0" borderId="0" applyFont="0" applyFill="0" applyBorder="0" applyProtection="0"/>
    <xf numFmtId="43" fontId="7" fillId="0" borderId="0" applyFont="0" applyFill="0" applyBorder="0" applyAlignment="0" applyProtection="0"/>
    <xf numFmtId="0" fontId="7" fillId="0" borderId="0">
      <alignment vertical="center"/>
    </xf>
    <xf numFmtId="41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1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1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1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3" fontId="7" fillId="0" borderId="0" applyFont="0" applyFill="0" applyBorder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0" fontId="16" fillId="0" borderId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>
      <alignment vertical="center"/>
    </xf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0" fontId="54" fillId="48" borderId="0" applyNumberFormat="0" applyBorder="0" applyAlignment="0" applyProtection="0"/>
    <xf numFmtId="171" fontId="1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71" fontId="52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32" fillId="12" borderId="0" applyNumberFormat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6" fillId="0" borderId="0"/>
    <xf numFmtId="43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57" fillId="0" borderId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6" fillId="0" borderId="0"/>
    <xf numFmtId="43" fontId="7" fillId="0" borderId="0" applyFont="0" applyFill="0" applyBorder="0" applyAlignment="0" applyProtection="0"/>
    <xf numFmtId="0" fontId="7" fillId="0" borderId="0">
      <alignment vertical="center"/>
    </xf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>
      <alignment vertical="center"/>
    </xf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>
      <alignment vertical="center"/>
    </xf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0" fontId="7" fillId="0" borderId="0">
      <alignment vertical="center"/>
    </xf>
    <xf numFmtId="43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6" fillId="0" borderId="0"/>
    <xf numFmtId="43" fontId="7" fillId="0" borderId="0" applyFont="0" applyFill="0" applyBorder="0" applyAlignment="0" applyProtection="0"/>
    <xf numFmtId="0" fontId="7" fillId="0" borderId="0">
      <alignment vertical="center"/>
    </xf>
    <xf numFmtId="43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7" fillId="0" borderId="0">
      <alignment vertical="center"/>
    </xf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6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51" fillId="12" borderId="0" applyNumberFormat="0" applyBorder="0" applyAlignment="0" applyProtection="0"/>
    <xf numFmtId="43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Protection="0"/>
    <xf numFmtId="43" fontId="7" fillId="0" borderId="0" applyFont="0" applyFill="0" applyBorder="0" applyProtection="0"/>
    <xf numFmtId="43" fontId="7" fillId="0" borderId="0" applyFont="0" applyFill="0" applyBorder="0" applyProtection="0"/>
    <xf numFmtId="43" fontId="7" fillId="0" borderId="0" applyFont="0" applyFill="0" applyBorder="0" applyProtection="0"/>
    <xf numFmtId="0" fontId="16" fillId="0" borderId="0"/>
    <xf numFmtId="43" fontId="7" fillId="0" borderId="0" applyFont="0" applyFill="0" applyBorder="0" applyAlignment="0" applyProtection="0"/>
    <xf numFmtId="0" fontId="16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>
      <alignment vertical="center"/>
    </xf>
    <xf numFmtId="43" fontId="7" fillId="0" borderId="0" applyFont="0" applyFill="0" applyBorder="0" applyAlignment="0" applyProtection="0"/>
    <xf numFmtId="43" fontId="7" fillId="0" borderId="0" applyFont="0" applyFill="0" applyBorder="0" applyProtection="0"/>
    <xf numFmtId="43" fontId="7" fillId="0" borderId="0" applyFont="0" applyFill="0" applyBorder="0" applyAlignment="0" applyProtection="0"/>
    <xf numFmtId="43" fontId="7" fillId="0" borderId="0" applyFont="0" applyFill="0" applyBorder="0" applyProtection="0"/>
    <xf numFmtId="43" fontId="15" fillId="0" borderId="0" applyFont="0" applyFill="0" applyBorder="0" applyAlignment="0" applyProtection="0"/>
    <xf numFmtId="0" fontId="16" fillId="0" borderId="0"/>
    <xf numFmtId="43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0" borderId="0"/>
    <xf numFmtId="43" fontId="7" fillId="0" borderId="0" applyFont="0" applyFill="0" applyBorder="0" applyProtection="0"/>
    <xf numFmtId="0" fontId="58" fillId="34" borderId="26" applyNumberFormat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6" fillId="0" borderId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9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6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72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3" fillId="0" borderId="0" applyNumberFormat="0" applyFill="0" applyBorder="0" applyAlignment="0" applyProtection="0"/>
    <xf numFmtId="168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6" fillId="0" borderId="0"/>
    <xf numFmtId="43" fontId="7" fillId="0" borderId="0" applyFont="0" applyFill="0" applyBorder="0" applyAlignment="0" applyProtection="0"/>
    <xf numFmtId="0" fontId="16" fillId="0" borderId="0"/>
    <xf numFmtId="43" fontId="7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68" fillId="0" borderId="37" applyNumberFormat="0" applyFill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7" fillId="13" borderId="20" applyNumberFormat="0" applyFont="0" applyAlignment="0" applyProtection="0"/>
    <xf numFmtId="170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0" borderId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0" borderId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13" borderId="20" applyNumberFormat="0" applyFont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13" borderId="20" applyNumberFormat="0" applyFont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6" fillId="0" borderId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63" fillId="0" borderId="0" applyFont="0" applyFill="0" applyBorder="0" applyAlignment="0" applyProtection="0"/>
    <xf numFmtId="168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9" fontId="7" fillId="0" borderId="0" applyFont="0" applyFill="0" applyBorder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40" fillId="0" borderId="24" applyNumberFormat="0" applyFill="0" applyAlignment="0" applyProtection="0"/>
    <xf numFmtId="168" fontId="15" fillId="0" borderId="0" applyFont="0" applyFill="0" applyBorder="0" applyAlignment="0" applyProtection="0"/>
    <xf numFmtId="0" fontId="31" fillId="0" borderId="22" applyNumberFormat="0" applyFill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39" fillId="0" borderId="0" applyNumberFormat="0" applyFill="0" applyBorder="0" applyAlignment="0" applyProtection="0"/>
    <xf numFmtId="172" fontId="7" fillId="0" borderId="0" applyFont="0" applyFill="0" applyBorder="0" applyAlignment="0" applyProtection="0"/>
    <xf numFmtId="172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168" fontId="15" fillId="0" borderId="0" applyFont="0" applyFill="0" applyBorder="0" applyAlignment="0" applyProtection="0"/>
    <xf numFmtId="0" fontId="16" fillId="0" borderId="0"/>
    <xf numFmtId="168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168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168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168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168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168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168" fontId="15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60" fillId="0" borderId="0" applyNumberFormat="0" applyFill="0" applyBorder="0" applyAlignment="0" applyProtection="0">
      <alignment vertical="top"/>
      <protection locked="0"/>
    </xf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16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168" fontId="15" fillId="0" borderId="0" applyFont="0" applyFill="0" applyBorder="0" applyAlignment="0" applyProtection="0"/>
    <xf numFmtId="0" fontId="16" fillId="0" borderId="0"/>
    <xf numFmtId="168" fontId="15" fillId="0" borderId="0" applyFont="0" applyFill="0" applyBorder="0" applyAlignment="0" applyProtection="0"/>
    <xf numFmtId="0" fontId="16" fillId="0" borderId="0"/>
    <xf numFmtId="168" fontId="15" fillId="0" borderId="0" applyFont="0" applyFill="0" applyBorder="0" applyAlignment="0" applyProtection="0"/>
    <xf numFmtId="0" fontId="16" fillId="0" borderId="0"/>
    <xf numFmtId="168" fontId="15" fillId="0" borderId="0" applyFont="0" applyFill="0" applyBorder="0" applyAlignment="0" applyProtection="0"/>
    <xf numFmtId="0" fontId="16" fillId="0" borderId="0"/>
    <xf numFmtId="168" fontId="15" fillId="0" borderId="0" applyFont="0" applyFill="0" applyBorder="0" applyAlignment="0" applyProtection="0"/>
    <xf numFmtId="44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44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166" fontId="16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47" fillId="41" borderId="28" applyNumberFormat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6" fillId="0" borderId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35" fillId="80" borderId="0" applyNumberFormat="0" applyBorder="0" applyAlignment="0" applyProtection="0"/>
    <xf numFmtId="0" fontId="35" fillId="55" borderId="0" applyNumberFormat="0" applyBorder="0" applyAlignment="0" applyProtection="0"/>
    <xf numFmtId="0" fontId="35" fillId="43" borderId="0" applyNumberFormat="0" applyBorder="0" applyAlignment="0" applyProtection="0"/>
    <xf numFmtId="0" fontId="35" fillId="93" borderId="0" applyNumberFormat="0" applyBorder="0" applyAlignment="0" applyProtection="0"/>
    <xf numFmtId="0" fontId="42" fillId="33" borderId="25" applyNumberFormat="0" applyAlignment="0" applyProtection="0"/>
    <xf numFmtId="0" fontId="41" fillId="33" borderId="25" applyNumberFormat="0" applyAlignment="0" applyProtection="0"/>
    <xf numFmtId="0" fontId="42" fillId="33" borderId="25" applyNumberFormat="0" applyAlignment="0" applyProtection="0"/>
    <xf numFmtId="0" fontId="42" fillId="33" borderId="25" applyNumberFormat="0" applyAlignment="0" applyProtection="0"/>
    <xf numFmtId="0" fontId="72" fillId="0" borderId="27" applyNumberFormat="0" applyFill="0" applyAlignment="0" applyProtection="0"/>
    <xf numFmtId="17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16" fillId="13" borderId="20" applyNumberFormat="0" applyFont="0" applyAlignment="0" applyProtection="0"/>
    <xf numFmtId="0" fontId="75" fillId="88" borderId="0" applyNumberFormat="0" applyBorder="0" applyAlignment="0" applyProtection="0"/>
    <xf numFmtId="0" fontId="16" fillId="13" borderId="20" applyNumberFormat="0" applyFont="0" applyAlignment="0" applyProtection="0"/>
    <xf numFmtId="0" fontId="46" fillId="40" borderId="0" applyNumberFormat="0" applyBorder="0" applyAlignment="0" applyProtection="0"/>
    <xf numFmtId="0" fontId="59" fillId="0" borderId="33" applyNumberFormat="0" applyFill="0" applyAlignment="0" applyProtection="0"/>
    <xf numFmtId="0" fontId="45" fillId="0" borderId="27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43" fillId="0" borderId="39" applyNumberFormat="0" applyFill="0" applyAlignment="0" applyProtection="0"/>
    <xf numFmtId="0" fontId="39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62" fillId="87" borderId="0" applyNumberFormat="0" applyBorder="0" applyAlignment="0" applyProtection="0"/>
    <xf numFmtId="0" fontId="69" fillId="53" borderId="38" applyNumberFormat="0" applyAlignment="0" applyProtection="0"/>
    <xf numFmtId="0" fontId="50" fillId="0" borderId="29" applyNumberFormat="0" applyFill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6" fillId="13" borderId="20" applyNumberFormat="0" applyFont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6" fillId="13" borderId="20" applyNumberFormat="0" applyFont="0" applyAlignment="0" applyProtection="0"/>
    <xf numFmtId="0" fontId="7" fillId="85" borderId="40" applyNumberFormat="0" applyFont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6" fillId="0" borderId="0"/>
    <xf numFmtId="43" fontId="7" fillId="0" borderId="0" applyFont="0" applyFill="0" applyBorder="0" applyAlignment="0" applyProtection="0"/>
    <xf numFmtId="0" fontId="16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74" fillId="46" borderId="0" applyNumberFormat="0" applyBorder="0" applyAlignment="0" applyProtection="0"/>
    <xf numFmtId="0" fontId="53" fillId="48" borderId="0" applyNumberFormat="0" applyBorder="0" applyAlignment="0" applyProtection="0"/>
    <xf numFmtId="0" fontId="54" fillId="48" borderId="0" applyNumberFormat="0" applyBorder="0" applyAlignment="0" applyProtection="0"/>
    <xf numFmtId="0" fontId="54" fillId="48" borderId="0" applyNumberFormat="0" applyBorder="0" applyAlignment="0" applyProtection="0"/>
    <xf numFmtId="0" fontId="7" fillId="0" borderId="0"/>
    <xf numFmtId="0" fontId="7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30" fillId="0" borderId="23" applyNumberFormat="0" applyFill="0" applyAlignment="0" applyProtection="0"/>
    <xf numFmtId="0" fontId="16" fillId="0" borderId="0"/>
    <xf numFmtId="0" fontId="16" fillId="0" borderId="0"/>
    <xf numFmtId="0" fontId="72" fillId="0" borderId="27" applyNumberFormat="0" applyFill="0" applyAlignment="0" applyProtection="0"/>
    <xf numFmtId="0" fontId="16" fillId="0" borderId="0"/>
    <xf numFmtId="0" fontId="64" fillId="0" borderId="34" applyNumberFormat="0" applyFill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70" fillId="0" borderId="0" applyNumberFormat="0" applyFill="0" applyBorder="0" applyAlignment="0" applyProtection="0"/>
    <xf numFmtId="0" fontId="16" fillId="0" borderId="0"/>
    <xf numFmtId="0" fontId="16" fillId="0" borderId="0"/>
    <xf numFmtId="0" fontId="39" fillId="0" borderId="23" applyNumberFormat="0" applyFill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7" fillId="0" borderId="0"/>
    <xf numFmtId="0" fontId="7" fillId="0" borderId="0"/>
    <xf numFmtId="0" fontId="7" fillId="0" borderId="0">
      <alignment vertical="center"/>
    </xf>
    <xf numFmtId="0" fontId="57" fillId="0" borderId="0"/>
    <xf numFmtId="0" fontId="7" fillId="0" borderId="0"/>
    <xf numFmtId="0" fontId="57" fillId="0" borderId="0"/>
    <xf numFmtId="0" fontId="57" fillId="0" borderId="0"/>
    <xf numFmtId="0" fontId="16" fillId="0" borderId="0"/>
    <xf numFmtId="0" fontId="16" fillId="0" borderId="0"/>
    <xf numFmtId="0" fontId="16" fillId="0" borderId="0"/>
    <xf numFmtId="0" fontId="52" fillId="0" borderId="0" applyNumberForma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45" fillId="0" borderId="27" applyNumberFormat="0" applyFill="0" applyAlignment="0" applyProtection="0"/>
    <xf numFmtId="0" fontId="16" fillId="0" borderId="0"/>
    <xf numFmtId="0" fontId="16" fillId="0" borderId="0"/>
    <xf numFmtId="0" fontId="64" fillId="0" borderId="34" applyNumberFormat="0" applyFill="0" applyAlignment="0" applyProtection="0"/>
    <xf numFmtId="0" fontId="16" fillId="0" borderId="0"/>
    <xf numFmtId="0" fontId="16" fillId="0" borderId="0"/>
    <xf numFmtId="0" fontId="16" fillId="0" borderId="0"/>
    <xf numFmtId="0" fontId="7" fillId="0" borderId="0"/>
    <xf numFmtId="0" fontId="7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7" fillId="0" borderId="0">
      <alignment vertical="center"/>
    </xf>
    <xf numFmtId="0" fontId="7" fillId="0" borderId="0"/>
    <xf numFmtId="0" fontId="16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7" fillId="0" borderId="0"/>
    <xf numFmtId="0" fontId="16" fillId="0" borderId="0"/>
    <xf numFmtId="0" fontId="7" fillId="85" borderId="40" applyNumberFormat="0" applyFont="0" applyAlignment="0" applyProtection="0"/>
    <xf numFmtId="0" fontId="7" fillId="39" borderId="31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16" fillId="13" borderId="20" applyNumberFormat="0" applyFont="0" applyAlignment="0" applyProtection="0"/>
    <xf numFmtId="0" fontId="76" fillId="62" borderId="41" applyNumberFormat="0" applyAlignment="0" applyProtection="0"/>
    <xf numFmtId="0" fontId="47" fillId="41" borderId="28" applyNumberFormat="0" applyAlignment="0" applyProtection="0"/>
    <xf numFmtId="9" fontId="7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6" fillId="62" borderId="41" applyNumberFormat="0" applyAlignment="0" applyProtection="0"/>
    <xf numFmtId="0" fontId="77" fillId="40" borderId="0" applyNumberFormat="0" applyBorder="0" applyAlignment="0" applyProtection="0"/>
    <xf numFmtId="0" fontId="77" fillId="40" borderId="0" applyNumberFormat="0" applyBorder="0" applyAlignment="0" applyProtection="0"/>
    <xf numFmtId="0" fontId="46" fillId="40" borderId="0" applyNumberFormat="0" applyBorder="0" applyAlignment="0" applyProtection="0"/>
    <xf numFmtId="0" fontId="46" fillId="40" borderId="0" applyNumberFormat="0" applyBorder="0" applyAlignment="0" applyProtection="0"/>
    <xf numFmtId="0" fontId="70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4" fillId="0" borderId="34" applyNumberFormat="0" applyFill="0" applyAlignment="0" applyProtection="0"/>
    <xf numFmtId="0" fontId="31" fillId="0" borderId="19" applyNumberFormat="0" applyFill="0" applyAlignment="0" applyProtection="0"/>
    <xf numFmtId="0" fontId="31" fillId="0" borderId="35" applyNumberFormat="0" applyFill="0" applyAlignment="0" applyProtection="0"/>
    <xf numFmtId="0" fontId="31" fillId="0" borderId="21" applyNumberFormat="0" applyFill="0" applyAlignment="0" applyProtection="0"/>
    <xf numFmtId="0" fontId="64" fillId="0" borderId="34" applyNumberFormat="0" applyFill="0" applyAlignment="0" applyProtection="0"/>
    <xf numFmtId="0" fontId="39" fillId="0" borderId="0" applyNumberFormat="0" applyFill="0" applyBorder="0" applyAlignment="0" applyProtection="0"/>
    <xf numFmtId="0" fontId="59" fillId="0" borderId="33" applyNumberFormat="0" applyFill="0" applyAlignment="0" applyProtection="0"/>
    <xf numFmtId="0" fontId="40" fillId="0" borderId="24" applyNumberFormat="0" applyFill="0" applyAlignment="0" applyProtection="0"/>
    <xf numFmtId="0" fontId="43" fillId="0" borderId="39" applyNumberFormat="0" applyFill="0" applyAlignment="0" applyProtection="0"/>
    <xf numFmtId="0" fontId="20" fillId="0" borderId="42" applyNumberFormat="0" applyFill="0" applyAlignment="0" applyProtection="0"/>
    <xf numFmtId="0" fontId="6" fillId="0" borderId="30" applyNumberFormat="0" applyFill="0" applyAlignment="0" applyProtection="0"/>
    <xf numFmtId="0" fontId="6" fillId="0" borderId="30" applyNumberFormat="0" applyFill="0" applyAlignment="0" applyProtection="0"/>
    <xf numFmtId="0" fontId="6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45" fillId="0" borderId="27" applyNumberFormat="0" applyFill="0" applyAlignment="0" applyProtection="0"/>
    <xf numFmtId="0" fontId="31" fillId="0" borderId="43" applyNumberFormat="0" applyFill="0" applyAlignment="0" applyProtection="0"/>
    <xf numFmtId="0" fontId="39" fillId="0" borderId="44" applyNumberFormat="0" applyFill="0" applyAlignment="0" applyProtection="0"/>
    <xf numFmtId="0" fontId="39" fillId="0" borderId="0" applyNumberFormat="0" applyFill="0" applyBorder="0" applyAlignment="0" applyProtection="0"/>
    <xf numFmtId="0" fontId="46" fillId="94" borderId="0" applyNumberFormat="0" applyBorder="0" applyAlignment="0" applyProtection="0"/>
    <xf numFmtId="0" fontId="51" fillId="95" borderId="0" applyNumberFormat="0" applyBorder="0" applyAlignment="0" applyProtection="0"/>
    <xf numFmtId="0" fontId="54" fillId="96" borderId="0" applyNumberFormat="0" applyBorder="0" applyAlignment="0" applyProtection="0"/>
    <xf numFmtId="0" fontId="42" fillId="97" borderId="25" applyNumberFormat="0" applyAlignment="0" applyProtection="0"/>
    <xf numFmtId="0" fontId="47" fillId="98" borderId="28" applyNumberFormat="0" applyAlignment="0" applyProtection="0"/>
    <xf numFmtId="0" fontId="49" fillId="98" borderId="25" applyNumberFormat="0" applyAlignment="0" applyProtection="0"/>
    <xf numFmtId="0" fontId="50" fillId="0" borderId="29" applyNumberFormat="0" applyFill="0" applyAlignment="0" applyProtection="0"/>
    <xf numFmtId="0" fontId="44" fillId="99" borderId="26" applyNumberFormat="0" applyAlignment="0" applyProtection="0"/>
    <xf numFmtId="0" fontId="2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6" fillId="0" borderId="30" applyNumberFormat="0" applyFill="0" applyAlignment="0" applyProtection="0"/>
    <xf numFmtId="0" fontId="33" fillId="101" borderId="0" applyNumberFormat="0" applyBorder="0" applyAlignment="0" applyProtection="0"/>
    <xf numFmtId="0" fontId="3" fillId="103" borderId="0" applyNumberFormat="0" applyBorder="0" applyAlignment="0" applyProtection="0"/>
    <xf numFmtId="0" fontId="33" fillId="104" borderId="0" applyNumberFormat="0" applyBorder="0" applyAlignment="0" applyProtection="0"/>
    <xf numFmtId="0" fontId="33" fillId="105" borderId="0" applyNumberFormat="0" applyBorder="0" applyAlignment="0" applyProtection="0"/>
    <xf numFmtId="0" fontId="3" fillId="107" borderId="0" applyNumberFormat="0" applyBorder="0" applyAlignment="0" applyProtection="0"/>
    <xf numFmtId="0" fontId="33" fillId="108" borderId="0" applyNumberFormat="0" applyBorder="0" applyAlignment="0" applyProtection="0"/>
    <xf numFmtId="0" fontId="33" fillId="109" borderId="0" applyNumberFormat="0" applyBorder="0" applyAlignment="0" applyProtection="0"/>
    <xf numFmtId="0" fontId="33" fillId="113" borderId="0" applyNumberFormat="0" applyBorder="0" applyAlignment="0" applyProtection="0"/>
    <xf numFmtId="0" fontId="3" fillId="115" borderId="0" applyNumberFormat="0" applyBorder="0" applyAlignment="0" applyProtection="0"/>
    <xf numFmtId="0" fontId="33" fillId="117" borderId="0" applyNumberFormat="0" applyBorder="0" applyAlignment="0" applyProtection="0"/>
    <xf numFmtId="0" fontId="3" fillId="118" borderId="0" applyNumberFormat="0" applyBorder="0" applyAlignment="0" applyProtection="0"/>
    <xf numFmtId="0" fontId="3" fillId="119" borderId="0" applyNumberFormat="0" applyBorder="0" applyAlignment="0" applyProtection="0"/>
    <xf numFmtId="0" fontId="33" fillId="120" borderId="0" applyNumberFormat="0" applyBorder="0" applyAlignment="0" applyProtection="0"/>
    <xf numFmtId="0" fontId="33" fillId="121" borderId="0" applyNumberFormat="0" applyBorder="0" applyAlignment="0" applyProtection="0"/>
    <xf numFmtId="0" fontId="3" fillId="122" borderId="0" applyNumberFormat="0" applyBorder="0" applyAlignment="0" applyProtection="0"/>
    <xf numFmtId="0" fontId="3" fillId="12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3" fillId="125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3" fillId="1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19" fillId="56" borderId="0" applyNumberFormat="0" applyBorder="0" applyAlignment="0" applyProtection="0"/>
    <xf numFmtId="0" fontId="19" fillId="56" borderId="0" applyNumberFormat="0" applyBorder="0" applyAlignment="0" applyProtection="0"/>
    <xf numFmtId="0" fontId="3" fillId="127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19" fillId="74" borderId="0" applyNumberFormat="0" applyBorder="0" applyAlignment="0" applyProtection="0"/>
    <xf numFmtId="0" fontId="19" fillId="74" borderId="0" applyNumberFormat="0" applyBorder="0" applyAlignment="0" applyProtection="0"/>
    <xf numFmtId="0" fontId="3" fillId="128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19" fillId="75" borderId="0" applyNumberFormat="0" applyBorder="0" applyAlignment="0" applyProtection="0"/>
    <xf numFmtId="0" fontId="19" fillId="75" borderId="0" applyNumberFormat="0" applyBorder="0" applyAlignment="0" applyProtection="0"/>
    <xf numFmtId="0" fontId="19" fillId="75" borderId="0" applyNumberFormat="0" applyBorder="0" applyAlignment="0" applyProtection="0"/>
    <xf numFmtId="0" fontId="3" fillId="129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19" fillId="78" borderId="0" applyNumberFormat="0" applyBorder="0" applyAlignment="0" applyProtection="0"/>
    <xf numFmtId="0" fontId="19" fillId="78" borderId="0" applyNumberFormat="0" applyBorder="0" applyAlignment="0" applyProtection="0"/>
    <xf numFmtId="0" fontId="3" fillId="130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102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10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110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56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11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4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5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8" borderId="0" applyNumberFormat="0" applyBorder="0" applyAlignment="0" applyProtection="0"/>
    <xf numFmtId="0" fontId="3" fillId="79" borderId="0" applyNumberFormat="0" applyBorder="0" applyAlignment="0" applyProtection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3" fillId="64" borderId="0" applyNumberFormat="0" applyBorder="0" applyAlignment="0" applyProtection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3" fillId="86" borderId="0" applyNumberFormat="0" applyBorder="0" applyAlignment="0" applyProtection="0"/>
    <xf numFmtId="0" fontId="3" fillId="32" borderId="0" applyNumberFormat="0" applyBorder="0" applyAlignment="0" applyProtection="0"/>
    <xf numFmtId="0" fontId="3" fillId="81" borderId="0" applyNumberFormat="0" applyBorder="0" applyAlignment="0" applyProtection="0"/>
    <xf numFmtId="0" fontId="3" fillId="32" borderId="0" applyNumberFormat="0" applyBorder="0" applyAlignment="0" applyProtection="0"/>
    <xf numFmtId="0" fontId="3" fillId="81" borderId="0" applyNumberFormat="0" applyBorder="0" applyAlignment="0" applyProtection="0"/>
    <xf numFmtId="0" fontId="3" fillId="73" borderId="0" applyNumberFormat="0" applyBorder="0" applyAlignment="0" applyProtection="0"/>
    <xf numFmtId="0" fontId="3" fillId="32" borderId="0" applyNumberFormat="0" applyBorder="0" applyAlignment="0" applyProtection="0"/>
    <xf numFmtId="0" fontId="3" fillId="81" borderId="0" applyNumberFormat="0" applyBorder="0" applyAlignment="0" applyProtection="0"/>
    <xf numFmtId="0" fontId="3" fillId="84" borderId="0" applyNumberFormat="0" applyBorder="0" applyAlignment="0" applyProtection="0"/>
    <xf numFmtId="0" fontId="3" fillId="38" borderId="0" applyNumberFormat="0" applyBorder="0" applyAlignment="0" applyProtection="0"/>
    <xf numFmtId="0" fontId="3" fillId="22" borderId="0" applyNumberFormat="0" applyBorder="0" applyAlignment="0" applyProtection="0"/>
    <xf numFmtId="0" fontId="3" fillId="38" borderId="0" applyNumberFormat="0" applyBorder="0" applyAlignment="0" applyProtection="0"/>
    <xf numFmtId="0" fontId="3" fillId="22" borderId="0" applyNumberFormat="0" applyBorder="0" applyAlignment="0" applyProtection="0"/>
    <xf numFmtId="0" fontId="3" fillId="92" borderId="0" applyNumberFormat="0" applyBorder="0" applyAlignment="0" applyProtection="0"/>
    <xf numFmtId="0" fontId="3" fillId="38" borderId="0" applyNumberFormat="0" applyBorder="0" applyAlignment="0" applyProtection="0"/>
    <xf numFmtId="0" fontId="3" fillId="22" borderId="0" applyNumberFormat="0" applyBorder="0" applyAlignment="0" applyProtection="0"/>
    <xf numFmtId="0" fontId="3" fillId="44" borderId="0" applyNumberFormat="0" applyBorder="0" applyAlignment="0" applyProtection="0"/>
    <xf numFmtId="0" fontId="3" fillId="61" borderId="0" applyNumberFormat="0" applyBorder="0" applyAlignment="0" applyProtection="0"/>
    <xf numFmtId="0" fontId="3" fillId="66" borderId="0" applyNumberFormat="0" applyBorder="0" applyAlignment="0" applyProtection="0"/>
    <xf numFmtId="0" fontId="3" fillId="61" borderId="0" applyNumberFormat="0" applyBorder="0" applyAlignment="0" applyProtection="0"/>
    <xf numFmtId="0" fontId="3" fillId="66" borderId="0" applyNumberFormat="0" applyBorder="0" applyAlignment="0" applyProtection="0"/>
    <xf numFmtId="0" fontId="3" fillId="54" borderId="0" applyNumberFormat="0" applyBorder="0" applyAlignment="0" applyProtection="0"/>
    <xf numFmtId="0" fontId="3" fillId="61" borderId="0" applyNumberFormat="0" applyBorder="0" applyAlignment="0" applyProtection="0"/>
    <xf numFmtId="0" fontId="3" fillId="66" borderId="0" applyNumberFormat="0" applyBorder="0" applyAlignment="0" applyProtection="0"/>
    <xf numFmtId="0" fontId="3" fillId="89" borderId="0" applyNumberFormat="0" applyBorder="0" applyAlignment="0" applyProtection="0"/>
    <xf numFmtId="0" fontId="3" fillId="82" borderId="0" applyNumberFormat="0" applyBorder="0" applyAlignment="0" applyProtection="0"/>
    <xf numFmtId="0" fontId="3" fillId="90" borderId="0" applyNumberFormat="0" applyBorder="0" applyAlignment="0" applyProtection="0"/>
    <xf numFmtId="0" fontId="3" fillId="82" borderId="0" applyNumberFormat="0" applyBorder="0" applyAlignment="0" applyProtection="0"/>
    <xf numFmtId="0" fontId="3" fillId="90" borderId="0" applyNumberFormat="0" applyBorder="0" applyAlignment="0" applyProtection="0"/>
    <xf numFmtId="0" fontId="3" fillId="83" borderId="0" applyNumberFormat="0" applyBorder="0" applyAlignment="0" applyProtection="0"/>
    <xf numFmtId="0" fontId="3" fillId="82" borderId="0" applyNumberFormat="0" applyBorder="0" applyAlignment="0" applyProtection="0"/>
    <xf numFmtId="0" fontId="3" fillId="90" borderId="0" applyNumberFormat="0" applyBorder="0" applyAlignment="0" applyProtection="0"/>
    <xf numFmtId="0" fontId="3" fillId="77" borderId="0" applyNumberFormat="0" applyBorder="0" applyAlignment="0" applyProtection="0"/>
    <xf numFmtId="0" fontId="3" fillId="37" borderId="0" applyNumberFormat="0" applyBorder="0" applyAlignment="0" applyProtection="0"/>
    <xf numFmtId="0" fontId="3" fillId="50" borderId="0" applyNumberFormat="0" applyBorder="0" applyAlignment="0" applyProtection="0"/>
    <xf numFmtId="0" fontId="3" fillId="37" borderId="0" applyNumberFormat="0" applyBorder="0" applyAlignment="0" applyProtection="0"/>
    <xf numFmtId="0" fontId="3" fillId="50" borderId="0" applyNumberFormat="0" applyBorder="0" applyAlignment="0" applyProtection="0"/>
    <xf numFmtId="0" fontId="3" fillId="70" borderId="0" applyNumberFormat="0" applyBorder="0" applyAlignment="0" applyProtection="0"/>
    <xf numFmtId="0" fontId="3" fillId="37" borderId="0" applyNumberFormat="0" applyBorder="0" applyAlignment="0" applyProtection="0"/>
    <xf numFmtId="0" fontId="3" fillId="50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47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5" fillId="131" borderId="0" applyNumberFormat="0" applyBorder="0" applyAlignment="0" applyProtection="0"/>
    <xf numFmtId="0" fontId="35" fillId="131" borderId="0" applyNumberFormat="0" applyBorder="0" applyAlignment="0" applyProtection="0"/>
    <xf numFmtId="0" fontId="33" fillId="131" borderId="0" applyNumberFormat="0" applyBorder="0" applyAlignment="0" applyProtection="0"/>
    <xf numFmtId="0" fontId="33" fillId="131" borderId="0" applyNumberFormat="0" applyBorder="0" applyAlignment="0" applyProtection="0"/>
    <xf numFmtId="0" fontId="35" fillId="132" borderId="0" applyNumberFormat="0" applyBorder="0" applyAlignment="0" applyProtection="0"/>
    <xf numFmtId="0" fontId="35" fillId="132" borderId="0" applyNumberFormat="0" applyBorder="0" applyAlignment="0" applyProtection="0"/>
    <xf numFmtId="0" fontId="33" fillId="132" borderId="0" applyNumberFormat="0" applyBorder="0" applyAlignment="0" applyProtection="0"/>
    <xf numFmtId="0" fontId="33" fillId="132" borderId="0" applyNumberFormat="0" applyBorder="0" applyAlignment="0" applyProtection="0"/>
    <xf numFmtId="0" fontId="35" fillId="133" borderId="0" applyNumberFormat="0" applyBorder="0" applyAlignment="0" applyProtection="0"/>
    <xf numFmtId="0" fontId="35" fillId="133" borderId="0" applyNumberFormat="0" applyBorder="0" applyAlignment="0" applyProtection="0"/>
    <xf numFmtId="0" fontId="33" fillId="133" borderId="0" applyNumberFormat="0" applyBorder="0" applyAlignment="0" applyProtection="0"/>
    <xf numFmtId="0" fontId="33" fillId="133" borderId="0" applyNumberFormat="0" applyBorder="0" applyAlignment="0" applyProtection="0"/>
    <xf numFmtId="0" fontId="35" fillId="134" borderId="0" applyNumberFormat="0" applyBorder="0" applyAlignment="0" applyProtection="0"/>
    <xf numFmtId="0" fontId="35" fillId="134" borderId="0" applyNumberFormat="0" applyBorder="0" applyAlignment="0" applyProtection="0"/>
    <xf numFmtId="0" fontId="33" fillId="134" borderId="0" applyNumberFormat="0" applyBorder="0" applyAlignment="0" applyProtection="0"/>
    <xf numFmtId="0" fontId="33" fillId="134" borderId="0" applyNumberFormat="0" applyBorder="0" applyAlignment="0" applyProtection="0"/>
    <xf numFmtId="0" fontId="35" fillId="135" borderId="0" applyNumberFormat="0" applyBorder="0" applyAlignment="0" applyProtection="0"/>
    <xf numFmtId="0" fontId="35" fillId="135" borderId="0" applyNumberFormat="0" applyBorder="0" applyAlignment="0" applyProtection="0"/>
    <xf numFmtId="0" fontId="33" fillId="135" borderId="0" applyNumberFormat="0" applyBorder="0" applyAlignment="0" applyProtection="0"/>
    <xf numFmtId="0" fontId="33" fillId="135" borderId="0" applyNumberFormat="0" applyBorder="0" applyAlignment="0" applyProtection="0"/>
    <xf numFmtId="0" fontId="35" fillId="136" borderId="0" applyNumberFormat="0" applyBorder="0" applyAlignment="0" applyProtection="0"/>
    <xf numFmtId="0" fontId="35" fillId="136" borderId="0" applyNumberFormat="0" applyBorder="0" applyAlignment="0" applyProtection="0"/>
    <xf numFmtId="0" fontId="33" fillId="136" borderId="0" applyNumberFormat="0" applyBorder="0" applyAlignment="0" applyProtection="0"/>
    <xf numFmtId="0" fontId="33" fillId="136" borderId="0" applyNumberFormat="0" applyBorder="0" applyAlignment="0" applyProtection="0"/>
    <xf numFmtId="0" fontId="33" fillId="131" borderId="0" applyNumberFormat="0" applyBorder="0" applyAlignment="0" applyProtection="0"/>
    <xf numFmtId="0" fontId="33" fillId="132" borderId="0" applyNumberFormat="0" applyBorder="0" applyAlignment="0" applyProtection="0"/>
    <xf numFmtId="0" fontId="33" fillId="112" borderId="0" applyNumberFormat="0" applyBorder="0" applyAlignment="0" applyProtection="0"/>
    <xf numFmtId="0" fontId="33" fillId="133" borderId="0" applyNumberFormat="0" applyBorder="0" applyAlignment="0" applyProtection="0"/>
    <xf numFmtId="0" fontId="33" fillId="116" borderId="0" applyNumberFormat="0" applyBorder="0" applyAlignment="0" applyProtection="0"/>
    <xf numFmtId="0" fontId="33" fillId="134" borderId="0" applyNumberFormat="0" applyBorder="0" applyAlignment="0" applyProtection="0"/>
    <xf numFmtId="0" fontId="33" fillId="135" borderId="0" applyNumberFormat="0" applyBorder="0" applyAlignment="0" applyProtection="0"/>
    <xf numFmtId="0" fontId="33" fillId="124" borderId="0" applyNumberFormat="0" applyBorder="0" applyAlignment="0" applyProtection="0"/>
    <xf numFmtId="0" fontId="33" fillId="136" borderId="0" applyNumberFormat="0" applyBorder="0" applyAlignment="0" applyProtection="0"/>
    <xf numFmtId="17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1" fillId="0" borderId="22" applyNumberFormat="0" applyFill="0" applyAlignment="0" applyProtection="0"/>
    <xf numFmtId="0" fontId="31" fillId="0" borderId="45" applyNumberFormat="0" applyFill="0" applyAlignment="0" applyProtection="0"/>
    <xf numFmtId="0" fontId="31" fillId="0" borderId="22" applyNumberFormat="0" applyFill="0" applyAlignment="0" applyProtection="0"/>
    <xf numFmtId="0" fontId="31" fillId="0" borderId="22" applyNumberFormat="0" applyFill="0" applyAlignment="0" applyProtection="0"/>
    <xf numFmtId="0" fontId="39" fillId="0" borderId="44" applyNumberFormat="0" applyFill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00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0" fontId="3" fillId="13" borderId="20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84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64" fillId="0" borderId="22" applyNumberFormat="0" applyFill="0" applyAlignment="0" applyProtection="0"/>
    <xf numFmtId="0" fontId="64" fillId="0" borderId="22" applyNumberFormat="0" applyFill="0" applyAlignment="0" applyProtection="0"/>
    <xf numFmtId="0" fontId="64" fillId="0" borderId="22" applyNumberFormat="0" applyFill="0" applyAlignment="0" applyProtection="0"/>
    <xf numFmtId="0" fontId="30" fillId="0" borderId="44" applyNumberFormat="0" applyFill="0" applyAlignment="0" applyProtection="0"/>
    <xf numFmtId="0" fontId="30" fillId="0" borderId="44" applyNumberFormat="0" applyFill="0" applyAlignment="0" applyProtection="0"/>
    <xf numFmtId="0" fontId="39" fillId="0" borderId="44" applyNumberFormat="0" applyFill="0" applyAlignment="0" applyProtection="0"/>
    <xf numFmtId="0" fontId="39" fillId="0" borderId="44" applyNumberFormat="0" applyFill="0" applyAlignment="0" applyProtection="0"/>
    <xf numFmtId="0" fontId="84" fillId="0" borderId="0" applyNumberFormat="0" applyFill="0" applyBorder="0" applyAlignment="0" applyProtection="0"/>
    <xf numFmtId="0" fontId="2" fillId="125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1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127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128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129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130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102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63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10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110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11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74" borderId="0" applyNumberFormat="0" applyBorder="0" applyAlignment="0" applyProtection="0"/>
    <xf numFmtId="0" fontId="2" fillId="118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75" borderId="0" applyNumberFormat="0" applyBorder="0" applyAlignment="0" applyProtection="0"/>
    <xf numFmtId="0" fontId="2" fillId="122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8" borderId="0" applyNumberFormat="0" applyBorder="0" applyAlignment="0" applyProtection="0"/>
    <xf numFmtId="0" fontId="2" fillId="79" borderId="0" applyNumberFormat="0" applyBorder="0" applyAlignment="0" applyProtection="0"/>
    <xf numFmtId="0" fontId="2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64" borderId="0" applyNumberFormat="0" applyBorder="0" applyAlignment="0" applyProtection="0"/>
    <xf numFmtId="0" fontId="2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86" borderId="0" applyNumberFormat="0" applyBorder="0" applyAlignment="0" applyProtection="0"/>
    <xf numFmtId="0" fontId="2" fillId="32" borderId="0" applyNumberFormat="0" applyBorder="0" applyAlignment="0" applyProtection="0"/>
    <xf numFmtId="0" fontId="2" fillId="81" borderId="0" applyNumberFormat="0" applyBorder="0" applyAlignment="0" applyProtection="0"/>
    <xf numFmtId="0" fontId="2" fillId="32" borderId="0" applyNumberFormat="0" applyBorder="0" applyAlignment="0" applyProtection="0"/>
    <xf numFmtId="0" fontId="2" fillId="81" borderId="0" applyNumberFormat="0" applyBorder="0" applyAlignment="0" applyProtection="0"/>
    <xf numFmtId="0" fontId="2" fillId="73" borderId="0" applyNumberFormat="0" applyBorder="0" applyAlignment="0" applyProtection="0"/>
    <xf numFmtId="0" fontId="2" fillId="32" borderId="0" applyNumberFormat="0" applyBorder="0" applyAlignment="0" applyProtection="0"/>
    <xf numFmtId="0" fontId="2" fillId="81" borderId="0" applyNumberFormat="0" applyBorder="0" applyAlignment="0" applyProtection="0"/>
    <xf numFmtId="0" fontId="2" fillId="84" borderId="0" applyNumberFormat="0" applyBorder="0" applyAlignment="0" applyProtection="0"/>
    <xf numFmtId="0" fontId="2" fillId="38" borderId="0" applyNumberFormat="0" applyBorder="0" applyAlignment="0" applyProtection="0"/>
    <xf numFmtId="0" fontId="2" fillId="22" borderId="0" applyNumberFormat="0" applyBorder="0" applyAlignment="0" applyProtection="0"/>
    <xf numFmtId="0" fontId="2" fillId="38" borderId="0" applyNumberFormat="0" applyBorder="0" applyAlignment="0" applyProtection="0"/>
    <xf numFmtId="0" fontId="2" fillId="22" borderId="0" applyNumberFormat="0" applyBorder="0" applyAlignment="0" applyProtection="0"/>
    <xf numFmtId="0" fontId="2" fillId="92" borderId="0" applyNumberFormat="0" applyBorder="0" applyAlignment="0" applyProtection="0"/>
    <xf numFmtId="0" fontId="2" fillId="38" borderId="0" applyNumberFormat="0" applyBorder="0" applyAlignment="0" applyProtection="0"/>
    <xf numFmtId="0" fontId="2" fillId="22" borderId="0" applyNumberFormat="0" applyBorder="0" applyAlignment="0" applyProtection="0"/>
    <xf numFmtId="0" fontId="2" fillId="44" borderId="0" applyNumberFormat="0" applyBorder="0" applyAlignment="0" applyProtection="0"/>
    <xf numFmtId="0" fontId="2" fillId="61" borderId="0" applyNumberFormat="0" applyBorder="0" applyAlignment="0" applyProtection="0"/>
    <xf numFmtId="0" fontId="2" fillId="66" borderId="0" applyNumberFormat="0" applyBorder="0" applyAlignment="0" applyProtection="0"/>
    <xf numFmtId="0" fontId="2" fillId="61" borderId="0" applyNumberFormat="0" applyBorder="0" applyAlignment="0" applyProtection="0"/>
    <xf numFmtId="0" fontId="2" fillId="66" borderId="0" applyNumberFormat="0" applyBorder="0" applyAlignment="0" applyProtection="0"/>
    <xf numFmtId="0" fontId="2" fillId="54" borderId="0" applyNumberFormat="0" applyBorder="0" applyAlignment="0" applyProtection="0"/>
    <xf numFmtId="0" fontId="2" fillId="61" borderId="0" applyNumberFormat="0" applyBorder="0" applyAlignment="0" applyProtection="0"/>
    <xf numFmtId="0" fontId="2" fillId="66" borderId="0" applyNumberFormat="0" applyBorder="0" applyAlignment="0" applyProtection="0"/>
    <xf numFmtId="0" fontId="2" fillId="89" borderId="0" applyNumberFormat="0" applyBorder="0" applyAlignment="0" applyProtection="0"/>
    <xf numFmtId="0" fontId="2" fillId="82" borderId="0" applyNumberFormat="0" applyBorder="0" applyAlignment="0" applyProtection="0"/>
    <xf numFmtId="0" fontId="2" fillId="90" borderId="0" applyNumberFormat="0" applyBorder="0" applyAlignment="0" applyProtection="0"/>
    <xf numFmtId="0" fontId="2" fillId="82" borderId="0" applyNumberFormat="0" applyBorder="0" applyAlignment="0" applyProtection="0"/>
    <xf numFmtId="0" fontId="2" fillId="90" borderId="0" applyNumberFormat="0" applyBorder="0" applyAlignment="0" applyProtection="0"/>
    <xf numFmtId="0" fontId="2" fillId="83" borderId="0" applyNumberFormat="0" applyBorder="0" applyAlignment="0" applyProtection="0"/>
    <xf numFmtId="0" fontId="2" fillId="82" borderId="0" applyNumberFormat="0" applyBorder="0" applyAlignment="0" applyProtection="0"/>
    <xf numFmtId="0" fontId="2" fillId="90" borderId="0" applyNumberFormat="0" applyBorder="0" applyAlignment="0" applyProtection="0"/>
    <xf numFmtId="0" fontId="2" fillId="77" borderId="0" applyNumberFormat="0" applyBorder="0" applyAlignment="0" applyProtection="0"/>
    <xf numFmtId="0" fontId="2" fillId="37" borderId="0" applyNumberFormat="0" applyBorder="0" applyAlignment="0" applyProtection="0"/>
    <xf numFmtId="0" fontId="2" fillId="50" borderId="0" applyNumberFormat="0" applyBorder="0" applyAlignment="0" applyProtection="0"/>
    <xf numFmtId="0" fontId="2" fillId="37" borderId="0" applyNumberFormat="0" applyBorder="0" applyAlignment="0" applyProtection="0"/>
    <xf numFmtId="0" fontId="2" fillId="50" borderId="0" applyNumberFormat="0" applyBorder="0" applyAlignment="0" applyProtection="0"/>
    <xf numFmtId="0" fontId="2" fillId="70" borderId="0" applyNumberFormat="0" applyBorder="0" applyAlignment="0" applyProtection="0"/>
    <xf numFmtId="0" fontId="2" fillId="37" borderId="0" applyNumberFormat="0" applyBorder="0" applyAlignment="0" applyProtection="0"/>
    <xf numFmtId="0" fontId="2" fillId="50" borderId="0" applyNumberFormat="0" applyBorder="0" applyAlignment="0" applyProtection="0"/>
    <xf numFmtId="0" fontId="2" fillId="103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47" borderId="0" applyNumberFormat="0" applyBorder="0" applyAlignment="0" applyProtection="0"/>
    <xf numFmtId="0" fontId="2" fillId="107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119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23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17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00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0" fontId="2" fillId="13" borderId="20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480">
    <xf numFmtId="0" fontId="0" fillId="0" borderId="0" xfId="0"/>
    <xf numFmtId="174" fontId="0" fillId="0" borderId="0" xfId="0" applyNumberFormat="1"/>
    <xf numFmtId="0" fontId="4" fillId="0" borderId="0" xfId="0" applyFont="1" applyAlignment="1">
      <alignment horizontal="center"/>
    </xf>
    <xf numFmtId="17" fontId="5" fillId="0" borderId="0" xfId="0" applyNumberFormat="1" applyFont="1"/>
    <xf numFmtId="174" fontId="4" fillId="0" borderId="0" xfId="0" applyNumberFormat="1" applyFont="1" applyAlignment="1">
      <alignment horizontal="center"/>
    </xf>
    <xf numFmtId="0" fontId="4" fillId="0" borderId="0" xfId="0" applyFont="1"/>
    <xf numFmtId="0" fontId="0" fillId="0" borderId="1" xfId="0" applyBorder="1"/>
    <xf numFmtId="17" fontId="6" fillId="0" borderId="2" xfId="1062" applyNumberFormat="1" applyFont="1" applyBorder="1"/>
    <xf numFmtId="174" fontId="4" fillId="0" borderId="0" xfId="4" applyNumberFormat="1" applyFont="1"/>
    <xf numFmtId="0" fontId="0" fillId="0" borderId="3" xfId="0" applyBorder="1"/>
    <xf numFmtId="43" fontId="7" fillId="2" borderId="3" xfId="4" applyFont="1" applyFill="1" applyBorder="1"/>
    <xf numFmtId="174" fontId="0" fillId="0" borderId="3" xfId="0" applyNumberFormat="1" applyBorder="1"/>
    <xf numFmtId="43" fontId="0" fillId="0" borderId="3" xfId="4" applyFont="1" applyBorder="1"/>
    <xf numFmtId="43" fontId="8" fillId="0" borderId="0" xfId="4" applyFont="1"/>
    <xf numFmtId="0" fontId="9" fillId="0" borderId="0" xfId="0" applyFont="1"/>
    <xf numFmtId="174" fontId="9" fillId="0" borderId="0" xfId="0" applyNumberFormat="1" applyFont="1"/>
    <xf numFmtId="0" fontId="7" fillId="0" borderId="2" xfId="0" applyFont="1" applyBorder="1"/>
    <xf numFmtId="43" fontId="0" fillId="0" borderId="2" xfId="4" applyFont="1" applyBorder="1"/>
    <xf numFmtId="43" fontId="10" fillId="0" borderId="0" xfId="4" applyFont="1"/>
    <xf numFmtId="174" fontId="7" fillId="0" borderId="0" xfId="0" applyNumberFormat="1" applyFont="1"/>
    <xf numFmtId="0" fontId="4" fillId="0" borderId="2" xfId="0" applyFont="1" applyBorder="1"/>
    <xf numFmtId="43" fontId="4" fillId="0" borderId="2" xfId="4" applyFont="1" applyBorder="1"/>
    <xf numFmtId="174" fontId="4" fillId="0" borderId="0" xfId="0" applyNumberFormat="1" applyFont="1"/>
    <xf numFmtId="43" fontId="0" fillId="0" borderId="2" xfId="0" applyNumberFormat="1" applyBorder="1"/>
    <xf numFmtId="0" fontId="7" fillId="0" borderId="0" xfId="0" applyFont="1"/>
    <xf numFmtId="0" fontId="4" fillId="0" borderId="4" xfId="0" applyFont="1" applyBorder="1"/>
    <xf numFmtId="0" fontId="0" fillId="0" borderId="5" xfId="0" applyBorder="1"/>
    <xf numFmtId="43" fontId="7" fillId="0" borderId="2" xfId="4" applyFont="1" applyBorder="1"/>
    <xf numFmtId="0" fontId="0" fillId="0" borderId="0" xfId="0" applyFill="1"/>
    <xf numFmtId="174" fontId="7" fillId="0" borderId="0" xfId="4" applyNumberFormat="1" applyFill="1"/>
    <xf numFmtId="0" fontId="4" fillId="0" borderId="0" xfId="0" applyFont="1" applyFill="1"/>
    <xf numFmtId="43" fontId="0" fillId="0" borderId="0" xfId="4" applyFont="1"/>
    <xf numFmtId="174" fontId="7" fillId="0" borderId="0" xfId="4" applyNumberFormat="1"/>
    <xf numFmtId="0" fontId="7" fillId="0" borderId="0" xfId="0" applyFont="1" applyFill="1"/>
    <xf numFmtId="174" fontId="4" fillId="0" borderId="0" xfId="4" applyNumberFormat="1" applyFont="1" applyBorder="1"/>
    <xf numFmtId="164" fontId="4" fillId="0" borderId="0" xfId="4" applyNumberFormat="1" applyFont="1"/>
    <xf numFmtId="175" fontId="7" fillId="2" borderId="2" xfId="4" applyNumberFormat="1" applyFont="1" applyFill="1" applyBorder="1"/>
    <xf numFmtId="164" fontId="7" fillId="0" borderId="0" xfId="4" applyNumberFormat="1" applyFill="1"/>
    <xf numFmtId="0" fontId="0" fillId="0" borderId="5" xfId="0" applyFill="1" applyBorder="1"/>
    <xf numFmtId="0" fontId="0" fillId="0" borderId="3" xfId="0" applyFill="1" applyBorder="1"/>
    <xf numFmtId="175" fontId="0" fillId="0" borderId="3" xfId="4" applyNumberFormat="1" applyFont="1" applyFill="1" applyBorder="1"/>
    <xf numFmtId="175" fontId="7" fillId="2" borderId="3" xfId="4" applyNumberFormat="1" applyFont="1" applyFill="1" applyBorder="1"/>
    <xf numFmtId="0" fontId="7" fillId="0" borderId="3" xfId="0" applyFont="1" applyFill="1" applyBorder="1"/>
    <xf numFmtId="164" fontId="7" fillId="0" borderId="6" xfId="4" applyNumberFormat="1" applyBorder="1"/>
    <xf numFmtId="175" fontId="4" fillId="0" borderId="2" xfId="4" applyNumberFormat="1" applyFont="1" applyBorder="1"/>
    <xf numFmtId="164" fontId="0" fillId="0" borderId="0" xfId="0" applyNumberFormat="1"/>
    <xf numFmtId="175" fontId="0" fillId="0" borderId="1" xfId="4" applyNumberFormat="1" applyFont="1" applyBorder="1"/>
    <xf numFmtId="0" fontId="0" fillId="0" borderId="2" xfId="0" applyBorder="1"/>
    <xf numFmtId="175" fontId="0" fillId="0" borderId="2" xfId="4" applyNumberFormat="1" applyFont="1" applyBorder="1"/>
    <xf numFmtId="164" fontId="9" fillId="0" borderId="0" xfId="0" applyNumberFormat="1" applyFont="1"/>
    <xf numFmtId="43" fontId="0" fillId="0" borderId="3" xfId="4" applyFont="1" applyFill="1" applyBorder="1"/>
    <xf numFmtId="43" fontId="0" fillId="0" borderId="0" xfId="4" applyFont="1" applyFill="1"/>
    <xf numFmtId="43" fontId="4" fillId="2" borderId="3" xfId="4" applyFont="1" applyFill="1" applyBorder="1"/>
    <xf numFmtId="0" fontId="7" fillId="0" borderId="3" xfId="0" applyFont="1" applyBorder="1"/>
    <xf numFmtId="174" fontId="0" fillId="0" borderId="0" xfId="4" applyNumberFormat="1" applyFont="1"/>
    <xf numFmtId="174" fontId="0" fillId="0" borderId="0" xfId="4" applyNumberFormat="1" applyFont="1" applyFill="1"/>
    <xf numFmtId="43" fontId="4" fillId="0" borderId="0" xfId="4" applyFont="1" applyFill="1"/>
    <xf numFmtId="43" fontId="7" fillId="0" borderId="3" xfId="4" applyFont="1" applyFill="1" applyBorder="1"/>
    <xf numFmtId="17" fontId="7" fillId="0" borderId="0" xfId="0" applyNumberFormat="1" applyFont="1" applyFill="1"/>
    <xf numFmtId="0" fontId="11" fillId="0" borderId="0" xfId="0" applyFont="1"/>
    <xf numFmtId="0" fontId="0" fillId="0" borderId="0" xfId="0" applyBorder="1"/>
    <xf numFmtId="17" fontId="4" fillId="0" borderId="0" xfId="0" applyNumberFormat="1" applyFont="1"/>
    <xf numFmtId="17" fontId="7" fillId="0" borderId="0" xfId="0" applyNumberFormat="1" applyFont="1"/>
    <xf numFmtId="175" fontId="0" fillId="0" borderId="0" xfId="4" applyNumberFormat="1" applyFont="1"/>
    <xf numFmtId="43" fontId="0" fillId="0" borderId="7" xfId="4" applyFont="1" applyBorder="1"/>
    <xf numFmtId="4" fontId="0" fillId="0" borderId="0" xfId="0" applyNumberFormat="1" applyBorder="1"/>
    <xf numFmtId="0" fontId="4" fillId="0" borderId="2" xfId="0" applyFont="1" applyFill="1" applyBorder="1"/>
    <xf numFmtId="43" fontId="7" fillId="0" borderId="3" xfId="4" applyFont="1" applyBorder="1"/>
    <xf numFmtId="0" fontId="7" fillId="0" borderId="0" xfId="0" applyFont="1" applyBorder="1"/>
    <xf numFmtId="174" fontId="12" fillId="0" borderId="0" xfId="0" applyNumberFormat="1" applyFont="1"/>
    <xf numFmtId="0" fontId="13" fillId="0" borderId="0" xfId="0" applyFont="1"/>
    <xf numFmtId="0" fontId="11" fillId="0" borderId="0" xfId="0" applyFont="1" applyBorder="1"/>
    <xf numFmtId="43" fontId="0" fillId="0" borderId="0" xfId="4" applyFont="1" applyBorder="1"/>
    <xf numFmtId="0" fontId="4" fillId="0" borderId="0" xfId="0" applyFont="1" applyAlignment="1">
      <alignment wrapText="1"/>
    </xf>
    <xf numFmtId="43" fontId="4" fillId="0" borderId="0" xfId="4" applyFont="1"/>
    <xf numFmtId="17" fontId="0" fillId="0" borderId="0" xfId="0" applyNumberFormat="1"/>
    <xf numFmtId="174" fontId="4" fillId="0" borderId="0" xfId="1090" applyNumberFormat="1" applyFont="1"/>
    <xf numFmtId="174" fontId="0" fillId="0" borderId="0" xfId="1090" applyNumberFormat="1" applyFont="1"/>
    <xf numFmtId="49" fontId="0" fillId="0" borderId="0" xfId="0" applyNumberFormat="1" applyFill="1"/>
    <xf numFmtId="174" fontId="0" fillId="0" borderId="0" xfId="1090" applyNumberFormat="1" applyFont="1" applyFill="1"/>
    <xf numFmtId="43" fontId="10" fillId="0" borderId="0" xfId="1090" applyFont="1"/>
    <xf numFmtId="17" fontId="0" fillId="0" borderId="0" xfId="0" applyNumberFormat="1" applyFill="1"/>
    <xf numFmtId="43" fontId="7" fillId="0" borderId="0" xfId="4" applyFont="1" applyFill="1"/>
    <xf numFmtId="17" fontId="0" fillId="3" borderId="0" xfId="0" applyNumberFormat="1" applyFill="1"/>
    <xf numFmtId="43" fontId="7" fillId="3" borderId="0" xfId="4" applyFont="1" applyFill="1"/>
    <xf numFmtId="43" fontId="4" fillId="0" borderId="8" xfId="4" applyFont="1" applyBorder="1"/>
    <xf numFmtId="164" fontId="0" fillId="0" borderId="0" xfId="4" applyNumberFormat="1" applyFont="1"/>
    <xf numFmtId="174" fontId="0" fillId="0" borderId="0" xfId="1139" applyNumberFormat="1" applyFont="1"/>
    <xf numFmtId="175" fontId="7" fillId="0" borderId="0" xfId="4" applyNumberFormat="1" applyFont="1" applyFill="1"/>
    <xf numFmtId="43" fontId="7" fillId="0" borderId="0" xfId="4" applyNumberFormat="1" applyFont="1" applyFill="1"/>
    <xf numFmtId="164" fontId="0" fillId="0" borderId="0" xfId="4" applyNumberFormat="1" applyFont="1" applyFill="1"/>
    <xf numFmtId="164" fontId="4" fillId="0" borderId="0" xfId="4" applyNumberFormat="1" applyFont="1" applyFill="1" applyAlignment="1">
      <alignment horizontal="right"/>
    </xf>
    <xf numFmtId="174" fontId="4" fillId="0" borderId="0" xfId="4" applyNumberFormat="1" applyFont="1" applyFill="1" applyAlignment="1">
      <alignment horizontal="right"/>
    </xf>
    <xf numFmtId="0" fontId="14" fillId="0" borderId="0" xfId="0" applyFont="1"/>
    <xf numFmtId="164" fontId="7" fillId="0" borderId="0" xfId="4" applyNumberFormat="1" applyFont="1" applyFill="1" applyAlignment="1">
      <alignment horizontal="right"/>
    </xf>
    <xf numFmtId="174" fontId="7" fillId="0" borderId="0" xfId="4" applyNumberFormat="1" applyFont="1" applyFill="1" applyAlignment="1">
      <alignment horizontal="right"/>
    </xf>
    <xf numFmtId="164" fontId="7" fillId="0" borderId="9" xfId="4" applyNumberFormat="1" applyFont="1" applyFill="1" applyBorder="1" applyAlignment="1">
      <alignment horizontal="right"/>
    </xf>
    <xf numFmtId="174" fontId="7" fillId="0" borderId="0" xfId="4" applyNumberFormat="1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43" fontId="0" fillId="0" borderId="0" xfId="0" applyNumberFormat="1"/>
    <xf numFmtId="174" fontId="0" fillId="2" borderId="3" xfId="0" applyNumberFormat="1" applyFill="1" applyBorder="1"/>
    <xf numFmtId="174" fontId="0" fillId="0" borderId="3" xfId="0" applyNumberFormat="1" applyFill="1" applyBorder="1"/>
    <xf numFmtId="0" fontId="0" fillId="2" borderId="3" xfId="0" applyFill="1" applyBorder="1"/>
    <xf numFmtId="174" fontId="4" fillId="0" borderId="9" xfId="0" applyNumberFormat="1" applyFont="1" applyBorder="1"/>
    <xf numFmtId="174" fontId="0" fillId="0" borderId="0" xfId="0" applyNumberFormat="1" applyFill="1"/>
    <xf numFmtId="14" fontId="0" fillId="0" borderId="0" xfId="0" applyNumberFormat="1"/>
    <xf numFmtId="174" fontId="15" fillId="0" borderId="0" xfId="4" applyNumberFormat="1" applyFont="1" applyFill="1"/>
    <xf numFmtId="0" fontId="11" fillId="0" borderId="0" xfId="0" applyFont="1" applyAlignment="1">
      <alignment horizontal="right"/>
    </xf>
    <xf numFmtId="0" fontId="16" fillId="0" borderId="0" xfId="1062"/>
    <xf numFmtId="0" fontId="6" fillId="0" borderId="0" xfId="1062" applyFont="1" applyAlignment="1">
      <alignment horizontal="center"/>
    </xf>
    <xf numFmtId="43" fontId="16" fillId="0" borderId="0" xfId="618" applyFont="1"/>
    <xf numFmtId="17" fontId="16" fillId="0" borderId="0" xfId="1062" applyNumberFormat="1"/>
    <xf numFmtId="43" fontId="16" fillId="0" borderId="10" xfId="618" applyFont="1" applyBorder="1"/>
    <xf numFmtId="43" fontId="16" fillId="0" borderId="0" xfId="618" applyFont="1" applyBorder="1"/>
    <xf numFmtId="174" fontId="0" fillId="0" borderId="0" xfId="0" applyNumberFormat="1" applyBorder="1"/>
    <xf numFmtId="0" fontId="4" fillId="0" borderId="0" xfId="0" applyFont="1" applyBorder="1"/>
    <xf numFmtId="43" fontId="7" fillId="2" borderId="2" xfId="4" applyFont="1" applyFill="1" applyBorder="1"/>
    <xf numFmtId="0" fontId="4" fillId="0" borderId="0" xfId="0" applyFont="1" applyAlignment="1"/>
    <xf numFmtId="0" fontId="0" fillId="0" borderId="0" xfId="0" applyAlignment="1">
      <alignment horizontal="right"/>
    </xf>
    <xf numFmtId="165" fontId="0" fillId="0" borderId="0" xfId="0" applyNumberFormat="1" applyAlignment="1">
      <alignment horizontal="center"/>
    </xf>
    <xf numFmtId="4" fontId="12" fillId="0" borderId="0" xfId="0" applyNumberFormat="1" applyFont="1" applyFill="1"/>
    <xf numFmtId="4" fontId="9" fillId="0" borderId="0" xfId="0" applyNumberFormat="1" applyFont="1" applyAlignment="1">
      <alignment horizontal="center"/>
    </xf>
    <xf numFmtId="4" fontId="4" fillId="0" borderId="0" xfId="0" applyNumberFormat="1" applyFont="1"/>
    <xf numFmtId="4" fontId="4" fillId="0" borderId="2" xfId="0" applyNumberFormat="1" applyFont="1" applyBorder="1"/>
    <xf numFmtId="0" fontId="7" fillId="0" borderId="3" xfId="0" applyFont="1" applyBorder="1" applyAlignment="1">
      <alignment horizontal="left"/>
    </xf>
    <xf numFmtId="43" fontId="4" fillId="2" borderId="1" xfId="4" applyFont="1" applyFill="1" applyBorder="1"/>
    <xf numFmtId="0" fontId="4" fillId="0" borderId="2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4" borderId="11" xfId="0" applyFill="1" applyBorder="1" applyAlignment="1">
      <alignment horizontal="left"/>
    </xf>
    <xf numFmtId="43" fontId="7" fillId="4" borderId="11" xfId="4" applyFont="1" applyFill="1" applyBorder="1"/>
    <xf numFmtId="0" fontId="7" fillId="0" borderId="1" xfId="0" applyFont="1" applyFill="1" applyBorder="1" applyAlignment="1">
      <alignment horizontal="left"/>
    </xf>
    <xf numFmtId="43" fontId="7" fillId="2" borderId="1" xfId="4" applyFont="1" applyFill="1" applyBorder="1"/>
    <xf numFmtId="0" fontId="7" fillId="4" borderId="2" xfId="0" applyFont="1" applyFill="1" applyBorder="1" applyAlignment="1">
      <alignment horizontal="left"/>
    </xf>
    <xf numFmtId="43" fontId="0" fillId="4" borderId="2" xfId="0" applyNumberFormat="1" applyFill="1" applyBorder="1"/>
    <xf numFmtId="0" fontId="7" fillId="0" borderId="0" xfId="0" applyFont="1" applyBorder="1" applyAlignment="1">
      <alignment horizontal="left"/>
    </xf>
    <xf numFmtId="4" fontId="0" fillId="0" borderId="0" xfId="0" applyNumberFormat="1"/>
    <xf numFmtId="177" fontId="7" fillId="2" borderId="0" xfId="4" applyNumberFormat="1" applyFont="1" applyFill="1"/>
    <xf numFmtId="0" fontId="4" fillId="0" borderId="0" xfId="0" applyFont="1" applyAlignment="1">
      <alignment horizontal="left"/>
    </xf>
    <xf numFmtId="177" fontId="0" fillId="0" borderId="0" xfId="4" applyNumberFormat="1" applyFont="1"/>
    <xf numFmtId="43" fontId="7" fillId="0" borderId="0" xfId="4" applyFont="1"/>
    <xf numFmtId="4" fontId="9" fillId="0" borderId="0" xfId="0" applyNumberFormat="1" applyFont="1" applyFill="1"/>
    <xf numFmtId="0" fontId="7" fillId="0" borderId="1" xfId="0" applyFont="1" applyBorder="1" applyAlignment="1">
      <alignment horizontal="left"/>
    </xf>
    <xf numFmtId="43" fontId="4" fillId="2" borderId="2" xfId="4" applyFont="1" applyFill="1" applyBorder="1"/>
    <xf numFmtId="0" fontId="0" fillId="0" borderId="3" xfId="0" applyBorder="1" applyAlignment="1">
      <alignment horizontal="left"/>
    </xf>
    <xf numFmtId="0" fontId="0" fillId="4" borderId="2" xfId="0" applyFill="1" applyBorder="1" applyAlignment="1">
      <alignment horizontal="left"/>
    </xf>
    <xf numFmtId="43" fontId="7" fillId="4" borderId="2" xfId="4" applyFont="1" applyFill="1" applyBorder="1"/>
    <xf numFmtId="0" fontId="0" fillId="0" borderId="3" xfId="0" applyFont="1" applyFill="1" applyBorder="1" applyAlignment="1">
      <alignment horizontal="left"/>
    </xf>
    <xf numFmtId="43" fontId="0" fillId="2" borderId="3" xfId="0" applyNumberFormat="1" applyFill="1" applyBorder="1"/>
    <xf numFmtId="4" fontId="7" fillId="0" borderId="0" xfId="0" applyNumberFormat="1" applyFont="1"/>
    <xf numFmtId="4" fontId="9" fillId="0" borderId="0" xfId="0" applyNumberFormat="1" applyFont="1"/>
    <xf numFmtId="4" fontId="4" fillId="0" borderId="0" xfId="0" applyNumberFormat="1" applyFont="1" applyFill="1"/>
    <xf numFmtId="44" fontId="0" fillId="0" borderId="0" xfId="16" applyFont="1"/>
    <xf numFmtId="44" fontId="4" fillId="0" borderId="0" xfId="16" applyFont="1" applyAlignment="1">
      <alignment horizontal="center"/>
    </xf>
    <xf numFmtId="44" fontId="4" fillId="0" borderId="0" xfId="16" applyFont="1"/>
    <xf numFmtId="174" fontId="7" fillId="0" borderId="0" xfId="0" applyNumberFormat="1" applyFont="1" applyFill="1"/>
    <xf numFmtId="174" fontId="4" fillId="0" borderId="0" xfId="0" applyNumberFormat="1" applyFont="1" applyFill="1"/>
    <xf numFmtId="174" fontId="7" fillId="0" borderId="0" xfId="0" applyNumberFormat="1" applyFont="1" applyFill="1" applyBorder="1"/>
    <xf numFmtId="17" fontId="7" fillId="0" borderId="0" xfId="0" applyNumberFormat="1" applyFont="1" applyAlignment="1">
      <alignment horizontal="left"/>
    </xf>
    <xf numFmtId="44" fontId="0" fillId="0" borderId="9" xfId="16" applyFont="1" applyBorder="1"/>
    <xf numFmtId="44" fontId="0" fillId="0" borderId="0" xfId="16" applyFont="1" applyFill="1"/>
    <xf numFmtId="174" fontId="9" fillId="0" borderId="0" xfId="4" applyNumberFormat="1" applyFont="1" applyFill="1"/>
    <xf numFmtId="17" fontId="0" fillId="0" borderId="0" xfId="0" applyNumberFormat="1" applyAlignment="1">
      <alignment horizontal="left"/>
    </xf>
    <xf numFmtId="174" fontId="7" fillId="0" borderId="0" xfId="4" applyNumberFormat="1" applyFont="1"/>
    <xf numFmtId="0" fontId="0" fillId="3" borderId="0" xfId="0" applyFill="1"/>
    <xf numFmtId="174" fontId="7" fillId="0" borderId="0" xfId="4" applyNumberFormat="1" applyFont="1" applyFill="1"/>
    <xf numFmtId="0" fontId="4" fillId="5" borderId="0" xfId="0" applyFont="1" applyFill="1"/>
    <xf numFmtId="0" fontId="0" fillId="5" borderId="0" xfId="0" applyFill="1"/>
    <xf numFmtId="174" fontId="0" fillId="5" borderId="0" xfId="0" applyNumberFormat="1" applyFill="1"/>
    <xf numFmtId="43" fontId="7" fillId="5" borderId="0" xfId="4" applyFont="1" applyFill="1"/>
    <xf numFmtId="0" fontId="0" fillId="5" borderId="0" xfId="0" applyFill="1" applyAlignment="1">
      <alignment horizontal="right"/>
    </xf>
    <xf numFmtId="174" fontId="4" fillId="0" borderId="0" xfId="4" applyNumberFormat="1" applyFont="1" applyAlignment="1">
      <alignment horizontal="center"/>
    </xf>
    <xf numFmtId="174" fontId="4" fillId="0" borderId="0" xfId="4" applyNumberFormat="1" applyFont="1" applyFill="1"/>
    <xf numFmtId="43" fontId="7" fillId="0" borderId="0" xfId="4" applyFont="1" applyFill="1" applyBorder="1"/>
    <xf numFmtId="0" fontId="0" fillId="0" borderId="0" xfId="0" applyFont="1" applyFill="1"/>
    <xf numFmtId="14" fontId="4" fillId="0" borderId="0" xfId="0" applyNumberFormat="1" applyFont="1"/>
    <xf numFmtId="49" fontId="0" fillId="0" borderId="0" xfId="0" applyNumberFormat="1"/>
    <xf numFmtId="4" fontId="16" fillId="0" borderId="0" xfId="1062" applyNumberFormat="1"/>
    <xf numFmtId="49" fontId="16" fillId="0" borderId="0" xfId="1062" applyNumberFormat="1"/>
    <xf numFmtId="0" fontId="17" fillId="0" borderId="0" xfId="0" applyFont="1"/>
    <xf numFmtId="4" fontId="17" fillId="0" borderId="0" xfId="0" applyNumberFormat="1" applyFont="1"/>
    <xf numFmtId="0" fontId="7" fillId="0" borderId="11" xfId="0" applyFont="1" applyBorder="1"/>
    <xf numFmtId="49" fontId="16" fillId="0" borderId="0" xfId="1062" applyNumberFormat="1" applyFill="1" applyBorder="1"/>
    <xf numFmtId="4" fontId="0" fillId="0" borderId="0" xfId="0" applyNumberFormat="1" applyFill="1" applyAlignment="1">
      <alignment vertical="top"/>
    </xf>
    <xf numFmtId="49" fontId="16" fillId="0" borderId="0" xfId="1062" applyNumberFormat="1" applyBorder="1"/>
    <xf numFmtId="4" fontId="0" fillId="0" borderId="0" xfId="0" applyNumberFormat="1" applyAlignment="1">
      <alignment vertical="top"/>
    </xf>
    <xf numFmtId="165" fontId="7" fillId="0" borderId="0" xfId="0" applyNumberFormat="1" applyFont="1"/>
    <xf numFmtId="49" fontId="16" fillId="0" borderId="0" xfId="1062" applyNumberFormat="1" applyFill="1"/>
    <xf numFmtId="0" fontId="0" fillId="0" borderId="0" xfId="0" applyFill="1" applyAlignment="1">
      <alignment horizontal="left"/>
    </xf>
    <xf numFmtId="0" fontId="0" fillId="0" borderId="0" xfId="0" applyAlignment="1">
      <alignment horizontal="left"/>
    </xf>
    <xf numFmtId="174" fontId="0" fillId="0" borderId="0" xfId="0" applyNumberFormat="1" applyAlignment="1"/>
    <xf numFmtId="174" fontId="4" fillId="0" borderId="0" xfId="0" applyNumberFormat="1" applyFont="1" applyAlignment="1"/>
    <xf numFmtId="0" fontId="0" fillId="0" borderId="5" xfId="0" applyBorder="1" applyAlignment="1">
      <alignment horizontal="left"/>
    </xf>
    <xf numFmtId="174" fontId="4" fillId="0" borderId="0" xfId="4" applyNumberFormat="1" applyFont="1" applyAlignment="1"/>
    <xf numFmtId="43" fontId="7" fillId="2" borderId="3" xfId="4" applyFont="1" applyFill="1" applyBorder="1" applyAlignment="1">
      <alignment horizontal="left"/>
    </xf>
    <xf numFmtId="174" fontId="7" fillId="0" borderId="0" xfId="4" applyNumberFormat="1" applyAlignment="1"/>
    <xf numFmtId="43" fontId="0" fillId="0" borderId="3" xfId="4" applyFont="1" applyBorder="1" applyAlignment="1">
      <alignment horizontal="left"/>
    </xf>
    <xf numFmtId="49" fontId="16" fillId="0" borderId="0" xfId="1540" applyNumberFormat="1" applyFont="1"/>
    <xf numFmtId="0" fontId="0" fillId="0" borderId="0" xfId="0" applyFont="1" applyAlignment="1">
      <alignment horizontal="left"/>
    </xf>
    <xf numFmtId="4" fontId="16" fillId="0" borderId="0" xfId="1540" applyNumberFormat="1" applyFill="1"/>
    <xf numFmtId="49" fontId="16" fillId="0" borderId="0" xfId="1540" applyNumberFormat="1"/>
    <xf numFmtId="49" fontId="0" fillId="0" borderId="0" xfId="0" applyNumberFormat="1" applyFont="1" applyFill="1" applyAlignment="1">
      <alignment horizontal="left"/>
    </xf>
    <xf numFmtId="4" fontId="16" fillId="0" borderId="5" xfId="1540" applyNumberFormat="1" applyBorder="1"/>
    <xf numFmtId="43" fontId="0" fillId="0" borderId="3" xfId="4" applyFont="1" applyFill="1" applyBorder="1" applyAlignment="1">
      <alignment horizontal="left"/>
    </xf>
    <xf numFmtId="178" fontId="16" fillId="0" borderId="0" xfId="1540" applyNumberFormat="1" applyFill="1"/>
    <xf numFmtId="4" fontId="0" fillId="0" borderId="5" xfId="0" applyNumberFormat="1" applyFill="1" applyBorder="1" applyAlignment="1">
      <alignment horizontal="left"/>
    </xf>
    <xf numFmtId="43" fontId="7" fillId="0" borderId="0" xfId="4" applyFont="1" applyFill="1" applyAlignment="1">
      <alignment horizontal="left"/>
    </xf>
    <xf numFmtId="43" fontId="0" fillId="0" borderId="0" xfId="4" applyFont="1" applyFill="1" applyAlignment="1">
      <alignment horizontal="left"/>
    </xf>
    <xf numFmtId="43" fontId="0" fillId="0" borderId="0" xfId="4" applyFont="1" applyFill="1" applyAlignment="1">
      <alignment horizontal="right"/>
    </xf>
    <xf numFmtId="49" fontId="0" fillId="0" borderId="0" xfId="0" applyNumberFormat="1" applyFill="1" applyAlignment="1">
      <alignment horizontal="left"/>
    </xf>
    <xf numFmtId="0" fontId="0" fillId="0" borderId="5" xfId="0" applyFill="1" applyBorder="1" applyAlignment="1">
      <alignment horizontal="left"/>
    </xf>
    <xf numFmtId="14" fontId="7" fillId="0" borderId="0" xfId="0" applyNumberFormat="1" applyFont="1" applyFill="1" applyAlignment="1">
      <alignment horizontal="left"/>
    </xf>
    <xf numFmtId="49" fontId="0" fillId="0" borderId="0" xfId="0" applyNumberFormat="1" applyAlignment="1">
      <alignment horizontal="left"/>
    </xf>
    <xf numFmtId="0" fontId="4" fillId="0" borderId="0" xfId="0" applyFont="1" applyFill="1" applyAlignment="1">
      <alignment horizontal="left"/>
    </xf>
    <xf numFmtId="43" fontId="0" fillId="0" borderId="2" xfId="4" applyFont="1" applyBorder="1" applyAlignment="1">
      <alignment horizontal="left"/>
    </xf>
    <xf numFmtId="174" fontId="0" fillId="0" borderId="0" xfId="0" applyNumberFormat="1" applyFill="1" applyAlignment="1"/>
    <xf numFmtId="0" fontId="4" fillId="0" borderId="4" xfId="0" applyFont="1" applyBorder="1" applyAlignment="1">
      <alignment horizontal="left"/>
    </xf>
    <xf numFmtId="49" fontId="16" fillId="0" borderId="0" xfId="1225" applyNumberFormat="1"/>
    <xf numFmtId="14" fontId="7" fillId="0" borderId="0" xfId="0" applyNumberFormat="1" applyFont="1" applyAlignment="1">
      <alignment horizontal="left"/>
    </xf>
    <xf numFmtId="0" fontId="18" fillId="0" borderId="0" xfId="20" applyAlignment="1" applyProtection="1"/>
    <xf numFmtId="43" fontId="9" fillId="0" borderId="0" xfId="0" applyNumberFormat="1" applyFont="1"/>
    <xf numFmtId="0" fontId="7" fillId="0" borderId="5" xfId="0" applyFont="1" applyBorder="1"/>
    <xf numFmtId="3" fontId="0" fillId="0" borderId="0" xfId="0" applyNumberFormat="1"/>
    <xf numFmtId="0" fontId="19" fillId="0" borderId="0" xfId="894"/>
    <xf numFmtId="179" fontId="19" fillId="0" borderId="0" xfId="894" applyNumberFormat="1"/>
    <xf numFmtId="9" fontId="19" fillId="0" borderId="0" xfId="18" applyFont="1"/>
    <xf numFmtId="0" fontId="19" fillId="0" borderId="12" xfId="894" applyBorder="1"/>
    <xf numFmtId="0" fontId="19" fillId="0" borderId="9" xfId="894" applyBorder="1"/>
    <xf numFmtId="0" fontId="19" fillId="0" borderId="13" xfId="894" applyBorder="1"/>
    <xf numFmtId="0" fontId="19" fillId="0" borderId="0" xfId="894" applyBorder="1"/>
    <xf numFmtId="14" fontId="19" fillId="0" borderId="0" xfId="894" applyNumberFormat="1" applyBorder="1"/>
    <xf numFmtId="0" fontId="19" fillId="0" borderId="13" xfId="894" applyFill="1" applyBorder="1"/>
    <xf numFmtId="0" fontId="19" fillId="0" borderId="0" xfId="894" applyFill="1" applyBorder="1"/>
    <xf numFmtId="14" fontId="19" fillId="0" borderId="0" xfId="894" applyNumberFormat="1" applyFill="1" applyBorder="1"/>
    <xf numFmtId="0" fontId="19" fillId="3" borderId="13" xfId="894" applyFill="1" applyBorder="1"/>
    <xf numFmtId="14" fontId="19" fillId="3" borderId="0" xfId="894" applyNumberFormat="1" applyFill="1" applyBorder="1"/>
    <xf numFmtId="0" fontId="19" fillId="3" borderId="0" xfId="894" applyFill="1" applyBorder="1"/>
    <xf numFmtId="44" fontId="19" fillId="0" borderId="0" xfId="16" applyFont="1"/>
    <xf numFmtId="44" fontId="20" fillId="0" borderId="8" xfId="894" applyNumberFormat="1" applyFont="1" applyBorder="1"/>
    <xf numFmtId="0" fontId="6" fillId="0" borderId="0" xfId="0" applyFont="1"/>
    <xf numFmtId="44" fontId="19" fillId="0" borderId="0" xfId="894" applyNumberFormat="1"/>
    <xf numFmtId="0" fontId="19" fillId="0" borderId="14" xfId="894" applyBorder="1"/>
    <xf numFmtId="0" fontId="19" fillId="0" borderId="5" xfId="894" applyBorder="1"/>
    <xf numFmtId="44" fontId="19" fillId="0" borderId="0" xfId="16" applyFont="1" applyFill="1" applyBorder="1"/>
    <xf numFmtId="44" fontId="19" fillId="0" borderId="0" xfId="16" applyFont="1" applyBorder="1"/>
    <xf numFmtId="44" fontId="19" fillId="0" borderId="5" xfId="16" applyFont="1" applyBorder="1"/>
    <xf numFmtId="44" fontId="0" fillId="0" borderId="0" xfId="0" applyNumberFormat="1"/>
    <xf numFmtId="44" fontId="21" fillId="0" borderId="0" xfId="16" applyFont="1" applyFill="1" applyBorder="1"/>
    <xf numFmtId="44" fontId="19" fillId="0" borderId="5" xfId="16" applyFont="1" applyFill="1" applyBorder="1"/>
    <xf numFmtId="44" fontId="21" fillId="3" borderId="0" xfId="16" applyFont="1" applyFill="1" applyBorder="1"/>
    <xf numFmtId="44" fontId="19" fillId="3" borderId="0" xfId="16" applyFont="1" applyFill="1" applyBorder="1"/>
    <xf numFmtId="44" fontId="19" fillId="3" borderId="5" xfId="16" applyFont="1" applyFill="1" applyBorder="1"/>
    <xf numFmtId="0" fontId="19" fillId="0" borderId="15" xfId="894" applyBorder="1"/>
    <xf numFmtId="14" fontId="19" fillId="0" borderId="7" xfId="894" applyNumberFormat="1" applyBorder="1"/>
    <xf numFmtId="0" fontId="19" fillId="0" borderId="7" xfId="894" applyBorder="1"/>
    <xf numFmtId="44" fontId="21" fillId="0" borderId="7" xfId="16" applyFont="1" applyFill="1" applyBorder="1"/>
    <xf numFmtId="44" fontId="19" fillId="0" borderId="7" xfId="16" applyFont="1" applyBorder="1"/>
    <xf numFmtId="44" fontId="19" fillId="0" borderId="16" xfId="16" applyFont="1" applyBorder="1"/>
    <xf numFmtId="0" fontId="0" fillId="0" borderId="13" xfId="0" applyBorder="1"/>
    <xf numFmtId="174" fontId="0" fillId="0" borderId="6" xfId="0" applyNumberFormat="1" applyBorder="1"/>
    <xf numFmtId="0" fontId="7" fillId="6" borderId="0" xfId="0" applyFont="1" applyFill="1"/>
    <xf numFmtId="175" fontId="7" fillId="6" borderId="0" xfId="4" applyNumberFormat="1" applyFont="1" applyFill="1"/>
    <xf numFmtId="164" fontId="7" fillId="6" borderId="0" xfId="0" applyNumberFormat="1" applyFont="1" applyFill="1"/>
    <xf numFmtId="175" fontId="7" fillId="6" borderId="9" xfId="0" applyNumberFormat="1" applyFont="1" applyFill="1" applyBorder="1"/>
    <xf numFmtId="0" fontId="7" fillId="0" borderId="13" xfId="0" applyFont="1" applyBorder="1"/>
    <xf numFmtId="43" fontId="22" fillId="0" borderId="0" xfId="4" applyFont="1"/>
    <xf numFmtId="174" fontId="7" fillId="0" borderId="5" xfId="4" applyNumberFormat="1" applyFont="1" applyFill="1" applyBorder="1"/>
    <xf numFmtId="0" fontId="7" fillId="0" borderId="5" xfId="0" applyFont="1" applyFill="1" applyBorder="1"/>
    <xf numFmtId="0" fontId="4" fillId="0" borderId="5" xfId="0" applyFont="1" applyFill="1" applyBorder="1"/>
    <xf numFmtId="43" fontId="0" fillId="0" borderId="5" xfId="4" applyFont="1" applyFill="1" applyBorder="1"/>
    <xf numFmtId="43" fontId="0" fillId="0" borderId="2" xfId="4" applyFont="1" applyFill="1" applyBorder="1"/>
    <xf numFmtId="2" fontId="4" fillId="0" borderId="0" xfId="0" applyNumberFormat="1" applyFont="1"/>
    <xf numFmtId="43" fontId="9" fillId="0" borderId="0" xfId="4" applyFont="1"/>
    <xf numFmtId="0" fontId="7" fillId="0" borderId="0" xfId="0" applyFont="1" applyFill="1" applyBorder="1"/>
    <xf numFmtId="43" fontId="4" fillId="0" borderId="0" xfId="0" applyNumberFormat="1" applyFont="1" applyFill="1" applyBorder="1"/>
    <xf numFmtId="43" fontId="4" fillId="0" borderId="0" xfId="0" applyNumberFormat="1" applyFont="1"/>
    <xf numFmtId="0" fontId="4" fillId="0" borderId="0" xfId="0" applyFont="1" applyFill="1" applyBorder="1" applyAlignment="1">
      <alignment horizontal="right"/>
    </xf>
    <xf numFmtId="3" fontId="4" fillId="0" borderId="0" xfId="0" applyNumberFormat="1" applyFont="1"/>
    <xf numFmtId="17" fontId="4" fillId="0" borderId="0" xfId="0" applyNumberFormat="1" applyFont="1" applyFill="1" applyBorder="1" applyAlignment="1">
      <alignment horizontal="right"/>
    </xf>
    <xf numFmtId="0" fontId="4" fillId="0" borderId="0" xfId="0" applyFont="1" applyFill="1" applyBorder="1"/>
    <xf numFmtId="43" fontId="4" fillId="0" borderId="3" xfId="4" applyFont="1" applyBorder="1"/>
    <xf numFmtId="174" fontId="0" fillId="0" borderId="0" xfId="0" applyNumberFormat="1" applyBorder="1" applyAlignment="1"/>
    <xf numFmtId="43" fontId="4" fillId="0" borderId="3" xfId="4" applyFont="1" applyFill="1" applyBorder="1"/>
    <xf numFmtId="4" fontId="0" fillId="0" borderId="5" xfId="0" applyNumberFormat="1" applyBorder="1"/>
    <xf numFmtId="174" fontId="23" fillId="0" borderId="0" xfId="4" applyNumberFormat="1" applyFont="1" applyFill="1"/>
    <xf numFmtId="174" fontId="17" fillId="0" borderId="0" xfId="4" applyNumberFormat="1" applyFont="1" applyFill="1"/>
    <xf numFmtId="174" fontId="4" fillId="0" borderId="9" xfId="4" applyNumberFormat="1" applyFont="1" applyFill="1" applyBorder="1"/>
    <xf numFmtId="174" fontId="4" fillId="0" borderId="0" xfId="4" applyNumberFormat="1" applyFont="1" applyFill="1" applyBorder="1"/>
    <xf numFmtId="43" fontId="0" fillId="0" borderId="0" xfId="4" applyFont="1" applyAlignment="1">
      <alignment horizontal="center"/>
    </xf>
    <xf numFmtId="43" fontId="4" fillId="0" borderId="0" xfId="4" applyFont="1" applyAlignment="1">
      <alignment horizontal="center"/>
    </xf>
    <xf numFmtId="2" fontId="4" fillId="0" borderId="0" xfId="0" applyNumberFormat="1" applyFont="1" applyFill="1" applyBorder="1"/>
    <xf numFmtId="43" fontId="7" fillId="0" borderId="0" xfId="4" applyFont="1" applyAlignment="1">
      <alignment horizontal="center"/>
    </xf>
    <xf numFmtId="174" fontId="0" fillId="0" borderId="0" xfId="0" applyNumberFormat="1" applyAlignment="1">
      <alignment horizontal="center"/>
    </xf>
    <xf numFmtId="174" fontId="0" fillId="2" borderId="2" xfId="0" applyNumberFormat="1" applyFill="1" applyBorder="1"/>
    <xf numFmtId="4" fontId="0" fillId="0" borderId="0" xfId="0" applyNumberFormat="1" applyAlignment="1">
      <alignment horizontal="center"/>
    </xf>
    <xf numFmtId="4" fontId="0" fillId="0" borderId="0" xfId="0" applyNumberFormat="1" applyAlignment="1">
      <alignment horizontal="right"/>
    </xf>
    <xf numFmtId="43" fontId="0" fillId="0" borderId="5" xfId="4" applyFont="1" applyBorder="1"/>
    <xf numFmtId="174" fontId="7" fillId="0" borderId="0" xfId="0" applyNumberFormat="1" applyFont="1" applyAlignment="1"/>
    <xf numFmtId="43" fontId="4" fillId="0" borderId="5" xfId="4" applyFont="1" applyBorder="1"/>
    <xf numFmtId="4" fontId="0" fillId="0" borderId="2" xfId="0" applyNumberFormat="1" applyBorder="1"/>
    <xf numFmtId="49" fontId="7" fillId="0" borderId="0" xfId="0" applyNumberFormat="1" applyFont="1" applyAlignment="1">
      <alignment horizontal="center"/>
    </xf>
    <xf numFmtId="0" fontId="4" fillId="0" borderId="5" xfId="0" applyFont="1" applyBorder="1"/>
    <xf numFmtId="0" fontId="0" fillId="0" borderId="0" xfId="0" applyAlignment="1">
      <alignment horizontal="center" wrapText="1"/>
    </xf>
    <xf numFmtId="8" fontId="0" fillId="0" borderId="0" xfId="0" applyNumberFormat="1"/>
    <xf numFmtId="0" fontId="0" fillId="0" borderId="0" xfId="0" applyFill="1" applyBorder="1"/>
    <xf numFmtId="174" fontId="0" fillId="0" borderId="0" xfId="4" applyNumberFormat="1" applyFont="1" applyFill="1" applyBorder="1"/>
    <xf numFmtId="17" fontId="4" fillId="0" borderId="0" xfId="0" applyNumberFormat="1" applyFont="1" applyFill="1" applyBorder="1"/>
    <xf numFmtId="14" fontId="16" fillId="0" borderId="0" xfId="1544" applyNumberFormat="1" applyAlignment="1">
      <alignment horizontal="left"/>
    </xf>
    <xf numFmtId="49" fontId="16" fillId="0" borderId="0" xfId="1544" applyNumberFormat="1"/>
    <xf numFmtId="4" fontId="16" fillId="0" borderId="0" xfId="1544" applyNumberFormat="1"/>
    <xf numFmtId="14" fontId="0" fillId="0" borderId="0" xfId="0" applyNumberFormat="1" applyAlignment="1">
      <alignment horizontal="left"/>
    </xf>
    <xf numFmtId="174" fontId="0" fillId="0" borderId="0" xfId="0" applyNumberFormat="1" applyAlignment="1">
      <alignment horizontal="left"/>
    </xf>
    <xf numFmtId="14" fontId="0" fillId="0" borderId="0" xfId="0" applyNumberFormat="1" applyAlignment="1"/>
    <xf numFmtId="43" fontId="9" fillId="0" borderId="0" xfId="4" applyFont="1" applyFill="1"/>
    <xf numFmtId="0" fontId="24" fillId="0" borderId="0" xfId="0" applyFont="1"/>
    <xf numFmtId="2" fontId="0" fillId="0" borderId="0" xfId="0" applyNumberFormat="1"/>
    <xf numFmtId="176" fontId="0" fillId="0" borderId="0" xfId="0" applyNumberFormat="1"/>
    <xf numFmtId="174" fontId="0" fillId="0" borderId="0" xfId="4" applyNumberFormat="1" applyFont="1" applyAlignment="1"/>
    <xf numFmtId="17" fontId="0" fillId="0" borderId="0" xfId="4" applyNumberFormat="1" applyFont="1" applyAlignment="1">
      <alignment horizontal="left"/>
    </xf>
    <xf numFmtId="0" fontId="7" fillId="0" borderId="2" xfId="0" applyFont="1" applyBorder="1" applyAlignment="1">
      <alignment horizontal="left"/>
    </xf>
    <xf numFmtId="14" fontId="7" fillId="0" borderId="0" xfId="0" applyNumberFormat="1" applyFont="1" applyBorder="1" applyAlignment="1">
      <alignment horizontal="left"/>
    </xf>
    <xf numFmtId="43" fontId="0" fillId="0" borderId="0" xfId="4" applyFont="1" applyBorder="1" applyAlignment="1">
      <alignment horizontal="left"/>
    </xf>
    <xf numFmtId="43" fontId="7" fillId="0" borderId="0" xfId="4" applyFont="1" applyAlignment="1"/>
    <xf numFmtId="0" fontId="7" fillId="0" borderId="0" xfId="0" applyFont="1" applyAlignment="1">
      <alignment horizontal="left"/>
    </xf>
    <xf numFmtId="43" fontId="0" fillId="0" borderId="0" xfId="4" applyFont="1" applyAlignment="1"/>
    <xf numFmtId="174" fontId="4" fillId="0" borderId="6" xfId="4" applyNumberFormat="1" applyFont="1" applyBorder="1" applyAlignment="1"/>
    <xf numFmtId="0" fontId="7" fillId="0" borderId="0" xfId="1056" applyAlignment="1">
      <alignment horizontal="left"/>
    </xf>
    <xf numFmtId="0" fontId="7" fillId="0" borderId="0" xfId="1056"/>
    <xf numFmtId="174" fontId="7" fillId="0" borderId="0" xfId="1056" applyNumberFormat="1" applyAlignment="1"/>
    <xf numFmtId="0" fontId="4" fillId="0" borderId="0" xfId="1056" applyFont="1"/>
    <xf numFmtId="0" fontId="4" fillId="0" borderId="0" xfId="1056" applyFont="1" applyAlignment="1">
      <alignment horizontal="left"/>
    </xf>
    <xf numFmtId="174" fontId="4" fillId="0" borderId="0" xfId="1014" applyNumberFormat="1" applyFont="1" applyAlignment="1"/>
    <xf numFmtId="174" fontId="0" fillId="0" borderId="0" xfId="1014" applyNumberFormat="1" applyFont="1" applyAlignment="1"/>
    <xf numFmtId="0" fontId="7" fillId="0" borderId="0" xfId="1056" applyFont="1" applyAlignment="1">
      <alignment horizontal="left"/>
    </xf>
    <xf numFmtId="49" fontId="16" fillId="0" borderId="0" xfId="1138" applyNumberFormat="1"/>
    <xf numFmtId="14" fontId="7" fillId="0" borderId="0" xfId="1056" applyNumberFormat="1" applyAlignment="1">
      <alignment horizontal="left"/>
    </xf>
    <xf numFmtId="49" fontId="7" fillId="0" borderId="0" xfId="1056" applyNumberFormat="1" applyAlignment="1">
      <alignment horizontal="left"/>
    </xf>
    <xf numFmtId="43" fontId="10" fillId="0" borderId="0" xfId="1014" applyFont="1"/>
    <xf numFmtId="174" fontId="0" fillId="0" borderId="0" xfId="1014" applyNumberFormat="1" applyFont="1" applyFill="1"/>
    <xf numFmtId="0" fontId="4" fillId="0" borderId="4" xfId="1056" applyFont="1" applyBorder="1"/>
    <xf numFmtId="174" fontId="4" fillId="0" borderId="0" xfId="0" applyNumberFormat="1" applyFont="1" applyAlignment="1">
      <alignment horizontal="right"/>
    </xf>
    <xf numFmtId="0" fontId="4" fillId="0" borderId="0" xfId="0" applyFont="1" applyAlignment="1">
      <alignment horizontal="left" wrapText="1"/>
    </xf>
    <xf numFmtId="174" fontId="7" fillId="0" borderId="0" xfId="0" applyNumberFormat="1" applyFont="1" applyAlignment="1">
      <alignment horizontal="right"/>
    </xf>
    <xf numFmtId="43" fontId="7" fillId="0" borderId="0" xfId="0" applyNumberFormat="1" applyFont="1" applyFill="1" applyAlignment="1">
      <alignment horizontal="left"/>
    </xf>
    <xf numFmtId="10" fontId="0" fillId="0" borderId="0" xfId="0" applyNumberFormat="1" applyAlignment="1">
      <alignment horizontal="left"/>
    </xf>
    <xf numFmtId="6" fontId="0" fillId="0" borderId="0" xfId="0" applyNumberFormat="1"/>
    <xf numFmtId="43" fontId="7" fillId="0" borderId="0" xfId="4" applyFont="1" applyAlignment="1">
      <alignment horizontal="left"/>
    </xf>
    <xf numFmtId="10" fontId="7" fillId="0" borderId="0" xfId="0" applyNumberFormat="1" applyFont="1" applyAlignment="1">
      <alignment horizontal="left"/>
    </xf>
    <xf numFmtId="174" fontId="0" fillId="0" borderId="0" xfId="0" applyNumberFormat="1" applyAlignment="1">
      <alignment horizontal="right"/>
    </xf>
    <xf numFmtId="0" fontId="7" fillId="0" borderId="14" xfId="16" applyNumberFormat="1" applyFont="1" applyBorder="1" applyAlignment="1">
      <alignment horizontal="left"/>
    </xf>
    <xf numFmtId="0" fontId="7" fillId="0" borderId="5" xfId="16" applyNumberFormat="1" applyFont="1" applyBorder="1" applyAlignment="1">
      <alignment horizontal="left"/>
    </xf>
    <xf numFmtId="6" fontId="7" fillId="0" borderId="15" xfId="0" applyNumberFormat="1" applyFont="1" applyBorder="1" applyAlignment="1">
      <alignment horizontal="left"/>
    </xf>
    <xf numFmtId="0" fontId="7" fillId="0" borderId="16" xfId="0" applyFont="1" applyBorder="1" applyAlignment="1">
      <alignment horizontal="left"/>
    </xf>
    <xf numFmtId="2" fontId="9" fillId="0" borderId="0" xfId="0" applyNumberFormat="1" applyFont="1" applyFill="1"/>
    <xf numFmtId="43" fontId="7" fillId="0" borderId="0" xfId="0" applyNumberFormat="1" applyFont="1" applyAlignment="1">
      <alignment horizontal="left"/>
    </xf>
    <xf numFmtId="14" fontId="4" fillId="0" borderId="0" xfId="0" applyNumberFormat="1" applyFont="1" applyAlignment="1">
      <alignment horizontal="left" wrapText="1"/>
    </xf>
    <xf numFmtId="14" fontId="7" fillId="3" borderId="0" xfId="0" applyNumberFormat="1" applyFont="1" applyFill="1" applyAlignment="1">
      <alignment horizontal="left"/>
    </xf>
    <xf numFmtId="3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43" fontId="0" fillId="0" borderId="0" xfId="4" applyFont="1" applyAlignment="1">
      <alignment horizontal="left"/>
    </xf>
    <xf numFmtId="43" fontId="4" fillId="0" borderId="6" xfId="0" applyNumberFormat="1" applyFont="1" applyBorder="1" applyAlignment="1">
      <alignment horizontal="left"/>
    </xf>
    <xf numFmtId="174" fontId="7" fillId="0" borderId="3" xfId="4" applyNumberFormat="1" applyFont="1" applyBorder="1"/>
    <xf numFmtId="174" fontId="9" fillId="0" borderId="0" xfId="4" applyNumberFormat="1" applyFont="1" applyAlignment="1"/>
    <xf numFmtId="14" fontId="7" fillId="0" borderId="0" xfId="0" applyNumberFormat="1" applyFont="1"/>
    <xf numFmtId="49" fontId="16" fillId="0" borderId="0" xfId="1541" applyNumberFormat="1"/>
    <xf numFmtId="176" fontId="0" fillId="0" borderId="0" xfId="0" applyNumberFormat="1" applyAlignment="1">
      <alignment horizontal="left"/>
    </xf>
    <xf numFmtId="0" fontId="16" fillId="0" borderId="0" xfId="1335"/>
    <xf numFmtId="49" fontId="16" fillId="0" borderId="0" xfId="1542" applyNumberFormat="1"/>
    <xf numFmtId="44" fontId="7" fillId="0" borderId="0" xfId="16" applyFont="1" applyFill="1"/>
    <xf numFmtId="44" fontId="4" fillId="0" borderId="0" xfId="16" applyFont="1" applyFill="1"/>
    <xf numFmtId="2" fontId="0" fillId="0" borderId="0" xfId="0" applyNumberFormat="1" applyFill="1"/>
    <xf numFmtId="43" fontId="7" fillId="0" borderId="11" xfId="4" applyFont="1" applyFill="1" applyBorder="1"/>
    <xf numFmtId="2" fontId="4" fillId="0" borderId="0" xfId="0" applyNumberFormat="1" applyFont="1" applyFill="1"/>
    <xf numFmtId="49" fontId="7" fillId="0" borderId="0" xfId="0" applyNumberFormat="1" applyFont="1"/>
    <xf numFmtId="174" fontId="0" fillId="0" borderId="0" xfId="16" applyNumberFormat="1" applyFont="1"/>
    <xf numFmtId="174" fontId="4" fillId="0" borderId="0" xfId="16" applyNumberFormat="1" applyFont="1"/>
    <xf numFmtId="0" fontId="0" fillId="0" borderId="16" xfId="0" applyBorder="1"/>
    <xf numFmtId="0" fontId="0" fillId="0" borderId="15" xfId="0" applyBorder="1"/>
    <xf numFmtId="174" fontId="0" fillId="0" borderId="0" xfId="16" applyNumberFormat="1" applyFont="1" applyBorder="1"/>
    <xf numFmtId="0" fontId="7" fillId="0" borderId="1" xfId="0" applyFont="1" applyFill="1" applyBorder="1"/>
    <xf numFmtId="43" fontId="25" fillId="0" borderId="0" xfId="4" applyFont="1" applyBorder="1"/>
    <xf numFmtId="43" fontId="25" fillId="0" borderId="0" xfId="4" applyFont="1" applyAlignment="1">
      <alignment horizontal="center"/>
    </xf>
    <xf numFmtId="0" fontId="7" fillId="0" borderId="11" xfId="0" applyFont="1" applyFill="1" applyBorder="1"/>
    <xf numFmtId="0" fontId="0" fillId="0" borderId="17" xfId="0" applyBorder="1"/>
    <xf numFmtId="0" fontId="4" fillId="0" borderId="2" xfId="0" applyFont="1" applyBorder="1" applyAlignment="1">
      <alignment horizontal="center" vertical="center"/>
    </xf>
    <xf numFmtId="0" fontId="7" fillId="0" borderId="17" xfId="0" applyFont="1" applyBorder="1"/>
    <xf numFmtId="0" fontId="4" fillId="0" borderId="14" xfId="0" applyFont="1" applyBorder="1" applyAlignment="1">
      <alignment vertical="center"/>
    </xf>
    <xf numFmtId="0" fontId="4" fillId="0" borderId="18" xfId="0" applyFont="1" applyFill="1" applyBorder="1"/>
    <xf numFmtId="43" fontId="4" fillId="0" borderId="2" xfId="0" applyNumberFormat="1" applyFont="1" applyBorder="1"/>
    <xf numFmtId="0" fontId="7" fillId="0" borderId="18" xfId="0" applyFont="1" applyBorder="1"/>
    <xf numFmtId="43" fontId="16" fillId="0" borderId="0" xfId="4" applyFont="1" applyBorder="1"/>
    <xf numFmtId="43" fontId="7" fillId="2" borderId="0" xfId="4" applyFont="1" applyFill="1"/>
    <xf numFmtId="43" fontId="4" fillId="0" borderId="9" xfId="0" applyNumberFormat="1" applyFont="1" applyBorder="1"/>
    <xf numFmtId="49" fontId="7" fillId="0" borderId="0" xfId="0" applyNumberFormat="1" applyFont="1" applyFill="1" applyAlignment="1">
      <alignment horizontal="right"/>
    </xf>
    <xf numFmtId="174" fontId="7" fillId="0" borderId="0" xfId="16" applyNumberFormat="1" applyFont="1" applyFill="1"/>
    <xf numFmtId="14" fontId="7" fillId="0" borderId="0" xfId="0" applyNumberFormat="1" applyFont="1" applyFill="1"/>
    <xf numFmtId="44" fontId="26" fillId="0" borderId="0" xfId="1321" applyFont="1" applyFill="1" applyBorder="1"/>
    <xf numFmtId="174" fontId="7" fillId="0" borderId="0" xfId="0" applyNumberFormat="1" applyFont="1" applyFill="1" applyAlignment="1">
      <alignment horizontal="left"/>
    </xf>
    <xf numFmtId="174" fontId="0" fillId="0" borderId="0" xfId="16" applyNumberFormat="1" applyFont="1" applyFill="1"/>
    <xf numFmtId="0" fontId="7" fillId="0" borderId="0" xfId="0" applyFont="1" applyFill="1" applyAlignment="1">
      <alignment horizontal="right"/>
    </xf>
    <xf numFmtId="44" fontId="26" fillId="0" borderId="0" xfId="1321" applyFont="1" applyBorder="1"/>
    <xf numFmtId="49" fontId="7" fillId="0" borderId="0" xfId="0" applyNumberFormat="1" applyFont="1" applyFill="1"/>
    <xf numFmtId="0" fontId="15" fillId="0" borderId="0" xfId="0" applyFont="1" applyFill="1" applyBorder="1" applyAlignment="1">
      <alignment horizontal="left" vertical="center" wrapText="1"/>
    </xf>
    <xf numFmtId="49" fontId="7" fillId="0" borderId="0" xfId="0" applyNumberFormat="1" applyFont="1" applyFill="1" applyAlignment="1">
      <alignment horizontal="left"/>
    </xf>
    <xf numFmtId="43" fontId="27" fillId="0" borderId="0" xfId="4" applyFont="1"/>
    <xf numFmtId="43" fontId="17" fillId="0" borderId="0" xfId="4" applyFont="1"/>
    <xf numFmtId="49" fontId="7" fillId="0" borderId="0" xfId="1543" applyNumberFormat="1" applyFont="1"/>
    <xf numFmtId="174" fontId="0" fillId="2" borderId="11" xfId="0" applyNumberFormat="1" applyFill="1" applyBorder="1"/>
    <xf numFmtId="0" fontId="0" fillId="0" borderId="0" xfId="0" applyAlignment="1">
      <alignment horizontal="left" vertical="center"/>
    </xf>
    <xf numFmtId="174" fontId="4" fillId="0" borderId="0" xfId="0" applyNumberFormat="1" applyFont="1" applyAlignment="1">
      <alignment horizontal="left"/>
    </xf>
    <xf numFmtId="174" fontId="4" fillId="0" borderId="0" xfId="4" applyNumberFormat="1" applyFont="1" applyAlignment="1">
      <alignment horizontal="left"/>
    </xf>
    <xf numFmtId="174" fontId="7" fillId="0" borderId="0" xfId="4" applyNumberFormat="1" applyFont="1" applyAlignment="1">
      <alignment horizontal="left"/>
    </xf>
    <xf numFmtId="4" fontId="4" fillId="0" borderId="0" xfId="0" applyNumberFormat="1" applyFont="1" applyAlignment="1">
      <alignment horizontal="left"/>
    </xf>
    <xf numFmtId="14" fontId="0" fillId="0" borderId="0" xfId="0" applyNumberFormat="1" applyAlignment="1">
      <alignment horizontal="left" vertical="center" wrapText="1"/>
    </xf>
    <xf numFmtId="174" fontId="7" fillId="0" borderId="0" xfId="0" applyNumberFormat="1" applyFont="1" applyAlignment="1">
      <alignment horizontal="left" vertical="center"/>
    </xf>
    <xf numFmtId="180" fontId="0" fillId="0" borderId="0" xfId="0" applyNumberFormat="1" applyAlignment="1">
      <alignment horizontal="left"/>
    </xf>
    <xf numFmtId="174" fontId="28" fillId="0" borderId="0" xfId="4" applyNumberFormat="1" applyFont="1" applyAlignment="1">
      <alignment horizontal="left"/>
    </xf>
    <xf numFmtId="174" fontId="7" fillId="0" borderId="0" xfId="0" applyNumberFormat="1" applyFont="1" applyAlignment="1">
      <alignment horizontal="left"/>
    </xf>
    <xf numFmtId="174" fontId="0" fillId="7" borderId="0" xfId="0" applyNumberFormat="1" applyFill="1"/>
    <xf numFmtId="0" fontId="4" fillId="0" borderId="3" xfId="0" applyFont="1" applyBorder="1"/>
    <xf numFmtId="174" fontId="7" fillId="7" borderId="0" xfId="4" applyNumberFormat="1" applyFont="1" applyFill="1"/>
    <xf numFmtId="43" fontId="7" fillId="2" borderId="11" xfId="4" applyFont="1" applyFill="1" applyBorder="1"/>
    <xf numFmtId="174" fontId="4" fillId="0" borderId="3" xfId="0" applyNumberFormat="1" applyFont="1" applyBorder="1"/>
    <xf numFmtId="0" fontId="0" fillId="0" borderId="0" xfId="0" applyFont="1"/>
    <xf numFmtId="0" fontId="11" fillId="0" borderId="11" xfId="0" applyFont="1" applyBorder="1"/>
    <xf numFmtId="43" fontId="11" fillId="0" borderId="2" xfId="0" applyNumberFormat="1" applyFont="1" applyBorder="1"/>
    <xf numFmtId="0" fontId="10" fillId="0" borderId="0" xfId="0" applyFont="1"/>
    <xf numFmtId="0" fontId="4" fillId="0" borderId="0" xfId="0" applyFont="1" applyFill="1" applyAlignment="1"/>
    <xf numFmtId="0" fontId="7" fillId="0" borderId="0" xfId="0" applyFont="1" applyFill="1" applyAlignment="1"/>
    <xf numFmtId="43" fontId="7" fillId="0" borderId="0" xfId="4" applyFont="1" applyFill="1" applyAlignment="1"/>
    <xf numFmtId="0" fontId="25" fillId="0" borderId="0" xfId="1335" applyFont="1" applyFill="1" applyAlignment="1"/>
    <xf numFmtId="43" fontId="25" fillId="0" borderId="0" xfId="4" applyFont="1" applyFill="1" applyAlignment="1"/>
    <xf numFmtId="0" fontId="25" fillId="0" borderId="0" xfId="1335" applyFont="1" applyFill="1" applyAlignment="1">
      <alignment horizontal="right"/>
    </xf>
    <xf numFmtId="0" fontId="5" fillId="0" borderId="0" xfId="0" applyFont="1" applyFill="1" applyAlignment="1"/>
    <xf numFmtId="0" fontId="29" fillId="0" borderId="0" xfId="1335" applyFont="1" applyFill="1" applyAlignment="1"/>
    <xf numFmtId="43" fontId="29" fillId="0" borderId="0" xfId="4" applyFont="1" applyFill="1" applyAlignment="1"/>
    <xf numFmtId="0" fontId="29" fillId="0" borderId="0" xfId="1335" applyFont="1" applyFill="1" applyAlignment="1">
      <alignment horizontal="right"/>
    </xf>
    <xf numFmtId="0" fontId="29" fillId="0" borderId="0" xfId="386" applyFont="1" applyFill="1"/>
    <xf numFmtId="17" fontId="5" fillId="0" borderId="0" xfId="0" applyNumberFormat="1" applyFont="1" applyFill="1" applyAlignment="1"/>
    <xf numFmtId="43" fontId="4" fillId="0" borderId="0" xfId="4" applyFont="1" applyFill="1" applyAlignment="1"/>
    <xf numFmtId="0" fontId="25" fillId="0" borderId="0" xfId="0" applyFont="1" applyFill="1" applyAlignment="1"/>
    <xf numFmtId="0" fontId="25" fillId="0" borderId="8" xfId="1335" applyFont="1" applyFill="1" applyBorder="1" applyAlignment="1"/>
    <xf numFmtId="43" fontId="25" fillId="0" borderId="8" xfId="4" applyFont="1" applyFill="1" applyBorder="1" applyAlignment="1"/>
    <xf numFmtId="0" fontId="29" fillId="0" borderId="0" xfId="1335" applyFont="1" applyFill="1" applyAlignment="1">
      <alignment horizontal="left"/>
    </xf>
    <xf numFmtId="0" fontId="7" fillId="0" borderId="0" xfId="0" applyFont="1" applyFill="1" applyBorder="1" applyAlignment="1"/>
    <xf numFmtId="181" fontId="29" fillId="0" borderId="0" xfId="4" applyNumberFormat="1" applyFont="1" applyFill="1" applyAlignment="1"/>
    <xf numFmtId="0" fontId="16" fillId="3" borderId="0" xfId="1078" applyFill="1"/>
    <xf numFmtId="0" fontId="26" fillId="3" borderId="0" xfId="1078" applyFont="1" applyFill="1"/>
    <xf numFmtId="0" fontId="17" fillId="3" borderId="0" xfId="0" applyFont="1" applyFill="1"/>
    <xf numFmtId="0" fontId="4" fillId="0" borderId="0" xfId="0" quotePrefix="1" applyFont="1" applyAlignment="1">
      <alignment horizontal="left"/>
    </xf>
    <xf numFmtId="0" fontId="7" fillId="0" borderId="12" xfId="0" quotePrefix="1" applyFont="1" applyBorder="1" applyAlignment="1">
      <alignment horizontal="left"/>
    </xf>
    <xf numFmtId="0" fontId="7" fillId="0" borderId="13" xfId="0" quotePrefix="1" applyFont="1" applyBorder="1" applyAlignment="1">
      <alignment horizontal="left"/>
    </xf>
    <xf numFmtId="0" fontId="4" fillId="0" borderId="0" xfId="1056" quotePrefix="1" applyFont="1" applyAlignment="1">
      <alignment horizontal="left"/>
    </xf>
    <xf numFmtId="17" fontId="7" fillId="0" borderId="0" xfId="0" quotePrefix="1" applyNumberFormat="1" applyFont="1" applyAlignment="1">
      <alignment horizontal="left"/>
    </xf>
    <xf numFmtId="165" fontId="4" fillId="0" borderId="0" xfId="0" quotePrefix="1" applyNumberFormat="1" applyFont="1" applyAlignment="1">
      <alignment horizontal="left"/>
    </xf>
    <xf numFmtId="0" fontId="80" fillId="0" borderId="0" xfId="0" applyFont="1" applyAlignment="1">
      <alignment horizontal="justify" vertical="center"/>
    </xf>
    <xf numFmtId="0" fontId="4" fillId="0" borderId="0" xfId="631" applyFont="1"/>
    <xf numFmtId="43" fontId="0" fillId="0" borderId="0" xfId="4" applyFont="1" applyFill="1" applyBorder="1"/>
    <xf numFmtId="43" fontId="7" fillId="0" borderId="0" xfId="0" applyNumberFormat="1" applyFont="1" applyFill="1" applyBorder="1"/>
    <xf numFmtId="43" fontId="17" fillId="0" borderId="0" xfId="4" applyFont="1" applyFill="1"/>
    <xf numFmtId="0" fontId="7" fillId="0" borderId="0" xfId="631"/>
    <xf numFmtId="43" fontId="7" fillId="0" borderId="0" xfId="4" applyFont="1"/>
    <xf numFmtId="174" fontId="7" fillId="0" borderId="0" xfId="4" applyNumberFormat="1" applyFont="1"/>
    <xf numFmtId="174" fontId="7" fillId="0" borderId="0" xfId="4" applyNumberFormat="1" applyFont="1" applyFill="1"/>
    <xf numFmtId="43" fontId="7" fillId="0" borderId="0" xfId="4" applyFont="1" applyFill="1"/>
    <xf numFmtId="4" fontId="0" fillId="0" borderId="0" xfId="0" applyNumberFormat="1" applyFill="1"/>
    <xf numFmtId="17" fontId="25" fillId="0" borderId="0" xfId="1335" applyNumberFormat="1" applyFont="1" applyFill="1" applyAlignment="1">
      <alignment horizontal="right"/>
    </xf>
    <xf numFmtId="43" fontId="29" fillId="0" borderId="0" xfId="1335" applyNumberFormat="1" applyFont="1" applyFill="1" applyAlignment="1"/>
    <xf numFmtId="0" fontId="29" fillId="0" borderId="0" xfId="1335" applyFont="1" applyFill="1" applyAlignment="1">
      <alignment wrapText="1"/>
    </xf>
    <xf numFmtId="0" fontId="1" fillId="0" borderId="0" xfId="2925"/>
    <xf numFmtId="14" fontId="1" fillId="0" borderId="0" xfId="2925" applyNumberFormat="1"/>
    <xf numFmtId="0" fontId="7" fillId="0" borderId="0" xfId="631" applyFont="1"/>
    <xf numFmtId="0" fontId="7" fillId="0" borderId="0" xfId="631" applyFont="1" applyFill="1"/>
    <xf numFmtId="21" fontId="1" fillId="0" borderId="0" xfId="2925" applyNumberFormat="1"/>
    <xf numFmtId="0" fontId="4" fillId="0" borderId="0" xfId="0" applyFont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left" wrapText="1"/>
    </xf>
    <xf numFmtId="0" fontId="4" fillId="0" borderId="0" xfId="1056" applyFont="1" applyAlignment="1">
      <alignment horizontal="center"/>
    </xf>
    <xf numFmtId="0" fontId="4" fillId="0" borderId="0" xfId="0" applyFont="1" applyAlignment="1">
      <alignment horizontal="left"/>
    </xf>
  </cellXfs>
  <cellStyles count="2926">
    <cellStyle name="20 % - Accent1" xfId="44"/>
    <cellStyle name="20 % - Accent1 2" xfId="87"/>
    <cellStyle name="20 % - Accent1 2 2" xfId="1644"/>
    <cellStyle name="20 % - Accent1 3" xfId="95"/>
    <cellStyle name="20 % - Accent1 3 2" xfId="105"/>
    <cellStyle name="20 % - Accent1 3 2 2" xfId="1646"/>
    <cellStyle name="20 % - Accent1 3 2 3" xfId="2314"/>
    <cellStyle name="20 % - Accent1 3 3" xfId="116"/>
    <cellStyle name="20 % - Accent1 3 3 2" xfId="1647"/>
    <cellStyle name="20 % - Accent1 3 3 3" xfId="2315"/>
    <cellStyle name="20 % - Accent1 3 4" xfId="1645"/>
    <cellStyle name="20 % - Accent1 3 5" xfId="2313"/>
    <cellStyle name="20 % - Accent1 4" xfId="59"/>
    <cellStyle name="20 % - Accent1 4 2" xfId="1648"/>
    <cellStyle name="20 % - Accent1 4 3" xfId="2316"/>
    <cellStyle name="20 % - Accent1 5" xfId="1643"/>
    <cellStyle name="20 % - Accent2" xfId="128"/>
    <cellStyle name="20 % - Accent2 2" xfId="132"/>
    <cellStyle name="20 % - Accent2 2 2" xfId="1650"/>
    <cellStyle name="20 % - Accent2 3" xfId="8"/>
    <cellStyle name="20 % - Accent2 3 2" xfId="134"/>
    <cellStyle name="20 % - Accent2 3 2 2" xfId="1652"/>
    <cellStyle name="20 % - Accent2 3 2 3" xfId="2318"/>
    <cellStyle name="20 % - Accent2 3 3" xfId="137"/>
    <cellStyle name="20 % - Accent2 3 3 2" xfId="1653"/>
    <cellStyle name="20 % - Accent2 3 3 3" xfId="2319"/>
    <cellStyle name="20 % - Accent2 3 4" xfId="1651"/>
    <cellStyle name="20 % - Accent2 3 5" xfId="2317"/>
    <cellStyle name="20 % - Accent2 4" xfId="141"/>
    <cellStyle name="20 % - Accent2 4 2" xfId="1654"/>
    <cellStyle name="20 % - Accent2 4 3" xfId="2320"/>
    <cellStyle name="20 % - Accent2 5" xfId="1649"/>
    <cellStyle name="20 % - Accent3" xfId="145"/>
    <cellStyle name="20 % - Accent3 2" xfId="56"/>
    <cellStyle name="20 % - Accent3 2 2" xfId="1656"/>
    <cellStyle name="20 % - Accent3 3" xfId="72"/>
    <cellStyle name="20 % - Accent3 3 2" xfId="149"/>
    <cellStyle name="20 % - Accent3 3 2 2" xfId="1658"/>
    <cellStyle name="20 % - Accent3 3 2 3" xfId="2322"/>
    <cellStyle name="20 % - Accent3 3 3" xfId="150"/>
    <cellStyle name="20 % - Accent3 3 3 2" xfId="1659"/>
    <cellStyle name="20 % - Accent3 3 3 3" xfId="2323"/>
    <cellStyle name="20 % - Accent3 3 4" xfId="1657"/>
    <cellStyle name="20 % - Accent3 3 5" xfId="2321"/>
    <cellStyle name="20 % - Accent3 4" xfId="83"/>
    <cellStyle name="20 % - Accent3 4 2" xfId="1660"/>
    <cellStyle name="20 % - Accent3 4 3" xfId="2324"/>
    <cellStyle name="20 % - Accent3 5" xfId="1655"/>
    <cellStyle name="20 % - Accent4" xfId="157"/>
    <cellStyle name="20 % - Accent4 2" xfId="162"/>
    <cellStyle name="20 % - Accent4 2 2" xfId="1662"/>
    <cellStyle name="20 % - Accent4 3" xfId="168"/>
    <cellStyle name="20 % - Accent4 3 2" xfId="169"/>
    <cellStyle name="20 % - Accent4 3 2 2" xfId="1664"/>
    <cellStyle name="20 % - Accent4 3 2 3" xfId="2326"/>
    <cellStyle name="20 % - Accent4 3 3" xfId="170"/>
    <cellStyle name="20 % - Accent4 3 3 2" xfId="1665"/>
    <cellStyle name="20 % - Accent4 3 3 3" xfId="2327"/>
    <cellStyle name="20 % - Accent4 3 4" xfId="1663"/>
    <cellStyle name="20 % - Accent4 3 5" xfId="2325"/>
    <cellStyle name="20 % - Accent4 4" xfId="173"/>
    <cellStyle name="20 % - Accent4 4 2" xfId="1666"/>
    <cellStyle name="20 % - Accent4 4 3" xfId="2328"/>
    <cellStyle name="20 % - Accent4 5" xfId="1661"/>
    <cellStyle name="20 % - Accent5" xfId="180"/>
    <cellStyle name="20 % - Accent5 2" xfId="185"/>
    <cellStyle name="20 % - Accent5 2 2" xfId="188"/>
    <cellStyle name="20 % - Accent5 2 2 2" xfId="1669"/>
    <cellStyle name="20 % - Accent5 2 3" xfId="1668"/>
    <cellStyle name="20 % - Accent5 3" xfId="193"/>
    <cellStyle name="20 % - Accent5 3 2" xfId="195"/>
    <cellStyle name="20 % - Accent5 3 2 2" xfId="1671"/>
    <cellStyle name="20 % - Accent5 3 2 3" xfId="2330"/>
    <cellStyle name="20 % - Accent5 3 3" xfId="197"/>
    <cellStyle name="20 % - Accent5 3 3 2" xfId="1672"/>
    <cellStyle name="20 % - Accent5 3 3 3" xfId="2331"/>
    <cellStyle name="20 % - Accent5 3 4" xfId="1670"/>
    <cellStyle name="20 % - Accent5 3 5" xfId="2329"/>
    <cellStyle name="20 % - Accent5 4" xfId="199"/>
    <cellStyle name="20 % - Accent5 4 2" xfId="1673"/>
    <cellStyle name="20 % - Accent5 4 3" xfId="2332"/>
    <cellStyle name="20 % - Accent5 5" xfId="1667"/>
    <cellStyle name="20 % - Accent6" xfId="205"/>
    <cellStyle name="20 % - Accent6 2" xfId="210"/>
    <cellStyle name="20 % - Accent6 2 2" xfId="1675"/>
    <cellStyle name="20 % - Accent6 3" xfId="214"/>
    <cellStyle name="20 % - Accent6 3 2" xfId="215"/>
    <cellStyle name="20 % - Accent6 3 2 2" xfId="1677"/>
    <cellStyle name="20 % - Accent6 3 2 3" xfId="2334"/>
    <cellStyle name="20 % - Accent6 3 3" xfId="219"/>
    <cellStyle name="20 % - Accent6 3 3 2" xfId="1678"/>
    <cellStyle name="20 % - Accent6 3 3 3" xfId="2335"/>
    <cellStyle name="20 % - Accent6 3 4" xfId="1676"/>
    <cellStyle name="20 % - Accent6 3 5" xfId="2333"/>
    <cellStyle name="20 % - Accent6 4" xfId="226"/>
    <cellStyle name="20 % - Accent6 4 2" xfId="1679"/>
    <cellStyle name="20 % - Accent6 4 3" xfId="2336"/>
    <cellStyle name="20 % - Accent6 5" xfId="1674"/>
    <cellStyle name="20% - Accent1 2" xfId="228"/>
    <cellStyle name="20% - Accent1 2 2" xfId="232"/>
    <cellStyle name="20% - Accent1 2 2 2" xfId="233"/>
    <cellStyle name="20% - Accent1 2 2 2 2" xfId="234"/>
    <cellStyle name="20% - Accent1 2 2 2 2 2" xfId="1682"/>
    <cellStyle name="20% - Accent1 2 2 2 2 3" xfId="2339"/>
    <cellStyle name="20% - Accent1 2 2 2 3" xfId="235"/>
    <cellStyle name="20% - Accent1 2 2 2 3 2" xfId="1683"/>
    <cellStyle name="20% - Accent1 2 2 2 3 3" xfId="2340"/>
    <cellStyle name="20% - Accent1 2 2 2 4" xfId="1681"/>
    <cellStyle name="20% - Accent1 2 2 2 5" xfId="2338"/>
    <cellStyle name="20% - Accent1 2 2 3" xfId="237"/>
    <cellStyle name="20% - Accent1 2 2 3 2" xfId="1684"/>
    <cellStyle name="20% - Accent1 2 2 3 3" xfId="2341"/>
    <cellStyle name="20% - Accent1 2 2 4" xfId="238"/>
    <cellStyle name="20% - Accent1 2 2 4 2" xfId="1685"/>
    <cellStyle name="20% - Accent1 2 2 4 3" xfId="2342"/>
    <cellStyle name="20% - Accent1 2 2 5" xfId="1680"/>
    <cellStyle name="20% - Accent1 2 2 6" xfId="2337"/>
    <cellStyle name="20% - Accent1 2 3" xfId="239"/>
    <cellStyle name="20% - Accent1 2 3 2" xfId="240"/>
    <cellStyle name="20% - Accent1 2 3 2 2" xfId="1687"/>
    <cellStyle name="20% - Accent1 2 3 2 3" xfId="2344"/>
    <cellStyle name="20% - Accent1 2 3 3" xfId="241"/>
    <cellStyle name="20% - Accent1 2 3 3 2" xfId="1688"/>
    <cellStyle name="20% - Accent1 2 3 3 3" xfId="2345"/>
    <cellStyle name="20% - Accent1 2 3 4" xfId="1686"/>
    <cellStyle name="20% - Accent1 2 3 5" xfId="2343"/>
    <cellStyle name="20% - Accent1 2 4" xfId="183"/>
    <cellStyle name="20% - Accent1 2 4 2" xfId="187"/>
    <cellStyle name="20% - Accent1 2 4 2 2" xfId="1690"/>
    <cellStyle name="20% - Accent1 2 4 2 3" xfId="2347"/>
    <cellStyle name="20% - Accent1 2 4 3" xfId="38"/>
    <cellStyle name="20% - Accent1 2 4 3 2" xfId="1691"/>
    <cellStyle name="20% - Accent1 2 4 3 3" xfId="2348"/>
    <cellStyle name="20% - Accent1 2 4 4" xfId="1689"/>
    <cellStyle name="20% - Accent1 2 4 5" xfId="2346"/>
    <cellStyle name="20% - Accent1 2 5" xfId="191"/>
    <cellStyle name="20% - Accent1 2 5 2" xfId="194"/>
    <cellStyle name="20% - Accent1 2 5 2 2" xfId="1693"/>
    <cellStyle name="20% - Accent1 2 5 2 3" xfId="2350"/>
    <cellStyle name="20% - Accent1 2 5 3" xfId="196"/>
    <cellStyle name="20% - Accent1 2 5 3 2" xfId="1694"/>
    <cellStyle name="20% - Accent1 2 5 3 3" xfId="2351"/>
    <cellStyle name="20% - Accent1 2 5 4" xfId="1692"/>
    <cellStyle name="20% - Accent1 2 5 5" xfId="2349"/>
    <cellStyle name="20% - Accent1 2_FCF bis" xfId="244"/>
    <cellStyle name="20% - Accent1 3" xfId="245"/>
    <cellStyle name="20% - Accent1 3 2" xfId="246"/>
    <cellStyle name="20% - Accent1 3 2 2" xfId="247"/>
    <cellStyle name="20% - Accent1 3 2 2 2" xfId="1697"/>
    <cellStyle name="20% - Accent1 3 2 2 3" xfId="2354"/>
    <cellStyle name="20% - Accent1 3 2 3" xfId="248"/>
    <cellStyle name="20% - Accent1 3 2 3 2" xfId="1698"/>
    <cellStyle name="20% - Accent1 3 2 3 3" xfId="2355"/>
    <cellStyle name="20% - Accent1 3 2 4" xfId="1696"/>
    <cellStyle name="20% - Accent1 3 2 5" xfId="2353"/>
    <cellStyle name="20% - Accent1 3 3" xfId="257"/>
    <cellStyle name="20% - Accent1 3 3 2" xfId="1699"/>
    <cellStyle name="20% - Accent1 3 3 3" xfId="2356"/>
    <cellStyle name="20% - Accent1 3 4" xfId="208"/>
    <cellStyle name="20% - Accent1 3 4 2" xfId="1700"/>
    <cellStyle name="20% - Accent1 3 4 3" xfId="2357"/>
    <cellStyle name="20% - Accent1 3 5" xfId="212"/>
    <cellStyle name="20% - Accent1 3 5 2" xfId="1701"/>
    <cellStyle name="20% - Accent1 3 5 3" xfId="2358"/>
    <cellStyle name="20% - Accent1 3 6" xfId="1695"/>
    <cellStyle name="20% - Accent1 3 7" xfId="2352"/>
    <cellStyle name="20% - Accent1 4" xfId="260"/>
    <cellStyle name="20% - Accent1 4 2" xfId="262"/>
    <cellStyle name="20% - Accent1 4 2 2" xfId="1703"/>
    <cellStyle name="20% - Accent1 4 2 3" xfId="2360"/>
    <cellStyle name="20% - Accent1 4 3" xfId="266"/>
    <cellStyle name="20% - Accent1 4 3 2" xfId="1704"/>
    <cellStyle name="20% - Accent1 4 3 3" xfId="2361"/>
    <cellStyle name="20% - Accent1 4 4" xfId="1702"/>
    <cellStyle name="20% - Accent1 4 5" xfId="2359"/>
    <cellStyle name="20% - Accent1 5" xfId="269"/>
    <cellStyle name="20% - Accent1 5 2" xfId="271"/>
    <cellStyle name="20% - Accent1 5 2 2" xfId="1706"/>
    <cellStyle name="20% - Accent1 5 2 3" xfId="2363"/>
    <cellStyle name="20% - Accent1 5 3" xfId="276"/>
    <cellStyle name="20% - Accent1 5 3 2" xfId="1707"/>
    <cellStyle name="20% - Accent1 5 3 3" xfId="2364"/>
    <cellStyle name="20% - Accent1 5 4" xfId="1705"/>
    <cellStyle name="20% - Accent1 5 5" xfId="2362"/>
    <cellStyle name="20% - Accent1 6" xfId="278"/>
    <cellStyle name="20% - Accent1 6 2" xfId="1708"/>
    <cellStyle name="20% - Accent1 6 3" xfId="2365"/>
    <cellStyle name="20% - Accent1 7" xfId="281"/>
    <cellStyle name="20% - Accent1 7 2" xfId="1709"/>
    <cellStyle name="20% - Accent1 7 3" xfId="2366"/>
    <cellStyle name="20% - Accent1 8" xfId="285"/>
    <cellStyle name="20% - Accent1 8 2" xfId="1710"/>
    <cellStyle name="20% - Accent1 8 3" xfId="2367"/>
    <cellStyle name="20% - Accent2 2" xfId="290"/>
    <cellStyle name="20% - Accent2 2 2" xfId="291"/>
    <cellStyle name="20% - Accent2 2 2 2" xfId="292"/>
    <cellStyle name="20% - Accent2 2 2 2 2" xfId="295"/>
    <cellStyle name="20% - Accent2 2 2 2 2 2" xfId="1713"/>
    <cellStyle name="20% - Accent2 2 2 2 2 3" xfId="2370"/>
    <cellStyle name="20% - Accent2 2 2 2 3" xfId="299"/>
    <cellStyle name="20% - Accent2 2 2 2 3 2" xfId="1714"/>
    <cellStyle name="20% - Accent2 2 2 2 3 3" xfId="2371"/>
    <cellStyle name="20% - Accent2 2 2 2 4" xfId="1712"/>
    <cellStyle name="20% - Accent2 2 2 2 5" xfId="2369"/>
    <cellStyle name="20% - Accent2 2 2 3" xfId="300"/>
    <cellStyle name="20% - Accent2 2 2 3 2" xfId="1715"/>
    <cellStyle name="20% - Accent2 2 2 3 3" xfId="2372"/>
    <cellStyle name="20% - Accent2 2 2 4" xfId="302"/>
    <cellStyle name="20% - Accent2 2 2 4 2" xfId="1716"/>
    <cellStyle name="20% - Accent2 2 2 4 3" xfId="2373"/>
    <cellStyle name="20% - Accent2 2 2 5" xfId="1711"/>
    <cellStyle name="20% - Accent2 2 2 6" xfId="2368"/>
    <cellStyle name="20% - Accent2 2 3" xfId="304"/>
    <cellStyle name="20% - Accent2 2 3 2" xfId="41"/>
    <cellStyle name="20% - Accent2 2 3 2 2" xfId="1718"/>
    <cellStyle name="20% - Accent2 2 3 2 3" xfId="2375"/>
    <cellStyle name="20% - Accent2 2 3 3" xfId="305"/>
    <cellStyle name="20% - Accent2 2 3 3 2" xfId="1719"/>
    <cellStyle name="20% - Accent2 2 3 3 3" xfId="2376"/>
    <cellStyle name="20% - Accent2 2 3 4" xfId="1717"/>
    <cellStyle name="20% - Accent2 2 3 5" xfId="2374"/>
    <cellStyle name="20% - Accent2 2 4" xfId="309"/>
    <cellStyle name="20% - Accent2 2 4 2" xfId="310"/>
    <cellStyle name="20% - Accent2 2 4 2 2" xfId="1721"/>
    <cellStyle name="20% - Accent2 2 4 2 3" xfId="2378"/>
    <cellStyle name="20% - Accent2 2 4 3" xfId="311"/>
    <cellStyle name="20% - Accent2 2 4 3 2" xfId="1722"/>
    <cellStyle name="20% - Accent2 2 4 3 3" xfId="2379"/>
    <cellStyle name="20% - Accent2 2 4 4" xfId="1720"/>
    <cellStyle name="20% - Accent2 2 4 5" xfId="2377"/>
    <cellStyle name="20% - Accent2 2 5" xfId="314"/>
    <cellStyle name="20% - Accent2 2 5 2" xfId="317"/>
    <cellStyle name="20% - Accent2 2 5 2 2" xfId="1724"/>
    <cellStyle name="20% - Accent2 2 5 2 3" xfId="2381"/>
    <cellStyle name="20% - Accent2 2 5 3" xfId="321"/>
    <cellStyle name="20% - Accent2 2 5 3 2" xfId="1725"/>
    <cellStyle name="20% - Accent2 2 5 3 3" xfId="2382"/>
    <cellStyle name="20% - Accent2 2 5 4" xfId="1723"/>
    <cellStyle name="20% - Accent2 2 5 5" xfId="2380"/>
    <cellStyle name="20% - Accent2 2_FCF bis" xfId="320"/>
    <cellStyle name="20% - Accent2 3" xfId="323"/>
    <cellStyle name="20% - Accent2 3 2" xfId="325"/>
    <cellStyle name="20% - Accent2 3 2 2" xfId="327"/>
    <cellStyle name="20% - Accent2 3 2 2 2" xfId="1728"/>
    <cellStyle name="20% - Accent2 3 2 2 3" xfId="2385"/>
    <cellStyle name="20% - Accent2 3 2 3" xfId="329"/>
    <cellStyle name="20% - Accent2 3 2 3 2" xfId="1729"/>
    <cellStyle name="20% - Accent2 3 2 3 3" xfId="2386"/>
    <cellStyle name="20% - Accent2 3 2 4" xfId="1727"/>
    <cellStyle name="20% - Accent2 3 2 5" xfId="2384"/>
    <cellStyle name="20% - Accent2 3 3" xfId="331"/>
    <cellStyle name="20% - Accent2 3 3 2" xfId="1730"/>
    <cellStyle name="20% - Accent2 3 3 3" xfId="2387"/>
    <cellStyle name="20% - Accent2 3 4" xfId="50"/>
    <cellStyle name="20% - Accent2 3 4 2" xfId="1731"/>
    <cellStyle name="20% - Accent2 3 4 3" xfId="2388"/>
    <cellStyle name="20% - Accent2 3 5" xfId="335"/>
    <cellStyle name="20% - Accent2 3 5 2" xfId="1732"/>
    <cellStyle name="20% - Accent2 3 5 3" xfId="2389"/>
    <cellStyle name="20% - Accent2 3 6" xfId="1726"/>
    <cellStyle name="20% - Accent2 3 7" xfId="2383"/>
    <cellStyle name="20% - Accent2 4" xfId="338"/>
    <cellStyle name="20% - Accent2 4 2" xfId="340"/>
    <cellStyle name="20% - Accent2 4 2 2" xfId="1734"/>
    <cellStyle name="20% - Accent2 4 2 3" xfId="2391"/>
    <cellStyle name="20% - Accent2 4 3" xfId="342"/>
    <cellStyle name="20% - Accent2 4 3 2" xfId="1735"/>
    <cellStyle name="20% - Accent2 4 3 3" xfId="2392"/>
    <cellStyle name="20% - Accent2 4 4" xfId="1733"/>
    <cellStyle name="20% - Accent2 4 5" xfId="2390"/>
    <cellStyle name="20% - Accent2 5" xfId="345"/>
    <cellStyle name="20% - Accent2 5 2" xfId="287"/>
    <cellStyle name="20% - Accent2 5 2 2" xfId="1737"/>
    <cellStyle name="20% - Accent2 5 2 3" xfId="2394"/>
    <cellStyle name="20% - Accent2 5 3" xfId="347"/>
    <cellStyle name="20% - Accent2 5 3 2" xfId="1738"/>
    <cellStyle name="20% - Accent2 5 3 3" xfId="2395"/>
    <cellStyle name="20% - Accent2 5 4" xfId="1736"/>
    <cellStyle name="20% - Accent2 5 5" xfId="2393"/>
    <cellStyle name="20% - Accent2 6" xfId="352"/>
    <cellStyle name="20% - Accent2 6 2" xfId="1739"/>
    <cellStyle name="20% - Accent2 6 3" xfId="2396"/>
    <cellStyle name="20% - Accent2 7" xfId="356"/>
    <cellStyle name="20% - Accent2 7 2" xfId="1740"/>
    <cellStyle name="20% - Accent2 7 3" xfId="2397"/>
    <cellStyle name="20% - Accent2 8" xfId="361"/>
    <cellStyle name="20% - Accent2 8 2" xfId="1741"/>
    <cellStyle name="20% - Accent2 8 3" xfId="2398"/>
    <cellStyle name="20% - Accent3 2" xfId="36"/>
    <cellStyle name="20% - Accent3 2 2" xfId="364"/>
    <cellStyle name="20% - Accent3 2 2 2" xfId="274"/>
    <cellStyle name="20% - Accent3 2 2 2 2" xfId="366"/>
    <cellStyle name="20% - Accent3 2 2 2 2 2" xfId="1744"/>
    <cellStyle name="20% - Accent3 2 2 2 2 3" xfId="2401"/>
    <cellStyle name="20% - Accent3 2 2 2 3" xfId="368"/>
    <cellStyle name="20% - Accent3 2 2 2 3 2" xfId="1745"/>
    <cellStyle name="20% - Accent3 2 2 2 3 3" xfId="2402"/>
    <cellStyle name="20% - Accent3 2 2 2 4" xfId="1743"/>
    <cellStyle name="20% - Accent3 2 2 2 5" xfId="2400"/>
    <cellStyle name="20% - Accent3 2 2 3" xfId="371"/>
    <cellStyle name="20% - Accent3 2 2 3 2" xfId="1746"/>
    <cellStyle name="20% - Accent3 2 2 3 3" xfId="2403"/>
    <cellStyle name="20% - Accent3 2 2 4" xfId="375"/>
    <cellStyle name="20% - Accent3 2 2 4 2" xfId="1747"/>
    <cellStyle name="20% - Accent3 2 2 4 3" xfId="2404"/>
    <cellStyle name="20% - Accent3 2 2 5" xfId="1742"/>
    <cellStyle name="20% - Accent3 2 2 6" xfId="2399"/>
    <cellStyle name="20% - Accent3 2 3" xfId="376"/>
    <cellStyle name="20% - Accent3 2 3 2" xfId="379"/>
    <cellStyle name="20% - Accent3 2 3 2 2" xfId="1749"/>
    <cellStyle name="20% - Accent3 2 3 2 3" xfId="2406"/>
    <cellStyle name="20% - Accent3 2 3 3" xfId="381"/>
    <cellStyle name="20% - Accent3 2 3 3 2" xfId="1750"/>
    <cellStyle name="20% - Accent3 2 3 3 3" xfId="2407"/>
    <cellStyle name="20% - Accent3 2 3 4" xfId="1748"/>
    <cellStyle name="20% - Accent3 2 3 5" xfId="2405"/>
    <cellStyle name="20% - Accent3 2 4" xfId="382"/>
    <cellStyle name="20% - Accent3 2 4 2" xfId="2"/>
    <cellStyle name="20% - Accent3 2 4 2 2" xfId="1752"/>
    <cellStyle name="20% - Accent3 2 4 2 3" xfId="2409"/>
    <cellStyle name="20% - Accent3 2 4 3" xfId="33"/>
    <cellStyle name="20% - Accent3 2 4 3 2" xfId="1753"/>
    <cellStyle name="20% - Accent3 2 4 3 3" xfId="2410"/>
    <cellStyle name="20% - Accent3 2 4 4" xfId="1751"/>
    <cellStyle name="20% - Accent3 2 4 5" xfId="2408"/>
    <cellStyle name="20% - Accent3 2 5" xfId="384"/>
    <cellStyle name="20% - Accent3 2 5 2" xfId="387"/>
    <cellStyle name="20% - Accent3 2 5 2 2" xfId="1755"/>
    <cellStyle name="20% - Accent3 2 5 2 3" xfId="2412"/>
    <cellStyle name="20% - Accent3 2 5 3" xfId="15"/>
    <cellStyle name="20% - Accent3 2 5 3 2" xfId="1756"/>
    <cellStyle name="20% - Accent3 2 5 3 3" xfId="2413"/>
    <cellStyle name="20% - Accent3 2 5 4" xfId="1754"/>
    <cellStyle name="20% - Accent3 2 5 5" xfId="2411"/>
    <cellStyle name="20% - Accent3 2_FCF bis" xfId="390"/>
    <cellStyle name="20% - Accent3 3" xfId="37"/>
    <cellStyle name="20% - Accent3 3 2" xfId="391"/>
    <cellStyle name="20% - Accent3 3 2 2" xfId="348"/>
    <cellStyle name="20% - Accent3 3 2 2 2" xfId="1759"/>
    <cellStyle name="20% - Accent3 3 2 2 3" xfId="2416"/>
    <cellStyle name="20% - Accent3 3 2 3" xfId="395"/>
    <cellStyle name="20% - Accent3 3 2 3 2" xfId="1760"/>
    <cellStyle name="20% - Accent3 3 2 3 3" xfId="2417"/>
    <cellStyle name="20% - Accent3 3 2 4" xfId="1758"/>
    <cellStyle name="20% - Accent3 3 2 5" xfId="2415"/>
    <cellStyle name="20% - Accent3 3 3" xfId="397"/>
    <cellStyle name="20% - Accent3 3 3 2" xfId="1761"/>
    <cellStyle name="20% - Accent3 3 3 3" xfId="2418"/>
    <cellStyle name="20% - Accent3 3 4" xfId="398"/>
    <cellStyle name="20% - Accent3 3 4 2" xfId="1762"/>
    <cellStyle name="20% - Accent3 3 4 3" xfId="2419"/>
    <cellStyle name="20% - Accent3 3 5" xfId="399"/>
    <cellStyle name="20% - Accent3 3 5 2" xfId="1763"/>
    <cellStyle name="20% - Accent3 3 5 3" xfId="2420"/>
    <cellStyle name="20% - Accent3 3 6" xfId="1757"/>
    <cellStyle name="20% - Accent3 3 7" xfId="2414"/>
    <cellStyle name="20% - Accent3 4" xfId="401"/>
    <cellStyle name="20% - Accent3 4 2" xfId="402"/>
    <cellStyle name="20% - Accent3 4 2 2" xfId="1765"/>
    <cellStyle name="20% - Accent3 4 2 3" xfId="2422"/>
    <cellStyle name="20% - Accent3 4 3" xfId="403"/>
    <cellStyle name="20% - Accent3 4 3 2" xfId="1766"/>
    <cellStyle name="20% - Accent3 4 3 3" xfId="2423"/>
    <cellStyle name="20% - Accent3 4 4" xfId="1764"/>
    <cellStyle name="20% - Accent3 4 5" xfId="2421"/>
    <cellStyle name="20% - Accent3 5" xfId="406"/>
    <cellStyle name="20% - Accent3 5 2" xfId="410"/>
    <cellStyle name="20% - Accent3 5 2 2" xfId="1768"/>
    <cellStyle name="20% - Accent3 5 2 3" xfId="2425"/>
    <cellStyle name="20% - Accent3 5 3" xfId="413"/>
    <cellStyle name="20% - Accent3 5 3 2" xfId="1769"/>
    <cellStyle name="20% - Accent3 5 3 3" xfId="2426"/>
    <cellStyle name="20% - Accent3 5 4" xfId="1767"/>
    <cellStyle name="20% - Accent3 5 5" xfId="2424"/>
    <cellStyle name="20% - Accent3 6" xfId="415"/>
    <cellStyle name="20% - Accent3 6 2" xfId="1770"/>
    <cellStyle name="20% - Accent3 6 3" xfId="2427"/>
    <cellStyle name="20% - Accent3 7" xfId="418"/>
    <cellStyle name="20% - Accent3 7 2" xfId="1771"/>
    <cellStyle name="20% - Accent3 7 3" xfId="2428"/>
    <cellStyle name="20% - Accent3 8" xfId="423"/>
    <cellStyle name="20% - Accent3 8 2" xfId="1772"/>
    <cellStyle name="20% - Accent3 8 3" xfId="2429"/>
    <cellStyle name="20% - Accent4 2" xfId="427"/>
    <cellStyle name="20% - Accent4 2 2" xfId="428"/>
    <cellStyle name="20% - Accent4 2 2 2" xfId="431"/>
    <cellStyle name="20% - Accent4 2 2 2 2" xfId="435"/>
    <cellStyle name="20% - Accent4 2 2 2 2 2" xfId="1775"/>
    <cellStyle name="20% - Accent4 2 2 2 2 3" xfId="2432"/>
    <cellStyle name="20% - Accent4 2 2 2 3" xfId="439"/>
    <cellStyle name="20% - Accent4 2 2 2 3 2" xfId="1776"/>
    <cellStyle name="20% - Accent4 2 2 2 3 3" xfId="2433"/>
    <cellStyle name="20% - Accent4 2 2 2 4" xfId="1774"/>
    <cellStyle name="20% - Accent4 2 2 2 5" xfId="2431"/>
    <cellStyle name="20% - Accent4 2 2 3" xfId="441"/>
    <cellStyle name="20% - Accent4 2 2 3 2" xfId="1777"/>
    <cellStyle name="20% - Accent4 2 2 3 3" xfId="2434"/>
    <cellStyle name="20% - Accent4 2 2 4" xfId="442"/>
    <cellStyle name="20% - Accent4 2 2 4 2" xfId="1778"/>
    <cellStyle name="20% - Accent4 2 2 4 3" xfId="2435"/>
    <cellStyle name="20% - Accent4 2 2 5" xfId="1773"/>
    <cellStyle name="20% - Accent4 2 2 6" xfId="2430"/>
    <cellStyle name="20% - Accent4 2 3" xfId="443"/>
    <cellStyle name="20% - Accent4 2 3 2" xfId="445"/>
    <cellStyle name="20% - Accent4 2 3 2 2" xfId="1780"/>
    <cellStyle name="20% - Accent4 2 3 2 3" xfId="2437"/>
    <cellStyle name="20% - Accent4 2 3 3" xfId="447"/>
    <cellStyle name="20% - Accent4 2 3 3 2" xfId="1781"/>
    <cellStyle name="20% - Accent4 2 3 3 3" xfId="2438"/>
    <cellStyle name="20% - Accent4 2 3 4" xfId="1779"/>
    <cellStyle name="20% - Accent4 2 3 5" xfId="2436"/>
    <cellStyle name="20% - Accent4 2 4" xfId="430"/>
    <cellStyle name="20% - Accent4 2 4 2" xfId="434"/>
    <cellStyle name="20% - Accent4 2 4 2 2" xfId="1783"/>
    <cellStyle name="20% - Accent4 2 4 2 3" xfId="2440"/>
    <cellStyle name="20% - Accent4 2 4 3" xfId="438"/>
    <cellStyle name="20% - Accent4 2 4 3 2" xfId="1784"/>
    <cellStyle name="20% - Accent4 2 4 3 3" xfId="2441"/>
    <cellStyle name="20% - Accent4 2 4 4" xfId="1782"/>
    <cellStyle name="20% - Accent4 2 4 5" xfId="2439"/>
    <cellStyle name="20% - Accent4 2 5" xfId="440"/>
    <cellStyle name="20% - Accent4 2 5 2" xfId="63"/>
    <cellStyle name="20% - Accent4 2 5 2 2" xfId="1786"/>
    <cellStyle name="20% - Accent4 2 5 2 3" xfId="2443"/>
    <cellStyle name="20% - Accent4 2 5 3" xfId="449"/>
    <cellStyle name="20% - Accent4 2 5 3 2" xfId="1787"/>
    <cellStyle name="20% - Accent4 2 5 3 3" xfId="2444"/>
    <cellStyle name="20% - Accent4 2 5 4" xfId="1785"/>
    <cellStyle name="20% - Accent4 2 5 5" xfId="2442"/>
    <cellStyle name="20% - Accent4 2_FCF bis" xfId="451"/>
    <cellStyle name="20% - Accent4 3" xfId="453"/>
    <cellStyle name="20% - Accent4 3 2" xfId="455"/>
    <cellStyle name="20% - Accent4 3 2 2" xfId="298"/>
    <cellStyle name="20% - Accent4 3 2 2 2" xfId="1790"/>
    <cellStyle name="20% - Accent4 3 2 2 3" xfId="2447"/>
    <cellStyle name="20% - Accent4 3 2 3" xfId="457"/>
    <cellStyle name="20% - Accent4 3 2 3 2" xfId="1791"/>
    <cellStyle name="20% - Accent4 3 2 3 3" xfId="2448"/>
    <cellStyle name="20% - Accent4 3 2 4" xfId="1789"/>
    <cellStyle name="20% - Accent4 3 2 5" xfId="2446"/>
    <cellStyle name="20% - Accent4 3 3" xfId="458"/>
    <cellStyle name="20% - Accent4 3 3 2" xfId="1792"/>
    <cellStyle name="20% - Accent4 3 3 3" xfId="2449"/>
    <cellStyle name="20% - Accent4 3 4" xfId="444"/>
    <cellStyle name="20% - Accent4 3 4 2" xfId="1793"/>
    <cellStyle name="20% - Accent4 3 4 3" xfId="2450"/>
    <cellStyle name="20% - Accent4 3 5" xfId="446"/>
    <cellStyle name="20% - Accent4 3 5 2" xfId="1794"/>
    <cellStyle name="20% - Accent4 3 5 3" xfId="2451"/>
    <cellStyle name="20% - Accent4 3 6" xfId="1788"/>
    <cellStyle name="20% - Accent4 3 7" xfId="2445"/>
    <cellStyle name="20% - Accent4 4" xfId="460"/>
    <cellStyle name="20% - Accent4 4 2" xfId="462"/>
    <cellStyle name="20% - Accent4 4 2 2" xfId="1796"/>
    <cellStyle name="20% - Accent4 4 2 3" xfId="2453"/>
    <cellStyle name="20% - Accent4 4 3" xfId="464"/>
    <cellStyle name="20% - Accent4 4 3 2" xfId="1797"/>
    <cellStyle name="20% - Accent4 4 3 3" xfId="2454"/>
    <cellStyle name="20% - Accent4 4 4" xfId="1795"/>
    <cellStyle name="20% - Accent4 4 5" xfId="2452"/>
    <cellStyle name="20% - Accent4 5" xfId="47"/>
    <cellStyle name="20% - Accent4 5 2" xfId="90"/>
    <cellStyle name="20% - Accent4 5 2 2" xfId="1799"/>
    <cellStyle name="20% - Accent4 5 2 3" xfId="2456"/>
    <cellStyle name="20% - Accent4 5 3" xfId="101"/>
    <cellStyle name="20% - Accent4 5 3 2" xfId="1800"/>
    <cellStyle name="20% - Accent4 5 3 3" xfId="2457"/>
    <cellStyle name="20% - Accent4 5 4" xfId="1798"/>
    <cellStyle name="20% - Accent4 5 5" xfId="2455"/>
    <cellStyle name="20% - Accent4 6" xfId="125"/>
    <cellStyle name="20% - Accent4 6 2" xfId="1801"/>
    <cellStyle name="20% - Accent4 6 3" xfId="2458"/>
    <cellStyle name="20% - Accent4 7" xfId="147"/>
    <cellStyle name="20% - Accent4 7 2" xfId="1802"/>
    <cellStyle name="20% - Accent4 7 3" xfId="2459"/>
    <cellStyle name="20% - Accent4 8" xfId="155"/>
    <cellStyle name="20% - Accent4 8 2" xfId="1803"/>
    <cellStyle name="20% - Accent4 8 3" xfId="2460"/>
    <cellStyle name="20% - Accent5" xfId="1637" builtinId="46" customBuiltin="1"/>
    <cellStyle name="20% - Accent5 2" xfId="466"/>
    <cellStyle name="20% - Accent5 2 2" xfId="467"/>
    <cellStyle name="20% - Accent5 2 2 2" xfId="470"/>
    <cellStyle name="20% - Accent5 2 2 2 2" xfId="471"/>
    <cellStyle name="20% - Accent5 2 2 2 2 2" xfId="1806"/>
    <cellStyle name="20% - Accent5 2 2 2 2 3" xfId="2464"/>
    <cellStyle name="20% - Accent5 2 2 2 3" xfId="473"/>
    <cellStyle name="20% - Accent5 2 2 2 3 2" xfId="1807"/>
    <cellStyle name="20% - Accent5 2 2 2 3 3" xfId="2465"/>
    <cellStyle name="20% - Accent5 2 2 2 4" xfId="1805"/>
    <cellStyle name="20% - Accent5 2 2 2 5" xfId="2463"/>
    <cellStyle name="20% - Accent5 2 2 3" xfId="475"/>
    <cellStyle name="20% - Accent5 2 2 3 2" xfId="1808"/>
    <cellStyle name="20% - Accent5 2 2 3 3" xfId="2466"/>
    <cellStyle name="20% - Accent5 2 2 4" xfId="476"/>
    <cellStyle name="20% - Accent5 2 2 4 2" xfId="1809"/>
    <cellStyle name="20% - Accent5 2 2 4 3" xfId="2467"/>
    <cellStyle name="20% - Accent5 2 2 5" xfId="1804"/>
    <cellStyle name="20% - Accent5 2 2 6" xfId="2462"/>
    <cellStyle name="20% - Accent5 2 3" xfId="294"/>
    <cellStyle name="20% - Accent5 2 3 2" xfId="477"/>
    <cellStyle name="20% - Accent5 2 3 2 2" xfId="1811"/>
    <cellStyle name="20% - Accent5 2 3 2 3" xfId="2469"/>
    <cellStyle name="20% - Accent5 2 3 3" xfId="478"/>
    <cellStyle name="20% - Accent5 2 3 3 2" xfId="1812"/>
    <cellStyle name="20% - Accent5 2 3 3 3" xfId="2470"/>
    <cellStyle name="20% - Accent5 2 3 4" xfId="1810"/>
    <cellStyle name="20% - Accent5 2 3 5" xfId="2468"/>
    <cellStyle name="20% - Accent5 2 4" xfId="297"/>
    <cellStyle name="20% - Accent5 2 4 2" xfId="481"/>
    <cellStyle name="20% - Accent5 2 4 2 2" xfId="1814"/>
    <cellStyle name="20% - Accent5 2 4 2 3" xfId="2472"/>
    <cellStyle name="20% - Accent5 2 4 3" xfId="484"/>
    <cellStyle name="20% - Accent5 2 4 3 2" xfId="1815"/>
    <cellStyle name="20% - Accent5 2 4 3 3" xfId="2473"/>
    <cellStyle name="20% - Accent5 2 4 4" xfId="1813"/>
    <cellStyle name="20% - Accent5 2 4 5" xfId="2471"/>
    <cellStyle name="20% - Accent5 2 5" xfId="456"/>
    <cellStyle name="20% - Accent5 2 5 2" xfId="486"/>
    <cellStyle name="20% - Accent5 2 5 2 2" xfId="1817"/>
    <cellStyle name="20% - Accent5 2 5 2 3" xfId="2475"/>
    <cellStyle name="20% - Accent5 2 5 3" xfId="17"/>
    <cellStyle name="20% - Accent5 2 5 3 2" xfId="1818"/>
    <cellStyle name="20% - Accent5 2 5 3 3" xfId="2476"/>
    <cellStyle name="20% - Accent5 2 5 4" xfId="1816"/>
    <cellStyle name="20% - Accent5 2 5 5" xfId="2474"/>
    <cellStyle name="20% - Accent5 2_FCF bis" xfId="487"/>
    <cellStyle name="20% - Accent5 3" xfId="488"/>
    <cellStyle name="20% - Accent5 3 2" xfId="74"/>
    <cellStyle name="20% - Accent5 3 2 2" xfId="289"/>
    <cellStyle name="20% - Accent5 3 2 2 2" xfId="1821"/>
    <cellStyle name="20% - Accent5 3 2 2 3" xfId="2479"/>
    <cellStyle name="20% - Accent5 3 2 3" xfId="322"/>
    <cellStyle name="20% - Accent5 3 2 3 2" xfId="1822"/>
    <cellStyle name="20% - Accent5 3 2 3 3" xfId="2480"/>
    <cellStyle name="20% - Accent5 3 2 4" xfId="1820"/>
    <cellStyle name="20% - Accent5 3 2 5" xfId="2478"/>
    <cellStyle name="20% - Accent5 3 3" xfId="91"/>
    <cellStyle name="20% - Accent5 3 3 2" xfId="1823"/>
    <cellStyle name="20% - Accent5 3 3 3" xfId="2481"/>
    <cellStyle name="20% - Accent5 3 4" xfId="102"/>
    <cellStyle name="20% - Accent5 3 4 2" xfId="1824"/>
    <cellStyle name="20% - Accent5 3 4 3" xfId="2482"/>
    <cellStyle name="20% - Accent5 3 5" xfId="1819"/>
    <cellStyle name="20% - Accent5 3 6" xfId="2477"/>
    <cellStyle name="20% - Accent5 4" xfId="490"/>
    <cellStyle name="20% - Accent5 4 2" xfId="492"/>
    <cellStyle name="20% - Accent5 4 2 2" xfId="1826"/>
    <cellStyle name="20% - Accent5 4 2 3" xfId="2484"/>
    <cellStyle name="20% - Accent5 4 3" xfId="494"/>
    <cellStyle name="20% - Accent5 4 3 2" xfId="1827"/>
    <cellStyle name="20% - Accent5 4 3 3" xfId="2485"/>
    <cellStyle name="20% - Accent5 4 4" xfId="1825"/>
    <cellStyle name="20% - Accent5 4 5" xfId="2483"/>
    <cellStyle name="20% - Accent5 5" xfId="499"/>
    <cellStyle name="20% - Accent5 5 2" xfId="506"/>
    <cellStyle name="20% - Accent5 5 2 2" xfId="1829"/>
    <cellStyle name="20% - Accent5 5 2 3" xfId="2487"/>
    <cellStyle name="20% - Accent5 5 3" xfId="515"/>
    <cellStyle name="20% - Accent5 5 3 2" xfId="1830"/>
    <cellStyle name="20% - Accent5 5 3 3" xfId="2488"/>
    <cellStyle name="20% - Accent5 5 4" xfId="1828"/>
    <cellStyle name="20% - Accent5 5 5" xfId="2486"/>
    <cellStyle name="20% - Accent5 6" xfId="518"/>
    <cellStyle name="20% - Accent5 6 2" xfId="1831"/>
    <cellStyle name="20% - Accent5 6 3" xfId="2489"/>
    <cellStyle name="20% - Accent5 7" xfId="522"/>
    <cellStyle name="20% - Accent5 7 2" xfId="1832"/>
    <cellStyle name="20% - Accent5 7 3" xfId="2490"/>
    <cellStyle name="20% - Accent5 8" xfId="69"/>
    <cellStyle name="20% - Accent5 8 2" xfId="1833"/>
    <cellStyle name="20% - Accent5 8 3" xfId="2491"/>
    <cellStyle name="20% - Accent5 9" xfId="2461"/>
    <cellStyle name="20% - Accent6" xfId="1641" builtinId="50" customBuiltin="1"/>
    <cellStyle name="20% - Accent6 2" xfId="139"/>
    <cellStyle name="20% - Accent6 2 2" xfId="524"/>
    <cellStyle name="20% - Accent6 2 2 2" xfId="526"/>
    <cellStyle name="20% - Accent6 2 2 2 2" xfId="534"/>
    <cellStyle name="20% - Accent6 2 2 2 2 2" xfId="1836"/>
    <cellStyle name="20% - Accent6 2 2 2 2 3" xfId="2495"/>
    <cellStyle name="20% - Accent6 2 2 2 3" xfId="539"/>
    <cellStyle name="20% - Accent6 2 2 2 3 2" xfId="1837"/>
    <cellStyle name="20% - Accent6 2 2 2 3 3" xfId="2496"/>
    <cellStyle name="20% - Accent6 2 2 2 4" xfId="1835"/>
    <cellStyle name="20% - Accent6 2 2 2 5" xfId="2494"/>
    <cellStyle name="20% - Accent6 2 2 3" xfId="472"/>
    <cellStyle name="20% - Accent6 2 2 3 2" xfId="1838"/>
    <cellStyle name="20% - Accent6 2 2 3 3" xfId="2497"/>
    <cellStyle name="20% - Accent6 2 2 4" xfId="474"/>
    <cellStyle name="20% - Accent6 2 2 4 2" xfId="1839"/>
    <cellStyle name="20% - Accent6 2 2 4 3" xfId="2498"/>
    <cellStyle name="20% - Accent6 2 2 5" xfId="1834"/>
    <cellStyle name="20% - Accent6 2 2 6" xfId="2493"/>
    <cellStyle name="20% - Accent6 2 3" xfId="541"/>
    <cellStyle name="20% - Accent6 2 3 2" xfId="30"/>
    <cellStyle name="20% - Accent6 2 3 2 2" xfId="1841"/>
    <cellStyle name="20% - Accent6 2 3 2 3" xfId="2500"/>
    <cellStyle name="20% - Accent6 2 3 3" xfId="450"/>
    <cellStyle name="20% - Accent6 2 3 3 2" xfId="1842"/>
    <cellStyle name="20% - Accent6 2 3 3 3" xfId="2501"/>
    <cellStyle name="20% - Accent6 2 3 4" xfId="1840"/>
    <cellStyle name="20% - Accent6 2 3 5" xfId="2499"/>
    <cellStyle name="20% - Accent6 2 4" xfId="544"/>
    <cellStyle name="20% - Accent6 2 4 2" xfId="547"/>
    <cellStyle name="20% - Accent6 2 4 2 2" xfId="1844"/>
    <cellStyle name="20% - Accent6 2 4 2 3" xfId="2503"/>
    <cellStyle name="20% - Accent6 2 4 3" xfId="548"/>
    <cellStyle name="20% - Accent6 2 4 3 2" xfId="1845"/>
    <cellStyle name="20% - Accent6 2 4 3 3" xfId="2504"/>
    <cellStyle name="20% - Accent6 2 4 4" xfId="1843"/>
    <cellStyle name="20% - Accent6 2 4 5" xfId="2502"/>
    <cellStyle name="20% - Accent6 2 5" xfId="551"/>
    <cellStyle name="20% - Accent6 2 5 2" xfId="554"/>
    <cellStyle name="20% - Accent6 2 5 2 2" xfId="1847"/>
    <cellStyle name="20% - Accent6 2 5 2 3" xfId="2506"/>
    <cellStyle name="20% - Accent6 2 5 3" xfId="555"/>
    <cellStyle name="20% - Accent6 2 5 3 2" xfId="1848"/>
    <cellStyle name="20% - Accent6 2 5 3 3" xfId="2507"/>
    <cellStyle name="20% - Accent6 2 5 4" xfId="1846"/>
    <cellStyle name="20% - Accent6 2 5 5" xfId="2505"/>
    <cellStyle name="20% - Accent6 2_FCF bis" xfId="557"/>
    <cellStyle name="20% - Accent6 3" xfId="51"/>
    <cellStyle name="20% - Accent6 3 2" xfId="373"/>
    <cellStyle name="20% - Accent6 3 2 2" xfId="558"/>
    <cellStyle name="20% - Accent6 3 2 2 2" xfId="1851"/>
    <cellStyle name="20% - Accent6 3 2 2 3" xfId="2510"/>
    <cellStyle name="20% - Accent6 3 2 3" xfId="559"/>
    <cellStyle name="20% - Accent6 3 2 3 2" xfId="1852"/>
    <cellStyle name="20% - Accent6 3 2 3 3" xfId="2511"/>
    <cellStyle name="20% - Accent6 3 2 4" xfId="1850"/>
    <cellStyle name="20% - Accent6 3 2 5" xfId="2509"/>
    <cellStyle name="20% - Accent6 3 3" xfId="561"/>
    <cellStyle name="20% - Accent6 3 3 2" xfId="1853"/>
    <cellStyle name="20% - Accent6 3 3 3" xfId="2512"/>
    <cellStyle name="20% - Accent6 3 4" xfId="564"/>
    <cellStyle name="20% - Accent6 3 4 2" xfId="1854"/>
    <cellStyle name="20% - Accent6 3 4 3" xfId="2513"/>
    <cellStyle name="20% - Accent6 3 5" xfId="1849"/>
    <cellStyle name="20% - Accent6 3 6" xfId="2508"/>
    <cellStyle name="20% - Accent6 4" xfId="567"/>
    <cellStyle name="20% - Accent6 4 2" xfId="24"/>
    <cellStyle name="20% - Accent6 4 2 2" xfId="1856"/>
    <cellStyle name="20% - Accent6 4 2 3" xfId="2515"/>
    <cellStyle name="20% - Accent6 4 3" xfId="569"/>
    <cellStyle name="20% - Accent6 4 3 2" xfId="1857"/>
    <cellStyle name="20% - Accent6 4 3 3" xfId="2516"/>
    <cellStyle name="20% - Accent6 4 4" xfId="1855"/>
    <cellStyle name="20% - Accent6 4 5" xfId="2514"/>
    <cellStyle name="20% - Accent6 5" xfId="572"/>
    <cellStyle name="20% - Accent6 5 2" xfId="27"/>
    <cellStyle name="20% - Accent6 5 2 2" xfId="1859"/>
    <cellStyle name="20% - Accent6 5 2 3" xfId="2518"/>
    <cellStyle name="20% - Accent6 5 3" xfId="112"/>
    <cellStyle name="20% - Accent6 5 3 2" xfId="1860"/>
    <cellStyle name="20% - Accent6 5 3 3" xfId="2519"/>
    <cellStyle name="20% - Accent6 5 4" xfId="1858"/>
    <cellStyle name="20% - Accent6 5 5" xfId="2517"/>
    <cellStyle name="20% - Accent6 6" xfId="575"/>
    <cellStyle name="20% - Accent6 6 2" xfId="1861"/>
    <cellStyle name="20% - Accent6 6 3" xfId="2520"/>
    <cellStyle name="20% - Accent6 7" xfId="578"/>
    <cellStyle name="20% - Accent6 7 2" xfId="1862"/>
    <cellStyle name="20% - Accent6 7 3" xfId="2521"/>
    <cellStyle name="20% - Accent6 8" xfId="580"/>
    <cellStyle name="20% - Accent6 8 2" xfId="1863"/>
    <cellStyle name="20% - Accent6 8 3" xfId="2522"/>
    <cellStyle name="20% - Accent6 9" xfId="2492"/>
    <cellStyle name="20% - Énfasis1" xfId="432"/>
    <cellStyle name="20% - Énfasis2" xfId="436"/>
    <cellStyle name="20% - Énfasis3" xfId="582"/>
    <cellStyle name="20% - Énfasis4" xfId="584"/>
    <cellStyle name="20% - Énfasis5" xfId="589"/>
    <cellStyle name="20% - Énfasis6" xfId="594"/>
    <cellStyle name="40 % - Accent1" xfId="595"/>
    <cellStyle name="40 % - Accent1 2" xfId="258"/>
    <cellStyle name="40 % - Accent1 2 2" xfId="263"/>
    <cellStyle name="40 % - Accent1 3" xfId="267"/>
    <cellStyle name="40 % - Accent1 3 2" xfId="270"/>
    <cellStyle name="40 % - Accent1 3 2 2" xfId="596"/>
    <cellStyle name="40 % - Accent1 3 2 2 2" xfId="1866"/>
    <cellStyle name="40 % - Accent1 3 2 2 3" xfId="2525"/>
    <cellStyle name="40 % - Accent1 3 2 3" xfId="1865"/>
    <cellStyle name="40 % - Accent1 3 2 4" xfId="2524"/>
    <cellStyle name="40 % - Accent1 3 3" xfId="275"/>
    <cellStyle name="40 % - Accent1 3 3 2" xfId="367"/>
    <cellStyle name="40 % - Accent1 3 3 2 2" xfId="1868"/>
    <cellStyle name="40 % - Accent1 3 3 2 3" xfId="2527"/>
    <cellStyle name="40 % - Accent1 3 3 3" xfId="1867"/>
    <cellStyle name="40 % - Accent1 3 3 4" xfId="2526"/>
    <cellStyle name="40 % - Accent1 3 4" xfId="372"/>
    <cellStyle name="40 % - Accent1 3 4 2" xfId="1869"/>
    <cellStyle name="40 % - Accent1 3 4 3" xfId="2528"/>
    <cellStyle name="40 % - Accent1 3 5" xfId="1864"/>
    <cellStyle name="40 % - Accent1 3 6" xfId="2523"/>
    <cellStyle name="40 % - Accent1 4" xfId="280"/>
    <cellStyle name="40 % - Accent1 4 2" xfId="1870"/>
    <cellStyle name="40 % - Accent1 4 3" xfId="2529"/>
    <cellStyle name="40 % - Accent1 5" xfId="283"/>
    <cellStyle name="40 % - Accent1 5 2" xfId="1871"/>
    <cellStyle name="40 % - Accent1 5 3" xfId="2530"/>
    <cellStyle name="40 % - Accent2" xfId="597"/>
    <cellStyle name="40 % - Accent2 2" xfId="336"/>
    <cellStyle name="40 % - Accent2 3" xfId="343"/>
    <cellStyle name="40 % - Accent2 3 2" xfId="288"/>
    <cellStyle name="40 % - Accent2 3 2 2" xfId="243"/>
    <cellStyle name="40 % - Accent2 3 2 2 2" xfId="1874"/>
    <cellStyle name="40 % - Accent2 3 2 2 3" xfId="2533"/>
    <cellStyle name="40 % - Accent2 3 2 3" xfId="1873"/>
    <cellStyle name="40 % - Accent2 3 2 4" xfId="2532"/>
    <cellStyle name="40 % - Accent2 3 3" xfId="349"/>
    <cellStyle name="40 % - Accent2 3 3 2" xfId="600"/>
    <cellStyle name="40 % - Accent2 3 3 2 2" xfId="1876"/>
    <cellStyle name="40 % - Accent2 3 3 2 3" xfId="2535"/>
    <cellStyle name="40 % - Accent2 3 3 3" xfId="1875"/>
    <cellStyle name="40 % - Accent2 3 3 4" xfId="2534"/>
    <cellStyle name="40 % - Accent2 3 4" xfId="396"/>
    <cellStyle name="40 % - Accent2 3 4 2" xfId="1877"/>
    <cellStyle name="40 % - Accent2 3 4 3" xfId="2536"/>
    <cellStyle name="40 % - Accent2 3 5" xfId="1872"/>
    <cellStyle name="40 % - Accent2 3 6" xfId="2531"/>
    <cellStyle name="40 % - Accent2 4" xfId="355"/>
    <cellStyle name="40 % - Accent2 4 2" xfId="1878"/>
    <cellStyle name="40 % - Accent2 4 3" xfId="2537"/>
    <cellStyle name="40 % - Accent2 5" xfId="359"/>
    <cellStyle name="40 % - Accent2 5 2" xfId="1879"/>
    <cellStyle name="40 % - Accent2 5 3" xfId="2538"/>
    <cellStyle name="40 % - Accent3" xfId="602"/>
    <cellStyle name="40 % - Accent3 2" xfId="400"/>
    <cellStyle name="40 % - Accent3 3" xfId="404"/>
    <cellStyle name="40 % - Accent3 3 2" xfId="409"/>
    <cellStyle name="40 % - Accent3 3 2 2" xfId="100"/>
    <cellStyle name="40 % - Accent3 3 2 2 2" xfId="1882"/>
    <cellStyle name="40 % - Accent3 3 2 2 3" xfId="2541"/>
    <cellStyle name="40 % - Accent3 3 2 3" xfId="1881"/>
    <cellStyle name="40 % - Accent3 3 2 4" xfId="2540"/>
    <cellStyle name="40 % - Accent3 3 3" xfId="412"/>
    <cellStyle name="40 % - Accent3 3 3 2" xfId="7"/>
    <cellStyle name="40 % - Accent3 3 3 2 2" xfId="1884"/>
    <cellStyle name="40 % - Accent3 3 3 2 3" xfId="2543"/>
    <cellStyle name="40 % - Accent3 3 3 3" xfId="1883"/>
    <cellStyle name="40 % - Accent3 3 3 4" xfId="2542"/>
    <cellStyle name="40 % - Accent3 3 4" xfId="604"/>
    <cellStyle name="40 % - Accent3 3 4 2" xfId="1885"/>
    <cellStyle name="40 % - Accent3 3 4 3" xfId="2544"/>
    <cellStyle name="40 % - Accent3 3 5" xfId="1880"/>
    <cellStyle name="40 % - Accent3 3 6" xfId="2539"/>
    <cellStyle name="40 % - Accent3 4" xfId="417"/>
    <cellStyle name="40 % - Accent3 4 2" xfId="1886"/>
    <cellStyle name="40 % - Accent3 4 3" xfId="2545"/>
    <cellStyle name="40 % - Accent3 5" xfId="420"/>
    <cellStyle name="40 % - Accent3 5 2" xfId="1887"/>
    <cellStyle name="40 % - Accent3 5 3" xfId="2546"/>
    <cellStyle name="40 % - Accent4" xfId="607"/>
    <cellStyle name="40 % - Accent4 2" xfId="459"/>
    <cellStyle name="40 % - Accent4 3" xfId="45"/>
    <cellStyle name="40 % - Accent4 3 2" xfId="89"/>
    <cellStyle name="40 % - Accent4 3 2 2" xfId="610"/>
    <cellStyle name="40 % - Accent4 3 2 2 2" xfId="1890"/>
    <cellStyle name="40 % - Accent4 3 2 2 3" xfId="2549"/>
    <cellStyle name="40 % - Accent4 3 2 3" xfId="1889"/>
    <cellStyle name="40 % - Accent4 3 2 4" xfId="2548"/>
    <cellStyle name="40 % - Accent4 3 3" xfId="97"/>
    <cellStyle name="40 % - Accent4 3 3 2" xfId="107"/>
    <cellStyle name="40 % - Accent4 3 3 2 2" xfId="1892"/>
    <cellStyle name="40 % - Accent4 3 3 2 3" xfId="2551"/>
    <cellStyle name="40 % - Accent4 3 3 3" xfId="1891"/>
    <cellStyle name="40 % - Accent4 3 3 4" xfId="2550"/>
    <cellStyle name="40 % - Accent4 3 4" xfId="61"/>
    <cellStyle name="40 % - Accent4 3 4 2" xfId="1893"/>
    <cellStyle name="40 % - Accent4 3 4 3" xfId="2552"/>
    <cellStyle name="40 % - Accent4 3 5" xfId="1888"/>
    <cellStyle name="40 % - Accent4 3 6" xfId="2547"/>
    <cellStyle name="40 % - Accent4 4" xfId="129"/>
    <cellStyle name="40 % - Accent4 4 2" xfId="1894"/>
    <cellStyle name="40 % - Accent4 4 3" xfId="2553"/>
    <cellStyle name="40 % - Accent4 5" xfId="143"/>
    <cellStyle name="40 % - Accent4 5 2" xfId="1895"/>
    <cellStyle name="40 % - Accent4 5 3" xfId="2554"/>
    <cellStyle name="40 % - Accent5" xfId="261"/>
    <cellStyle name="40 % - Accent5 2" xfId="489"/>
    <cellStyle name="40 % - Accent5 3" xfId="496"/>
    <cellStyle name="40 % - Accent5 3 2" xfId="504"/>
    <cellStyle name="40 % - Accent5 3 2 2" xfId="613"/>
    <cellStyle name="40 % - Accent5 3 2 2 2" xfId="1898"/>
    <cellStyle name="40 % - Accent5 3 2 2 3" xfId="2557"/>
    <cellStyle name="40 % - Accent5 3 2 3" xfId="1897"/>
    <cellStyle name="40 % - Accent5 3 2 4" xfId="2556"/>
    <cellStyle name="40 % - Accent5 3 3" xfId="512"/>
    <cellStyle name="40 % - Accent5 3 3 2" xfId="617"/>
    <cellStyle name="40 % - Accent5 3 3 2 2" xfId="1900"/>
    <cellStyle name="40 % - Accent5 3 3 2 3" xfId="2559"/>
    <cellStyle name="40 % - Accent5 3 3 3" xfId="1899"/>
    <cellStyle name="40 % - Accent5 3 3 4" xfId="2558"/>
    <cellStyle name="40 % - Accent5 3 4" xfId="623"/>
    <cellStyle name="40 % - Accent5 3 4 2" xfId="1901"/>
    <cellStyle name="40 % - Accent5 3 4 3" xfId="2560"/>
    <cellStyle name="40 % - Accent5 3 5" xfId="1896"/>
    <cellStyle name="40 % - Accent5 3 6" xfId="2555"/>
    <cellStyle name="40 % - Accent5 4" xfId="517"/>
    <cellStyle name="40 % - Accent5 4 2" xfId="1902"/>
    <cellStyle name="40 % - Accent5 4 3" xfId="2561"/>
    <cellStyle name="40 % - Accent5 5" xfId="520"/>
    <cellStyle name="40 % - Accent5 5 2" xfId="1903"/>
    <cellStyle name="40 % - Accent5 5 3" xfId="2562"/>
    <cellStyle name="40 % - Accent6" xfId="265"/>
    <cellStyle name="40 % - Accent6 2" xfId="565"/>
    <cellStyle name="40 % - Accent6 3" xfId="570"/>
    <cellStyle name="40 % - Accent6 3 2" xfId="29"/>
    <cellStyle name="40 % - Accent6 3 2 2" xfId="277"/>
    <cellStyle name="40 % - Accent6 3 2 2 2" xfId="1906"/>
    <cellStyle name="40 % - Accent6 3 2 2 3" xfId="2565"/>
    <cellStyle name="40 % - Accent6 3 2 3" xfId="1905"/>
    <cellStyle name="40 % - Accent6 3 2 4" xfId="2564"/>
    <cellStyle name="40 % - Accent6 3 3" xfId="110"/>
    <cellStyle name="40 % - Accent6 3 3 2" xfId="351"/>
    <cellStyle name="40 % - Accent6 3 3 2 2" xfId="1908"/>
    <cellStyle name="40 % - Accent6 3 3 2 3" xfId="2567"/>
    <cellStyle name="40 % - Accent6 3 3 3" xfId="1907"/>
    <cellStyle name="40 % - Accent6 3 3 4" xfId="2566"/>
    <cellStyle name="40 % - Accent6 3 4" xfId="121"/>
    <cellStyle name="40 % - Accent6 3 4 2" xfId="1909"/>
    <cellStyle name="40 % - Accent6 3 4 3" xfId="2568"/>
    <cellStyle name="40 % - Accent6 3 5" xfId="1904"/>
    <cellStyle name="40 % - Accent6 3 6" xfId="2563"/>
    <cellStyle name="40 % - Accent6 4" xfId="574"/>
    <cellStyle name="40 % - Accent6 4 2" xfId="1910"/>
    <cellStyle name="40 % - Accent6 4 3" xfId="2569"/>
    <cellStyle name="40 % - Accent6 5" xfId="577"/>
    <cellStyle name="40 % - Accent6 5 2" xfId="1911"/>
    <cellStyle name="40 % - Accent6 5 3" xfId="2570"/>
    <cellStyle name="40% - Accent1" xfId="1628" builtinId="31" customBuiltin="1"/>
    <cellStyle name="40% - Accent1 2" xfId="389"/>
    <cellStyle name="40% - Accent1 2 2" xfId="624"/>
    <cellStyle name="40% - Accent1 2 2 2" xfId="627"/>
    <cellStyle name="40% - Accent1 2 2 2 2" xfId="629"/>
    <cellStyle name="40% - Accent1 2 2 2 2 2" xfId="1914"/>
    <cellStyle name="40% - Accent1 2 2 2 2 3" xfId="2574"/>
    <cellStyle name="40% - Accent1 2 2 2 3" xfId="632"/>
    <cellStyle name="40% - Accent1 2 2 2 3 2" xfId="1915"/>
    <cellStyle name="40% - Accent1 2 2 2 3 3" xfId="2575"/>
    <cellStyle name="40% - Accent1 2 2 2 4" xfId="1913"/>
    <cellStyle name="40% - Accent1 2 2 2 5" xfId="2573"/>
    <cellStyle name="40% - Accent1 2 2 3" xfId="634"/>
    <cellStyle name="40% - Accent1 2 2 3 2" xfId="1916"/>
    <cellStyle name="40% - Accent1 2 2 3 3" xfId="2576"/>
    <cellStyle name="40% - Accent1 2 2 4" xfId="637"/>
    <cellStyle name="40% - Accent1 2 2 4 2" xfId="1917"/>
    <cellStyle name="40% - Accent1 2 2 4 3" xfId="2577"/>
    <cellStyle name="40% - Accent1 2 2 5" xfId="1912"/>
    <cellStyle name="40% - Accent1 2 2 6" xfId="2572"/>
    <cellStyle name="40% - Accent1 2 3" xfId="638"/>
    <cellStyle name="40% - Accent1 2 3 2" xfId="640"/>
    <cellStyle name="40% - Accent1 2 3 2 2" xfId="1919"/>
    <cellStyle name="40% - Accent1 2 3 2 3" xfId="2579"/>
    <cellStyle name="40% - Accent1 2 3 3" xfId="642"/>
    <cellStyle name="40% - Accent1 2 3 3 2" xfId="1920"/>
    <cellStyle name="40% - Accent1 2 3 3 3" xfId="2580"/>
    <cellStyle name="40% - Accent1 2 3 4" xfId="1918"/>
    <cellStyle name="40% - Accent1 2 3 5" xfId="2578"/>
    <cellStyle name="40% - Accent1 2 4" xfId="644"/>
    <cellStyle name="40% - Accent1 2 4 2" xfId="646"/>
    <cellStyle name="40% - Accent1 2 4 2 2" xfId="1922"/>
    <cellStyle name="40% - Accent1 2 4 2 3" xfId="2582"/>
    <cellStyle name="40% - Accent1 2 4 3" xfId="648"/>
    <cellStyle name="40% - Accent1 2 4 3 2" xfId="1923"/>
    <cellStyle name="40% - Accent1 2 4 3 3" xfId="2583"/>
    <cellStyle name="40% - Accent1 2 4 4" xfId="1921"/>
    <cellStyle name="40% - Accent1 2 4 5" xfId="2581"/>
    <cellStyle name="40% - Accent1 2 5" xfId="461"/>
    <cellStyle name="40% - Accent1 2 5 2" xfId="543"/>
    <cellStyle name="40% - Accent1 2 5 2 2" xfId="1925"/>
    <cellStyle name="40% - Accent1 2 5 2 3" xfId="2585"/>
    <cellStyle name="40% - Accent1 2 5 3" xfId="550"/>
    <cellStyle name="40% - Accent1 2 5 3 2" xfId="1926"/>
    <cellStyle name="40% - Accent1 2 5 3 3" xfId="2586"/>
    <cellStyle name="40% - Accent1 2 5 4" xfId="1924"/>
    <cellStyle name="40% - Accent1 2 5 5" xfId="2584"/>
    <cellStyle name="40% - Accent1 2_FCF bis" xfId="653"/>
    <cellStyle name="40% - Accent1 3" xfId="654"/>
    <cellStyle name="40% - Accent1 3 2" xfId="655"/>
    <cellStyle name="40% - Accent1 3 2 2" xfId="657"/>
    <cellStyle name="40% - Accent1 3 2 2 2" xfId="1929"/>
    <cellStyle name="40% - Accent1 3 2 2 3" xfId="2589"/>
    <cellStyle name="40% - Accent1 3 2 3" xfId="468"/>
    <cellStyle name="40% - Accent1 3 2 3 2" xfId="1930"/>
    <cellStyle name="40% - Accent1 3 2 3 3" xfId="2590"/>
    <cellStyle name="40% - Accent1 3 2 4" xfId="1928"/>
    <cellStyle name="40% - Accent1 3 2 5" xfId="2588"/>
    <cellStyle name="40% - Accent1 3 3" xfId="659"/>
    <cellStyle name="40% - Accent1 3 3 2" xfId="1931"/>
    <cellStyle name="40% - Accent1 3 3 3" xfId="2591"/>
    <cellStyle name="40% - Accent1 3 4" xfId="660"/>
    <cellStyle name="40% - Accent1 3 4 2" xfId="1932"/>
    <cellStyle name="40% - Accent1 3 4 3" xfId="2592"/>
    <cellStyle name="40% - Accent1 3 5" xfId="1927"/>
    <cellStyle name="40% - Accent1 3 6" xfId="2587"/>
    <cellStyle name="40% - Accent1 4" xfId="324"/>
    <cellStyle name="40% - Accent1 4 2" xfId="326"/>
    <cellStyle name="40% - Accent1 4 2 2" xfId="1934"/>
    <cellStyle name="40% - Accent1 4 2 3" xfId="2594"/>
    <cellStyle name="40% - Accent1 4 3" xfId="328"/>
    <cellStyle name="40% - Accent1 4 3 2" xfId="1935"/>
    <cellStyle name="40% - Accent1 4 3 3" xfId="2595"/>
    <cellStyle name="40% - Accent1 4 4" xfId="1933"/>
    <cellStyle name="40% - Accent1 4 5" xfId="2593"/>
    <cellStyle name="40% - Accent1 5" xfId="330"/>
    <cellStyle name="40% - Accent1 5 2" xfId="661"/>
    <cellStyle name="40% - Accent1 5 2 2" xfId="1937"/>
    <cellStyle name="40% - Accent1 5 2 3" xfId="2597"/>
    <cellStyle name="40% - Accent1 5 3" xfId="662"/>
    <cellStyle name="40% - Accent1 5 3 2" xfId="1938"/>
    <cellStyle name="40% - Accent1 5 3 3" xfId="2598"/>
    <cellStyle name="40% - Accent1 5 4" xfId="1936"/>
    <cellStyle name="40% - Accent1 5 5" xfId="2596"/>
    <cellStyle name="40% - Accent1 6" xfId="49"/>
    <cellStyle name="40% - Accent1 6 2" xfId="1939"/>
    <cellStyle name="40% - Accent1 6 3" xfId="2599"/>
    <cellStyle name="40% - Accent1 7" xfId="334"/>
    <cellStyle name="40% - Accent1 7 2" xfId="1940"/>
    <cellStyle name="40% - Accent1 7 3" xfId="2600"/>
    <cellStyle name="40% - Accent1 8" xfId="665"/>
    <cellStyle name="40% - Accent1 8 2" xfId="1941"/>
    <cellStyle name="40% - Accent1 8 3" xfId="2601"/>
    <cellStyle name="40% - Accent1 9" xfId="2571"/>
    <cellStyle name="40% - Accent2" xfId="1631" builtinId="35" customBuiltin="1"/>
    <cellStyle name="40% - Accent2 2" xfId="666"/>
    <cellStyle name="40% - Accent2 2 2" xfId="670"/>
    <cellStyle name="40% - Accent2 2 2 2" xfId="673"/>
    <cellStyle name="40% - Accent2 2 2 2 2" xfId="677"/>
    <cellStyle name="40% - Accent2 2 2 2 2 2" xfId="1944"/>
    <cellStyle name="40% - Accent2 2 2 2 2 3" xfId="2605"/>
    <cellStyle name="40% - Accent2 2 2 2 3" xfId="652"/>
    <cellStyle name="40% - Accent2 2 2 2 3 2" xfId="1945"/>
    <cellStyle name="40% - Accent2 2 2 2 3 3" xfId="2606"/>
    <cellStyle name="40% - Accent2 2 2 2 4" xfId="1943"/>
    <cellStyle name="40% - Accent2 2 2 2 5" xfId="2604"/>
    <cellStyle name="40% - Accent2 2 2 3" xfId="218"/>
    <cellStyle name="40% - Accent2 2 2 3 2" xfId="1946"/>
    <cellStyle name="40% - Accent2 2 2 3 3" xfId="2607"/>
    <cellStyle name="40% - Accent2 2 2 4" xfId="223"/>
    <cellStyle name="40% - Accent2 2 2 4 2" xfId="1947"/>
    <cellStyle name="40% - Accent2 2 2 4 3" xfId="2608"/>
    <cellStyle name="40% - Accent2 2 2 5" xfId="1942"/>
    <cellStyle name="40% - Accent2 2 2 6" xfId="2603"/>
    <cellStyle name="40% - Accent2 2 3" xfId="678"/>
    <cellStyle name="40% - Accent2 2 3 2" xfId="680"/>
    <cellStyle name="40% - Accent2 2 3 2 2" xfId="1949"/>
    <cellStyle name="40% - Accent2 2 3 2 3" xfId="2610"/>
    <cellStyle name="40% - Accent2 2 3 3" xfId="682"/>
    <cellStyle name="40% - Accent2 2 3 3 2" xfId="1950"/>
    <cellStyle name="40% - Accent2 2 3 3 3" xfId="2611"/>
    <cellStyle name="40% - Accent2 2 3 4" xfId="1948"/>
    <cellStyle name="40% - Accent2 2 3 5" xfId="2609"/>
    <cellStyle name="40% - Accent2 2 4" xfId="683"/>
    <cellStyle name="40% - Accent2 2 4 2" xfId="685"/>
    <cellStyle name="40% - Accent2 2 4 2 2" xfId="1952"/>
    <cellStyle name="40% - Accent2 2 4 2 3" xfId="2613"/>
    <cellStyle name="40% - Accent2 2 4 3" xfId="687"/>
    <cellStyle name="40% - Accent2 2 4 3 2" xfId="1953"/>
    <cellStyle name="40% - Accent2 2 4 3 3" xfId="2614"/>
    <cellStyle name="40% - Accent2 2 4 4" xfId="1951"/>
    <cellStyle name="40% - Accent2 2 4 5" xfId="2612"/>
    <cellStyle name="40% - Accent2 2 5" xfId="491"/>
    <cellStyle name="40% - Accent2 2 5 2" xfId="689"/>
    <cellStyle name="40% - Accent2 2 5 2 2" xfId="1955"/>
    <cellStyle name="40% - Accent2 2 5 2 3" xfId="2616"/>
    <cellStyle name="40% - Accent2 2 5 3" xfId="691"/>
    <cellStyle name="40% - Accent2 2 5 3 2" xfId="1956"/>
    <cellStyle name="40% - Accent2 2 5 3 3" xfId="2617"/>
    <cellStyle name="40% - Accent2 2 5 4" xfId="1954"/>
    <cellStyle name="40% - Accent2 2 5 5" xfId="2615"/>
    <cellStyle name="40% - Accent2 2_FCF bis" xfId="78"/>
    <cellStyle name="40% - Accent2 3" xfId="692"/>
    <cellStyle name="40% - Accent2 3 2" xfId="696"/>
    <cellStyle name="40% - Accent2 3 2 2" xfId="697"/>
    <cellStyle name="40% - Accent2 3 2 2 2" xfId="1959"/>
    <cellStyle name="40% - Accent2 3 2 2 3" xfId="2620"/>
    <cellStyle name="40% - Accent2 3 2 3" xfId="525"/>
    <cellStyle name="40% - Accent2 3 2 3 2" xfId="1960"/>
    <cellStyle name="40% - Accent2 3 2 3 3" xfId="2621"/>
    <cellStyle name="40% - Accent2 3 2 4" xfId="1958"/>
    <cellStyle name="40% - Accent2 3 2 5" xfId="2619"/>
    <cellStyle name="40% - Accent2 3 3" xfId="698"/>
    <cellStyle name="40% - Accent2 3 3 2" xfId="1961"/>
    <cellStyle name="40% - Accent2 3 3 3" xfId="2622"/>
    <cellStyle name="40% - Accent2 3 4" xfId="699"/>
    <cellStyle name="40% - Accent2 3 4 2" xfId="1962"/>
    <cellStyle name="40% - Accent2 3 4 3" xfId="2623"/>
    <cellStyle name="40% - Accent2 3 5" xfId="1957"/>
    <cellStyle name="40% - Accent2 3 6" xfId="2618"/>
    <cellStyle name="40% - Accent2 4" xfId="339"/>
    <cellStyle name="40% - Accent2 4 2" xfId="700"/>
    <cellStyle name="40% - Accent2 4 2 2" xfId="1964"/>
    <cellStyle name="40% - Accent2 4 2 3" xfId="2625"/>
    <cellStyle name="40% - Accent2 4 3" xfId="701"/>
    <cellStyle name="40% - Accent2 4 3 2" xfId="1965"/>
    <cellStyle name="40% - Accent2 4 3 3" xfId="2626"/>
    <cellStyle name="40% - Accent2 4 4" xfId="1963"/>
    <cellStyle name="40% - Accent2 4 5" xfId="2624"/>
    <cellStyle name="40% - Accent2 5" xfId="341"/>
    <cellStyle name="40% - Accent2 5 2" xfId="702"/>
    <cellStyle name="40% - Accent2 5 2 2" xfId="1967"/>
    <cellStyle name="40% - Accent2 5 2 3" xfId="2628"/>
    <cellStyle name="40% - Accent2 5 3" xfId="703"/>
    <cellStyle name="40% - Accent2 5 3 2" xfId="1968"/>
    <cellStyle name="40% - Accent2 5 3 3" xfId="2629"/>
    <cellStyle name="40% - Accent2 5 4" xfId="1966"/>
    <cellStyle name="40% - Accent2 5 5" xfId="2627"/>
    <cellStyle name="40% - Accent2 6" xfId="705"/>
    <cellStyle name="40% - Accent2 6 2" xfId="1969"/>
    <cellStyle name="40% - Accent2 6 3" xfId="2630"/>
    <cellStyle name="40% - Accent2 7" xfId="708"/>
    <cellStyle name="40% - Accent2 7 2" xfId="1970"/>
    <cellStyle name="40% - Accent2 7 3" xfId="2631"/>
    <cellStyle name="40% - Accent2 8" xfId="711"/>
    <cellStyle name="40% - Accent2 8 2" xfId="1971"/>
    <cellStyle name="40% - Accent2 8 3" xfId="2632"/>
    <cellStyle name="40% - Accent2 9" xfId="2602"/>
    <cellStyle name="40% - Accent3 2" xfId="279"/>
    <cellStyle name="40% - Accent3 2 2" xfId="712"/>
    <cellStyle name="40% - Accent3 2 2 2" xfId="713"/>
    <cellStyle name="40% - Accent3 2 2 2 2" xfId="714"/>
    <cellStyle name="40% - Accent3 2 2 2 2 2" xfId="1974"/>
    <cellStyle name="40% - Accent3 2 2 2 2 3" xfId="2635"/>
    <cellStyle name="40% - Accent3 2 2 2 3" xfId="715"/>
    <cellStyle name="40% - Accent3 2 2 2 3 2" xfId="1975"/>
    <cellStyle name="40% - Accent3 2 2 2 3 3" xfId="2636"/>
    <cellStyle name="40% - Accent3 2 2 2 4" xfId="1973"/>
    <cellStyle name="40% - Accent3 2 2 2 5" xfId="2634"/>
    <cellStyle name="40% - Accent3 2 2 3" xfId="716"/>
    <cellStyle name="40% - Accent3 2 2 3 2" xfId="1976"/>
    <cellStyle name="40% - Accent3 2 2 3 3" xfId="2637"/>
    <cellStyle name="40% - Accent3 2 2 4" xfId="229"/>
    <cellStyle name="40% - Accent3 2 2 4 2" xfId="1977"/>
    <cellStyle name="40% - Accent3 2 2 4 3" xfId="2638"/>
    <cellStyle name="40% - Accent3 2 2 5" xfId="1972"/>
    <cellStyle name="40% - Accent3 2 2 6" xfId="2633"/>
    <cellStyle name="40% - Accent3 2 3" xfId="377"/>
    <cellStyle name="40% - Accent3 2 3 2" xfId="717"/>
    <cellStyle name="40% - Accent3 2 3 2 2" xfId="1979"/>
    <cellStyle name="40% - Accent3 2 3 2 3" xfId="2640"/>
    <cellStyle name="40% - Accent3 2 3 3" xfId="718"/>
    <cellStyle name="40% - Accent3 2 3 3 2" xfId="1980"/>
    <cellStyle name="40% - Accent3 2 3 3 3" xfId="2641"/>
    <cellStyle name="40% - Accent3 2 3 4" xfId="1978"/>
    <cellStyle name="40% - Accent3 2 3 5" xfId="2639"/>
    <cellStyle name="40% - Accent3 2 4" xfId="380"/>
    <cellStyle name="40% - Accent3 2 4 2" xfId="601"/>
    <cellStyle name="40% - Accent3 2 4 2 2" xfId="1982"/>
    <cellStyle name="40% - Accent3 2 4 2 3" xfId="2643"/>
    <cellStyle name="40% - Accent3 2 4 3" xfId="605"/>
    <cellStyle name="40% - Accent3 2 4 3 2" xfId="1983"/>
    <cellStyle name="40% - Accent3 2 4 3 3" xfId="2644"/>
    <cellStyle name="40% - Accent3 2 4 4" xfId="1981"/>
    <cellStyle name="40% - Accent3 2 4 5" xfId="2642"/>
    <cellStyle name="40% - Accent3 2 5" xfId="23"/>
    <cellStyle name="40% - Accent3 2 5 2" xfId="719"/>
    <cellStyle name="40% - Accent3 2 5 2 2" xfId="1985"/>
    <cellStyle name="40% - Accent3 2 5 2 3" xfId="2646"/>
    <cellStyle name="40% - Accent3 2 5 3" xfId="720"/>
    <cellStyle name="40% - Accent3 2 5 3 2" xfId="1986"/>
    <cellStyle name="40% - Accent3 2 5 3 3" xfId="2647"/>
    <cellStyle name="40% - Accent3 2 5 4" xfId="1984"/>
    <cellStyle name="40% - Accent3 2 5 5" xfId="2645"/>
    <cellStyle name="40% - Accent3 2_FCF bis" xfId="251"/>
    <cellStyle name="40% - Accent3 3" xfId="282"/>
    <cellStyle name="40% - Accent3 3 2" xfId="721"/>
    <cellStyle name="40% - Accent3 3 2 2" xfId="723"/>
    <cellStyle name="40% - Accent3 3 2 2 2" xfId="1989"/>
    <cellStyle name="40% - Accent3 3 2 2 3" xfId="2650"/>
    <cellStyle name="40% - Accent3 3 2 3" xfId="724"/>
    <cellStyle name="40% - Accent3 3 2 3 2" xfId="1990"/>
    <cellStyle name="40% - Accent3 3 2 3 3" xfId="2651"/>
    <cellStyle name="40% - Accent3 3 2 4" xfId="1988"/>
    <cellStyle name="40% - Accent3 3 2 5" xfId="2649"/>
    <cellStyle name="40% - Accent3 3 3" xfId="1"/>
    <cellStyle name="40% - Accent3 3 3 2" xfId="1991"/>
    <cellStyle name="40% - Accent3 3 3 3" xfId="2652"/>
    <cellStyle name="40% - Accent3 3 4" xfId="31"/>
    <cellStyle name="40% - Accent3 3 4 2" xfId="1992"/>
    <cellStyle name="40% - Accent3 3 4 3" xfId="2653"/>
    <cellStyle name="40% - Accent3 3 5" xfId="26"/>
    <cellStyle name="40% - Accent3 3 5 2" xfId="1993"/>
    <cellStyle name="40% - Accent3 3 5 3" xfId="2654"/>
    <cellStyle name="40% - Accent3 3 6" xfId="1987"/>
    <cellStyle name="40% - Accent3 3 7" xfId="2648"/>
    <cellStyle name="40% - Accent3 4" xfId="286"/>
    <cellStyle name="40% - Accent3 4 2" xfId="242"/>
    <cellStyle name="40% - Accent3 4 2 2" xfId="1995"/>
    <cellStyle name="40% - Accent3 4 2 3" xfId="2656"/>
    <cellStyle name="40% - Accent3 4 3" xfId="385"/>
    <cellStyle name="40% - Accent3 4 3 2" xfId="1996"/>
    <cellStyle name="40% - Accent3 4 3 3" xfId="2657"/>
    <cellStyle name="40% - Accent3 4 4" xfId="1994"/>
    <cellStyle name="40% - Accent3 4 5" xfId="2655"/>
    <cellStyle name="40% - Accent3 5" xfId="346"/>
    <cellStyle name="40% - Accent3 5 2" xfId="598"/>
    <cellStyle name="40% - Accent3 5 2 2" xfId="1998"/>
    <cellStyle name="40% - Accent3 5 2 3" xfId="2659"/>
    <cellStyle name="40% - Accent3 5 3" xfId="726"/>
    <cellStyle name="40% - Accent3 5 3 2" xfId="1999"/>
    <cellStyle name="40% - Accent3 5 3 3" xfId="2660"/>
    <cellStyle name="40% - Accent3 5 4" xfId="1997"/>
    <cellStyle name="40% - Accent3 5 5" xfId="2658"/>
    <cellStyle name="40% - Accent3 6" xfId="394"/>
    <cellStyle name="40% - Accent3 6 2" xfId="2000"/>
    <cellStyle name="40% - Accent3 6 3" xfId="2661"/>
    <cellStyle name="40% - Accent3 7" xfId="729"/>
    <cellStyle name="40% - Accent3 7 2" xfId="2001"/>
    <cellStyle name="40% - Accent3 7 3" xfId="2662"/>
    <cellStyle name="40% - Accent3 8" xfId="731"/>
    <cellStyle name="40% - Accent3 8 2" xfId="2002"/>
    <cellStyle name="40% - Accent3 8 3" xfId="2663"/>
    <cellStyle name="40% - Accent4" xfId="1635" builtinId="43" customBuiltin="1"/>
    <cellStyle name="40% - Accent4 2" xfId="354"/>
    <cellStyle name="40% - Accent4 2 2" xfId="360"/>
    <cellStyle name="40% - Accent4 2 2 2" xfId="151"/>
    <cellStyle name="40% - Accent4 2 2 2 2" xfId="159"/>
    <cellStyle name="40% - Accent4 2 2 2 2 2" xfId="2005"/>
    <cellStyle name="40% - Accent4 2 2 2 2 3" xfId="2667"/>
    <cellStyle name="40% - Accent4 2 2 2 3" xfId="164"/>
    <cellStyle name="40% - Accent4 2 2 2 3 2" xfId="2006"/>
    <cellStyle name="40% - Accent4 2 2 2 3 3" xfId="2668"/>
    <cellStyle name="40% - Accent4 2 2 2 4" xfId="2004"/>
    <cellStyle name="40% - Accent4 2 2 2 5" xfId="2666"/>
    <cellStyle name="40% - Accent4 2 2 3" xfId="174"/>
    <cellStyle name="40% - Accent4 2 2 3 2" xfId="2007"/>
    <cellStyle name="40% - Accent4 2 2 3 3" xfId="2669"/>
    <cellStyle name="40% - Accent4 2 2 4" xfId="200"/>
    <cellStyle name="40% - Accent4 2 2 4 2" xfId="2008"/>
    <cellStyle name="40% - Accent4 2 2 4 3" xfId="2670"/>
    <cellStyle name="40% - Accent4 2 2 5" xfId="2003"/>
    <cellStyle name="40% - Accent4 2 2 6" xfId="2665"/>
    <cellStyle name="40% - Accent4 2 3" xfId="732"/>
    <cellStyle name="40% - Accent4 2 3 2" xfId="65"/>
    <cellStyle name="40% - Accent4 2 3 2 2" xfId="2010"/>
    <cellStyle name="40% - Accent4 2 3 2 3" xfId="2672"/>
    <cellStyle name="40% - Accent4 2 3 3" xfId="77"/>
    <cellStyle name="40% - Accent4 2 3 3 2" xfId="2011"/>
    <cellStyle name="40% - Accent4 2 3 3 3" xfId="2673"/>
    <cellStyle name="40% - Accent4 2 3 4" xfId="2009"/>
    <cellStyle name="40% - Accent4 2 3 5" xfId="2671"/>
    <cellStyle name="40% - Accent4 2 4" xfId="735"/>
    <cellStyle name="40% - Accent4 2 4 2" xfId="581"/>
    <cellStyle name="40% - Accent4 2 4 2 2" xfId="2013"/>
    <cellStyle name="40% - Accent4 2 4 2 3" xfId="2675"/>
    <cellStyle name="40% - Accent4 2 4 3" xfId="739"/>
    <cellStyle name="40% - Accent4 2 4 3 2" xfId="2014"/>
    <cellStyle name="40% - Accent4 2 4 3 3" xfId="2676"/>
    <cellStyle name="40% - Accent4 2 4 4" xfId="2012"/>
    <cellStyle name="40% - Accent4 2 4 5" xfId="2674"/>
    <cellStyle name="40% - Accent4 2 5" xfId="740"/>
    <cellStyle name="40% - Accent4 2 5 2" xfId="745"/>
    <cellStyle name="40% - Accent4 2 5 2 2" xfId="2016"/>
    <cellStyle name="40% - Accent4 2 5 2 3" xfId="2678"/>
    <cellStyle name="40% - Accent4 2 5 3" xfId="429"/>
    <cellStyle name="40% - Accent4 2 5 3 2" xfId="2017"/>
    <cellStyle name="40% - Accent4 2 5 3 3" xfId="2679"/>
    <cellStyle name="40% - Accent4 2 5 4" xfId="2015"/>
    <cellStyle name="40% - Accent4 2 5 5" xfId="2677"/>
    <cellStyle name="40% - Accent4 2_FCF bis" xfId="747"/>
    <cellStyle name="40% - Accent4 3" xfId="358"/>
    <cellStyle name="40% - Accent4 3 2" xfId="422"/>
    <cellStyle name="40% - Accent4 3 2 2" xfId="10"/>
    <cellStyle name="40% - Accent4 3 2 2 2" xfId="2020"/>
    <cellStyle name="40% - Accent4 3 2 2 3" xfId="2682"/>
    <cellStyle name="40% - Accent4 3 2 3" xfId="748"/>
    <cellStyle name="40% - Accent4 3 2 3 2" xfId="2021"/>
    <cellStyle name="40% - Accent4 3 2 3 3" xfId="2683"/>
    <cellStyle name="40% - Accent4 3 2 4" xfId="2019"/>
    <cellStyle name="40% - Accent4 3 2 5" xfId="2681"/>
    <cellStyle name="40% - Accent4 3 3" xfId="752"/>
    <cellStyle name="40% - Accent4 3 3 2" xfId="2022"/>
    <cellStyle name="40% - Accent4 3 3 3" xfId="2684"/>
    <cellStyle name="40% - Accent4 3 4" xfId="755"/>
    <cellStyle name="40% - Accent4 3 4 2" xfId="2023"/>
    <cellStyle name="40% - Accent4 3 4 3" xfId="2685"/>
    <cellStyle name="40% - Accent4 3 5" xfId="2018"/>
    <cellStyle name="40% - Accent4 3 6" xfId="2680"/>
    <cellStyle name="40% - Accent4 4" xfId="363"/>
    <cellStyle name="40% - Accent4 4 2" xfId="154"/>
    <cellStyle name="40% - Accent4 4 2 2" xfId="2025"/>
    <cellStyle name="40% - Accent4 4 2 3" xfId="2687"/>
    <cellStyle name="40% - Accent4 4 3" xfId="177"/>
    <cellStyle name="40% - Accent4 4 3 2" xfId="2026"/>
    <cellStyle name="40% - Accent4 4 3 3" xfId="2688"/>
    <cellStyle name="40% - Accent4 4 4" xfId="2024"/>
    <cellStyle name="40% - Accent4 4 5" xfId="2686"/>
    <cellStyle name="40% - Accent4 5" xfId="734"/>
    <cellStyle name="40% - Accent4 5 2" xfId="68"/>
    <cellStyle name="40% - Accent4 5 2 2" xfId="2028"/>
    <cellStyle name="40% - Accent4 5 2 3" xfId="2690"/>
    <cellStyle name="40% - Accent4 5 3" xfId="80"/>
    <cellStyle name="40% - Accent4 5 3 2" xfId="2029"/>
    <cellStyle name="40% - Accent4 5 3 3" xfId="2691"/>
    <cellStyle name="40% - Accent4 5 4" xfId="2027"/>
    <cellStyle name="40% - Accent4 5 5" xfId="2689"/>
    <cellStyle name="40% - Accent4 6" xfId="738"/>
    <cellStyle name="40% - Accent4 6 2" xfId="2030"/>
    <cellStyle name="40% - Accent4 6 3" xfId="2692"/>
    <cellStyle name="40% - Accent4 7" xfId="744"/>
    <cellStyle name="40% - Accent4 7 2" xfId="2031"/>
    <cellStyle name="40% - Accent4 7 3" xfId="2693"/>
    <cellStyle name="40% - Accent4 8" xfId="758"/>
    <cellStyle name="40% - Accent4 8 2" xfId="2032"/>
    <cellStyle name="40% - Accent4 8 3" xfId="2694"/>
    <cellStyle name="40% - Accent4 9" xfId="2664"/>
    <cellStyle name="40% - Accent5" xfId="1638" builtinId="47" customBuiltin="1"/>
    <cellStyle name="40% - Accent5 2" xfId="416"/>
    <cellStyle name="40% - Accent5 2 2" xfId="763"/>
    <cellStyle name="40% - Accent5 2 2 2" xfId="511"/>
    <cellStyle name="40% - Accent5 2 2 2 2" xfId="616"/>
    <cellStyle name="40% - Accent5 2 2 2 2 2" xfId="2035"/>
    <cellStyle name="40% - Accent5 2 2 2 2 3" xfId="2698"/>
    <cellStyle name="40% - Accent5 2 2 2 3" xfId="765"/>
    <cellStyle name="40% - Accent5 2 2 2 3 2" xfId="2036"/>
    <cellStyle name="40% - Accent5 2 2 2 3 3" xfId="2699"/>
    <cellStyle name="40% - Accent5 2 2 2 4" xfId="2034"/>
    <cellStyle name="40% - Accent5 2 2 2 5" xfId="2697"/>
    <cellStyle name="40% - Accent5 2 2 3" xfId="622"/>
    <cellStyle name="40% - Accent5 2 2 3 2" xfId="2037"/>
    <cellStyle name="40% - Accent5 2 2 3 3" xfId="2700"/>
    <cellStyle name="40% - Accent5 2 2 4" xfId="769"/>
    <cellStyle name="40% - Accent5 2 2 4 2" xfId="2038"/>
    <cellStyle name="40% - Accent5 2 2 4 3" xfId="2701"/>
    <cellStyle name="40% - Accent5 2 2 5" xfId="2033"/>
    <cellStyle name="40% - Accent5 2 2 6" xfId="2696"/>
    <cellStyle name="40% - Accent5 2 3" xfId="771"/>
    <cellStyle name="40% - Accent5 2 3 2" xfId="776"/>
    <cellStyle name="40% - Accent5 2 3 2 2" xfId="2040"/>
    <cellStyle name="40% - Accent5 2 3 2 3" xfId="2703"/>
    <cellStyle name="40% - Accent5 2 3 3" xfId="780"/>
    <cellStyle name="40% - Accent5 2 3 3 2" xfId="2041"/>
    <cellStyle name="40% - Accent5 2 3 3 3" xfId="2704"/>
    <cellStyle name="40% - Accent5 2 3 4" xfId="2039"/>
    <cellStyle name="40% - Accent5 2 3 5" xfId="2702"/>
    <cellStyle name="40% - Accent5 2 4" xfId="782"/>
    <cellStyle name="40% - Accent5 2 4 2" xfId="786"/>
    <cellStyle name="40% - Accent5 2 4 2 2" xfId="2043"/>
    <cellStyle name="40% - Accent5 2 4 2 3" xfId="2706"/>
    <cellStyle name="40% - Accent5 2 4 3" xfId="789"/>
    <cellStyle name="40% - Accent5 2 4 3 2" xfId="2044"/>
    <cellStyle name="40% - Accent5 2 4 3 3" xfId="2707"/>
    <cellStyle name="40% - Accent5 2 4 4" xfId="2042"/>
    <cellStyle name="40% - Accent5 2 4 5" xfId="2705"/>
    <cellStyle name="40% - Accent5 2 5" xfId="529"/>
    <cellStyle name="40% - Accent5 2 5 2" xfId="793"/>
    <cellStyle name="40% - Accent5 2 5 2 2" xfId="2046"/>
    <cellStyle name="40% - Accent5 2 5 2 3" xfId="2709"/>
    <cellStyle name="40% - Accent5 2 5 3" xfId="796"/>
    <cellStyle name="40% - Accent5 2 5 3 2" xfId="2047"/>
    <cellStyle name="40% - Accent5 2 5 3 3" xfId="2710"/>
    <cellStyle name="40% - Accent5 2 5 4" xfId="2045"/>
    <cellStyle name="40% - Accent5 2 5 5" xfId="2708"/>
    <cellStyle name="40% - Accent5 2_FCF bis" xfId="694"/>
    <cellStyle name="40% - Accent5 3" xfId="419"/>
    <cellStyle name="40% - Accent5 3 2" xfId="798"/>
    <cellStyle name="40% - Accent5 3 2 2" xfId="109"/>
    <cellStyle name="40% - Accent5 3 2 2 2" xfId="2050"/>
    <cellStyle name="40% - Accent5 3 2 2 3" xfId="2713"/>
    <cellStyle name="40% - Accent5 3 2 3" xfId="120"/>
    <cellStyle name="40% - Accent5 3 2 3 2" xfId="2051"/>
    <cellStyle name="40% - Accent5 3 2 3 3" xfId="2714"/>
    <cellStyle name="40% - Accent5 3 2 4" xfId="2049"/>
    <cellStyle name="40% - Accent5 3 2 5" xfId="2712"/>
    <cellStyle name="40% - Accent5 3 3" xfId="800"/>
    <cellStyle name="40% - Accent5 3 3 2" xfId="2052"/>
    <cellStyle name="40% - Accent5 3 3 3" xfId="2715"/>
    <cellStyle name="40% - Accent5 3 4" xfId="802"/>
    <cellStyle name="40% - Accent5 3 4 2" xfId="2053"/>
    <cellStyle name="40% - Accent5 3 4 3" xfId="2716"/>
    <cellStyle name="40% - Accent5 3 5" xfId="2048"/>
    <cellStyle name="40% - Accent5 3 6" xfId="2711"/>
    <cellStyle name="40% - Accent5 4" xfId="424"/>
    <cellStyle name="40% - Accent5 4 2" xfId="12"/>
    <cellStyle name="40% - Accent5 4 2 2" xfId="2055"/>
    <cellStyle name="40% - Accent5 4 2 3" xfId="2718"/>
    <cellStyle name="40% - Accent5 4 3" xfId="750"/>
    <cellStyle name="40% - Accent5 4 3 2" xfId="2056"/>
    <cellStyle name="40% - Accent5 4 3 3" xfId="2719"/>
    <cellStyle name="40% - Accent5 4 4" xfId="2054"/>
    <cellStyle name="40% - Accent5 4 5" xfId="2717"/>
    <cellStyle name="40% - Accent5 5" xfId="754"/>
    <cellStyle name="40% - Accent5 5 2" xfId="805"/>
    <cellStyle name="40% - Accent5 5 2 2" xfId="2058"/>
    <cellStyle name="40% - Accent5 5 2 3" xfId="2721"/>
    <cellStyle name="40% - Accent5 5 3" xfId="808"/>
    <cellStyle name="40% - Accent5 5 3 2" xfId="2059"/>
    <cellStyle name="40% - Accent5 5 3 3" xfId="2722"/>
    <cellStyle name="40% - Accent5 5 4" xfId="2057"/>
    <cellStyle name="40% - Accent5 5 5" xfId="2720"/>
    <cellStyle name="40% - Accent5 6" xfId="756"/>
    <cellStyle name="40% - Accent5 6 2" xfId="2060"/>
    <cellStyle name="40% - Accent5 6 3" xfId="2723"/>
    <cellStyle name="40% - Accent5 7" xfId="809"/>
    <cellStyle name="40% - Accent5 7 2" xfId="2061"/>
    <cellStyle name="40% - Accent5 7 3" xfId="2724"/>
    <cellStyle name="40% - Accent5 8" xfId="810"/>
    <cellStyle name="40% - Accent5 8 2" xfId="2062"/>
    <cellStyle name="40% - Accent5 8 3" xfId="2725"/>
    <cellStyle name="40% - Accent5 9" xfId="2695"/>
    <cellStyle name="40% - Accent6" xfId="1642" builtinId="51" customBuiltin="1"/>
    <cellStyle name="40% - Accent6 2" xfId="127"/>
    <cellStyle name="40% - Accent6 2 2" xfId="131"/>
    <cellStyle name="40% - Accent6 2 2 2" xfId="811"/>
    <cellStyle name="40% - Accent6 2 2 2 2" xfId="812"/>
    <cellStyle name="40% - Accent6 2 2 2 2 2" xfId="2065"/>
    <cellStyle name="40% - Accent6 2 2 2 2 3" xfId="2729"/>
    <cellStyle name="40% - Accent6 2 2 2 3" xfId="815"/>
    <cellStyle name="40% - Accent6 2 2 2 3 2" xfId="2066"/>
    <cellStyle name="40% - Accent6 2 2 2 3 3" xfId="2730"/>
    <cellStyle name="40% - Accent6 2 2 2 4" xfId="2064"/>
    <cellStyle name="40% - Accent6 2 2 2 5" xfId="2728"/>
    <cellStyle name="40% - Accent6 2 2 3" xfId="816"/>
    <cellStyle name="40% - Accent6 2 2 3 2" xfId="2067"/>
    <cellStyle name="40% - Accent6 2 2 3 3" xfId="2731"/>
    <cellStyle name="40% - Accent6 2 2 4" xfId="818"/>
    <cellStyle name="40% - Accent6 2 2 4 2" xfId="2068"/>
    <cellStyle name="40% - Accent6 2 2 4 3" xfId="2732"/>
    <cellStyle name="40% - Accent6 2 2 5" xfId="2063"/>
    <cellStyle name="40% - Accent6 2 2 6" xfId="2727"/>
    <cellStyle name="40% - Accent6 2 3" xfId="5"/>
    <cellStyle name="40% - Accent6 2 3 2" xfId="819"/>
    <cellStyle name="40% - Accent6 2 3 2 2" xfId="2070"/>
    <cellStyle name="40% - Accent6 2 3 2 3" xfId="2734"/>
    <cellStyle name="40% - Accent6 2 3 3" xfId="821"/>
    <cellStyle name="40% - Accent6 2 3 3 2" xfId="2071"/>
    <cellStyle name="40% - Accent6 2 3 3 3" xfId="2735"/>
    <cellStyle name="40% - Accent6 2 3 4" xfId="2069"/>
    <cellStyle name="40% - Accent6 2 3 5" xfId="2733"/>
    <cellStyle name="40% - Accent6 2 4" xfId="823"/>
    <cellStyle name="40% - Accent6 2 4 2" xfId="826"/>
    <cellStyle name="40% - Accent6 2 4 2 2" xfId="2073"/>
    <cellStyle name="40% - Accent6 2 4 2 3" xfId="2737"/>
    <cellStyle name="40% - Accent6 2 4 3" xfId="828"/>
    <cellStyle name="40% - Accent6 2 4 3 2" xfId="2074"/>
    <cellStyle name="40% - Accent6 2 4 3 3" xfId="2738"/>
    <cellStyle name="40% - Accent6 2 4 4" xfId="2072"/>
    <cellStyle name="40% - Accent6 2 4 5" xfId="2736"/>
    <cellStyle name="40% - Accent6 2 5" xfId="829"/>
    <cellStyle name="40% - Accent6 2 5 2" xfId="831"/>
    <cellStyle name="40% - Accent6 2 5 2 2" xfId="2076"/>
    <cellStyle name="40% - Accent6 2 5 2 3" xfId="2740"/>
    <cellStyle name="40% - Accent6 2 5 3" xfId="832"/>
    <cellStyle name="40% - Accent6 2 5 3 2" xfId="2077"/>
    <cellStyle name="40% - Accent6 2 5 3 3" xfId="2741"/>
    <cellStyle name="40% - Accent6 2 5 4" xfId="2075"/>
    <cellStyle name="40% - Accent6 2 5 5" xfId="2739"/>
    <cellStyle name="40% - Accent6 2_FCF bis" xfId="126"/>
    <cellStyle name="40% - Accent6 3" xfId="146"/>
    <cellStyle name="40% - Accent6 3 2" xfId="55"/>
    <cellStyle name="40% - Accent6 3 2 2" xfId="586"/>
    <cellStyle name="40% - Accent6 3 2 2 2" xfId="2080"/>
    <cellStyle name="40% - Accent6 3 2 2 3" xfId="2744"/>
    <cellStyle name="40% - Accent6 3 2 3" xfId="591"/>
    <cellStyle name="40% - Accent6 3 2 3 2" xfId="2081"/>
    <cellStyle name="40% - Accent6 3 2 3 3" xfId="2745"/>
    <cellStyle name="40% - Accent6 3 2 4" xfId="2079"/>
    <cellStyle name="40% - Accent6 3 2 5" xfId="2743"/>
    <cellStyle name="40% - Accent6 3 3" xfId="70"/>
    <cellStyle name="40% - Accent6 3 3 2" xfId="2082"/>
    <cellStyle name="40% - Accent6 3 3 3" xfId="2746"/>
    <cellStyle name="40% - Accent6 3 4" xfId="84"/>
    <cellStyle name="40% - Accent6 3 4 2" xfId="2083"/>
    <cellStyle name="40% - Accent6 3 4 3" xfId="2747"/>
    <cellStyle name="40% - Accent6 3 5" xfId="2078"/>
    <cellStyle name="40% - Accent6 3 6" xfId="2742"/>
    <cellStyle name="40% - Accent6 4" xfId="152"/>
    <cellStyle name="40% - Accent6 4 2" xfId="160"/>
    <cellStyle name="40% - Accent6 4 2 2" xfId="2085"/>
    <cellStyle name="40% - Accent6 4 2 3" xfId="2749"/>
    <cellStyle name="40% - Accent6 4 3" xfId="165"/>
    <cellStyle name="40% - Accent6 4 3 2" xfId="2086"/>
    <cellStyle name="40% - Accent6 4 3 3" xfId="2750"/>
    <cellStyle name="40% - Accent6 4 4" xfId="2084"/>
    <cellStyle name="40% - Accent6 4 5" xfId="2748"/>
    <cellStyle name="40% - Accent6 5" xfId="175"/>
    <cellStyle name="40% - Accent6 5 2" xfId="181"/>
    <cellStyle name="40% - Accent6 5 2 2" xfId="2088"/>
    <cellStyle name="40% - Accent6 5 2 3" xfId="2752"/>
    <cellStyle name="40% - Accent6 5 3" xfId="189"/>
    <cellStyle name="40% - Accent6 5 3 2" xfId="2089"/>
    <cellStyle name="40% - Accent6 5 3 3" xfId="2753"/>
    <cellStyle name="40% - Accent6 5 4" xfId="2087"/>
    <cellStyle name="40% - Accent6 5 5" xfId="2751"/>
    <cellStyle name="40% - Accent6 6" xfId="201"/>
    <cellStyle name="40% - Accent6 6 2" xfId="2090"/>
    <cellStyle name="40% - Accent6 6 3" xfId="2754"/>
    <cellStyle name="40% - Accent6 7" xfId="833"/>
    <cellStyle name="40% - Accent6 7 2" xfId="2091"/>
    <cellStyle name="40% - Accent6 7 3" xfId="2755"/>
    <cellStyle name="40% - Accent6 8" xfId="835"/>
    <cellStyle name="40% - Accent6 8 2" xfId="2092"/>
    <cellStyle name="40% - Accent6 8 3" xfId="2756"/>
    <cellStyle name="40% - Accent6 9" xfId="2726"/>
    <cellStyle name="40% - Énfasis1" xfId="837"/>
    <cellStyle name="40% - Énfasis2" xfId="839"/>
    <cellStyle name="40% - Énfasis3" xfId="841"/>
    <cellStyle name="40% - Énfasis4" xfId="843"/>
    <cellStyle name="40% - Énfasis5" xfId="844"/>
    <cellStyle name="40% - Énfasis6" xfId="227"/>
    <cellStyle name="60 % - Accent1" xfId="845"/>
    <cellStyle name="60 % - Accent1 2" xfId="86"/>
    <cellStyle name="60 % - Accent1 2 2" xfId="2094"/>
    <cellStyle name="60 % - Accent1 3" xfId="93"/>
    <cellStyle name="60 % - Accent1 3 2" xfId="2095"/>
    <cellStyle name="60 % - Accent1 4" xfId="113"/>
    <cellStyle name="60 % - Accent1 4 2" xfId="2096"/>
    <cellStyle name="60 % - Accent1 5" xfId="2093"/>
    <cellStyle name="60 % - Accent2" xfId="847"/>
    <cellStyle name="60 % - Accent2 2" xfId="849"/>
    <cellStyle name="60 % - Accent2 2 2" xfId="2098"/>
    <cellStyle name="60 % - Accent2 3" xfId="626"/>
    <cellStyle name="60 % - Accent2 3 2" xfId="2099"/>
    <cellStyle name="60 % - Accent2 4" xfId="633"/>
    <cellStyle name="60 % - Accent2 4 2" xfId="2100"/>
    <cellStyle name="60 % - Accent2 5" xfId="2097"/>
    <cellStyle name="60 % - Accent3" xfId="851"/>
    <cellStyle name="60 % - Accent3 2" xfId="853"/>
    <cellStyle name="60 % - Accent3 2 2" xfId="2102"/>
    <cellStyle name="60 % - Accent3 3" xfId="639"/>
    <cellStyle name="60 % - Accent3 3 2" xfId="2103"/>
    <cellStyle name="60 % - Accent3 4" xfId="641"/>
    <cellStyle name="60 % - Accent3 4 2" xfId="2104"/>
    <cellStyle name="60 % - Accent3 5" xfId="2101"/>
    <cellStyle name="60 % - Accent4" xfId="854"/>
    <cellStyle name="60 % - Accent4 2" xfId="855"/>
    <cellStyle name="60 % - Accent4 2 2" xfId="2106"/>
    <cellStyle name="60 % - Accent4 3" xfId="645"/>
    <cellStyle name="60 % - Accent4 3 2" xfId="2107"/>
    <cellStyle name="60 % - Accent4 4" xfId="647"/>
    <cellStyle name="60 % - Accent4 4 2" xfId="2108"/>
    <cellStyle name="60 % - Accent4 5" xfId="2105"/>
    <cellStyle name="60 % - Accent5" xfId="856"/>
    <cellStyle name="60 % - Accent5 2" xfId="540"/>
    <cellStyle name="60 % - Accent5 2 2" xfId="2110"/>
    <cellStyle name="60 % - Accent5 3" xfId="542"/>
    <cellStyle name="60 % - Accent5 3 2" xfId="2111"/>
    <cellStyle name="60 % - Accent5 4" xfId="549"/>
    <cellStyle name="60 % - Accent5 4 2" xfId="2112"/>
    <cellStyle name="60 % - Accent5 5" xfId="2109"/>
    <cellStyle name="60 % - Accent6" xfId="857"/>
    <cellStyle name="60 % - Accent6 2" xfId="560"/>
    <cellStyle name="60 % - Accent6 2 2" xfId="2114"/>
    <cellStyle name="60 % - Accent6 3" xfId="562"/>
    <cellStyle name="60 % - Accent6 3 2" xfId="2115"/>
    <cellStyle name="60 % - Accent6 4" xfId="858"/>
    <cellStyle name="60 % - Accent6 4 2" xfId="2116"/>
    <cellStyle name="60 % - Accent6 5" xfId="2113"/>
    <cellStyle name="60% - Accent1" xfId="1629" builtinId="32" customBuiltin="1"/>
    <cellStyle name="60% - Accent1 2" xfId="861"/>
    <cellStyle name="60% - Accent1 3" xfId="863"/>
    <cellStyle name="60% - Accent1 3 2" xfId="2117"/>
    <cellStyle name="60% - Accent2" xfId="1632" builtinId="36" customBuiltin="1"/>
    <cellStyle name="60% - Accent2 2" xfId="308"/>
    <cellStyle name="60% - Accent2 3" xfId="312"/>
    <cellStyle name="60% - Accent2 3 2" xfId="2118"/>
    <cellStyle name="60% - Accent3 2" xfId="48"/>
    <cellStyle name="60% - Accent3 3" xfId="332"/>
    <cellStyle name="60% - Accent3 3 2" xfId="2119"/>
    <cellStyle name="60% - Accent3 4" xfId="663"/>
    <cellStyle name="60% - Accent3 4 2" xfId="2120"/>
    <cellStyle name="60% - Accent4 2" xfId="704"/>
    <cellStyle name="60% - Accent4 3" xfId="706"/>
    <cellStyle name="60% - Accent4 3 2" xfId="2121"/>
    <cellStyle name="60% - Accent4 4" xfId="709"/>
    <cellStyle name="60% - Accent4 4 2" xfId="2122"/>
    <cellStyle name="60% - Accent5" xfId="1639" builtinId="48" customBuiltin="1"/>
    <cellStyle name="60% - Accent5 2" xfId="393"/>
    <cellStyle name="60% - Accent5 3" xfId="727"/>
    <cellStyle name="60% - Accent5 3 2" xfId="2123"/>
    <cellStyle name="60% - Accent6 2" xfId="736"/>
    <cellStyle name="60% - Accent6 3" xfId="741"/>
    <cellStyle name="60% - Accent6 3 2" xfId="2124"/>
    <cellStyle name="60% - Accent6 4" xfId="760"/>
    <cellStyle name="60% - Accent6 4 2" xfId="2125"/>
    <cellStyle name="60% - Énfasis1" xfId="865"/>
    <cellStyle name="60% - Énfasis2" xfId="40"/>
    <cellStyle name="60% - Énfasis3" xfId="75"/>
    <cellStyle name="60% - Énfasis4" xfId="92"/>
    <cellStyle name="60% - Énfasis5" xfId="103"/>
    <cellStyle name="60% - Énfasis6" xfId="64"/>
    <cellStyle name="_x0002_-_x0002_Ä_x0001_‡_x0003_0_x0002_P_x0003_ _x0002_X_x0003_·_x0002_®_x0003_@_x0002_p_x0003_ª_x0002_¨_x0010_!_x0002__x0003_&quot;_x0001_ÄÇ_x0002__x000e__x0003_ _x0002_é_x0002_Ä_x0001_‡_x0003_Ë_x0002_H_x0003_ _x0002_X" xfId="867"/>
    <cellStyle name="Accent1" xfId="1627" builtinId="29" customBuiltin="1"/>
    <cellStyle name="Accent1 2" xfId="587"/>
    <cellStyle name="Accent1 2 2" xfId="870"/>
    <cellStyle name="Accent1 3" xfId="592"/>
    <cellStyle name="Accent2" xfId="1630" builtinId="33" customBuiltin="1"/>
    <cellStyle name="Accent2 2" xfId="871"/>
    <cellStyle name="Accent2 2 2" xfId="123"/>
    <cellStyle name="Accent2 3" xfId="872"/>
    <cellStyle name="Accent3" xfId="1633" builtinId="37" customBuiltin="1"/>
    <cellStyle name="Accent3 2" xfId="873"/>
    <cellStyle name="Accent3 2 2" xfId="874"/>
    <cellStyle name="Accent3 3" xfId="875"/>
    <cellStyle name="Accent4" xfId="1634" builtinId="41" customBuiltin="1"/>
    <cellStyle name="Accent4 2" xfId="122"/>
    <cellStyle name="Accent4 2 2" xfId="877"/>
    <cellStyle name="Accent4 3" xfId="878"/>
    <cellStyle name="Accent5" xfId="1636" builtinId="45" customBuiltin="1"/>
    <cellStyle name="Accent5 2" xfId="635"/>
    <cellStyle name="Accent5 2 2" xfId="879"/>
    <cellStyle name="Accent5 3" xfId="881"/>
    <cellStyle name="Accent6" xfId="1640" builtinId="49" customBuiltin="1"/>
    <cellStyle name="Accent6 2" xfId="876"/>
    <cellStyle name="Accent6 2 2" xfId="883"/>
    <cellStyle name="Accent6 3" xfId="884"/>
    <cellStyle name="Avertissement" xfId="885"/>
    <cellStyle name="Avertissement 2" xfId="887"/>
    <cellStyle name="Avertissement 3" xfId="893"/>
    <cellStyle name="Avertissement 4" xfId="897"/>
    <cellStyle name="Bad" xfId="1617" builtinId="27" customBuiltin="1"/>
    <cellStyle name="Bad 2" xfId="898"/>
    <cellStyle name="Bad 3" xfId="899"/>
    <cellStyle name="Buena" xfId="900"/>
    <cellStyle name="Calcul" xfId="495"/>
    <cellStyle name="Calcul 2" xfId="501"/>
    <cellStyle name="Calcul 3" xfId="508"/>
    <cellStyle name="Calcul 4" xfId="619"/>
    <cellStyle name="Calculation" xfId="1621" builtinId="22" customBuiltin="1"/>
    <cellStyle name="Calculation 2" xfId="904"/>
    <cellStyle name="Calculation 3" xfId="906"/>
    <cellStyle name="Cálculo" xfId="908"/>
    <cellStyle name="Celda de comprobación" xfId="909"/>
    <cellStyle name="Celda vinculada" xfId="914"/>
    <cellStyle name="Cellule liée" xfId="783"/>
    <cellStyle name="Cellule liée 2" xfId="249"/>
    <cellStyle name="Cellule liée 3" xfId="915"/>
    <cellStyle name="Cellule liée 4" xfId="916"/>
    <cellStyle name="Check Cell" xfId="1623" builtinId="23" customBuiltin="1"/>
    <cellStyle name="Check Cell 2" xfId="917"/>
    <cellStyle name="Check Cell 3" xfId="918"/>
    <cellStyle name="Comma" xfId="4" builtinId="3"/>
    <cellStyle name="Comma [0] 10" xfId="920"/>
    <cellStyle name="Comma [0] 11" xfId="57"/>
    <cellStyle name="Comma [0] 2" xfId="924"/>
    <cellStyle name="Comma [0] 2 2" xfId="927"/>
    <cellStyle name="Comma [0] 2 2 2" xfId="930"/>
    <cellStyle name="Comma [0] 2 2 2 2" xfId="144"/>
    <cellStyle name="Comma [0] 2 2 2 3" xfId="156"/>
    <cellStyle name="Comma [0] 2 2 3" xfId="931"/>
    <cellStyle name="Comma [0] 2 2 3 2" xfId="521"/>
    <cellStyle name="Comma [0] 2 2 3 3" xfId="933"/>
    <cellStyle name="Comma [0] 2 2 4" xfId="934"/>
    <cellStyle name="Comma [0] 2 2 5" xfId="599"/>
    <cellStyle name="Comma [0] 2 3" xfId="936"/>
    <cellStyle name="Comma [0] 2 3 2" xfId="911"/>
    <cellStyle name="Comma [0] 2 3 2 2" xfId="937"/>
    <cellStyle name="Comma [0] 2 3 2 3" xfId="901"/>
    <cellStyle name="Comma [0] 2 3 3" xfId="939"/>
    <cellStyle name="Comma [0] 2 3 4" xfId="941"/>
    <cellStyle name="Comma [0] 2 4" xfId="944"/>
    <cellStyle name="Comma [0] 2 4 2" xfId="945"/>
    <cellStyle name="Comma [0] 2 4 3" xfId="947"/>
    <cellStyle name="Comma [0] 2 5" xfId="949"/>
    <cellStyle name="Comma [0] 2 5 2" xfId="220"/>
    <cellStyle name="Comma [0] 2 5 3" xfId="950"/>
    <cellStyle name="Comma [0] 2 6" xfId="628"/>
    <cellStyle name="Comma [0] 2 6 2" xfId="952"/>
    <cellStyle name="Comma [0] 2 7" xfId="630"/>
    <cellStyle name="Comma [0] 2 8" xfId="954"/>
    <cellStyle name="Comma [0] 3" xfId="531"/>
    <cellStyle name="Comma [0] 3 2" xfId="864"/>
    <cellStyle name="Comma [0] 3 2 2" xfId="500"/>
    <cellStyle name="Comma [0] 3 2 2 2" xfId="507"/>
    <cellStyle name="Comma [0] 3 2 2 3" xfId="516"/>
    <cellStyle name="Comma [0] 3 2 3" xfId="519"/>
    <cellStyle name="Comma [0] 3 2 4" xfId="523"/>
    <cellStyle name="Comma [0] 3 3" xfId="956"/>
    <cellStyle name="Comma [0] 3 3 2" xfId="573"/>
    <cellStyle name="Comma [0] 3 3 3" xfId="576"/>
    <cellStyle name="Comma [0] 3 4" xfId="658"/>
    <cellStyle name="Comma [0] 3 4 2" xfId="957"/>
    <cellStyle name="Comma [0] 3 4 3" xfId="959"/>
    <cellStyle name="Comma [0] 3 5" xfId="469"/>
    <cellStyle name="Comma [0] 3 5 2" xfId="960"/>
    <cellStyle name="Comma [0] 3 6" xfId="961"/>
    <cellStyle name="Comma [0] 3 7" xfId="962"/>
    <cellStyle name="Comma [0] 4" xfId="536"/>
    <cellStyle name="Comma [0] 4 2" xfId="313"/>
    <cellStyle name="Comma [0] 4 2 2" xfId="316"/>
    <cellStyle name="Comma [0] 4 2 3" xfId="319"/>
    <cellStyle name="Comma [0] 4 3" xfId="963"/>
    <cellStyle name="Comma [0] 4 3 2" xfId="369"/>
    <cellStyle name="Comma [0] 4 3 3" xfId="964"/>
    <cellStyle name="Comma [0] 4 4" xfId="965"/>
    <cellStyle name="Comma [0] 4 4 2" xfId="966"/>
    <cellStyle name="Comma [0] 4 4 3" xfId="967"/>
    <cellStyle name="Comma [0] 4 5" xfId="968"/>
    <cellStyle name="Comma [0] 4 5 2" xfId="970"/>
    <cellStyle name="Comma [0] 4 6" xfId="880"/>
    <cellStyle name="Comma [0] 4 7" xfId="971"/>
    <cellStyle name="Comma [0] 5" xfId="974"/>
    <cellStyle name="Comma [0] 5 2" xfId="333"/>
    <cellStyle name="Comma [0] 5 2 2" xfId="975"/>
    <cellStyle name="Comma [0] 5 2 3" xfId="231"/>
    <cellStyle name="Comma [0] 5 3" xfId="664"/>
    <cellStyle name="Comma [0] 5 4" xfId="976"/>
    <cellStyle name="Comma [0] 6" xfId="977"/>
    <cellStyle name="Comma [0] 6 2" xfId="707"/>
    <cellStyle name="Comma [0] 6 3" xfId="710"/>
    <cellStyle name="Comma [0] 7" xfId="978"/>
    <cellStyle name="Comma [0] 7 2" xfId="728"/>
    <cellStyle name="Comma [0] 7 3" xfId="730"/>
    <cellStyle name="Comma [0] 8" xfId="979"/>
    <cellStyle name="Comma [0] 8 2" xfId="742"/>
    <cellStyle name="Comma [0] 8 3" xfId="761"/>
    <cellStyle name="Comma [0] 9" xfId="958"/>
    <cellStyle name="Comma 10" xfId="981"/>
    <cellStyle name="Comma 10 2" xfId="982"/>
    <cellStyle name="Comma 10 2 2" xfId="983"/>
    <cellStyle name="Comma 10 3" xfId="985"/>
    <cellStyle name="Comma 10 3 2" xfId="986"/>
    <cellStyle name="Comma 10 3 3" xfId="988"/>
    <cellStyle name="Comma 10 4" xfId="668"/>
    <cellStyle name="Comma 10 5" xfId="2126"/>
    <cellStyle name="Comma 10 6" xfId="2757"/>
    <cellStyle name="Comma 11" xfId="990"/>
    <cellStyle name="Comma 11 2" xfId="991"/>
    <cellStyle name="Comma 11 2 2" xfId="52"/>
    <cellStyle name="Comma 11 3" xfId="992"/>
    <cellStyle name="Comma 11 4" xfId="695"/>
    <cellStyle name="Comma 12" xfId="993"/>
    <cellStyle name="Comma 12 2" xfId="994"/>
    <cellStyle name="Comma 12 3" xfId="995"/>
    <cellStyle name="Comma 13" xfId="996"/>
    <cellStyle name="Comma 13 2" xfId="997"/>
    <cellStyle name="Comma 13 3" xfId="998"/>
    <cellStyle name="Comma 14" xfId="999"/>
    <cellStyle name="Comma 14 2" xfId="1000"/>
    <cellStyle name="Comma 14 3" xfId="1003"/>
    <cellStyle name="Comma 15" xfId="1005"/>
    <cellStyle name="Comma 15 2" xfId="1007"/>
    <cellStyle name="Comma 15 3" xfId="1008"/>
    <cellStyle name="Comma 16" xfId="1001"/>
    <cellStyle name="Comma 16 2" xfId="1009"/>
    <cellStyle name="Comma 16 3" xfId="388"/>
    <cellStyle name="Comma 17" xfId="1004"/>
    <cellStyle name="Comma 18" xfId="1010"/>
    <cellStyle name="Comma 19" xfId="1012"/>
    <cellStyle name="Comma 2" xfId="1014"/>
    <cellStyle name="Comma 2 10" xfId="1015"/>
    <cellStyle name="Comma 2 2" xfId="118"/>
    <cellStyle name="Comma 2 2 2" xfId="1016"/>
    <cellStyle name="Comma 2 2 2 2" xfId="463"/>
    <cellStyle name="Comma 2 2 2 2 2" xfId="563"/>
    <cellStyle name="Comma 2 2 2 2 2 2" xfId="1018"/>
    <cellStyle name="Comma 2 2 2 2 2 3" xfId="1020"/>
    <cellStyle name="Comma 2 2 2 2 3" xfId="859"/>
    <cellStyle name="Comma 2 2 2 2 4" xfId="1021"/>
    <cellStyle name="Comma 2 2 2 3" xfId="433"/>
    <cellStyle name="Comma 2 2 2 3 2" xfId="1022"/>
    <cellStyle name="Comma 2 2 2 3 3" xfId="1025"/>
    <cellStyle name="Comma 2 2 2 4" xfId="437"/>
    <cellStyle name="Comma 2 2 2 4 2" xfId="1026"/>
    <cellStyle name="Comma 2 2 2 4 3" xfId="1028"/>
    <cellStyle name="Comma 2 2 2 5" xfId="583"/>
    <cellStyle name="Comma 2 2 2 5 2" xfId="1031"/>
    <cellStyle name="Comma 2 2 2 6" xfId="585"/>
    <cellStyle name="Comma 2 2 2 7" xfId="590"/>
    <cellStyle name="Comma 2 2 3" xfId="407"/>
    <cellStyle name="Comma 2 2 3 2" xfId="99"/>
    <cellStyle name="Comma 2 2 3 2 2" xfId="1033"/>
    <cellStyle name="Comma 2 2 3 2 3" xfId="1034"/>
    <cellStyle name="Comma 2 2 3 3" xfId="62"/>
    <cellStyle name="Comma 2 2 3 4" xfId="448"/>
    <cellStyle name="Comma 2 2 4" xfId="411"/>
    <cellStyle name="Comma 2 2 4 2" xfId="6"/>
    <cellStyle name="Comma 2 2 4 2 2" xfId="820"/>
    <cellStyle name="Comma 2 2 4 2 3" xfId="822"/>
    <cellStyle name="Comma 2 2 4 3" xfId="824"/>
    <cellStyle name="Comma 2 2 4 4" xfId="830"/>
    <cellStyle name="Comma 2 2 5" xfId="603"/>
    <cellStyle name="Comma 2 2 5 2" xfId="71"/>
    <cellStyle name="Comma 2 2 5 3" xfId="85"/>
    <cellStyle name="Comma 2 2 6" xfId="1035"/>
    <cellStyle name="Comma 2 2 6 2" xfId="166"/>
    <cellStyle name="Comma 2 2 7" xfId="1037"/>
    <cellStyle name="Comma 2 2 8" xfId="136"/>
    <cellStyle name="Comma 2 2 9" xfId="140"/>
    <cellStyle name="Comma 2 3" xfId="984"/>
    <cellStyle name="Comma 2 3 2" xfId="1039"/>
    <cellStyle name="Comma 2 3 2 2" xfId="493"/>
    <cellStyle name="Comma 2 3 2 2 2" xfId="868"/>
    <cellStyle name="Comma 2 3 2 2 3" xfId="1040"/>
    <cellStyle name="Comma 2 3 2 3" xfId="1042"/>
    <cellStyle name="Comma 2 3 2 4" xfId="1043"/>
    <cellStyle name="Comma 2 3 3" xfId="1045"/>
    <cellStyle name="Comma 2 3 3 2" xfId="513"/>
    <cellStyle name="Comma 2 3 3 3" xfId="1046"/>
    <cellStyle name="Comma 2 3 4" xfId="1048"/>
    <cellStyle name="Comma 2 3 4 2" xfId="1050"/>
    <cellStyle name="Comma 2 3 4 3" xfId="1052"/>
    <cellStyle name="Comma 2 3 5" xfId="925"/>
    <cellStyle name="Comma 2 3 5 2" xfId="928"/>
    <cellStyle name="Comma 2 3 6" xfId="532"/>
    <cellStyle name="Comma 2 3 7" xfId="537"/>
    <cellStyle name="Comma 2 4" xfId="1053"/>
    <cellStyle name="Comma 2 4 2" xfId="1054"/>
    <cellStyle name="Comma 2 4 2 2" xfId="568"/>
    <cellStyle name="Comma 2 4 2 3" xfId="1023"/>
    <cellStyle name="Comma 2 4 3" xfId="1055"/>
    <cellStyle name="Comma 2 4 3 2" xfId="111"/>
    <cellStyle name="Comma 2 4 3 3" xfId="1027"/>
    <cellStyle name="Comma 2 4 4" xfId="1057"/>
    <cellStyle name="Comma 2 4 4 2" xfId="1059"/>
    <cellStyle name="Comma 2 4 4 3" xfId="1032"/>
    <cellStyle name="Comma 2 4 5" xfId="1063"/>
    <cellStyle name="Comma 2 4 5 2" xfId="1065"/>
    <cellStyle name="Comma 2 4 6" xfId="1069"/>
    <cellStyle name="Comma 2 4 7" xfId="1073"/>
    <cellStyle name="Comma 2 4 8" xfId="1075"/>
    <cellStyle name="Comma 2 5" xfId="912"/>
    <cellStyle name="Comma 2 5 2" xfId="938"/>
    <cellStyle name="Comma 2 5 2 2" xfId="759"/>
    <cellStyle name="Comma 2 5 2 3" xfId="1077"/>
    <cellStyle name="Comma 2 5 3" xfId="902"/>
    <cellStyle name="Comma 2 5 4" xfId="1079"/>
    <cellStyle name="Comma 2 6" xfId="940"/>
    <cellStyle name="Comma 2 6 2" xfId="1080"/>
    <cellStyle name="Comma 2 6 3" xfId="1082"/>
    <cellStyle name="Comma 2 7" xfId="942"/>
    <cellStyle name="Comma 2 7 2" xfId="1083"/>
    <cellStyle name="Comma 2 7 3" xfId="1084"/>
    <cellStyle name="Comma 2 8" xfId="1086"/>
    <cellStyle name="Comma 2 8 2" xfId="1087"/>
    <cellStyle name="Comma 2 9" xfId="1088"/>
    <cellStyle name="Comma 20" xfId="1006"/>
    <cellStyle name="Comma 21" xfId="1002"/>
    <cellStyle name="Comma 3" xfId="1090"/>
    <cellStyle name="Comma 3 10" xfId="1091"/>
    <cellStyle name="Comma 3 2" xfId="1092"/>
    <cellStyle name="Comma 3 2 2" xfId="1093"/>
    <cellStyle name="Comma 3 2 2 2" xfId="1094"/>
    <cellStyle name="Comma 3 2 2 2 2" xfId="606"/>
    <cellStyle name="Comma 3 2 2 2 3" xfId="264"/>
    <cellStyle name="Comma 3 2 2 3" xfId="479"/>
    <cellStyle name="Comma 3 2 2 4" xfId="482"/>
    <cellStyle name="Comma 3 2 3" xfId="88"/>
    <cellStyle name="Comma 3 2 3 2" xfId="608"/>
    <cellStyle name="Comma 3 2 3 3" xfId="485"/>
    <cellStyle name="Comma 3 2 4" xfId="96"/>
    <cellStyle name="Comma 3 2 4 2" xfId="106"/>
    <cellStyle name="Comma 3 2 4 3" xfId="117"/>
    <cellStyle name="Comma 3 2 5" xfId="60"/>
    <cellStyle name="Comma 3 2 5 2" xfId="1095"/>
    <cellStyle name="Comma 3 2 6" xfId="1096"/>
    <cellStyle name="Comma 3 2 7" xfId="39"/>
    <cellStyle name="Comma 3 2 8" xfId="148"/>
    <cellStyle name="Comma 3 3" xfId="987"/>
    <cellStyle name="Comma 3 3 2" xfId="1098"/>
    <cellStyle name="Comma 3 3 2 2" xfId="1100"/>
    <cellStyle name="Comma 3 3 2 3" xfId="426"/>
    <cellStyle name="Comma 3 3 3" xfId="133"/>
    <cellStyle name="Comma 3 3 3 2" xfId="1101"/>
    <cellStyle name="Comma 3 3 3 3" xfId="465"/>
    <cellStyle name="Comma 3 3 4" xfId="9"/>
    <cellStyle name="Comma 3 3 4 2" xfId="135"/>
    <cellStyle name="Comma 3 3 4 3" xfId="138"/>
    <cellStyle name="Comma 3 3 5" xfId="142"/>
    <cellStyle name="Comma 3 3 5 2" xfId="972"/>
    <cellStyle name="Comma 3 3 6" xfId="1102"/>
    <cellStyle name="Comma 3 3 7" xfId="1104"/>
    <cellStyle name="Comma 3 3 8" xfId="907"/>
    <cellStyle name="Comma 3 4" xfId="989"/>
    <cellStyle name="Comma 3 4 2" xfId="921"/>
    <cellStyle name="Comma 3 4 2 2" xfId="1105"/>
    <cellStyle name="Comma 3 4 2 3" xfId="1107"/>
    <cellStyle name="Comma 3 4 3" xfId="58"/>
    <cellStyle name="Comma 3 4 4" xfId="73"/>
    <cellStyle name="Comma 3 5" xfId="946"/>
    <cellStyle name="Comma 3 5 2" xfId="1110"/>
    <cellStyle name="Comma 3 5 3" xfId="163"/>
    <cellStyle name="Comma 3 6" xfId="948"/>
    <cellStyle name="Comma 3 6 2" xfId="1113"/>
    <cellStyle name="Comma 3 6 3" xfId="186"/>
    <cellStyle name="Comma 3 7" xfId="1115"/>
    <cellStyle name="Comma 3 7 2" xfId="256"/>
    <cellStyle name="Comma 3 8" xfId="1116"/>
    <cellStyle name="Comma 3 9" xfId="365"/>
    <cellStyle name="Comma 4" xfId="618"/>
    <cellStyle name="Comma 4 10" xfId="2127"/>
    <cellStyle name="Comma 4 11" xfId="2758"/>
    <cellStyle name="Comma 4 2" xfId="1117"/>
    <cellStyle name="Comma 4 2 2" xfId="1118"/>
    <cellStyle name="Comma 4 2 2 2" xfId="1119"/>
    <cellStyle name="Comma 4 2 2 3" xfId="545"/>
    <cellStyle name="Comma 4 2 3" xfId="502"/>
    <cellStyle name="Comma 4 2 3 2" xfId="611"/>
    <cellStyle name="Comma 4 2 3 3" xfId="552"/>
    <cellStyle name="Comma 4 2 4" xfId="509"/>
    <cellStyle name="Comma 4 2 5" xfId="620"/>
    <cellStyle name="Comma 4 2 6" xfId="767"/>
    <cellStyle name="Comma 4 3" xfId="671"/>
    <cellStyle name="Comma 4 3 2" xfId="675"/>
    <cellStyle name="Comma 4 3 2 2" xfId="1121"/>
    <cellStyle name="Comma 4 3 2 3" xfId="1019"/>
    <cellStyle name="Comma 4 3 3" xfId="650"/>
    <cellStyle name="Comma 4 3 4" xfId="773"/>
    <cellStyle name="Comma 4 3 5" xfId="778"/>
    <cellStyle name="Comma 4 3 6" xfId="2128"/>
    <cellStyle name="Comma 4 3 7" xfId="2759"/>
    <cellStyle name="Comma 4 4" xfId="216"/>
    <cellStyle name="Comma 4 4 2" xfId="1122"/>
    <cellStyle name="Comma 4 4 3" xfId="1123"/>
    <cellStyle name="Comma 4 4 4" xfId="784"/>
    <cellStyle name="Comma 4 5" xfId="221"/>
    <cellStyle name="Comma 4 5 2" xfId="1124"/>
    <cellStyle name="Comma 4 5 3" xfId="1125"/>
    <cellStyle name="Comma 4 6" xfId="951"/>
    <cellStyle name="Comma 4 6 2" xfId="1128"/>
    <cellStyle name="Comma 4 7" xfId="1129"/>
    <cellStyle name="Comma 4 8" xfId="1130"/>
    <cellStyle name="Comma 4 9" xfId="392"/>
    <cellStyle name="Comma 5" xfId="766"/>
    <cellStyle name="Comma 5 2" xfId="1132"/>
    <cellStyle name="Comma 5 2 2" xfId="32"/>
    <cellStyle name="Comma 5 2 2 2" xfId="667"/>
    <cellStyle name="Comma 5 2 2 3" xfId="693"/>
    <cellStyle name="Comma 5 2 3" xfId="28"/>
    <cellStyle name="Comma 5 2 4" xfId="108"/>
    <cellStyle name="Comma 5 2 5" xfId="119"/>
    <cellStyle name="Comma 5 3" xfId="679"/>
    <cellStyle name="Comma 5 3 2" xfId="14"/>
    <cellStyle name="Comma 5 3 3" xfId="1133"/>
    <cellStyle name="Comma 5 3 4" xfId="1134"/>
    <cellStyle name="Comma 5 3 5" xfId="2129"/>
    <cellStyle name="Comma 5 3 6" xfId="2760"/>
    <cellStyle name="Comma 5 4" xfId="681"/>
    <cellStyle name="Comma 5 4 2" xfId="836"/>
    <cellStyle name="Comma 5 4 3" xfId="838"/>
    <cellStyle name="Comma 5 5" xfId="953"/>
    <cellStyle name="Comma 5 5 2" xfId="1135"/>
    <cellStyle name="Comma 5 6" xfId="1136"/>
    <cellStyle name="Comma 5 7" xfId="1137"/>
    <cellStyle name="Comma 5 8" xfId="746"/>
    <cellStyle name="Comma 6" xfId="1139"/>
    <cellStyle name="Comma 6 2" xfId="1140"/>
    <cellStyle name="Comma 6 2 2" xfId="1142"/>
    <cellStyle name="Comma 6 2 2 2" xfId="1085"/>
    <cellStyle name="Comma 6 2 3" xfId="1143"/>
    <cellStyle name="Comma 6 2 4" xfId="1144"/>
    <cellStyle name="Comma 6 3" xfId="684"/>
    <cellStyle name="Comma 6 3 2" xfId="206"/>
    <cellStyle name="Comma 6 3 3" xfId="1147"/>
    <cellStyle name="Comma 6 3 4" xfId="1148"/>
    <cellStyle name="Comma 6 4" xfId="686"/>
    <cellStyle name="Comma 6 4 2" xfId="891"/>
    <cellStyle name="Comma 6 4 3" xfId="896"/>
    <cellStyle name="Comma 6 5" xfId="1149"/>
    <cellStyle name="Comma 6 5 2" xfId="1152"/>
    <cellStyle name="Comma 6 6" xfId="1153"/>
    <cellStyle name="Comma 6 7" xfId="1154"/>
    <cellStyle name="Comma 6 8" xfId="1155"/>
    <cellStyle name="Comma 7" xfId="1156"/>
    <cellStyle name="Comma 7 2" xfId="1157"/>
    <cellStyle name="Comma 7 2 2" xfId="1061"/>
    <cellStyle name="Comma 7 2 3" xfId="1067"/>
    <cellStyle name="Comma 7 2 4" xfId="1071"/>
    <cellStyle name="Comma 7 3" xfId="688"/>
    <cellStyle name="Comma 7 3 2" xfId="1160"/>
    <cellStyle name="Comma 7 3 3" xfId="1162"/>
    <cellStyle name="Comma 7 4" xfId="690"/>
    <cellStyle name="Comma 7 4 2" xfId="910"/>
    <cellStyle name="Comma 7 4 3" xfId="1163"/>
    <cellStyle name="Comma 7 5" xfId="1164"/>
    <cellStyle name="Comma 7 5 2" xfId="813"/>
    <cellStyle name="Comma 7 6" xfId="293"/>
    <cellStyle name="Comma 7 7" xfId="301"/>
    <cellStyle name="Comma 7 8" xfId="303"/>
    <cellStyle name="Comma 8" xfId="1166"/>
    <cellStyle name="Comma 8 2" xfId="1168"/>
    <cellStyle name="Comma 8 2 2" xfId="82"/>
    <cellStyle name="Comma 8 2 3" xfId="1169"/>
    <cellStyle name="Comma 8 2 4" xfId="1170"/>
    <cellStyle name="Comma 8 3" xfId="869"/>
    <cellStyle name="Comma 8 3 2" xfId="172"/>
    <cellStyle name="Comma 8 3 3" xfId="1171"/>
    <cellStyle name="Comma 8 4" xfId="1041"/>
    <cellStyle name="Comma 8 4 2" xfId="198"/>
    <cellStyle name="Comma 8 4 3" xfId="1172"/>
    <cellStyle name="Comma 8 5" xfId="1173"/>
    <cellStyle name="Comma 8 5 2" xfId="224"/>
    <cellStyle name="Comma 8 6" xfId="42"/>
    <cellStyle name="Comma 8 7" xfId="306"/>
    <cellStyle name="Comma 8 8" xfId="1175"/>
    <cellStyle name="Comma 9" xfId="922"/>
    <cellStyle name="Comma 9 2" xfId="1106"/>
    <cellStyle name="Comma 9 2 2" xfId="790"/>
    <cellStyle name="Comma 9 2 3" xfId="1176"/>
    <cellStyle name="Comma 9 2 4" xfId="1177"/>
    <cellStyle name="Comma 9 3" xfId="1108"/>
    <cellStyle name="Comma 9 4" xfId="556"/>
    <cellStyle name="Comma 9 5" xfId="1178"/>
    <cellStyle name="Commentaire" xfId="452"/>
    <cellStyle name="Commentaire 2" xfId="94"/>
    <cellStyle name="Commentaire_Balance Sheet" xfId="1179"/>
    <cellStyle name="Currency" xfId="16" builtinId="4"/>
    <cellStyle name="Currency [0] 10" xfId="1180"/>
    <cellStyle name="Currency [0] 11" xfId="1182"/>
    <cellStyle name="Currency [0] 2" xfId="1145"/>
    <cellStyle name="Currency [0] 2 2" xfId="1183"/>
    <cellStyle name="Currency [0] 2 2 2" xfId="1184"/>
    <cellStyle name="Currency [0] 2 2 2 2" xfId="230"/>
    <cellStyle name="Currency [0] 2 2 2 3" xfId="1111"/>
    <cellStyle name="Currency [0] 2 2 3" xfId="1185"/>
    <cellStyle name="Currency [0] 2 2 3 2" xfId="1186"/>
    <cellStyle name="Currency [0] 2 2 3 3" xfId="252"/>
    <cellStyle name="Currency [0] 2 2 4" xfId="259"/>
    <cellStyle name="Currency [0] 2 2 5" xfId="268"/>
    <cellStyle name="Currency [0] 2 3" xfId="1187"/>
    <cellStyle name="Currency [0] 2 3 2" xfId="1188"/>
    <cellStyle name="Currency [0] 2 3 2 2" xfId="1189"/>
    <cellStyle name="Currency [0] 2 3 2 3" xfId="1127"/>
    <cellStyle name="Currency [0] 2 3 3" xfId="1190"/>
    <cellStyle name="Currency [0] 2 3 4" xfId="337"/>
    <cellStyle name="Currency [0] 2 4" xfId="1192"/>
    <cellStyle name="Currency [0] 2 4 2" xfId="1193"/>
    <cellStyle name="Currency [0] 2 4 3" xfId="882"/>
    <cellStyle name="Currency [0] 2 5" xfId="1194"/>
    <cellStyle name="Currency [0] 2 5 2" xfId="1195"/>
    <cellStyle name="Currency [0] 2 5 3" xfId="1196"/>
    <cellStyle name="Currency [0] 2 6" xfId="1197"/>
    <cellStyle name="Currency [0] 2 6 2" xfId="817"/>
    <cellStyle name="Currency [0] 2 7" xfId="1199"/>
    <cellStyle name="Currency [0] 2 8" xfId="1200"/>
    <cellStyle name="Currency [0] 3" xfId="1201"/>
    <cellStyle name="Currency [0] 3 2" xfId="1202"/>
    <cellStyle name="Currency [0] 3 2 2" xfId="1204"/>
    <cellStyle name="Currency [0] 3 2 2 2" xfId="202"/>
    <cellStyle name="Currency [0] 3 2 2 3" xfId="834"/>
    <cellStyle name="Currency [0] 3 2 3" xfId="1205"/>
    <cellStyle name="Currency [0] 3 2 4" xfId="1206"/>
    <cellStyle name="Currency [0] 3 3" xfId="1207"/>
    <cellStyle name="Currency [0] 3 3 2" xfId="1209"/>
    <cellStyle name="Currency [0] 3 3 3" xfId="1210"/>
    <cellStyle name="Currency [0] 3 4" xfId="1211"/>
    <cellStyle name="Currency [0] 3 4 2" xfId="846"/>
    <cellStyle name="Currency [0] 3 4 3" xfId="850"/>
    <cellStyle name="Currency [0] 3 5" xfId="1212"/>
    <cellStyle name="Currency [0] 3 5 2" xfId="1213"/>
    <cellStyle name="Currency [0] 3 6" xfId="1214"/>
    <cellStyle name="Currency [0] 3 7" xfId="1215"/>
    <cellStyle name="Currency [0] 4" xfId="1216"/>
    <cellStyle name="Currency [0] 4 2" xfId="1217"/>
    <cellStyle name="Currency [0] 4 2 2" xfId="1218"/>
    <cellStyle name="Currency [0] 4 2 3" xfId="546"/>
    <cellStyle name="Currency [0] 4 3" xfId="503"/>
    <cellStyle name="Currency [0] 4 3 2" xfId="612"/>
    <cellStyle name="Currency [0] 4 3 3" xfId="553"/>
    <cellStyle name="Currency [0] 4 4" xfId="510"/>
    <cellStyle name="Currency [0] 4 4 2" xfId="615"/>
    <cellStyle name="Currency [0] 4 4 3" xfId="764"/>
    <cellStyle name="Currency [0] 4 5" xfId="621"/>
    <cellStyle name="Currency [0] 4 5 2" xfId="1219"/>
    <cellStyle name="Currency [0] 4 6" xfId="768"/>
    <cellStyle name="Currency [0] 4 7" xfId="1220"/>
    <cellStyle name="Currency [0] 5" xfId="672"/>
    <cellStyle name="Currency [0] 5 2" xfId="676"/>
    <cellStyle name="Currency [0] 5 2 2" xfId="1221"/>
    <cellStyle name="Currency [0] 5 2 3" xfId="1222"/>
    <cellStyle name="Currency [0] 5 3" xfId="651"/>
    <cellStyle name="Currency [0] 5 4" xfId="775"/>
    <cellStyle name="Currency [0] 6" xfId="217"/>
    <cellStyle name="Currency [0] 6 2" xfId="1223"/>
    <cellStyle name="Currency [0] 6 3" xfId="1224"/>
    <cellStyle name="Currency [0] 7" xfId="222"/>
    <cellStyle name="Currency [0] 7 2" xfId="1226"/>
    <cellStyle name="Currency [0] 7 3" xfId="1227"/>
    <cellStyle name="Currency [0] 8" xfId="1228"/>
    <cellStyle name="Currency [0] 8 2" xfId="1126"/>
    <cellStyle name="Currency [0] 8 3" xfId="1229"/>
    <cellStyle name="Currency [0] 9" xfId="1230"/>
    <cellStyle name="Currency 10" xfId="104"/>
    <cellStyle name="Currency 10 2" xfId="1231"/>
    <cellStyle name="Currency 10 3" xfId="1232"/>
    <cellStyle name="Currency 11" xfId="115"/>
    <cellStyle name="Currency 11 2" xfId="1234"/>
    <cellStyle name="Currency 11 3" xfId="408"/>
    <cellStyle name="Currency 12" xfId="1236"/>
    <cellStyle name="Currency 12 2" xfId="1237"/>
    <cellStyle name="Currency 12 3" xfId="1238"/>
    <cellStyle name="Currency 13" xfId="1240"/>
    <cellStyle name="Currency 13 2" xfId="1241"/>
    <cellStyle name="Currency 13 3" xfId="1242"/>
    <cellStyle name="Currency 14" xfId="913"/>
    <cellStyle name="Currency 14 2" xfId="1243"/>
    <cellStyle name="Currency 14 3" xfId="1244"/>
    <cellStyle name="Currency 15" xfId="1246"/>
    <cellStyle name="Currency 15 2" xfId="1248"/>
    <cellStyle name="Currency 15 3" xfId="1249"/>
    <cellStyle name="Currency 16" xfId="1250"/>
    <cellStyle name="Currency 17" xfId="1251"/>
    <cellStyle name="Currency 18" xfId="1253"/>
    <cellStyle name="Currency 19" xfId="1255"/>
    <cellStyle name="Currency 2" xfId="1256"/>
    <cellStyle name="Currency 2 10" xfId="1257"/>
    <cellStyle name="Currency 2 2" xfId="1259"/>
    <cellStyle name="Currency 2 2 2" xfId="1260"/>
    <cellStyle name="Currency 2 2 2 2" xfId="932"/>
    <cellStyle name="Currency 2 2 2 3" xfId="886"/>
    <cellStyle name="Currency 2 2 2 4" xfId="892"/>
    <cellStyle name="Currency 2 2 3" xfId="1261"/>
    <cellStyle name="Currency 2 2 3 2" xfId="1262"/>
    <cellStyle name="Currency 2 2 3 3" xfId="1263"/>
    <cellStyle name="Currency 2 2 3 4" xfId="1264"/>
    <cellStyle name="Currency 2 3" xfId="1265"/>
    <cellStyle name="Currency 2 3 2" xfId="1266"/>
    <cellStyle name="Currency 2 3 2 2" xfId="1081"/>
    <cellStyle name="Currency 2 3 2 3" xfId="1267"/>
    <cellStyle name="Currency 2 3 3" xfId="1141"/>
    <cellStyle name="Currency 2 4" xfId="1269"/>
    <cellStyle name="Currency 2 4 2" xfId="179"/>
    <cellStyle name="Currency 2 4 2 2" xfId="184"/>
    <cellStyle name="Currency 2 4 2 3" xfId="192"/>
    <cellStyle name="Currency 2 4 3" xfId="204"/>
    <cellStyle name="Currency 2 4 4" xfId="1146"/>
    <cellStyle name="Currency 2 5" xfId="1272"/>
    <cellStyle name="Currency 2 5 2" xfId="1275"/>
    <cellStyle name="Currency 2 5 3" xfId="890"/>
    <cellStyle name="Currency 2 6" xfId="1278"/>
    <cellStyle name="Currency 2 6 2" xfId="1281"/>
    <cellStyle name="Currency 2 6 3" xfId="1151"/>
    <cellStyle name="Currency 2 7" xfId="1284"/>
    <cellStyle name="Currency 2 7 2" xfId="1286"/>
    <cellStyle name="Currency 2 8" xfId="1289"/>
    <cellStyle name="Currency 2 9" xfId="1291"/>
    <cellStyle name="Currency 20" xfId="1245"/>
    <cellStyle name="Currency 3" xfId="1292"/>
    <cellStyle name="Currency 3 2" xfId="1293"/>
    <cellStyle name="Currency 3 2 2" xfId="1294"/>
    <cellStyle name="Currency 3 2 2 2" xfId="1295"/>
    <cellStyle name="Currency 3 2 2 3" xfId="1296"/>
    <cellStyle name="Currency 3 2 2 4" xfId="1297"/>
    <cellStyle name="Currency 3 2 3" xfId="1298"/>
    <cellStyle name="Currency 3 2 4" xfId="533"/>
    <cellStyle name="Currency 3 2 5" xfId="538"/>
    <cellStyle name="Currency 3 3" xfId="1299"/>
    <cellStyle name="Currency 3 3 2" xfId="1300"/>
    <cellStyle name="Currency 3 3 3" xfId="1060"/>
    <cellStyle name="Currency 3 3 4" xfId="1066"/>
    <cellStyle name="Currency 3 4" xfId="19"/>
    <cellStyle name="Currency 3 4 2" xfId="1302"/>
    <cellStyle name="Currency 3 4 3" xfId="1159"/>
    <cellStyle name="Currency 3 4 4" xfId="1161"/>
    <cellStyle name="Currency 3 4 5" xfId="2130"/>
    <cellStyle name="Currency 3 4 6" xfId="2761"/>
    <cellStyle name="Currency 3 5" xfId="1303"/>
    <cellStyle name="Currency 3 5 2" xfId="1304"/>
    <cellStyle name="Currency 3 6" xfId="1305"/>
    <cellStyle name="Currency 3 7" xfId="1306"/>
    <cellStyle name="Currency 3 8" xfId="1307"/>
    <cellStyle name="Currency 4" xfId="1308"/>
    <cellStyle name="Currency 4 2" xfId="1309"/>
    <cellStyle name="Currency 4 2 2" xfId="1310"/>
    <cellStyle name="Currency 4 2 3" xfId="1311"/>
    <cellStyle name="Currency 4 2 4" xfId="1312"/>
    <cellStyle name="Currency 4 3" xfId="1313"/>
    <cellStyle name="Currency 4 3 2" xfId="1314"/>
    <cellStyle name="Currency 4 3 3" xfId="81"/>
    <cellStyle name="Currency 4 4" xfId="1315"/>
    <cellStyle name="Currency 4 4 2" xfId="1316"/>
    <cellStyle name="Currency 4 4 3" xfId="171"/>
    <cellStyle name="Currency 4 5" xfId="1317"/>
    <cellStyle name="Currency 4 5 2" xfId="1318"/>
    <cellStyle name="Currency 4 6" xfId="1319"/>
    <cellStyle name="Currency 4 7" xfId="1320"/>
    <cellStyle name="Currency 4 8" xfId="53"/>
    <cellStyle name="Currency 5" xfId="1321"/>
    <cellStyle name="Currency 5 10" xfId="2762"/>
    <cellStyle name="Currency 5 2" xfId="770"/>
    <cellStyle name="Currency 5 2 2" xfId="774"/>
    <cellStyle name="Currency 5 2 3" xfId="779"/>
    <cellStyle name="Currency 5 2 4" xfId="1322"/>
    <cellStyle name="Currency 5 3" xfId="781"/>
    <cellStyle name="Currency 5 3 2" xfId="785"/>
    <cellStyle name="Currency 5 3 3" xfId="788"/>
    <cellStyle name="Currency 5 4" xfId="528"/>
    <cellStyle name="Currency 5 4 2" xfId="792"/>
    <cellStyle name="Currency 5 4 3" xfId="795"/>
    <cellStyle name="Currency 5 5" xfId="1324"/>
    <cellStyle name="Currency 5 5 2" xfId="1326"/>
    <cellStyle name="Currency 5 6" xfId="1328"/>
    <cellStyle name="Currency 5 7" xfId="1330"/>
    <cellStyle name="Currency 5 8" xfId="1332"/>
    <cellStyle name="Currency 5 9" xfId="2131"/>
    <cellStyle name="Currency 6" xfId="1333"/>
    <cellStyle name="Currency 6 2" xfId="799"/>
    <cellStyle name="Currency 6 2 2" xfId="1334"/>
    <cellStyle name="Currency 6 2 3" xfId="1336"/>
    <cellStyle name="Currency 6 2 4" xfId="1337"/>
    <cellStyle name="Currency 6 3" xfId="801"/>
    <cellStyle name="Currency 6 3 2" xfId="840"/>
    <cellStyle name="Currency 6 3 3" xfId="842"/>
    <cellStyle name="Currency 6 4" xfId="1339"/>
    <cellStyle name="Currency 6 4 2" xfId="1341"/>
    <cellStyle name="Currency 6 4 3" xfId="1343"/>
    <cellStyle name="Currency 6 5" xfId="1344"/>
    <cellStyle name="Currency 6 5 2" xfId="1345"/>
    <cellStyle name="Currency 6 6" xfId="1346"/>
    <cellStyle name="Currency 6 7" xfId="1347"/>
    <cellStyle name="Currency 6 8" xfId="1348"/>
    <cellStyle name="Currency 7" xfId="1349"/>
    <cellStyle name="Currency 7 2" xfId="749"/>
    <cellStyle name="Currency 7 2 2" xfId="1350"/>
    <cellStyle name="Currency 7 2 3" xfId="1351"/>
    <cellStyle name="Currency 7 2 4" xfId="1131"/>
    <cellStyle name="Currency 7 3" xfId="1352"/>
    <cellStyle name="Currency 7 3 2" xfId="1353"/>
    <cellStyle name="Currency 7 3 3" xfId="1354"/>
    <cellStyle name="Currency 7 4" xfId="1355"/>
    <cellStyle name="Currency 7 4 2" xfId="1356"/>
    <cellStyle name="Currency 7 4 3" xfId="1357"/>
    <cellStyle name="Currency 7 5" xfId="1358"/>
    <cellStyle name="Currency 7 5 2" xfId="1359"/>
    <cellStyle name="Currency 7 6" xfId="1360"/>
    <cellStyle name="Currency 7 7" xfId="1361"/>
    <cellStyle name="Currency 7 8" xfId="1362"/>
    <cellStyle name="Currency 8" xfId="1364"/>
    <cellStyle name="Currency 8 2" xfId="807"/>
    <cellStyle name="Currency 8 2 2" xfId="1365"/>
    <cellStyle name="Currency 8 3" xfId="1367"/>
    <cellStyle name="Currency 8 3 2" xfId="1368"/>
    <cellStyle name="Currency 8 3 3" xfId="1369"/>
    <cellStyle name="Currency 8 4" xfId="1370"/>
    <cellStyle name="Currency 8 5" xfId="2132"/>
    <cellStyle name="Currency 8 6" xfId="2763"/>
    <cellStyle name="Currency 9" xfId="1372"/>
    <cellStyle name="Currency 9 2" xfId="1373"/>
    <cellStyle name="Currency 9 2 2" xfId="1374"/>
    <cellStyle name="Currency 9 3" xfId="1375"/>
    <cellStyle name="Currency 9 4" xfId="1376"/>
    <cellStyle name="Encabezado 4" xfId="1377"/>
    <cellStyle name="Énfasis1" xfId="825"/>
    <cellStyle name="Énfasis2" xfId="827"/>
    <cellStyle name="Énfasis3" xfId="1378"/>
    <cellStyle name="Énfasis4" xfId="1379"/>
    <cellStyle name="Énfasis5" xfId="1380"/>
    <cellStyle name="Énfasis6" xfId="1381"/>
    <cellStyle name="Entrada" xfId="725"/>
    <cellStyle name="Entrée" xfId="1383"/>
    <cellStyle name="Entrée 2" xfId="250"/>
    <cellStyle name="Entrée 3" xfId="1384"/>
    <cellStyle name="Entrée 4" xfId="1385"/>
    <cellStyle name="Euro" xfId="1387"/>
    <cellStyle name="Euro 2" xfId="1388"/>
    <cellStyle name="Explanatory Text" xfId="1625" builtinId="53" customBuiltin="1"/>
    <cellStyle name="Explanatory Text 2" xfId="1389"/>
    <cellStyle name="Explanatory Text 3" xfId="1390"/>
    <cellStyle name="Good" xfId="1616" builtinId="26" customBuiltin="1"/>
    <cellStyle name="Good 2" xfId="1392"/>
    <cellStyle name="Good 3" xfId="1394"/>
    <cellStyle name="Heading 1" xfId="1612" builtinId="16" customBuiltin="1"/>
    <cellStyle name="Heading 1 2" xfId="1395"/>
    <cellStyle name="Heading 1 3" xfId="1396"/>
    <cellStyle name="Heading 2" xfId="1613" builtinId="17" customBuiltin="1"/>
    <cellStyle name="Heading 2 2" xfId="1252"/>
    <cellStyle name="Heading 2 2 2" xfId="1397"/>
    <cellStyle name="Heading 2 2 2 2" xfId="2133"/>
    <cellStyle name="Heading 2 3" xfId="1254"/>
    <cellStyle name="Heading 2 3 2" xfId="1398"/>
    <cellStyle name="Heading 2 3 2 2" xfId="2135"/>
    <cellStyle name="Heading 2 3 3" xfId="2134"/>
    <cellStyle name="Heading 2 4" xfId="1399"/>
    <cellStyle name="Heading 2 4 2" xfId="2136"/>
    <cellStyle name="Heading 3" xfId="1614" builtinId="18" customBuiltin="1"/>
    <cellStyle name="Heading 3 2" xfId="1400"/>
    <cellStyle name="Heading 3 3" xfId="1401"/>
    <cellStyle name="Heading 3 3 2" xfId="2137"/>
    <cellStyle name="Heading 4" xfId="1615" builtinId="19" customBuiltin="1"/>
    <cellStyle name="Heading 4 2" xfId="1402"/>
    <cellStyle name="Heading 4 3" xfId="1258"/>
    <cellStyle name="Hyperlink" xfId="20" builtinId="8"/>
    <cellStyle name="Hyperlink 2" xfId="1301"/>
    <cellStyle name="Hyperlink 3" xfId="1158"/>
    <cellStyle name="Incorrecto" xfId="1403"/>
    <cellStyle name="Input" xfId="1619" builtinId="20" customBuiltin="1"/>
    <cellStyle name="Input 2" xfId="1404"/>
    <cellStyle name="Input 3" xfId="1382"/>
    <cellStyle name="Insatisfaisant" xfId="3"/>
    <cellStyle name="Insatisfaisant 2" xfId="1013"/>
    <cellStyle name="Insatisfaisant 3" xfId="1089"/>
    <cellStyle name="Insatisfaisant 4" xfId="614"/>
    <cellStyle name="Lien hypertexte" xfId="787"/>
    <cellStyle name="Linked Cell" xfId="1622" builtinId="24" customBuiltin="1"/>
    <cellStyle name="Linked Cell 2" xfId="1174"/>
    <cellStyle name="Linked Cell 3" xfId="1405"/>
    <cellStyle name="Milliers" xfId="1338"/>
    <cellStyle name="Milliers 10" xfId="1070"/>
    <cellStyle name="Milliers 2" xfId="1340"/>
    <cellStyle name="Milliers 2 2" xfId="1406"/>
    <cellStyle name="Milliers 2 2 2" xfId="1407"/>
    <cellStyle name="Milliers 2 2 2 2" xfId="1408"/>
    <cellStyle name="Milliers 2 2 2 3" xfId="1409"/>
    <cellStyle name="Milliers 2 2 3" xfId="1410"/>
    <cellStyle name="Milliers 2 2 3 2" xfId="1235"/>
    <cellStyle name="Milliers 2 2 3 3" xfId="1239"/>
    <cellStyle name="Milliers 2 2 4" xfId="1411"/>
    <cellStyle name="Milliers 2 2 5" xfId="669"/>
    <cellStyle name="Milliers 2 3" xfId="1413"/>
    <cellStyle name="Milliers 2 3 2" xfId="1414"/>
    <cellStyle name="Milliers 2 3 2 2" xfId="1415"/>
    <cellStyle name="Milliers 2 3 2 3" xfId="1416"/>
    <cellStyle name="Milliers 2 3 3" xfId="1417"/>
    <cellStyle name="Milliers 2 3 4" xfId="1418"/>
    <cellStyle name="Milliers 2 4" xfId="1421"/>
    <cellStyle name="Milliers 2 4 2" xfId="1181"/>
    <cellStyle name="Milliers 2 4 3" xfId="1422"/>
    <cellStyle name="Milliers 2 5" xfId="1049"/>
    <cellStyle name="Milliers 2 5 2" xfId="1423"/>
    <cellStyle name="Milliers 2 5 3" xfId="1424"/>
    <cellStyle name="Milliers 2 6" xfId="1051"/>
    <cellStyle name="Milliers 2 6 2" xfId="1425"/>
    <cellStyle name="Milliers 2 6 3" xfId="1426"/>
    <cellStyle name="Milliers 2 6 4" xfId="2138"/>
    <cellStyle name="Milliers 2 6 5" xfId="2764"/>
    <cellStyle name="Milliers 2 7" xfId="1427"/>
    <cellStyle name="Milliers 2 8" xfId="1428"/>
    <cellStyle name="Milliers 3" xfId="1342"/>
    <cellStyle name="Milliers 3 2" xfId="1429"/>
    <cellStyle name="Milliers 3 2 2" xfId="1430"/>
    <cellStyle name="Milliers 3 2 2 2" xfId="1431"/>
    <cellStyle name="Milliers 3 2 2 3" xfId="1432"/>
    <cellStyle name="Milliers 3 2 3" xfId="1433"/>
    <cellStyle name="Milliers 3 2 4" xfId="1434"/>
    <cellStyle name="Milliers 3 3" xfId="1435"/>
    <cellStyle name="Milliers 3 3 2" xfId="1436"/>
    <cellStyle name="Milliers 3 3 3" xfId="1437"/>
    <cellStyle name="Milliers 3 4" xfId="1438"/>
    <cellStyle name="Milliers 3 4 2" xfId="1439"/>
    <cellStyle name="Milliers 3 4 3" xfId="1440"/>
    <cellStyle name="Milliers 3 5" xfId="926"/>
    <cellStyle name="Milliers 3 5 2" xfId="929"/>
    <cellStyle name="Milliers 3 6" xfId="935"/>
    <cellStyle name="Milliers 3 7" xfId="943"/>
    <cellStyle name="Milliers 4" xfId="1441"/>
    <cellStyle name="Milliers 4 2" xfId="1011"/>
    <cellStyle name="Milliers 4 2 2" xfId="344"/>
    <cellStyle name="Milliers 4 2 3" xfId="350"/>
    <cellStyle name="Milliers 4 3" xfId="1442"/>
    <cellStyle name="Milliers 4 3 2" xfId="405"/>
    <cellStyle name="Milliers 4 3 3" xfId="414"/>
    <cellStyle name="Milliers 4 4" xfId="860"/>
    <cellStyle name="Milliers 4 4 2" xfId="46"/>
    <cellStyle name="Milliers 4 4 3" xfId="124"/>
    <cellStyle name="Milliers 4 5" xfId="862"/>
    <cellStyle name="Milliers 4 5 2" xfId="498"/>
    <cellStyle name="Milliers 4 6" xfId="955"/>
    <cellStyle name="Milliers 4 7" xfId="656"/>
    <cellStyle name="Milliers 5" xfId="1443"/>
    <cellStyle name="Milliers 5 2" xfId="1444"/>
    <cellStyle name="Milliers 5 2 2" xfId="1446"/>
    <cellStyle name="Milliers 5 2 3" xfId="1448"/>
    <cellStyle name="Milliers 5 3" xfId="1449"/>
    <cellStyle name="Milliers 5 4" xfId="307"/>
    <cellStyle name="Milliers 6" xfId="1450"/>
    <cellStyle name="Milliers 6 2" xfId="1451"/>
    <cellStyle name="Milliers 6 3" xfId="1452"/>
    <cellStyle name="Milliers 7" xfId="1453"/>
    <cellStyle name="Milliers 7 2" xfId="1454"/>
    <cellStyle name="Milliers 7 3" xfId="1455"/>
    <cellStyle name="Milliers 8" xfId="1456"/>
    <cellStyle name="Milliers 8 2" xfId="284"/>
    <cellStyle name="Milliers 9" xfId="353"/>
    <cellStyle name="Milliers_SGC Reporting FRANGO" xfId="76"/>
    <cellStyle name="Monétaire 2" xfId="1271"/>
    <cellStyle name="Monétaire 2 2" xfId="1274"/>
    <cellStyle name="Monétaire 2 2 2" xfId="1457"/>
    <cellStyle name="Monétaire 2 2 3" xfId="1458"/>
    <cellStyle name="Monétaire 2 3" xfId="889"/>
    <cellStyle name="Monétaire 2 4" xfId="895"/>
    <cellStyle name="Monétaire 3" xfId="1277"/>
    <cellStyle name="Monétaire 3 2" xfId="1280"/>
    <cellStyle name="Monétaire 3 3" xfId="1150"/>
    <cellStyle name="Monétaire 4" xfId="1283"/>
    <cellStyle name="Monétaire 4 2" xfId="1285"/>
    <cellStyle name="Monétaire 4 3" xfId="1459"/>
    <cellStyle name="Monétaire 5" xfId="1288"/>
    <cellStyle name="Monétaire 5 2" xfId="1460"/>
    <cellStyle name="Monétaire 5 3" xfId="1461"/>
    <cellStyle name="Neutral" xfId="1618" builtinId="28" customBuiltin="1"/>
    <cellStyle name="Neutral 2" xfId="1462"/>
    <cellStyle name="Neutral 3" xfId="980"/>
    <cellStyle name="Neutre" xfId="67"/>
    <cellStyle name="Neutre 2" xfId="1463"/>
    <cellStyle name="Neutre 3" xfId="1464"/>
    <cellStyle name="Neutre 4" xfId="1465"/>
    <cellStyle name="Normal" xfId="0" builtinId="0"/>
    <cellStyle name="Normal 10" xfId="631"/>
    <cellStyle name="Normal 10 2" xfId="1466"/>
    <cellStyle name="Normal 10 3" xfId="1467"/>
    <cellStyle name="Normal 11" xfId="1468"/>
    <cellStyle name="Normal 11 2" xfId="1469"/>
    <cellStyle name="Normal 11 2 2" xfId="814"/>
    <cellStyle name="Normal 11 2 2 2" xfId="2141"/>
    <cellStyle name="Normal 11 2 2 3" xfId="2767"/>
    <cellStyle name="Normal 11 2 3" xfId="1470"/>
    <cellStyle name="Normal 11 2 3 2" xfId="2142"/>
    <cellStyle name="Normal 11 2 3 3" xfId="2768"/>
    <cellStyle name="Normal 11 2 4" xfId="2140"/>
    <cellStyle name="Normal 11 2 5" xfId="2766"/>
    <cellStyle name="Normal 11 3" xfId="1445"/>
    <cellStyle name="Normal 11 3 2" xfId="1471"/>
    <cellStyle name="Normal 11 3 2 2" xfId="2144"/>
    <cellStyle name="Normal 11 3 2 3" xfId="2770"/>
    <cellStyle name="Normal 11 3 3" xfId="1472"/>
    <cellStyle name="Normal 11 3 3 2" xfId="2145"/>
    <cellStyle name="Normal 11 3 3 3" xfId="2771"/>
    <cellStyle name="Normal 11 3 4" xfId="2143"/>
    <cellStyle name="Normal 11 3 5" xfId="2769"/>
    <cellStyle name="Normal 11 4" xfId="1447"/>
    <cellStyle name="Normal 11 4 2" xfId="1191"/>
    <cellStyle name="Normal 11 4 2 2" xfId="2147"/>
    <cellStyle name="Normal 11 4 2 3" xfId="2773"/>
    <cellStyle name="Normal 11 4 3" xfId="2146"/>
    <cellStyle name="Normal 11 4 4" xfId="2772"/>
    <cellStyle name="Normal 11 5" xfId="1473"/>
    <cellStyle name="Normal 11 5 2" xfId="2148"/>
    <cellStyle name="Normal 11 5 3" xfId="2774"/>
    <cellStyle name="Normal 11 6" xfId="762"/>
    <cellStyle name="Normal 11 6 2" xfId="2149"/>
    <cellStyle name="Normal 11 6 3" xfId="2775"/>
    <cellStyle name="Normal 11 7" xfId="2139"/>
    <cellStyle name="Normal 11 8" xfId="2765"/>
    <cellStyle name="Normal 12" xfId="1474"/>
    <cellStyle name="Normal 12 2" xfId="1475"/>
    <cellStyle name="Normal 12 2 2" xfId="225"/>
    <cellStyle name="Normal 12 2 2 2" xfId="2152"/>
    <cellStyle name="Normal 12 2 2 3" xfId="2778"/>
    <cellStyle name="Normal 12 2 3" xfId="1476"/>
    <cellStyle name="Normal 12 2 3 2" xfId="2153"/>
    <cellStyle name="Normal 12 2 3 3" xfId="2779"/>
    <cellStyle name="Normal 12 2 4" xfId="2151"/>
    <cellStyle name="Normal 12 2 5" xfId="2777"/>
    <cellStyle name="Normal 12 3" xfId="43"/>
    <cellStyle name="Normal 12 3 2" xfId="903"/>
    <cellStyle name="Normal 12 3 2 2" xfId="2155"/>
    <cellStyle name="Normal 12 3 2 3" xfId="2781"/>
    <cellStyle name="Normal 12 3 3" xfId="905"/>
    <cellStyle name="Normal 12 3 3 2" xfId="2156"/>
    <cellStyle name="Normal 12 3 3 3" xfId="2782"/>
    <cellStyle name="Normal 12 3 4" xfId="2154"/>
    <cellStyle name="Normal 12 3 5" xfId="2780"/>
    <cellStyle name="Normal 12 4" xfId="1477"/>
    <cellStyle name="Normal 12 4 2" xfId="1479"/>
    <cellStyle name="Normal 12 4 2 2" xfId="2158"/>
    <cellStyle name="Normal 12 4 2 3" xfId="2784"/>
    <cellStyle name="Normal 12 4 3" xfId="2157"/>
    <cellStyle name="Normal 12 4 4" xfId="2783"/>
    <cellStyle name="Normal 12 5" xfId="1480"/>
    <cellStyle name="Normal 12 5 2" xfId="2159"/>
    <cellStyle name="Normal 12 5 3" xfId="2785"/>
    <cellStyle name="Normal 12 6" xfId="797"/>
    <cellStyle name="Normal 12 6 2" xfId="2160"/>
    <cellStyle name="Normal 12 6 3" xfId="2786"/>
    <cellStyle name="Normal 12 7" xfId="2150"/>
    <cellStyle name="Normal 12 8" xfId="2776"/>
    <cellStyle name="Normal 13" xfId="1482"/>
    <cellStyle name="Normal 13 2" xfId="1483"/>
    <cellStyle name="Normal 13 2 2" xfId="1485"/>
    <cellStyle name="Normal 13 2 2 2" xfId="2163"/>
    <cellStyle name="Normal 13 2 2 3" xfId="2789"/>
    <cellStyle name="Normal 13 2 3" xfId="1487"/>
    <cellStyle name="Normal 13 2 3 2" xfId="2164"/>
    <cellStyle name="Normal 13 2 3 3" xfId="2790"/>
    <cellStyle name="Normal 13 2 4" xfId="2162"/>
    <cellStyle name="Normal 13 2 5" xfId="2788"/>
    <cellStyle name="Normal 13 3" xfId="1488"/>
    <cellStyle name="Normal 13 3 2" xfId="1489"/>
    <cellStyle name="Normal 13 3 2 2" xfId="2166"/>
    <cellStyle name="Normal 13 3 2 3" xfId="2792"/>
    <cellStyle name="Normal 13 3 3" xfId="609"/>
    <cellStyle name="Normal 13 3 3 2" xfId="2167"/>
    <cellStyle name="Normal 13 3 3 3" xfId="2793"/>
    <cellStyle name="Normal 13 3 4" xfId="2165"/>
    <cellStyle name="Normal 13 3 5" xfId="2791"/>
    <cellStyle name="Normal 13 4" xfId="1490"/>
    <cellStyle name="Normal 13 4 2" xfId="1492"/>
    <cellStyle name="Normal 13 4 2 2" xfId="2169"/>
    <cellStyle name="Normal 13 4 2 3" xfId="2795"/>
    <cellStyle name="Normal 13 4 3" xfId="2168"/>
    <cellStyle name="Normal 13 4 4" xfId="2794"/>
    <cellStyle name="Normal 13 5" xfId="1493"/>
    <cellStyle name="Normal 13 5 2" xfId="2170"/>
    <cellStyle name="Normal 13 5 3" xfId="2796"/>
    <cellStyle name="Normal 13 6" xfId="11"/>
    <cellStyle name="Normal 13 6 2" xfId="2171"/>
    <cellStyle name="Normal 13 6 3" xfId="2797"/>
    <cellStyle name="Normal 13 7" xfId="2161"/>
    <cellStyle name="Normal 13 8" xfId="2787"/>
    <cellStyle name="Normal 14" xfId="1495"/>
    <cellStyle name="Normal 14 2" xfId="1496"/>
    <cellStyle name="Normal 14 2 2" xfId="34"/>
    <cellStyle name="Normal 14 2 2 2" xfId="2174"/>
    <cellStyle name="Normal 14 2 2 3" xfId="2800"/>
    <cellStyle name="Normal 14 2 3" xfId="1497"/>
    <cellStyle name="Normal 14 2 3 2" xfId="2175"/>
    <cellStyle name="Normal 14 2 3 3" xfId="2801"/>
    <cellStyle name="Normal 14 2 4" xfId="2173"/>
    <cellStyle name="Normal 14 2 5" xfId="2799"/>
    <cellStyle name="Normal 14 3" xfId="315"/>
    <cellStyle name="Normal 14 3 2" xfId="1363"/>
    <cellStyle name="Normal 14 3 2 2" xfId="2177"/>
    <cellStyle name="Normal 14 3 2 3" xfId="2803"/>
    <cellStyle name="Normal 14 3 3" xfId="1371"/>
    <cellStyle name="Normal 14 3 3 2" xfId="2178"/>
    <cellStyle name="Normal 14 3 3 3" xfId="2804"/>
    <cellStyle name="Normal 14 3 4" xfId="2176"/>
    <cellStyle name="Normal 14 3 5" xfId="2802"/>
    <cellStyle name="Normal 14 4" xfId="318"/>
    <cellStyle name="Normal 14 4 2" xfId="1036"/>
    <cellStyle name="Normal 14 4 2 2" xfId="2180"/>
    <cellStyle name="Normal 14 4 2 3" xfId="2806"/>
    <cellStyle name="Normal 14 4 3" xfId="2179"/>
    <cellStyle name="Normal 14 4 4" xfId="2805"/>
    <cellStyle name="Normal 14 5" xfId="1498"/>
    <cellStyle name="Normal 14 5 2" xfId="2181"/>
    <cellStyle name="Normal 14 5 3" xfId="2807"/>
    <cellStyle name="Normal 14 6" xfId="804"/>
    <cellStyle name="Normal 14 6 2" xfId="2182"/>
    <cellStyle name="Normal 14 6 3" xfId="2808"/>
    <cellStyle name="Normal 14 7" xfId="2172"/>
    <cellStyle name="Normal 14 8" xfId="2798"/>
    <cellStyle name="Normal 15" xfId="273"/>
    <cellStyle name="Normal 16" xfId="370"/>
    <cellStyle name="Normal 17" xfId="374"/>
    <cellStyle name="Normal 17 2" xfId="1499"/>
    <cellStyle name="Normal 17 2 2" xfId="2184"/>
    <cellStyle name="Normal 17 2 3" xfId="2810"/>
    <cellStyle name="Normal 17 3" xfId="969"/>
    <cellStyle name="Normal 17 3 2" xfId="2185"/>
    <cellStyle name="Normal 17 3 3" xfId="2811"/>
    <cellStyle name="Normal 17 4" xfId="2183"/>
    <cellStyle name="Normal 17 5" xfId="2809"/>
    <cellStyle name="Normal 18" xfId="1478"/>
    <cellStyle name="Normal 2" xfId="1056"/>
    <cellStyle name="Normal 2 2" xfId="1058"/>
    <cellStyle name="Normal 2 2 10" xfId="1103"/>
    <cellStyle name="Normal 2 2 2" xfId="1500"/>
    <cellStyle name="Normal 2 2 2 2" xfId="1501"/>
    <cellStyle name="Normal 2 2 2_Ctrl 3" xfId="1030"/>
    <cellStyle name="Normal 2 2 3" xfId="1038"/>
    <cellStyle name="Normal 2 2 4" xfId="1044"/>
    <cellStyle name="Normal 2 2 5" xfId="1047"/>
    <cellStyle name="Normal 2 2 6" xfId="923"/>
    <cellStyle name="Normal 2 2 7" xfId="530"/>
    <cellStyle name="Normal 2 2 8" xfId="535"/>
    <cellStyle name="Normal 2 2 9" xfId="973"/>
    <cellStyle name="Normal 2 2_BU14 - DATA CAPTURE REPORT - v2 - NB" xfId="1502"/>
    <cellStyle name="Normal 2 3" xfId="1029"/>
    <cellStyle name="Normal 2 4" xfId="1503"/>
    <cellStyle name="Normal 2 4 2" xfId="1504"/>
    <cellStyle name="Normal 2 5" xfId="1505"/>
    <cellStyle name="Normal 2 6" xfId="1506"/>
    <cellStyle name="Normal 2 7" xfId="1507"/>
    <cellStyle name="Normal 2 7 2" xfId="2186"/>
    <cellStyle name="Normal 2 7 3" xfId="2812"/>
    <cellStyle name="Normal 2_Balance Sheet" xfId="1024"/>
    <cellStyle name="Normal 3" xfId="1062"/>
    <cellStyle name="Normal 3 10" xfId="2187"/>
    <cellStyle name="Normal 3 11" xfId="2813"/>
    <cellStyle name="Normal 3 2" xfId="1064"/>
    <cellStyle name="Normal 3 2 2" xfId="1508"/>
    <cellStyle name="Normal 3 2 2 2" xfId="25"/>
    <cellStyle name="Normal 3 2 2 2 2" xfId="2189"/>
    <cellStyle name="Normal 3 2 2 2 3" xfId="2815"/>
    <cellStyle name="Normal 3 2 2 3" xfId="35"/>
    <cellStyle name="Normal 3 2 2 3 2" xfId="2190"/>
    <cellStyle name="Normal 3 2 2 3 3" xfId="2816"/>
    <cellStyle name="Normal 3 2 2 4" xfId="2188"/>
    <cellStyle name="Normal 3 2 2 5" xfId="2814"/>
    <cellStyle name="Normal 3 2 3" xfId="1097"/>
    <cellStyle name="Normal 3 2 3 2" xfId="1099"/>
    <cellStyle name="Normal 3 2 3 2 2" xfId="2192"/>
    <cellStyle name="Normal 3 2 3 2 3" xfId="2818"/>
    <cellStyle name="Normal 3 2 3 3" xfId="425"/>
    <cellStyle name="Normal 3 2 3 3 2" xfId="2193"/>
    <cellStyle name="Normal 3 2 3 3 3" xfId="2819"/>
    <cellStyle name="Normal 3 2 3 4" xfId="2191"/>
    <cellStyle name="Normal 3 2 3 5" xfId="2817"/>
    <cellStyle name="Normal 3 3" xfId="1509"/>
    <cellStyle name="Normal 3 3 2" xfId="1165"/>
    <cellStyle name="Normal 3 3 2 2" xfId="1167"/>
    <cellStyle name="Normal 3 3 2 2 2" xfId="2196"/>
    <cellStyle name="Normal 3 3 2 2 3" xfId="2822"/>
    <cellStyle name="Normal 3 3 2 3" xfId="866"/>
    <cellStyle name="Normal 3 3 2 3 2" xfId="2197"/>
    <cellStyle name="Normal 3 3 2 3 3" xfId="2823"/>
    <cellStyle name="Normal 3 3 2 4" xfId="2195"/>
    <cellStyle name="Normal 3 3 2 5" xfId="2821"/>
    <cellStyle name="Normal 3 3 3" xfId="919"/>
    <cellStyle name="Normal 3 3 4" xfId="2194"/>
    <cellStyle name="Normal 3 3 5" xfId="2820"/>
    <cellStyle name="Normal 3 4" xfId="1510"/>
    <cellStyle name="Normal 3 4 2" xfId="1511"/>
    <cellStyle name="Normal 3 4 2 2" xfId="1512"/>
    <cellStyle name="Normal 3 4 2 2 2" xfId="2199"/>
    <cellStyle name="Normal 3 4 2 2 3" xfId="2825"/>
    <cellStyle name="Normal 3 4 2 3" xfId="1513"/>
    <cellStyle name="Normal 3 4 2 3 2" xfId="2200"/>
    <cellStyle name="Normal 3 4 2 3 3" xfId="2826"/>
    <cellStyle name="Normal 3 4 2 4" xfId="2198"/>
    <cellStyle name="Normal 3 4 2 5" xfId="2824"/>
    <cellStyle name="Normal 3 4 3" xfId="1109"/>
    <cellStyle name="Normal 3 4 3 2" xfId="2201"/>
    <cellStyle name="Normal 3 4 3 3" xfId="2827"/>
    <cellStyle name="Normal 3 4 4" xfId="161"/>
    <cellStyle name="Normal 3 4 4 2" xfId="2202"/>
    <cellStyle name="Normal 3 4 4 3" xfId="2828"/>
    <cellStyle name="Normal 3 4 5" xfId="167"/>
    <cellStyle name="Normal 3 4 5 2" xfId="2203"/>
    <cellStyle name="Normal 3 4 5 3" xfId="2829"/>
    <cellStyle name="Normal 3 5" xfId="1514"/>
    <cellStyle name="Normal 3 5 2" xfId="1515"/>
    <cellStyle name="Normal 3 5 2 2" xfId="2205"/>
    <cellStyle name="Normal 3 5 2 3" xfId="2831"/>
    <cellStyle name="Normal 3 5 3" xfId="1112"/>
    <cellStyle name="Normal 3 5 3 2" xfId="2206"/>
    <cellStyle name="Normal 3 5 3 3" xfId="2832"/>
    <cellStyle name="Normal 3 5 4" xfId="2204"/>
    <cellStyle name="Normal 3 5 5" xfId="2830"/>
    <cellStyle name="Normal 3 6" xfId="1516"/>
    <cellStyle name="Normal 3 6 2" xfId="1518"/>
    <cellStyle name="Normal 3 6 2 2" xfId="2208"/>
    <cellStyle name="Normal 3 6 2 3" xfId="2834"/>
    <cellStyle name="Normal 3 6 3" xfId="255"/>
    <cellStyle name="Normal 3 6 3 2" xfId="2209"/>
    <cellStyle name="Normal 3 6 3 3" xfId="2835"/>
    <cellStyle name="Normal 3 6 4" xfId="2207"/>
    <cellStyle name="Normal 3 6 5" xfId="2833"/>
    <cellStyle name="Normal 3 7" xfId="1519"/>
    <cellStyle name="Normal 3 7 2" xfId="1521"/>
    <cellStyle name="Normal 3 7 2 2" xfId="2211"/>
    <cellStyle name="Normal 3 7 2 3" xfId="2837"/>
    <cellStyle name="Normal 3 7 3" xfId="2210"/>
    <cellStyle name="Normal 3 7 4" xfId="2836"/>
    <cellStyle name="Normal 3 8" xfId="1522"/>
    <cellStyle name="Normal 3 8 2" xfId="2212"/>
    <cellStyle name="Normal 3 8 3" xfId="2838"/>
    <cellStyle name="Normal 3 9" xfId="1523"/>
    <cellStyle name="Normal 3 9 2" xfId="2213"/>
    <cellStyle name="Normal 3 9 3" xfId="2839"/>
    <cellStyle name="Normal 3_FCF bis" xfId="1198"/>
    <cellStyle name="Normal 4" xfId="1068"/>
    <cellStyle name="Normal 4 2" xfId="1524"/>
    <cellStyle name="Normal 4 2 2" xfId="1525"/>
    <cellStyle name="Normal 4 2 3" xfId="674"/>
    <cellStyle name="Normal 4 2 3 2" xfId="1120"/>
    <cellStyle name="Normal 4 2 3 2 2" xfId="2215"/>
    <cellStyle name="Normal 4 2 3 2 3" xfId="2841"/>
    <cellStyle name="Normal 4 2 3 3" xfId="1017"/>
    <cellStyle name="Normal 4 2 3 3 2" xfId="2216"/>
    <cellStyle name="Normal 4 2 3 3 3" xfId="2842"/>
    <cellStyle name="Normal 4 2 3 4" xfId="2214"/>
    <cellStyle name="Normal 4 2 3 5" xfId="2840"/>
    <cellStyle name="Normal 4 2 4" xfId="649"/>
    <cellStyle name="Normal 4 2 4 2" xfId="1526"/>
    <cellStyle name="Normal 4 2 4 2 2" xfId="2218"/>
    <cellStyle name="Normal 4 2 4 2 3" xfId="2844"/>
    <cellStyle name="Normal 4 2 4 3" xfId="1527"/>
    <cellStyle name="Normal 4 2 4 3 2" xfId="2219"/>
    <cellStyle name="Normal 4 2 4 3 3" xfId="2845"/>
    <cellStyle name="Normal 4 2 4 4" xfId="2217"/>
    <cellStyle name="Normal 4 2 4 5" xfId="2843"/>
    <cellStyle name="Normal 4 2 5" xfId="772"/>
    <cellStyle name="Normal 4 2 5 2" xfId="236"/>
    <cellStyle name="Normal 4 2 5 2 2" xfId="2221"/>
    <cellStyle name="Normal 4 2 5 2 3" xfId="2847"/>
    <cellStyle name="Normal 4 2 5 3" xfId="2220"/>
    <cellStyle name="Normal 4 2 5 4" xfId="2846"/>
    <cellStyle name="Normal 4 2 6" xfId="777"/>
    <cellStyle name="Normal 4 2 6 2" xfId="2222"/>
    <cellStyle name="Normal 4 2 6 3" xfId="2848"/>
    <cellStyle name="Normal 4 2 7" xfId="1528"/>
    <cellStyle name="Normal 4 2 7 2" xfId="2223"/>
    <cellStyle name="Normal 4 2 7 3" xfId="2849"/>
    <cellStyle name="Normal 4 2 8" xfId="1529"/>
    <cellStyle name="Normal 4 2 8 2" xfId="2224"/>
    <cellStyle name="Normal 4 2 8 3" xfId="2850"/>
    <cellStyle name="Normal 4 3" xfId="1530"/>
    <cellStyle name="Normal 4 4" xfId="1531"/>
    <cellStyle name="Normal 48" xfId="1532"/>
    <cellStyle name="Normal 48 2" xfId="2225"/>
    <cellStyle name="Normal 48 3" xfId="2851"/>
    <cellStyle name="Normal 5" xfId="1072"/>
    <cellStyle name="Normal 5 2" xfId="1533"/>
    <cellStyle name="Normal 5 2 2" xfId="1534"/>
    <cellStyle name="Normal 5 2 3" xfId="13"/>
    <cellStyle name="Normal 6" xfId="1074"/>
    <cellStyle name="Normal 6 2" xfId="1268"/>
    <cellStyle name="Normal 6 2 2" xfId="178"/>
    <cellStyle name="Normal 6 2 2 2" xfId="2227"/>
    <cellStyle name="Normal 6 2 2 3" xfId="2853"/>
    <cellStyle name="Normal 6 2 3" xfId="203"/>
    <cellStyle name="Normal 6 2 3 2" xfId="2228"/>
    <cellStyle name="Normal 6 2 3 3" xfId="2854"/>
    <cellStyle name="Normal 6 2 4" xfId="2226"/>
    <cellStyle name="Normal 6 2 5" xfId="2852"/>
    <cellStyle name="Normal 6 3" xfId="1270"/>
    <cellStyle name="Normal 6 3 2" xfId="1273"/>
    <cellStyle name="Normal 6 3 2 2" xfId="2230"/>
    <cellStyle name="Normal 6 3 2 3" xfId="2856"/>
    <cellStyle name="Normal 6 3 3" xfId="888"/>
    <cellStyle name="Normal 6 3 3 2" xfId="2231"/>
    <cellStyle name="Normal 6 3 3 3" xfId="2857"/>
    <cellStyle name="Normal 6 3 4" xfId="2229"/>
    <cellStyle name="Normal 6 3 5" xfId="2855"/>
    <cellStyle name="Normal 6 4" xfId="1276"/>
    <cellStyle name="Normal 6 4 2" xfId="1279"/>
    <cellStyle name="Normal 6 4 2 2" xfId="2233"/>
    <cellStyle name="Normal 6 4 2 3" xfId="2859"/>
    <cellStyle name="Normal 6 4 3" xfId="2232"/>
    <cellStyle name="Normal 6 4 4" xfId="2858"/>
    <cellStyle name="Normal 6 5" xfId="1282"/>
    <cellStyle name="Normal 6 5 2" xfId="2234"/>
    <cellStyle name="Normal 6 5 3" xfId="2860"/>
    <cellStyle name="Normal 6 6" xfId="1287"/>
    <cellStyle name="Normal 6 6 2" xfId="2235"/>
    <cellStyle name="Normal 6 6 3" xfId="2861"/>
    <cellStyle name="Normal 6 7" xfId="1290"/>
    <cellStyle name="Normal 6 7 2" xfId="2236"/>
    <cellStyle name="Normal 6 7 3" xfId="2862"/>
    <cellStyle name="Normal 7" xfId="1535"/>
    <cellStyle name="Normal 8" xfId="1536"/>
    <cellStyle name="Normal 9" xfId="1537"/>
    <cellStyle name="Normal 9 2" xfId="527"/>
    <cellStyle name="Normal 9 2 2" xfId="791"/>
    <cellStyle name="Normal 9 2 2 2" xfId="2239"/>
    <cellStyle name="Normal 9 2 2 3" xfId="2865"/>
    <cellStyle name="Normal 9 2 3" xfId="794"/>
    <cellStyle name="Normal 9 2 3 2" xfId="2240"/>
    <cellStyle name="Normal 9 2 3 3" xfId="2866"/>
    <cellStyle name="Normal 9 2 4" xfId="2238"/>
    <cellStyle name="Normal 9 2 5" xfId="2864"/>
    <cellStyle name="Normal 9 3" xfId="1323"/>
    <cellStyle name="Normal 9 3 2" xfId="1325"/>
    <cellStyle name="Normal 9 3 2 2" xfId="2242"/>
    <cellStyle name="Normal 9 3 2 3" xfId="2868"/>
    <cellStyle name="Normal 9 3 3" xfId="1538"/>
    <cellStyle name="Normal 9 3 3 2" xfId="2243"/>
    <cellStyle name="Normal 9 3 3 3" xfId="2869"/>
    <cellStyle name="Normal 9 3 4" xfId="2241"/>
    <cellStyle name="Normal 9 3 5" xfId="2867"/>
    <cellStyle name="Normal 9 4" xfId="1327"/>
    <cellStyle name="Normal 9 4 2" xfId="1539"/>
    <cellStyle name="Normal 9 4 2 2" xfId="2245"/>
    <cellStyle name="Normal 9 4 2 3" xfId="2871"/>
    <cellStyle name="Normal 9 4 3" xfId="2244"/>
    <cellStyle name="Normal 9 4 4" xfId="2870"/>
    <cellStyle name="Normal 9 5" xfId="1329"/>
    <cellStyle name="Normal 9 5 2" xfId="2246"/>
    <cellStyle name="Normal 9 5 3" xfId="2872"/>
    <cellStyle name="Normal 9 6" xfId="1331"/>
    <cellStyle name="Normal 9 6 2" xfId="2247"/>
    <cellStyle name="Normal 9 6 3" xfId="2873"/>
    <cellStyle name="Normal 9 7" xfId="2237"/>
    <cellStyle name="Normal 9 8" xfId="2863"/>
    <cellStyle name="Normal_Accrued Payroll-2160" xfId="1540"/>
    <cellStyle name="Normal_Advances to Suppliers-1120" xfId="1541"/>
    <cellStyle name="Normal_AdvancestoSuppliers 1120_1" xfId="1542"/>
    <cellStyle name="Normal_Other Receivables-1190" xfId="1138"/>
    <cellStyle name="Normal_PAYG clg-2150" xfId="1225"/>
    <cellStyle name="Normal_Sheet1" xfId="894"/>
    <cellStyle name="Normal_Sheet2" xfId="1543"/>
    <cellStyle name="Normal_Stock-1220" xfId="1544"/>
    <cellStyle name="Normal_TB Dump" xfId="1078"/>
    <cellStyle name="Normal_TB Dump_2" xfId="2925"/>
    <cellStyle name="Normal_Trial Balance" xfId="1335"/>
    <cellStyle name="Normal_Trial Balance_1" xfId="386"/>
    <cellStyle name="Notas" xfId="1545"/>
    <cellStyle name="Notas 2" xfId="1420"/>
    <cellStyle name="Note 2" xfId="1546"/>
    <cellStyle name="Note 2 2" xfId="1547"/>
    <cellStyle name="Note 2 2 2" xfId="1548"/>
    <cellStyle name="Note 2 2 2 2" xfId="1549"/>
    <cellStyle name="Note 2 2 2 2 2" xfId="2250"/>
    <cellStyle name="Note 2 2 2 2 3" xfId="2876"/>
    <cellStyle name="Note 2 2 2 3" xfId="1550"/>
    <cellStyle name="Note 2 2 2 3 2" xfId="2251"/>
    <cellStyle name="Note 2 2 2 3 3" xfId="2877"/>
    <cellStyle name="Note 2 2 2 4" xfId="2249"/>
    <cellStyle name="Note 2 2 2 5" xfId="2875"/>
    <cellStyle name="Note 2 2 3" xfId="1551"/>
    <cellStyle name="Note 2 2 3 2" xfId="2252"/>
    <cellStyle name="Note 2 2 3 3" xfId="2878"/>
    <cellStyle name="Note 2 2 4" xfId="98"/>
    <cellStyle name="Note 2 2 4 2" xfId="2253"/>
    <cellStyle name="Note 2 2 4 3" xfId="2879"/>
    <cellStyle name="Note 2 2 5" xfId="2248"/>
    <cellStyle name="Note 2 2 6" xfId="2874"/>
    <cellStyle name="Note 2 3" xfId="1552"/>
    <cellStyle name="Note 2 3 2" xfId="1553"/>
    <cellStyle name="Note 2 3 2 2" xfId="2255"/>
    <cellStyle name="Note 2 3 2 3" xfId="2881"/>
    <cellStyle name="Note 2 3 3" xfId="130"/>
    <cellStyle name="Note 2 3 3 2" xfId="2256"/>
    <cellStyle name="Note 2 3 3 3" xfId="2882"/>
    <cellStyle name="Note 2 3 4" xfId="2254"/>
    <cellStyle name="Note 2 3 5" xfId="2880"/>
    <cellStyle name="Note 2 4" xfId="1554"/>
    <cellStyle name="Note 2 4 2" xfId="1555"/>
    <cellStyle name="Note 2 4 2 2" xfId="2258"/>
    <cellStyle name="Note 2 4 2 3" xfId="2884"/>
    <cellStyle name="Note 2 4 3" xfId="54"/>
    <cellStyle name="Note 2 4 3 2" xfId="2259"/>
    <cellStyle name="Note 2 4 3 3" xfId="2885"/>
    <cellStyle name="Note 2 4 4" xfId="2257"/>
    <cellStyle name="Note 2 4 5" xfId="2883"/>
    <cellStyle name="Note 2 5" xfId="1556"/>
    <cellStyle name="Note 2 5 2" xfId="1557"/>
    <cellStyle name="Note 2 5 2 2" xfId="2261"/>
    <cellStyle name="Note 2 5 2 3" xfId="2887"/>
    <cellStyle name="Note 2 5 3" xfId="158"/>
    <cellStyle name="Note 2 5 3 2" xfId="2262"/>
    <cellStyle name="Note 2 5 3 3" xfId="2888"/>
    <cellStyle name="Note 2 5 4" xfId="2260"/>
    <cellStyle name="Note 2 5 5" xfId="2886"/>
    <cellStyle name="Note 2 6" xfId="1558"/>
    <cellStyle name="Note 2 6 2" xfId="2263"/>
    <cellStyle name="Note 2 6 3" xfId="2889"/>
    <cellStyle name="Note 3" xfId="1559"/>
    <cellStyle name="Note 3 2" xfId="1560"/>
    <cellStyle name="Note 3 2 2" xfId="1561"/>
    <cellStyle name="Note 3 2 2 2" xfId="2266"/>
    <cellStyle name="Note 3 2 2 3" xfId="2892"/>
    <cellStyle name="Note 3 2 3" xfId="1562"/>
    <cellStyle name="Note 3 2 3 2" xfId="2267"/>
    <cellStyle name="Note 3 2 3 3" xfId="2893"/>
    <cellStyle name="Note 3 2 4" xfId="2265"/>
    <cellStyle name="Note 3 2 5" xfId="2891"/>
    <cellStyle name="Note 3 3" xfId="1563"/>
    <cellStyle name="Note 3 3 2" xfId="1412"/>
    <cellStyle name="Note 3 3 2 2" xfId="2269"/>
    <cellStyle name="Note 3 3 2 3" xfId="2895"/>
    <cellStyle name="Note 3 3 3" xfId="1419"/>
    <cellStyle name="Note 3 3 3 2" xfId="2270"/>
    <cellStyle name="Note 3 3 3 3" xfId="2896"/>
    <cellStyle name="Note 3 3 4" xfId="2268"/>
    <cellStyle name="Note 3 3 5" xfId="2894"/>
    <cellStyle name="Note 3 4" xfId="1564"/>
    <cellStyle name="Note 3 4 2" xfId="2271"/>
    <cellStyle name="Note 3 4 3" xfId="2897"/>
    <cellStyle name="Note 3 5" xfId="1565"/>
    <cellStyle name="Note 3 5 2" xfId="2272"/>
    <cellStyle name="Note 3 5 3" xfId="2898"/>
    <cellStyle name="Note 3 6" xfId="1566"/>
    <cellStyle name="Note 3 6 2" xfId="2273"/>
    <cellStyle name="Note 3 6 3" xfId="2899"/>
    <cellStyle name="Note 3 7" xfId="2264"/>
    <cellStyle name="Note 3 8" xfId="2890"/>
    <cellStyle name="Note 4" xfId="1567"/>
    <cellStyle name="Note 4 2" xfId="1568"/>
    <cellStyle name="Note 4 2 2" xfId="2275"/>
    <cellStyle name="Note 4 2 3" xfId="2901"/>
    <cellStyle name="Note 4 3" xfId="1569"/>
    <cellStyle name="Note 4 3 2" xfId="2276"/>
    <cellStyle name="Note 4 3 3" xfId="2902"/>
    <cellStyle name="Note 4 4" xfId="2274"/>
    <cellStyle name="Note 4 5" xfId="2900"/>
    <cellStyle name="Note 5" xfId="1391"/>
    <cellStyle name="Note 5 2" xfId="1570"/>
    <cellStyle name="Note 5 2 2" xfId="2278"/>
    <cellStyle name="Note 5 2 3" xfId="2904"/>
    <cellStyle name="Note 5 3" xfId="1203"/>
    <cellStyle name="Note 5 3 2" xfId="2279"/>
    <cellStyle name="Note 5 3 3" xfId="2905"/>
    <cellStyle name="Note 5 4" xfId="2277"/>
    <cellStyle name="Note 5 5" xfId="2903"/>
    <cellStyle name="Note 6" xfId="1393"/>
    <cellStyle name="Note 6 2" xfId="1571"/>
    <cellStyle name="Note 6 2 2" xfId="2281"/>
    <cellStyle name="Note 6 2 3" xfId="2907"/>
    <cellStyle name="Note 6 3" xfId="1208"/>
    <cellStyle name="Note 6 3 2" xfId="2282"/>
    <cellStyle name="Note 6 3 3" xfId="2908"/>
    <cellStyle name="Note 6 4" xfId="2280"/>
    <cellStyle name="Note 6 5" xfId="2906"/>
    <cellStyle name="Output" xfId="1620" builtinId="21" customBuiltin="1"/>
    <cellStyle name="Output 2" xfId="1572"/>
    <cellStyle name="Output 3" xfId="1573"/>
    <cellStyle name="Percent" xfId="18" builtinId="5"/>
    <cellStyle name="Percent 10" xfId="588"/>
    <cellStyle name="Percent 11" xfId="593"/>
    <cellStyle name="Percent 15" xfId="1247"/>
    <cellStyle name="Percent 2" xfId="357"/>
    <cellStyle name="Percent 2 2" xfId="421"/>
    <cellStyle name="Percent 2 3" xfId="751"/>
    <cellStyle name="Percent 3" xfId="362"/>
    <cellStyle name="Percent 3 2" xfId="153"/>
    <cellStyle name="Percent 3 2 2" xfId="1574"/>
    <cellStyle name="Percent 3 2 2 2" xfId="1575"/>
    <cellStyle name="Percent 3 2 2 2 2" xfId="2283"/>
    <cellStyle name="Percent 3 2 2 2 3" xfId="2909"/>
    <cellStyle name="Percent 3 2 2 3" xfId="1576"/>
    <cellStyle name="Percent 3 2 2 3 2" xfId="2284"/>
    <cellStyle name="Percent 3 2 2 3 3" xfId="2910"/>
    <cellStyle name="Percent 3 2 2 4" xfId="1577"/>
    <cellStyle name="Percent 3 2 2 4 2" xfId="2285"/>
    <cellStyle name="Percent 3 2 2 4 3" xfId="2911"/>
    <cellStyle name="Percent 3 2 3" xfId="1578"/>
    <cellStyle name="Percent 3 2 3 2" xfId="2286"/>
    <cellStyle name="Percent 3 2 3 3" xfId="2912"/>
    <cellStyle name="Percent 3 2 4" xfId="848"/>
    <cellStyle name="Percent 3 2 4 2" xfId="2287"/>
    <cellStyle name="Percent 3 2 4 3" xfId="2913"/>
    <cellStyle name="Percent 3 2 5" xfId="625"/>
    <cellStyle name="Percent 3 2 5 2" xfId="2288"/>
    <cellStyle name="Percent 3 2 5 3" xfId="2914"/>
    <cellStyle name="Percent 3 3" xfId="176"/>
    <cellStyle name="Percent 3 3 2" xfId="182"/>
    <cellStyle name="Percent 3 3 2 2" xfId="2289"/>
    <cellStyle name="Percent 3 3 2 3" xfId="2915"/>
    <cellStyle name="Percent 3 3 3" xfId="190"/>
    <cellStyle name="Percent 3 3 3 2" xfId="2290"/>
    <cellStyle name="Percent 3 3 3 3" xfId="2916"/>
    <cellStyle name="Percent 3 3 4" xfId="852"/>
    <cellStyle name="Percent 3 3 4 2" xfId="2291"/>
    <cellStyle name="Percent 3 3 4 3" xfId="2917"/>
    <cellStyle name="Percent 3 4" xfId="1579"/>
    <cellStyle name="Percent 3 4 2" xfId="207"/>
    <cellStyle name="Percent 3 4 2 2" xfId="2293"/>
    <cellStyle name="Percent 3 4 2 3" xfId="2919"/>
    <cellStyle name="Percent 3 4 3" xfId="211"/>
    <cellStyle name="Percent 3 4 3 2" xfId="2294"/>
    <cellStyle name="Percent 3 4 3 3" xfId="2920"/>
    <cellStyle name="Percent 3 4 4" xfId="2292"/>
    <cellStyle name="Percent 3 4 5" xfId="2918"/>
    <cellStyle name="Percent 3 5" xfId="1580"/>
    <cellStyle name="Percent 3 5 2" xfId="2295"/>
    <cellStyle name="Percent 3 5 3" xfId="2921"/>
    <cellStyle name="Percent 3 6" xfId="1581"/>
    <cellStyle name="Percent 3 6 2" xfId="2296"/>
    <cellStyle name="Percent 3 6 3" xfId="2922"/>
    <cellStyle name="Percent 3 7" xfId="1582"/>
    <cellStyle name="Percent 3 7 2" xfId="2297"/>
    <cellStyle name="Percent 3 7 3" xfId="2923"/>
    <cellStyle name="Percent 4" xfId="733"/>
    <cellStyle name="Percent 4 2" xfId="66"/>
    <cellStyle name="Percent 5" xfId="737"/>
    <cellStyle name="Percent 5 2" xfId="579"/>
    <cellStyle name="Percent 6" xfId="743"/>
    <cellStyle name="Percent 6 2" xfId="1583"/>
    <cellStyle name="Percent 7" xfId="757"/>
    <cellStyle name="Percent 7 2" xfId="1584"/>
    <cellStyle name="Percent 7 3" xfId="454"/>
    <cellStyle name="Percent 7 3 2" xfId="296"/>
    <cellStyle name="Percent 7 4" xfId="2298"/>
    <cellStyle name="Percent 7 5" xfId="2924"/>
    <cellStyle name="Percent 8" xfId="1076"/>
    <cellStyle name="Percent 8 2" xfId="643"/>
    <cellStyle name="Percent 9" xfId="1585"/>
    <cellStyle name="Pourcentage" xfId="114"/>
    <cellStyle name="Pourcentage 2" xfId="1233"/>
    <cellStyle name="Salida" xfId="1586"/>
    <cellStyle name="Satisfaisant" xfId="1587"/>
    <cellStyle name="Satisfaisant 2" xfId="1588"/>
    <cellStyle name="Satisfaisant 3" xfId="1589"/>
    <cellStyle name="Satisfaisant 4" xfId="1590"/>
    <cellStyle name="Sortie" xfId="753"/>
    <cellStyle name="Sortie 2" xfId="803"/>
    <cellStyle name="Sortie 3" xfId="806"/>
    <cellStyle name="Sortie 4" xfId="1366"/>
    <cellStyle name="Texte explicatif" xfId="1491"/>
    <cellStyle name="Texte explicatif 2" xfId="1591"/>
    <cellStyle name="Texte explicatif 3" xfId="1592"/>
    <cellStyle name="Texte explicatif 4" xfId="1593"/>
    <cellStyle name="Texto de advertencia" xfId="1594"/>
    <cellStyle name="Texto explicativo" xfId="383"/>
    <cellStyle name="Title" xfId="1611" builtinId="15" customBuiltin="1"/>
    <cellStyle name="Title 2" xfId="79"/>
    <cellStyle name="Title 2 2" xfId="2299"/>
    <cellStyle name="Title 3" xfId="1595"/>
    <cellStyle name="Title 3 2" xfId="2300"/>
    <cellStyle name="Titre" xfId="497"/>
    <cellStyle name="Titre 2" xfId="505"/>
    <cellStyle name="Titre 2 2" xfId="2302"/>
    <cellStyle name="Titre 3" xfId="514"/>
    <cellStyle name="Titre 3 2" xfId="2303"/>
    <cellStyle name="Titre 4" xfId="1596"/>
    <cellStyle name="Titre 4 2" xfId="2304"/>
    <cellStyle name="Titre 5" xfId="2301"/>
    <cellStyle name="Titre 1" xfId="1484"/>
    <cellStyle name="Titre 1 2" xfId="1386"/>
    <cellStyle name="Titre 1 3" xfId="1517"/>
    <cellStyle name="Titre 1 4" xfId="254"/>
    <cellStyle name="Titre 2" xfId="1486"/>
    <cellStyle name="Titre 2 2" xfId="1597"/>
    <cellStyle name="Titre 2 2 2" xfId="2306"/>
    <cellStyle name="Titre 2 3" xfId="1520"/>
    <cellStyle name="Titre 2 3 2" xfId="2307"/>
    <cellStyle name="Titre 2 4" xfId="1598"/>
    <cellStyle name="Titre 2 4 2" xfId="566"/>
    <cellStyle name="Titre 2 4 2 2" xfId="22"/>
    <cellStyle name="Titre 2 4 3" xfId="571"/>
    <cellStyle name="Titre 2 5" xfId="1599"/>
    <cellStyle name="Titre 2 6" xfId="1600"/>
    <cellStyle name="Titre 2 7" xfId="2305"/>
    <cellStyle name="Titre 2_BS du Social au Conso" xfId="1601"/>
    <cellStyle name="Titre 3" xfId="480"/>
    <cellStyle name="Titre 3 2" xfId="1481"/>
    <cellStyle name="Titre 3 2 2" xfId="2309"/>
    <cellStyle name="Titre 3 3" xfId="1494"/>
    <cellStyle name="Titre 3 3 2" xfId="2310"/>
    <cellStyle name="Titre 3 4" xfId="272"/>
    <cellStyle name="Titre 3 4 2" xfId="2311"/>
    <cellStyle name="Titre 3 5" xfId="2308"/>
    <cellStyle name="Titre 4" xfId="483"/>
    <cellStyle name="Titre 4 2" xfId="21"/>
    <cellStyle name="Titre 4 3" xfId="1602"/>
    <cellStyle name="Titre 4 4" xfId="378"/>
    <cellStyle name="Titre_Balance Sheet" xfId="722"/>
    <cellStyle name="Título" xfId="636"/>
    <cellStyle name="Título 1" xfId="1603"/>
    <cellStyle name="Título 2" xfId="1604"/>
    <cellStyle name="Título 3" xfId="1605"/>
    <cellStyle name="Título 4" xfId="2312"/>
    <cellStyle name="Total" xfId="1626" builtinId="25" customBuiltin="1"/>
    <cellStyle name="Total 2" xfId="1606"/>
    <cellStyle name="Total 2 2" xfId="1607"/>
    <cellStyle name="Total 3" xfId="1608"/>
    <cellStyle name="Vérification" xfId="1114"/>
    <cellStyle name="Vérification 2" xfId="253"/>
    <cellStyle name="Vérification 3" xfId="209"/>
    <cellStyle name="Vérification 4" xfId="213"/>
    <cellStyle name="Warning Text" xfId="1624" builtinId="11" customBuiltin="1"/>
    <cellStyle name="Warning Text 2" xfId="1609"/>
    <cellStyle name="Warning Text 3" xfId="1610"/>
  </cellStyles>
  <dxfs count="1">
    <dxf>
      <fill>
        <patternFill patternType="solid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5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externalLink" Target="externalLinks/externalLink11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1.xml"/><Relationship Id="rId69" Type="http://schemas.openxmlformats.org/officeDocument/2006/relationships/externalLink" Target="externalLinks/externalLink6.xml"/><Relationship Id="rId77" Type="http://schemas.openxmlformats.org/officeDocument/2006/relationships/externalLink" Target="externalLinks/externalLink1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9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7.xml"/><Relationship Id="rId75" Type="http://schemas.openxmlformats.org/officeDocument/2006/relationships/externalLink" Target="externalLinks/externalLink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2.xml"/><Relationship Id="rId73" Type="http://schemas.openxmlformats.org/officeDocument/2006/relationships/externalLink" Target="externalLinks/externalLink10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13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50800</xdr:colOff>
          <xdr:row>0</xdr:row>
          <xdr:rowOff>50800</xdr:rowOff>
        </xdr:from>
        <xdr:to>
          <xdr:col>14</xdr:col>
          <xdr:colOff>19050</xdr:colOff>
          <xdr:row>1</xdr:row>
          <xdr:rowOff>146050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Supporting Worksheet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523874</xdr:colOff>
      <xdr:row>44</xdr:row>
      <xdr:rowOff>95250</xdr:rowOff>
    </xdr:from>
    <xdr:to>
      <xdr:col>20</xdr:col>
      <xdr:colOff>197643</xdr:colOff>
      <xdr:row>52</xdr:row>
      <xdr:rowOff>178594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87687" y="8548688"/>
          <a:ext cx="4876800" cy="1619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12700</xdr:colOff>
          <xdr:row>0</xdr:row>
          <xdr:rowOff>19050</xdr:rowOff>
        </xdr:from>
        <xdr:to>
          <xdr:col>9</xdr:col>
          <xdr:colOff>419100</xdr:colOff>
          <xdr:row>3</xdr:row>
          <xdr:rowOff>133350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Roll Over All Recs to Next Month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809625</xdr:colOff>
      <xdr:row>46</xdr:row>
      <xdr:rowOff>76200</xdr:rowOff>
    </xdr:from>
    <xdr:to>
      <xdr:col>4</xdr:col>
      <xdr:colOff>465971</xdr:colOff>
      <xdr:row>60</xdr:row>
      <xdr:rowOff>9250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9625" y="7524750"/>
          <a:ext cx="6038096" cy="22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2162175</xdr:colOff>
      <xdr:row>46</xdr:row>
      <xdr:rowOff>0</xdr:rowOff>
    </xdr:from>
    <xdr:to>
      <xdr:col>15</xdr:col>
      <xdr:colOff>240575</xdr:colOff>
      <xdr:row>55</xdr:row>
      <xdr:rowOff>85532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0" y="7448550"/>
          <a:ext cx="5800000" cy="1542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828675</xdr:colOff>
      <xdr:row>49</xdr:row>
      <xdr:rowOff>9525</xdr:rowOff>
    </xdr:from>
    <xdr:to>
      <xdr:col>6</xdr:col>
      <xdr:colOff>66675</xdr:colOff>
      <xdr:row>69</xdr:row>
      <xdr:rowOff>28575</xdr:rowOff>
    </xdr:to>
    <xdr:pic>
      <xdr:nvPicPr>
        <xdr:cNvPr id="7832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828675" y="7943850"/>
          <a:ext cx="6690995" cy="3257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48</xdr:row>
      <xdr:rowOff>161924</xdr:rowOff>
    </xdr:from>
    <xdr:to>
      <xdr:col>16</xdr:col>
      <xdr:colOff>269215</xdr:colOff>
      <xdr:row>69</xdr:row>
      <xdr:rowOff>74314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995" y="7933690"/>
          <a:ext cx="6675755" cy="331343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ccounting\Daily%20Bank%20Recs\FY22\12%20Sep%2022\Daily%20Bank%20Rec%203009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inancial%20Reporting\FY22\Sep%2022\ARTB%20as%20of%2030.09.22%20-%20Provision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inancial%20Reporting\FY22\Stock\Sep%2022\Final%20Stocktake%20Calculation%20Sep22%20v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Prepayments\2022\12Prepayments%20Sep%202022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inancial%20Reporting\FY22\Lowe%20Lippmman%20Audit\Requirement\8.%20WIP%20&amp;%20Inventories\WIP%20Calculation%20202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inancial%20Reporting\FY21\Stock\WIP%20Calculation%20202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inancial%20Reporting\FY21\Tax\FY21\Deferred%20Tax%20Sep%202021_Blaze%20Acumen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ixed%20Assets\FA%20Monthly%20Balance\2022\Fixed%20Asset%20Reconciliation\12FA%20Reconciliation_Sep2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inancial%20Reporting\FY22\Lowe%20Lippmman%20Audit\Requirement\14.%20Leases\Lease%20restitution%20Sep22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inancial%20Reporting\FY22\Sep%2022\APTB%20as%20at%2030%20Sep%202022.csv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inancial%20Reporting\FY22\Lowe%20Lippmman%20Audit\Requirement\5.%20Otehr%20Assets\12%20Accrued%20Expense%20Sep%202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inancial%20Reporting\FY22\Sep%2022\112.2055%20GRNV_Sep%202022_after%20deleting%20matching%20lines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inancial%20Reporting\FY22\Sep%2022\AL%20-%20%202022%20Sep22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inancial%20Reporting\FY22\Sep%2022\LSL%20calc%20Sep%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E"/>
      <sheetName val="Sheet1"/>
    </sheetNames>
    <sheetDataSet>
      <sheetData sheetId="0">
        <row r="13">
          <cell r="C13">
            <v>370371.69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TB Provision September 2022"/>
      <sheetName val="Sheet2"/>
    </sheetNames>
    <sheetDataSet>
      <sheetData sheetId="0">
        <row r="589">
          <cell r="D589">
            <v>3906916.24</v>
          </cell>
        </row>
        <row r="592">
          <cell r="O592">
            <v>23800.786363636362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NL"/>
      <sheetName val="Detail Summary"/>
      <sheetName val="Summary"/>
      <sheetName val="BU List"/>
      <sheetName val="NSW"/>
      <sheetName val="VIC"/>
      <sheetName val="QLD"/>
      <sheetName val="WA"/>
      <sheetName val="List"/>
      <sheetName val="All States"/>
      <sheetName val="Jul21 to Sep22 PO Inq C "/>
      <sheetName val="Material GL Jul21 to Sep22"/>
    </sheetNames>
    <sheetDataSet>
      <sheetData sheetId="0"/>
      <sheetData sheetId="1"/>
      <sheetData sheetId="2">
        <row r="3">
          <cell r="B3">
            <v>243589.57117744006</v>
          </cell>
        </row>
        <row r="4">
          <cell r="B4">
            <v>8332.77</v>
          </cell>
        </row>
        <row r="5">
          <cell r="B5">
            <v>1296.6500000000001</v>
          </cell>
        </row>
        <row r="8">
          <cell r="B8">
            <v>56613.504044360016</v>
          </cell>
        </row>
        <row r="9">
          <cell r="B9">
            <v>1183.395</v>
          </cell>
        </row>
        <row r="10">
          <cell r="B10">
            <v>2.2000000000000002</v>
          </cell>
        </row>
        <row r="13">
          <cell r="B13">
            <v>155498.42633320007</v>
          </cell>
        </row>
        <row r="14">
          <cell r="B14">
            <v>52153.810000000005</v>
          </cell>
        </row>
        <row r="15">
          <cell r="B15">
            <v>4853.17</v>
          </cell>
        </row>
        <row r="18">
          <cell r="B18">
            <v>68448.537226960019</v>
          </cell>
        </row>
        <row r="19">
          <cell r="B19">
            <v>6371.71</v>
          </cell>
        </row>
        <row r="20">
          <cell r="B20">
            <v>372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chedule"/>
      <sheetName val="Project Moro"/>
      <sheetName val="BKF Claim"/>
      <sheetName val="Infinity"/>
      <sheetName val="160519"/>
      <sheetName val="010519"/>
      <sheetName val="290419"/>
      <sheetName val="230419"/>
      <sheetName val="List of annual payment "/>
      <sheetName val="Sheet2"/>
      <sheetName val="Sheet3"/>
      <sheetName val="Sheet1"/>
    </sheetNames>
    <sheetDataSet>
      <sheetData sheetId="0"/>
      <sheetData sheetId="1">
        <row r="1339">
          <cell r="T1339">
            <v>169936.26172727274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c FY22"/>
      <sheetName val="Summary"/>
      <sheetName val="COA as of 300922"/>
      <sheetName val="standard price 300922"/>
    </sheetNames>
    <sheetDataSet>
      <sheetData sheetId="0">
        <row r="15">
          <cell r="E15">
            <v>8756.3901150000038</v>
          </cell>
        </row>
        <row r="17">
          <cell r="E17">
            <v>1197.1688999999985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c FY21"/>
      <sheetName val="COA as of 300921"/>
      <sheetName val="standard price 300921"/>
      <sheetName val="Sheet5"/>
      <sheetName val="Sheet6"/>
      <sheetName val="CEO"/>
      <sheetName val="Sheet1"/>
      <sheetName val="Finance"/>
      <sheetName val="HR"/>
      <sheetName val="IT &amp; PTP"/>
      <sheetName val="Network"/>
      <sheetName val="PCE"/>
      <sheetName val="SERVICES"/>
      <sheetName val="Powercor"/>
      <sheetName val="SDEV"/>
      <sheetName val="SUPPORT"/>
      <sheetName val="TELE"/>
      <sheetName val="Sensitivity"/>
      <sheetName val="CE_Pass"/>
      <sheetName val="Voice_Carriage"/>
    </sheetNames>
    <sheetDataSet>
      <sheetData sheetId="0">
        <row r="15">
          <cell r="E15">
            <v>16100.233852500049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p21 Trial Balance "/>
      <sheetName val="Current Tax FY21"/>
      <sheetName val="Deferred Tax FY21"/>
      <sheetName val="Deferred Tax FY20"/>
      <sheetName val="Legal fees FY21"/>
      <sheetName val="Right of Use FY21"/>
      <sheetName val="Capex Additions FY21"/>
      <sheetName val="Capex expensed FY21"/>
      <sheetName val="WIP FY21"/>
      <sheetName val="Fixed Assets  FY21"/>
      <sheetName val="Provisions FY21"/>
      <sheetName val="Entertainment Oct20-Mar21"/>
      <sheetName val="Entertainment Apr21-Sep21"/>
      <sheetName val="Accrual Summary FY21"/>
      <sheetName val="Accrual Rec FY21"/>
      <sheetName val="Prepayment Summary FY21"/>
      <sheetName val="Prepayment FY21"/>
      <sheetName val="Prepayment FY21 -under $1k"/>
      <sheetName val="Sep20 Trial Balance"/>
      <sheetName val="Current Tax FY20"/>
      <sheetName val="Deferred Tax FY19 latest"/>
      <sheetName val="Sep19 Trial Balance"/>
      <sheetName val="Deferred Tax FY19"/>
      <sheetName val="Right of Use"/>
      <sheetName val="Legal fees"/>
      <sheetName val="Entertainment Apr20-Sep20"/>
      <sheetName val="Fixed Assets "/>
      <sheetName val="Build Depn"/>
      <sheetName val="DMG Additions"/>
      <sheetName val="Depn Build"/>
      <sheetName val="Capex Additions"/>
      <sheetName val="Capex expensed"/>
      <sheetName val="WIP"/>
      <sheetName val="Prepayments Summary"/>
      <sheetName val="Prepayments Sep20"/>
      <sheetName val="Prepayment Sep19-under $1k"/>
      <sheetName val="Prepayment Sep19"/>
      <sheetName val="Provisions"/>
      <sheetName val="Accruals"/>
      <sheetName val="Accrual Rec Sep20"/>
      <sheetName val="Accrual Rec Sep18"/>
      <sheetName val="Accrual Rec Sep19"/>
      <sheetName val="Data"/>
      <sheetName val="Mth"/>
      <sheetName val="Sensitivity"/>
      <sheetName val="CE_Pass"/>
      <sheetName val="Voice_Carriage"/>
    </sheetNames>
    <sheetDataSet>
      <sheetData sheetId="0"/>
      <sheetData sheetId="1"/>
      <sheetData sheetId="2">
        <row r="117">
          <cell r="J117">
            <v>2811315.6719999998</v>
          </cell>
        </row>
        <row r="118">
          <cell r="J118">
            <v>640171.70641874953</v>
          </cell>
        </row>
        <row r="120">
          <cell r="J120">
            <v>-2316883.2714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Follow-up"/>
      <sheetName val="Additions"/>
      <sheetName val="Disposals"/>
      <sheetName val="1370-25"/>
      <sheetName val="1400-30"/>
      <sheetName val="1410-70"/>
      <sheetName val="1420-60"/>
      <sheetName val="1430-40"/>
      <sheetName val="1450-50"/>
      <sheetName val="NEW ADD JAN 12"/>
      <sheetName val="NEW ADD FEB 12"/>
      <sheetName val="Sheet1"/>
      <sheetName val="Sheet2"/>
      <sheetName val="Instructions"/>
    </sheetNames>
    <sheetDataSet>
      <sheetData sheetId="0">
        <row r="8">
          <cell r="G8">
            <v>3485920.43</v>
          </cell>
          <cell r="N8">
            <v>-2817240.59</v>
          </cell>
        </row>
        <row r="10">
          <cell r="G10">
            <v>7799</v>
          </cell>
          <cell r="N10">
            <v>-7799</v>
          </cell>
        </row>
        <row r="11">
          <cell r="G11">
            <v>1286672.7299999997</v>
          </cell>
          <cell r="N11">
            <v>-1224555.71</v>
          </cell>
        </row>
        <row r="12">
          <cell r="G12">
            <v>1560618.6</v>
          </cell>
          <cell r="N12">
            <v>-1551261.06</v>
          </cell>
        </row>
        <row r="13">
          <cell r="G13">
            <v>5309609.75</v>
          </cell>
          <cell r="N13">
            <v>-4456056.8499999996</v>
          </cell>
        </row>
        <row r="14">
          <cell r="G14">
            <v>386408.85</v>
          </cell>
          <cell r="N14">
            <v>-379891.91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663737443289"/>
    </sheetNames>
    <sheetDataSet>
      <sheetData sheetId="0">
        <row r="9">
          <cell r="AI9">
            <v>7515835.0978683997</v>
          </cell>
        </row>
        <row r="10">
          <cell r="AI10">
            <v>82557.016958250897</v>
          </cell>
        </row>
        <row r="11">
          <cell r="AI11">
            <v>163574.72986827101</v>
          </cell>
        </row>
        <row r="12">
          <cell r="AI12">
            <v>-5349873.0158021199</v>
          </cell>
        </row>
        <row r="13">
          <cell r="AI13">
            <v>-76783.873948981098</v>
          </cell>
        </row>
        <row r="14">
          <cell r="AI14">
            <v>-100293.720914606</v>
          </cell>
        </row>
        <row r="22">
          <cell r="AI22">
            <v>1722458.8869564701</v>
          </cell>
        </row>
        <row r="23">
          <cell r="AI23">
            <v>682695.96802082704</v>
          </cell>
        </row>
        <row r="24">
          <cell r="AI24">
            <v>2270.4668927216098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TB as at 30 Sep 2022"/>
    </sheetNames>
    <sheetDataSet>
      <sheetData sheetId="0">
        <row r="131">
          <cell r="F131">
            <v>1765626.34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rual Summary"/>
      <sheetName val="Accrual Rec"/>
      <sheetName val="07.10.2022"/>
      <sheetName val="05.10.2022"/>
      <sheetName val="03.10.2022"/>
      <sheetName val="26.09.2022"/>
      <sheetName val="21.09.2022"/>
      <sheetName val="13.09.2022"/>
      <sheetName val="04.09.2022"/>
      <sheetName val="29.08.22"/>
      <sheetName val="AUG JA"/>
      <sheetName val="Lease"/>
      <sheetName val="Sheet2"/>
      <sheetName val="Accrual Rec (Old)"/>
    </sheetNames>
    <sheetDataSet>
      <sheetData sheetId="0" refreshError="1"/>
      <sheetData sheetId="1">
        <row r="77">
          <cell r="BJ77">
            <v>-910267.32751818199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_Suppliers"/>
      <sheetName val="Balance_PO"/>
      <sheetName val="Pivot"/>
      <sheetName val="2055 - GRNV"/>
      <sheetName val="5.10.2022"/>
      <sheetName val="4.10.2022"/>
      <sheetName val="26.09.2022"/>
      <sheetName val="16.09.2022"/>
      <sheetName val="8.09.2022"/>
      <sheetName val="3.09.2022"/>
      <sheetName val="Sheet2"/>
    </sheetNames>
    <sheetDataSet>
      <sheetData sheetId="0" refreshError="1"/>
      <sheetData sheetId="1" refreshError="1"/>
      <sheetData sheetId="2" refreshError="1"/>
      <sheetData sheetId="3">
        <row r="1989">
          <cell r="F1989">
            <v>-347678.43999999977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All States"/>
      <sheetName val="JNL"/>
      <sheetName val="Aug 22 Accrual Bal"/>
      <sheetName val="Normal Hours"/>
      <sheetName val="S12615503_COMPLETE_LEAVE_ACCRUA"/>
      <sheetName val="S12615503_COMPLETE_ONCOST_REPOR"/>
      <sheetName val="Annual Leave March TXT"/>
      <sheetName val="AL Adj Sep 22"/>
      <sheetName val="Leave Loading Adj Aug 22"/>
    </sheetNames>
    <sheetDataSet>
      <sheetData sheetId="0" refreshError="1"/>
      <sheetData sheetId="1">
        <row r="189">
          <cell r="B189">
            <v>715276.44866703509</v>
          </cell>
        </row>
        <row r="190">
          <cell r="B190">
            <v>88303.836389616496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NL"/>
      <sheetName val="split"/>
      <sheetName val="LSL Calculation FY22"/>
      <sheetName val="S12615503_COMPLETE_LEAVE_ACCRUA"/>
      <sheetName val="LSL Sep 22"/>
      <sheetName val="Probability Calc for FY12"/>
      <sheetName val="LSL Aug 22"/>
      <sheetName val="LSL Jul 22"/>
      <sheetName val="LSL Jun 22"/>
      <sheetName val="LSL May 22"/>
      <sheetName val="LSL Apr 22"/>
      <sheetName val="LSL Mar 22"/>
      <sheetName val="LSL Feb 22"/>
      <sheetName val="LSLJan 22"/>
      <sheetName val="LSLDec 21"/>
      <sheetName val="LSLNov 21"/>
      <sheetName val="LSLOct 21"/>
    </sheetNames>
    <sheetDataSet>
      <sheetData sheetId="0"/>
      <sheetData sheetId="1"/>
      <sheetData sheetId="2">
        <row r="38">
          <cell r="F38">
            <v>487725.02707970259</v>
          </cell>
        </row>
        <row r="39">
          <cell r="F39">
            <v>140154.11917803742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K1354"/>
  <sheetViews>
    <sheetView workbookViewId="0">
      <selection activeCell="Q20" sqref="Q20"/>
    </sheetView>
  </sheetViews>
  <sheetFormatPr defaultColWidth="9" defaultRowHeight="12.5"/>
  <cols>
    <col min="4" max="4" width="35.81640625" customWidth="1"/>
    <col min="8" max="8" width="10.7265625" customWidth="1"/>
    <col min="10" max="10" width="44.1796875" style="163" customWidth="1"/>
    <col min="11" max="11" width="11" style="163" customWidth="1"/>
  </cols>
  <sheetData>
    <row r="1" spans="1:11" ht="14.5">
      <c r="A1" s="468" t="s">
        <v>0</v>
      </c>
      <c r="B1" s="468"/>
      <c r="C1" s="468" t="s">
        <v>1</v>
      </c>
      <c r="D1" s="468"/>
      <c r="E1" s="468"/>
      <c r="F1" s="468"/>
      <c r="G1" s="468"/>
      <c r="H1" s="469">
        <v>44847</v>
      </c>
      <c r="I1" s="472">
        <v>0.43495370370370368</v>
      </c>
      <c r="J1" s="445"/>
    </row>
    <row r="2" spans="1:11" ht="14.5">
      <c r="A2" s="468"/>
      <c r="B2" s="468"/>
      <c r="C2" s="468" t="s">
        <v>2</v>
      </c>
      <c r="D2" s="468"/>
      <c r="E2" s="468"/>
      <c r="F2" s="468"/>
      <c r="G2" s="468"/>
      <c r="H2" s="468"/>
      <c r="I2" s="468"/>
      <c r="J2" s="445"/>
    </row>
    <row r="3" spans="1:11" ht="14.5">
      <c r="A3" s="468" t="s">
        <v>3</v>
      </c>
      <c r="B3" s="468" t="s">
        <v>4</v>
      </c>
      <c r="C3" s="468" t="s">
        <v>5</v>
      </c>
      <c r="D3" s="468" t="s">
        <v>6</v>
      </c>
      <c r="E3" s="468" t="s">
        <v>7</v>
      </c>
      <c r="F3" s="468" t="s">
        <v>8</v>
      </c>
      <c r="G3" s="468"/>
      <c r="H3" s="468"/>
      <c r="I3" s="468"/>
      <c r="J3" s="445"/>
    </row>
    <row r="4" spans="1:11" ht="14.5">
      <c r="A4" s="468">
        <v>112</v>
      </c>
      <c r="B4" s="468">
        <v>1020</v>
      </c>
      <c r="C4" s="468">
        <v>100</v>
      </c>
      <c r="D4" s="468" t="s">
        <v>9</v>
      </c>
      <c r="E4" s="468">
        <v>370371.69</v>
      </c>
      <c r="F4" s="468">
        <v>510000</v>
      </c>
      <c r="G4" s="468"/>
      <c r="H4" s="468"/>
      <c r="I4" s="468"/>
      <c r="J4" s="445" t="str">
        <f>A4&amp;C4&amp;D4&amp;F4</f>
        <v>112100Westpac510000</v>
      </c>
      <c r="K4" s="163">
        <f>E4</f>
        <v>370371.69</v>
      </c>
    </row>
    <row r="5" spans="1:11" ht="14.5">
      <c r="A5" s="468">
        <v>112</v>
      </c>
      <c r="B5" s="468">
        <v>1030</v>
      </c>
      <c r="C5" s="468">
        <v>110</v>
      </c>
      <c r="D5" s="468" t="s">
        <v>10</v>
      </c>
      <c r="E5" s="468">
        <v>174817.61</v>
      </c>
      <c r="F5" s="468">
        <v>501000</v>
      </c>
      <c r="G5" s="468"/>
      <c r="H5" s="468"/>
      <c r="I5" s="468"/>
      <c r="J5" s="445" t="str">
        <f t="shared" ref="J5:J68" si="0">A5&amp;C5&amp;D5&amp;F5</f>
        <v>112110RENTAL BOND WESTPAC501000</v>
      </c>
      <c r="K5" s="163">
        <f t="shared" ref="K5:K68" si="1">E5</f>
        <v>174817.61</v>
      </c>
    </row>
    <row r="6" spans="1:11" ht="14.5">
      <c r="A6" s="468">
        <v>112</v>
      </c>
      <c r="B6" s="468">
        <v>1050</v>
      </c>
      <c r="C6" s="468">
        <v>300</v>
      </c>
      <c r="D6" s="468" t="s">
        <v>358</v>
      </c>
      <c r="E6" s="468">
        <v>-16.350000000000001</v>
      </c>
      <c r="F6" s="468">
        <v>410000</v>
      </c>
      <c r="G6" s="468"/>
      <c r="H6" s="468"/>
      <c r="I6" s="468"/>
      <c r="J6" s="445" t="str">
        <f t="shared" si="0"/>
        <v>112300LOGGED RECEIPTS CONTROL410000</v>
      </c>
      <c r="K6" s="163">
        <f t="shared" si="1"/>
        <v>-16.350000000000001</v>
      </c>
    </row>
    <row r="7" spans="1:11" ht="14.5">
      <c r="A7" s="468">
        <v>112</v>
      </c>
      <c r="B7" s="468">
        <v>1050</v>
      </c>
      <c r="C7" s="468"/>
      <c r="D7" s="468" t="s">
        <v>11</v>
      </c>
      <c r="E7" s="468">
        <v>3843724.34</v>
      </c>
      <c r="F7" s="468">
        <v>410000</v>
      </c>
      <c r="G7" s="468"/>
      <c r="H7" s="468"/>
      <c r="I7" s="468"/>
      <c r="J7" s="445" t="str">
        <f t="shared" si="0"/>
        <v>112TRADE ACCOUNTS RECEIVABLE410000</v>
      </c>
      <c r="K7" s="163">
        <f t="shared" si="1"/>
        <v>3843724.34</v>
      </c>
    </row>
    <row r="8" spans="1:11" ht="14.5">
      <c r="A8" s="468">
        <v>112</v>
      </c>
      <c r="B8" s="468">
        <v>1060</v>
      </c>
      <c r="C8" s="468"/>
      <c r="D8" s="468" t="s">
        <v>12</v>
      </c>
      <c r="E8" s="468">
        <v>79282.77</v>
      </c>
      <c r="F8" s="468">
        <v>418000</v>
      </c>
      <c r="G8" s="468"/>
      <c r="H8" s="468"/>
      <c r="I8" s="468"/>
      <c r="J8" s="445" t="str">
        <f t="shared" si="0"/>
        <v>112INVOICE TO ISSUE418000</v>
      </c>
      <c r="K8" s="163">
        <f t="shared" si="1"/>
        <v>79282.77</v>
      </c>
    </row>
    <row r="9" spans="1:11" ht="14.5">
      <c r="A9" s="468">
        <v>112</v>
      </c>
      <c r="B9" s="468">
        <v>1070</v>
      </c>
      <c r="C9" s="468"/>
      <c r="D9" s="468" t="s">
        <v>13</v>
      </c>
      <c r="E9" s="468">
        <v>-26804.55</v>
      </c>
      <c r="F9" s="468">
        <v>419120</v>
      </c>
      <c r="G9" s="468"/>
      <c r="H9" s="468"/>
      <c r="I9" s="468"/>
      <c r="J9" s="445" t="str">
        <f t="shared" si="0"/>
        <v>112CREDIT NOTE TO ISSUE419120</v>
      </c>
      <c r="K9" s="163">
        <f t="shared" si="1"/>
        <v>-26804.55</v>
      </c>
    </row>
    <row r="10" spans="1:11" ht="14.5">
      <c r="A10" s="468">
        <v>112</v>
      </c>
      <c r="B10" s="468">
        <v>1080</v>
      </c>
      <c r="C10" s="468"/>
      <c r="D10" s="468" t="s">
        <v>14</v>
      </c>
      <c r="E10" s="468">
        <v>-23800.79</v>
      </c>
      <c r="F10" s="468">
        <v>491000</v>
      </c>
      <c r="G10" s="468"/>
      <c r="H10" s="468"/>
      <c r="I10" s="468"/>
      <c r="J10" s="445" t="str">
        <f t="shared" si="0"/>
        <v>112ALLOWANCE FOR DOUBTFUL ACCOUNT491000</v>
      </c>
      <c r="K10" s="163">
        <f t="shared" si="1"/>
        <v>-23800.79</v>
      </c>
    </row>
    <row r="11" spans="1:11" ht="14.5">
      <c r="A11" s="468">
        <v>112</v>
      </c>
      <c r="B11" s="468">
        <v>1100</v>
      </c>
      <c r="C11" s="468">
        <v>154</v>
      </c>
      <c r="D11" s="468" t="s">
        <v>15</v>
      </c>
      <c r="E11" s="468"/>
      <c r="F11" s="468">
        <v>411000</v>
      </c>
      <c r="G11" s="468"/>
      <c r="H11" s="468"/>
      <c r="I11" s="468"/>
      <c r="J11" s="445" t="str">
        <f t="shared" si="0"/>
        <v>112154Silliker - Chelab Itlay411000</v>
      </c>
      <c r="K11" s="163">
        <f t="shared" si="1"/>
        <v>0</v>
      </c>
    </row>
    <row r="12" spans="1:11" ht="14.5">
      <c r="A12" s="468">
        <v>112</v>
      </c>
      <c r="B12" s="468">
        <v>1100</v>
      </c>
      <c r="C12" s="468">
        <v>171</v>
      </c>
      <c r="D12" s="468" t="s">
        <v>16</v>
      </c>
      <c r="E12" s="468">
        <v>100</v>
      </c>
      <c r="F12" s="468">
        <v>411000</v>
      </c>
      <c r="G12" s="468"/>
      <c r="H12" s="468"/>
      <c r="I12" s="468"/>
      <c r="J12" s="445" t="str">
        <f t="shared" si="0"/>
        <v>112171Merieux Nutrisciences C411000</v>
      </c>
      <c r="K12" s="163">
        <f t="shared" si="1"/>
        <v>100</v>
      </c>
    </row>
    <row r="13" spans="1:11" ht="14.5">
      <c r="A13" s="468">
        <v>112</v>
      </c>
      <c r="B13" s="468">
        <v>1100</v>
      </c>
      <c r="C13" s="468">
        <v>192</v>
      </c>
      <c r="D13" s="468" t="s">
        <v>843</v>
      </c>
      <c r="E13" s="468">
        <v>2448.13</v>
      </c>
      <c r="F13" s="468">
        <v>411000</v>
      </c>
      <c r="G13" s="468"/>
      <c r="H13" s="468"/>
      <c r="I13" s="468"/>
      <c r="J13" s="445" t="str">
        <f t="shared" si="0"/>
        <v>112192Acumen Scientific Sdn Bhd.411000</v>
      </c>
      <c r="K13" s="163">
        <f t="shared" si="1"/>
        <v>2448.13</v>
      </c>
    </row>
    <row r="14" spans="1:11" ht="14.5">
      <c r="A14" s="468">
        <v>112</v>
      </c>
      <c r="B14" s="468">
        <v>1100</v>
      </c>
      <c r="C14" s="468">
        <v>103</v>
      </c>
      <c r="D14" s="468" t="s">
        <v>17</v>
      </c>
      <c r="E14" s="468">
        <v>-129.38999999999999</v>
      </c>
      <c r="F14" s="468">
        <v>411000</v>
      </c>
      <c r="G14" s="468"/>
      <c r="H14" s="468"/>
      <c r="I14" s="468"/>
      <c r="J14" s="445" t="str">
        <f t="shared" si="0"/>
        <v>112103SILLIKER MEXICO411000</v>
      </c>
      <c r="K14" s="163">
        <f t="shared" si="1"/>
        <v>-129.38999999999999</v>
      </c>
    </row>
    <row r="15" spans="1:11" ht="14.5">
      <c r="A15" s="468">
        <v>112</v>
      </c>
      <c r="B15" s="468">
        <v>1100</v>
      </c>
      <c r="C15" s="468">
        <v>109</v>
      </c>
      <c r="D15" s="468" t="s">
        <v>18</v>
      </c>
      <c r="E15" s="468"/>
      <c r="F15" s="468">
        <v>411000</v>
      </c>
      <c r="G15" s="468"/>
      <c r="H15" s="468"/>
      <c r="I15" s="468"/>
      <c r="J15" s="445" t="str">
        <f t="shared" si="0"/>
        <v>112109SILLIKER IBERICA SA411000</v>
      </c>
      <c r="K15" s="163">
        <f t="shared" si="1"/>
        <v>0</v>
      </c>
    </row>
    <row r="16" spans="1:11" ht="14.5">
      <c r="A16" s="468">
        <v>112</v>
      </c>
      <c r="B16" s="468">
        <v>1100</v>
      </c>
      <c r="C16" s="468">
        <v>113</v>
      </c>
      <c r="D16" s="468" t="s">
        <v>19</v>
      </c>
      <c r="E16" s="468">
        <v>-4122.13</v>
      </c>
      <c r="F16" s="468">
        <v>411000</v>
      </c>
      <c r="G16" s="468"/>
      <c r="H16" s="468"/>
      <c r="I16" s="468"/>
      <c r="J16" s="445" t="str">
        <f t="shared" si="0"/>
        <v>112113SILLIKER USA411000</v>
      </c>
      <c r="K16" s="163">
        <f t="shared" si="1"/>
        <v>-4122.13</v>
      </c>
    </row>
    <row r="17" spans="1:11" ht="14.5">
      <c r="A17" s="468">
        <v>112</v>
      </c>
      <c r="B17" s="468">
        <v>1100</v>
      </c>
      <c r="C17" s="468">
        <v>117</v>
      </c>
      <c r="D17" s="468" t="s">
        <v>20</v>
      </c>
      <c r="E17" s="468">
        <v>47306.39</v>
      </c>
      <c r="F17" s="468">
        <v>411000</v>
      </c>
      <c r="G17" s="468"/>
      <c r="H17" s="468"/>
      <c r="I17" s="468"/>
      <c r="J17" s="445" t="str">
        <f t="shared" si="0"/>
        <v>112117Silliker - MNS USA411000</v>
      </c>
      <c r="K17" s="163">
        <f t="shared" si="1"/>
        <v>47306.39</v>
      </c>
    </row>
    <row r="18" spans="1:11" ht="14.5">
      <c r="A18" s="468">
        <v>112</v>
      </c>
      <c r="B18" s="468">
        <v>1100</v>
      </c>
      <c r="C18" s="468">
        <v>136</v>
      </c>
      <c r="D18" s="468" t="s">
        <v>21</v>
      </c>
      <c r="E18" s="468">
        <v>17589</v>
      </c>
      <c r="F18" s="468">
        <v>411000</v>
      </c>
      <c r="G18" s="468"/>
      <c r="H18" s="468"/>
      <c r="I18" s="468"/>
      <c r="J18" s="445" t="str">
        <f t="shared" si="0"/>
        <v>112136SILLIKER SHANGHAÏ TESTING411000</v>
      </c>
      <c r="K18" s="163">
        <f t="shared" si="1"/>
        <v>17589</v>
      </c>
    </row>
    <row r="19" spans="1:11" ht="14.5">
      <c r="A19" s="468">
        <v>112</v>
      </c>
      <c r="B19" s="468">
        <v>1140</v>
      </c>
      <c r="C19" s="468"/>
      <c r="D19" s="468" t="s">
        <v>22</v>
      </c>
      <c r="E19" s="468">
        <v>136.94</v>
      </c>
      <c r="F19" s="468">
        <v>464000</v>
      </c>
      <c r="G19" s="468"/>
      <c r="H19" s="468"/>
      <c r="I19" s="468"/>
      <c r="J19" s="445" t="str">
        <f t="shared" si="0"/>
        <v>112ACCRUED INTERESTS / RECEIVABLE464000</v>
      </c>
      <c r="K19" s="163">
        <f t="shared" si="1"/>
        <v>136.94</v>
      </c>
    </row>
    <row r="20" spans="1:11" ht="14.5">
      <c r="A20" s="468">
        <v>112</v>
      </c>
      <c r="B20" s="468">
        <v>1190</v>
      </c>
      <c r="C20" s="468">
        <v>200</v>
      </c>
      <c r="D20" s="468" t="s">
        <v>23</v>
      </c>
      <c r="E20" s="468">
        <v>1580.5</v>
      </c>
      <c r="F20" s="468" t="s">
        <v>24</v>
      </c>
      <c r="G20" s="468"/>
      <c r="H20" s="468"/>
      <c r="I20" s="468"/>
      <c r="J20" s="445" t="str">
        <f t="shared" si="0"/>
        <v>112200NETTING SUSPENSE (S.BE ZER0)46A000</v>
      </c>
      <c r="K20" s="163">
        <f t="shared" si="1"/>
        <v>1580.5</v>
      </c>
    </row>
    <row r="21" spans="1:11" ht="14.5">
      <c r="A21" s="468">
        <v>112</v>
      </c>
      <c r="B21" s="468">
        <v>1220</v>
      </c>
      <c r="C21" s="468"/>
      <c r="D21" s="468" t="s">
        <v>25</v>
      </c>
      <c r="E21" s="468">
        <v>598715.79</v>
      </c>
      <c r="F21" s="468">
        <v>350000</v>
      </c>
      <c r="G21" s="468"/>
      <c r="H21" s="468"/>
      <c r="I21" s="468"/>
      <c r="J21" s="445" t="str">
        <f t="shared" si="0"/>
        <v>112INVENTORY350000</v>
      </c>
      <c r="K21" s="163">
        <f t="shared" si="1"/>
        <v>598715.79</v>
      </c>
    </row>
    <row r="22" spans="1:11" ht="14.5">
      <c r="A22" s="468">
        <v>112</v>
      </c>
      <c r="B22" s="468">
        <v>1250</v>
      </c>
      <c r="C22" s="468"/>
      <c r="D22" s="468" t="s">
        <v>26</v>
      </c>
      <c r="E22" s="468">
        <v>169936.3</v>
      </c>
      <c r="F22" s="468">
        <v>486000</v>
      </c>
      <c r="G22" s="468"/>
      <c r="H22" s="468"/>
      <c r="I22" s="468"/>
      <c r="J22" s="445" t="str">
        <f t="shared" si="0"/>
        <v>112PREPAID EXPENSES486000</v>
      </c>
      <c r="K22" s="163">
        <f t="shared" si="1"/>
        <v>169936.3</v>
      </c>
    </row>
    <row r="23" spans="1:11" ht="14.5">
      <c r="A23" s="468">
        <v>112</v>
      </c>
      <c r="B23" s="468">
        <v>1270</v>
      </c>
      <c r="C23" s="468"/>
      <c r="D23" s="468" t="s">
        <v>27</v>
      </c>
      <c r="E23" s="468">
        <v>9953.82</v>
      </c>
      <c r="F23" s="468">
        <v>330000</v>
      </c>
      <c r="G23" s="468"/>
      <c r="H23" s="468"/>
      <c r="I23" s="468"/>
      <c r="J23" s="445" t="str">
        <f t="shared" si="0"/>
        <v>112WORK IN PROGRESS330000</v>
      </c>
      <c r="K23" s="163">
        <f t="shared" si="1"/>
        <v>9953.82</v>
      </c>
    </row>
    <row r="24" spans="1:11" ht="14.5">
      <c r="A24" s="468">
        <v>112</v>
      </c>
      <c r="B24" s="468">
        <v>1290</v>
      </c>
      <c r="C24" s="468"/>
      <c r="D24" s="468" t="s">
        <v>28</v>
      </c>
      <c r="E24" s="468">
        <v>2811315.67</v>
      </c>
      <c r="F24" s="468">
        <v>449000</v>
      </c>
      <c r="G24" s="468"/>
      <c r="H24" s="468"/>
      <c r="I24" s="468"/>
      <c r="J24" s="445" t="str">
        <f t="shared" si="0"/>
        <v>112DEFERRED TAX ASSET CURRENT449000</v>
      </c>
      <c r="K24" s="163">
        <f t="shared" si="1"/>
        <v>2811315.67</v>
      </c>
    </row>
    <row r="25" spans="1:11" ht="14.5">
      <c r="A25" s="468">
        <v>112</v>
      </c>
      <c r="B25" s="468">
        <v>1370</v>
      </c>
      <c r="C25" s="468"/>
      <c r="D25" s="468" t="s">
        <v>29</v>
      </c>
      <c r="E25" s="468">
        <v>3485920.43</v>
      </c>
      <c r="F25" s="468">
        <v>212000</v>
      </c>
      <c r="G25" s="468"/>
      <c r="H25" s="468"/>
      <c r="I25" s="468"/>
      <c r="J25" s="445" t="str">
        <f t="shared" si="0"/>
        <v>112LEASEHOLD IMPROVEMENTS212000</v>
      </c>
      <c r="K25" s="163">
        <f t="shared" si="1"/>
        <v>3485920.43</v>
      </c>
    </row>
    <row r="26" spans="1:11" ht="14.5">
      <c r="A26" s="468">
        <v>112</v>
      </c>
      <c r="B26" s="468">
        <v>1400</v>
      </c>
      <c r="C26" s="468"/>
      <c r="D26" s="468" t="s">
        <v>30</v>
      </c>
      <c r="E26" s="468">
        <v>7799</v>
      </c>
      <c r="F26" s="468">
        <v>216000</v>
      </c>
      <c r="G26" s="468"/>
      <c r="H26" s="468"/>
      <c r="I26" s="468"/>
      <c r="J26" s="445" t="str">
        <f t="shared" si="0"/>
        <v>112AUTOS216000</v>
      </c>
      <c r="K26" s="163">
        <f t="shared" si="1"/>
        <v>7799</v>
      </c>
    </row>
    <row r="27" spans="1:11" ht="14.5">
      <c r="A27" s="468">
        <v>112</v>
      </c>
      <c r="B27" s="468">
        <v>1410</v>
      </c>
      <c r="C27" s="468"/>
      <c r="D27" s="468" t="s">
        <v>31</v>
      </c>
      <c r="E27" s="468">
        <v>1286672.73</v>
      </c>
      <c r="F27" s="468">
        <v>217000</v>
      </c>
      <c r="G27" s="468"/>
      <c r="H27" s="468"/>
      <c r="I27" s="468"/>
      <c r="J27" s="445" t="str">
        <f t="shared" si="0"/>
        <v>112COMPUTER HARDWARE217000</v>
      </c>
      <c r="K27" s="163">
        <f t="shared" si="1"/>
        <v>1286672.73</v>
      </c>
    </row>
    <row r="28" spans="1:11" ht="14.5">
      <c r="A28" s="468">
        <v>112</v>
      </c>
      <c r="B28" s="468">
        <v>1420</v>
      </c>
      <c r="C28" s="468"/>
      <c r="D28" s="468" t="s">
        <v>32</v>
      </c>
      <c r="E28" s="468">
        <v>1560618.6</v>
      </c>
      <c r="F28" s="468">
        <v>206000</v>
      </c>
      <c r="G28" s="468"/>
      <c r="H28" s="468"/>
      <c r="I28" s="468"/>
      <c r="J28" s="445" t="str">
        <f t="shared" si="0"/>
        <v>112COMPUTER SOFTWARE206000</v>
      </c>
      <c r="K28" s="163">
        <f t="shared" si="1"/>
        <v>1560618.6</v>
      </c>
    </row>
    <row r="29" spans="1:11" ht="14.5">
      <c r="A29" s="468">
        <v>112</v>
      </c>
      <c r="B29" s="468">
        <v>1430</v>
      </c>
      <c r="C29" s="468"/>
      <c r="D29" s="468" t="s">
        <v>33</v>
      </c>
      <c r="E29" s="468">
        <v>5309608.78</v>
      </c>
      <c r="F29" s="468">
        <v>215000</v>
      </c>
      <c r="G29" s="468"/>
      <c r="H29" s="468"/>
      <c r="I29" s="468"/>
      <c r="J29" s="445" t="str">
        <f t="shared" si="0"/>
        <v>112EQUIPMENT215000</v>
      </c>
      <c r="K29" s="163">
        <f t="shared" si="1"/>
        <v>5309608.78</v>
      </c>
    </row>
    <row r="30" spans="1:11" ht="14.5">
      <c r="A30" s="468">
        <v>112</v>
      </c>
      <c r="B30" s="468">
        <v>1450</v>
      </c>
      <c r="C30" s="468"/>
      <c r="D30" s="468" t="s">
        <v>34</v>
      </c>
      <c r="E30" s="468">
        <v>386408.27</v>
      </c>
      <c r="F30" s="468">
        <v>218000</v>
      </c>
      <c r="G30" s="468"/>
      <c r="H30" s="468"/>
      <c r="I30" s="468"/>
      <c r="J30" s="445" t="str">
        <f t="shared" si="0"/>
        <v>112FURNITURE &amp; FIXTURES218000</v>
      </c>
      <c r="K30" s="163">
        <f t="shared" si="1"/>
        <v>386408.27</v>
      </c>
    </row>
    <row r="31" spans="1:11" ht="14.5">
      <c r="A31" s="468">
        <v>112</v>
      </c>
      <c r="B31" s="468">
        <v>1470</v>
      </c>
      <c r="C31" s="468"/>
      <c r="D31" s="468" t="s">
        <v>35</v>
      </c>
      <c r="E31" s="468">
        <v>-7799</v>
      </c>
      <c r="F31" s="468">
        <v>281600</v>
      </c>
      <c r="G31" s="468"/>
      <c r="H31" s="468"/>
      <c r="I31" s="468"/>
      <c r="J31" s="445" t="str">
        <f t="shared" si="0"/>
        <v>112ACCUM. DEPRECIATION AUTOS281600</v>
      </c>
      <c r="K31" s="163">
        <f t="shared" si="1"/>
        <v>-7799</v>
      </c>
    </row>
    <row r="32" spans="1:11" ht="14.5">
      <c r="A32" s="468">
        <v>112</v>
      </c>
      <c r="B32" s="468">
        <v>1480</v>
      </c>
      <c r="C32" s="468"/>
      <c r="D32" s="468" t="s">
        <v>36</v>
      </c>
      <c r="E32" s="468">
        <v>-1224555.71</v>
      </c>
      <c r="F32" s="468">
        <v>281700</v>
      </c>
      <c r="G32" s="468"/>
      <c r="H32" s="468"/>
      <c r="I32" s="468"/>
      <c r="J32" s="445" t="str">
        <f t="shared" si="0"/>
        <v>112ACCUM. DEP. COMP HARDWARE281700</v>
      </c>
      <c r="K32" s="163">
        <f t="shared" si="1"/>
        <v>-1224555.71</v>
      </c>
    </row>
    <row r="33" spans="1:11" ht="14.5">
      <c r="A33" s="468">
        <v>112</v>
      </c>
      <c r="B33" s="468">
        <v>1490</v>
      </c>
      <c r="C33" s="468"/>
      <c r="D33" s="468" t="s">
        <v>37</v>
      </c>
      <c r="E33" s="468">
        <v>-1551261.06</v>
      </c>
      <c r="F33" s="468">
        <v>280600</v>
      </c>
      <c r="G33" s="468"/>
      <c r="H33" s="468"/>
      <c r="I33" s="468"/>
      <c r="J33" s="445" t="str">
        <f t="shared" si="0"/>
        <v>112ACCUM. DEP. COMP SOFTWARE280600</v>
      </c>
      <c r="K33" s="163">
        <f t="shared" si="1"/>
        <v>-1551261.06</v>
      </c>
    </row>
    <row r="34" spans="1:11" ht="14.5">
      <c r="A34" s="468">
        <v>112</v>
      </c>
      <c r="B34" s="468">
        <v>1500</v>
      </c>
      <c r="C34" s="468"/>
      <c r="D34" s="468" t="s">
        <v>38</v>
      </c>
      <c r="E34" s="468">
        <v>-4456056.8499999996</v>
      </c>
      <c r="F34" s="468">
        <v>281500</v>
      </c>
      <c r="G34" s="468"/>
      <c r="H34" s="468"/>
      <c r="I34" s="468"/>
      <c r="J34" s="445" t="str">
        <f t="shared" si="0"/>
        <v>112ACCUM. DEPRECIATION EQUIPMENT281500</v>
      </c>
      <c r="K34" s="163">
        <f t="shared" si="1"/>
        <v>-4456056.8499999996</v>
      </c>
    </row>
    <row r="35" spans="1:11" ht="14.5">
      <c r="A35" s="468">
        <v>112</v>
      </c>
      <c r="B35" s="468">
        <v>1510</v>
      </c>
      <c r="C35" s="468"/>
      <c r="D35" s="468" t="s">
        <v>39</v>
      </c>
      <c r="E35" s="468">
        <v>-379891.91</v>
      </c>
      <c r="F35" s="468">
        <v>281800</v>
      </c>
      <c r="G35" s="468"/>
      <c r="H35" s="468"/>
      <c r="I35" s="468"/>
      <c r="J35" s="445" t="str">
        <f t="shared" si="0"/>
        <v>112ACCUM. DEP. FURN &amp; FIXT281800</v>
      </c>
      <c r="K35" s="163">
        <f t="shared" si="1"/>
        <v>-379891.91</v>
      </c>
    </row>
    <row r="36" spans="1:11" ht="14.5">
      <c r="A36" s="468">
        <v>112</v>
      </c>
      <c r="B36" s="468">
        <v>1520</v>
      </c>
      <c r="C36" s="468"/>
      <c r="D36" s="468" t="s">
        <v>40</v>
      </c>
      <c r="E36" s="468">
        <v>-2817240.59</v>
      </c>
      <c r="F36" s="468">
        <v>281200</v>
      </c>
      <c r="G36" s="468"/>
      <c r="H36" s="468"/>
      <c r="I36" s="468"/>
      <c r="J36" s="445" t="str">
        <f t="shared" si="0"/>
        <v>112ACCUM. DEPRECIATION LEASEHOLD281200</v>
      </c>
      <c r="K36" s="163">
        <f t="shared" si="1"/>
        <v>-2817240.59</v>
      </c>
    </row>
    <row r="37" spans="1:11" ht="14.5">
      <c r="A37" s="468">
        <v>112</v>
      </c>
      <c r="B37" s="468">
        <v>1770</v>
      </c>
      <c r="C37" s="468"/>
      <c r="D37" s="468" t="s">
        <v>41</v>
      </c>
      <c r="E37" s="468">
        <v>640171.71</v>
      </c>
      <c r="F37" s="468">
        <v>449000</v>
      </c>
      <c r="G37" s="468"/>
      <c r="H37" s="468"/>
      <c r="I37" s="468"/>
      <c r="J37" s="445" t="str">
        <f t="shared" si="0"/>
        <v>112DEFERRED TAX ASSET - LT449000</v>
      </c>
      <c r="K37" s="163">
        <f t="shared" si="1"/>
        <v>640171.71</v>
      </c>
    </row>
    <row r="38" spans="1:11" ht="14.5">
      <c r="A38" s="468">
        <v>112</v>
      </c>
      <c r="B38" s="468">
        <v>1850</v>
      </c>
      <c r="C38" s="468"/>
      <c r="D38" s="468" t="s">
        <v>42</v>
      </c>
      <c r="E38" s="468">
        <v>7515834.21</v>
      </c>
      <c r="F38" s="468">
        <v>210510</v>
      </c>
      <c r="G38" s="468"/>
      <c r="H38" s="468"/>
      <c r="I38" s="468"/>
      <c r="J38" s="445" t="str">
        <f t="shared" si="0"/>
        <v>112RIGHT-OF-USE BUILDINGS210510</v>
      </c>
      <c r="K38" s="163">
        <f t="shared" si="1"/>
        <v>7515834.21</v>
      </c>
    </row>
    <row r="39" spans="1:11" ht="14.5">
      <c r="A39" s="468">
        <v>112</v>
      </c>
      <c r="B39" s="468">
        <v>1851</v>
      </c>
      <c r="C39" s="468"/>
      <c r="D39" s="468" t="s">
        <v>43</v>
      </c>
      <c r="E39" s="468">
        <v>163573.54999999999</v>
      </c>
      <c r="F39" s="468">
        <v>210520</v>
      </c>
      <c r="G39" s="468"/>
      <c r="H39" s="468"/>
      <c r="I39" s="468"/>
      <c r="J39" s="445" t="str">
        <f t="shared" si="0"/>
        <v>112RIGHT-OF-USE AUTOS210520</v>
      </c>
      <c r="K39" s="163">
        <f t="shared" si="1"/>
        <v>163573.54999999999</v>
      </c>
    </row>
    <row r="40" spans="1:11" ht="14.5">
      <c r="A40" s="468">
        <v>112</v>
      </c>
      <c r="B40" s="468">
        <v>1852</v>
      </c>
      <c r="C40" s="468"/>
      <c r="D40" s="468" t="s">
        <v>44</v>
      </c>
      <c r="E40" s="468">
        <v>82557.440000000002</v>
      </c>
      <c r="F40" s="468">
        <v>210530</v>
      </c>
      <c r="G40" s="468"/>
      <c r="H40" s="468"/>
      <c r="I40" s="468"/>
      <c r="J40" s="445" t="str">
        <f t="shared" si="0"/>
        <v>112RIGHT-OF-USE EQUIPMENT210530</v>
      </c>
      <c r="K40" s="163">
        <f t="shared" si="1"/>
        <v>82557.440000000002</v>
      </c>
    </row>
    <row r="41" spans="1:11" ht="14.5">
      <c r="A41" s="468">
        <v>112</v>
      </c>
      <c r="B41" s="468">
        <v>1853</v>
      </c>
      <c r="C41" s="468"/>
      <c r="D41" s="468" t="s">
        <v>45</v>
      </c>
      <c r="E41" s="468">
        <v>-5349873.8099999996</v>
      </c>
      <c r="F41" s="468">
        <v>281051</v>
      </c>
      <c r="G41" s="468"/>
      <c r="H41" s="468"/>
      <c r="I41" s="468"/>
      <c r="J41" s="445" t="str">
        <f t="shared" si="0"/>
        <v>112ACCUM DEP RIGHT-OF-USE BUILD281051</v>
      </c>
      <c r="K41" s="163">
        <f t="shared" si="1"/>
        <v>-5349873.8099999996</v>
      </c>
    </row>
    <row r="42" spans="1:11" ht="14.5">
      <c r="A42" s="468">
        <v>112</v>
      </c>
      <c r="B42" s="468">
        <v>1854</v>
      </c>
      <c r="C42" s="468"/>
      <c r="D42" s="468" t="s">
        <v>46</v>
      </c>
      <c r="E42" s="468">
        <v>-100296.04</v>
      </c>
      <c r="F42" s="468">
        <v>281052</v>
      </c>
      <c r="G42" s="468"/>
      <c r="H42" s="468"/>
      <c r="I42" s="468"/>
      <c r="J42" s="445" t="str">
        <f t="shared" si="0"/>
        <v>112ACCUM. DEP RIGHT-TO-USE AUTOS281052</v>
      </c>
      <c r="K42" s="163">
        <f t="shared" si="1"/>
        <v>-100296.04</v>
      </c>
    </row>
    <row r="43" spans="1:11" ht="14.5">
      <c r="A43" s="468">
        <v>112</v>
      </c>
      <c r="B43" s="468">
        <v>1855</v>
      </c>
      <c r="C43" s="468"/>
      <c r="D43" s="468" t="s">
        <v>47</v>
      </c>
      <c r="E43" s="468">
        <v>-76785.06</v>
      </c>
      <c r="F43" s="468">
        <v>281053</v>
      </c>
      <c r="G43" s="468"/>
      <c r="H43" s="468"/>
      <c r="I43" s="468"/>
      <c r="J43" s="445" t="str">
        <f t="shared" si="0"/>
        <v>112ACCUM DEP RIGHT-OF-USE EQUIP281053</v>
      </c>
      <c r="K43" s="163">
        <f t="shared" si="1"/>
        <v>-76785.06</v>
      </c>
    </row>
    <row r="44" spans="1:11" ht="14.5">
      <c r="A44" s="468">
        <v>112</v>
      </c>
      <c r="B44" s="468">
        <v>2020</v>
      </c>
      <c r="C44" s="468"/>
      <c r="D44" s="468" t="s">
        <v>48</v>
      </c>
      <c r="E44" s="468">
        <v>-911315.94</v>
      </c>
      <c r="F44" s="468">
        <v>401000</v>
      </c>
      <c r="G44" s="468"/>
      <c r="H44" s="468"/>
      <c r="I44" s="468"/>
      <c r="J44" s="445" t="str">
        <f t="shared" si="0"/>
        <v>112ACCOUNTS PAYABLE - TRADE401000</v>
      </c>
      <c r="K44" s="163">
        <f t="shared" si="1"/>
        <v>-911315.94</v>
      </c>
    </row>
    <row r="45" spans="1:11" ht="14.5">
      <c r="A45" s="468">
        <v>112</v>
      </c>
      <c r="B45" s="468">
        <v>2040</v>
      </c>
      <c r="C45" s="468">
        <v>100</v>
      </c>
      <c r="D45" s="468" t="s">
        <v>49</v>
      </c>
      <c r="E45" s="468">
        <v>-910267.33</v>
      </c>
      <c r="F45" s="468">
        <v>408000</v>
      </c>
      <c r="G45" s="468"/>
      <c r="H45" s="468"/>
      <c r="I45" s="468"/>
      <c r="J45" s="445" t="str">
        <f t="shared" si="0"/>
        <v>112100ACCRUED LIAB. - TRADE PAYABLE408000</v>
      </c>
      <c r="K45" s="163">
        <f t="shared" si="1"/>
        <v>-910267.33</v>
      </c>
    </row>
    <row r="46" spans="1:11" ht="14.5">
      <c r="A46" s="468">
        <v>112</v>
      </c>
      <c r="B46" s="468">
        <v>2040</v>
      </c>
      <c r="C46" s="468">
        <v>200</v>
      </c>
      <c r="D46" s="468" t="s">
        <v>50</v>
      </c>
      <c r="E46" s="468">
        <v>-49360</v>
      </c>
      <c r="F46" s="468">
        <v>408000</v>
      </c>
      <c r="G46" s="468"/>
      <c r="H46" s="468"/>
      <c r="I46" s="468"/>
      <c r="J46" s="445" t="str">
        <f t="shared" si="0"/>
        <v>112200ACCRUED LIAB. - AUDIT FEES408000</v>
      </c>
      <c r="K46" s="163">
        <f t="shared" si="1"/>
        <v>-49360</v>
      </c>
    </row>
    <row r="47" spans="1:11" ht="14.5">
      <c r="A47" s="468">
        <v>112</v>
      </c>
      <c r="B47" s="468">
        <v>2055</v>
      </c>
      <c r="C47" s="468"/>
      <c r="D47" s="468" t="s">
        <v>51</v>
      </c>
      <c r="E47" s="468">
        <v>-347678.52</v>
      </c>
      <c r="F47" s="468">
        <v>408000</v>
      </c>
      <c r="G47" s="468"/>
      <c r="H47" s="468"/>
      <c r="I47" s="468"/>
      <c r="J47" s="445" t="str">
        <f t="shared" si="0"/>
        <v>112RECEIVED NOT VOUCHERED - 3RD P408000</v>
      </c>
      <c r="K47" s="163">
        <f t="shared" si="1"/>
        <v>-347678.52</v>
      </c>
    </row>
    <row r="48" spans="1:11" ht="14.5">
      <c r="A48" s="468">
        <v>112</v>
      </c>
      <c r="B48" s="468">
        <v>2070</v>
      </c>
      <c r="C48" s="468">
        <v>104</v>
      </c>
      <c r="D48" s="468" t="s">
        <v>52</v>
      </c>
      <c r="E48" s="468">
        <v>-283.92</v>
      </c>
      <c r="F48" s="468">
        <v>402000</v>
      </c>
      <c r="G48" s="468"/>
      <c r="H48" s="468"/>
      <c r="I48" s="468"/>
      <c r="J48" s="445" t="str">
        <f t="shared" si="0"/>
        <v>112104SILLIKER FRANCE402000</v>
      </c>
      <c r="K48" s="163">
        <f t="shared" si="1"/>
        <v>-283.92</v>
      </c>
    </row>
    <row r="49" spans="1:11" ht="14.5">
      <c r="A49" s="468">
        <v>112</v>
      </c>
      <c r="B49" s="468">
        <v>2070</v>
      </c>
      <c r="C49" s="468">
        <v>113</v>
      </c>
      <c r="D49" s="468" t="s">
        <v>19</v>
      </c>
      <c r="E49" s="468">
        <v>-12586.16</v>
      </c>
      <c r="F49" s="468">
        <v>402000</v>
      </c>
      <c r="G49" s="468"/>
      <c r="H49" s="468"/>
      <c r="I49" s="468"/>
      <c r="J49" s="445" t="str">
        <f t="shared" si="0"/>
        <v>112113SILLIKER USA402000</v>
      </c>
      <c r="K49" s="163">
        <f t="shared" si="1"/>
        <v>-12586.16</v>
      </c>
    </row>
    <row r="50" spans="1:11" ht="14.5">
      <c r="A50" s="468">
        <v>112</v>
      </c>
      <c r="B50" s="468">
        <v>2070</v>
      </c>
      <c r="C50" s="468">
        <v>117</v>
      </c>
      <c r="D50" s="468" t="s">
        <v>20</v>
      </c>
      <c r="E50" s="468">
        <v>-835877.97</v>
      </c>
      <c r="F50" s="468">
        <v>402000</v>
      </c>
      <c r="G50" s="468"/>
      <c r="H50" s="468"/>
      <c r="I50" s="468"/>
      <c r="J50" s="445" t="str">
        <f t="shared" si="0"/>
        <v>112117Silliker - MNS USA402000</v>
      </c>
      <c r="K50" s="163">
        <f t="shared" si="1"/>
        <v>-835877.97</v>
      </c>
    </row>
    <row r="51" spans="1:11" ht="14.5">
      <c r="A51" s="468">
        <v>112</v>
      </c>
      <c r="B51" s="468">
        <v>2070</v>
      </c>
      <c r="C51" s="468">
        <v>136</v>
      </c>
      <c r="D51" s="468" t="s">
        <v>21</v>
      </c>
      <c r="E51" s="468"/>
      <c r="F51" s="468">
        <v>402000</v>
      </c>
      <c r="G51" s="468"/>
      <c r="H51" s="468"/>
      <c r="I51" s="468"/>
      <c r="J51" s="445" t="str">
        <f t="shared" si="0"/>
        <v>112136SILLIKER SHANGHAÏ TESTING402000</v>
      </c>
      <c r="K51" s="163">
        <f t="shared" si="1"/>
        <v>0</v>
      </c>
    </row>
    <row r="52" spans="1:11" ht="14.5">
      <c r="A52" s="468">
        <v>112</v>
      </c>
      <c r="B52" s="468">
        <v>2070</v>
      </c>
      <c r="C52" s="468">
        <v>152</v>
      </c>
      <c r="D52" s="468" t="s">
        <v>53</v>
      </c>
      <c r="E52" s="468">
        <v>-1615.52</v>
      </c>
      <c r="F52" s="468">
        <v>402000</v>
      </c>
      <c r="G52" s="468"/>
      <c r="H52" s="468"/>
      <c r="I52" s="468"/>
      <c r="J52" s="445" t="str">
        <f t="shared" si="0"/>
        <v>112152SWIFT SILLIKER402000</v>
      </c>
      <c r="K52" s="163">
        <f t="shared" si="1"/>
        <v>-1615.52</v>
      </c>
    </row>
    <row r="53" spans="1:11" ht="14.5">
      <c r="A53" s="468">
        <v>112</v>
      </c>
      <c r="B53" s="468">
        <v>2070</v>
      </c>
      <c r="C53" s="468">
        <v>154</v>
      </c>
      <c r="D53" s="468" t="s">
        <v>15</v>
      </c>
      <c r="E53" s="468"/>
      <c r="F53" s="468">
        <v>402000</v>
      </c>
      <c r="G53" s="468"/>
      <c r="H53" s="468"/>
      <c r="I53" s="468"/>
      <c r="J53" s="445" t="str">
        <f t="shared" si="0"/>
        <v>112154Silliker - Chelab Itlay402000</v>
      </c>
      <c r="K53" s="163">
        <f t="shared" si="1"/>
        <v>0</v>
      </c>
    </row>
    <row r="54" spans="1:11" ht="14.5">
      <c r="A54" s="468">
        <v>112</v>
      </c>
      <c r="B54" s="468">
        <v>2070</v>
      </c>
      <c r="C54" s="468">
        <v>171</v>
      </c>
      <c r="D54" s="468" t="s">
        <v>54</v>
      </c>
      <c r="E54" s="468">
        <v>-3946.84</v>
      </c>
      <c r="F54" s="468">
        <v>402000</v>
      </c>
      <c r="G54" s="468"/>
      <c r="H54" s="468"/>
      <c r="I54" s="468"/>
      <c r="J54" s="445" t="str">
        <f t="shared" si="0"/>
        <v>112171Merieux Nutrisciences Certific402000</v>
      </c>
      <c r="K54" s="163">
        <f t="shared" si="1"/>
        <v>-3946.84</v>
      </c>
    </row>
    <row r="55" spans="1:11" ht="14.5">
      <c r="A55" s="468">
        <v>112</v>
      </c>
      <c r="B55" s="468">
        <v>2070</v>
      </c>
      <c r="C55" s="468">
        <v>177</v>
      </c>
      <c r="D55" s="468" t="s">
        <v>55</v>
      </c>
      <c r="E55" s="468"/>
      <c r="F55" s="468">
        <v>402000</v>
      </c>
      <c r="G55" s="468"/>
      <c r="H55" s="468"/>
      <c r="I55" s="468"/>
      <c r="J55" s="445" t="str">
        <f t="shared" si="0"/>
        <v>112177  EMAP Holdings LLC402000</v>
      </c>
      <c r="K55" s="163">
        <f t="shared" si="1"/>
        <v>0</v>
      </c>
    </row>
    <row r="56" spans="1:11" ht="14.5">
      <c r="A56" s="468">
        <v>112</v>
      </c>
      <c r="B56" s="468">
        <v>2070</v>
      </c>
      <c r="C56" s="468">
        <v>180</v>
      </c>
      <c r="D56" s="468" t="s">
        <v>56</v>
      </c>
      <c r="E56" s="468"/>
      <c r="F56" s="468">
        <v>402000</v>
      </c>
      <c r="G56" s="468"/>
      <c r="H56" s="468"/>
      <c r="I56" s="468"/>
      <c r="J56" s="445" t="str">
        <f t="shared" si="0"/>
        <v>112180MXNS Digital Solution LLC402000</v>
      </c>
      <c r="K56" s="163">
        <f t="shared" si="1"/>
        <v>0</v>
      </c>
    </row>
    <row r="57" spans="1:11" ht="14.5">
      <c r="A57" s="468">
        <v>112</v>
      </c>
      <c r="B57" s="468">
        <v>2115</v>
      </c>
      <c r="C57" s="468"/>
      <c r="D57" s="468" t="s">
        <v>57</v>
      </c>
      <c r="E57" s="468">
        <v>-684966.68</v>
      </c>
      <c r="F57" s="468" t="s">
        <v>58</v>
      </c>
      <c r="G57" s="468"/>
      <c r="H57" s="468"/>
      <c r="I57" s="468"/>
      <c r="J57" s="445" t="str">
        <f t="shared" si="0"/>
        <v>112NOTE PAYABLE ST - OP LEASE1686C0</v>
      </c>
      <c r="K57" s="163">
        <f t="shared" si="1"/>
        <v>-684966.68</v>
      </c>
    </row>
    <row r="58" spans="1:11" ht="14.5">
      <c r="A58" s="468">
        <v>112</v>
      </c>
      <c r="B58" s="468">
        <v>2150</v>
      </c>
      <c r="C58" s="468"/>
      <c r="D58" s="468" t="s">
        <v>59</v>
      </c>
      <c r="E58" s="468">
        <v>-93090</v>
      </c>
      <c r="F58" s="468" t="s">
        <v>60</v>
      </c>
      <c r="G58" s="468"/>
      <c r="H58" s="468"/>
      <c r="I58" s="468"/>
      <c r="J58" s="445" t="str">
        <f t="shared" si="0"/>
        <v>112PAYROLL WITHHOLDING42P001</v>
      </c>
      <c r="K58" s="163">
        <f t="shared" si="1"/>
        <v>-93090</v>
      </c>
    </row>
    <row r="59" spans="1:11" ht="14.5">
      <c r="A59" s="468">
        <v>112</v>
      </c>
      <c r="B59" s="468">
        <v>2160</v>
      </c>
      <c r="C59" s="468"/>
      <c r="D59" s="468" t="s">
        <v>61</v>
      </c>
      <c r="E59" s="468">
        <v>-127198.52</v>
      </c>
      <c r="F59" s="468" t="s">
        <v>62</v>
      </c>
      <c r="G59" s="468"/>
      <c r="H59" s="468"/>
      <c r="I59" s="468"/>
      <c r="J59" s="445" t="str">
        <f t="shared" si="0"/>
        <v>112ACCRUED PAYROLL42P002</v>
      </c>
      <c r="K59" s="163">
        <f t="shared" si="1"/>
        <v>-127198.52</v>
      </c>
    </row>
    <row r="60" spans="1:11" ht="14.5">
      <c r="A60" s="468">
        <v>112</v>
      </c>
      <c r="B60" s="468">
        <v>2160</v>
      </c>
      <c r="C60" s="468">
        <v>100</v>
      </c>
      <c r="D60" s="468" t="s">
        <v>63</v>
      </c>
      <c r="E60" s="468"/>
      <c r="F60" s="468" t="s">
        <v>62</v>
      </c>
      <c r="G60" s="468"/>
      <c r="H60" s="468"/>
      <c r="I60" s="468"/>
      <c r="J60" s="445" t="str">
        <f t="shared" si="0"/>
        <v>112100PAYROLL CLEARING42P002</v>
      </c>
      <c r="K60" s="163">
        <f t="shared" si="1"/>
        <v>0</v>
      </c>
    </row>
    <row r="61" spans="1:11" ht="14.5">
      <c r="A61" s="468">
        <v>112</v>
      </c>
      <c r="B61" s="468">
        <v>2160</v>
      </c>
      <c r="C61" s="468">
        <v>200</v>
      </c>
      <c r="D61" s="468" t="s">
        <v>64</v>
      </c>
      <c r="E61" s="468">
        <v>-247152.2</v>
      </c>
      <c r="F61" s="468" t="s">
        <v>62</v>
      </c>
      <c r="G61" s="468"/>
      <c r="H61" s="468"/>
      <c r="I61" s="468"/>
      <c r="J61" s="445" t="str">
        <f t="shared" si="0"/>
        <v>112200SUPER CLEARING42P002</v>
      </c>
      <c r="K61" s="163">
        <f t="shared" si="1"/>
        <v>-247152.2</v>
      </c>
    </row>
    <row r="62" spans="1:11" ht="14.5">
      <c r="A62" s="468">
        <v>112</v>
      </c>
      <c r="B62" s="468">
        <v>2170</v>
      </c>
      <c r="C62" s="468"/>
      <c r="D62" s="468" t="s">
        <v>65</v>
      </c>
      <c r="E62" s="468">
        <v>-49668.62</v>
      </c>
      <c r="F62" s="468" t="s">
        <v>66</v>
      </c>
      <c r="G62" s="468"/>
      <c r="H62" s="468"/>
      <c r="I62" s="468"/>
      <c r="J62" s="445" t="str">
        <f t="shared" si="0"/>
        <v>112ACCRUED PAYROLL TAXES42P000</v>
      </c>
      <c r="K62" s="163">
        <f t="shared" si="1"/>
        <v>-49668.62</v>
      </c>
    </row>
    <row r="63" spans="1:11" ht="14.5">
      <c r="A63" s="468">
        <v>112</v>
      </c>
      <c r="B63" s="468">
        <v>2170</v>
      </c>
      <c r="C63" s="468">
        <v>100</v>
      </c>
      <c r="D63" s="468" t="s">
        <v>67</v>
      </c>
      <c r="E63" s="468">
        <v>-2725</v>
      </c>
      <c r="F63" s="468" t="s">
        <v>66</v>
      </c>
      <c r="G63" s="468"/>
      <c r="H63" s="468"/>
      <c r="I63" s="468"/>
      <c r="J63" s="445" t="str">
        <f t="shared" si="0"/>
        <v>112100ACCRUED FBT42P000</v>
      </c>
      <c r="K63" s="163">
        <f t="shared" si="1"/>
        <v>-2725</v>
      </c>
    </row>
    <row r="64" spans="1:11" ht="14.5">
      <c r="A64" s="468">
        <v>112</v>
      </c>
      <c r="B64" s="468">
        <v>2180</v>
      </c>
      <c r="C64" s="468">
        <v>100</v>
      </c>
      <c r="D64" s="468" t="s">
        <v>68</v>
      </c>
      <c r="E64" s="468">
        <v>-715276.45</v>
      </c>
      <c r="F64" s="468" t="s">
        <v>69</v>
      </c>
      <c r="G64" s="468"/>
      <c r="H64" s="468"/>
      <c r="I64" s="468"/>
      <c r="J64" s="445" t="str">
        <f t="shared" si="0"/>
        <v>112100ACCRUED ANNUAL LEAVE42P003</v>
      </c>
      <c r="K64" s="163">
        <f t="shared" si="1"/>
        <v>-715276.45</v>
      </c>
    </row>
    <row r="65" spans="1:11" ht="14.5">
      <c r="A65" s="468">
        <v>112</v>
      </c>
      <c r="B65" s="468">
        <v>2180</v>
      </c>
      <c r="C65" s="468">
        <v>200</v>
      </c>
      <c r="D65" s="468" t="s">
        <v>70</v>
      </c>
      <c r="E65" s="468">
        <v>-88303.84</v>
      </c>
      <c r="F65" s="468" t="s">
        <v>69</v>
      </c>
      <c r="G65" s="468"/>
      <c r="H65" s="468"/>
      <c r="I65" s="468"/>
      <c r="J65" s="445" t="str">
        <f t="shared" si="0"/>
        <v>112200ACCRUED ANNUAL LEAVE LOADING42P003</v>
      </c>
      <c r="K65" s="163">
        <f t="shared" si="1"/>
        <v>-88303.84</v>
      </c>
    </row>
    <row r="66" spans="1:11" ht="14.5">
      <c r="A66" s="468">
        <v>112</v>
      </c>
      <c r="B66" s="468">
        <v>2180</v>
      </c>
      <c r="C66" s="468">
        <v>300</v>
      </c>
      <c r="D66" s="468" t="s">
        <v>71</v>
      </c>
      <c r="E66" s="468">
        <v>-487725.03</v>
      </c>
      <c r="F66" s="468" t="s">
        <v>69</v>
      </c>
      <c r="G66" s="468"/>
      <c r="H66" s="468"/>
      <c r="I66" s="468"/>
      <c r="J66" s="445" t="str">
        <f t="shared" si="0"/>
        <v>112300LONG SERVICE LEAVE-CURRENT42P003</v>
      </c>
      <c r="K66" s="163">
        <f t="shared" si="1"/>
        <v>-487725.03</v>
      </c>
    </row>
    <row r="67" spans="1:11" ht="14.5">
      <c r="A67" s="468">
        <v>112</v>
      </c>
      <c r="B67" s="468">
        <v>2180</v>
      </c>
      <c r="C67" s="468">
        <v>400</v>
      </c>
      <c r="D67" s="468" t="s">
        <v>72</v>
      </c>
      <c r="E67" s="468">
        <v>-140154.12</v>
      </c>
      <c r="F67" s="468" t="s">
        <v>69</v>
      </c>
      <c r="G67" s="468"/>
      <c r="H67" s="468"/>
      <c r="I67" s="468"/>
      <c r="J67" s="445" t="str">
        <f t="shared" si="0"/>
        <v>112400LONG SERVICE LEAVE-NON CURRENT42P003</v>
      </c>
      <c r="K67" s="163">
        <f t="shared" si="1"/>
        <v>-140154.12</v>
      </c>
    </row>
    <row r="68" spans="1:11" ht="14.5">
      <c r="A68" s="468">
        <v>112</v>
      </c>
      <c r="B68" s="468">
        <v>2220</v>
      </c>
      <c r="C68" s="468" t="s">
        <v>75</v>
      </c>
      <c r="D68" s="468" t="s">
        <v>76</v>
      </c>
      <c r="E68" s="468">
        <v>-25543955.75</v>
      </c>
      <c r="F68" s="468" t="s">
        <v>77</v>
      </c>
      <c r="G68" s="468"/>
      <c r="H68" s="468"/>
      <c r="I68" s="468"/>
      <c r="J68" s="445" t="str">
        <f t="shared" si="0"/>
        <v>112GSTSALESGST on Sales45P000</v>
      </c>
      <c r="K68" s="163">
        <f t="shared" si="1"/>
        <v>-25543955.75</v>
      </c>
    </row>
    <row r="69" spans="1:11" ht="14.5">
      <c r="A69" s="468">
        <v>112</v>
      </c>
      <c r="B69" s="468">
        <v>2220</v>
      </c>
      <c r="C69" s="468" t="s">
        <v>78</v>
      </c>
      <c r="D69" s="468" t="s">
        <v>79</v>
      </c>
      <c r="E69" s="468">
        <v>14476837.83</v>
      </c>
      <c r="F69" s="468" t="s">
        <v>77</v>
      </c>
      <c r="G69" s="468"/>
      <c r="H69" s="468"/>
      <c r="I69" s="468"/>
      <c r="J69" s="445" t="str">
        <f t="shared" ref="J69:J132" si="2">A69&amp;C69&amp;D69&amp;F69</f>
        <v>112GSTCLRGST Return Clearing45P000</v>
      </c>
      <c r="K69" s="163">
        <f t="shared" ref="K69:K132" si="3">E69</f>
        <v>14476837.83</v>
      </c>
    </row>
    <row r="70" spans="1:11" ht="14.5">
      <c r="A70" s="468">
        <v>112</v>
      </c>
      <c r="B70" s="468">
        <v>2220</v>
      </c>
      <c r="C70" s="468" t="s">
        <v>80</v>
      </c>
      <c r="D70" s="468" t="s">
        <v>81</v>
      </c>
      <c r="E70" s="468">
        <v>11015395.07</v>
      </c>
      <c r="F70" s="468" t="s">
        <v>77</v>
      </c>
      <c r="G70" s="468"/>
      <c r="H70" s="468"/>
      <c r="I70" s="468"/>
      <c r="J70" s="445" t="str">
        <f t="shared" si="2"/>
        <v>112GSTPURCHGST on Purchases45P000</v>
      </c>
      <c r="K70" s="163">
        <f t="shared" si="3"/>
        <v>11015395.07</v>
      </c>
    </row>
    <row r="71" spans="1:11" ht="14.5">
      <c r="A71" s="468">
        <v>112</v>
      </c>
      <c r="B71" s="468">
        <v>2310</v>
      </c>
      <c r="C71" s="468"/>
      <c r="D71" s="468" t="s">
        <v>82</v>
      </c>
      <c r="E71" s="468">
        <v>0.1</v>
      </c>
      <c r="F71" s="468">
        <v>487000</v>
      </c>
      <c r="G71" s="468"/>
      <c r="H71" s="468"/>
      <c r="I71" s="468"/>
      <c r="J71" s="445" t="str">
        <f t="shared" si="2"/>
        <v>112DEFERRED INCOME487000</v>
      </c>
      <c r="K71" s="163">
        <f t="shared" si="3"/>
        <v>0.1</v>
      </c>
    </row>
    <row r="72" spans="1:11" ht="14.5">
      <c r="A72" s="468">
        <v>112</v>
      </c>
      <c r="B72" s="468">
        <v>2330</v>
      </c>
      <c r="C72" s="468"/>
      <c r="D72" s="468" t="s">
        <v>83</v>
      </c>
      <c r="E72" s="468">
        <v>-2316883.27</v>
      </c>
      <c r="F72" s="468">
        <v>159000</v>
      </c>
      <c r="G72" s="468"/>
      <c r="H72" s="468"/>
      <c r="I72" s="468"/>
      <c r="J72" s="445" t="str">
        <f t="shared" si="2"/>
        <v>112DEFERRED TAX LIABILITY - ST159000</v>
      </c>
      <c r="K72" s="163">
        <f t="shared" si="3"/>
        <v>-2316883.27</v>
      </c>
    </row>
    <row r="73" spans="1:11" ht="14.5">
      <c r="A73" s="468">
        <v>112</v>
      </c>
      <c r="B73" s="468">
        <v>2421</v>
      </c>
      <c r="C73" s="468"/>
      <c r="D73" s="468" t="s">
        <v>84</v>
      </c>
      <c r="E73" s="468">
        <v>-1722457.49</v>
      </c>
      <c r="F73" s="468" t="s">
        <v>85</v>
      </c>
      <c r="G73" s="468"/>
      <c r="H73" s="468"/>
      <c r="I73" s="468"/>
      <c r="J73" s="445" t="str">
        <f t="shared" si="2"/>
        <v>112EXT NOTE PAYABLE LT - OP LEASE1686NC</v>
      </c>
      <c r="K73" s="163">
        <f t="shared" si="3"/>
        <v>-1722457.49</v>
      </c>
    </row>
    <row r="74" spans="1:11" ht="14.5">
      <c r="A74" s="468">
        <v>112</v>
      </c>
      <c r="B74" s="468">
        <v>2480</v>
      </c>
      <c r="C74" s="468"/>
      <c r="D74" s="468" t="s">
        <v>86</v>
      </c>
      <c r="E74" s="468">
        <v>-3100000</v>
      </c>
      <c r="F74" s="468">
        <v>174000</v>
      </c>
      <c r="G74" s="468"/>
      <c r="H74" s="468"/>
      <c r="I74" s="468"/>
      <c r="J74" s="445" t="str">
        <f t="shared" si="2"/>
        <v>112DUE TO AFFILIATES - GROUP LOAN174000</v>
      </c>
      <c r="K74" s="163">
        <f t="shared" si="3"/>
        <v>-3100000</v>
      </c>
    </row>
    <row r="75" spans="1:11" ht="14.5">
      <c r="A75" s="468">
        <v>112</v>
      </c>
      <c r="B75" s="468">
        <v>2911</v>
      </c>
      <c r="C75" s="468"/>
      <c r="D75" s="468" t="s">
        <v>87</v>
      </c>
      <c r="E75" s="468">
        <v>-4054883.8</v>
      </c>
      <c r="F75" s="468">
        <v>101000</v>
      </c>
      <c r="G75" s="468"/>
      <c r="H75" s="468"/>
      <c r="I75" s="468"/>
      <c r="J75" s="445" t="str">
        <f t="shared" si="2"/>
        <v>112COMMON STOCK101000</v>
      </c>
      <c r="K75" s="163">
        <f t="shared" si="3"/>
        <v>-4054883.8</v>
      </c>
    </row>
    <row r="76" spans="1:11" ht="14.5">
      <c r="A76" s="468">
        <v>112</v>
      </c>
      <c r="B76" s="468">
        <v>2931</v>
      </c>
      <c r="C76" s="468"/>
      <c r="D76" s="468" t="s">
        <v>88</v>
      </c>
      <c r="E76" s="468">
        <v>-1494785.1</v>
      </c>
      <c r="F76" s="468">
        <v>106100</v>
      </c>
      <c r="G76" s="468"/>
      <c r="H76" s="468"/>
      <c r="I76" s="468"/>
      <c r="J76" s="445" t="str">
        <f t="shared" si="2"/>
        <v>112RETAINED EARNINGS106100</v>
      </c>
      <c r="K76" s="163">
        <f t="shared" si="3"/>
        <v>-1494785.1</v>
      </c>
    </row>
    <row r="77" spans="1:11" ht="14.5">
      <c r="A77" s="468">
        <v>112</v>
      </c>
      <c r="B77" s="468">
        <v>2931</v>
      </c>
      <c r="C77" s="468">
        <v>100</v>
      </c>
      <c r="D77" s="468" t="s">
        <v>89</v>
      </c>
      <c r="E77" s="468">
        <v>3863449.07</v>
      </c>
      <c r="F77" s="468">
        <v>106100</v>
      </c>
      <c r="G77" s="468"/>
      <c r="H77" s="468"/>
      <c r="I77" s="468"/>
      <c r="J77" s="445" t="str">
        <f t="shared" si="2"/>
        <v>112100OPENING RET EARNINGS-PR106100</v>
      </c>
      <c r="K77" s="163">
        <f t="shared" si="3"/>
        <v>3863449.07</v>
      </c>
    </row>
    <row r="78" spans="1:11" ht="14.5">
      <c r="A78" s="468">
        <v>12020112</v>
      </c>
      <c r="B78" s="468">
        <v>3100</v>
      </c>
      <c r="C78" s="468"/>
      <c r="D78" s="468" t="s">
        <v>90</v>
      </c>
      <c r="E78" s="468">
        <v>-52913.56</v>
      </c>
      <c r="F78" s="468">
        <v>70600000</v>
      </c>
      <c r="G78" s="468"/>
      <c r="H78" s="468"/>
      <c r="I78" s="468"/>
      <c r="J78" s="445" t="str">
        <f t="shared" si="2"/>
        <v>12020112OPERATING REVENUE- THIRD PARTY70600000</v>
      </c>
      <c r="K78" s="163">
        <f t="shared" si="3"/>
        <v>-52913.56</v>
      </c>
    </row>
    <row r="79" spans="1:11" ht="14.5">
      <c r="A79" s="468">
        <v>12010161</v>
      </c>
      <c r="B79" s="468">
        <v>3100</v>
      </c>
      <c r="C79" s="468"/>
      <c r="D79" s="468" t="s">
        <v>90</v>
      </c>
      <c r="E79" s="468">
        <v>-7565.75</v>
      </c>
      <c r="F79" s="468">
        <v>70600000</v>
      </c>
      <c r="G79" s="468"/>
      <c r="H79" s="468"/>
      <c r="I79" s="468"/>
      <c r="J79" s="445" t="str">
        <f t="shared" si="2"/>
        <v>12010161OPERATING REVENUE- THIRD PARTY70600000</v>
      </c>
      <c r="K79" s="163">
        <f t="shared" si="3"/>
        <v>-7565.75</v>
      </c>
    </row>
    <row r="80" spans="1:11" ht="14.5">
      <c r="A80" s="468">
        <v>12020111</v>
      </c>
      <c r="B80" s="468">
        <v>3100</v>
      </c>
      <c r="C80" s="468"/>
      <c r="D80" s="468" t="s">
        <v>90</v>
      </c>
      <c r="E80" s="468">
        <v>-5182612.18</v>
      </c>
      <c r="F80" s="468">
        <v>70600000</v>
      </c>
      <c r="G80" s="468"/>
      <c r="H80" s="468"/>
      <c r="I80" s="468"/>
      <c r="J80" s="445" t="str">
        <f t="shared" si="2"/>
        <v>12020111OPERATING REVENUE- THIRD PARTY70600000</v>
      </c>
      <c r="K80" s="163">
        <f t="shared" si="3"/>
        <v>-5182612.18</v>
      </c>
    </row>
    <row r="81" spans="1:11" ht="14.5">
      <c r="A81" s="468">
        <v>12010150</v>
      </c>
      <c r="B81" s="468">
        <v>3100</v>
      </c>
      <c r="C81" s="468"/>
      <c r="D81" s="468" t="s">
        <v>90</v>
      </c>
      <c r="E81" s="468">
        <v>-2392431.69</v>
      </c>
      <c r="F81" s="468">
        <v>70600000</v>
      </c>
      <c r="G81" s="468"/>
      <c r="H81" s="468"/>
      <c r="I81" s="468"/>
      <c r="J81" s="445" t="str">
        <f t="shared" si="2"/>
        <v>12010150OPERATING REVENUE- THIRD PARTY70600000</v>
      </c>
      <c r="K81" s="163">
        <f t="shared" si="3"/>
        <v>-2392431.69</v>
      </c>
    </row>
    <row r="82" spans="1:11" ht="14.5">
      <c r="A82" s="468">
        <v>12010160</v>
      </c>
      <c r="B82" s="468">
        <v>3100</v>
      </c>
      <c r="C82" s="468"/>
      <c r="D82" s="468" t="s">
        <v>90</v>
      </c>
      <c r="E82" s="468">
        <v>-7906.5</v>
      </c>
      <c r="F82" s="468">
        <v>70600000</v>
      </c>
      <c r="G82" s="468"/>
      <c r="H82" s="468"/>
      <c r="I82" s="468"/>
      <c r="J82" s="445" t="str">
        <f t="shared" si="2"/>
        <v>12010160OPERATING REVENUE- THIRD PARTY70600000</v>
      </c>
      <c r="K82" s="163">
        <f t="shared" si="3"/>
        <v>-7906.5</v>
      </c>
    </row>
    <row r="83" spans="1:11" ht="14.5">
      <c r="A83" s="468">
        <v>12010112</v>
      </c>
      <c r="B83" s="468">
        <v>3100</v>
      </c>
      <c r="C83" s="468"/>
      <c r="D83" s="468" t="s">
        <v>90</v>
      </c>
      <c r="E83" s="468">
        <v>7616.15</v>
      </c>
      <c r="F83" s="468">
        <v>70600000</v>
      </c>
      <c r="G83" s="468"/>
      <c r="H83" s="468"/>
      <c r="I83" s="468"/>
      <c r="J83" s="445" t="str">
        <f t="shared" si="2"/>
        <v>12010112OPERATING REVENUE- THIRD PARTY70600000</v>
      </c>
      <c r="K83" s="163">
        <f t="shared" si="3"/>
        <v>7616.15</v>
      </c>
    </row>
    <row r="84" spans="1:11" ht="14.5">
      <c r="A84" s="468">
        <v>12060122</v>
      </c>
      <c r="B84" s="468">
        <v>3100</v>
      </c>
      <c r="C84" s="468"/>
      <c r="D84" s="468" t="s">
        <v>90</v>
      </c>
      <c r="E84" s="468">
        <v>-328767.52</v>
      </c>
      <c r="F84" s="468">
        <v>70600000</v>
      </c>
      <c r="G84" s="468"/>
      <c r="H84" s="468"/>
      <c r="I84" s="468"/>
      <c r="J84" s="445" t="str">
        <f t="shared" si="2"/>
        <v>12060122OPERATING REVENUE- THIRD PARTY70600000</v>
      </c>
      <c r="K84" s="163">
        <f t="shared" si="3"/>
        <v>-328767.52</v>
      </c>
    </row>
    <row r="85" spans="1:11" ht="14.5">
      <c r="A85" s="468">
        <v>12060113</v>
      </c>
      <c r="B85" s="468">
        <v>3100</v>
      </c>
      <c r="C85" s="468"/>
      <c r="D85" s="468" t="s">
        <v>90</v>
      </c>
      <c r="E85" s="468">
        <v>-410301.87</v>
      </c>
      <c r="F85" s="468">
        <v>70600000</v>
      </c>
      <c r="G85" s="468"/>
      <c r="H85" s="468"/>
      <c r="I85" s="468"/>
      <c r="J85" s="445" t="str">
        <f t="shared" si="2"/>
        <v>12060113OPERATING REVENUE- THIRD PARTY70600000</v>
      </c>
      <c r="K85" s="163">
        <f t="shared" si="3"/>
        <v>-410301.87</v>
      </c>
    </row>
    <row r="86" spans="1:11" ht="14.5">
      <c r="A86" s="468">
        <v>12060121</v>
      </c>
      <c r="B86" s="468">
        <v>3100</v>
      </c>
      <c r="C86" s="468"/>
      <c r="D86" s="468" t="s">
        <v>90</v>
      </c>
      <c r="E86" s="468">
        <v>-209541.37</v>
      </c>
      <c r="F86" s="468">
        <v>70600000</v>
      </c>
      <c r="G86" s="468"/>
      <c r="H86" s="468"/>
      <c r="I86" s="468"/>
      <c r="J86" s="445" t="str">
        <f t="shared" si="2"/>
        <v>12060121OPERATING REVENUE- THIRD PARTY70600000</v>
      </c>
      <c r="K86" s="163">
        <f t="shared" si="3"/>
        <v>-209541.37</v>
      </c>
    </row>
    <row r="87" spans="1:11" ht="14.5">
      <c r="A87" s="468">
        <v>12060112</v>
      </c>
      <c r="B87" s="468">
        <v>3100</v>
      </c>
      <c r="C87" s="468"/>
      <c r="D87" s="468" t="s">
        <v>90</v>
      </c>
      <c r="E87" s="468">
        <v>-62104.09</v>
      </c>
      <c r="F87" s="468">
        <v>70600000</v>
      </c>
      <c r="G87" s="468"/>
      <c r="H87" s="468"/>
      <c r="I87" s="468"/>
      <c r="J87" s="445" t="str">
        <f t="shared" si="2"/>
        <v>12060112OPERATING REVENUE- THIRD PARTY70600000</v>
      </c>
      <c r="K87" s="163">
        <f t="shared" si="3"/>
        <v>-62104.09</v>
      </c>
    </row>
    <row r="88" spans="1:11" ht="14.5">
      <c r="A88" s="468">
        <v>12040122</v>
      </c>
      <c r="B88" s="468">
        <v>3100</v>
      </c>
      <c r="C88" s="468"/>
      <c r="D88" s="468" t="s">
        <v>90</v>
      </c>
      <c r="E88" s="468">
        <v>-72558.63</v>
      </c>
      <c r="F88" s="468">
        <v>70600000</v>
      </c>
      <c r="G88" s="468"/>
      <c r="H88" s="468"/>
      <c r="I88" s="468"/>
      <c r="J88" s="445" t="str">
        <f t="shared" si="2"/>
        <v>12040122OPERATING REVENUE- THIRD PARTY70600000</v>
      </c>
      <c r="K88" s="163">
        <f t="shared" si="3"/>
        <v>-72558.63</v>
      </c>
    </row>
    <row r="89" spans="1:11" ht="14.5">
      <c r="A89" s="468">
        <v>12040123</v>
      </c>
      <c r="B89" s="468">
        <v>3100</v>
      </c>
      <c r="C89" s="468"/>
      <c r="D89" s="468" t="s">
        <v>90</v>
      </c>
      <c r="E89" s="468">
        <v>-282659.28000000003</v>
      </c>
      <c r="F89" s="468">
        <v>70600000</v>
      </c>
      <c r="G89" s="468"/>
      <c r="H89" s="468"/>
      <c r="I89" s="468"/>
      <c r="J89" s="445" t="str">
        <f t="shared" si="2"/>
        <v>12040123OPERATING REVENUE- THIRD PARTY70600000</v>
      </c>
      <c r="K89" s="163">
        <f t="shared" si="3"/>
        <v>-282659.28000000003</v>
      </c>
    </row>
    <row r="90" spans="1:11" ht="14.5">
      <c r="A90" s="468">
        <v>12044000</v>
      </c>
      <c r="B90" s="468">
        <v>3100</v>
      </c>
      <c r="C90" s="468"/>
      <c r="D90" s="468" t="s">
        <v>90</v>
      </c>
      <c r="E90" s="468">
        <v>-41330</v>
      </c>
      <c r="F90" s="468">
        <v>70600000</v>
      </c>
      <c r="G90" s="468"/>
      <c r="H90" s="468"/>
      <c r="I90" s="468"/>
      <c r="J90" s="445" t="str">
        <f t="shared" si="2"/>
        <v>12044000OPERATING REVENUE- THIRD PARTY70600000</v>
      </c>
      <c r="K90" s="163">
        <f t="shared" si="3"/>
        <v>-41330</v>
      </c>
    </row>
    <row r="91" spans="1:11" ht="14.5">
      <c r="A91" s="468">
        <v>12060111</v>
      </c>
      <c r="B91" s="468">
        <v>3100</v>
      </c>
      <c r="C91" s="468"/>
      <c r="D91" s="468" t="s">
        <v>90</v>
      </c>
      <c r="E91" s="468">
        <v>-1419974.75</v>
      </c>
      <c r="F91" s="468">
        <v>70600000</v>
      </c>
      <c r="G91" s="468"/>
      <c r="H91" s="468"/>
      <c r="I91" s="468"/>
      <c r="J91" s="445" t="str">
        <f t="shared" si="2"/>
        <v>12060111OPERATING REVENUE- THIRD PARTY70600000</v>
      </c>
      <c r="K91" s="163">
        <f t="shared" si="3"/>
        <v>-1419974.75</v>
      </c>
    </row>
    <row r="92" spans="1:11" ht="14.5">
      <c r="A92" s="468">
        <v>12040113</v>
      </c>
      <c r="B92" s="468">
        <v>3100</v>
      </c>
      <c r="C92" s="468"/>
      <c r="D92" s="468" t="s">
        <v>90</v>
      </c>
      <c r="E92" s="468">
        <v>-119654.79</v>
      </c>
      <c r="F92" s="468">
        <v>70600000</v>
      </c>
      <c r="G92" s="468"/>
      <c r="H92" s="468"/>
      <c r="I92" s="468"/>
      <c r="J92" s="445" t="str">
        <f t="shared" si="2"/>
        <v>12040113OPERATING REVENUE- THIRD PARTY70600000</v>
      </c>
      <c r="K92" s="163">
        <f t="shared" si="3"/>
        <v>-119654.79</v>
      </c>
    </row>
    <row r="93" spans="1:11" ht="14.5">
      <c r="A93" s="468">
        <v>12040121</v>
      </c>
      <c r="B93" s="468">
        <v>3100</v>
      </c>
      <c r="C93" s="468"/>
      <c r="D93" s="468" t="s">
        <v>90</v>
      </c>
      <c r="E93" s="468">
        <v>-146087.79999999999</v>
      </c>
      <c r="F93" s="468">
        <v>70600000</v>
      </c>
      <c r="G93" s="468"/>
      <c r="H93" s="468"/>
      <c r="I93" s="468"/>
      <c r="J93" s="445" t="str">
        <f t="shared" si="2"/>
        <v>12040121OPERATING REVENUE- THIRD PARTY70600000</v>
      </c>
      <c r="K93" s="163">
        <f t="shared" si="3"/>
        <v>-146087.79999999999</v>
      </c>
    </row>
    <row r="94" spans="1:11" ht="14.5">
      <c r="A94" s="468">
        <v>12040111</v>
      </c>
      <c r="B94" s="468">
        <v>3100</v>
      </c>
      <c r="C94" s="468"/>
      <c r="D94" s="468" t="s">
        <v>90</v>
      </c>
      <c r="E94" s="468">
        <v>-2190382.7200000002</v>
      </c>
      <c r="F94" s="468">
        <v>70600000</v>
      </c>
      <c r="G94" s="468"/>
      <c r="H94" s="468"/>
      <c r="I94" s="468"/>
      <c r="J94" s="445" t="str">
        <f t="shared" si="2"/>
        <v>12040111OPERATING REVENUE- THIRD PARTY70600000</v>
      </c>
      <c r="K94" s="163">
        <f t="shared" si="3"/>
        <v>-2190382.7200000002</v>
      </c>
    </row>
    <row r="95" spans="1:11" ht="14.5">
      <c r="A95" s="468">
        <v>12040112</v>
      </c>
      <c r="B95" s="468">
        <v>3100</v>
      </c>
      <c r="C95" s="468"/>
      <c r="D95" s="468" t="s">
        <v>90</v>
      </c>
      <c r="E95" s="468">
        <v>-12369.54</v>
      </c>
      <c r="F95" s="468">
        <v>70600000</v>
      </c>
      <c r="G95" s="468"/>
      <c r="H95" s="468"/>
      <c r="I95" s="468"/>
      <c r="J95" s="445" t="str">
        <f t="shared" si="2"/>
        <v>12040112OPERATING REVENUE- THIRD PARTY70600000</v>
      </c>
      <c r="K95" s="163">
        <f t="shared" si="3"/>
        <v>-12369.54</v>
      </c>
    </row>
    <row r="96" spans="1:11" ht="14.5">
      <c r="A96" s="468">
        <v>12030123</v>
      </c>
      <c r="B96" s="468">
        <v>3100</v>
      </c>
      <c r="C96" s="468"/>
      <c r="D96" s="468" t="s">
        <v>90</v>
      </c>
      <c r="E96" s="468">
        <v>-5535.14</v>
      </c>
      <c r="F96" s="468">
        <v>70600000</v>
      </c>
      <c r="G96" s="468"/>
      <c r="H96" s="468"/>
      <c r="I96" s="468"/>
      <c r="J96" s="445" t="str">
        <f t="shared" si="2"/>
        <v>12030123OPERATING REVENUE- THIRD PARTY70600000</v>
      </c>
      <c r="K96" s="163">
        <f t="shared" si="3"/>
        <v>-5535.14</v>
      </c>
    </row>
    <row r="97" spans="1:11" ht="14.5">
      <c r="A97" s="468">
        <v>12034000</v>
      </c>
      <c r="B97" s="468">
        <v>3100</v>
      </c>
      <c r="C97" s="468"/>
      <c r="D97" s="468" t="s">
        <v>90</v>
      </c>
      <c r="E97" s="468">
        <v>-122500</v>
      </c>
      <c r="F97" s="468">
        <v>70600000</v>
      </c>
      <c r="G97" s="468"/>
      <c r="H97" s="468"/>
      <c r="I97" s="468"/>
      <c r="J97" s="445" t="str">
        <f t="shared" si="2"/>
        <v>12034000OPERATING REVENUE- THIRD PARTY70600000</v>
      </c>
      <c r="K97" s="163">
        <f t="shared" si="3"/>
        <v>-122500</v>
      </c>
    </row>
    <row r="98" spans="1:11" ht="14.5">
      <c r="A98" s="468">
        <v>12030122</v>
      </c>
      <c r="B98" s="468">
        <v>3100</v>
      </c>
      <c r="C98" s="468"/>
      <c r="D98" s="468" t="s">
        <v>90</v>
      </c>
      <c r="E98" s="468">
        <v>-526998.73</v>
      </c>
      <c r="F98" s="468">
        <v>70600000</v>
      </c>
      <c r="G98" s="468"/>
      <c r="H98" s="468"/>
      <c r="I98" s="468"/>
      <c r="J98" s="445" t="str">
        <f t="shared" si="2"/>
        <v>12030122OPERATING REVENUE- THIRD PARTY70600000</v>
      </c>
      <c r="K98" s="163">
        <f t="shared" si="3"/>
        <v>-526998.73</v>
      </c>
    </row>
    <row r="99" spans="1:11" ht="14.5">
      <c r="A99" s="468">
        <v>12030113</v>
      </c>
      <c r="B99" s="468">
        <v>3100</v>
      </c>
      <c r="C99" s="468"/>
      <c r="D99" s="468" t="s">
        <v>90</v>
      </c>
      <c r="E99" s="468">
        <v>-955719.34</v>
      </c>
      <c r="F99" s="468">
        <v>70600000</v>
      </c>
      <c r="G99" s="468"/>
      <c r="H99" s="468"/>
      <c r="I99" s="468"/>
      <c r="J99" s="445" t="str">
        <f t="shared" si="2"/>
        <v>12030113OPERATING REVENUE- THIRD PARTY70600000</v>
      </c>
      <c r="K99" s="163">
        <f t="shared" si="3"/>
        <v>-955719.34</v>
      </c>
    </row>
    <row r="100" spans="1:11" ht="14.5">
      <c r="A100" s="468">
        <v>12030121</v>
      </c>
      <c r="B100" s="468">
        <v>3100</v>
      </c>
      <c r="C100" s="468"/>
      <c r="D100" s="468" t="s">
        <v>90</v>
      </c>
      <c r="E100" s="468">
        <v>-726587.7</v>
      </c>
      <c r="F100" s="468">
        <v>70600000</v>
      </c>
      <c r="G100" s="468"/>
      <c r="H100" s="468"/>
      <c r="I100" s="468"/>
      <c r="J100" s="445" t="str">
        <f t="shared" si="2"/>
        <v>12030121OPERATING REVENUE- THIRD PARTY70600000</v>
      </c>
      <c r="K100" s="163">
        <f t="shared" si="3"/>
        <v>-726587.7</v>
      </c>
    </row>
    <row r="101" spans="1:11" ht="14.5">
      <c r="A101" s="468">
        <v>12030112</v>
      </c>
      <c r="B101" s="468">
        <v>3100</v>
      </c>
      <c r="C101" s="468"/>
      <c r="D101" s="468" t="s">
        <v>90</v>
      </c>
      <c r="E101" s="468">
        <v>-300395.33</v>
      </c>
      <c r="F101" s="468">
        <v>70600000</v>
      </c>
      <c r="G101" s="468"/>
      <c r="H101" s="468"/>
      <c r="I101" s="468"/>
      <c r="J101" s="445" t="str">
        <f t="shared" si="2"/>
        <v>12030112OPERATING REVENUE- THIRD PARTY70600000</v>
      </c>
      <c r="K101" s="163">
        <f t="shared" si="3"/>
        <v>-300395.33</v>
      </c>
    </row>
    <row r="102" spans="1:11" ht="14.5">
      <c r="A102" s="468">
        <v>12020123</v>
      </c>
      <c r="B102" s="468">
        <v>3100</v>
      </c>
      <c r="C102" s="468"/>
      <c r="D102" s="468" t="s">
        <v>90</v>
      </c>
      <c r="E102" s="468">
        <v>-2506.0700000000002</v>
      </c>
      <c r="F102" s="468">
        <v>70600000</v>
      </c>
      <c r="G102" s="468"/>
      <c r="H102" s="468"/>
      <c r="I102" s="468"/>
      <c r="J102" s="445" t="str">
        <f t="shared" si="2"/>
        <v>12020123OPERATING REVENUE- THIRD PARTY70600000</v>
      </c>
      <c r="K102" s="163">
        <f t="shared" si="3"/>
        <v>-2506.0700000000002</v>
      </c>
    </row>
    <row r="103" spans="1:11" ht="14.5">
      <c r="A103" s="468">
        <v>12024000</v>
      </c>
      <c r="B103" s="468">
        <v>3100</v>
      </c>
      <c r="C103" s="468"/>
      <c r="D103" s="468" t="s">
        <v>90</v>
      </c>
      <c r="E103" s="468">
        <v>-37390</v>
      </c>
      <c r="F103" s="468">
        <v>70600000</v>
      </c>
      <c r="G103" s="468"/>
      <c r="H103" s="468"/>
      <c r="I103" s="468"/>
      <c r="J103" s="445" t="str">
        <f t="shared" si="2"/>
        <v>12024000OPERATING REVENUE- THIRD PARTY70600000</v>
      </c>
      <c r="K103" s="163">
        <f t="shared" si="3"/>
        <v>-37390</v>
      </c>
    </row>
    <row r="104" spans="1:11" ht="14.5">
      <c r="A104" s="468">
        <v>12030111</v>
      </c>
      <c r="B104" s="468">
        <v>3100</v>
      </c>
      <c r="C104" s="468"/>
      <c r="D104" s="468" t="s">
        <v>90</v>
      </c>
      <c r="E104" s="468">
        <v>-4726094.2300000004</v>
      </c>
      <c r="F104" s="468">
        <v>70600000</v>
      </c>
      <c r="G104" s="468"/>
      <c r="H104" s="468"/>
      <c r="I104" s="468"/>
      <c r="J104" s="445" t="str">
        <f t="shared" si="2"/>
        <v>12030111OPERATING REVENUE- THIRD PARTY70600000</v>
      </c>
      <c r="K104" s="163">
        <f t="shared" si="3"/>
        <v>-4726094.2300000004</v>
      </c>
    </row>
    <row r="105" spans="1:11" ht="14.5">
      <c r="A105" s="468">
        <v>12020113</v>
      </c>
      <c r="B105" s="468">
        <v>3100</v>
      </c>
      <c r="C105" s="468"/>
      <c r="D105" s="468" t="s">
        <v>90</v>
      </c>
      <c r="E105" s="468">
        <v>-449687.74</v>
      </c>
      <c r="F105" s="468">
        <v>70600000</v>
      </c>
      <c r="G105" s="468"/>
      <c r="H105" s="468"/>
      <c r="I105" s="468"/>
      <c r="J105" s="445" t="str">
        <f t="shared" si="2"/>
        <v>12020113OPERATING REVENUE- THIRD PARTY70600000</v>
      </c>
      <c r="K105" s="163">
        <f t="shared" si="3"/>
        <v>-449687.74</v>
      </c>
    </row>
    <row r="106" spans="1:11" ht="14.5">
      <c r="A106" s="468">
        <v>12020121</v>
      </c>
      <c r="B106" s="468">
        <v>3100</v>
      </c>
      <c r="C106" s="468"/>
      <c r="D106" s="468" t="s">
        <v>90</v>
      </c>
      <c r="E106" s="468">
        <v>-1092583.6299999999</v>
      </c>
      <c r="F106" s="468">
        <v>70600000</v>
      </c>
      <c r="G106" s="468"/>
      <c r="H106" s="468"/>
      <c r="I106" s="468"/>
      <c r="J106" s="445" t="str">
        <f t="shared" si="2"/>
        <v>12020121OPERATING REVENUE- THIRD PARTY70600000</v>
      </c>
      <c r="K106" s="163">
        <f t="shared" si="3"/>
        <v>-1092583.6299999999</v>
      </c>
    </row>
    <row r="107" spans="1:11" ht="14.5">
      <c r="A107" s="468">
        <v>12020122</v>
      </c>
      <c r="B107" s="468">
        <v>3100</v>
      </c>
      <c r="C107" s="468"/>
      <c r="D107" s="468" t="s">
        <v>90</v>
      </c>
      <c r="E107" s="468">
        <v>-350315.18</v>
      </c>
      <c r="F107" s="468">
        <v>70600000</v>
      </c>
      <c r="G107" s="468"/>
      <c r="H107" s="468"/>
      <c r="I107" s="468"/>
      <c r="J107" s="445" t="str">
        <f t="shared" si="2"/>
        <v>12020122OPERATING REVENUE- THIRD PARTY70600000</v>
      </c>
      <c r="K107" s="163">
        <f t="shared" si="3"/>
        <v>-350315.18</v>
      </c>
    </row>
    <row r="108" spans="1:11" ht="14.5">
      <c r="A108" s="468">
        <v>12014000</v>
      </c>
      <c r="B108" s="468">
        <v>3200</v>
      </c>
      <c r="C108" s="468">
        <v>113</v>
      </c>
      <c r="D108" s="468" t="s">
        <v>19</v>
      </c>
      <c r="E108" s="468">
        <v>-11252.1</v>
      </c>
      <c r="F108" s="468">
        <v>70200000</v>
      </c>
      <c r="G108" s="468"/>
      <c r="H108" s="468"/>
      <c r="I108" s="468"/>
      <c r="J108" s="445" t="str">
        <f t="shared" si="2"/>
        <v>12014000113SILLIKER USA70200000</v>
      </c>
      <c r="K108" s="163">
        <f t="shared" si="3"/>
        <v>-11252.1</v>
      </c>
    </row>
    <row r="109" spans="1:11" ht="14.5">
      <c r="A109" s="468">
        <v>12010150</v>
      </c>
      <c r="B109" s="468">
        <v>3200</v>
      </c>
      <c r="C109" s="468">
        <v>103</v>
      </c>
      <c r="D109" s="468" t="s">
        <v>17</v>
      </c>
      <c r="E109" s="468">
        <v>-100</v>
      </c>
      <c r="F109" s="468">
        <v>70200000</v>
      </c>
      <c r="G109" s="468"/>
      <c r="H109" s="468"/>
      <c r="I109" s="468"/>
      <c r="J109" s="445" t="str">
        <f t="shared" si="2"/>
        <v>12010150103SILLIKER MEXICO70200000</v>
      </c>
      <c r="K109" s="163">
        <f t="shared" si="3"/>
        <v>-100</v>
      </c>
    </row>
    <row r="110" spans="1:11" ht="14.5">
      <c r="A110" s="468">
        <v>12010150</v>
      </c>
      <c r="B110" s="468">
        <v>3200</v>
      </c>
      <c r="C110" s="468">
        <v>104</v>
      </c>
      <c r="D110" s="468" t="s">
        <v>52</v>
      </c>
      <c r="E110" s="468">
        <v>-100</v>
      </c>
      <c r="F110" s="468">
        <v>70200000</v>
      </c>
      <c r="G110" s="468"/>
      <c r="H110" s="468"/>
      <c r="I110" s="468"/>
      <c r="J110" s="445" t="str">
        <f t="shared" si="2"/>
        <v>12010150104SILLIKER FRANCE70200000</v>
      </c>
      <c r="K110" s="163">
        <f t="shared" si="3"/>
        <v>-100</v>
      </c>
    </row>
    <row r="111" spans="1:11" ht="14.5">
      <c r="A111" s="468">
        <v>12010150</v>
      </c>
      <c r="B111" s="468">
        <v>3200</v>
      </c>
      <c r="C111" s="468">
        <v>136</v>
      </c>
      <c r="D111" s="468" t="s">
        <v>21</v>
      </c>
      <c r="E111" s="468">
        <v>-36244</v>
      </c>
      <c r="F111" s="468">
        <v>70200000</v>
      </c>
      <c r="G111" s="468"/>
      <c r="H111" s="468"/>
      <c r="I111" s="468"/>
      <c r="J111" s="445" t="str">
        <f t="shared" si="2"/>
        <v>12010150136SILLIKER SHANGHAÏ TESTING70200000</v>
      </c>
      <c r="K111" s="163">
        <f t="shared" si="3"/>
        <v>-36244</v>
      </c>
    </row>
    <row r="112" spans="1:11" ht="14.5">
      <c r="A112" s="468">
        <v>12010150</v>
      </c>
      <c r="B112" s="468">
        <v>3200</v>
      </c>
      <c r="C112" s="468">
        <v>171</v>
      </c>
      <c r="D112" s="468" t="s">
        <v>54</v>
      </c>
      <c r="E112" s="468">
        <v>-15353.5</v>
      </c>
      <c r="F112" s="468">
        <v>70200000</v>
      </c>
      <c r="G112" s="468"/>
      <c r="H112" s="468"/>
      <c r="I112" s="468"/>
      <c r="J112" s="445" t="str">
        <f t="shared" si="2"/>
        <v>12010150171Merieux Nutrisciences Certific70200000</v>
      </c>
      <c r="K112" s="163">
        <f t="shared" si="3"/>
        <v>-15353.5</v>
      </c>
    </row>
    <row r="113" spans="1:11" ht="14.5">
      <c r="A113" s="468">
        <v>12060121</v>
      </c>
      <c r="B113" s="468">
        <v>3400</v>
      </c>
      <c r="C113" s="468"/>
      <c r="D113" s="468" t="s">
        <v>91</v>
      </c>
      <c r="E113" s="468">
        <v>3749.54</v>
      </c>
      <c r="F113" s="468">
        <v>70900000</v>
      </c>
      <c r="G113" s="468"/>
      <c r="H113" s="468"/>
      <c r="I113" s="468"/>
      <c r="J113" s="445" t="str">
        <f t="shared" si="2"/>
        <v>12060121DISCOUNTS ON 1/3 PARTY REVENUE70900000</v>
      </c>
      <c r="K113" s="163">
        <f t="shared" si="3"/>
        <v>3749.54</v>
      </c>
    </row>
    <row r="114" spans="1:11" ht="14.5">
      <c r="A114" s="468">
        <v>12060111</v>
      </c>
      <c r="B114" s="468">
        <v>3400</v>
      </c>
      <c r="C114" s="468"/>
      <c r="D114" s="468" t="s">
        <v>91</v>
      </c>
      <c r="E114" s="468">
        <v>1779.23</v>
      </c>
      <c r="F114" s="468">
        <v>70900000</v>
      </c>
      <c r="G114" s="468"/>
      <c r="H114" s="468"/>
      <c r="I114" s="468"/>
      <c r="J114" s="445" t="str">
        <f t="shared" si="2"/>
        <v>12060111DISCOUNTS ON 1/3 PARTY REVENUE70900000</v>
      </c>
      <c r="K114" s="163">
        <f t="shared" si="3"/>
        <v>1779.23</v>
      </c>
    </row>
    <row r="115" spans="1:11" ht="14.5">
      <c r="A115" s="468">
        <v>12040121</v>
      </c>
      <c r="B115" s="468">
        <v>3400</v>
      </c>
      <c r="C115" s="468"/>
      <c r="D115" s="468" t="s">
        <v>91</v>
      </c>
      <c r="E115" s="468">
        <v>69.56</v>
      </c>
      <c r="F115" s="468">
        <v>70900000</v>
      </c>
      <c r="G115" s="468"/>
      <c r="H115" s="468"/>
      <c r="I115" s="468"/>
      <c r="J115" s="445" t="str">
        <f t="shared" si="2"/>
        <v>12040121DISCOUNTS ON 1/3 PARTY REVENUE70900000</v>
      </c>
      <c r="K115" s="163">
        <f t="shared" si="3"/>
        <v>69.56</v>
      </c>
    </row>
    <row r="116" spans="1:11" ht="14.5">
      <c r="A116" s="468">
        <v>12040111</v>
      </c>
      <c r="B116" s="468">
        <v>3400</v>
      </c>
      <c r="C116" s="468"/>
      <c r="D116" s="468" t="s">
        <v>91</v>
      </c>
      <c r="E116" s="468">
        <v>1952.4</v>
      </c>
      <c r="F116" s="468">
        <v>70900000</v>
      </c>
      <c r="G116" s="468"/>
      <c r="H116" s="468"/>
      <c r="I116" s="468"/>
      <c r="J116" s="445" t="str">
        <f t="shared" si="2"/>
        <v>12040111DISCOUNTS ON 1/3 PARTY REVENUE70900000</v>
      </c>
      <c r="K116" s="163">
        <f t="shared" si="3"/>
        <v>1952.4</v>
      </c>
    </row>
    <row r="117" spans="1:11" ht="14.5">
      <c r="A117" s="468">
        <v>12030121</v>
      </c>
      <c r="B117" s="468">
        <v>3400</v>
      </c>
      <c r="C117" s="468"/>
      <c r="D117" s="468" t="s">
        <v>91</v>
      </c>
      <c r="E117" s="468">
        <v>7758.67</v>
      </c>
      <c r="F117" s="468">
        <v>70900000</v>
      </c>
      <c r="G117" s="468"/>
      <c r="H117" s="468"/>
      <c r="I117" s="468"/>
      <c r="J117" s="445" t="str">
        <f t="shared" si="2"/>
        <v>12030121DISCOUNTS ON 1/3 PARTY REVENUE70900000</v>
      </c>
      <c r="K117" s="163">
        <f t="shared" si="3"/>
        <v>7758.67</v>
      </c>
    </row>
    <row r="118" spans="1:11" ht="14.5">
      <c r="A118" s="468">
        <v>12030111</v>
      </c>
      <c r="B118" s="468">
        <v>3400</v>
      </c>
      <c r="C118" s="468"/>
      <c r="D118" s="468" t="s">
        <v>91</v>
      </c>
      <c r="E118" s="468">
        <v>61732.17</v>
      </c>
      <c r="F118" s="468">
        <v>70900000</v>
      </c>
      <c r="G118" s="468"/>
      <c r="H118" s="468"/>
      <c r="I118" s="468"/>
      <c r="J118" s="445" t="str">
        <f t="shared" si="2"/>
        <v>12030111DISCOUNTS ON 1/3 PARTY REVENUE70900000</v>
      </c>
      <c r="K118" s="163">
        <f t="shared" si="3"/>
        <v>61732.17</v>
      </c>
    </row>
    <row r="119" spans="1:11" ht="14.5">
      <c r="A119" s="468">
        <v>12020121</v>
      </c>
      <c r="B119" s="468">
        <v>3400</v>
      </c>
      <c r="C119" s="468"/>
      <c r="D119" s="468" t="s">
        <v>91</v>
      </c>
      <c r="E119" s="468">
        <v>9992.89</v>
      </c>
      <c r="F119" s="468">
        <v>70900000</v>
      </c>
      <c r="G119" s="468"/>
      <c r="H119" s="468"/>
      <c r="I119" s="468"/>
      <c r="J119" s="445" t="str">
        <f t="shared" si="2"/>
        <v>12020121DISCOUNTS ON 1/3 PARTY REVENUE70900000</v>
      </c>
      <c r="K119" s="163">
        <f t="shared" si="3"/>
        <v>9992.89</v>
      </c>
    </row>
    <row r="120" spans="1:11" ht="14.5">
      <c r="A120" s="468">
        <v>12020111</v>
      </c>
      <c r="B120" s="468">
        <v>3400</v>
      </c>
      <c r="C120" s="468"/>
      <c r="D120" s="468" t="s">
        <v>91</v>
      </c>
      <c r="E120" s="468">
        <v>4896.3999999999996</v>
      </c>
      <c r="F120" s="468">
        <v>70900000</v>
      </c>
      <c r="G120" s="468"/>
      <c r="H120" s="468"/>
      <c r="I120" s="468"/>
      <c r="J120" s="445" t="str">
        <f t="shared" si="2"/>
        <v>12020111DISCOUNTS ON 1/3 PARTY REVENUE70900000</v>
      </c>
      <c r="K120" s="163">
        <f t="shared" si="3"/>
        <v>4896.3999999999996</v>
      </c>
    </row>
    <row r="121" spans="1:11" ht="14.5">
      <c r="A121" s="468">
        <v>12010500</v>
      </c>
      <c r="B121" s="468">
        <v>4010</v>
      </c>
      <c r="C121" s="468">
        <v>100</v>
      </c>
      <c r="D121" s="468" t="s">
        <v>92</v>
      </c>
      <c r="E121" s="468">
        <v>578158.39</v>
      </c>
      <c r="F121" s="468" t="s">
        <v>93</v>
      </c>
      <c r="G121" s="468"/>
      <c r="H121" s="468"/>
      <c r="I121" s="468"/>
      <c r="J121" s="445" t="str">
        <f t="shared" si="2"/>
        <v>12010500100SALARIES AND WAGES641000LP</v>
      </c>
      <c r="K121" s="163">
        <f t="shared" si="3"/>
        <v>578158.39</v>
      </c>
    </row>
    <row r="122" spans="1:11" ht="14.5">
      <c r="A122" s="468">
        <v>12010500</v>
      </c>
      <c r="B122" s="468">
        <v>4010</v>
      </c>
      <c r="C122" s="468">
        <v>400</v>
      </c>
      <c r="D122" s="468" t="s">
        <v>94</v>
      </c>
      <c r="E122" s="468">
        <v>25299.200000000001</v>
      </c>
      <c r="F122" s="468" t="s">
        <v>93</v>
      </c>
      <c r="G122" s="468"/>
      <c r="H122" s="468"/>
      <c r="I122" s="468"/>
      <c r="J122" s="445" t="str">
        <f t="shared" si="2"/>
        <v>12010500400ALLOWANCES641000LP</v>
      </c>
      <c r="K122" s="163">
        <f t="shared" si="3"/>
        <v>25299.200000000001</v>
      </c>
    </row>
    <row r="123" spans="1:11" ht="14.5">
      <c r="A123" s="468">
        <v>12010500</v>
      </c>
      <c r="B123" s="468">
        <v>4010</v>
      </c>
      <c r="C123" s="468">
        <v>500</v>
      </c>
      <c r="D123" s="468" t="s">
        <v>96</v>
      </c>
      <c r="E123" s="468">
        <v>28500</v>
      </c>
      <c r="F123" s="468" t="s">
        <v>93</v>
      </c>
      <c r="G123" s="468"/>
      <c r="H123" s="468"/>
      <c r="I123" s="468"/>
      <c r="J123" s="445" t="str">
        <f t="shared" si="2"/>
        <v>12010500500TERMINATION641000LP</v>
      </c>
      <c r="K123" s="163">
        <f t="shared" si="3"/>
        <v>28500</v>
      </c>
    </row>
    <row r="124" spans="1:11" ht="14.5">
      <c r="A124" s="468">
        <v>12013300</v>
      </c>
      <c r="B124" s="468">
        <v>4010</v>
      </c>
      <c r="C124" s="468">
        <v>100</v>
      </c>
      <c r="D124" s="468" t="s">
        <v>92</v>
      </c>
      <c r="E124" s="468">
        <v>189424.33</v>
      </c>
      <c r="F124" s="468" t="s">
        <v>95</v>
      </c>
      <c r="G124" s="468"/>
      <c r="H124" s="468"/>
      <c r="I124" s="468"/>
      <c r="J124" s="445" t="str">
        <f t="shared" si="2"/>
        <v>12013300100SALARIES AND WAGES641000IT</v>
      </c>
      <c r="K124" s="163">
        <f t="shared" si="3"/>
        <v>189424.33</v>
      </c>
    </row>
    <row r="125" spans="1:11" ht="14.5">
      <c r="A125" s="468">
        <v>12013250</v>
      </c>
      <c r="B125" s="468">
        <v>4010</v>
      </c>
      <c r="C125" s="468">
        <v>100</v>
      </c>
      <c r="D125" s="468" t="s">
        <v>92</v>
      </c>
      <c r="E125" s="468">
        <v>486359.13</v>
      </c>
      <c r="F125" s="468">
        <v>64100000</v>
      </c>
      <c r="G125" s="468"/>
      <c r="H125" s="468"/>
      <c r="I125" s="468"/>
      <c r="J125" s="445" t="str">
        <f t="shared" si="2"/>
        <v>12013250100SALARIES AND WAGES64100000</v>
      </c>
      <c r="K125" s="163">
        <f t="shared" si="3"/>
        <v>486359.13</v>
      </c>
    </row>
    <row r="126" spans="1:11" ht="14.5">
      <c r="A126" s="468">
        <v>12013250</v>
      </c>
      <c r="B126" s="468">
        <v>4010</v>
      </c>
      <c r="C126" s="468">
        <v>400</v>
      </c>
      <c r="D126" s="468" t="s">
        <v>94</v>
      </c>
      <c r="E126" s="468">
        <v>14571.16</v>
      </c>
      <c r="F126" s="468">
        <v>64100000</v>
      </c>
      <c r="G126" s="468"/>
      <c r="H126" s="468"/>
      <c r="I126" s="468"/>
      <c r="J126" s="445" t="str">
        <f t="shared" si="2"/>
        <v>12013250400ALLOWANCES64100000</v>
      </c>
      <c r="K126" s="163">
        <f t="shared" si="3"/>
        <v>14571.16</v>
      </c>
    </row>
    <row r="127" spans="1:11" ht="14.5">
      <c r="A127" s="468">
        <v>12013250</v>
      </c>
      <c r="B127" s="468">
        <v>4010</v>
      </c>
      <c r="C127" s="468">
        <v>500</v>
      </c>
      <c r="D127" s="468" t="s">
        <v>96</v>
      </c>
      <c r="E127" s="468">
        <v>4038.47</v>
      </c>
      <c r="F127" s="468">
        <v>64100000</v>
      </c>
      <c r="G127" s="468"/>
      <c r="H127" s="468"/>
      <c r="I127" s="468"/>
      <c r="J127" s="445" t="str">
        <f t="shared" si="2"/>
        <v>12013250500TERMINATION64100000</v>
      </c>
      <c r="K127" s="163">
        <f t="shared" si="3"/>
        <v>4038.47</v>
      </c>
    </row>
    <row r="128" spans="1:11" ht="14.5">
      <c r="A128" s="468">
        <v>12013012</v>
      </c>
      <c r="B128" s="468">
        <v>4010</v>
      </c>
      <c r="C128" s="468">
        <v>100</v>
      </c>
      <c r="D128" s="468" t="s">
        <v>92</v>
      </c>
      <c r="E128" s="468">
        <v>233470.11</v>
      </c>
      <c r="F128" s="468">
        <v>64100000</v>
      </c>
      <c r="G128" s="468"/>
      <c r="H128" s="468"/>
      <c r="I128" s="468"/>
      <c r="J128" s="445" t="str">
        <f t="shared" si="2"/>
        <v>12013012100SALARIES AND WAGES64100000</v>
      </c>
      <c r="K128" s="163">
        <f t="shared" si="3"/>
        <v>233470.11</v>
      </c>
    </row>
    <row r="129" spans="1:11" ht="14.5">
      <c r="A129" s="468">
        <v>12013012</v>
      </c>
      <c r="B129" s="468">
        <v>4010</v>
      </c>
      <c r="C129" s="468">
        <v>300</v>
      </c>
      <c r="D129" s="468" t="s">
        <v>97</v>
      </c>
      <c r="E129" s="468">
        <v>8542.94</v>
      </c>
      <c r="F129" s="468">
        <v>64100000</v>
      </c>
      <c r="G129" s="468"/>
      <c r="H129" s="468"/>
      <c r="I129" s="468"/>
      <c r="J129" s="445" t="str">
        <f t="shared" si="2"/>
        <v>12013012300OVERTIME64100000</v>
      </c>
      <c r="K129" s="163">
        <f t="shared" si="3"/>
        <v>8542.94</v>
      </c>
    </row>
    <row r="130" spans="1:11" ht="14.5">
      <c r="A130" s="468">
        <v>12013012</v>
      </c>
      <c r="B130" s="468">
        <v>4010</v>
      </c>
      <c r="C130" s="468">
        <v>400</v>
      </c>
      <c r="D130" s="468" t="s">
        <v>94</v>
      </c>
      <c r="E130" s="468">
        <v>901.32</v>
      </c>
      <c r="F130" s="468">
        <v>64100000</v>
      </c>
      <c r="G130" s="468"/>
      <c r="H130" s="468"/>
      <c r="I130" s="468"/>
      <c r="J130" s="445" t="str">
        <f t="shared" si="2"/>
        <v>12013012400ALLOWANCES64100000</v>
      </c>
      <c r="K130" s="163">
        <f t="shared" si="3"/>
        <v>901.32</v>
      </c>
    </row>
    <row r="131" spans="1:11" ht="14.5">
      <c r="A131" s="468">
        <v>12013012</v>
      </c>
      <c r="B131" s="468">
        <v>4010</v>
      </c>
      <c r="C131" s="468">
        <v>500</v>
      </c>
      <c r="D131" s="468" t="s">
        <v>96</v>
      </c>
      <c r="E131" s="468">
        <v>10208.06</v>
      </c>
      <c r="F131" s="468">
        <v>64100000</v>
      </c>
      <c r="G131" s="468"/>
      <c r="H131" s="468"/>
      <c r="I131" s="468"/>
      <c r="J131" s="445" t="str">
        <f t="shared" si="2"/>
        <v>12013012500TERMINATION64100000</v>
      </c>
      <c r="K131" s="163">
        <f t="shared" si="3"/>
        <v>10208.06</v>
      </c>
    </row>
    <row r="132" spans="1:11" ht="14.5">
      <c r="A132" s="468">
        <v>12010700</v>
      </c>
      <c r="B132" s="468">
        <v>4010</v>
      </c>
      <c r="C132" s="468">
        <v>100</v>
      </c>
      <c r="D132" s="468" t="s">
        <v>92</v>
      </c>
      <c r="E132" s="468">
        <v>119250.54</v>
      </c>
      <c r="F132" s="468" t="s">
        <v>98</v>
      </c>
      <c r="G132" s="468"/>
      <c r="H132" s="468"/>
      <c r="I132" s="468"/>
      <c r="J132" s="445" t="str">
        <f t="shared" si="2"/>
        <v>12010700100SALARIES AND WAGES641000QL</v>
      </c>
      <c r="K132" s="163">
        <f t="shared" si="3"/>
        <v>119250.54</v>
      </c>
    </row>
    <row r="133" spans="1:11" ht="14.5">
      <c r="A133" s="468">
        <v>12020400</v>
      </c>
      <c r="B133" s="468">
        <v>4010</v>
      </c>
      <c r="C133" s="468">
        <v>100</v>
      </c>
      <c r="D133" s="468" t="s">
        <v>92</v>
      </c>
      <c r="E133" s="468">
        <v>117990.78</v>
      </c>
      <c r="F133" s="468" t="s">
        <v>100</v>
      </c>
      <c r="G133" s="468"/>
      <c r="H133" s="468"/>
      <c r="I133" s="468"/>
      <c r="J133" s="445" t="str">
        <f t="shared" ref="J133:J196" si="4">A133&amp;C133&amp;D133&amp;F133</f>
        <v>12020400100SALARIES AND WAGES641000CS</v>
      </c>
      <c r="K133" s="163">
        <f t="shared" ref="K133:K196" si="5">E133</f>
        <v>117990.78</v>
      </c>
    </row>
    <row r="134" spans="1:11" ht="14.5">
      <c r="A134" s="468">
        <v>12019099</v>
      </c>
      <c r="B134" s="468">
        <v>4010</v>
      </c>
      <c r="C134" s="468">
        <v>100</v>
      </c>
      <c r="D134" s="468" t="s">
        <v>92</v>
      </c>
      <c r="E134" s="468">
        <v>196457.17</v>
      </c>
      <c r="F134" s="468" t="s">
        <v>99</v>
      </c>
      <c r="G134" s="468"/>
      <c r="H134" s="468"/>
      <c r="I134" s="468"/>
      <c r="J134" s="445" t="str">
        <f t="shared" si="4"/>
        <v>12019099100SALARIES AND WAGES641000GA</v>
      </c>
      <c r="K134" s="163">
        <f t="shared" si="5"/>
        <v>196457.17</v>
      </c>
    </row>
    <row r="135" spans="1:11" ht="14.5">
      <c r="A135" s="468">
        <v>12019099</v>
      </c>
      <c r="B135" s="468">
        <v>4010</v>
      </c>
      <c r="C135" s="468">
        <v>400</v>
      </c>
      <c r="D135" s="468" t="s">
        <v>94</v>
      </c>
      <c r="E135" s="468">
        <v>18069.29</v>
      </c>
      <c r="F135" s="468" t="s">
        <v>99</v>
      </c>
      <c r="G135" s="468"/>
      <c r="H135" s="468"/>
      <c r="I135" s="468"/>
      <c r="J135" s="445" t="str">
        <f t="shared" si="4"/>
        <v>12019099400ALLOWANCES641000GA</v>
      </c>
      <c r="K135" s="163">
        <f t="shared" si="5"/>
        <v>18069.29</v>
      </c>
    </row>
    <row r="136" spans="1:11" ht="14.5">
      <c r="A136" s="468">
        <v>12019199</v>
      </c>
      <c r="B136" s="468">
        <v>4010</v>
      </c>
      <c r="C136" s="468">
        <v>100</v>
      </c>
      <c r="D136" s="468" t="s">
        <v>92</v>
      </c>
      <c r="E136" s="468">
        <v>458211.66</v>
      </c>
      <c r="F136" s="468" t="s">
        <v>99</v>
      </c>
      <c r="G136" s="468"/>
      <c r="H136" s="468"/>
      <c r="I136" s="468"/>
      <c r="J136" s="445" t="str">
        <f t="shared" si="4"/>
        <v>12019199100SALARIES AND WAGES641000GA</v>
      </c>
      <c r="K136" s="163">
        <f t="shared" si="5"/>
        <v>458211.66</v>
      </c>
    </row>
    <row r="137" spans="1:11" ht="14.5">
      <c r="A137" s="468">
        <v>12019199</v>
      </c>
      <c r="B137" s="468">
        <v>4010</v>
      </c>
      <c r="C137" s="468">
        <v>300</v>
      </c>
      <c r="D137" s="468" t="s">
        <v>97</v>
      </c>
      <c r="E137" s="468">
        <v>72.97</v>
      </c>
      <c r="F137" s="468" t="s">
        <v>99</v>
      </c>
      <c r="G137" s="468"/>
      <c r="H137" s="468"/>
      <c r="I137" s="468"/>
      <c r="J137" s="445" t="str">
        <f t="shared" si="4"/>
        <v>12019199300OVERTIME641000GA</v>
      </c>
      <c r="K137" s="163">
        <f t="shared" si="5"/>
        <v>72.97</v>
      </c>
    </row>
    <row r="138" spans="1:11" ht="14.5">
      <c r="A138" s="468">
        <v>12019199</v>
      </c>
      <c r="B138" s="468">
        <v>4010</v>
      </c>
      <c r="C138" s="468">
        <v>400</v>
      </c>
      <c r="D138" s="468" t="s">
        <v>94</v>
      </c>
      <c r="E138" s="468">
        <v>18536.05</v>
      </c>
      <c r="F138" s="468" t="s">
        <v>99</v>
      </c>
      <c r="G138" s="468"/>
      <c r="H138" s="468"/>
      <c r="I138" s="468"/>
      <c r="J138" s="445" t="str">
        <f t="shared" si="4"/>
        <v>12019199400ALLOWANCES641000GA</v>
      </c>
      <c r="K138" s="163">
        <f t="shared" si="5"/>
        <v>18536.05</v>
      </c>
    </row>
    <row r="139" spans="1:11" ht="14.5">
      <c r="A139" s="468">
        <v>12019199</v>
      </c>
      <c r="B139" s="468">
        <v>4010</v>
      </c>
      <c r="C139" s="468">
        <v>500</v>
      </c>
      <c r="D139" s="468" t="s">
        <v>96</v>
      </c>
      <c r="E139" s="468">
        <v>6010.8</v>
      </c>
      <c r="F139" s="468" t="s">
        <v>99</v>
      </c>
      <c r="G139" s="468"/>
      <c r="H139" s="468"/>
      <c r="I139" s="468"/>
      <c r="J139" s="445" t="str">
        <f t="shared" si="4"/>
        <v>12019199500TERMINATION641000GA</v>
      </c>
      <c r="K139" s="163">
        <f t="shared" si="5"/>
        <v>6010.8</v>
      </c>
    </row>
    <row r="140" spans="1:11" ht="14.5">
      <c r="A140" s="468">
        <v>12018599</v>
      </c>
      <c r="B140" s="468">
        <v>4010</v>
      </c>
      <c r="C140" s="468">
        <v>100</v>
      </c>
      <c r="D140" s="468" t="s">
        <v>92</v>
      </c>
      <c r="E140" s="468">
        <v>175122.43</v>
      </c>
      <c r="F140" s="468" t="s">
        <v>99</v>
      </c>
      <c r="G140" s="468"/>
      <c r="H140" s="468"/>
      <c r="I140" s="468"/>
      <c r="J140" s="445" t="str">
        <f t="shared" si="4"/>
        <v>12018599100SALARIES AND WAGES641000GA</v>
      </c>
      <c r="K140" s="163">
        <f t="shared" si="5"/>
        <v>175122.43</v>
      </c>
    </row>
    <row r="141" spans="1:11" ht="14.5">
      <c r="A141" s="468">
        <v>12018599</v>
      </c>
      <c r="B141" s="468">
        <v>4010</v>
      </c>
      <c r="C141" s="468">
        <v>400</v>
      </c>
      <c r="D141" s="468" t="s">
        <v>94</v>
      </c>
      <c r="E141" s="468">
        <v>6830.45</v>
      </c>
      <c r="F141" s="468" t="s">
        <v>99</v>
      </c>
      <c r="G141" s="468"/>
      <c r="H141" s="468"/>
      <c r="I141" s="468"/>
      <c r="J141" s="445" t="str">
        <f t="shared" si="4"/>
        <v>12018599400ALLOWANCES641000GA</v>
      </c>
      <c r="K141" s="163">
        <f t="shared" si="5"/>
        <v>6830.45</v>
      </c>
    </row>
    <row r="142" spans="1:11" ht="14.5">
      <c r="A142" s="468">
        <v>12018199</v>
      </c>
      <c r="B142" s="468">
        <v>4010</v>
      </c>
      <c r="C142" s="468">
        <v>100</v>
      </c>
      <c r="D142" s="468" t="s">
        <v>92</v>
      </c>
      <c r="E142" s="468">
        <v>96332.39</v>
      </c>
      <c r="F142" s="468" t="s">
        <v>101</v>
      </c>
      <c r="G142" s="468"/>
      <c r="H142" s="468"/>
      <c r="I142" s="468"/>
      <c r="J142" s="445" t="str">
        <f t="shared" si="4"/>
        <v>12018199100SALARIES AND WAGES641000SM</v>
      </c>
      <c r="K142" s="163">
        <f t="shared" si="5"/>
        <v>96332.39</v>
      </c>
    </row>
    <row r="143" spans="1:11" ht="14.5">
      <c r="A143" s="468">
        <v>12018099</v>
      </c>
      <c r="B143" s="468">
        <v>4010</v>
      </c>
      <c r="C143" s="468">
        <v>100</v>
      </c>
      <c r="D143" s="468" t="s">
        <v>92</v>
      </c>
      <c r="E143" s="468">
        <v>204745.85</v>
      </c>
      <c r="F143" s="468" t="s">
        <v>101</v>
      </c>
      <c r="G143" s="468"/>
      <c r="H143" s="468"/>
      <c r="I143" s="468"/>
      <c r="J143" s="445" t="str">
        <f t="shared" si="4"/>
        <v>12018099100SALARIES AND WAGES641000SM</v>
      </c>
      <c r="K143" s="163">
        <f t="shared" si="5"/>
        <v>204745.85</v>
      </c>
    </row>
    <row r="144" spans="1:11" ht="14.5">
      <c r="A144" s="468">
        <v>12018099</v>
      </c>
      <c r="B144" s="468">
        <v>4010</v>
      </c>
      <c r="C144" s="468">
        <v>400</v>
      </c>
      <c r="D144" s="468" t="s">
        <v>94</v>
      </c>
      <c r="E144" s="468">
        <v>23148.2</v>
      </c>
      <c r="F144" s="468" t="s">
        <v>101</v>
      </c>
      <c r="G144" s="468"/>
      <c r="H144" s="468"/>
      <c r="I144" s="468"/>
      <c r="J144" s="445" t="str">
        <f t="shared" si="4"/>
        <v>12018099400ALLOWANCES641000SM</v>
      </c>
      <c r="K144" s="163">
        <f t="shared" si="5"/>
        <v>23148.2</v>
      </c>
    </row>
    <row r="145" spans="1:11" ht="14.5">
      <c r="A145" s="468">
        <v>12021021</v>
      </c>
      <c r="B145" s="468">
        <v>4010</v>
      </c>
      <c r="C145" s="468">
        <v>100</v>
      </c>
      <c r="D145" s="468" t="s">
        <v>92</v>
      </c>
      <c r="E145" s="468">
        <v>629110.74</v>
      </c>
      <c r="F145" s="468">
        <v>64100000</v>
      </c>
      <c r="G145" s="468"/>
      <c r="H145" s="468"/>
      <c r="I145" s="468"/>
      <c r="J145" s="445" t="str">
        <f t="shared" si="4"/>
        <v>12021021100SALARIES AND WAGES64100000</v>
      </c>
      <c r="K145" s="163">
        <f t="shared" si="5"/>
        <v>629110.74</v>
      </c>
    </row>
    <row r="146" spans="1:11" ht="14.5">
      <c r="A146" s="468">
        <v>12021021</v>
      </c>
      <c r="B146" s="468">
        <v>4010</v>
      </c>
      <c r="C146" s="468">
        <v>200</v>
      </c>
      <c r="D146" s="468" t="s">
        <v>102</v>
      </c>
      <c r="E146" s="468">
        <v>15946.66</v>
      </c>
      <c r="F146" s="468">
        <v>64100000</v>
      </c>
      <c r="G146" s="468"/>
      <c r="H146" s="468"/>
      <c r="I146" s="468"/>
      <c r="J146" s="445" t="str">
        <f t="shared" si="4"/>
        <v>12021021200CASUAL WAGES64100000</v>
      </c>
      <c r="K146" s="163">
        <f t="shared" si="5"/>
        <v>15946.66</v>
      </c>
    </row>
    <row r="147" spans="1:11" ht="14.5">
      <c r="A147" s="468">
        <v>12021021</v>
      </c>
      <c r="B147" s="468">
        <v>4010</v>
      </c>
      <c r="C147" s="468">
        <v>300</v>
      </c>
      <c r="D147" s="468" t="s">
        <v>97</v>
      </c>
      <c r="E147" s="468">
        <v>50792.83</v>
      </c>
      <c r="F147" s="468">
        <v>64100000</v>
      </c>
      <c r="G147" s="468"/>
      <c r="H147" s="468"/>
      <c r="I147" s="468"/>
      <c r="J147" s="445" t="str">
        <f t="shared" si="4"/>
        <v>12021021300OVERTIME64100000</v>
      </c>
      <c r="K147" s="163">
        <f t="shared" si="5"/>
        <v>50792.83</v>
      </c>
    </row>
    <row r="148" spans="1:11" ht="14.5">
      <c r="A148" s="468">
        <v>12021021</v>
      </c>
      <c r="B148" s="468">
        <v>4010</v>
      </c>
      <c r="C148" s="468">
        <v>400</v>
      </c>
      <c r="D148" s="468" t="s">
        <v>94</v>
      </c>
      <c r="E148" s="468">
        <v>3506.63</v>
      </c>
      <c r="F148" s="468">
        <v>64100000</v>
      </c>
      <c r="G148" s="468"/>
      <c r="H148" s="468"/>
      <c r="I148" s="468"/>
      <c r="J148" s="445" t="str">
        <f t="shared" si="4"/>
        <v>12021021400ALLOWANCES64100000</v>
      </c>
      <c r="K148" s="163">
        <f t="shared" si="5"/>
        <v>3506.63</v>
      </c>
    </row>
    <row r="149" spans="1:11" ht="14.5">
      <c r="A149" s="468">
        <v>12020800</v>
      </c>
      <c r="B149" s="468">
        <v>4010</v>
      </c>
      <c r="C149" s="468">
        <v>100</v>
      </c>
      <c r="D149" s="468" t="s">
        <v>92</v>
      </c>
      <c r="E149" s="468">
        <v>132264</v>
      </c>
      <c r="F149" s="468">
        <v>64100000</v>
      </c>
      <c r="G149" s="468"/>
      <c r="H149" s="468"/>
      <c r="I149" s="468"/>
      <c r="J149" s="445" t="str">
        <f t="shared" si="4"/>
        <v>12020800100SALARIES AND WAGES64100000</v>
      </c>
      <c r="K149" s="163">
        <f t="shared" si="5"/>
        <v>132264</v>
      </c>
    </row>
    <row r="150" spans="1:11" ht="14.5">
      <c r="A150" s="468">
        <v>12020800</v>
      </c>
      <c r="B150" s="468">
        <v>4010</v>
      </c>
      <c r="C150" s="468">
        <v>300</v>
      </c>
      <c r="D150" s="468" t="s">
        <v>97</v>
      </c>
      <c r="E150" s="468">
        <v>8873.6</v>
      </c>
      <c r="F150" s="468">
        <v>64100000</v>
      </c>
      <c r="G150" s="468"/>
      <c r="H150" s="468"/>
      <c r="I150" s="468"/>
      <c r="J150" s="445" t="str">
        <f t="shared" si="4"/>
        <v>12020800300OVERTIME64100000</v>
      </c>
      <c r="K150" s="163">
        <f t="shared" si="5"/>
        <v>8873.6</v>
      </c>
    </row>
    <row r="151" spans="1:11" ht="14.5">
      <c r="A151" s="468">
        <v>12020800</v>
      </c>
      <c r="B151" s="468">
        <v>4010</v>
      </c>
      <c r="C151" s="468">
        <v>400</v>
      </c>
      <c r="D151" s="468" t="s">
        <v>94</v>
      </c>
      <c r="E151" s="468">
        <v>6579.46</v>
      </c>
      <c r="F151" s="468">
        <v>64100000</v>
      </c>
      <c r="G151" s="468"/>
      <c r="H151" s="468"/>
      <c r="I151" s="468"/>
      <c r="J151" s="445" t="str">
        <f t="shared" si="4"/>
        <v>12020800400ALLOWANCES64100000</v>
      </c>
      <c r="K151" s="163">
        <f t="shared" si="5"/>
        <v>6579.46</v>
      </c>
    </row>
    <row r="152" spans="1:11" ht="14.5">
      <c r="A152" s="468">
        <v>12020711</v>
      </c>
      <c r="B152" s="468">
        <v>4010</v>
      </c>
      <c r="C152" s="468">
        <v>100</v>
      </c>
      <c r="D152" s="468" t="s">
        <v>92</v>
      </c>
      <c r="E152" s="468">
        <v>164575.10999999999</v>
      </c>
      <c r="F152" s="468">
        <v>64100000</v>
      </c>
      <c r="G152" s="468"/>
      <c r="H152" s="468"/>
      <c r="I152" s="468"/>
      <c r="J152" s="445" t="str">
        <f t="shared" si="4"/>
        <v>12020711100SALARIES AND WAGES64100000</v>
      </c>
      <c r="K152" s="163">
        <f t="shared" si="5"/>
        <v>164575.10999999999</v>
      </c>
    </row>
    <row r="153" spans="1:11" ht="14.5">
      <c r="A153" s="468">
        <v>12020711</v>
      </c>
      <c r="B153" s="468">
        <v>4010</v>
      </c>
      <c r="C153" s="468">
        <v>300</v>
      </c>
      <c r="D153" s="468" t="s">
        <v>97</v>
      </c>
      <c r="E153" s="468">
        <v>24830.74</v>
      </c>
      <c r="F153" s="468">
        <v>64100000</v>
      </c>
      <c r="G153" s="468"/>
      <c r="H153" s="468"/>
      <c r="I153" s="468"/>
      <c r="J153" s="445" t="str">
        <f t="shared" si="4"/>
        <v>12020711300OVERTIME64100000</v>
      </c>
      <c r="K153" s="163">
        <f t="shared" si="5"/>
        <v>24830.74</v>
      </c>
    </row>
    <row r="154" spans="1:11" ht="14.5">
      <c r="A154" s="468">
        <v>12020711</v>
      </c>
      <c r="B154" s="468">
        <v>4010</v>
      </c>
      <c r="C154" s="468">
        <v>400</v>
      </c>
      <c r="D154" s="468" t="s">
        <v>94</v>
      </c>
      <c r="E154" s="468">
        <v>5331.32</v>
      </c>
      <c r="F154" s="468">
        <v>64100000</v>
      </c>
      <c r="G154" s="468"/>
      <c r="H154" s="468"/>
      <c r="I154" s="468"/>
      <c r="J154" s="445" t="str">
        <f t="shared" si="4"/>
        <v>12020711400ALLOWANCES64100000</v>
      </c>
      <c r="K154" s="163">
        <f t="shared" si="5"/>
        <v>5331.32</v>
      </c>
    </row>
    <row r="155" spans="1:11" ht="14.5">
      <c r="A155" s="468">
        <v>12020611</v>
      </c>
      <c r="B155" s="468">
        <v>4010</v>
      </c>
      <c r="C155" s="468">
        <v>100</v>
      </c>
      <c r="D155" s="468" t="s">
        <v>92</v>
      </c>
      <c r="E155" s="468">
        <v>454749.22</v>
      </c>
      <c r="F155" s="468">
        <v>64100000</v>
      </c>
      <c r="G155" s="468"/>
      <c r="H155" s="468"/>
      <c r="I155" s="468"/>
      <c r="J155" s="445" t="str">
        <f t="shared" si="4"/>
        <v>12020611100SALARIES AND WAGES64100000</v>
      </c>
      <c r="K155" s="163">
        <f t="shared" si="5"/>
        <v>454749.22</v>
      </c>
    </row>
    <row r="156" spans="1:11" ht="14.5">
      <c r="A156" s="468">
        <v>12020611</v>
      </c>
      <c r="B156" s="468">
        <v>4010</v>
      </c>
      <c r="C156" s="468">
        <v>300</v>
      </c>
      <c r="D156" s="468" t="s">
        <v>97</v>
      </c>
      <c r="E156" s="468">
        <v>24677.71</v>
      </c>
      <c r="F156" s="468">
        <v>64100000</v>
      </c>
      <c r="G156" s="468"/>
      <c r="H156" s="468"/>
      <c r="I156" s="468"/>
      <c r="J156" s="445" t="str">
        <f t="shared" si="4"/>
        <v>12020611300OVERTIME64100000</v>
      </c>
      <c r="K156" s="163">
        <f t="shared" si="5"/>
        <v>24677.71</v>
      </c>
    </row>
    <row r="157" spans="1:11" ht="14.5">
      <c r="A157" s="468">
        <v>12020611</v>
      </c>
      <c r="B157" s="468">
        <v>4010</v>
      </c>
      <c r="C157" s="468">
        <v>400</v>
      </c>
      <c r="D157" s="468" t="s">
        <v>94</v>
      </c>
      <c r="E157" s="468">
        <v>19256.84</v>
      </c>
      <c r="F157" s="468">
        <v>64100000</v>
      </c>
      <c r="G157" s="468"/>
      <c r="H157" s="468"/>
      <c r="I157" s="468"/>
      <c r="J157" s="445" t="str">
        <f t="shared" si="4"/>
        <v>12020611400ALLOWANCES64100000</v>
      </c>
      <c r="K157" s="163">
        <f t="shared" si="5"/>
        <v>19256.84</v>
      </c>
    </row>
    <row r="158" spans="1:11" ht="14.5">
      <c r="A158" s="468">
        <v>12020500</v>
      </c>
      <c r="B158" s="468">
        <v>4010</v>
      </c>
      <c r="C158" s="468">
        <v>100</v>
      </c>
      <c r="D158" s="468" t="s">
        <v>92</v>
      </c>
      <c r="E158" s="468">
        <v>60800.02</v>
      </c>
      <c r="F158" s="468" t="s">
        <v>93</v>
      </c>
      <c r="G158" s="468"/>
      <c r="H158" s="468"/>
      <c r="I158" s="468"/>
      <c r="J158" s="445" t="str">
        <f t="shared" si="4"/>
        <v>12020500100SALARIES AND WAGES641000LP</v>
      </c>
      <c r="K158" s="163">
        <f t="shared" si="5"/>
        <v>60800.02</v>
      </c>
    </row>
    <row r="159" spans="1:11" ht="14.5">
      <c r="A159" s="468">
        <v>12020500</v>
      </c>
      <c r="B159" s="468">
        <v>4010</v>
      </c>
      <c r="C159" s="468">
        <v>500</v>
      </c>
      <c r="D159" s="468" t="s">
        <v>96</v>
      </c>
      <c r="E159" s="468">
        <v>1153.8499999999999</v>
      </c>
      <c r="F159" s="468" t="s">
        <v>93</v>
      </c>
      <c r="G159" s="468"/>
      <c r="H159" s="468"/>
      <c r="I159" s="468"/>
      <c r="J159" s="445" t="str">
        <f t="shared" si="4"/>
        <v>12020500500TERMINATION641000LP</v>
      </c>
      <c r="K159" s="163">
        <f t="shared" si="5"/>
        <v>1153.8499999999999</v>
      </c>
    </row>
    <row r="160" spans="1:11" ht="14.5">
      <c r="A160" s="468">
        <v>12028099</v>
      </c>
      <c r="B160" s="468">
        <v>4010</v>
      </c>
      <c r="C160" s="468">
        <v>100</v>
      </c>
      <c r="D160" s="468" t="s">
        <v>92</v>
      </c>
      <c r="E160" s="468">
        <v>178830.8</v>
      </c>
      <c r="F160" s="468" t="s">
        <v>101</v>
      </c>
      <c r="G160" s="468"/>
      <c r="H160" s="468"/>
      <c r="I160" s="468"/>
      <c r="J160" s="445" t="str">
        <f t="shared" si="4"/>
        <v>12028099100SALARIES AND WAGES641000SM</v>
      </c>
      <c r="K160" s="163">
        <f t="shared" si="5"/>
        <v>178830.8</v>
      </c>
    </row>
    <row r="161" spans="1:11" ht="14.5">
      <c r="A161" s="468">
        <v>12028099</v>
      </c>
      <c r="B161" s="468">
        <v>4010</v>
      </c>
      <c r="C161" s="468">
        <v>400</v>
      </c>
      <c r="D161" s="468" t="s">
        <v>94</v>
      </c>
      <c r="E161" s="468">
        <v>26670.94</v>
      </c>
      <c r="F161" s="468" t="s">
        <v>101</v>
      </c>
      <c r="G161" s="468"/>
      <c r="H161" s="468"/>
      <c r="I161" s="468"/>
      <c r="J161" s="445" t="str">
        <f t="shared" si="4"/>
        <v>12028099400ALLOWANCES641000SM</v>
      </c>
      <c r="K161" s="163">
        <f t="shared" si="5"/>
        <v>26670.94</v>
      </c>
    </row>
    <row r="162" spans="1:11" ht="14.5">
      <c r="A162" s="468">
        <v>12023021</v>
      </c>
      <c r="B162" s="468">
        <v>4010</v>
      </c>
      <c r="C162" s="468">
        <v>100</v>
      </c>
      <c r="D162" s="468" t="s">
        <v>92</v>
      </c>
      <c r="E162" s="468">
        <v>99179.64</v>
      </c>
      <c r="F162" s="468">
        <v>64100000</v>
      </c>
      <c r="G162" s="468"/>
      <c r="H162" s="468"/>
      <c r="I162" s="468"/>
      <c r="J162" s="445" t="str">
        <f t="shared" si="4"/>
        <v>12023021100SALARIES AND WAGES64100000</v>
      </c>
      <c r="K162" s="163">
        <f t="shared" si="5"/>
        <v>99179.64</v>
      </c>
    </row>
    <row r="163" spans="1:11" ht="14.5">
      <c r="A163" s="468">
        <v>12023021</v>
      </c>
      <c r="B163" s="468">
        <v>4010</v>
      </c>
      <c r="C163" s="468">
        <v>300</v>
      </c>
      <c r="D163" s="468" t="s">
        <v>97</v>
      </c>
      <c r="E163" s="468">
        <v>3066.94</v>
      </c>
      <c r="F163" s="468">
        <v>64100000</v>
      </c>
      <c r="G163" s="468"/>
      <c r="H163" s="468"/>
      <c r="I163" s="468"/>
      <c r="J163" s="445" t="str">
        <f t="shared" si="4"/>
        <v>12023021300OVERTIME64100000</v>
      </c>
      <c r="K163" s="163">
        <f t="shared" si="5"/>
        <v>3066.94</v>
      </c>
    </row>
    <row r="164" spans="1:11" ht="14.5">
      <c r="A164" s="468">
        <v>12023021</v>
      </c>
      <c r="B164" s="468">
        <v>4010</v>
      </c>
      <c r="C164" s="468">
        <v>400</v>
      </c>
      <c r="D164" s="468" t="s">
        <v>94</v>
      </c>
      <c r="E164" s="468">
        <v>89.42</v>
      </c>
      <c r="F164" s="468">
        <v>64100000</v>
      </c>
      <c r="G164" s="468"/>
      <c r="H164" s="468"/>
      <c r="I164" s="468"/>
      <c r="J164" s="445" t="str">
        <f t="shared" si="4"/>
        <v>12023021400ALLOWANCES64100000</v>
      </c>
      <c r="K164" s="163">
        <f t="shared" si="5"/>
        <v>89.42</v>
      </c>
    </row>
    <row r="165" spans="1:11" ht="14.5">
      <c r="A165" s="468">
        <v>12023011</v>
      </c>
      <c r="B165" s="468">
        <v>4010</v>
      </c>
      <c r="C165" s="468">
        <v>100</v>
      </c>
      <c r="D165" s="468" t="s">
        <v>92</v>
      </c>
      <c r="E165" s="468">
        <v>320618.25</v>
      </c>
      <c r="F165" s="468">
        <v>64100000</v>
      </c>
      <c r="G165" s="468"/>
      <c r="H165" s="468"/>
      <c r="I165" s="468"/>
      <c r="J165" s="445" t="str">
        <f t="shared" si="4"/>
        <v>12023011100SALARIES AND WAGES64100000</v>
      </c>
      <c r="K165" s="163">
        <f t="shared" si="5"/>
        <v>320618.25</v>
      </c>
    </row>
    <row r="166" spans="1:11" ht="14.5">
      <c r="A166" s="468">
        <v>12023011</v>
      </c>
      <c r="B166" s="468">
        <v>4010</v>
      </c>
      <c r="C166" s="468">
        <v>300</v>
      </c>
      <c r="D166" s="468" t="s">
        <v>97</v>
      </c>
      <c r="E166" s="468">
        <v>9814.0400000000009</v>
      </c>
      <c r="F166" s="468">
        <v>64100000</v>
      </c>
      <c r="G166" s="468"/>
      <c r="H166" s="468"/>
      <c r="I166" s="468"/>
      <c r="J166" s="445" t="str">
        <f t="shared" si="4"/>
        <v>12023011300OVERTIME64100000</v>
      </c>
      <c r="K166" s="163">
        <f t="shared" si="5"/>
        <v>9814.0400000000009</v>
      </c>
    </row>
    <row r="167" spans="1:11" ht="14.5">
      <c r="A167" s="468">
        <v>12023011</v>
      </c>
      <c r="B167" s="468">
        <v>4010</v>
      </c>
      <c r="C167" s="468">
        <v>400</v>
      </c>
      <c r="D167" s="468" t="s">
        <v>94</v>
      </c>
      <c r="E167" s="468">
        <v>10568.11</v>
      </c>
      <c r="F167" s="468">
        <v>64100000</v>
      </c>
      <c r="G167" s="468"/>
      <c r="H167" s="468"/>
      <c r="I167" s="468"/>
      <c r="J167" s="445" t="str">
        <f t="shared" si="4"/>
        <v>12023011400ALLOWANCES64100000</v>
      </c>
      <c r="K167" s="163">
        <f t="shared" si="5"/>
        <v>10568.11</v>
      </c>
    </row>
    <row r="168" spans="1:11" ht="14.5">
      <c r="A168" s="468">
        <v>12023011</v>
      </c>
      <c r="B168" s="468">
        <v>4010</v>
      </c>
      <c r="C168" s="468">
        <v>600</v>
      </c>
      <c r="D168" s="468" t="s">
        <v>104</v>
      </c>
      <c r="E168" s="468">
        <v>-476.43</v>
      </c>
      <c r="F168" s="468">
        <v>64100000</v>
      </c>
      <c r="G168" s="468"/>
      <c r="H168" s="468"/>
      <c r="I168" s="468"/>
      <c r="J168" s="445" t="str">
        <f t="shared" si="4"/>
        <v>12023011600WORKERS COMPENSATION PAYMENTS64100000</v>
      </c>
      <c r="K168" s="163">
        <f t="shared" si="5"/>
        <v>-476.43</v>
      </c>
    </row>
    <row r="169" spans="1:11" ht="14.5">
      <c r="A169" s="468">
        <v>12022511</v>
      </c>
      <c r="B169" s="468">
        <v>4010</v>
      </c>
      <c r="C169" s="468">
        <v>100</v>
      </c>
      <c r="D169" s="468" t="s">
        <v>92</v>
      </c>
      <c r="E169" s="468">
        <v>158345.28</v>
      </c>
      <c r="F169" s="468">
        <v>64100000</v>
      </c>
      <c r="G169" s="468"/>
      <c r="H169" s="468"/>
      <c r="I169" s="468"/>
      <c r="J169" s="445" t="str">
        <f t="shared" si="4"/>
        <v>12022511100SALARIES AND WAGES64100000</v>
      </c>
      <c r="K169" s="163">
        <f t="shared" si="5"/>
        <v>158345.28</v>
      </c>
    </row>
    <row r="170" spans="1:11" ht="14.5">
      <c r="A170" s="468">
        <v>12022511</v>
      </c>
      <c r="B170" s="468">
        <v>4010</v>
      </c>
      <c r="C170" s="468">
        <v>300</v>
      </c>
      <c r="D170" s="468" t="s">
        <v>97</v>
      </c>
      <c r="E170" s="468">
        <v>6403.57</v>
      </c>
      <c r="F170" s="468">
        <v>64100000</v>
      </c>
      <c r="G170" s="468"/>
      <c r="H170" s="468"/>
      <c r="I170" s="468"/>
      <c r="J170" s="445" t="str">
        <f t="shared" si="4"/>
        <v>12022511300OVERTIME64100000</v>
      </c>
      <c r="K170" s="163">
        <f t="shared" si="5"/>
        <v>6403.57</v>
      </c>
    </row>
    <row r="171" spans="1:11" ht="14.5">
      <c r="A171" s="468">
        <v>12022511</v>
      </c>
      <c r="B171" s="468">
        <v>4010</v>
      </c>
      <c r="C171" s="468">
        <v>400</v>
      </c>
      <c r="D171" s="468" t="s">
        <v>94</v>
      </c>
      <c r="E171" s="468">
        <v>17760.72</v>
      </c>
      <c r="F171" s="468">
        <v>64100000</v>
      </c>
      <c r="G171" s="468"/>
      <c r="H171" s="468"/>
      <c r="I171" s="468"/>
      <c r="J171" s="445" t="str">
        <f t="shared" si="4"/>
        <v>12022511400ALLOWANCES64100000</v>
      </c>
      <c r="K171" s="163">
        <f t="shared" si="5"/>
        <v>17760.72</v>
      </c>
    </row>
    <row r="172" spans="1:11" ht="14.5">
      <c r="A172" s="468">
        <v>12030711</v>
      </c>
      <c r="B172" s="468">
        <v>4010</v>
      </c>
      <c r="C172" s="468">
        <v>100</v>
      </c>
      <c r="D172" s="468" t="s">
        <v>92</v>
      </c>
      <c r="E172" s="468">
        <v>169676.72</v>
      </c>
      <c r="F172" s="468">
        <v>64100000</v>
      </c>
      <c r="G172" s="468"/>
      <c r="H172" s="468"/>
      <c r="I172" s="468"/>
      <c r="J172" s="445" t="str">
        <f t="shared" si="4"/>
        <v>12030711100SALARIES AND WAGES64100000</v>
      </c>
      <c r="K172" s="163">
        <f t="shared" si="5"/>
        <v>169676.72</v>
      </c>
    </row>
    <row r="173" spans="1:11" ht="14.5">
      <c r="A173" s="468">
        <v>12030711</v>
      </c>
      <c r="B173" s="468">
        <v>4010</v>
      </c>
      <c r="C173" s="468">
        <v>200</v>
      </c>
      <c r="D173" s="468" t="s">
        <v>102</v>
      </c>
      <c r="E173" s="468">
        <v>10115.879999999999</v>
      </c>
      <c r="F173" s="468">
        <v>64100000</v>
      </c>
      <c r="G173" s="468"/>
      <c r="H173" s="468"/>
      <c r="I173" s="468"/>
      <c r="J173" s="445" t="str">
        <f t="shared" si="4"/>
        <v>12030711200CASUAL WAGES64100000</v>
      </c>
      <c r="K173" s="163">
        <f t="shared" si="5"/>
        <v>10115.879999999999</v>
      </c>
    </row>
    <row r="174" spans="1:11" ht="14.5">
      <c r="A174" s="468">
        <v>12030711</v>
      </c>
      <c r="B174" s="468">
        <v>4010</v>
      </c>
      <c r="C174" s="468">
        <v>300</v>
      </c>
      <c r="D174" s="468" t="s">
        <v>97</v>
      </c>
      <c r="E174" s="468">
        <v>18220.509999999998</v>
      </c>
      <c r="F174" s="468">
        <v>64100000</v>
      </c>
      <c r="G174" s="468"/>
      <c r="H174" s="468"/>
      <c r="I174" s="468"/>
      <c r="J174" s="445" t="str">
        <f t="shared" si="4"/>
        <v>12030711300OVERTIME64100000</v>
      </c>
      <c r="K174" s="163">
        <f t="shared" si="5"/>
        <v>18220.509999999998</v>
      </c>
    </row>
    <row r="175" spans="1:11" ht="14.5">
      <c r="A175" s="468">
        <v>12030711</v>
      </c>
      <c r="B175" s="468">
        <v>4010</v>
      </c>
      <c r="C175" s="468">
        <v>400</v>
      </c>
      <c r="D175" s="468" t="s">
        <v>94</v>
      </c>
      <c r="E175" s="468">
        <v>4214.92</v>
      </c>
      <c r="F175" s="468">
        <v>64100000</v>
      </c>
      <c r="G175" s="468"/>
      <c r="H175" s="468"/>
      <c r="I175" s="468"/>
      <c r="J175" s="445" t="str">
        <f t="shared" si="4"/>
        <v>12030711400ALLOWANCES64100000</v>
      </c>
      <c r="K175" s="163">
        <f t="shared" si="5"/>
        <v>4214.92</v>
      </c>
    </row>
    <row r="176" spans="1:11" ht="14.5">
      <c r="A176" s="468">
        <v>12030611</v>
      </c>
      <c r="B176" s="468">
        <v>4010</v>
      </c>
      <c r="C176" s="468">
        <v>100</v>
      </c>
      <c r="D176" s="468" t="s">
        <v>92</v>
      </c>
      <c r="E176" s="468">
        <v>572228.61</v>
      </c>
      <c r="F176" s="468">
        <v>64100000</v>
      </c>
      <c r="G176" s="468"/>
      <c r="H176" s="468"/>
      <c r="I176" s="468"/>
      <c r="J176" s="445" t="str">
        <f t="shared" si="4"/>
        <v>12030611100SALARIES AND WAGES64100000</v>
      </c>
      <c r="K176" s="163">
        <f t="shared" si="5"/>
        <v>572228.61</v>
      </c>
    </row>
    <row r="177" spans="1:11" ht="14.5">
      <c r="A177" s="468">
        <v>12030611</v>
      </c>
      <c r="B177" s="468">
        <v>4010</v>
      </c>
      <c r="C177" s="468">
        <v>200</v>
      </c>
      <c r="D177" s="468" t="s">
        <v>102</v>
      </c>
      <c r="E177" s="468">
        <v>13235.83</v>
      </c>
      <c r="F177" s="468">
        <v>64100000</v>
      </c>
      <c r="G177" s="468"/>
      <c r="H177" s="468"/>
      <c r="I177" s="468"/>
      <c r="J177" s="445" t="str">
        <f t="shared" si="4"/>
        <v>12030611200CASUAL WAGES64100000</v>
      </c>
      <c r="K177" s="163">
        <f t="shared" si="5"/>
        <v>13235.83</v>
      </c>
    </row>
    <row r="178" spans="1:11" ht="14.5">
      <c r="A178" s="468">
        <v>12030611</v>
      </c>
      <c r="B178" s="468">
        <v>4010</v>
      </c>
      <c r="C178" s="468">
        <v>300</v>
      </c>
      <c r="D178" s="468" t="s">
        <v>97</v>
      </c>
      <c r="E178" s="468">
        <v>85385.94</v>
      </c>
      <c r="F178" s="468">
        <v>64100000</v>
      </c>
      <c r="G178" s="468"/>
      <c r="H178" s="468"/>
      <c r="I178" s="468"/>
      <c r="J178" s="445" t="str">
        <f t="shared" si="4"/>
        <v>12030611300OVERTIME64100000</v>
      </c>
      <c r="K178" s="163">
        <f t="shared" si="5"/>
        <v>85385.94</v>
      </c>
    </row>
    <row r="179" spans="1:11" ht="14.5">
      <c r="A179" s="468">
        <v>12030611</v>
      </c>
      <c r="B179" s="468">
        <v>4010</v>
      </c>
      <c r="C179" s="468">
        <v>400</v>
      </c>
      <c r="D179" s="468" t="s">
        <v>94</v>
      </c>
      <c r="E179" s="468">
        <v>15259.12</v>
      </c>
      <c r="F179" s="468">
        <v>64100000</v>
      </c>
      <c r="G179" s="468"/>
      <c r="H179" s="468"/>
      <c r="I179" s="468"/>
      <c r="J179" s="445" t="str">
        <f t="shared" si="4"/>
        <v>12030611400ALLOWANCES64100000</v>
      </c>
      <c r="K179" s="163">
        <f t="shared" si="5"/>
        <v>15259.12</v>
      </c>
    </row>
    <row r="180" spans="1:11" ht="14.5">
      <c r="A180" s="468">
        <v>12030500</v>
      </c>
      <c r="B180" s="468">
        <v>4010</v>
      </c>
      <c r="C180" s="468">
        <v>100</v>
      </c>
      <c r="D180" s="468" t="s">
        <v>92</v>
      </c>
      <c r="E180" s="468">
        <v>122770.07</v>
      </c>
      <c r="F180" s="468" t="s">
        <v>93</v>
      </c>
      <c r="G180" s="468"/>
      <c r="H180" s="468"/>
      <c r="I180" s="468"/>
      <c r="J180" s="445" t="str">
        <f t="shared" si="4"/>
        <v>12030500100SALARIES AND WAGES641000LP</v>
      </c>
      <c r="K180" s="163">
        <f t="shared" si="5"/>
        <v>122770.07</v>
      </c>
    </row>
    <row r="181" spans="1:11" ht="14.5">
      <c r="A181" s="468">
        <v>12030400</v>
      </c>
      <c r="B181" s="468">
        <v>4010</v>
      </c>
      <c r="C181" s="468">
        <v>100</v>
      </c>
      <c r="D181" s="468" t="s">
        <v>92</v>
      </c>
      <c r="E181" s="468">
        <v>222327.76</v>
      </c>
      <c r="F181" s="468" t="s">
        <v>100</v>
      </c>
      <c r="G181" s="468"/>
      <c r="H181" s="468"/>
      <c r="I181" s="468"/>
      <c r="J181" s="445" t="str">
        <f t="shared" si="4"/>
        <v>12030400100SALARIES AND WAGES641000CS</v>
      </c>
      <c r="K181" s="163">
        <f t="shared" si="5"/>
        <v>222327.76</v>
      </c>
    </row>
    <row r="182" spans="1:11" ht="14.5">
      <c r="A182" s="468">
        <v>12030400</v>
      </c>
      <c r="B182" s="468">
        <v>4010</v>
      </c>
      <c r="C182" s="468">
        <v>300</v>
      </c>
      <c r="D182" s="468" t="s">
        <v>97</v>
      </c>
      <c r="E182" s="468">
        <v>123.06</v>
      </c>
      <c r="F182" s="468" t="s">
        <v>100</v>
      </c>
      <c r="G182" s="468"/>
      <c r="H182" s="468"/>
      <c r="I182" s="468"/>
      <c r="J182" s="445" t="str">
        <f t="shared" si="4"/>
        <v>12030400300OVERTIME641000CS</v>
      </c>
      <c r="K182" s="163">
        <f t="shared" si="5"/>
        <v>123.06</v>
      </c>
    </row>
    <row r="183" spans="1:11" ht="14.5">
      <c r="A183" s="468">
        <v>12030400</v>
      </c>
      <c r="B183" s="468">
        <v>4010</v>
      </c>
      <c r="C183" s="468">
        <v>400</v>
      </c>
      <c r="D183" s="468" t="s">
        <v>94</v>
      </c>
      <c r="E183" s="468">
        <v>56.87</v>
      </c>
      <c r="F183" s="468" t="s">
        <v>100</v>
      </c>
      <c r="G183" s="468"/>
      <c r="H183" s="468"/>
      <c r="I183" s="468"/>
      <c r="J183" s="445" t="str">
        <f t="shared" si="4"/>
        <v>12030400400ALLOWANCES641000CS</v>
      </c>
      <c r="K183" s="163">
        <f t="shared" si="5"/>
        <v>56.87</v>
      </c>
    </row>
    <row r="184" spans="1:11" ht="14.5">
      <c r="A184" s="468">
        <v>12030400</v>
      </c>
      <c r="B184" s="468">
        <v>4010</v>
      </c>
      <c r="C184" s="468">
        <v>500</v>
      </c>
      <c r="D184" s="468" t="s">
        <v>96</v>
      </c>
      <c r="E184" s="468">
        <v>14295.67</v>
      </c>
      <c r="F184" s="468" t="s">
        <v>100</v>
      </c>
      <c r="G184" s="468"/>
      <c r="H184" s="468"/>
      <c r="I184" s="468"/>
      <c r="J184" s="445" t="str">
        <f t="shared" si="4"/>
        <v>12030400500TERMINATION641000CS</v>
      </c>
      <c r="K184" s="163">
        <f t="shared" si="5"/>
        <v>14295.67</v>
      </c>
    </row>
    <row r="185" spans="1:11" ht="14.5">
      <c r="A185" s="468">
        <v>12024021</v>
      </c>
      <c r="B185" s="468">
        <v>4010</v>
      </c>
      <c r="C185" s="468">
        <v>100</v>
      </c>
      <c r="D185" s="468" t="s">
        <v>92</v>
      </c>
      <c r="E185" s="468">
        <v>76882.81</v>
      </c>
      <c r="F185" s="468" t="s">
        <v>103</v>
      </c>
      <c r="G185" s="468"/>
      <c r="H185" s="468"/>
      <c r="I185" s="468"/>
      <c r="J185" s="445" t="str">
        <f t="shared" si="4"/>
        <v>12024021100SALARIES AND WAGES641000RD</v>
      </c>
      <c r="K185" s="163">
        <f t="shared" si="5"/>
        <v>76882.81</v>
      </c>
    </row>
    <row r="186" spans="1:11" ht="14.5">
      <c r="A186" s="468">
        <v>12033011</v>
      </c>
      <c r="B186" s="468">
        <v>4010</v>
      </c>
      <c r="C186" s="468">
        <v>100</v>
      </c>
      <c r="D186" s="468" t="s">
        <v>92</v>
      </c>
      <c r="E186" s="468">
        <v>347046.81</v>
      </c>
      <c r="F186" s="468">
        <v>64100000</v>
      </c>
      <c r="G186" s="468"/>
      <c r="H186" s="468"/>
      <c r="I186" s="468"/>
      <c r="J186" s="445" t="str">
        <f t="shared" si="4"/>
        <v>12033011100SALARIES AND WAGES64100000</v>
      </c>
      <c r="K186" s="163">
        <f t="shared" si="5"/>
        <v>347046.81</v>
      </c>
    </row>
    <row r="187" spans="1:11" ht="14.5">
      <c r="A187" s="468">
        <v>12033011</v>
      </c>
      <c r="B187" s="468">
        <v>4010</v>
      </c>
      <c r="C187" s="468">
        <v>200</v>
      </c>
      <c r="D187" s="468" t="s">
        <v>102</v>
      </c>
      <c r="E187" s="468">
        <v>49181.57</v>
      </c>
      <c r="F187" s="468">
        <v>64100000</v>
      </c>
      <c r="G187" s="468"/>
      <c r="H187" s="468"/>
      <c r="I187" s="468"/>
      <c r="J187" s="445" t="str">
        <f t="shared" si="4"/>
        <v>12033011200CASUAL WAGES64100000</v>
      </c>
      <c r="K187" s="163">
        <f t="shared" si="5"/>
        <v>49181.57</v>
      </c>
    </row>
    <row r="188" spans="1:11" ht="14.5">
      <c r="A188" s="468">
        <v>12033011</v>
      </c>
      <c r="B188" s="468">
        <v>4010</v>
      </c>
      <c r="C188" s="468">
        <v>300</v>
      </c>
      <c r="D188" s="468" t="s">
        <v>97</v>
      </c>
      <c r="E188" s="468">
        <v>60238.71</v>
      </c>
      <c r="F188" s="468">
        <v>64100000</v>
      </c>
      <c r="G188" s="468"/>
      <c r="H188" s="468"/>
      <c r="I188" s="468"/>
      <c r="J188" s="445" t="str">
        <f t="shared" si="4"/>
        <v>12033011300OVERTIME64100000</v>
      </c>
      <c r="K188" s="163">
        <f t="shared" si="5"/>
        <v>60238.71</v>
      </c>
    </row>
    <row r="189" spans="1:11" ht="14.5">
      <c r="A189" s="468">
        <v>12033011</v>
      </c>
      <c r="B189" s="468">
        <v>4010</v>
      </c>
      <c r="C189" s="468">
        <v>400</v>
      </c>
      <c r="D189" s="468" t="s">
        <v>94</v>
      </c>
      <c r="E189" s="468">
        <v>15812.04</v>
      </c>
      <c r="F189" s="468">
        <v>64100000</v>
      </c>
      <c r="G189" s="468"/>
      <c r="H189" s="468"/>
      <c r="I189" s="468"/>
      <c r="J189" s="445" t="str">
        <f t="shared" si="4"/>
        <v>12033011400ALLOWANCES64100000</v>
      </c>
      <c r="K189" s="163">
        <f t="shared" si="5"/>
        <v>15812.04</v>
      </c>
    </row>
    <row r="190" spans="1:11" ht="14.5">
      <c r="A190" s="468">
        <v>12032511</v>
      </c>
      <c r="B190" s="468">
        <v>4010</v>
      </c>
      <c r="C190" s="468">
        <v>100</v>
      </c>
      <c r="D190" s="468" t="s">
        <v>92</v>
      </c>
      <c r="E190" s="468">
        <v>69292.639999999999</v>
      </c>
      <c r="F190" s="468">
        <v>64100000</v>
      </c>
      <c r="G190" s="468"/>
      <c r="H190" s="468"/>
      <c r="I190" s="468"/>
      <c r="J190" s="445" t="str">
        <f t="shared" si="4"/>
        <v>12032511100SALARIES AND WAGES64100000</v>
      </c>
      <c r="K190" s="163">
        <f t="shared" si="5"/>
        <v>69292.639999999999</v>
      </c>
    </row>
    <row r="191" spans="1:11" ht="14.5">
      <c r="A191" s="468">
        <v>12032511</v>
      </c>
      <c r="B191" s="468">
        <v>4010</v>
      </c>
      <c r="C191" s="468">
        <v>300</v>
      </c>
      <c r="D191" s="468" t="s">
        <v>97</v>
      </c>
      <c r="E191" s="468">
        <v>11165.8</v>
      </c>
      <c r="F191" s="468">
        <v>64100000</v>
      </c>
      <c r="G191" s="468"/>
      <c r="H191" s="468"/>
      <c r="I191" s="468"/>
      <c r="J191" s="445" t="str">
        <f t="shared" si="4"/>
        <v>12032511300OVERTIME64100000</v>
      </c>
      <c r="K191" s="163">
        <f t="shared" si="5"/>
        <v>11165.8</v>
      </c>
    </row>
    <row r="192" spans="1:11" ht="14.5">
      <c r="A192" s="468">
        <v>12032511</v>
      </c>
      <c r="B192" s="468">
        <v>4010</v>
      </c>
      <c r="C192" s="468">
        <v>400</v>
      </c>
      <c r="D192" s="468" t="s">
        <v>94</v>
      </c>
      <c r="E192" s="468">
        <v>3134.81</v>
      </c>
      <c r="F192" s="468">
        <v>64100000</v>
      </c>
      <c r="G192" s="468"/>
      <c r="H192" s="468"/>
      <c r="I192" s="468"/>
      <c r="J192" s="445" t="str">
        <f t="shared" si="4"/>
        <v>12032511400ALLOWANCES64100000</v>
      </c>
      <c r="K192" s="163">
        <f t="shared" si="5"/>
        <v>3134.81</v>
      </c>
    </row>
    <row r="193" spans="1:11" ht="14.5">
      <c r="A193" s="468">
        <v>12030800</v>
      </c>
      <c r="B193" s="468">
        <v>4010</v>
      </c>
      <c r="C193" s="468">
        <v>100</v>
      </c>
      <c r="D193" s="468" t="s">
        <v>92</v>
      </c>
      <c r="E193" s="468">
        <v>112771.84</v>
      </c>
      <c r="F193" s="468">
        <v>64100000</v>
      </c>
      <c r="G193" s="468"/>
      <c r="H193" s="468"/>
      <c r="I193" s="468"/>
      <c r="J193" s="445" t="str">
        <f t="shared" si="4"/>
        <v>12030800100SALARIES AND WAGES64100000</v>
      </c>
      <c r="K193" s="163">
        <f t="shared" si="5"/>
        <v>112771.84</v>
      </c>
    </row>
    <row r="194" spans="1:11" ht="14.5">
      <c r="A194" s="468">
        <v>12030800</v>
      </c>
      <c r="B194" s="468">
        <v>4010</v>
      </c>
      <c r="C194" s="468">
        <v>200</v>
      </c>
      <c r="D194" s="468" t="s">
        <v>102</v>
      </c>
      <c r="E194" s="468">
        <v>7147.33</v>
      </c>
      <c r="F194" s="468">
        <v>64100000</v>
      </c>
      <c r="G194" s="468"/>
      <c r="H194" s="468"/>
      <c r="I194" s="468"/>
      <c r="J194" s="445" t="str">
        <f t="shared" si="4"/>
        <v>12030800200CASUAL WAGES64100000</v>
      </c>
      <c r="K194" s="163">
        <f t="shared" si="5"/>
        <v>7147.33</v>
      </c>
    </row>
    <row r="195" spans="1:11" ht="14.5">
      <c r="A195" s="468">
        <v>12030800</v>
      </c>
      <c r="B195" s="468">
        <v>4010</v>
      </c>
      <c r="C195" s="468">
        <v>300</v>
      </c>
      <c r="D195" s="468" t="s">
        <v>97</v>
      </c>
      <c r="E195" s="468">
        <v>16415.7</v>
      </c>
      <c r="F195" s="468">
        <v>64100000</v>
      </c>
      <c r="G195" s="468"/>
      <c r="H195" s="468"/>
      <c r="I195" s="468"/>
      <c r="J195" s="445" t="str">
        <f t="shared" si="4"/>
        <v>12030800300OVERTIME64100000</v>
      </c>
      <c r="K195" s="163">
        <f t="shared" si="5"/>
        <v>16415.7</v>
      </c>
    </row>
    <row r="196" spans="1:11" ht="14.5">
      <c r="A196" s="468">
        <v>12030800</v>
      </c>
      <c r="B196" s="468">
        <v>4010</v>
      </c>
      <c r="C196" s="468">
        <v>400</v>
      </c>
      <c r="D196" s="468" t="s">
        <v>94</v>
      </c>
      <c r="E196" s="468">
        <v>3182.06</v>
      </c>
      <c r="F196" s="468">
        <v>64100000</v>
      </c>
      <c r="G196" s="468"/>
      <c r="H196" s="468"/>
      <c r="I196" s="468"/>
      <c r="J196" s="445" t="str">
        <f t="shared" si="4"/>
        <v>12030800400ALLOWANCES64100000</v>
      </c>
      <c r="K196" s="163">
        <f t="shared" si="5"/>
        <v>3182.06</v>
      </c>
    </row>
    <row r="197" spans="1:11" ht="14.5">
      <c r="A197" s="468">
        <v>12040400</v>
      </c>
      <c r="B197" s="468">
        <v>4010</v>
      </c>
      <c r="C197" s="468">
        <v>100</v>
      </c>
      <c r="D197" s="468" t="s">
        <v>92</v>
      </c>
      <c r="E197" s="468">
        <v>65458.75</v>
      </c>
      <c r="F197" s="468" t="s">
        <v>100</v>
      </c>
      <c r="G197" s="468"/>
      <c r="H197" s="468"/>
      <c r="I197" s="468"/>
      <c r="J197" s="445" t="str">
        <f t="shared" ref="J197:J260" si="6">A197&amp;C197&amp;D197&amp;F197</f>
        <v>12040400100SALARIES AND WAGES641000CS</v>
      </c>
      <c r="K197" s="163">
        <f t="shared" ref="K197:K260" si="7">E197</f>
        <v>65458.75</v>
      </c>
    </row>
    <row r="198" spans="1:11" ht="14.5">
      <c r="A198" s="468">
        <v>12040500</v>
      </c>
      <c r="B198" s="468">
        <v>4010</v>
      </c>
      <c r="C198" s="468">
        <v>100</v>
      </c>
      <c r="D198" s="468" t="s">
        <v>92</v>
      </c>
      <c r="E198" s="468">
        <v>75920.62</v>
      </c>
      <c r="F198" s="468" t="s">
        <v>93</v>
      </c>
      <c r="G198" s="468"/>
      <c r="H198" s="468"/>
      <c r="I198" s="468"/>
      <c r="J198" s="445" t="str">
        <f t="shared" si="6"/>
        <v>12040500100SALARIES AND WAGES641000LP</v>
      </c>
      <c r="K198" s="163">
        <f t="shared" si="7"/>
        <v>75920.62</v>
      </c>
    </row>
    <row r="199" spans="1:11" ht="14.5">
      <c r="A199" s="468">
        <v>12040500</v>
      </c>
      <c r="B199" s="468">
        <v>4010</v>
      </c>
      <c r="C199" s="468">
        <v>200</v>
      </c>
      <c r="D199" s="468" t="s">
        <v>102</v>
      </c>
      <c r="E199" s="468">
        <v>6638.41</v>
      </c>
      <c r="F199" s="468" t="s">
        <v>93</v>
      </c>
      <c r="G199" s="468"/>
      <c r="H199" s="468"/>
      <c r="I199" s="468"/>
      <c r="J199" s="445" t="str">
        <f t="shared" si="6"/>
        <v>12040500200CASUAL WAGES641000LP</v>
      </c>
      <c r="K199" s="163">
        <f t="shared" si="7"/>
        <v>6638.41</v>
      </c>
    </row>
    <row r="200" spans="1:11" ht="14.5">
      <c r="A200" s="468">
        <v>12040500</v>
      </c>
      <c r="B200" s="468">
        <v>4010</v>
      </c>
      <c r="C200" s="468">
        <v>400</v>
      </c>
      <c r="D200" s="468" t="s">
        <v>94</v>
      </c>
      <c r="E200" s="468">
        <v>3906.41</v>
      </c>
      <c r="F200" s="468" t="s">
        <v>93</v>
      </c>
      <c r="G200" s="468"/>
      <c r="H200" s="468"/>
      <c r="I200" s="468"/>
      <c r="J200" s="445" t="str">
        <f t="shared" si="6"/>
        <v>12040500400ALLOWANCES641000LP</v>
      </c>
      <c r="K200" s="163">
        <f t="shared" si="7"/>
        <v>3906.41</v>
      </c>
    </row>
    <row r="201" spans="1:11" ht="14.5">
      <c r="A201" s="468">
        <v>12038099</v>
      </c>
      <c r="B201" s="468">
        <v>4010</v>
      </c>
      <c r="C201" s="468">
        <v>100</v>
      </c>
      <c r="D201" s="468" t="s">
        <v>92</v>
      </c>
      <c r="E201" s="468">
        <v>60384.54</v>
      </c>
      <c r="F201" s="468" t="s">
        <v>101</v>
      </c>
      <c r="G201" s="468"/>
      <c r="H201" s="468"/>
      <c r="I201" s="468"/>
      <c r="J201" s="445" t="str">
        <f t="shared" si="6"/>
        <v>12038099100SALARIES AND WAGES641000SM</v>
      </c>
      <c r="K201" s="163">
        <f t="shared" si="7"/>
        <v>60384.54</v>
      </c>
    </row>
    <row r="202" spans="1:11" ht="14.5">
      <c r="A202" s="468">
        <v>12038099</v>
      </c>
      <c r="B202" s="468">
        <v>4010</v>
      </c>
      <c r="C202" s="468">
        <v>400</v>
      </c>
      <c r="D202" s="468" t="s">
        <v>94</v>
      </c>
      <c r="E202" s="468">
        <v>14976.94</v>
      </c>
      <c r="F202" s="468" t="s">
        <v>101</v>
      </c>
      <c r="G202" s="468"/>
      <c r="H202" s="468"/>
      <c r="I202" s="468"/>
      <c r="J202" s="445" t="str">
        <f t="shared" si="6"/>
        <v>12038099400ALLOWANCES641000SM</v>
      </c>
      <c r="K202" s="163">
        <f t="shared" si="7"/>
        <v>14976.94</v>
      </c>
    </row>
    <row r="203" spans="1:11" ht="14.5">
      <c r="A203" s="468">
        <v>12038099</v>
      </c>
      <c r="B203" s="468">
        <v>4010</v>
      </c>
      <c r="C203" s="468">
        <v>500</v>
      </c>
      <c r="D203" s="468" t="s">
        <v>96</v>
      </c>
      <c r="E203" s="468">
        <v>7692.31</v>
      </c>
      <c r="F203" s="468" t="s">
        <v>101</v>
      </c>
      <c r="G203" s="468"/>
      <c r="H203" s="468"/>
      <c r="I203" s="468"/>
      <c r="J203" s="445" t="str">
        <f t="shared" si="6"/>
        <v>12038099500TERMINATION641000SM</v>
      </c>
      <c r="K203" s="163">
        <f t="shared" si="7"/>
        <v>7692.31</v>
      </c>
    </row>
    <row r="204" spans="1:11" ht="14.5">
      <c r="A204" s="468">
        <v>12042511</v>
      </c>
      <c r="B204" s="468">
        <v>4010</v>
      </c>
      <c r="C204" s="468">
        <v>100</v>
      </c>
      <c r="D204" s="468" t="s">
        <v>92</v>
      </c>
      <c r="E204" s="468">
        <v>46251.23</v>
      </c>
      <c r="F204" s="468">
        <v>64100000</v>
      </c>
      <c r="G204" s="468"/>
      <c r="H204" s="468"/>
      <c r="I204" s="468"/>
      <c r="J204" s="445" t="str">
        <f t="shared" si="6"/>
        <v>12042511100SALARIES AND WAGES64100000</v>
      </c>
      <c r="K204" s="163">
        <f t="shared" si="7"/>
        <v>46251.23</v>
      </c>
    </row>
    <row r="205" spans="1:11" ht="14.5">
      <c r="A205" s="468">
        <v>12042511</v>
      </c>
      <c r="B205" s="468">
        <v>4010</v>
      </c>
      <c r="C205" s="468">
        <v>300</v>
      </c>
      <c r="D205" s="468" t="s">
        <v>97</v>
      </c>
      <c r="E205" s="468">
        <v>6363.07</v>
      </c>
      <c r="F205" s="468">
        <v>64100000</v>
      </c>
      <c r="G205" s="468"/>
      <c r="H205" s="468"/>
      <c r="I205" s="468"/>
      <c r="J205" s="445" t="str">
        <f t="shared" si="6"/>
        <v>12042511300OVERTIME64100000</v>
      </c>
      <c r="K205" s="163">
        <f t="shared" si="7"/>
        <v>6363.07</v>
      </c>
    </row>
    <row r="206" spans="1:11" ht="14.5">
      <c r="A206" s="468">
        <v>12040800</v>
      </c>
      <c r="B206" s="468">
        <v>4010</v>
      </c>
      <c r="C206" s="468">
        <v>100</v>
      </c>
      <c r="D206" s="468" t="s">
        <v>92</v>
      </c>
      <c r="E206" s="468">
        <v>76329.149999999994</v>
      </c>
      <c r="F206" s="468">
        <v>64100000</v>
      </c>
      <c r="G206" s="468"/>
      <c r="H206" s="468"/>
      <c r="I206" s="468"/>
      <c r="J206" s="445" t="str">
        <f t="shared" si="6"/>
        <v>12040800100SALARIES AND WAGES64100000</v>
      </c>
      <c r="K206" s="163">
        <f t="shared" si="7"/>
        <v>76329.149999999994</v>
      </c>
    </row>
    <row r="207" spans="1:11" ht="14.5">
      <c r="A207" s="468">
        <v>12040800</v>
      </c>
      <c r="B207" s="468">
        <v>4010</v>
      </c>
      <c r="C207" s="468">
        <v>300</v>
      </c>
      <c r="D207" s="468" t="s">
        <v>97</v>
      </c>
      <c r="E207" s="468">
        <v>2908.38</v>
      </c>
      <c r="F207" s="468">
        <v>64100000</v>
      </c>
      <c r="G207" s="468"/>
      <c r="H207" s="468"/>
      <c r="I207" s="468"/>
      <c r="J207" s="445" t="str">
        <f t="shared" si="6"/>
        <v>12040800300OVERTIME64100000</v>
      </c>
      <c r="K207" s="163">
        <f t="shared" si="7"/>
        <v>2908.38</v>
      </c>
    </row>
    <row r="208" spans="1:11" ht="14.5">
      <c r="A208" s="468">
        <v>12040800</v>
      </c>
      <c r="B208" s="468">
        <v>4010</v>
      </c>
      <c r="C208" s="468">
        <v>400</v>
      </c>
      <c r="D208" s="468" t="s">
        <v>94</v>
      </c>
      <c r="E208" s="468">
        <v>80.5</v>
      </c>
      <c r="F208" s="468">
        <v>64100000</v>
      </c>
      <c r="G208" s="468"/>
      <c r="H208" s="468"/>
      <c r="I208" s="468"/>
      <c r="J208" s="445" t="str">
        <f t="shared" si="6"/>
        <v>12040800400ALLOWANCES64100000</v>
      </c>
      <c r="K208" s="163">
        <f t="shared" si="7"/>
        <v>80.5</v>
      </c>
    </row>
    <row r="209" spans="1:11" ht="14.5">
      <c r="A209" s="468">
        <v>12060400</v>
      </c>
      <c r="B209" s="468">
        <v>4010</v>
      </c>
      <c r="C209" s="468">
        <v>100</v>
      </c>
      <c r="D209" s="468" t="s">
        <v>92</v>
      </c>
      <c r="E209" s="468">
        <v>46644.29</v>
      </c>
      <c r="F209" s="468" t="s">
        <v>100</v>
      </c>
      <c r="G209" s="468"/>
      <c r="H209" s="468"/>
      <c r="I209" s="468"/>
      <c r="J209" s="445" t="str">
        <f t="shared" si="6"/>
        <v>12060400100SALARIES AND WAGES641000CS</v>
      </c>
      <c r="K209" s="163">
        <f t="shared" si="7"/>
        <v>46644.29</v>
      </c>
    </row>
    <row r="210" spans="1:11" ht="14.5">
      <c r="A210" s="468">
        <v>12060400</v>
      </c>
      <c r="B210" s="468">
        <v>4010</v>
      </c>
      <c r="C210" s="468">
        <v>400</v>
      </c>
      <c r="D210" s="468" t="s">
        <v>94</v>
      </c>
      <c r="E210" s="468">
        <v>951.68</v>
      </c>
      <c r="F210" s="468" t="s">
        <v>100</v>
      </c>
      <c r="G210" s="468"/>
      <c r="H210" s="468"/>
      <c r="I210" s="468"/>
      <c r="J210" s="445" t="str">
        <f t="shared" si="6"/>
        <v>12060400400ALLOWANCES641000CS</v>
      </c>
      <c r="K210" s="163">
        <f t="shared" si="7"/>
        <v>951.68</v>
      </c>
    </row>
    <row r="211" spans="1:11" ht="14.5">
      <c r="A211" s="468">
        <v>12048099</v>
      </c>
      <c r="B211" s="468">
        <v>4010</v>
      </c>
      <c r="C211" s="468">
        <v>100</v>
      </c>
      <c r="D211" s="468" t="s">
        <v>92</v>
      </c>
      <c r="E211" s="468">
        <v>176788.55</v>
      </c>
      <c r="F211" s="468" t="s">
        <v>101</v>
      </c>
      <c r="G211" s="468"/>
      <c r="H211" s="468"/>
      <c r="I211" s="468"/>
      <c r="J211" s="445" t="str">
        <f t="shared" si="6"/>
        <v>12048099100SALARIES AND WAGES641000SM</v>
      </c>
      <c r="K211" s="163">
        <f t="shared" si="7"/>
        <v>176788.55</v>
      </c>
    </row>
    <row r="212" spans="1:11" ht="14.5">
      <c r="A212" s="468">
        <v>12048099</v>
      </c>
      <c r="B212" s="468">
        <v>4010</v>
      </c>
      <c r="C212" s="468">
        <v>400</v>
      </c>
      <c r="D212" s="468" t="s">
        <v>94</v>
      </c>
      <c r="E212" s="468">
        <v>24535.48</v>
      </c>
      <c r="F212" s="468" t="s">
        <v>101</v>
      </c>
      <c r="G212" s="468"/>
      <c r="H212" s="468"/>
      <c r="I212" s="468"/>
      <c r="J212" s="445" t="str">
        <f t="shared" si="6"/>
        <v>12048099400ALLOWANCES641000SM</v>
      </c>
      <c r="K212" s="163">
        <f t="shared" si="7"/>
        <v>24535.48</v>
      </c>
    </row>
    <row r="213" spans="1:11" ht="14.5">
      <c r="A213" s="468">
        <v>12043123</v>
      </c>
      <c r="B213" s="468">
        <v>4010</v>
      </c>
      <c r="C213" s="468">
        <v>100</v>
      </c>
      <c r="D213" s="468" t="s">
        <v>92</v>
      </c>
      <c r="E213" s="468">
        <v>60524.91</v>
      </c>
      <c r="F213" s="468">
        <v>64100000</v>
      </c>
      <c r="G213" s="468"/>
      <c r="H213" s="468"/>
      <c r="I213" s="468"/>
      <c r="J213" s="445" t="str">
        <f t="shared" si="6"/>
        <v>12043123100SALARIES AND WAGES64100000</v>
      </c>
      <c r="K213" s="163">
        <f t="shared" si="7"/>
        <v>60524.91</v>
      </c>
    </row>
    <row r="214" spans="1:11" ht="14.5">
      <c r="A214" s="468">
        <v>12043123</v>
      </c>
      <c r="B214" s="468">
        <v>4010</v>
      </c>
      <c r="C214" s="468">
        <v>300</v>
      </c>
      <c r="D214" s="468" t="s">
        <v>97</v>
      </c>
      <c r="E214" s="468">
        <v>11661.47</v>
      </c>
      <c r="F214" s="468">
        <v>64100000</v>
      </c>
      <c r="G214" s="468"/>
      <c r="H214" s="468"/>
      <c r="I214" s="468"/>
      <c r="J214" s="445" t="str">
        <f t="shared" si="6"/>
        <v>12043123300OVERTIME64100000</v>
      </c>
      <c r="K214" s="163">
        <f t="shared" si="7"/>
        <v>11661.47</v>
      </c>
    </row>
    <row r="215" spans="1:11" ht="14.5">
      <c r="A215" s="468">
        <v>12043123</v>
      </c>
      <c r="B215" s="468">
        <v>4010</v>
      </c>
      <c r="C215" s="468">
        <v>400</v>
      </c>
      <c r="D215" s="468" t="s">
        <v>94</v>
      </c>
      <c r="E215" s="468">
        <v>61.18</v>
      </c>
      <c r="F215" s="468">
        <v>64100000</v>
      </c>
      <c r="G215" s="468"/>
      <c r="H215" s="468"/>
      <c r="I215" s="468"/>
      <c r="J215" s="445" t="str">
        <f t="shared" si="6"/>
        <v>12043123400ALLOWANCES64100000</v>
      </c>
      <c r="K215" s="163">
        <f t="shared" si="7"/>
        <v>61.18</v>
      </c>
    </row>
    <row r="216" spans="1:11" ht="14.5">
      <c r="A216" s="468">
        <v>12043011</v>
      </c>
      <c r="B216" s="468">
        <v>4010</v>
      </c>
      <c r="C216" s="468">
        <v>100</v>
      </c>
      <c r="D216" s="468" t="s">
        <v>92</v>
      </c>
      <c r="E216" s="468">
        <v>476527.37</v>
      </c>
      <c r="F216" s="468">
        <v>64100000</v>
      </c>
      <c r="G216" s="468"/>
      <c r="H216" s="468"/>
      <c r="I216" s="468"/>
      <c r="J216" s="445" t="str">
        <f t="shared" si="6"/>
        <v>12043011100SALARIES AND WAGES64100000</v>
      </c>
      <c r="K216" s="163">
        <f t="shared" si="7"/>
        <v>476527.37</v>
      </c>
    </row>
    <row r="217" spans="1:11" ht="14.5">
      <c r="A217" s="468">
        <v>12043011</v>
      </c>
      <c r="B217" s="468">
        <v>4010</v>
      </c>
      <c r="C217" s="468">
        <v>200</v>
      </c>
      <c r="D217" s="468" t="s">
        <v>102</v>
      </c>
      <c r="E217" s="468">
        <v>15794.46</v>
      </c>
      <c r="F217" s="468">
        <v>64100000</v>
      </c>
      <c r="G217" s="468"/>
      <c r="H217" s="468"/>
      <c r="I217" s="468"/>
      <c r="J217" s="445" t="str">
        <f t="shared" si="6"/>
        <v>12043011200CASUAL WAGES64100000</v>
      </c>
      <c r="K217" s="163">
        <f t="shared" si="7"/>
        <v>15794.46</v>
      </c>
    </row>
    <row r="218" spans="1:11" ht="14.5">
      <c r="A218" s="468">
        <v>12043011</v>
      </c>
      <c r="B218" s="468">
        <v>4010</v>
      </c>
      <c r="C218" s="468">
        <v>300</v>
      </c>
      <c r="D218" s="468" t="s">
        <v>97</v>
      </c>
      <c r="E218" s="468">
        <v>28162.39</v>
      </c>
      <c r="F218" s="468">
        <v>64100000</v>
      </c>
      <c r="G218" s="468"/>
      <c r="H218" s="468"/>
      <c r="I218" s="468"/>
      <c r="J218" s="445" t="str">
        <f t="shared" si="6"/>
        <v>12043011300OVERTIME64100000</v>
      </c>
      <c r="K218" s="163">
        <f t="shared" si="7"/>
        <v>28162.39</v>
      </c>
    </row>
    <row r="219" spans="1:11" ht="14.5">
      <c r="A219" s="468">
        <v>12043011</v>
      </c>
      <c r="B219" s="468">
        <v>4010</v>
      </c>
      <c r="C219" s="468">
        <v>400</v>
      </c>
      <c r="D219" s="468" t="s">
        <v>94</v>
      </c>
      <c r="E219" s="468">
        <v>18920.97</v>
      </c>
      <c r="F219" s="468">
        <v>64100000</v>
      </c>
      <c r="G219" s="468"/>
      <c r="H219" s="468"/>
      <c r="I219" s="468"/>
      <c r="J219" s="445" t="str">
        <f t="shared" si="6"/>
        <v>12043011400ALLOWANCES64100000</v>
      </c>
      <c r="K219" s="163">
        <f t="shared" si="7"/>
        <v>18920.97</v>
      </c>
    </row>
    <row r="220" spans="1:11" ht="14.5">
      <c r="A220" s="468">
        <v>12060800</v>
      </c>
      <c r="B220" s="468">
        <v>4010</v>
      </c>
      <c r="C220" s="468">
        <v>100</v>
      </c>
      <c r="D220" s="468" t="s">
        <v>92</v>
      </c>
      <c r="E220" s="468">
        <v>101579.81</v>
      </c>
      <c r="F220" s="468">
        <v>64100000</v>
      </c>
      <c r="G220" s="468"/>
      <c r="H220" s="468"/>
      <c r="I220" s="468"/>
      <c r="J220" s="445" t="str">
        <f t="shared" si="6"/>
        <v>12060800100SALARIES AND WAGES64100000</v>
      </c>
      <c r="K220" s="163">
        <f t="shared" si="7"/>
        <v>101579.81</v>
      </c>
    </row>
    <row r="221" spans="1:11" ht="14.5">
      <c r="A221" s="468">
        <v>12060800</v>
      </c>
      <c r="B221" s="468">
        <v>4010</v>
      </c>
      <c r="C221" s="468">
        <v>300</v>
      </c>
      <c r="D221" s="468" t="s">
        <v>97</v>
      </c>
      <c r="E221" s="468">
        <v>5024.9399999999996</v>
      </c>
      <c r="F221" s="468">
        <v>64100000</v>
      </c>
      <c r="G221" s="468"/>
      <c r="H221" s="468"/>
      <c r="I221" s="468"/>
      <c r="J221" s="445" t="str">
        <f t="shared" si="6"/>
        <v>12060800300OVERTIME64100000</v>
      </c>
      <c r="K221" s="163">
        <f t="shared" si="7"/>
        <v>5024.9399999999996</v>
      </c>
    </row>
    <row r="222" spans="1:11" ht="14.5">
      <c r="A222" s="468">
        <v>12060800</v>
      </c>
      <c r="B222" s="468">
        <v>4010</v>
      </c>
      <c r="C222" s="468">
        <v>400</v>
      </c>
      <c r="D222" s="468" t="s">
        <v>94</v>
      </c>
      <c r="E222" s="468">
        <v>80.5</v>
      </c>
      <c r="F222" s="468">
        <v>64100000</v>
      </c>
      <c r="G222" s="468"/>
      <c r="H222" s="468"/>
      <c r="I222" s="468"/>
      <c r="J222" s="445" t="str">
        <f t="shared" si="6"/>
        <v>12060800400ALLOWANCES64100000</v>
      </c>
      <c r="K222" s="163">
        <f t="shared" si="7"/>
        <v>80.5</v>
      </c>
    </row>
    <row r="223" spans="1:11" ht="14.5">
      <c r="A223" s="468">
        <v>12060711</v>
      </c>
      <c r="B223" s="468">
        <v>4010</v>
      </c>
      <c r="C223" s="468">
        <v>100</v>
      </c>
      <c r="D223" s="468" t="s">
        <v>92</v>
      </c>
      <c r="E223" s="468">
        <v>54164.74</v>
      </c>
      <c r="F223" s="468">
        <v>64100000</v>
      </c>
      <c r="G223" s="468"/>
      <c r="H223" s="468"/>
      <c r="I223" s="468"/>
      <c r="J223" s="445" t="str">
        <f t="shared" si="6"/>
        <v>12060711100SALARIES AND WAGES64100000</v>
      </c>
      <c r="K223" s="163">
        <f t="shared" si="7"/>
        <v>54164.74</v>
      </c>
    </row>
    <row r="224" spans="1:11" ht="14.5">
      <c r="A224" s="468">
        <v>12060711</v>
      </c>
      <c r="B224" s="468">
        <v>4010</v>
      </c>
      <c r="C224" s="468">
        <v>300</v>
      </c>
      <c r="D224" s="468" t="s">
        <v>97</v>
      </c>
      <c r="E224" s="468">
        <v>2827.33</v>
      </c>
      <c r="F224" s="468">
        <v>64100000</v>
      </c>
      <c r="G224" s="468"/>
      <c r="H224" s="468"/>
      <c r="I224" s="468"/>
      <c r="J224" s="445" t="str">
        <f t="shared" si="6"/>
        <v>12060711300OVERTIME64100000</v>
      </c>
      <c r="K224" s="163">
        <f t="shared" si="7"/>
        <v>2827.33</v>
      </c>
    </row>
    <row r="225" spans="1:11" ht="14.5">
      <c r="A225" s="468">
        <v>12060711</v>
      </c>
      <c r="B225" s="468">
        <v>4010</v>
      </c>
      <c r="C225" s="468">
        <v>400</v>
      </c>
      <c r="D225" s="468" t="s">
        <v>94</v>
      </c>
      <c r="E225" s="468">
        <v>16.100000000000001</v>
      </c>
      <c r="F225" s="468">
        <v>64100000</v>
      </c>
      <c r="G225" s="468"/>
      <c r="H225" s="468"/>
      <c r="I225" s="468"/>
      <c r="J225" s="445" t="str">
        <f t="shared" si="6"/>
        <v>12060711400ALLOWANCES64100000</v>
      </c>
      <c r="K225" s="163">
        <f t="shared" si="7"/>
        <v>16.100000000000001</v>
      </c>
    </row>
    <row r="226" spans="1:11" ht="14.5">
      <c r="A226" s="468">
        <v>12060611</v>
      </c>
      <c r="B226" s="468">
        <v>4010</v>
      </c>
      <c r="C226" s="468">
        <v>100</v>
      </c>
      <c r="D226" s="468" t="s">
        <v>92</v>
      </c>
      <c r="E226" s="468">
        <v>287196.56</v>
      </c>
      <c r="F226" s="468">
        <v>64100000</v>
      </c>
      <c r="G226" s="468"/>
      <c r="H226" s="468"/>
      <c r="I226" s="468"/>
      <c r="J226" s="445" t="str">
        <f t="shared" si="6"/>
        <v>12060611100SALARIES AND WAGES64100000</v>
      </c>
      <c r="K226" s="163">
        <f t="shared" si="7"/>
        <v>287196.56</v>
      </c>
    </row>
    <row r="227" spans="1:11" ht="14.5">
      <c r="A227" s="468">
        <v>12060611</v>
      </c>
      <c r="B227" s="468">
        <v>4010</v>
      </c>
      <c r="C227" s="468">
        <v>300</v>
      </c>
      <c r="D227" s="468" t="s">
        <v>97</v>
      </c>
      <c r="E227" s="468">
        <v>17584.21</v>
      </c>
      <c r="F227" s="468">
        <v>64100000</v>
      </c>
      <c r="G227" s="468"/>
      <c r="H227" s="468"/>
      <c r="I227" s="468"/>
      <c r="J227" s="445" t="str">
        <f t="shared" si="6"/>
        <v>12060611300OVERTIME64100000</v>
      </c>
      <c r="K227" s="163">
        <f t="shared" si="7"/>
        <v>17584.21</v>
      </c>
    </row>
    <row r="228" spans="1:11" ht="14.5">
      <c r="A228" s="468">
        <v>12060611</v>
      </c>
      <c r="B228" s="468">
        <v>4010</v>
      </c>
      <c r="C228" s="468">
        <v>400</v>
      </c>
      <c r="D228" s="468" t="s">
        <v>94</v>
      </c>
      <c r="E228" s="468">
        <v>2093.08</v>
      </c>
      <c r="F228" s="468">
        <v>64100000</v>
      </c>
      <c r="G228" s="468"/>
      <c r="H228" s="468"/>
      <c r="I228" s="468"/>
      <c r="J228" s="445" t="str">
        <f t="shared" si="6"/>
        <v>12060611400ALLOWANCES64100000</v>
      </c>
      <c r="K228" s="163">
        <f t="shared" si="7"/>
        <v>2093.08</v>
      </c>
    </row>
    <row r="229" spans="1:11" ht="14.5">
      <c r="A229" s="468">
        <v>12068099</v>
      </c>
      <c r="B229" s="468">
        <v>4010</v>
      </c>
      <c r="C229" s="468">
        <v>100</v>
      </c>
      <c r="D229" s="468" t="s">
        <v>92</v>
      </c>
      <c r="E229" s="468">
        <v>68497.05</v>
      </c>
      <c r="F229" s="468" t="s">
        <v>101</v>
      </c>
      <c r="G229" s="468"/>
      <c r="H229" s="468"/>
      <c r="I229" s="468"/>
      <c r="J229" s="445" t="str">
        <f t="shared" si="6"/>
        <v>12068099100SALARIES AND WAGES641000SM</v>
      </c>
      <c r="K229" s="163">
        <f t="shared" si="7"/>
        <v>68497.05</v>
      </c>
    </row>
    <row r="230" spans="1:11" ht="14.5">
      <c r="A230" s="468">
        <v>12068099</v>
      </c>
      <c r="B230" s="468">
        <v>4010</v>
      </c>
      <c r="C230" s="468">
        <v>400</v>
      </c>
      <c r="D230" s="468" t="s">
        <v>94</v>
      </c>
      <c r="E230" s="468">
        <v>17469.23</v>
      </c>
      <c r="F230" s="468" t="s">
        <v>101</v>
      </c>
      <c r="G230" s="468"/>
      <c r="H230" s="468"/>
      <c r="I230" s="468"/>
      <c r="J230" s="445" t="str">
        <f t="shared" si="6"/>
        <v>12068099400ALLOWANCES641000SM</v>
      </c>
      <c r="K230" s="163">
        <f t="shared" si="7"/>
        <v>17469.23</v>
      </c>
    </row>
    <row r="231" spans="1:11" ht="14.5">
      <c r="A231" s="468">
        <v>12063011</v>
      </c>
      <c r="B231" s="468">
        <v>4010</v>
      </c>
      <c r="C231" s="468">
        <v>100</v>
      </c>
      <c r="D231" s="468" t="s">
        <v>92</v>
      </c>
      <c r="E231" s="468">
        <v>32250.95</v>
      </c>
      <c r="F231" s="468">
        <v>64100000</v>
      </c>
      <c r="G231" s="468"/>
      <c r="H231" s="468"/>
      <c r="I231" s="468"/>
      <c r="J231" s="445" t="str">
        <f t="shared" si="6"/>
        <v>12063011100SALARIES AND WAGES64100000</v>
      </c>
      <c r="K231" s="163">
        <f t="shared" si="7"/>
        <v>32250.95</v>
      </c>
    </row>
    <row r="232" spans="1:11" ht="14.5">
      <c r="A232" s="468">
        <v>12063011</v>
      </c>
      <c r="B232" s="468">
        <v>4010</v>
      </c>
      <c r="C232" s="468">
        <v>300</v>
      </c>
      <c r="D232" s="468" t="s">
        <v>97</v>
      </c>
      <c r="E232" s="468">
        <v>73.17</v>
      </c>
      <c r="F232" s="468">
        <v>64100000</v>
      </c>
      <c r="G232" s="468"/>
      <c r="H232" s="468"/>
      <c r="I232" s="468"/>
      <c r="J232" s="445" t="str">
        <f t="shared" si="6"/>
        <v>12063011300OVERTIME64100000</v>
      </c>
      <c r="K232" s="163">
        <f t="shared" si="7"/>
        <v>73.17</v>
      </c>
    </row>
    <row r="233" spans="1:11" ht="14.5">
      <c r="A233" s="468">
        <v>12063011</v>
      </c>
      <c r="B233" s="468">
        <v>4010</v>
      </c>
      <c r="C233" s="468">
        <v>400</v>
      </c>
      <c r="D233" s="468" t="s">
        <v>94</v>
      </c>
      <c r="E233" s="468">
        <v>1546.16</v>
      </c>
      <c r="F233" s="468">
        <v>64100000</v>
      </c>
      <c r="G233" s="468"/>
      <c r="H233" s="468"/>
      <c r="I233" s="468"/>
      <c r="J233" s="445" t="str">
        <f t="shared" si="6"/>
        <v>12063011400ALLOWANCES64100000</v>
      </c>
      <c r="K233" s="163">
        <f t="shared" si="7"/>
        <v>1546.16</v>
      </c>
    </row>
    <row r="234" spans="1:11" ht="14.5">
      <c r="A234" s="468">
        <v>12062511</v>
      </c>
      <c r="B234" s="468">
        <v>4010</v>
      </c>
      <c r="C234" s="468">
        <v>100</v>
      </c>
      <c r="D234" s="468" t="s">
        <v>92</v>
      </c>
      <c r="E234" s="468">
        <v>56198.400000000001</v>
      </c>
      <c r="F234" s="468">
        <v>64100000</v>
      </c>
      <c r="G234" s="468"/>
      <c r="H234" s="468"/>
      <c r="I234" s="468"/>
      <c r="J234" s="445" t="str">
        <f t="shared" si="6"/>
        <v>12062511100SALARIES AND WAGES64100000</v>
      </c>
      <c r="K234" s="163">
        <f t="shared" si="7"/>
        <v>56198.400000000001</v>
      </c>
    </row>
    <row r="235" spans="1:11" ht="14.5">
      <c r="A235" s="468">
        <v>12062511</v>
      </c>
      <c r="B235" s="468">
        <v>4010</v>
      </c>
      <c r="C235" s="468">
        <v>300</v>
      </c>
      <c r="D235" s="468" t="s">
        <v>97</v>
      </c>
      <c r="E235" s="468">
        <v>2513.84</v>
      </c>
      <c r="F235" s="468">
        <v>64100000</v>
      </c>
      <c r="G235" s="468"/>
      <c r="H235" s="468"/>
      <c r="I235" s="468"/>
      <c r="J235" s="445" t="str">
        <f t="shared" si="6"/>
        <v>12062511300OVERTIME64100000</v>
      </c>
      <c r="K235" s="163">
        <f t="shared" si="7"/>
        <v>2513.84</v>
      </c>
    </row>
    <row r="236" spans="1:11" ht="14.5">
      <c r="A236" s="468">
        <v>12062511</v>
      </c>
      <c r="B236" s="468">
        <v>4010</v>
      </c>
      <c r="C236" s="468">
        <v>400</v>
      </c>
      <c r="D236" s="468" t="s">
        <v>94</v>
      </c>
      <c r="E236" s="468">
        <v>193.2</v>
      </c>
      <c r="F236" s="468">
        <v>64100000</v>
      </c>
      <c r="G236" s="468"/>
      <c r="H236" s="468"/>
      <c r="I236" s="468"/>
      <c r="J236" s="445" t="str">
        <f t="shared" si="6"/>
        <v>12062511400ALLOWANCES64100000</v>
      </c>
      <c r="K236" s="163">
        <f t="shared" si="7"/>
        <v>193.2</v>
      </c>
    </row>
    <row r="237" spans="1:11" ht="14.5">
      <c r="A237" s="468">
        <v>12013250</v>
      </c>
      <c r="B237" s="468">
        <v>4020</v>
      </c>
      <c r="C237" s="468">
        <v>300</v>
      </c>
      <c r="D237" s="468" t="s">
        <v>105</v>
      </c>
      <c r="E237" s="468">
        <v>28535.74</v>
      </c>
      <c r="F237" s="468">
        <v>64500000</v>
      </c>
      <c r="G237" s="468"/>
      <c r="H237" s="468"/>
      <c r="I237" s="468"/>
      <c r="J237" s="445" t="str">
        <f t="shared" si="6"/>
        <v>12013250300PAYROLL TAX64500000</v>
      </c>
      <c r="K237" s="163">
        <f t="shared" si="7"/>
        <v>28535.74</v>
      </c>
    </row>
    <row r="238" spans="1:11" ht="14.5">
      <c r="A238" s="468">
        <v>12013012</v>
      </c>
      <c r="B238" s="468">
        <v>4020</v>
      </c>
      <c r="C238" s="468">
        <v>300</v>
      </c>
      <c r="D238" s="468" t="s">
        <v>105</v>
      </c>
      <c r="E238" s="468">
        <v>13277.5</v>
      </c>
      <c r="F238" s="468">
        <v>64500000</v>
      </c>
      <c r="G238" s="468"/>
      <c r="H238" s="468"/>
      <c r="I238" s="468"/>
      <c r="J238" s="445" t="str">
        <f t="shared" si="6"/>
        <v>12013012300PAYROLL TAX64500000</v>
      </c>
      <c r="K238" s="163">
        <f t="shared" si="7"/>
        <v>13277.5</v>
      </c>
    </row>
    <row r="239" spans="1:11" ht="14.5">
      <c r="A239" s="468">
        <v>12010700</v>
      </c>
      <c r="B239" s="468">
        <v>4020</v>
      </c>
      <c r="C239" s="468">
        <v>300</v>
      </c>
      <c r="D239" s="468" t="s">
        <v>105</v>
      </c>
      <c r="E239" s="468">
        <v>6855.4</v>
      </c>
      <c r="F239" s="468" t="s">
        <v>111</v>
      </c>
      <c r="G239" s="468"/>
      <c r="H239" s="468"/>
      <c r="I239" s="468"/>
      <c r="J239" s="445" t="str">
        <f t="shared" si="6"/>
        <v>12010700300PAYROLL TAX645000QL</v>
      </c>
      <c r="K239" s="163">
        <f t="shared" si="7"/>
        <v>6855.4</v>
      </c>
    </row>
    <row r="240" spans="1:11" ht="14.5">
      <c r="A240" s="468">
        <v>12010500</v>
      </c>
      <c r="B240" s="468">
        <v>4020</v>
      </c>
      <c r="C240" s="468">
        <v>100</v>
      </c>
      <c r="D240" s="468" t="s">
        <v>107</v>
      </c>
      <c r="E240" s="468">
        <v>807.68</v>
      </c>
      <c r="F240" s="468" t="s">
        <v>112</v>
      </c>
      <c r="G240" s="468"/>
      <c r="H240" s="468"/>
      <c r="I240" s="468"/>
      <c r="J240" s="445" t="str">
        <f t="shared" si="6"/>
        <v>12010500100FBT645000LP</v>
      </c>
      <c r="K240" s="163">
        <f t="shared" si="7"/>
        <v>807.68</v>
      </c>
    </row>
    <row r="241" spans="1:11" ht="14.5">
      <c r="A241" s="468">
        <v>12010500</v>
      </c>
      <c r="B241" s="468">
        <v>4020</v>
      </c>
      <c r="C241" s="468">
        <v>300</v>
      </c>
      <c r="D241" s="468" t="s">
        <v>105</v>
      </c>
      <c r="E241" s="468">
        <v>36269.050000000003</v>
      </c>
      <c r="F241" s="468" t="s">
        <v>112</v>
      </c>
      <c r="G241" s="468"/>
      <c r="H241" s="468"/>
      <c r="I241" s="468"/>
      <c r="J241" s="445" t="str">
        <f t="shared" si="6"/>
        <v>12010500300PAYROLL TAX645000LP</v>
      </c>
      <c r="K241" s="163">
        <f t="shared" si="7"/>
        <v>36269.050000000003</v>
      </c>
    </row>
    <row r="242" spans="1:11" ht="14.5">
      <c r="A242" s="468">
        <v>12019199</v>
      </c>
      <c r="B242" s="468">
        <v>4020</v>
      </c>
      <c r="C242" s="468">
        <v>100</v>
      </c>
      <c r="D242" s="468" t="s">
        <v>107</v>
      </c>
      <c r="E242" s="468">
        <v>418.12</v>
      </c>
      <c r="F242" s="468" t="s">
        <v>108</v>
      </c>
      <c r="G242" s="468"/>
      <c r="H242" s="468"/>
      <c r="I242" s="468"/>
      <c r="J242" s="445" t="str">
        <f t="shared" si="6"/>
        <v>12019199100FBT645000GA</v>
      </c>
      <c r="K242" s="163">
        <f t="shared" si="7"/>
        <v>418.12</v>
      </c>
    </row>
    <row r="243" spans="1:11" ht="14.5">
      <c r="A243" s="468">
        <v>12019199</v>
      </c>
      <c r="B243" s="468">
        <v>4020</v>
      </c>
      <c r="C243" s="468">
        <v>300</v>
      </c>
      <c r="D243" s="468" t="s">
        <v>105</v>
      </c>
      <c r="E243" s="468">
        <v>28839.18</v>
      </c>
      <c r="F243" s="468" t="s">
        <v>108</v>
      </c>
      <c r="G243" s="468"/>
      <c r="H243" s="468"/>
      <c r="I243" s="468"/>
      <c r="J243" s="445" t="str">
        <f t="shared" si="6"/>
        <v>12019199300PAYROLL TAX645000GA</v>
      </c>
      <c r="K243" s="163">
        <f t="shared" si="7"/>
        <v>28839.18</v>
      </c>
    </row>
    <row r="244" spans="1:11" ht="14.5">
      <c r="A244" s="468">
        <v>12020400</v>
      </c>
      <c r="B244" s="468">
        <v>4020</v>
      </c>
      <c r="C244" s="468">
        <v>300</v>
      </c>
      <c r="D244" s="468" t="s">
        <v>105</v>
      </c>
      <c r="E244" s="468">
        <v>6372.86</v>
      </c>
      <c r="F244" s="468" t="s">
        <v>106</v>
      </c>
      <c r="G244" s="468"/>
      <c r="H244" s="468"/>
      <c r="I244" s="468"/>
      <c r="J244" s="445" t="str">
        <f t="shared" si="6"/>
        <v>12020400300PAYROLL TAX645000CS</v>
      </c>
      <c r="K244" s="163">
        <f t="shared" si="7"/>
        <v>6372.86</v>
      </c>
    </row>
    <row r="245" spans="1:11" ht="14.5">
      <c r="A245" s="468">
        <v>12019099</v>
      </c>
      <c r="B245" s="468">
        <v>4020</v>
      </c>
      <c r="C245" s="468">
        <v>100</v>
      </c>
      <c r="D245" s="468" t="s">
        <v>107</v>
      </c>
      <c r="E245" s="468">
        <v>4829.43</v>
      </c>
      <c r="F245" s="468" t="s">
        <v>108</v>
      </c>
      <c r="G245" s="468"/>
      <c r="H245" s="468"/>
      <c r="I245" s="468"/>
      <c r="J245" s="445" t="str">
        <f t="shared" si="6"/>
        <v>12019099100FBT645000GA</v>
      </c>
      <c r="K245" s="163">
        <f t="shared" si="7"/>
        <v>4829.43</v>
      </c>
    </row>
    <row r="246" spans="1:11" ht="14.5">
      <c r="A246" s="468">
        <v>12019099</v>
      </c>
      <c r="B246" s="468">
        <v>4020</v>
      </c>
      <c r="C246" s="468">
        <v>300</v>
      </c>
      <c r="D246" s="468" t="s">
        <v>105</v>
      </c>
      <c r="E246" s="468">
        <v>12953.93</v>
      </c>
      <c r="F246" s="468" t="s">
        <v>108</v>
      </c>
      <c r="G246" s="468"/>
      <c r="H246" s="468"/>
      <c r="I246" s="468"/>
      <c r="J246" s="445" t="str">
        <f t="shared" si="6"/>
        <v>12019099300PAYROLL TAX645000GA</v>
      </c>
      <c r="K246" s="163">
        <f t="shared" si="7"/>
        <v>12953.93</v>
      </c>
    </row>
    <row r="247" spans="1:11" ht="14.5">
      <c r="A247" s="468">
        <v>12018599</v>
      </c>
      <c r="B247" s="468">
        <v>4020</v>
      </c>
      <c r="C247" s="468">
        <v>100</v>
      </c>
      <c r="D247" s="468" t="s">
        <v>107</v>
      </c>
      <c r="E247" s="468">
        <v>540.76</v>
      </c>
      <c r="F247" s="468" t="s">
        <v>108</v>
      </c>
      <c r="G247" s="468"/>
      <c r="H247" s="468"/>
      <c r="I247" s="468"/>
      <c r="J247" s="445" t="str">
        <f t="shared" si="6"/>
        <v>12018599100FBT645000GA</v>
      </c>
      <c r="K247" s="163">
        <f t="shared" si="7"/>
        <v>540.76</v>
      </c>
    </row>
    <row r="248" spans="1:11" ht="14.5">
      <c r="A248" s="468">
        <v>12018599</v>
      </c>
      <c r="B248" s="468">
        <v>4020</v>
      </c>
      <c r="C248" s="468">
        <v>300</v>
      </c>
      <c r="D248" s="468" t="s">
        <v>105</v>
      </c>
      <c r="E248" s="468">
        <v>9707.6</v>
      </c>
      <c r="F248" s="468" t="s">
        <v>108</v>
      </c>
      <c r="G248" s="468"/>
      <c r="H248" s="468"/>
      <c r="I248" s="468"/>
      <c r="J248" s="445" t="str">
        <f t="shared" si="6"/>
        <v>12018599300PAYROLL TAX645000GA</v>
      </c>
      <c r="K248" s="163">
        <f t="shared" si="7"/>
        <v>9707.6</v>
      </c>
    </row>
    <row r="249" spans="1:11" ht="14.5">
      <c r="A249" s="468">
        <v>12018199</v>
      </c>
      <c r="B249" s="468">
        <v>4020</v>
      </c>
      <c r="C249" s="468">
        <v>300</v>
      </c>
      <c r="D249" s="468" t="s">
        <v>105</v>
      </c>
      <c r="E249" s="468">
        <v>5377.24</v>
      </c>
      <c r="F249" s="468" t="s">
        <v>109</v>
      </c>
      <c r="G249" s="468"/>
      <c r="H249" s="468"/>
      <c r="I249" s="468"/>
      <c r="J249" s="445" t="str">
        <f t="shared" si="6"/>
        <v>12018199300PAYROLL TAX645000SM</v>
      </c>
      <c r="K249" s="163">
        <f t="shared" si="7"/>
        <v>5377.24</v>
      </c>
    </row>
    <row r="250" spans="1:11" ht="14.5">
      <c r="A250" s="468">
        <v>12018099</v>
      </c>
      <c r="B250" s="468">
        <v>4020</v>
      </c>
      <c r="C250" s="468">
        <v>100</v>
      </c>
      <c r="D250" s="468" t="s">
        <v>107</v>
      </c>
      <c r="E250" s="468">
        <v>286</v>
      </c>
      <c r="F250" s="468" t="s">
        <v>109</v>
      </c>
      <c r="G250" s="468"/>
      <c r="H250" s="468"/>
      <c r="I250" s="468"/>
      <c r="J250" s="445" t="str">
        <f t="shared" si="6"/>
        <v>12018099100FBT645000SM</v>
      </c>
      <c r="K250" s="163">
        <f t="shared" si="7"/>
        <v>286</v>
      </c>
    </row>
    <row r="251" spans="1:11" ht="14.5">
      <c r="A251" s="468">
        <v>12018099</v>
      </c>
      <c r="B251" s="468">
        <v>4020</v>
      </c>
      <c r="C251" s="468">
        <v>300</v>
      </c>
      <c r="D251" s="468" t="s">
        <v>105</v>
      </c>
      <c r="E251" s="468">
        <v>12466.49</v>
      </c>
      <c r="F251" s="468" t="s">
        <v>109</v>
      </c>
      <c r="G251" s="468"/>
      <c r="H251" s="468"/>
      <c r="I251" s="468"/>
      <c r="J251" s="445" t="str">
        <f t="shared" si="6"/>
        <v>12018099300PAYROLL TAX645000SM</v>
      </c>
      <c r="K251" s="163">
        <f t="shared" si="7"/>
        <v>12466.49</v>
      </c>
    </row>
    <row r="252" spans="1:11" ht="14.5">
      <c r="A252" s="468">
        <v>12013300</v>
      </c>
      <c r="B252" s="468">
        <v>4020</v>
      </c>
      <c r="C252" s="468">
        <v>300</v>
      </c>
      <c r="D252" s="468" t="s">
        <v>105</v>
      </c>
      <c r="E252" s="468">
        <v>11417.29</v>
      </c>
      <c r="F252" s="468" t="s">
        <v>110</v>
      </c>
      <c r="G252" s="468"/>
      <c r="H252" s="468"/>
      <c r="I252" s="468"/>
      <c r="J252" s="445" t="str">
        <f t="shared" si="6"/>
        <v>12013300300PAYROLL TAX645000IT</v>
      </c>
      <c r="K252" s="163">
        <f t="shared" si="7"/>
        <v>11417.29</v>
      </c>
    </row>
    <row r="253" spans="1:11" ht="14.5">
      <c r="A253" s="468">
        <v>12022511</v>
      </c>
      <c r="B253" s="468">
        <v>4020</v>
      </c>
      <c r="C253" s="468">
        <v>300</v>
      </c>
      <c r="D253" s="468" t="s">
        <v>105</v>
      </c>
      <c r="E253" s="468">
        <v>9579.4500000000007</v>
      </c>
      <c r="F253" s="468">
        <v>64500000</v>
      </c>
      <c r="G253" s="468"/>
      <c r="H253" s="468"/>
      <c r="I253" s="468"/>
      <c r="J253" s="445" t="str">
        <f t="shared" si="6"/>
        <v>12022511300PAYROLL TAX64500000</v>
      </c>
      <c r="K253" s="163">
        <f t="shared" si="7"/>
        <v>9579.4500000000007</v>
      </c>
    </row>
    <row r="254" spans="1:11" ht="14.5">
      <c r="A254" s="468">
        <v>12021021</v>
      </c>
      <c r="B254" s="468">
        <v>4020</v>
      </c>
      <c r="C254" s="468">
        <v>300</v>
      </c>
      <c r="D254" s="468" t="s">
        <v>105</v>
      </c>
      <c r="E254" s="468">
        <v>37806.129999999997</v>
      </c>
      <c r="F254" s="468">
        <v>64500000</v>
      </c>
      <c r="G254" s="468"/>
      <c r="H254" s="468"/>
      <c r="I254" s="468"/>
      <c r="J254" s="445" t="str">
        <f t="shared" si="6"/>
        <v>12021021300PAYROLL TAX64500000</v>
      </c>
      <c r="K254" s="163">
        <f t="shared" si="7"/>
        <v>37806.129999999997</v>
      </c>
    </row>
    <row r="255" spans="1:11" ht="14.5">
      <c r="A255" s="468">
        <v>12020800</v>
      </c>
      <c r="B255" s="468">
        <v>4020</v>
      </c>
      <c r="C255" s="468">
        <v>300</v>
      </c>
      <c r="D255" s="468" t="s">
        <v>105</v>
      </c>
      <c r="E255" s="468">
        <v>8602.52</v>
      </c>
      <c r="F255" s="468">
        <v>64500000</v>
      </c>
      <c r="G255" s="468"/>
      <c r="H255" s="468"/>
      <c r="I255" s="468"/>
      <c r="J255" s="445" t="str">
        <f t="shared" si="6"/>
        <v>12020800300PAYROLL TAX64500000</v>
      </c>
      <c r="K255" s="163">
        <f t="shared" si="7"/>
        <v>8602.52</v>
      </c>
    </row>
    <row r="256" spans="1:11" ht="14.5">
      <c r="A256" s="468">
        <v>12020711</v>
      </c>
      <c r="B256" s="468">
        <v>4020</v>
      </c>
      <c r="C256" s="468">
        <v>300</v>
      </c>
      <c r="D256" s="468" t="s">
        <v>105</v>
      </c>
      <c r="E256" s="468">
        <v>9959.25</v>
      </c>
      <c r="F256" s="468">
        <v>64500000</v>
      </c>
      <c r="G256" s="468"/>
      <c r="H256" s="468"/>
      <c r="I256" s="468"/>
      <c r="J256" s="445" t="str">
        <f t="shared" si="6"/>
        <v>12020711300PAYROLL TAX64500000</v>
      </c>
      <c r="K256" s="163">
        <f t="shared" si="7"/>
        <v>9959.25</v>
      </c>
    </row>
    <row r="257" spans="1:11" ht="14.5">
      <c r="A257" s="468">
        <v>12020611</v>
      </c>
      <c r="B257" s="468">
        <v>4020</v>
      </c>
      <c r="C257" s="468">
        <v>300</v>
      </c>
      <c r="D257" s="468" t="s">
        <v>105</v>
      </c>
      <c r="E257" s="468">
        <v>27874.33</v>
      </c>
      <c r="F257" s="468">
        <v>64500000</v>
      </c>
      <c r="G257" s="468"/>
      <c r="H257" s="468"/>
      <c r="I257" s="468"/>
      <c r="J257" s="445" t="str">
        <f t="shared" si="6"/>
        <v>12020611300PAYROLL TAX64500000</v>
      </c>
      <c r="K257" s="163">
        <f t="shared" si="7"/>
        <v>27874.33</v>
      </c>
    </row>
    <row r="258" spans="1:11" ht="14.5">
      <c r="A258" s="468">
        <v>12020500</v>
      </c>
      <c r="B258" s="468">
        <v>4020</v>
      </c>
      <c r="C258" s="468">
        <v>300</v>
      </c>
      <c r="D258" s="468" t="s">
        <v>105</v>
      </c>
      <c r="E258" s="468">
        <v>3638.32</v>
      </c>
      <c r="F258" s="468" t="s">
        <v>112</v>
      </c>
      <c r="G258" s="468"/>
      <c r="H258" s="468"/>
      <c r="I258" s="468"/>
      <c r="J258" s="445" t="str">
        <f t="shared" si="6"/>
        <v>12020500300PAYROLL TAX645000LP</v>
      </c>
      <c r="K258" s="163">
        <f t="shared" si="7"/>
        <v>3638.32</v>
      </c>
    </row>
    <row r="259" spans="1:11" ht="14.5">
      <c r="A259" s="468">
        <v>12030500</v>
      </c>
      <c r="B259" s="468">
        <v>4020</v>
      </c>
      <c r="C259" s="468">
        <v>300</v>
      </c>
      <c r="D259" s="468" t="s">
        <v>105</v>
      </c>
      <c r="E259" s="468">
        <v>6776.92</v>
      </c>
      <c r="F259" s="468" t="s">
        <v>112</v>
      </c>
      <c r="G259" s="468"/>
      <c r="H259" s="468"/>
      <c r="I259" s="468"/>
      <c r="J259" s="445" t="str">
        <f t="shared" si="6"/>
        <v>12030500300PAYROLL TAX645000LP</v>
      </c>
      <c r="K259" s="163">
        <f t="shared" si="7"/>
        <v>6776.92</v>
      </c>
    </row>
    <row r="260" spans="1:11" ht="14.5">
      <c r="A260" s="468">
        <v>12030400</v>
      </c>
      <c r="B260" s="468">
        <v>4020</v>
      </c>
      <c r="C260" s="468">
        <v>300</v>
      </c>
      <c r="D260" s="468" t="s">
        <v>105</v>
      </c>
      <c r="E260" s="468">
        <v>11558.49</v>
      </c>
      <c r="F260" s="468" t="s">
        <v>106</v>
      </c>
      <c r="G260" s="468"/>
      <c r="H260" s="468"/>
      <c r="I260" s="468"/>
      <c r="J260" s="445" t="str">
        <f t="shared" si="6"/>
        <v>12030400300PAYROLL TAX645000CS</v>
      </c>
      <c r="K260" s="163">
        <f t="shared" si="7"/>
        <v>11558.49</v>
      </c>
    </row>
    <row r="261" spans="1:11" ht="14.5">
      <c r="A261" s="468">
        <v>12024021</v>
      </c>
      <c r="B261" s="468">
        <v>4020</v>
      </c>
      <c r="C261" s="468">
        <v>300</v>
      </c>
      <c r="D261" s="468" t="s">
        <v>105</v>
      </c>
      <c r="E261" s="468">
        <v>4121.78</v>
      </c>
      <c r="F261" s="468" t="s">
        <v>113</v>
      </c>
      <c r="G261" s="468"/>
      <c r="H261" s="468"/>
      <c r="I261" s="468"/>
      <c r="J261" s="445" t="str">
        <f t="shared" ref="J261:J324" si="8">A261&amp;C261&amp;D261&amp;F261</f>
        <v>12024021300PAYROLL TAX645000RD</v>
      </c>
      <c r="K261" s="163">
        <f t="shared" ref="K261:K324" si="9">E261</f>
        <v>4121.78</v>
      </c>
    </row>
    <row r="262" spans="1:11" ht="14.5">
      <c r="A262" s="468">
        <v>12028099</v>
      </c>
      <c r="B262" s="468">
        <v>4020</v>
      </c>
      <c r="C262" s="468">
        <v>300</v>
      </c>
      <c r="D262" s="468" t="s">
        <v>105</v>
      </c>
      <c r="E262" s="468">
        <v>10771.02</v>
      </c>
      <c r="F262" s="468" t="s">
        <v>109</v>
      </c>
      <c r="G262" s="468"/>
      <c r="H262" s="468"/>
      <c r="I262" s="468"/>
      <c r="J262" s="445" t="str">
        <f t="shared" si="8"/>
        <v>12028099300PAYROLL TAX645000SM</v>
      </c>
      <c r="K262" s="163">
        <f t="shared" si="9"/>
        <v>10771.02</v>
      </c>
    </row>
    <row r="263" spans="1:11" ht="14.5">
      <c r="A263" s="468">
        <v>12023021</v>
      </c>
      <c r="B263" s="468">
        <v>4020</v>
      </c>
      <c r="C263" s="468">
        <v>300</v>
      </c>
      <c r="D263" s="468" t="s">
        <v>105</v>
      </c>
      <c r="E263" s="468">
        <v>5555.19</v>
      </c>
      <c r="F263" s="468">
        <v>64500000</v>
      </c>
      <c r="G263" s="468"/>
      <c r="H263" s="468"/>
      <c r="I263" s="468"/>
      <c r="J263" s="445" t="str">
        <f t="shared" si="8"/>
        <v>12023021300PAYROLL TAX64500000</v>
      </c>
      <c r="K263" s="163">
        <f t="shared" si="9"/>
        <v>5555.19</v>
      </c>
    </row>
    <row r="264" spans="1:11" ht="14.5">
      <c r="A264" s="468">
        <v>12023011</v>
      </c>
      <c r="B264" s="468">
        <v>4020</v>
      </c>
      <c r="C264" s="468">
        <v>300</v>
      </c>
      <c r="D264" s="468" t="s">
        <v>105</v>
      </c>
      <c r="E264" s="468">
        <v>18206.36</v>
      </c>
      <c r="F264" s="468">
        <v>64500000</v>
      </c>
      <c r="G264" s="468"/>
      <c r="H264" s="468"/>
      <c r="I264" s="468"/>
      <c r="J264" s="445" t="str">
        <f t="shared" si="8"/>
        <v>12023011300PAYROLL TAX64500000</v>
      </c>
      <c r="K264" s="163">
        <f t="shared" si="9"/>
        <v>18206.36</v>
      </c>
    </row>
    <row r="265" spans="1:11" ht="14.5">
      <c r="A265" s="468">
        <v>12033011</v>
      </c>
      <c r="B265" s="468">
        <v>4020</v>
      </c>
      <c r="C265" s="468">
        <v>100</v>
      </c>
      <c r="D265" s="468" t="s">
        <v>107</v>
      </c>
      <c r="E265" s="468">
        <v>550.20000000000005</v>
      </c>
      <c r="F265" s="468">
        <v>64500000</v>
      </c>
      <c r="G265" s="468"/>
      <c r="H265" s="468"/>
      <c r="I265" s="468"/>
      <c r="J265" s="445" t="str">
        <f t="shared" si="8"/>
        <v>12033011100FBT64500000</v>
      </c>
      <c r="K265" s="163">
        <f t="shared" si="9"/>
        <v>550.20000000000005</v>
      </c>
    </row>
    <row r="266" spans="1:11" ht="14.5">
      <c r="A266" s="468">
        <v>12033011</v>
      </c>
      <c r="B266" s="468">
        <v>4020</v>
      </c>
      <c r="C266" s="468">
        <v>300</v>
      </c>
      <c r="D266" s="468" t="s">
        <v>105</v>
      </c>
      <c r="E266" s="468">
        <v>25003.03</v>
      </c>
      <c r="F266" s="468">
        <v>64500000</v>
      </c>
      <c r="G266" s="468"/>
      <c r="H266" s="468"/>
      <c r="I266" s="468"/>
      <c r="J266" s="445" t="str">
        <f t="shared" si="8"/>
        <v>12033011300PAYROLL TAX64500000</v>
      </c>
      <c r="K266" s="163">
        <f t="shared" si="9"/>
        <v>25003.03</v>
      </c>
    </row>
    <row r="267" spans="1:11" ht="14.5">
      <c r="A267" s="468">
        <v>12032511</v>
      </c>
      <c r="B267" s="468">
        <v>4020</v>
      </c>
      <c r="C267" s="468">
        <v>300</v>
      </c>
      <c r="D267" s="468" t="s">
        <v>105</v>
      </c>
      <c r="E267" s="468">
        <v>4844.6899999999996</v>
      </c>
      <c r="F267" s="468">
        <v>64500000</v>
      </c>
      <c r="G267" s="468"/>
      <c r="H267" s="468"/>
      <c r="I267" s="468"/>
      <c r="J267" s="445" t="str">
        <f t="shared" si="8"/>
        <v>12032511300PAYROLL TAX64500000</v>
      </c>
      <c r="K267" s="163">
        <f t="shared" si="9"/>
        <v>4844.6899999999996</v>
      </c>
    </row>
    <row r="268" spans="1:11" ht="14.5">
      <c r="A268" s="468">
        <v>12030800</v>
      </c>
      <c r="B268" s="468">
        <v>4020</v>
      </c>
      <c r="C268" s="468">
        <v>300</v>
      </c>
      <c r="D268" s="468" t="s">
        <v>105</v>
      </c>
      <c r="E268" s="468">
        <v>7691.01</v>
      </c>
      <c r="F268" s="468">
        <v>64500000</v>
      </c>
      <c r="G268" s="468"/>
      <c r="H268" s="468"/>
      <c r="I268" s="468"/>
      <c r="J268" s="445" t="str">
        <f t="shared" si="8"/>
        <v>12030800300PAYROLL TAX64500000</v>
      </c>
      <c r="K268" s="163">
        <f t="shared" si="9"/>
        <v>7691.01</v>
      </c>
    </row>
    <row r="269" spans="1:11" ht="14.5">
      <c r="A269" s="468">
        <v>12030711</v>
      </c>
      <c r="B269" s="468">
        <v>4020</v>
      </c>
      <c r="C269" s="468">
        <v>300</v>
      </c>
      <c r="D269" s="468" t="s">
        <v>105</v>
      </c>
      <c r="E269" s="468">
        <v>11616.16</v>
      </c>
      <c r="F269" s="468">
        <v>64500000</v>
      </c>
      <c r="G269" s="468"/>
      <c r="H269" s="468"/>
      <c r="I269" s="468"/>
      <c r="J269" s="445" t="str">
        <f t="shared" si="8"/>
        <v>12030711300PAYROLL TAX64500000</v>
      </c>
      <c r="K269" s="163">
        <f t="shared" si="9"/>
        <v>11616.16</v>
      </c>
    </row>
    <row r="270" spans="1:11" ht="14.5">
      <c r="A270" s="468">
        <v>12030611</v>
      </c>
      <c r="B270" s="468">
        <v>4020</v>
      </c>
      <c r="C270" s="468">
        <v>300</v>
      </c>
      <c r="D270" s="468" t="s">
        <v>105</v>
      </c>
      <c r="E270" s="468">
        <v>38175.21</v>
      </c>
      <c r="F270" s="468">
        <v>64500000</v>
      </c>
      <c r="G270" s="468"/>
      <c r="H270" s="468"/>
      <c r="I270" s="468"/>
      <c r="J270" s="445" t="str">
        <f t="shared" si="8"/>
        <v>12030611300PAYROLL TAX64500000</v>
      </c>
      <c r="K270" s="163">
        <f t="shared" si="9"/>
        <v>38175.21</v>
      </c>
    </row>
    <row r="271" spans="1:11" ht="14.5">
      <c r="A271" s="468">
        <v>12040500</v>
      </c>
      <c r="B271" s="468">
        <v>4020</v>
      </c>
      <c r="C271" s="468">
        <v>300</v>
      </c>
      <c r="D271" s="468" t="s">
        <v>105</v>
      </c>
      <c r="E271" s="468">
        <v>5256.17</v>
      </c>
      <c r="F271" s="468" t="s">
        <v>112</v>
      </c>
      <c r="G271" s="468"/>
      <c r="H271" s="468"/>
      <c r="I271" s="468"/>
      <c r="J271" s="445" t="str">
        <f t="shared" si="8"/>
        <v>12040500300PAYROLL TAX645000LP</v>
      </c>
      <c r="K271" s="163">
        <f t="shared" si="9"/>
        <v>5256.17</v>
      </c>
    </row>
    <row r="272" spans="1:11" ht="14.5">
      <c r="A272" s="468">
        <v>12040400</v>
      </c>
      <c r="B272" s="468">
        <v>4020</v>
      </c>
      <c r="C272" s="468">
        <v>300</v>
      </c>
      <c r="D272" s="468" t="s">
        <v>105</v>
      </c>
      <c r="E272" s="468">
        <v>4235.88</v>
      </c>
      <c r="F272" s="468" t="s">
        <v>106</v>
      </c>
      <c r="G272" s="468"/>
      <c r="H272" s="468"/>
      <c r="I272" s="468"/>
      <c r="J272" s="445" t="str">
        <f t="shared" si="8"/>
        <v>12040400300PAYROLL TAX645000CS</v>
      </c>
      <c r="K272" s="163">
        <f t="shared" si="9"/>
        <v>4235.88</v>
      </c>
    </row>
    <row r="273" spans="1:11" ht="14.5">
      <c r="A273" s="468">
        <v>12038099</v>
      </c>
      <c r="B273" s="468">
        <v>4020</v>
      </c>
      <c r="C273" s="468">
        <v>300</v>
      </c>
      <c r="D273" s="468" t="s">
        <v>105</v>
      </c>
      <c r="E273" s="468">
        <v>4953.8</v>
      </c>
      <c r="F273" s="468" t="s">
        <v>109</v>
      </c>
      <c r="G273" s="468"/>
      <c r="H273" s="468"/>
      <c r="I273" s="468"/>
      <c r="J273" s="445" t="str">
        <f t="shared" si="8"/>
        <v>12038099300PAYROLL TAX645000SM</v>
      </c>
      <c r="K273" s="163">
        <f t="shared" si="9"/>
        <v>4953.8</v>
      </c>
    </row>
    <row r="274" spans="1:11" ht="14.5">
      <c r="A274" s="468">
        <v>12043011</v>
      </c>
      <c r="B274" s="468">
        <v>4020</v>
      </c>
      <c r="C274" s="468">
        <v>300</v>
      </c>
      <c r="D274" s="468" t="s">
        <v>105</v>
      </c>
      <c r="E274" s="468">
        <v>30978.81</v>
      </c>
      <c r="F274" s="468">
        <v>64500000</v>
      </c>
      <c r="G274" s="468"/>
      <c r="H274" s="468"/>
      <c r="I274" s="468"/>
      <c r="J274" s="445" t="str">
        <f t="shared" si="8"/>
        <v>12043011300PAYROLL TAX64500000</v>
      </c>
      <c r="K274" s="163">
        <f t="shared" si="9"/>
        <v>30978.81</v>
      </c>
    </row>
    <row r="275" spans="1:11" ht="14.5">
      <c r="A275" s="468">
        <v>12042511</v>
      </c>
      <c r="B275" s="468">
        <v>4020</v>
      </c>
      <c r="C275" s="468">
        <v>300</v>
      </c>
      <c r="D275" s="468" t="s">
        <v>105</v>
      </c>
      <c r="E275" s="468">
        <v>3280.09</v>
      </c>
      <c r="F275" s="468">
        <v>64500000</v>
      </c>
      <c r="G275" s="468"/>
      <c r="H275" s="468"/>
      <c r="I275" s="468"/>
      <c r="J275" s="445" t="str">
        <f t="shared" si="8"/>
        <v>12042511300PAYROLL TAX64500000</v>
      </c>
      <c r="K275" s="163">
        <f t="shared" si="9"/>
        <v>3280.09</v>
      </c>
    </row>
    <row r="276" spans="1:11" ht="14.5">
      <c r="A276" s="468">
        <v>12040800</v>
      </c>
      <c r="B276" s="468">
        <v>4020</v>
      </c>
      <c r="C276" s="468">
        <v>300</v>
      </c>
      <c r="D276" s="468" t="s">
        <v>105</v>
      </c>
      <c r="E276" s="468">
        <v>4625.93</v>
      </c>
      <c r="F276" s="468">
        <v>64500000</v>
      </c>
      <c r="G276" s="468"/>
      <c r="H276" s="468"/>
      <c r="I276" s="468"/>
      <c r="J276" s="445" t="str">
        <f t="shared" si="8"/>
        <v>12040800300PAYROLL TAX64500000</v>
      </c>
      <c r="K276" s="163">
        <f t="shared" si="9"/>
        <v>4625.93</v>
      </c>
    </row>
    <row r="277" spans="1:11" ht="14.5">
      <c r="A277" s="468">
        <v>12060800</v>
      </c>
      <c r="B277" s="468">
        <v>4020</v>
      </c>
      <c r="C277" s="468">
        <v>300</v>
      </c>
      <c r="D277" s="468" t="s">
        <v>105</v>
      </c>
      <c r="E277" s="468">
        <v>6881.3</v>
      </c>
      <c r="F277" s="468">
        <v>64500000</v>
      </c>
      <c r="G277" s="468"/>
      <c r="H277" s="468"/>
      <c r="I277" s="468"/>
      <c r="J277" s="445" t="str">
        <f t="shared" si="8"/>
        <v>12060800300PAYROLL TAX64500000</v>
      </c>
      <c r="K277" s="163">
        <f t="shared" si="9"/>
        <v>6881.3</v>
      </c>
    </row>
    <row r="278" spans="1:11" ht="14.5">
      <c r="A278" s="468">
        <v>12060711</v>
      </c>
      <c r="B278" s="468">
        <v>4020</v>
      </c>
      <c r="C278" s="468">
        <v>300</v>
      </c>
      <c r="D278" s="468" t="s">
        <v>105</v>
      </c>
      <c r="E278" s="468">
        <v>3798.48</v>
      </c>
      <c r="F278" s="468">
        <v>64500000</v>
      </c>
      <c r="G278" s="468"/>
      <c r="H278" s="468"/>
      <c r="I278" s="468"/>
      <c r="J278" s="445" t="str">
        <f t="shared" si="8"/>
        <v>12060711300PAYROLL TAX64500000</v>
      </c>
      <c r="K278" s="163">
        <f t="shared" si="9"/>
        <v>3798.48</v>
      </c>
    </row>
    <row r="279" spans="1:11" ht="14.5">
      <c r="A279" s="468">
        <v>12060611</v>
      </c>
      <c r="B279" s="468">
        <v>4020</v>
      </c>
      <c r="C279" s="468">
        <v>300</v>
      </c>
      <c r="D279" s="468" t="s">
        <v>105</v>
      </c>
      <c r="E279" s="468">
        <v>20222.580000000002</v>
      </c>
      <c r="F279" s="468">
        <v>64500000</v>
      </c>
      <c r="G279" s="468"/>
      <c r="H279" s="468"/>
      <c r="I279" s="468"/>
      <c r="J279" s="445" t="str">
        <f t="shared" si="8"/>
        <v>12060611300PAYROLL TAX64500000</v>
      </c>
      <c r="K279" s="163">
        <f t="shared" si="9"/>
        <v>20222.580000000002</v>
      </c>
    </row>
    <row r="280" spans="1:11" ht="14.5">
      <c r="A280" s="468">
        <v>12048099</v>
      </c>
      <c r="B280" s="468">
        <v>4020</v>
      </c>
      <c r="C280" s="468">
        <v>100</v>
      </c>
      <c r="D280" s="468" t="s">
        <v>107</v>
      </c>
      <c r="E280" s="468">
        <v>524.76</v>
      </c>
      <c r="F280" s="468" t="s">
        <v>109</v>
      </c>
      <c r="G280" s="468"/>
      <c r="H280" s="468"/>
      <c r="I280" s="468"/>
      <c r="J280" s="445" t="str">
        <f t="shared" si="8"/>
        <v>12048099100FBT645000SM</v>
      </c>
      <c r="K280" s="163">
        <f t="shared" si="9"/>
        <v>524.76</v>
      </c>
    </row>
    <row r="281" spans="1:11" ht="14.5">
      <c r="A281" s="468">
        <v>12048099</v>
      </c>
      <c r="B281" s="468">
        <v>4020</v>
      </c>
      <c r="C281" s="468">
        <v>300</v>
      </c>
      <c r="D281" s="468" t="s">
        <v>105</v>
      </c>
      <c r="E281" s="468">
        <v>11737.68</v>
      </c>
      <c r="F281" s="468" t="s">
        <v>109</v>
      </c>
      <c r="G281" s="468"/>
      <c r="H281" s="468"/>
      <c r="I281" s="468"/>
      <c r="J281" s="445" t="str">
        <f t="shared" si="8"/>
        <v>12048099300PAYROLL TAX645000SM</v>
      </c>
      <c r="K281" s="163">
        <f t="shared" si="9"/>
        <v>11737.68</v>
      </c>
    </row>
    <row r="282" spans="1:11" ht="14.5">
      <c r="A282" s="468">
        <v>12060400</v>
      </c>
      <c r="B282" s="468">
        <v>4020</v>
      </c>
      <c r="C282" s="468">
        <v>300</v>
      </c>
      <c r="D282" s="468" t="s">
        <v>105</v>
      </c>
      <c r="E282" s="468">
        <v>3410.45</v>
      </c>
      <c r="F282" s="468" t="s">
        <v>106</v>
      </c>
      <c r="G282" s="468"/>
      <c r="H282" s="468"/>
      <c r="I282" s="468"/>
      <c r="J282" s="445" t="str">
        <f t="shared" si="8"/>
        <v>12060400300PAYROLL TAX645000CS</v>
      </c>
      <c r="K282" s="163">
        <f t="shared" si="9"/>
        <v>3410.45</v>
      </c>
    </row>
    <row r="283" spans="1:11" ht="14.5">
      <c r="A283" s="468">
        <v>12043123</v>
      </c>
      <c r="B283" s="468">
        <v>4020</v>
      </c>
      <c r="C283" s="468">
        <v>300</v>
      </c>
      <c r="D283" s="468" t="s">
        <v>105</v>
      </c>
      <c r="E283" s="468">
        <v>5435.65</v>
      </c>
      <c r="F283" s="468">
        <v>64500000</v>
      </c>
      <c r="G283" s="468"/>
      <c r="H283" s="468"/>
      <c r="I283" s="468"/>
      <c r="J283" s="445" t="str">
        <f t="shared" si="8"/>
        <v>12043123300PAYROLL TAX64500000</v>
      </c>
      <c r="K283" s="163">
        <f t="shared" si="9"/>
        <v>5435.65</v>
      </c>
    </row>
    <row r="284" spans="1:11" ht="14.5">
      <c r="A284" s="468">
        <v>12068099</v>
      </c>
      <c r="B284" s="468">
        <v>4020</v>
      </c>
      <c r="C284" s="468">
        <v>100</v>
      </c>
      <c r="D284" s="468" t="s">
        <v>107</v>
      </c>
      <c r="E284" s="468">
        <v>698.76</v>
      </c>
      <c r="F284" s="468" t="s">
        <v>109</v>
      </c>
      <c r="G284" s="468"/>
      <c r="H284" s="468"/>
      <c r="I284" s="468"/>
      <c r="J284" s="445" t="str">
        <f t="shared" si="8"/>
        <v>12068099100FBT645000SM</v>
      </c>
      <c r="K284" s="163">
        <f t="shared" si="9"/>
        <v>698.76</v>
      </c>
    </row>
    <row r="285" spans="1:11" ht="14.5">
      <c r="A285" s="468">
        <v>12068099</v>
      </c>
      <c r="B285" s="468">
        <v>4020</v>
      </c>
      <c r="C285" s="468">
        <v>300</v>
      </c>
      <c r="D285" s="468" t="s">
        <v>105</v>
      </c>
      <c r="E285" s="468">
        <v>5544.83</v>
      </c>
      <c r="F285" s="468" t="s">
        <v>109</v>
      </c>
      <c r="G285" s="468"/>
      <c r="H285" s="468"/>
      <c r="I285" s="468"/>
      <c r="J285" s="445" t="str">
        <f t="shared" si="8"/>
        <v>12068099300PAYROLL TAX645000SM</v>
      </c>
      <c r="K285" s="163">
        <f t="shared" si="9"/>
        <v>5544.83</v>
      </c>
    </row>
    <row r="286" spans="1:11" ht="14.5">
      <c r="A286" s="468">
        <v>12063011</v>
      </c>
      <c r="B286" s="468">
        <v>4020</v>
      </c>
      <c r="C286" s="468">
        <v>300</v>
      </c>
      <c r="D286" s="468" t="s">
        <v>105</v>
      </c>
      <c r="E286" s="468">
        <v>2196.29</v>
      </c>
      <c r="F286" s="468">
        <v>64500000</v>
      </c>
      <c r="G286" s="468"/>
      <c r="H286" s="468"/>
      <c r="I286" s="468"/>
      <c r="J286" s="445" t="str">
        <f t="shared" si="8"/>
        <v>12063011300PAYROLL TAX64500000</v>
      </c>
      <c r="K286" s="163">
        <f t="shared" si="9"/>
        <v>2196.29</v>
      </c>
    </row>
    <row r="287" spans="1:11" ht="14.5">
      <c r="A287" s="468">
        <v>12062511</v>
      </c>
      <c r="B287" s="468">
        <v>4020</v>
      </c>
      <c r="C287" s="468">
        <v>300</v>
      </c>
      <c r="D287" s="468" t="s">
        <v>105</v>
      </c>
      <c r="E287" s="468">
        <v>4159.96</v>
      </c>
      <c r="F287" s="468">
        <v>64500000</v>
      </c>
      <c r="G287" s="468"/>
      <c r="H287" s="468"/>
      <c r="I287" s="468"/>
      <c r="J287" s="445" t="str">
        <f t="shared" si="8"/>
        <v>12062511300PAYROLL TAX64500000</v>
      </c>
      <c r="K287" s="163">
        <f t="shared" si="9"/>
        <v>4159.96</v>
      </c>
    </row>
    <row r="288" spans="1:11" ht="14.5">
      <c r="A288" s="468">
        <v>12048099</v>
      </c>
      <c r="B288" s="468">
        <v>4023</v>
      </c>
      <c r="C288" s="468">
        <v>117</v>
      </c>
      <c r="D288" s="468" t="s">
        <v>114</v>
      </c>
      <c r="E288" s="468">
        <v>-57717</v>
      </c>
      <c r="F288" s="468" t="s">
        <v>115</v>
      </c>
      <c r="G288" s="468"/>
      <c r="H288" s="468"/>
      <c r="I288" s="468"/>
      <c r="J288" s="445" t="str">
        <f t="shared" si="8"/>
        <v>12048099117PAYROLL - REINVOICING INCOME746100SM</v>
      </c>
      <c r="K288" s="163">
        <f t="shared" si="9"/>
        <v>-57717</v>
      </c>
    </row>
    <row r="289" spans="1:11" ht="14.5">
      <c r="A289" s="468">
        <v>12010500</v>
      </c>
      <c r="B289" s="468">
        <v>4023</v>
      </c>
      <c r="C289" s="468">
        <v>136</v>
      </c>
      <c r="D289" s="468" t="s">
        <v>114</v>
      </c>
      <c r="E289" s="468">
        <v>-18000</v>
      </c>
      <c r="F289" s="468" t="s">
        <v>116</v>
      </c>
      <c r="G289" s="468"/>
      <c r="H289" s="468"/>
      <c r="I289" s="468"/>
      <c r="J289" s="445" t="str">
        <f t="shared" si="8"/>
        <v>12010500136PAYROLL - REINVOICING INCOME746100LP</v>
      </c>
      <c r="K289" s="163">
        <f t="shared" si="9"/>
        <v>-18000</v>
      </c>
    </row>
    <row r="290" spans="1:11" ht="14.5">
      <c r="A290" s="468">
        <v>12018199</v>
      </c>
      <c r="B290" s="468">
        <v>4023</v>
      </c>
      <c r="C290" s="468">
        <v>117</v>
      </c>
      <c r="D290" s="468" t="s">
        <v>114</v>
      </c>
      <c r="E290" s="468">
        <v>-124042</v>
      </c>
      <c r="F290" s="468" t="s">
        <v>115</v>
      </c>
      <c r="G290" s="468"/>
      <c r="H290" s="468"/>
      <c r="I290" s="468"/>
      <c r="J290" s="445" t="str">
        <f t="shared" si="8"/>
        <v>12018199117PAYROLL - REINVOICING INCOME746100SM</v>
      </c>
      <c r="K290" s="163">
        <f t="shared" si="9"/>
        <v>-124042</v>
      </c>
    </row>
    <row r="291" spans="1:11" ht="14.5">
      <c r="A291" s="468">
        <v>12018599</v>
      </c>
      <c r="B291" s="468">
        <v>4030</v>
      </c>
      <c r="C291" s="468"/>
      <c r="D291" s="468" t="s">
        <v>117</v>
      </c>
      <c r="E291" s="468">
        <v>-6048.55</v>
      </c>
      <c r="F291" s="468" t="s">
        <v>118</v>
      </c>
      <c r="G291" s="468"/>
      <c r="H291" s="468"/>
      <c r="I291" s="468"/>
      <c r="J291" s="445" t="str">
        <f t="shared" si="8"/>
        <v>12018599TEMP/ CASUAL LABOR &amp; FREELANCE645100GA</v>
      </c>
      <c r="K291" s="163">
        <f t="shared" si="9"/>
        <v>-6048.55</v>
      </c>
    </row>
    <row r="292" spans="1:11" ht="14.5">
      <c r="A292" s="468">
        <v>12013260</v>
      </c>
      <c r="B292" s="468">
        <v>4030</v>
      </c>
      <c r="C292" s="468"/>
      <c r="D292" s="468" t="s">
        <v>117</v>
      </c>
      <c r="E292" s="468">
        <v>5768.13</v>
      </c>
      <c r="F292" s="468">
        <v>64510000</v>
      </c>
      <c r="G292" s="468"/>
      <c r="H292" s="468"/>
      <c r="I292" s="468"/>
      <c r="J292" s="445" t="str">
        <f t="shared" si="8"/>
        <v>12013260TEMP/ CASUAL LABOR &amp; FREELANCE64510000</v>
      </c>
      <c r="K292" s="163">
        <f t="shared" si="9"/>
        <v>5768.13</v>
      </c>
    </row>
    <row r="293" spans="1:11" ht="14.5">
      <c r="A293" s="468">
        <v>12020800</v>
      </c>
      <c r="B293" s="468">
        <v>4030</v>
      </c>
      <c r="C293" s="468"/>
      <c r="D293" s="468" t="s">
        <v>117</v>
      </c>
      <c r="E293" s="468">
        <v>16179.11</v>
      </c>
      <c r="F293" s="468">
        <v>64500000</v>
      </c>
      <c r="G293" s="468"/>
      <c r="H293" s="468"/>
      <c r="I293" s="468"/>
      <c r="J293" s="445" t="str">
        <f t="shared" si="8"/>
        <v>12020800TEMP/ CASUAL LABOR &amp; FREELANCE64500000</v>
      </c>
      <c r="K293" s="163">
        <f t="shared" si="9"/>
        <v>16179.11</v>
      </c>
    </row>
    <row r="294" spans="1:11" ht="14.5">
      <c r="A294" s="468">
        <v>12020500</v>
      </c>
      <c r="B294" s="468">
        <v>4030</v>
      </c>
      <c r="C294" s="468"/>
      <c r="D294" s="468" t="s">
        <v>117</v>
      </c>
      <c r="E294" s="468">
        <v>15328.94</v>
      </c>
      <c r="F294" s="468" t="s">
        <v>866</v>
      </c>
      <c r="G294" s="468"/>
      <c r="H294" s="468"/>
      <c r="I294" s="468"/>
      <c r="J294" s="445" t="str">
        <f t="shared" si="8"/>
        <v>12020500TEMP/ CASUAL LABOR &amp; FREELANCE645100LP</v>
      </c>
      <c r="K294" s="163">
        <f t="shared" si="9"/>
        <v>15328.94</v>
      </c>
    </row>
    <row r="295" spans="1:11" ht="14.5">
      <c r="A295" s="468">
        <v>12019199</v>
      </c>
      <c r="B295" s="468">
        <v>4030</v>
      </c>
      <c r="C295" s="468"/>
      <c r="D295" s="468" t="s">
        <v>117</v>
      </c>
      <c r="E295" s="468">
        <v>94236.03</v>
      </c>
      <c r="F295" s="468" t="s">
        <v>118</v>
      </c>
      <c r="G295" s="468"/>
      <c r="H295" s="468"/>
      <c r="I295" s="468"/>
      <c r="J295" s="445" t="str">
        <f t="shared" si="8"/>
        <v>12019199TEMP/ CASUAL LABOR &amp; FREELANCE645100GA</v>
      </c>
      <c r="K295" s="163">
        <f t="shared" si="9"/>
        <v>94236.03</v>
      </c>
    </row>
    <row r="296" spans="1:11" ht="14.5">
      <c r="A296" s="468">
        <v>12033011</v>
      </c>
      <c r="B296" s="468">
        <v>4030</v>
      </c>
      <c r="C296" s="468"/>
      <c r="D296" s="468" t="s">
        <v>117</v>
      </c>
      <c r="E296" s="468">
        <v>60633.79</v>
      </c>
      <c r="F296" s="468">
        <v>64510000</v>
      </c>
      <c r="G296" s="468"/>
      <c r="H296" s="468"/>
      <c r="I296" s="468"/>
      <c r="J296" s="445" t="str">
        <f t="shared" si="8"/>
        <v>12033011TEMP/ CASUAL LABOR &amp; FREELANCE64510000</v>
      </c>
      <c r="K296" s="163">
        <f t="shared" si="9"/>
        <v>60633.79</v>
      </c>
    </row>
    <row r="297" spans="1:11" ht="14.5">
      <c r="A297" s="468">
        <v>12043011</v>
      </c>
      <c r="B297" s="468">
        <v>4030</v>
      </c>
      <c r="C297" s="468"/>
      <c r="D297" s="468" t="s">
        <v>117</v>
      </c>
      <c r="E297" s="468">
        <v>35139.99</v>
      </c>
      <c r="F297" s="468">
        <v>64510000</v>
      </c>
      <c r="G297" s="468"/>
      <c r="H297" s="468"/>
      <c r="I297" s="468"/>
      <c r="J297" s="445" t="str">
        <f t="shared" si="8"/>
        <v>12043011TEMP/ CASUAL LABOR &amp; FREELANCE64510000</v>
      </c>
      <c r="K297" s="163">
        <f t="shared" si="9"/>
        <v>35139.99</v>
      </c>
    </row>
    <row r="298" spans="1:11" ht="14.5">
      <c r="A298" s="468">
        <v>12040800</v>
      </c>
      <c r="B298" s="468">
        <v>4030</v>
      </c>
      <c r="C298" s="468"/>
      <c r="D298" s="468" t="s">
        <v>117</v>
      </c>
      <c r="E298" s="468">
        <v>2833.26</v>
      </c>
      <c r="F298" s="468">
        <v>64500000</v>
      </c>
      <c r="G298" s="468"/>
      <c r="H298" s="468"/>
      <c r="I298" s="468"/>
      <c r="J298" s="445" t="str">
        <f t="shared" si="8"/>
        <v>12040800TEMP/ CASUAL LABOR &amp; FREELANCE64500000</v>
      </c>
      <c r="K298" s="163">
        <f t="shared" si="9"/>
        <v>2833.26</v>
      </c>
    </row>
    <row r="299" spans="1:11" ht="14.5">
      <c r="A299" s="468">
        <v>12020400</v>
      </c>
      <c r="B299" s="468">
        <v>4040</v>
      </c>
      <c r="C299" s="468">
        <v>100</v>
      </c>
      <c r="D299" s="468" t="s">
        <v>119</v>
      </c>
      <c r="E299" s="468">
        <v>15403.54</v>
      </c>
      <c r="F299" s="468" t="s">
        <v>122</v>
      </c>
      <c r="G299" s="468"/>
      <c r="H299" s="468"/>
      <c r="I299" s="468"/>
      <c r="J299" s="445" t="str">
        <f t="shared" si="8"/>
        <v>12020400100ANNUAL LEAVE &amp; LOADING - PROVI645200CS</v>
      </c>
      <c r="K299" s="163">
        <f t="shared" si="9"/>
        <v>15403.54</v>
      </c>
    </row>
    <row r="300" spans="1:11" ht="14.5">
      <c r="A300" s="468">
        <v>12020400</v>
      </c>
      <c r="B300" s="468">
        <v>4040</v>
      </c>
      <c r="C300" s="468">
        <v>200</v>
      </c>
      <c r="D300" s="468" t="s">
        <v>121</v>
      </c>
      <c r="E300" s="468">
        <v>1062.45</v>
      </c>
      <c r="F300" s="468" t="s">
        <v>122</v>
      </c>
      <c r="G300" s="468"/>
      <c r="H300" s="468"/>
      <c r="I300" s="468"/>
      <c r="J300" s="445" t="str">
        <f t="shared" si="8"/>
        <v>12020400200LONG SERVICE LEAVE - PROVISION645200CS</v>
      </c>
      <c r="K300" s="163">
        <f t="shared" si="9"/>
        <v>1062.45</v>
      </c>
    </row>
    <row r="301" spans="1:11" ht="14.5">
      <c r="A301" s="468">
        <v>12019099</v>
      </c>
      <c r="B301" s="468">
        <v>4040</v>
      </c>
      <c r="C301" s="468">
        <v>100</v>
      </c>
      <c r="D301" s="468" t="s">
        <v>119</v>
      </c>
      <c r="E301" s="468">
        <v>26161.99</v>
      </c>
      <c r="F301" s="468" t="s">
        <v>127</v>
      </c>
      <c r="G301" s="468"/>
      <c r="H301" s="468"/>
      <c r="I301" s="468"/>
      <c r="J301" s="445" t="str">
        <f t="shared" si="8"/>
        <v>12019099100ANNUAL LEAVE &amp; LOADING - PROVI645200GA</v>
      </c>
      <c r="K301" s="163">
        <f t="shared" si="9"/>
        <v>26161.99</v>
      </c>
    </row>
    <row r="302" spans="1:11" ht="14.5">
      <c r="A302" s="468">
        <v>12019099</v>
      </c>
      <c r="B302" s="468">
        <v>4040</v>
      </c>
      <c r="C302" s="468">
        <v>200</v>
      </c>
      <c r="D302" s="468" t="s">
        <v>121</v>
      </c>
      <c r="E302" s="468">
        <v>236.34</v>
      </c>
      <c r="F302" s="468" t="s">
        <v>127</v>
      </c>
      <c r="G302" s="468"/>
      <c r="H302" s="468"/>
      <c r="I302" s="468"/>
      <c r="J302" s="445" t="str">
        <f t="shared" si="8"/>
        <v>12019099200LONG SERVICE LEAVE - PROVISION645200GA</v>
      </c>
      <c r="K302" s="163">
        <f t="shared" si="9"/>
        <v>236.34</v>
      </c>
    </row>
    <row r="303" spans="1:11" ht="14.5">
      <c r="A303" s="468">
        <v>12018599</v>
      </c>
      <c r="B303" s="468">
        <v>4040</v>
      </c>
      <c r="C303" s="468">
        <v>100</v>
      </c>
      <c r="D303" s="468" t="s">
        <v>119</v>
      </c>
      <c r="E303" s="468">
        <v>17140.86</v>
      </c>
      <c r="F303" s="468" t="s">
        <v>127</v>
      </c>
      <c r="G303" s="468"/>
      <c r="H303" s="468"/>
      <c r="I303" s="468"/>
      <c r="J303" s="445" t="str">
        <f t="shared" si="8"/>
        <v>12018599100ANNUAL LEAVE &amp; LOADING - PROVI645200GA</v>
      </c>
      <c r="K303" s="163">
        <f t="shared" si="9"/>
        <v>17140.86</v>
      </c>
    </row>
    <row r="304" spans="1:11" ht="14.5">
      <c r="A304" s="468">
        <v>12018599</v>
      </c>
      <c r="B304" s="468">
        <v>4040</v>
      </c>
      <c r="C304" s="468">
        <v>200</v>
      </c>
      <c r="D304" s="468" t="s">
        <v>121</v>
      </c>
      <c r="E304" s="468">
        <v>32.950000000000003</v>
      </c>
      <c r="F304" s="468" t="s">
        <v>127</v>
      </c>
      <c r="G304" s="468"/>
      <c r="H304" s="468"/>
      <c r="I304" s="468"/>
      <c r="J304" s="445" t="str">
        <f t="shared" si="8"/>
        <v>12018599200LONG SERVICE LEAVE - PROVISION645200GA</v>
      </c>
      <c r="K304" s="163">
        <f t="shared" si="9"/>
        <v>32.950000000000003</v>
      </c>
    </row>
    <row r="305" spans="1:11" ht="14.5">
      <c r="A305" s="468">
        <v>12018199</v>
      </c>
      <c r="B305" s="468">
        <v>4040</v>
      </c>
      <c r="C305" s="468">
        <v>100</v>
      </c>
      <c r="D305" s="468" t="s">
        <v>119</v>
      </c>
      <c r="E305" s="468">
        <v>5050.41</v>
      </c>
      <c r="F305" s="468" t="s">
        <v>120</v>
      </c>
      <c r="G305" s="468"/>
      <c r="H305" s="468"/>
      <c r="I305" s="468"/>
      <c r="J305" s="445" t="str">
        <f t="shared" si="8"/>
        <v>12018199100ANNUAL LEAVE &amp; LOADING - PROVI645200SM</v>
      </c>
      <c r="K305" s="163">
        <f t="shared" si="9"/>
        <v>5050.41</v>
      </c>
    </row>
    <row r="306" spans="1:11" ht="14.5">
      <c r="A306" s="468">
        <v>12013300</v>
      </c>
      <c r="B306" s="468">
        <v>4040</v>
      </c>
      <c r="C306" s="468">
        <v>100</v>
      </c>
      <c r="D306" s="468" t="s">
        <v>119</v>
      </c>
      <c r="E306" s="468">
        <v>6591.07</v>
      </c>
      <c r="F306" s="468" t="s">
        <v>126</v>
      </c>
      <c r="G306" s="468"/>
      <c r="H306" s="468"/>
      <c r="I306" s="468"/>
      <c r="J306" s="445" t="str">
        <f t="shared" si="8"/>
        <v>12013300100ANNUAL LEAVE &amp; LOADING - PROVI645200IT</v>
      </c>
      <c r="K306" s="163">
        <f t="shared" si="9"/>
        <v>6591.07</v>
      </c>
    </row>
    <row r="307" spans="1:11" ht="14.5">
      <c r="A307" s="468">
        <v>12013300</v>
      </c>
      <c r="B307" s="468">
        <v>4040</v>
      </c>
      <c r="C307" s="468">
        <v>200</v>
      </c>
      <c r="D307" s="468" t="s">
        <v>121</v>
      </c>
      <c r="E307" s="468">
        <v>3969.23</v>
      </c>
      <c r="F307" s="468" t="s">
        <v>126</v>
      </c>
      <c r="G307" s="468"/>
      <c r="H307" s="468"/>
      <c r="I307" s="468"/>
      <c r="J307" s="445" t="str">
        <f t="shared" si="8"/>
        <v>12013300200LONG SERVICE LEAVE - PROVISION645200IT</v>
      </c>
      <c r="K307" s="163">
        <f t="shared" si="9"/>
        <v>3969.23</v>
      </c>
    </row>
    <row r="308" spans="1:11" ht="14.5">
      <c r="A308" s="468">
        <v>12018099</v>
      </c>
      <c r="B308" s="468">
        <v>4040</v>
      </c>
      <c r="C308" s="468">
        <v>100</v>
      </c>
      <c r="D308" s="468" t="s">
        <v>119</v>
      </c>
      <c r="E308" s="468">
        <v>26950.92</v>
      </c>
      <c r="F308" s="468" t="s">
        <v>120</v>
      </c>
      <c r="G308" s="468"/>
      <c r="H308" s="468"/>
      <c r="I308" s="468"/>
      <c r="J308" s="445" t="str">
        <f t="shared" si="8"/>
        <v>12018099100ANNUAL LEAVE &amp; LOADING - PROVI645200SM</v>
      </c>
      <c r="K308" s="163">
        <f t="shared" si="9"/>
        <v>26950.92</v>
      </c>
    </row>
    <row r="309" spans="1:11" ht="14.5">
      <c r="A309" s="468">
        <v>12018099</v>
      </c>
      <c r="B309" s="468">
        <v>4040</v>
      </c>
      <c r="C309" s="468">
        <v>200</v>
      </c>
      <c r="D309" s="468" t="s">
        <v>121</v>
      </c>
      <c r="E309" s="468">
        <v>3093.66</v>
      </c>
      <c r="F309" s="468" t="s">
        <v>120</v>
      </c>
      <c r="G309" s="468"/>
      <c r="H309" s="468"/>
      <c r="I309" s="468"/>
      <c r="J309" s="445" t="str">
        <f t="shared" si="8"/>
        <v>12018099200LONG SERVICE LEAVE - PROVISION645200SM</v>
      </c>
      <c r="K309" s="163">
        <f t="shared" si="9"/>
        <v>3093.66</v>
      </c>
    </row>
    <row r="310" spans="1:11" ht="14.5">
      <c r="A310" s="468">
        <v>12013260</v>
      </c>
      <c r="B310" s="468">
        <v>4040</v>
      </c>
      <c r="C310" s="468">
        <v>100</v>
      </c>
      <c r="D310" s="468" t="s">
        <v>119</v>
      </c>
      <c r="E310" s="468">
        <v>522.5</v>
      </c>
      <c r="F310" s="468">
        <v>64520000</v>
      </c>
      <c r="G310" s="468"/>
      <c r="H310" s="468"/>
      <c r="I310" s="468"/>
      <c r="J310" s="445" t="str">
        <f t="shared" si="8"/>
        <v>12013260100ANNUAL LEAVE &amp; LOADING - PROVI64520000</v>
      </c>
      <c r="K310" s="163">
        <f t="shared" si="9"/>
        <v>522.5</v>
      </c>
    </row>
    <row r="311" spans="1:11" ht="14.5">
      <c r="A311" s="468">
        <v>12013260</v>
      </c>
      <c r="B311" s="468">
        <v>4040</v>
      </c>
      <c r="C311" s="468">
        <v>200</v>
      </c>
      <c r="D311" s="468" t="s">
        <v>121</v>
      </c>
      <c r="E311" s="468">
        <v>-522.5</v>
      </c>
      <c r="F311" s="468">
        <v>64520000</v>
      </c>
      <c r="G311" s="468"/>
      <c r="H311" s="468"/>
      <c r="I311" s="468"/>
      <c r="J311" s="445" t="str">
        <f t="shared" si="8"/>
        <v>12013260200LONG SERVICE LEAVE - PROVISION64520000</v>
      </c>
      <c r="K311" s="163">
        <f t="shared" si="9"/>
        <v>-522.5</v>
      </c>
    </row>
    <row r="312" spans="1:11" ht="14.5">
      <c r="A312" s="468">
        <v>12013250</v>
      </c>
      <c r="B312" s="468">
        <v>4040</v>
      </c>
      <c r="C312" s="468">
        <v>100</v>
      </c>
      <c r="D312" s="468" t="s">
        <v>119</v>
      </c>
      <c r="E312" s="468">
        <v>55780.31</v>
      </c>
      <c r="F312" s="468">
        <v>64520000</v>
      </c>
      <c r="G312" s="468"/>
      <c r="H312" s="468"/>
      <c r="I312" s="468"/>
      <c r="J312" s="445" t="str">
        <f t="shared" si="8"/>
        <v>12013250100ANNUAL LEAVE &amp; LOADING - PROVI64520000</v>
      </c>
      <c r="K312" s="163">
        <f t="shared" si="9"/>
        <v>55780.31</v>
      </c>
    </row>
    <row r="313" spans="1:11" ht="14.5">
      <c r="A313" s="468">
        <v>12013250</v>
      </c>
      <c r="B313" s="468">
        <v>4040</v>
      </c>
      <c r="C313" s="468">
        <v>200</v>
      </c>
      <c r="D313" s="468" t="s">
        <v>121</v>
      </c>
      <c r="E313" s="468">
        <v>1041.33</v>
      </c>
      <c r="F313" s="468">
        <v>64520000</v>
      </c>
      <c r="G313" s="468"/>
      <c r="H313" s="468"/>
      <c r="I313" s="468"/>
      <c r="J313" s="445" t="str">
        <f t="shared" si="8"/>
        <v>12013250200LONG SERVICE LEAVE - PROVISION64520000</v>
      </c>
      <c r="K313" s="163">
        <f t="shared" si="9"/>
        <v>1041.33</v>
      </c>
    </row>
    <row r="314" spans="1:11" ht="14.5">
      <c r="A314" s="468">
        <v>12013012</v>
      </c>
      <c r="B314" s="468">
        <v>4040</v>
      </c>
      <c r="C314" s="468">
        <v>100</v>
      </c>
      <c r="D314" s="468" t="s">
        <v>119</v>
      </c>
      <c r="E314" s="468">
        <v>21462.61</v>
      </c>
      <c r="F314" s="468">
        <v>64520000</v>
      </c>
      <c r="G314" s="468"/>
      <c r="H314" s="468"/>
      <c r="I314" s="468"/>
      <c r="J314" s="445" t="str">
        <f t="shared" si="8"/>
        <v>12013012100ANNUAL LEAVE &amp; LOADING - PROVI64520000</v>
      </c>
      <c r="K314" s="163">
        <f t="shared" si="9"/>
        <v>21462.61</v>
      </c>
    </row>
    <row r="315" spans="1:11" ht="14.5">
      <c r="A315" s="468">
        <v>12013012</v>
      </c>
      <c r="B315" s="468">
        <v>4040</v>
      </c>
      <c r="C315" s="468">
        <v>200</v>
      </c>
      <c r="D315" s="468" t="s">
        <v>121</v>
      </c>
      <c r="E315" s="468">
        <v>5491.73</v>
      </c>
      <c r="F315" s="468">
        <v>64520000</v>
      </c>
      <c r="G315" s="468"/>
      <c r="H315" s="468"/>
      <c r="I315" s="468"/>
      <c r="J315" s="445" t="str">
        <f t="shared" si="8"/>
        <v>12013012200LONG SERVICE LEAVE - PROVISION64520000</v>
      </c>
      <c r="K315" s="163">
        <f t="shared" si="9"/>
        <v>5491.73</v>
      </c>
    </row>
    <row r="316" spans="1:11" ht="14.5">
      <c r="A316" s="468">
        <v>12010600</v>
      </c>
      <c r="B316" s="468">
        <v>4040</v>
      </c>
      <c r="C316" s="468">
        <v>100</v>
      </c>
      <c r="D316" s="468" t="s">
        <v>119</v>
      </c>
      <c r="E316" s="468">
        <v>20297.05</v>
      </c>
      <c r="F316" s="468" t="s">
        <v>123</v>
      </c>
      <c r="G316" s="468"/>
      <c r="H316" s="468"/>
      <c r="I316" s="468"/>
      <c r="J316" s="445" t="str">
        <f t="shared" si="8"/>
        <v>12010600100ANNUAL LEAVE &amp; LOADING - PROVI645200LP</v>
      </c>
      <c r="K316" s="163">
        <f t="shared" si="9"/>
        <v>20297.05</v>
      </c>
    </row>
    <row r="317" spans="1:11" ht="14.5">
      <c r="A317" s="468">
        <v>12010700</v>
      </c>
      <c r="B317" s="468">
        <v>4040</v>
      </c>
      <c r="C317" s="468">
        <v>100</v>
      </c>
      <c r="D317" s="468" t="s">
        <v>119</v>
      </c>
      <c r="E317" s="468">
        <v>18022.62</v>
      </c>
      <c r="F317" s="468" t="s">
        <v>125</v>
      </c>
      <c r="G317" s="468"/>
      <c r="H317" s="468"/>
      <c r="I317" s="468"/>
      <c r="J317" s="445" t="str">
        <f t="shared" si="8"/>
        <v>12010700100ANNUAL LEAVE &amp; LOADING - PROVI645200QL</v>
      </c>
      <c r="K317" s="163">
        <f t="shared" si="9"/>
        <v>18022.62</v>
      </c>
    </row>
    <row r="318" spans="1:11" ht="14.5">
      <c r="A318" s="468">
        <v>12010700</v>
      </c>
      <c r="B318" s="468">
        <v>4040</v>
      </c>
      <c r="C318" s="468">
        <v>200</v>
      </c>
      <c r="D318" s="468" t="s">
        <v>121</v>
      </c>
      <c r="E318" s="468">
        <v>7899.06</v>
      </c>
      <c r="F318" s="468" t="s">
        <v>125</v>
      </c>
      <c r="G318" s="468"/>
      <c r="H318" s="468"/>
      <c r="I318" s="468"/>
      <c r="J318" s="445" t="str">
        <f t="shared" si="8"/>
        <v>12010700200LONG SERVICE LEAVE - PROVISION645200QL</v>
      </c>
      <c r="K318" s="163">
        <f t="shared" si="9"/>
        <v>7899.06</v>
      </c>
    </row>
    <row r="319" spans="1:11" ht="14.5">
      <c r="A319" s="468">
        <v>12010500</v>
      </c>
      <c r="B319" s="468">
        <v>4040</v>
      </c>
      <c r="C319" s="468">
        <v>100</v>
      </c>
      <c r="D319" s="468" t="s">
        <v>119</v>
      </c>
      <c r="E319" s="468">
        <v>58249.77</v>
      </c>
      <c r="F319" s="468" t="s">
        <v>123</v>
      </c>
      <c r="G319" s="468"/>
      <c r="H319" s="468"/>
      <c r="I319" s="468"/>
      <c r="J319" s="445" t="str">
        <f t="shared" si="8"/>
        <v>12010500100ANNUAL LEAVE &amp; LOADING - PROVI645200LP</v>
      </c>
      <c r="K319" s="163">
        <f t="shared" si="9"/>
        <v>58249.77</v>
      </c>
    </row>
    <row r="320" spans="1:11" ht="14.5">
      <c r="A320" s="468">
        <v>12010500</v>
      </c>
      <c r="B320" s="468">
        <v>4040</v>
      </c>
      <c r="C320" s="468">
        <v>200</v>
      </c>
      <c r="D320" s="468" t="s">
        <v>121</v>
      </c>
      <c r="E320" s="468">
        <v>5047.41</v>
      </c>
      <c r="F320" s="468" t="s">
        <v>123</v>
      </c>
      <c r="G320" s="468"/>
      <c r="H320" s="468"/>
      <c r="I320" s="468"/>
      <c r="J320" s="445" t="str">
        <f t="shared" si="8"/>
        <v>12010500200LONG SERVICE LEAVE - PROVISION645200LP</v>
      </c>
      <c r="K320" s="163">
        <f t="shared" si="9"/>
        <v>5047.41</v>
      </c>
    </row>
    <row r="321" spans="1:11" ht="14.5">
      <c r="A321" s="468">
        <v>12030400</v>
      </c>
      <c r="B321" s="468">
        <v>4040</v>
      </c>
      <c r="C321" s="468">
        <v>100</v>
      </c>
      <c r="D321" s="468" t="s">
        <v>119</v>
      </c>
      <c r="E321" s="468">
        <v>19438.400000000001</v>
      </c>
      <c r="F321" s="468" t="s">
        <v>122</v>
      </c>
      <c r="G321" s="468"/>
      <c r="H321" s="468"/>
      <c r="I321" s="468"/>
      <c r="J321" s="445" t="str">
        <f t="shared" si="8"/>
        <v>12030400100ANNUAL LEAVE &amp; LOADING - PROVI645200CS</v>
      </c>
      <c r="K321" s="163">
        <f t="shared" si="9"/>
        <v>19438.400000000001</v>
      </c>
    </row>
    <row r="322" spans="1:11" ht="14.5">
      <c r="A322" s="468">
        <v>12030400</v>
      </c>
      <c r="B322" s="468">
        <v>4040</v>
      </c>
      <c r="C322" s="468">
        <v>200</v>
      </c>
      <c r="D322" s="468" t="s">
        <v>121</v>
      </c>
      <c r="E322" s="468">
        <v>3374.53</v>
      </c>
      <c r="F322" s="468" t="s">
        <v>122</v>
      </c>
      <c r="G322" s="468"/>
      <c r="H322" s="468"/>
      <c r="I322" s="468"/>
      <c r="J322" s="445" t="str">
        <f t="shared" si="8"/>
        <v>12030400200LONG SERVICE LEAVE - PROVISION645200CS</v>
      </c>
      <c r="K322" s="163">
        <f t="shared" si="9"/>
        <v>3374.53</v>
      </c>
    </row>
    <row r="323" spans="1:11" ht="14.5">
      <c r="A323" s="468">
        <v>12024021</v>
      </c>
      <c r="B323" s="468">
        <v>4040</v>
      </c>
      <c r="C323" s="468">
        <v>100</v>
      </c>
      <c r="D323" s="468" t="s">
        <v>119</v>
      </c>
      <c r="E323" s="468">
        <v>9252</v>
      </c>
      <c r="F323" s="468" t="s">
        <v>124</v>
      </c>
      <c r="G323" s="468"/>
      <c r="H323" s="468"/>
      <c r="I323" s="468"/>
      <c r="J323" s="445" t="str">
        <f t="shared" si="8"/>
        <v>12024021100ANNUAL LEAVE &amp; LOADING - PROVI645200RD</v>
      </c>
      <c r="K323" s="163">
        <f t="shared" si="9"/>
        <v>9252</v>
      </c>
    </row>
    <row r="324" spans="1:11" ht="14.5">
      <c r="A324" s="468">
        <v>12024021</v>
      </c>
      <c r="B324" s="468">
        <v>4040</v>
      </c>
      <c r="C324" s="468">
        <v>200</v>
      </c>
      <c r="D324" s="468" t="s">
        <v>121</v>
      </c>
      <c r="E324" s="468">
        <v>2150.5</v>
      </c>
      <c r="F324" s="468" t="s">
        <v>124</v>
      </c>
      <c r="G324" s="468"/>
      <c r="H324" s="468"/>
      <c r="I324" s="468"/>
      <c r="J324" s="445" t="str">
        <f t="shared" si="8"/>
        <v>12024021200LONG SERVICE LEAVE - PROVISION645200RD</v>
      </c>
      <c r="K324" s="163">
        <f t="shared" si="9"/>
        <v>2150.5</v>
      </c>
    </row>
    <row r="325" spans="1:11" ht="14.5">
      <c r="A325" s="468">
        <v>12023021</v>
      </c>
      <c r="B325" s="468">
        <v>4040</v>
      </c>
      <c r="C325" s="468">
        <v>100</v>
      </c>
      <c r="D325" s="468" t="s">
        <v>119</v>
      </c>
      <c r="E325" s="468">
        <v>19311.48</v>
      </c>
      <c r="F325" s="468">
        <v>64520000</v>
      </c>
      <c r="G325" s="468"/>
      <c r="H325" s="468"/>
      <c r="I325" s="468"/>
      <c r="J325" s="445" t="str">
        <f t="shared" ref="J325:J388" si="10">A325&amp;C325&amp;D325&amp;F325</f>
        <v>12023021100ANNUAL LEAVE &amp; LOADING - PROVI64520000</v>
      </c>
      <c r="K325" s="163">
        <f t="shared" ref="K325:K388" si="11">E325</f>
        <v>19311.48</v>
      </c>
    </row>
    <row r="326" spans="1:11" ht="14.5">
      <c r="A326" s="468">
        <v>12023021</v>
      </c>
      <c r="B326" s="468">
        <v>4040</v>
      </c>
      <c r="C326" s="468">
        <v>200</v>
      </c>
      <c r="D326" s="468" t="s">
        <v>121</v>
      </c>
      <c r="E326" s="468">
        <v>8020.02</v>
      </c>
      <c r="F326" s="468">
        <v>64520000</v>
      </c>
      <c r="G326" s="468"/>
      <c r="H326" s="468"/>
      <c r="I326" s="468"/>
      <c r="J326" s="445" t="str">
        <f t="shared" si="10"/>
        <v>12023021200LONG SERVICE LEAVE - PROVISION64520000</v>
      </c>
      <c r="K326" s="163">
        <f t="shared" si="11"/>
        <v>8020.02</v>
      </c>
    </row>
    <row r="327" spans="1:11" ht="14.5">
      <c r="A327" s="468">
        <v>12023011</v>
      </c>
      <c r="B327" s="468">
        <v>4040</v>
      </c>
      <c r="C327" s="468">
        <v>100</v>
      </c>
      <c r="D327" s="468" t="s">
        <v>119</v>
      </c>
      <c r="E327" s="468">
        <v>35485.800000000003</v>
      </c>
      <c r="F327" s="468">
        <v>64520000</v>
      </c>
      <c r="G327" s="468"/>
      <c r="H327" s="468"/>
      <c r="I327" s="468"/>
      <c r="J327" s="445" t="str">
        <f t="shared" si="10"/>
        <v>12023011100ANNUAL LEAVE &amp; LOADING - PROVI64520000</v>
      </c>
      <c r="K327" s="163">
        <f t="shared" si="11"/>
        <v>35485.800000000003</v>
      </c>
    </row>
    <row r="328" spans="1:11" ht="14.5">
      <c r="A328" s="468">
        <v>12023011</v>
      </c>
      <c r="B328" s="468">
        <v>4040</v>
      </c>
      <c r="C328" s="468">
        <v>200</v>
      </c>
      <c r="D328" s="468" t="s">
        <v>121</v>
      </c>
      <c r="E328" s="468">
        <v>11398.29</v>
      </c>
      <c r="F328" s="468">
        <v>64520000</v>
      </c>
      <c r="G328" s="468"/>
      <c r="H328" s="468"/>
      <c r="I328" s="468"/>
      <c r="J328" s="445" t="str">
        <f t="shared" si="10"/>
        <v>12023011200LONG SERVICE LEAVE - PROVISION64520000</v>
      </c>
      <c r="K328" s="163">
        <f t="shared" si="11"/>
        <v>11398.29</v>
      </c>
    </row>
    <row r="329" spans="1:11" ht="14.5">
      <c r="A329" s="468">
        <v>12022511</v>
      </c>
      <c r="B329" s="468">
        <v>4040</v>
      </c>
      <c r="C329" s="468">
        <v>100</v>
      </c>
      <c r="D329" s="468" t="s">
        <v>119</v>
      </c>
      <c r="E329" s="468">
        <v>15867.99</v>
      </c>
      <c r="F329" s="468">
        <v>64520000</v>
      </c>
      <c r="G329" s="468"/>
      <c r="H329" s="468"/>
      <c r="I329" s="468"/>
      <c r="J329" s="445" t="str">
        <f t="shared" si="10"/>
        <v>12022511100ANNUAL LEAVE &amp; LOADING - PROVI64520000</v>
      </c>
      <c r="K329" s="163">
        <f t="shared" si="11"/>
        <v>15867.99</v>
      </c>
    </row>
    <row r="330" spans="1:11" ht="14.5">
      <c r="A330" s="468">
        <v>12021021</v>
      </c>
      <c r="B330" s="468">
        <v>4040</v>
      </c>
      <c r="C330" s="468">
        <v>100</v>
      </c>
      <c r="D330" s="468" t="s">
        <v>119</v>
      </c>
      <c r="E330" s="468">
        <v>75161.509999999995</v>
      </c>
      <c r="F330" s="468">
        <v>64520000</v>
      </c>
      <c r="G330" s="468"/>
      <c r="H330" s="468"/>
      <c r="I330" s="468"/>
      <c r="J330" s="445" t="str">
        <f t="shared" si="10"/>
        <v>12021021100ANNUAL LEAVE &amp; LOADING - PROVI64520000</v>
      </c>
      <c r="K330" s="163">
        <f t="shared" si="11"/>
        <v>75161.509999999995</v>
      </c>
    </row>
    <row r="331" spans="1:11" ht="14.5">
      <c r="A331" s="468">
        <v>12020800</v>
      </c>
      <c r="B331" s="468">
        <v>4040</v>
      </c>
      <c r="C331" s="468">
        <v>100</v>
      </c>
      <c r="D331" s="468" t="s">
        <v>119</v>
      </c>
      <c r="E331" s="468">
        <v>24173.14</v>
      </c>
      <c r="F331" s="468">
        <v>64520000</v>
      </c>
      <c r="G331" s="468"/>
      <c r="H331" s="468"/>
      <c r="I331" s="468"/>
      <c r="J331" s="445" t="str">
        <f t="shared" si="10"/>
        <v>12020800100ANNUAL LEAVE &amp; LOADING - PROVI64520000</v>
      </c>
      <c r="K331" s="163">
        <f t="shared" si="11"/>
        <v>24173.14</v>
      </c>
    </row>
    <row r="332" spans="1:11" ht="14.5">
      <c r="A332" s="468">
        <v>12020800</v>
      </c>
      <c r="B332" s="468">
        <v>4040</v>
      </c>
      <c r="C332" s="468">
        <v>200</v>
      </c>
      <c r="D332" s="468" t="s">
        <v>121</v>
      </c>
      <c r="E332" s="468">
        <v>1271.67</v>
      </c>
      <c r="F332" s="468">
        <v>64520000</v>
      </c>
      <c r="G332" s="468"/>
      <c r="H332" s="468"/>
      <c r="I332" s="468"/>
      <c r="J332" s="445" t="str">
        <f t="shared" si="10"/>
        <v>12020800200LONG SERVICE LEAVE - PROVISION64520000</v>
      </c>
      <c r="K332" s="163">
        <f t="shared" si="11"/>
        <v>1271.67</v>
      </c>
    </row>
    <row r="333" spans="1:11" ht="14.5">
      <c r="A333" s="468">
        <v>12020711</v>
      </c>
      <c r="B333" s="468">
        <v>4040</v>
      </c>
      <c r="C333" s="468">
        <v>100</v>
      </c>
      <c r="D333" s="468" t="s">
        <v>119</v>
      </c>
      <c r="E333" s="468">
        <v>12603.57</v>
      </c>
      <c r="F333" s="468">
        <v>64520000</v>
      </c>
      <c r="G333" s="468"/>
      <c r="H333" s="468"/>
      <c r="I333" s="468"/>
      <c r="J333" s="445" t="str">
        <f t="shared" si="10"/>
        <v>12020711100ANNUAL LEAVE &amp; LOADING - PROVI64520000</v>
      </c>
      <c r="K333" s="163">
        <f t="shared" si="11"/>
        <v>12603.57</v>
      </c>
    </row>
    <row r="334" spans="1:11" ht="14.5">
      <c r="A334" s="468">
        <v>12020611</v>
      </c>
      <c r="B334" s="468">
        <v>4040</v>
      </c>
      <c r="C334" s="468">
        <v>100</v>
      </c>
      <c r="D334" s="468" t="s">
        <v>119</v>
      </c>
      <c r="E334" s="468">
        <v>33261.72</v>
      </c>
      <c r="F334" s="468">
        <v>64520000</v>
      </c>
      <c r="G334" s="468"/>
      <c r="H334" s="468"/>
      <c r="I334" s="468"/>
      <c r="J334" s="445" t="str">
        <f t="shared" si="10"/>
        <v>12020611100ANNUAL LEAVE &amp; LOADING - PROVI64520000</v>
      </c>
      <c r="K334" s="163">
        <f t="shared" si="11"/>
        <v>33261.72</v>
      </c>
    </row>
    <row r="335" spans="1:11" ht="14.5">
      <c r="A335" s="468">
        <v>12020500</v>
      </c>
      <c r="B335" s="468">
        <v>4040</v>
      </c>
      <c r="C335" s="468">
        <v>100</v>
      </c>
      <c r="D335" s="468" t="s">
        <v>119</v>
      </c>
      <c r="E335" s="468">
        <v>12096.06</v>
      </c>
      <c r="F335" s="468" t="s">
        <v>123</v>
      </c>
      <c r="G335" s="468"/>
      <c r="H335" s="468"/>
      <c r="I335" s="468"/>
      <c r="J335" s="445" t="str">
        <f t="shared" si="10"/>
        <v>12020500100ANNUAL LEAVE &amp; LOADING - PROVI645200LP</v>
      </c>
      <c r="K335" s="163">
        <f t="shared" si="11"/>
        <v>12096.06</v>
      </c>
    </row>
    <row r="336" spans="1:11" ht="14.5">
      <c r="A336" s="468">
        <v>12020500</v>
      </c>
      <c r="B336" s="468">
        <v>4040</v>
      </c>
      <c r="C336" s="468">
        <v>200</v>
      </c>
      <c r="D336" s="468" t="s">
        <v>121</v>
      </c>
      <c r="E336" s="468">
        <v>91.82</v>
      </c>
      <c r="F336" s="468" t="s">
        <v>123</v>
      </c>
      <c r="G336" s="468"/>
      <c r="H336" s="468"/>
      <c r="I336" s="468"/>
      <c r="J336" s="445" t="str">
        <f t="shared" si="10"/>
        <v>12020500200LONG SERVICE LEAVE - PROVISION645200LP</v>
      </c>
      <c r="K336" s="163">
        <f t="shared" si="11"/>
        <v>91.82</v>
      </c>
    </row>
    <row r="337" spans="1:11" ht="14.5">
      <c r="A337" s="468">
        <v>12019199</v>
      </c>
      <c r="B337" s="468">
        <v>4040</v>
      </c>
      <c r="C337" s="468">
        <v>100</v>
      </c>
      <c r="D337" s="468" t="s">
        <v>119</v>
      </c>
      <c r="E337" s="468">
        <v>47648.57</v>
      </c>
      <c r="F337" s="468" t="s">
        <v>127</v>
      </c>
      <c r="G337" s="468"/>
      <c r="H337" s="468"/>
      <c r="I337" s="468"/>
      <c r="J337" s="445" t="str">
        <f t="shared" si="10"/>
        <v>12019199100ANNUAL LEAVE &amp; LOADING - PROVI645200GA</v>
      </c>
      <c r="K337" s="163">
        <f t="shared" si="11"/>
        <v>47648.57</v>
      </c>
    </row>
    <row r="338" spans="1:11" ht="14.5">
      <c r="A338" s="468">
        <v>12019199</v>
      </c>
      <c r="B338" s="468">
        <v>4040</v>
      </c>
      <c r="C338" s="468">
        <v>200</v>
      </c>
      <c r="D338" s="468" t="s">
        <v>121</v>
      </c>
      <c r="E338" s="468">
        <v>3620.53</v>
      </c>
      <c r="F338" s="468" t="s">
        <v>127</v>
      </c>
      <c r="G338" s="468"/>
      <c r="H338" s="468"/>
      <c r="I338" s="468"/>
      <c r="J338" s="445" t="str">
        <f t="shared" si="10"/>
        <v>12019199200LONG SERVICE LEAVE - PROVISION645200GA</v>
      </c>
      <c r="K338" s="163">
        <f t="shared" si="11"/>
        <v>3620.53</v>
      </c>
    </row>
    <row r="339" spans="1:11" ht="14.5">
      <c r="A339" s="468">
        <v>12033011</v>
      </c>
      <c r="B339" s="468">
        <v>4040</v>
      </c>
      <c r="C339" s="468">
        <v>100</v>
      </c>
      <c r="D339" s="468" t="s">
        <v>119</v>
      </c>
      <c r="E339" s="468">
        <v>45217.57</v>
      </c>
      <c r="F339" s="468">
        <v>64520000</v>
      </c>
      <c r="G339" s="468"/>
      <c r="H339" s="468"/>
      <c r="I339" s="468"/>
      <c r="J339" s="445" t="str">
        <f t="shared" si="10"/>
        <v>12033011100ANNUAL LEAVE &amp; LOADING - PROVI64520000</v>
      </c>
      <c r="K339" s="163">
        <f t="shared" si="11"/>
        <v>45217.57</v>
      </c>
    </row>
    <row r="340" spans="1:11" ht="14.5">
      <c r="A340" s="468">
        <v>12033011</v>
      </c>
      <c r="B340" s="468">
        <v>4040</v>
      </c>
      <c r="C340" s="468">
        <v>200</v>
      </c>
      <c r="D340" s="468" t="s">
        <v>121</v>
      </c>
      <c r="E340" s="468">
        <v>9980.4</v>
      </c>
      <c r="F340" s="468">
        <v>64520000</v>
      </c>
      <c r="G340" s="468"/>
      <c r="H340" s="468"/>
      <c r="I340" s="468"/>
      <c r="J340" s="445" t="str">
        <f t="shared" si="10"/>
        <v>12033011200LONG SERVICE LEAVE - PROVISION64520000</v>
      </c>
      <c r="K340" s="163">
        <f t="shared" si="11"/>
        <v>9980.4</v>
      </c>
    </row>
    <row r="341" spans="1:11" ht="14.5">
      <c r="A341" s="468">
        <v>12032511</v>
      </c>
      <c r="B341" s="468">
        <v>4040</v>
      </c>
      <c r="C341" s="468">
        <v>100</v>
      </c>
      <c r="D341" s="468" t="s">
        <v>119</v>
      </c>
      <c r="E341" s="468">
        <v>6481.16</v>
      </c>
      <c r="F341" s="468">
        <v>64520000</v>
      </c>
      <c r="G341" s="468"/>
      <c r="H341" s="468"/>
      <c r="I341" s="468"/>
      <c r="J341" s="445" t="str">
        <f t="shared" si="10"/>
        <v>12032511100ANNUAL LEAVE &amp; LOADING - PROVI64520000</v>
      </c>
      <c r="K341" s="163">
        <f t="shared" si="11"/>
        <v>6481.16</v>
      </c>
    </row>
    <row r="342" spans="1:11" ht="14.5">
      <c r="A342" s="468">
        <v>12030800</v>
      </c>
      <c r="B342" s="468">
        <v>4040</v>
      </c>
      <c r="C342" s="468">
        <v>100</v>
      </c>
      <c r="D342" s="468" t="s">
        <v>119</v>
      </c>
      <c r="E342" s="468">
        <v>12468.47</v>
      </c>
      <c r="F342" s="468">
        <v>64520000</v>
      </c>
      <c r="G342" s="468"/>
      <c r="H342" s="468"/>
      <c r="I342" s="468"/>
      <c r="J342" s="445" t="str">
        <f t="shared" si="10"/>
        <v>12030800100ANNUAL LEAVE &amp; LOADING - PROVI64520000</v>
      </c>
      <c r="K342" s="163">
        <f t="shared" si="11"/>
        <v>12468.47</v>
      </c>
    </row>
    <row r="343" spans="1:11" ht="14.5">
      <c r="A343" s="468">
        <v>12030800</v>
      </c>
      <c r="B343" s="468">
        <v>4040</v>
      </c>
      <c r="C343" s="468">
        <v>200</v>
      </c>
      <c r="D343" s="468" t="s">
        <v>121</v>
      </c>
      <c r="E343" s="468">
        <v>473.11</v>
      </c>
      <c r="F343" s="468">
        <v>64520000</v>
      </c>
      <c r="G343" s="468"/>
      <c r="H343" s="468"/>
      <c r="I343" s="468"/>
      <c r="J343" s="445" t="str">
        <f t="shared" si="10"/>
        <v>12030800200LONG SERVICE LEAVE - PROVISION64520000</v>
      </c>
      <c r="K343" s="163">
        <f t="shared" si="11"/>
        <v>473.11</v>
      </c>
    </row>
    <row r="344" spans="1:11" ht="14.5">
      <c r="A344" s="468">
        <v>12030711</v>
      </c>
      <c r="B344" s="468">
        <v>4040</v>
      </c>
      <c r="C344" s="468">
        <v>100</v>
      </c>
      <c r="D344" s="468" t="s">
        <v>119</v>
      </c>
      <c r="E344" s="468">
        <v>15528.53</v>
      </c>
      <c r="F344" s="468">
        <v>64520000</v>
      </c>
      <c r="G344" s="468"/>
      <c r="H344" s="468"/>
      <c r="I344" s="468"/>
      <c r="J344" s="445" t="str">
        <f t="shared" si="10"/>
        <v>12030711100ANNUAL LEAVE &amp; LOADING - PROVI64520000</v>
      </c>
      <c r="K344" s="163">
        <f t="shared" si="11"/>
        <v>15528.53</v>
      </c>
    </row>
    <row r="345" spans="1:11" ht="14.5">
      <c r="A345" s="468">
        <v>12030611</v>
      </c>
      <c r="B345" s="468">
        <v>4040</v>
      </c>
      <c r="C345" s="468">
        <v>100</v>
      </c>
      <c r="D345" s="468" t="s">
        <v>119</v>
      </c>
      <c r="E345" s="468">
        <v>53922.559999999998</v>
      </c>
      <c r="F345" s="468">
        <v>64520000</v>
      </c>
      <c r="G345" s="468"/>
      <c r="H345" s="468"/>
      <c r="I345" s="468"/>
      <c r="J345" s="445" t="str">
        <f t="shared" si="10"/>
        <v>12030611100ANNUAL LEAVE &amp; LOADING - PROVI64520000</v>
      </c>
      <c r="K345" s="163">
        <f t="shared" si="11"/>
        <v>53922.559999999998</v>
      </c>
    </row>
    <row r="346" spans="1:11" ht="14.5">
      <c r="A346" s="468">
        <v>12030500</v>
      </c>
      <c r="B346" s="468">
        <v>4040</v>
      </c>
      <c r="C346" s="468">
        <v>100</v>
      </c>
      <c r="D346" s="468" t="s">
        <v>119</v>
      </c>
      <c r="E346" s="468">
        <v>13054.64</v>
      </c>
      <c r="F346" s="468" t="s">
        <v>123</v>
      </c>
      <c r="G346" s="468"/>
      <c r="H346" s="468"/>
      <c r="I346" s="468"/>
      <c r="J346" s="445" t="str">
        <f t="shared" si="10"/>
        <v>12030500100ANNUAL LEAVE &amp; LOADING - PROVI645200LP</v>
      </c>
      <c r="K346" s="163">
        <f t="shared" si="11"/>
        <v>13054.64</v>
      </c>
    </row>
    <row r="347" spans="1:11" ht="14.5">
      <c r="A347" s="468">
        <v>12030500</v>
      </c>
      <c r="B347" s="468">
        <v>4040</v>
      </c>
      <c r="C347" s="468">
        <v>200</v>
      </c>
      <c r="D347" s="468" t="s">
        <v>121</v>
      </c>
      <c r="E347" s="468">
        <v>126.91</v>
      </c>
      <c r="F347" s="468" t="s">
        <v>123</v>
      </c>
      <c r="G347" s="468"/>
      <c r="H347" s="468"/>
      <c r="I347" s="468"/>
      <c r="J347" s="445" t="str">
        <f t="shared" si="10"/>
        <v>12030500200LONG SERVICE LEAVE - PROVISION645200LP</v>
      </c>
      <c r="K347" s="163">
        <f t="shared" si="11"/>
        <v>126.91</v>
      </c>
    </row>
    <row r="348" spans="1:11" ht="14.5">
      <c r="A348" s="468">
        <v>12028099</v>
      </c>
      <c r="B348" s="468">
        <v>4040</v>
      </c>
      <c r="C348" s="468">
        <v>100</v>
      </c>
      <c r="D348" s="468" t="s">
        <v>119</v>
      </c>
      <c r="E348" s="468">
        <v>17543.55</v>
      </c>
      <c r="F348" s="468" t="s">
        <v>120</v>
      </c>
      <c r="G348" s="468"/>
      <c r="H348" s="468"/>
      <c r="I348" s="468"/>
      <c r="J348" s="445" t="str">
        <f t="shared" si="10"/>
        <v>12028099100ANNUAL LEAVE &amp; LOADING - PROVI645200SM</v>
      </c>
      <c r="K348" s="163">
        <f t="shared" si="11"/>
        <v>17543.55</v>
      </c>
    </row>
    <row r="349" spans="1:11" ht="14.5">
      <c r="A349" s="468">
        <v>12043123</v>
      </c>
      <c r="B349" s="468">
        <v>4040</v>
      </c>
      <c r="C349" s="468">
        <v>100</v>
      </c>
      <c r="D349" s="468" t="s">
        <v>119</v>
      </c>
      <c r="E349" s="468">
        <v>10946.85</v>
      </c>
      <c r="F349" s="468">
        <v>64520000</v>
      </c>
      <c r="G349" s="468"/>
      <c r="H349" s="468"/>
      <c r="I349" s="468"/>
      <c r="J349" s="445" t="str">
        <f t="shared" si="10"/>
        <v>12043123100ANNUAL LEAVE &amp; LOADING - PROVI64520000</v>
      </c>
      <c r="K349" s="163">
        <f t="shared" si="11"/>
        <v>10946.85</v>
      </c>
    </row>
    <row r="350" spans="1:11" ht="14.5">
      <c r="A350" s="468">
        <v>12043123</v>
      </c>
      <c r="B350" s="468">
        <v>4040</v>
      </c>
      <c r="C350" s="468">
        <v>200</v>
      </c>
      <c r="D350" s="468" t="s">
        <v>121</v>
      </c>
      <c r="E350" s="468">
        <v>60.17</v>
      </c>
      <c r="F350" s="468">
        <v>64520000</v>
      </c>
      <c r="G350" s="468"/>
      <c r="H350" s="468"/>
      <c r="I350" s="468"/>
      <c r="J350" s="445" t="str">
        <f t="shared" si="10"/>
        <v>12043123200LONG SERVICE LEAVE - PROVISION64520000</v>
      </c>
      <c r="K350" s="163">
        <f t="shared" si="11"/>
        <v>60.17</v>
      </c>
    </row>
    <row r="351" spans="1:11" ht="14.5">
      <c r="A351" s="468">
        <v>12043011</v>
      </c>
      <c r="B351" s="468">
        <v>4040</v>
      </c>
      <c r="C351" s="468">
        <v>100</v>
      </c>
      <c r="D351" s="468" t="s">
        <v>119</v>
      </c>
      <c r="E351" s="468">
        <v>47071.9</v>
      </c>
      <c r="F351" s="468">
        <v>64520000</v>
      </c>
      <c r="G351" s="468"/>
      <c r="H351" s="468"/>
      <c r="I351" s="468"/>
      <c r="J351" s="445" t="str">
        <f t="shared" si="10"/>
        <v>12043011100ANNUAL LEAVE &amp; LOADING - PROVI64520000</v>
      </c>
      <c r="K351" s="163">
        <f t="shared" si="11"/>
        <v>47071.9</v>
      </c>
    </row>
    <row r="352" spans="1:11" ht="14.5">
      <c r="A352" s="468">
        <v>12043011</v>
      </c>
      <c r="B352" s="468">
        <v>4040</v>
      </c>
      <c r="C352" s="468">
        <v>200</v>
      </c>
      <c r="D352" s="468" t="s">
        <v>121</v>
      </c>
      <c r="E352" s="468">
        <v>5838.13</v>
      </c>
      <c r="F352" s="468">
        <v>64520000</v>
      </c>
      <c r="G352" s="468"/>
      <c r="H352" s="468"/>
      <c r="I352" s="468"/>
      <c r="J352" s="445" t="str">
        <f t="shared" si="10"/>
        <v>12043011200LONG SERVICE LEAVE - PROVISION64520000</v>
      </c>
      <c r="K352" s="163">
        <f t="shared" si="11"/>
        <v>5838.13</v>
      </c>
    </row>
    <row r="353" spans="1:11" ht="14.5">
      <c r="A353" s="468">
        <v>12042511</v>
      </c>
      <c r="B353" s="468">
        <v>4040</v>
      </c>
      <c r="C353" s="468">
        <v>200</v>
      </c>
      <c r="D353" s="468" t="s">
        <v>121</v>
      </c>
      <c r="E353" s="468">
        <v>462.54</v>
      </c>
      <c r="F353" s="468">
        <v>64520000</v>
      </c>
      <c r="G353" s="468"/>
      <c r="H353" s="468"/>
      <c r="I353" s="468"/>
      <c r="J353" s="445" t="str">
        <f t="shared" si="10"/>
        <v>12042511200LONG SERVICE LEAVE - PROVISION64520000</v>
      </c>
      <c r="K353" s="163">
        <f t="shared" si="11"/>
        <v>462.54</v>
      </c>
    </row>
    <row r="354" spans="1:11" ht="14.5">
      <c r="A354" s="468">
        <v>12042511</v>
      </c>
      <c r="B354" s="468">
        <v>4040</v>
      </c>
      <c r="C354" s="468">
        <v>100</v>
      </c>
      <c r="D354" s="468" t="s">
        <v>119</v>
      </c>
      <c r="E354" s="468">
        <v>8016.02</v>
      </c>
      <c r="F354" s="468">
        <v>64520000</v>
      </c>
      <c r="G354" s="468"/>
      <c r="H354" s="468"/>
      <c r="I354" s="468"/>
      <c r="J354" s="445" t="str">
        <f t="shared" si="10"/>
        <v>12042511100ANNUAL LEAVE &amp; LOADING - PROVI64520000</v>
      </c>
      <c r="K354" s="163">
        <f t="shared" si="11"/>
        <v>8016.02</v>
      </c>
    </row>
    <row r="355" spans="1:11" ht="14.5">
      <c r="A355" s="468">
        <v>12040800</v>
      </c>
      <c r="B355" s="468">
        <v>4040</v>
      </c>
      <c r="C355" s="468">
        <v>100</v>
      </c>
      <c r="D355" s="468" t="s">
        <v>119</v>
      </c>
      <c r="E355" s="468">
        <v>7382.58</v>
      </c>
      <c r="F355" s="468">
        <v>64520000</v>
      </c>
      <c r="G355" s="468"/>
      <c r="H355" s="468"/>
      <c r="I355" s="468"/>
      <c r="J355" s="445" t="str">
        <f t="shared" si="10"/>
        <v>12040800100ANNUAL LEAVE &amp; LOADING - PROVI64520000</v>
      </c>
      <c r="K355" s="163">
        <f t="shared" si="11"/>
        <v>7382.58</v>
      </c>
    </row>
    <row r="356" spans="1:11" ht="14.5">
      <c r="A356" s="468">
        <v>12040800</v>
      </c>
      <c r="B356" s="468">
        <v>4040</v>
      </c>
      <c r="C356" s="468">
        <v>200</v>
      </c>
      <c r="D356" s="468" t="s">
        <v>121</v>
      </c>
      <c r="E356" s="468">
        <v>69</v>
      </c>
      <c r="F356" s="468">
        <v>64520000</v>
      </c>
      <c r="G356" s="468"/>
      <c r="H356" s="468"/>
      <c r="I356" s="468"/>
      <c r="J356" s="445" t="str">
        <f t="shared" si="10"/>
        <v>12040800200LONG SERVICE LEAVE - PROVISION64520000</v>
      </c>
      <c r="K356" s="163">
        <f t="shared" si="11"/>
        <v>69</v>
      </c>
    </row>
    <row r="357" spans="1:11" ht="14.5">
      <c r="A357" s="468">
        <v>12040500</v>
      </c>
      <c r="B357" s="468">
        <v>4040</v>
      </c>
      <c r="C357" s="468">
        <v>100</v>
      </c>
      <c r="D357" s="468" t="s">
        <v>119</v>
      </c>
      <c r="E357" s="468">
        <v>9877.2999999999993</v>
      </c>
      <c r="F357" s="468" t="s">
        <v>123</v>
      </c>
      <c r="G357" s="468"/>
      <c r="H357" s="468"/>
      <c r="I357" s="468"/>
      <c r="J357" s="445" t="str">
        <f t="shared" si="10"/>
        <v>12040500100ANNUAL LEAVE &amp; LOADING - PROVI645200LP</v>
      </c>
      <c r="K357" s="163">
        <f t="shared" si="11"/>
        <v>9877.2999999999993</v>
      </c>
    </row>
    <row r="358" spans="1:11" ht="14.5">
      <c r="A358" s="468">
        <v>12040500</v>
      </c>
      <c r="B358" s="468">
        <v>4040</v>
      </c>
      <c r="C358" s="468">
        <v>200</v>
      </c>
      <c r="D358" s="468" t="s">
        <v>121</v>
      </c>
      <c r="E358" s="468">
        <v>1835.53</v>
      </c>
      <c r="F358" s="468" t="s">
        <v>123</v>
      </c>
      <c r="G358" s="468"/>
      <c r="H358" s="468"/>
      <c r="I358" s="468"/>
      <c r="J358" s="445" t="str">
        <f t="shared" si="10"/>
        <v>12040500200LONG SERVICE LEAVE - PROVISION645200LP</v>
      </c>
      <c r="K358" s="163">
        <f t="shared" si="11"/>
        <v>1835.53</v>
      </c>
    </row>
    <row r="359" spans="1:11" ht="14.5">
      <c r="A359" s="468">
        <v>12040400</v>
      </c>
      <c r="B359" s="468">
        <v>4040</v>
      </c>
      <c r="C359" s="468">
        <v>100</v>
      </c>
      <c r="D359" s="468" t="s">
        <v>119</v>
      </c>
      <c r="E359" s="468">
        <v>5085.4799999999996</v>
      </c>
      <c r="F359" s="468" t="s">
        <v>122</v>
      </c>
      <c r="G359" s="468"/>
      <c r="H359" s="468"/>
      <c r="I359" s="468"/>
      <c r="J359" s="445" t="str">
        <f t="shared" si="10"/>
        <v>12040400100ANNUAL LEAVE &amp; LOADING - PROVI645200CS</v>
      </c>
      <c r="K359" s="163">
        <f t="shared" si="11"/>
        <v>5085.4799999999996</v>
      </c>
    </row>
    <row r="360" spans="1:11" ht="14.5">
      <c r="A360" s="468">
        <v>12040400</v>
      </c>
      <c r="B360" s="468">
        <v>4040</v>
      </c>
      <c r="C360" s="468">
        <v>200</v>
      </c>
      <c r="D360" s="468" t="s">
        <v>121</v>
      </c>
      <c r="E360" s="468">
        <v>7988.47</v>
      </c>
      <c r="F360" s="468" t="s">
        <v>122</v>
      </c>
      <c r="G360" s="468"/>
      <c r="H360" s="468"/>
      <c r="I360" s="468"/>
      <c r="J360" s="445" t="str">
        <f t="shared" si="10"/>
        <v>12040400200LONG SERVICE LEAVE - PROVISION645200CS</v>
      </c>
      <c r="K360" s="163">
        <f t="shared" si="11"/>
        <v>7988.47</v>
      </c>
    </row>
    <row r="361" spans="1:11" ht="14.5">
      <c r="A361" s="468">
        <v>12038099</v>
      </c>
      <c r="B361" s="468">
        <v>4040</v>
      </c>
      <c r="C361" s="468">
        <v>100</v>
      </c>
      <c r="D361" s="468" t="s">
        <v>119</v>
      </c>
      <c r="E361" s="468">
        <v>16780.060000000001</v>
      </c>
      <c r="F361" s="468" t="s">
        <v>120</v>
      </c>
      <c r="G361" s="468"/>
      <c r="H361" s="468"/>
      <c r="I361" s="468"/>
      <c r="J361" s="445" t="str">
        <f t="shared" si="10"/>
        <v>12038099100ANNUAL LEAVE &amp; LOADING - PROVI645200SM</v>
      </c>
      <c r="K361" s="163">
        <f t="shared" si="11"/>
        <v>16780.060000000001</v>
      </c>
    </row>
    <row r="362" spans="1:11" ht="14.5">
      <c r="A362" s="468">
        <v>12068099</v>
      </c>
      <c r="B362" s="468">
        <v>4040</v>
      </c>
      <c r="C362" s="468">
        <v>100</v>
      </c>
      <c r="D362" s="468" t="s">
        <v>119</v>
      </c>
      <c r="E362" s="468">
        <v>9291.1299999999992</v>
      </c>
      <c r="F362" s="468" t="s">
        <v>120</v>
      </c>
      <c r="G362" s="468"/>
      <c r="H362" s="468"/>
      <c r="I362" s="468"/>
      <c r="J362" s="445" t="str">
        <f t="shared" si="10"/>
        <v>12068099100ANNUAL LEAVE &amp; LOADING - PROVI645200SM</v>
      </c>
      <c r="K362" s="163">
        <f t="shared" si="11"/>
        <v>9291.1299999999992</v>
      </c>
    </row>
    <row r="363" spans="1:11" ht="14.5">
      <c r="A363" s="468">
        <v>12063011</v>
      </c>
      <c r="B363" s="468">
        <v>4040</v>
      </c>
      <c r="C363" s="468">
        <v>100</v>
      </c>
      <c r="D363" s="468" t="s">
        <v>119</v>
      </c>
      <c r="E363" s="468">
        <v>6119.67</v>
      </c>
      <c r="F363" s="468">
        <v>64520000</v>
      </c>
      <c r="G363" s="468"/>
      <c r="H363" s="468"/>
      <c r="I363" s="468"/>
      <c r="J363" s="445" t="str">
        <f t="shared" si="10"/>
        <v>12063011100ANNUAL LEAVE &amp; LOADING - PROVI64520000</v>
      </c>
      <c r="K363" s="163">
        <f t="shared" si="11"/>
        <v>6119.67</v>
      </c>
    </row>
    <row r="364" spans="1:11" ht="14.5">
      <c r="A364" s="468">
        <v>12063011</v>
      </c>
      <c r="B364" s="468">
        <v>4040</v>
      </c>
      <c r="C364" s="468">
        <v>200</v>
      </c>
      <c r="D364" s="468" t="s">
        <v>121</v>
      </c>
      <c r="E364" s="468">
        <v>8122.67</v>
      </c>
      <c r="F364" s="468">
        <v>64520000</v>
      </c>
      <c r="G364" s="468"/>
      <c r="H364" s="468"/>
      <c r="I364" s="468"/>
      <c r="J364" s="445" t="str">
        <f t="shared" si="10"/>
        <v>12063011200LONG SERVICE LEAVE - PROVISION64520000</v>
      </c>
      <c r="K364" s="163">
        <f t="shared" si="11"/>
        <v>8122.67</v>
      </c>
    </row>
    <row r="365" spans="1:11" ht="14.5">
      <c r="A365" s="468">
        <v>12062511</v>
      </c>
      <c r="B365" s="468">
        <v>4040</v>
      </c>
      <c r="C365" s="468">
        <v>100</v>
      </c>
      <c r="D365" s="468" t="s">
        <v>119</v>
      </c>
      <c r="E365" s="468">
        <v>13198.94</v>
      </c>
      <c r="F365" s="468">
        <v>64520000</v>
      </c>
      <c r="G365" s="468"/>
      <c r="H365" s="468"/>
      <c r="I365" s="468"/>
      <c r="J365" s="445" t="str">
        <f t="shared" si="10"/>
        <v>12062511100ANNUAL LEAVE &amp; LOADING - PROVI64520000</v>
      </c>
      <c r="K365" s="163">
        <f t="shared" si="11"/>
        <v>13198.94</v>
      </c>
    </row>
    <row r="366" spans="1:11" ht="14.5">
      <c r="A366" s="468">
        <v>12062511</v>
      </c>
      <c r="B366" s="468">
        <v>4040</v>
      </c>
      <c r="C366" s="468">
        <v>200</v>
      </c>
      <c r="D366" s="468" t="s">
        <v>121</v>
      </c>
      <c r="E366" s="468">
        <v>531.05999999999995</v>
      </c>
      <c r="F366" s="468">
        <v>64520000</v>
      </c>
      <c r="G366" s="468"/>
      <c r="H366" s="468"/>
      <c r="I366" s="468"/>
      <c r="J366" s="445" t="str">
        <f t="shared" si="10"/>
        <v>12062511200LONG SERVICE LEAVE - PROVISION64520000</v>
      </c>
      <c r="K366" s="163">
        <f t="shared" si="11"/>
        <v>531.05999999999995</v>
      </c>
    </row>
    <row r="367" spans="1:11" ht="14.5">
      <c r="A367" s="468">
        <v>12060800</v>
      </c>
      <c r="B367" s="468">
        <v>4040</v>
      </c>
      <c r="C367" s="468">
        <v>100</v>
      </c>
      <c r="D367" s="468" t="s">
        <v>119</v>
      </c>
      <c r="E367" s="468">
        <v>11601.97</v>
      </c>
      <c r="F367" s="468">
        <v>64520000</v>
      </c>
      <c r="G367" s="468"/>
      <c r="H367" s="468"/>
      <c r="I367" s="468"/>
      <c r="J367" s="445" t="str">
        <f t="shared" si="10"/>
        <v>12060800100ANNUAL LEAVE &amp; LOADING - PROVI64520000</v>
      </c>
      <c r="K367" s="163">
        <f t="shared" si="11"/>
        <v>11601.97</v>
      </c>
    </row>
    <row r="368" spans="1:11" ht="14.5">
      <c r="A368" s="468">
        <v>12060800</v>
      </c>
      <c r="B368" s="468">
        <v>4040</v>
      </c>
      <c r="C368" s="468">
        <v>200</v>
      </c>
      <c r="D368" s="468" t="s">
        <v>121</v>
      </c>
      <c r="E368" s="468">
        <v>1559.56</v>
      </c>
      <c r="F368" s="468">
        <v>64520000</v>
      </c>
      <c r="G368" s="468"/>
      <c r="H368" s="468"/>
      <c r="I368" s="468"/>
      <c r="J368" s="445" t="str">
        <f t="shared" si="10"/>
        <v>12060800200LONG SERVICE LEAVE - PROVISION64520000</v>
      </c>
      <c r="K368" s="163">
        <f t="shared" si="11"/>
        <v>1559.56</v>
      </c>
    </row>
    <row r="369" spans="1:11" ht="14.5">
      <c r="A369" s="468">
        <v>12060711</v>
      </c>
      <c r="B369" s="468">
        <v>4040</v>
      </c>
      <c r="C369" s="468">
        <v>100</v>
      </c>
      <c r="D369" s="468" t="s">
        <v>119</v>
      </c>
      <c r="E369" s="468">
        <v>4655.68</v>
      </c>
      <c r="F369" s="468">
        <v>64520000</v>
      </c>
      <c r="G369" s="468"/>
      <c r="H369" s="468"/>
      <c r="I369" s="468"/>
      <c r="J369" s="445" t="str">
        <f t="shared" si="10"/>
        <v>12060711100ANNUAL LEAVE &amp; LOADING - PROVI64520000</v>
      </c>
      <c r="K369" s="163">
        <f t="shared" si="11"/>
        <v>4655.68</v>
      </c>
    </row>
    <row r="370" spans="1:11" ht="14.5">
      <c r="A370" s="468">
        <v>12060611</v>
      </c>
      <c r="B370" s="468">
        <v>4040</v>
      </c>
      <c r="C370" s="468">
        <v>100</v>
      </c>
      <c r="D370" s="468" t="s">
        <v>119</v>
      </c>
      <c r="E370" s="468">
        <v>25149.09</v>
      </c>
      <c r="F370" s="468">
        <v>64520000</v>
      </c>
      <c r="G370" s="468"/>
      <c r="H370" s="468"/>
      <c r="I370" s="468"/>
      <c r="J370" s="445" t="str">
        <f t="shared" si="10"/>
        <v>12060611100ANNUAL LEAVE &amp; LOADING - PROVI64520000</v>
      </c>
      <c r="K370" s="163">
        <f t="shared" si="11"/>
        <v>25149.09</v>
      </c>
    </row>
    <row r="371" spans="1:11" ht="14.5">
      <c r="A371" s="468">
        <v>12048099</v>
      </c>
      <c r="B371" s="468">
        <v>4040</v>
      </c>
      <c r="C371" s="468">
        <v>100</v>
      </c>
      <c r="D371" s="468" t="s">
        <v>119</v>
      </c>
      <c r="E371" s="468">
        <v>15844.52</v>
      </c>
      <c r="F371" s="468" t="s">
        <v>120</v>
      </c>
      <c r="G371" s="468"/>
      <c r="H371" s="468"/>
      <c r="I371" s="468"/>
      <c r="J371" s="445" t="str">
        <f t="shared" si="10"/>
        <v>12048099100ANNUAL LEAVE &amp; LOADING - PROVI645200SM</v>
      </c>
      <c r="K371" s="163">
        <f t="shared" si="11"/>
        <v>15844.52</v>
      </c>
    </row>
    <row r="372" spans="1:11" ht="14.5">
      <c r="A372" s="468">
        <v>12060400</v>
      </c>
      <c r="B372" s="468">
        <v>4040</v>
      </c>
      <c r="C372" s="468">
        <v>100</v>
      </c>
      <c r="D372" s="468" t="s">
        <v>119</v>
      </c>
      <c r="E372" s="468">
        <v>5900.51</v>
      </c>
      <c r="F372" s="468" t="s">
        <v>122</v>
      </c>
      <c r="G372" s="468"/>
      <c r="H372" s="468"/>
      <c r="I372" s="468"/>
      <c r="J372" s="445" t="str">
        <f t="shared" si="10"/>
        <v>12060400100ANNUAL LEAVE &amp; LOADING - PROVI645200CS</v>
      </c>
      <c r="K372" s="163">
        <f t="shared" si="11"/>
        <v>5900.51</v>
      </c>
    </row>
    <row r="373" spans="1:11" ht="14.5">
      <c r="A373" s="468">
        <v>12060400</v>
      </c>
      <c r="B373" s="468">
        <v>4040</v>
      </c>
      <c r="C373" s="468">
        <v>200</v>
      </c>
      <c r="D373" s="468" t="s">
        <v>121</v>
      </c>
      <c r="E373" s="468">
        <v>8613.4</v>
      </c>
      <c r="F373" s="468" t="s">
        <v>122</v>
      </c>
      <c r="G373" s="468"/>
      <c r="H373" s="468"/>
      <c r="I373" s="468"/>
      <c r="J373" s="445" t="str">
        <f t="shared" si="10"/>
        <v>12060400200LONG SERVICE LEAVE - PROVISION645200CS</v>
      </c>
      <c r="K373" s="163">
        <f t="shared" si="11"/>
        <v>8613.4</v>
      </c>
    </row>
    <row r="374" spans="1:11" ht="14.5">
      <c r="A374" s="468">
        <v>12063011</v>
      </c>
      <c r="B374" s="468">
        <v>4050</v>
      </c>
      <c r="C374" s="468">
        <v>100</v>
      </c>
      <c r="D374" s="468" t="s">
        <v>128</v>
      </c>
      <c r="E374" s="468">
        <v>14.4</v>
      </c>
      <c r="F374" s="468">
        <v>64530000</v>
      </c>
      <c r="G374" s="468"/>
      <c r="H374" s="468"/>
      <c r="I374" s="468"/>
      <c r="J374" s="445" t="str">
        <f t="shared" si="10"/>
        <v>12063011100INCENTIVE COMPENSATION64530000</v>
      </c>
      <c r="K374" s="163">
        <f t="shared" si="11"/>
        <v>14.4</v>
      </c>
    </row>
    <row r="375" spans="1:11" ht="14.5">
      <c r="A375" s="468">
        <v>12043011</v>
      </c>
      <c r="B375" s="468">
        <v>4050</v>
      </c>
      <c r="C375" s="468">
        <v>100</v>
      </c>
      <c r="D375" s="468" t="s">
        <v>128</v>
      </c>
      <c r="E375" s="468">
        <v>-14.96</v>
      </c>
      <c r="F375" s="468">
        <v>64530000</v>
      </c>
      <c r="G375" s="468"/>
      <c r="H375" s="468"/>
      <c r="I375" s="468"/>
      <c r="J375" s="445" t="str">
        <f t="shared" si="10"/>
        <v>12043011100INCENTIVE COMPENSATION64530000</v>
      </c>
      <c r="K375" s="163">
        <f t="shared" si="11"/>
        <v>-14.96</v>
      </c>
    </row>
    <row r="376" spans="1:11" ht="14.5">
      <c r="A376" s="468">
        <v>12033011</v>
      </c>
      <c r="B376" s="468">
        <v>4050</v>
      </c>
      <c r="C376" s="468">
        <v>100</v>
      </c>
      <c r="D376" s="468" t="s">
        <v>128</v>
      </c>
      <c r="E376" s="468">
        <v>14.4</v>
      </c>
      <c r="F376" s="468">
        <v>64530000</v>
      </c>
      <c r="G376" s="468"/>
      <c r="H376" s="468"/>
      <c r="I376" s="468"/>
      <c r="J376" s="445" t="str">
        <f t="shared" si="10"/>
        <v>12033011100INCENTIVE COMPENSATION64530000</v>
      </c>
      <c r="K376" s="163">
        <f t="shared" si="11"/>
        <v>14.4</v>
      </c>
    </row>
    <row r="377" spans="1:11" ht="14.5">
      <c r="A377" s="468">
        <v>12023021</v>
      </c>
      <c r="B377" s="468">
        <v>4050</v>
      </c>
      <c r="C377" s="468">
        <v>100</v>
      </c>
      <c r="D377" s="468" t="s">
        <v>128</v>
      </c>
      <c r="E377" s="468">
        <v>12.99</v>
      </c>
      <c r="F377" s="468">
        <v>64530000</v>
      </c>
      <c r="G377" s="468"/>
      <c r="H377" s="468"/>
      <c r="I377" s="468"/>
      <c r="J377" s="445" t="str">
        <f t="shared" si="10"/>
        <v>12023021100INCENTIVE COMPENSATION64530000</v>
      </c>
      <c r="K377" s="163">
        <f t="shared" si="11"/>
        <v>12.99</v>
      </c>
    </row>
    <row r="378" spans="1:11" ht="14.5">
      <c r="A378" s="468">
        <v>12023011</v>
      </c>
      <c r="B378" s="468">
        <v>4050</v>
      </c>
      <c r="C378" s="468">
        <v>100</v>
      </c>
      <c r="D378" s="468" t="s">
        <v>128</v>
      </c>
      <c r="E378" s="468">
        <v>15.14</v>
      </c>
      <c r="F378" s="468">
        <v>64530000</v>
      </c>
      <c r="G378" s="468"/>
      <c r="H378" s="468"/>
      <c r="I378" s="468"/>
      <c r="J378" s="445" t="str">
        <f t="shared" si="10"/>
        <v>12023011100INCENTIVE COMPENSATION64530000</v>
      </c>
      <c r="K378" s="163">
        <f t="shared" si="11"/>
        <v>15.14</v>
      </c>
    </row>
    <row r="379" spans="1:11" ht="14.5">
      <c r="A379" s="468">
        <v>12019199</v>
      </c>
      <c r="B379" s="468">
        <v>4050</v>
      </c>
      <c r="C379" s="468">
        <v>100</v>
      </c>
      <c r="D379" s="468" t="s">
        <v>128</v>
      </c>
      <c r="E379" s="468">
        <v>-59.83</v>
      </c>
      <c r="F379" s="468" t="s">
        <v>133</v>
      </c>
      <c r="G379" s="468"/>
      <c r="H379" s="468"/>
      <c r="I379" s="468"/>
      <c r="J379" s="445" t="str">
        <f t="shared" si="10"/>
        <v>12019199100INCENTIVE COMPENSATION645300GA</v>
      </c>
      <c r="K379" s="163">
        <f t="shared" si="11"/>
        <v>-59.83</v>
      </c>
    </row>
    <row r="380" spans="1:11" ht="14.5">
      <c r="A380" s="468">
        <v>12019099</v>
      </c>
      <c r="B380" s="468">
        <v>4050</v>
      </c>
      <c r="C380" s="468">
        <v>100</v>
      </c>
      <c r="D380" s="468" t="s">
        <v>128</v>
      </c>
      <c r="E380" s="468">
        <v>-155.03</v>
      </c>
      <c r="F380" s="468" t="s">
        <v>133</v>
      </c>
      <c r="G380" s="468"/>
      <c r="H380" s="468"/>
      <c r="I380" s="468"/>
      <c r="J380" s="445" t="str">
        <f t="shared" si="10"/>
        <v>12019099100INCENTIVE COMPENSATION645300GA</v>
      </c>
      <c r="K380" s="163">
        <f t="shared" si="11"/>
        <v>-155.03</v>
      </c>
    </row>
    <row r="381" spans="1:11" ht="14.5">
      <c r="A381" s="468">
        <v>12018599</v>
      </c>
      <c r="B381" s="468">
        <v>4050</v>
      </c>
      <c r="C381" s="468">
        <v>100</v>
      </c>
      <c r="D381" s="468" t="s">
        <v>128</v>
      </c>
      <c r="E381" s="468">
        <v>-233.57</v>
      </c>
      <c r="F381" s="468" t="s">
        <v>133</v>
      </c>
      <c r="G381" s="468"/>
      <c r="H381" s="468"/>
      <c r="I381" s="468"/>
      <c r="J381" s="445" t="str">
        <f t="shared" si="10"/>
        <v>12018599100INCENTIVE COMPENSATION645300GA</v>
      </c>
      <c r="K381" s="163">
        <f t="shared" si="11"/>
        <v>-233.57</v>
      </c>
    </row>
    <row r="382" spans="1:11" ht="14.5">
      <c r="A382" s="468">
        <v>12018199</v>
      </c>
      <c r="B382" s="468">
        <v>4050</v>
      </c>
      <c r="C382" s="468">
        <v>100</v>
      </c>
      <c r="D382" s="468" t="s">
        <v>128</v>
      </c>
      <c r="E382" s="468">
        <v>-2308.7800000000002</v>
      </c>
      <c r="F382" s="468" t="s">
        <v>132</v>
      </c>
      <c r="G382" s="468"/>
      <c r="H382" s="468"/>
      <c r="I382" s="468"/>
      <c r="J382" s="445" t="str">
        <f t="shared" si="10"/>
        <v>12018199100INCENTIVE COMPENSATION645300SM</v>
      </c>
      <c r="K382" s="163">
        <f t="shared" si="11"/>
        <v>-2308.7800000000002</v>
      </c>
    </row>
    <row r="383" spans="1:11" ht="14.5">
      <c r="A383" s="468">
        <v>12013250</v>
      </c>
      <c r="B383" s="468">
        <v>4050</v>
      </c>
      <c r="C383" s="468">
        <v>100</v>
      </c>
      <c r="D383" s="468" t="s">
        <v>128</v>
      </c>
      <c r="E383" s="468">
        <v>2874</v>
      </c>
      <c r="F383" s="468">
        <v>64530000</v>
      </c>
      <c r="G383" s="468"/>
      <c r="H383" s="468"/>
      <c r="I383" s="468"/>
      <c r="J383" s="445" t="str">
        <f t="shared" si="10"/>
        <v>12013250100INCENTIVE COMPENSATION64530000</v>
      </c>
      <c r="K383" s="163">
        <f t="shared" si="11"/>
        <v>2874</v>
      </c>
    </row>
    <row r="384" spans="1:11" ht="14.5">
      <c r="A384" s="468">
        <v>12013012</v>
      </c>
      <c r="B384" s="468">
        <v>4050</v>
      </c>
      <c r="C384" s="468">
        <v>100</v>
      </c>
      <c r="D384" s="468" t="s">
        <v>128</v>
      </c>
      <c r="E384" s="468">
        <v>3501</v>
      </c>
      <c r="F384" s="468">
        <v>64530000</v>
      </c>
      <c r="G384" s="468"/>
      <c r="H384" s="468"/>
      <c r="I384" s="468"/>
      <c r="J384" s="445" t="str">
        <f t="shared" si="10"/>
        <v>12013012100INCENTIVE COMPENSATION64530000</v>
      </c>
      <c r="K384" s="163">
        <f t="shared" si="11"/>
        <v>3501</v>
      </c>
    </row>
    <row r="385" spans="1:11" ht="14.5">
      <c r="A385" s="468">
        <v>12010700</v>
      </c>
      <c r="B385" s="468">
        <v>4050</v>
      </c>
      <c r="C385" s="468">
        <v>100</v>
      </c>
      <c r="D385" s="468" t="s">
        <v>128</v>
      </c>
      <c r="E385" s="468">
        <v>-25.32</v>
      </c>
      <c r="F385" s="468" t="s">
        <v>130</v>
      </c>
      <c r="G385" s="468"/>
      <c r="H385" s="468"/>
      <c r="I385" s="468"/>
      <c r="J385" s="445" t="str">
        <f t="shared" si="10"/>
        <v>12010700100INCENTIVE COMPENSATION645300QL</v>
      </c>
      <c r="K385" s="163">
        <f t="shared" si="11"/>
        <v>-25.32</v>
      </c>
    </row>
    <row r="386" spans="1:11" ht="14.5">
      <c r="A386" s="468">
        <v>12010500</v>
      </c>
      <c r="B386" s="468">
        <v>4050</v>
      </c>
      <c r="C386" s="468">
        <v>100</v>
      </c>
      <c r="D386" s="468" t="s">
        <v>128</v>
      </c>
      <c r="E386" s="468">
        <v>-3487.33</v>
      </c>
      <c r="F386" s="468" t="s">
        <v>131</v>
      </c>
      <c r="G386" s="468"/>
      <c r="H386" s="468"/>
      <c r="I386" s="468"/>
      <c r="J386" s="445" t="str">
        <f t="shared" si="10"/>
        <v>12010500100INCENTIVE COMPENSATION645300LP</v>
      </c>
      <c r="K386" s="163">
        <f t="shared" si="11"/>
        <v>-3487.33</v>
      </c>
    </row>
    <row r="387" spans="1:11" ht="14.5">
      <c r="A387" s="468">
        <v>12010400</v>
      </c>
      <c r="B387" s="468">
        <v>4050</v>
      </c>
      <c r="C387" s="468">
        <v>100</v>
      </c>
      <c r="D387" s="468" t="s">
        <v>128</v>
      </c>
      <c r="E387" s="468">
        <v>-147.11000000000001</v>
      </c>
      <c r="F387" s="468" t="s">
        <v>129</v>
      </c>
      <c r="G387" s="468"/>
      <c r="H387" s="468"/>
      <c r="I387" s="468"/>
      <c r="J387" s="445" t="str">
        <f t="shared" si="10"/>
        <v>12010400100INCENTIVE COMPENSATION645300CS</v>
      </c>
      <c r="K387" s="163">
        <f t="shared" si="11"/>
        <v>-147.11000000000001</v>
      </c>
    </row>
    <row r="388" spans="1:11" ht="14.5">
      <c r="A388" s="468">
        <v>12060400</v>
      </c>
      <c r="B388" s="468">
        <v>4060</v>
      </c>
      <c r="C388" s="468">
        <v>100</v>
      </c>
      <c r="D388" s="468" t="s">
        <v>134</v>
      </c>
      <c r="E388" s="468">
        <v>251.02</v>
      </c>
      <c r="F388" s="468" t="s">
        <v>135</v>
      </c>
      <c r="G388" s="468"/>
      <c r="H388" s="468"/>
      <c r="I388" s="468"/>
      <c r="J388" s="445" t="str">
        <f t="shared" si="10"/>
        <v>12060400100WORKERS COMPENSATION PREMIUM645500CS</v>
      </c>
      <c r="K388" s="163">
        <f t="shared" si="11"/>
        <v>251.02</v>
      </c>
    </row>
    <row r="389" spans="1:11" ht="14.5">
      <c r="A389" s="468">
        <v>12060500</v>
      </c>
      <c r="B389" s="468">
        <v>4060</v>
      </c>
      <c r="C389" s="468">
        <v>100</v>
      </c>
      <c r="D389" s="468" t="s">
        <v>134</v>
      </c>
      <c r="E389" s="468">
        <v>465.78</v>
      </c>
      <c r="F389" s="468" t="s">
        <v>136</v>
      </c>
      <c r="G389" s="468"/>
      <c r="H389" s="468"/>
      <c r="I389" s="468"/>
      <c r="J389" s="445" t="str">
        <f t="shared" ref="J389:J452" si="12">A389&amp;C389&amp;D389&amp;F389</f>
        <v>12060500100WORKERS COMPENSATION PREMIUM645500LP</v>
      </c>
      <c r="K389" s="163">
        <f t="shared" ref="K389:K452" si="13">E389</f>
        <v>465.78</v>
      </c>
    </row>
    <row r="390" spans="1:11" ht="14.5">
      <c r="A390" s="468">
        <v>12063011</v>
      </c>
      <c r="B390" s="468">
        <v>4060</v>
      </c>
      <c r="C390" s="468">
        <v>100</v>
      </c>
      <c r="D390" s="468" t="s">
        <v>134</v>
      </c>
      <c r="E390" s="468">
        <v>2687.23</v>
      </c>
      <c r="F390" s="468">
        <v>64550000</v>
      </c>
      <c r="G390" s="468"/>
      <c r="H390" s="468"/>
      <c r="I390" s="468"/>
      <c r="J390" s="445" t="str">
        <f t="shared" si="12"/>
        <v>12063011100WORKERS COMPENSATION PREMIUM64550000</v>
      </c>
      <c r="K390" s="163">
        <f t="shared" si="13"/>
        <v>2687.23</v>
      </c>
    </row>
    <row r="391" spans="1:11" ht="14.5">
      <c r="A391" s="468">
        <v>12040400</v>
      </c>
      <c r="B391" s="468">
        <v>4060</v>
      </c>
      <c r="C391" s="468">
        <v>100</v>
      </c>
      <c r="D391" s="468" t="s">
        <v>134</v>
      </c>
      <c r="E391" s="468">
        <v>594.73</v>
      </c>
      <c r="F391" s="468" t="s">
        <v>135</v>
      </c>
      <c r="G391" s="468"/>
      <c r="H391" s="468"/>
      <c r="I391" s="468"/>
      <c r="J391" s="445" t="str">
        <f t="shared" si="12"/>
        <v>12040400100WORKERS COMPENSATION PREMIUM645500CS</v>
      </c>
      <c r="K391" s="163">
        <f t="shared" si="13"/>
        <v>594.73</v>
      </c>
    </row>
    <row r="392" spans="1:11" ht="14.5">
      <c r="A392" s="468">
        <v>12033123</v>
      </c>
      <c r="B392" s="468">
        <v>4060</v>
      </c>
      <c r="C392" s="468">
        <v>100</v>
      </c>
      <c r="D392" s="468" t="s">
        <v>134</v>
      </c>
      <c r="E392" s="468">
        <v>323.76</v>
      </c>
      <c r="F392" s="468">
        <v>64550000</v>
      </c>
      <c r="G392" s="468"/>
      <c r="H392" s="468"/>
      <c r="I392" s="468"/>
      <c r="J392" s="445" t="str">
        <f t="shared" si="12"/>
        <v>12033123100WORKERS COMPENSATION PREMIUM64550000</v>
      </c>
      <c r="K392" s="163">
        <f t="shared" si="13"/>
        <v>323.76</v>
      </c>
    </row>
    <row r="393" spans="1:11" ht="14.5">
      <c r="A393" s="468">
        <v>12040500</v>
      </c>
      <c r="B393" s="468">
        <v>4060</v>
      </c>
      <c r="C393" s="468">
        <v>100</v>
      </c>
      <c r="D393" s="468" t="s">
        <v>134</v>
      </c>
      <c r="E393" s="468">
        <v>1371.78</v>
      </c>
      <c r="F393" s="468" t="s">
        <v>136</v>
      </c>
      <c r="G393" s="468"/>
      <c r="H393" s="468"/>
      <c r="I393" s="468"/>
      <c r="J393" s="445" t="str">
        <f t="shared" si="12"/>
        <v>12040500100WORKERS COMPENSATION PREMIUM645500LP</v>
      </c>
      <c r="K393" s="163">
        <f t="shared" si="13"/>
        <v>1371.78</v>
      </c>
    </row>
    <row r="394" spans="1:11" ht="14.5">
      <c r="A394" s="468">
        <v>12043011</v>
      </c>
      <c r="B394" s="468">
        <v>4060</v>
      </c>
      <c r="C394" s="468">
        <v>100</v>
      </c>
      <c r="D394" s="468" t="s">
        <v>134</v>
      </c>
      <c r="E394" s="468">
        <v>5965.01</v>
      </c>
      <c r="F394" s="468">
        <v>64550000</v>
      </c>
      <c r="G394" s="468"/>
      <c r="H394" s="468"/>
      <c r="I394" s="468"/>
      <c r="J394" s="445" t="str">
        <f t="shared" si="12"/>
        <v>12043011100WORKERS COMPENSATION PREMIUM64550000</v>
      </c>
      <c r="K394" s="163">
        <f t="shared" si="13"/>
        <v>5965.01</v>
      </c>
    </row>
    <row r="395" spans="1:11" ht="14.5">
      <c r="A395" s="468">
        <v>12048099</v>
      </c>
      <c r="B395" s="468">
        <v>4060</v>
      </c>
      <c r="C395" s="468">
        <v>100</v>
      </c>
      <c r="D395" s="468" t="s">
        <v>134</v>
      </c>
      <c r="E395" s="468">
        <v>714.21</v>
      </c>
      <c r="F395" s="468" t="s">
        <v>137</v>
      </c>
      <c r="G395" s="468"/>
      <c r="H395" s="468"/>
      <c r="I395" s="468"/>
      <c r="J395" s="445" t="str">
        <f t="shared" si="12"/>
        <v>12048099100WORKERS COMPENSATION PREMIUM645500SM</v>
      </c>
      <c r="K395" s="163">
        <f t="shared" si="13"/>
        <v>714.21</v>
      </c>
    </row>
    <row r="396" spans="1:11" ht="14.5">
      <c r="A396" s="468">
        <v>12043123</v>
      </c>
      <c r="B396" s="468">
        <v>4060</v>
      </c>
      <c r="C396" s="468">
        <v>100</v>
      </c>
      <c r="D396" s="468" t="s">
        <v>134</v>
      </c>
      <c r="E396" s="468">
        <v>1180.56</v>
      </c>
      <c r="F396" s="468">
        <v>64550000</v>
      </c>
      <c r="G396" s="468"/>
      <c r="H396" s="468"/>
      <c r="I396" s="468"/>
      <c r="J396" s="445" t="str">
        <f t="shared" si="12"/>
        <v>12043123100WORKERS COMPENSATION PREMIUM64550000</v>
      </c>
      <c r="K396" s="163">
        <f t="shared" si="13"/>
        <v>1180.56</v>
      </c>
    </row>
    <row r="397" spans="1:11" ht="14.5">
      <c r="A397" s="468">
        <v>12043021</v>
      </c>
      <c r="B397" s="468">
        <v>4060</v>
      </c>
      <c r="C397" s="468">
        <v>100</v>
      </c>
      <c r="D397" s="468" t="s">
        <v>134</v>
      </c>
      <c r="E397" s="468">
        <v>148.68</v>
      </c>
      <c r="F397" s="468">
        <v>64550000</v>
      </c>
      <c r="G397" s="468"/>
      <c r="H397" s="468"/>
      <c r="I397" s="468"/>
      <c r="J397" s="445" t="str">
        <f t="shared" si="12"/>
        <v>12043021100WORKERS COMPENSATION PREMIUM64550000</v>
      </c>
      <c r="K397" s="163">
        <f t="shared" si="13"/>
        <v>148.68</v>
      </c>
    </row>
    <row r="398" spans="1:11" ht="14.5">
      <c r="A398" s="468">
        <v>12023011</v>
      </c>
      <c r="B398" s="468">
        <v>4060</v>
      </c>
      <c r="C398" s="468">
        <v>100</v>
      </c>
      <c r="D398" s="468" t="s">
        <v>134</v>
      </c>
      <c r="E398" s="468">
        <v>13376.38</v>
      </c>
      <c r="F398" s="468">
        <v>64550000</v>
      </c>
      <c r="G398" s="468"/>
      <c r="H398" s="468"/>
      <c r="I398" s="468"/>
      <c r="J398" s="445" t="str">
        <f t="shared" si="12"/>
        <v>12023011100WORKERS COMPENSATION PREMIUM64550000</v>
      </c>
      <c r="K398" s="163">
        <f t="shared" si="13"/>
        <v>13376.38</v>
      </c>
    </row>
    <row r="399" spans="1:11" ht="14.5">
      <c r="A399" s="468">
        <v>12030400</v>
      </c>
      <c r="B399" s="468">
        <v>4060</v>
      </c>
      <c r="C399" s="468">
        <v>100</v>
      </c>
      <c r="D399" s="468" t="s">
        <v>134</v>
      </c>
      <c r="E399" s="468">
        <v>1236.54</v>
      </c>
      <c r="F399" s="468" t="s">
        <v>135</v>
      </c>
      <c r="G399" s="468"/>
      <c r="H399" s="468"/>
      <c r="I399" s="468"/>
      <c r="J399" s="445" t="str">
        <f t="shared" si="12"/>
        <v>12030400100WORKERS COMPENSATION PREMIUM645500CS</v>
      </c>
      <c r="K399" s="163">
        <f t="shared" si="13"/>
        <v>1236.54</v>
      </c>
    </row>
    <row r="400" spans="1:11" ht="14.5">
      <c r="A400" s="468">
        <v>12023021</v>
      </c>
      <c r="B400" s="468">
        <v>4060</v>
      </c>
      <c r="C400" s="468">
        <v>100</v>
      </c>
      <c r="D400" s="468" t="s">
        <v>134</v>
      </c>
      <c r="E400" s="468">
        <v>12079.22</v>
      </c>
      <c r="F400" s="468">
        <v>64550000</v>
      </c>
      <c r="G400" s="468"/>
      <c r="H400" s="468"/>
      <c r="I400" s="468"/>
      <c r="J400" s="445" t="str">
        <f t="shared" si="12"/>
        <v>12023021100WORKERS COMPENSATION PREMIUM64550000</v>
      </c>
      <c r="K400" s="163">
        <f t="shared" si="13"/>
        <v>12079.22</v>
      </c>
    </row>
    <row r="401" spans="1:11" ht="14.5">
      <c r="A401" s="468">
        <v>12030500</v>
      </c>
      <c r="B401" s="468">
        <v>4060</v>
      </c>
      <c r="C401" s="468">
        <v>100</v>
      </c>
      <c r="D401" s="468" t="s">
        <v>134</v>
      </c>
      <c r="E401" s="468">
        <v>1058.78</v>
      </c>
      <c r="F401" s="468" t="s">
        <v>136</v>
      </c>
      <c r="G401" s="468"/>
      <c r="H401" s="468"/>
      <c r="I401" s="468"/>
      <c r="J401" s="445" t="str">
        <f t="shared" si="12"/>
        <v>12030500100WORKERS COMPENSATION PREMIUM645500LP</v>
      </c>
      <c r="K401" s="163">
        <f t="shared" si="13"/>
        <v>1058.78</v>
      </c>
    </row>
    <row r="402" spans="1:11" ht="14.5">
      <c r="A402" s="468">
        <v>12033011</v>
      </c>
      <c r="B402" s="468">
        <v>4060</v>
      </c>
      <c r="C402" s="468">
        <v>100</v>
      </c>
      <c r="D402" s="468" t="s">
        <v>134</v>
      </c>
      <c r="E402" s="468">
        <v>13696.77</v>
      </c>
      <c r="F402" s="468">
        <v>64550000</v>
      </c>
      <c r="G402" s="468"/>
      <c r="H402" s="468"/>
      <c r="I402" s="468"/>
      <c r="J402" s="445" t="str">
        <f t="shared" si="12"/>
        <v>12033011100WORKERS COMPENSATION PREMIUM64550000</v>
      </c>
      <c r="K402" s="163">
        <f t="shared" si="13"/>
        <v>13696.77</v>
      </c>
    </row>
    <row r="403" spans="1:11" ht="14.5">
      <c r="A403" s="468">
        <v>12013012</v>
      </c>
      <c r="B403" s="468">
        <v>4060</v>
      </c>
      <c r="C403" s="468">
        <v>100</v>
      </c>
      <c r="D403" s="468" t="s">
        <v>134</v>
      </c>
      <c r="E403" s="468">
        <v>2014.67</v>
      </c>
      <c r="F403" s="468">
        <v>64550000</v>
      </c>
      <c r="G403" s="468"/>
      <c r="H403" s="468"/>
      <c r="I403" s="468"/>
      <c r="J403" s="445" t="str">
        <f t="shared" si="12"/>
        <v>12013012100WORKERS COMPENSATION PREMIUM64550000</v>
      </c>
      <c r="K403" s="163">
        <f t="shared" si="13"/>
        <v>2014.67</v>
      </c>
    </row>
    <row r="404" spans="1:11" ht="14.5">
      <c r="A404" s="468">
        <v>12010500</v>
      </c>
      <c r="B404" s="468">
        <v>4060</v>
      </c>
      <c r="C404" s="468">
        <v>100</v>
      </c>
      <c r="D404" s="468" t="s">
        <v>134</v>
      </c>
      <c r="E404" s="468">
        <v>3151.58</v>
      </c>
      <c r="F404" s="468" t="s">
        <v>136</v>
      </c>
      <c r="G404" s="468"/>
      <c r="H404" s="468"/>
      <c r="I404" s="468"/>
      <c r="J404" s="445" t="str">
        <f t="shared" si="12"/>
        <v>12010500100WORKERS COMPENSATION PREMIUM645500LP</v>
      </c>
      <c r="K404" s="163">
        <f t="shared" si="13"/>
        <v>3151.58</v>
      </c>
    </row>
    <row r="405" spans="1:11" ht="14.5">
      <c r="A405" s="468">
        <v>12013300</v>
      </c>
      <c r="B405" s="468">
        <v>4060</v>
      </c>
      <c r="C405" s="468">
        <v>100</v>
      </c>
      <c r="D405" s="468" t="s">
        <v>134</v>
      </c>
      <c r="E405" s="468">
        <v>1236.54</v>
      </c>
      <c r="F405" s="468" t="s">
        <v>139</v>
      </c>
      <c r="G405" s="468"/>
      <c r="H405" s="468"/>
      <c r="I405" s="468"/>
      <c r="J405" s="445" t="str">
        <f t="shared" si="12"/>
        <v>12013300100WORKERS COMPENSATION PREMIUM645500IT</v>
      </c>
      <c r="K405" s="163">
        <f t="shared" si="13"/>
        <v>1236.54</v>
      </c>
    </row>
    <row r="406" spans="1:11" ht="14.5">
      <c r="A406" s="468">
        <v>12013260</v>
      </c>
      <c r="B406" s="468">
        <v>4060</v>
      </c>
      <c r="C406" s="468">
        <v>100</v>
      </c>
      <c r="D406" s="468" t="s">
        <v>134</v>
      </c>
      <c r="E406" s="468">
        <v>2266.16</v>
      </c>
      <c r="F406" s="468">
        <v>64550000</v>
      </c>
      <c r="G406" s="468"/>
      <c r="H406" s="468"/>
      <c r="I406" s="468"/>
      <c r="J406" s="445" t="str">
        <f t="shared" si="12"/>
        <v>12013260100WORKERS COMPENSATION PREMIUM64550000</v>
      </c>
      <c r="K406" s="163">
        <f t="shared" si="13"/>
        <v>2266.16</v>
      </c>
    </row>
    <row r="407" spans="1:11" ht="14.5">
      <c r="A407" s="468">
        <v>12013250</v>
      </c>
      <c r="B407" s="468">
        <v>4060</v>
      </c>
      <c r="C407" s="468">
        <v>100</v>
      </c>
      <c r="D407" s="468" t="s">
        <v>134</v>
      </c>
      <c r="E407" s="468">
        <v>2122.9699999999998</v>
      </c>
      <c r="F407" s="468">
        <v>64550000</v>
      </c>
      <c r="G407" s="468"/>
      <c r="H407" s="468"/>
      <c r="I407" s="468"/>
      <c r="J407" s="445" t="str">
        <f t="shared" si="12"/>
        <v>12013250100WORKERS COMPENSATION PREMIUM64550000</v>
      </c>
      <c r="K407" s="163">
        <f t="shared" si="13"/>
        <v>2122.9699999999998</v>
      </c>
    </row>
    <row r="408" spans="1:11" ht="14.5">
      <c r="A408" s="468">
        <v>12010700</v>
      </c>
      <c r="B408" s="468">
        <v>4060</v>
      </c>
      <c r="C408" s="468">
        <v>100</v>
      </c>
      <c r="D408" s="468" t="s">
        <v>134</v>
      </c>
      <c r="E408" s="468">
        <v>887.22</v>
      </c>
      <c r="F408" s="468" t="s">
        <v>138</v>
      </c>
      <c r="G408" s="468"/>
      <c r="H408" s="468"/>
      <c r="I408" s="468"/>
      <c r="J408" s="445" t="str">
        <f t="shared" si="12"/>
        <v>12010700100WORKERS COMPENSATION PREMIUM645500QL</v>
      </c>
      <c r="K408" s="163">
        <f t="shared" si="13"/>
        <v>887.22</v>
      </c>
    </row>
    <row r="409" spans="1:11" ht="14.5">
      <c r="A409" s="468">
        <v>12019199</v>
      </c>
      <c r="B409" s="468">
        <v>4060</v>
      </c>
      <c r="C409" s="468">
        <v>100</v>
      </c>
      <c r="D409" s="468" t="s">
        <v>134</v>
      </c>
      <c r="E409" s="468">
        <v>3514.78</v>
      </c>
      <c r="F409" s="468" t="s">
        <v>140</v>
      </c>
      <c r="G409" s="468"/>
      <c r="H409" s="468"/>
      <c r="I409" s="468"/>
      <c r="J409" s="445" t="str">
        <f t="shared" si="12"/>
        <v>12019199100WORKERS COMPENSATION PREMIUM645500GA</v>
      </c>
      <c r="K409" s="163">
        <f t="shared" si="13"/>
        <v>3514.78</v>
      </c>
    </row>
    <row r="410" spans="1:11" ht="14.5">
      <c r="A410" s="468">
        <v>12018599</v>
      </c>
      <c r="B410" s="468">
        <v>4060</v>
      </c>
      <c r="C410" s="468">
        <v>100</v>
      </c>
      <c r="D410" s="468" t="s">
        <v>134</v>
      </c>
      <c r="E410" s="468">
        <v>665.37</v>
      </c>
      <c r="F410" s="468" t="s">
        <v>140</v>
      </c>
      <c r="G410" s="468"/>
      <c r="H410" s="468"/>
      <c r="I410" s="468"/>
      <c r="J410" s="445" t="str">
        <f t="shared" si="12"/>
        <v>12018599100WORKERS COMPENSATION PREMIUM645500GA</v>
      </c>
      <c r="K410" s="163">
        <f t="shared" si="13"/>
        <v>665.37</v>
      </c>
    </row>
    <row r="411" spans="1:11" ht="14.5">
      <c r="A411" s="468">
        <v>12018099</v>
      </c>
      <c r="B411" s="468">
        <v>4060</v>
      </c>
      <c r="C411" s="468">
        <v>100</v>
      </c>
      <c r="D411" s="468" t="s">
        <v>134</v>
      </c>
      <c r="E411" s="468">
        <v>2575.31</v>
      </c>
      <c r="F411" s="468" t="s">
        <v>137</v>
      </c>
      <c r="G411" s="468"/>
      <c r="H411" s="468"/>
      <c r="I411" s="468"/>
      <c r="J411" s="445" t="str">
        <f t="shared" si="12"/>
        <v>12018099100WORKERS COMPENSATION PREMIUM645500SM</v>
      </c>
      <c r="K411" s="163">
        <f t="shared" si="13"/>
        <v>2575.31</v>
      </c>
    </row>
    <row r="412" spans="1:11" ht="14.5">
      <c r="A412" s="468">
        <v>12020400</v>
      </c>
      <c r="B412" s="468">
        <v>4060</v>
      </c>
      <c r="C412" s="468">
        <v>100</v>
      </c>
      <c r="D412" s="468" t="s">
        <v>134</v>
      </c>
      <c r="E412" s="468">
        <v>1907.17</v>
      </c>
      <c r="F412" s="468" t="s">
        <v>135</v>
      </c>
      <c r="G412" s="468"/>
      <c r="H412" s="468"/>
      <c r="I412" s="468"/>
      <c r="J412" s="445" t="str">
        <f t="shared" si="12"/>
        <v>12020400100WORKERS COMPENSATION PREMIUM645500CS</v>
      </c>
      <c r="K412" s="163">
        <f t="shared" si="13"/>
        <v>1907.17</v>
      </c>
    </row>
    <row r="413" spans="1:11" ht="14.5">
      <c r="A413" s="468">
        <v>12020500</v>
      </c>
      <c r="B413" s="468">
        <v>4060</v>
      </c>
      <c r="C413" s="468">
        <v>100</v>
      </c>
      <c r="D413" s="468" t="s">
        <v>134</v>
      </c>
      <c r="E413" s="468">
        <v>2542.92</v>
      </c>
      <c r="F413" s="468" t="s">
        <v>136</v>
      </c>
      <c r="G413" s="468"/>
      <c r="H413" s="468"/>
      <c r="I413" s="468"/>
      <c r="J413" s="445" t="str">
        <f t="shared" si="12"/>
        <v>12020500100WORKERS COMPENSATION PREMIUM645500LP</v>
      </c>
      <c r="K413" s="163">
        <f t="shared" si="13"/>
        <v>2542.92</v>
      </c>
    </row>
    <row r="414" spans="1:11" ht="14.5">
      <c r="A414" s="468">
        <v>12013012</v>
      </c>
      <c r="B414" s="468">
        <v>4080</v>
      </c>
      <c r="C414" s="468">
        <v>100</v>
      </c>
      <c r="D414" s="468" t="s">
        <v>141</v>
      </c>
      <c r="E414" s="468">
        <v>23283.74</v>
      </c>
      <c r="F414" s="468">
        <v>64570000</v>
      </c>
      <c r="G414" s="468"/>
      <c r="H414" s="468"/>
      <c r="I414" s="468"/>
      <c r="J414" s="445" t="str">
        <f t="shared" si="12"/>
        <v>12013012100SUPERANNUATION - COMPANY CONTR64570000</v>
      </c>
      <c r="K414" s="163">
        <f t="shared" si="13"/>
        <v>23283.74</v>
      </c>
    </row>
    <row r="415" spans="1:11" ht="14.5">
      <c r="A415" s="468">
        <v>12010500</v>
      </c>
      <c r="B415" s="468">
        <v>4080</v>
      </c>
      <c r="C415" s="468">
        <v>100</v>
      </c>
      <c r="D415" s="468" t="s">
        <v>141</v>
      </c>
      <c r="E415" s="468">
        <v>68187.600000000006</v>
      </c>
      <c r="F415" s="468" t="s">
        <v>143</v>
      </c>
      <c r="G415" s="468"/>
      <c r="H415" s="468"/>
      <c r="I415" s="468"/>
      <c r="J415" s="445" t="str">
        <f t="shared" si="12"/>
        <v>12010500100SUPERANNUATION - COMPANY CONTR645700LP</v>
      </c>
      <c r="K415" s="163">
        <f t="shared" si="13"/>
        <v>68187.600000000006</v>
      </c>
    </row>
    <row r="416" spans="1:11" ht="14.5">
      <c r="A416" s="468">
        <v>12018099</v>
      </c>
      <c r="B416" s="468">
        <v>4080</v>
      </c>
      <c r="C416" s="468">
        <v>100</v>
      </c>
      <c r="D416" s="468" t="s">
        <v>141</v>
      </c>
      <c r="E416" s="468">
        <v>21147.51</v>
      </c>
      <c r="F416" s="468" t="s">
        <v>142</v>
      </c>
      <c r="G416" s="468"/>
      <c r="H416" s="468"/>
      <c r="I416" s="468"/>
      <c r="J416" s="445" t="str">
        <f t="shared" si="12"/>
        <v>12018099100SUPERANNUATION - COMPANY CONTR645700SM</v>
      </c>
      <c r="K416" s="163">
        <f t="shared" si="13"/>
        <v>21147.51</v>
      </c>
    </row>
    <row r="417" spans="1:11" ht="14.5">
      <c r="A417" s="468">
        <v>12018199</v>
      </c>
      <c r="B417" s="468">
        <v>4080</v>
      </c>
      <c r="C417" s="468">
        <v>100</v>
      </c>
      <c r="D417" s="468" t="s">
        <v>141</v>
      </c>
      <c r="E417" s="468">
        <v>10456.6</v>
      </c>
      <c r="F417" s="468" t="s">
        <v>142</v>
      </c>
      <c r="G417" s="468"/>
      <c r="H417" s="468"/>
      <c r="I417" s="468"/>
      <c r="J417" s="445" t="str">
        <f t="shared" si="12"/>
        <v>12018199100SUPERANNUATION - COMPANY CONTR645700SM</v>
      </c>
      <c r="K417" s="163">
        <f t="shared" si="13"/>
        <v>10456.6</v>
      </c>
    </row>
    <row r="418" spans="1:11" ht="14.5">
      <c r="A418" s="468">
        <v>12013300</v>
      </c>
      <c r="B418" s="468">
        <v>4080</v>
      </c>
      <c r="C418" s="468">
        <v>100</v>
      </c>
      <c r="D418" s="468" t="s">
        <v>141</v>
      </c>
      <c r="E418" s="468">
        <v>23365.439999999999</v>
      </c>
      <c r="F418" s="468" t="s">
        <v>147</v>
      </c>
      <c r="G418" s="468"/>
      <c r="H418" s="468"/>
      <c r="I418" s="468"/>
      <c r="J418" s="445" t="str">
        <f t="shared" si="12"/>
        <v>12013300100SUPERANNUATION - COMPANY CONTR645700IT</v>
      </c>
      <c r="K418" s="163">
        <f t="shared" si="13"/>
        <v>23365.439999999999</v>
      </c>
    </row>
    <row r="419" spans="1:11" ht="14.5">
      <c r="A419" s="468">
        <v>12013250</v>
      </c>
      <c r="B419" s="468">
        <v>4080</v>
      </c>
      <c r="C419" s="468">
        <v>100</v>
      </c>
      <c r="D419" s="468" t="s">
        <v>141</v>
      </c>
      <c r="E419" s="468">
        <v>54057.39</v>
      </c>
      <c r="F419" s="468">
        <v>64570000</v>
      </c>
      <c r="G419" s="468"/>
      <c r="H419" s="468"/>
      <c r="I419" s="468"/>
      <c r="J419" s="445" t="str">
        <f t="shared" si="12"/>
        <v>12013250100SUPERANNUATION - COMPANY CONTR64570000</v>
      </c>
      <c r="K419" s="163">
        <f t="shared" si="13"/>
        <v>54057.39</v>
      </c>
    </row>
    <row r="420" spans="1:11" ht="14.5">
      <c r="A420" s="468">
        <v>12010700</v>
      </c>
      <c r="B420" s="468">
        <v>4080</v>
      </c>
      <c r="C420" s="468">
        <v>100</v>
      </c>
      <c r="D420" s="468" t="s">
        <v>141</v>
      </c>
      <c r="E420" s="468">
        <v>15373.4</v>
      </c>
      <c r="F420" s="468" t="s">
        <v>146</v>
      </c>
      <c r="G420" s="468"/>
      <c r="H420" s="468"/>
      <c r="I420" s="468"/>
      <c r="J420" s="445" t="str">
        <f t="shared" si="12"/>
        <v>12010700100SUPERANNUATION - COMPANY CONTR645700QL</v>
      </c>
      <c r="K420" s="163">
        <f t="shared" si="13"/>
        <v>15373.4</v>
      </c>
    </row>
    <row r="421" spans="1:11" ht="14.5">
      <c r="A421" s="468">
        <v>12020500</v>
      </c>
      <c r="B421" s="468">
        <v>4080</v>
      </c>
      <c r="C421" s="468">
        <v>100</v>
      </c>
      <c r="D421" s="468" t="s">
        <v>141</v>
      </c>
      <c r="E421" s="468">
        <v>7037.7</v>
      </c>
      <c r="F421" s="468" t="s">
        <v>143</v>
      </c>
      <c r="G421" s="468"/>
      <c r="H421" s="468"/>
      <c r="I421" s="468"/>
      <c r="J421" s="445" t="str">
        <f t="shared" si="12"/>
        <v>12020500100SUPERANNUATION - COMPANY CONTR645700LP</v>
      </c>
      <c r="K421" s="163">
        <f t="shared" si="13"/>
        <v>7037.7</v>
      </c>
    </row>
    <row r="422" spans="1:11" ht="14.5">
      <c r="A422" s="468">
        <v>12019199</v>
      </c>
      <c r="B422" s="468">
        <v>4080</v>
      </c>
      <c r="C422" s="468">
        <v>100</v>
      </c>
      <c r="D422" s="468" t="s">
        <v>141</v>
      </c>
      <c r="E422" s="468">
        <v>90678.96</v>
      </c>
      <c r="F422" s="468" t="s">
        <v>148</v>
      </c>
      <c r="G422" s="468"/>
      <c r="H422" s="468"/>
      <c r="I422" s="468"/>
      <c r="J422" s="445" t="str">
        <f t="shared" si="12"/>
        <v>12019199100SUPERANNUATION - COMPANY CONTR645700GA</v>
      </c>
      <c r="K422" s="163">
        <f t="shared" si="13"/>
        <v>90678.96</v>
      </c>
    </row>
    <row r="423" spans="1:11" ht="14.5">
      <c r="A423" s="468">
        <v>12018599</v>
      </c>
      <c r="B423" s="468">
        <v>4080</v>
      </c>
      <c r="C423" s="468">
        <v>100</v>
      </c>
      <c r="D423" s="468" t="s">
        <v>141</v>
      </c>
      <c r="E423" s="468">
        <v>18261.990000000002</v>
      </c>
      <c r="F423" s="468" t="s">
        <v>148</v>
      </c>
      <c r="G423" s="468"/>
      <c r="H423" s="468"/>
      <c r="I423" s="468"/>
      <c r="J423" s="445" t="str">
        <f t="shared" si="12"/>
        <v>12018599100SUPERANNUATION - COMPANY CONTR645700GA</v>
      </c>
      <c r="K423" s="163">
        <f t="shared" si="13"/>
        <v>18261.990000000002</v>
      </c>
    </row>
    <row r="424" spans="1:11" ht="14.5">
      <c r="A424" s="468">
        <v>12019099</v>
      </c>
      <c r="B424" s="468">
        <v>4080</v>
      </c>
      <c r="C424" s="468">
        <v>100</v>
      </c>
      <c r="D424" s="468" t="s">
        <v>141</v>
      </c>
      <c r="E424" s="468">
        <v>21462.21</v>
      </c>
      <c r="F424" s="468" t="s">
        <v>148</v>
      </c>
      <c r="G424" s="468"/>
      <c r="H424" s="468"/>
      <c r="I424" s="468"/>
      <c r="J424" s="445" t="str">
        <f t="shared" si="12"/>
        <v>12019099100SUPERANNUATION - COMPANY CONTR645700GA</v>
      </c>
      <c r="K424" s="163">
        <f t="shared" si="13"/>
        <v>21462.21</v>
      </c>
    </row>
    <row r="425" spans="1:11" ht="14.5">
      <c r="A425" s="468">
        <v>12020800</v>
      </c>
      <c r="B425" s="468">
        <v>4080</v>
      </c>
      <c r="C425" s="468">
        <v>100</v>
      </c>
      <c r="D425" s="468" t="s">
        <v>141</v>
      </c>
      <c r="E425" s="468">
        <v>16010.91</v>
      </c>
      <c r="F425" s="468">
        <v>64570000</v>
      </c>
      <c r="G425" s="468"/>
      <c r="H425" s="468"/>
      <c r="I425" s="468"/>
      <c r="J425" s="445" t="str">
        <f t="shared" si="12"/>
        <v>12020800100SUPERANNUATION - COMPANY CONTR64570000</v>
      </c>
      <c r="K425" s="163">
        <f t="shared" si="13"/>
        <v>16010.91</v>
      </c>
    </row>
    <row r="426" spans="1:11" ht="14.5">
      <c r="A426" s="468">
        <v>12020611</v>
      </c>
      <c r="B426" s="468">
        <v>4080</v>
      </c>
      <c r="C426" s="468">
        <v>100</v>
      </c>
      <c r="D426" s="468" t="s">
        <v>141</v>
      </c>
      <c r="E426" s="468">
        <v>55272.29</v>
      </c>
      <c r="F426" s="468">
        <v>64570000</v>
      </c>
      <c r="G426" s="468"/>
      <c r="H426" s="468"/>
      <c r="I426" s="468"/>
      <c r="J426" s="445" t="str">
        <f t="shared" si="12"/>
        <v>12020611100SUPERANNUATION - COMPANY CONTR64570000</v>
      </c>
      <c r="K426" s="163">
        <f t="shared" si="13"/>
        <v>55272.29</v>
      </c>
    </row>
    <row r="427" spans="1:11" ht="14.5">
      <c r="A427" s="468">
        <v>12020400</v>
      </c>
      <c r="B427" s="468">
        <v>4080</v>
      </c>
      <c r="C427" s="468">
        <v>100</v>
      </c>
      <c r="D427" s="468" t="s">
        <v>141</v>
      </c>
      <c r="E427" s="468">
        <v>12939.68</v>
      </c>
      <c r="F427" s="468" t="s">
        <v>144</v>
      </c>
      <c r="G427" s="468"/>
      <c r="H427" s="468"/>
      <c r="I427" s="468"/>
      <c r="J427" s="445" t="str">
        <f t="shared" si="12"/>
        <v>12020400100SUPERANNUATION - COMPANY CONTR645700CS</v>
      </c>
      <c r="K427" s="163">
        <f t="shared" si="13"/>
        <v>12939.68</v>
      </c>
    </row>
    <row r="428" spans="1:11" ht="14.5">
      <c r="A428" s="468">
        <v>12021021</v>
      </c>
      <c r="B428" s="468">
        <v>4080</v>
      </c>
      <c r="C428" s="468">
        <v>100</v>
      </c>
      <c r="D428" s="468" t="s">
        <v>141</v>
      </c>
      <c r="E428" s="468">
        <v>72393.850000000006</v>
      </c>
      <c r="F428" s="468">
        <v>64570000</v>
      </c>
      <c r="G428" s="468"/>
      <c r="H428" s="468"/>
      <c r="I428" s="468"/>
      <c r="J428" s="445" t="str">
        <f t="shared" si="12"/>
        <v>12021021100SUPERANNUATION - COMPANY CONTR64570000</v>
      </c>
      <c r="K428" s="163">
        <f t="shared" si="13"/>
        <v>72393.850000000006</v>
      </c>
    </row>
    <row r="429" spans="1:11" ht="14.5">
      <c r="A429" s="468">
        <v>12020711</v>
      </c>
      <c r="B429" s="468">
        <v>4080</v>
      </c>
      <c r="C429" s="468">
        <v>100</v>
      </c>
      <c r="D429" s="468" t="s">
        <v>141</v>
      </c>
      <c r="E429" s="468">
        <v>17941.689999999999</v>
      </c>
      <c r="F429" s="468">
        <v>64570000</v>
      </c>
      <c r="G429" s="468"/>
      <c r="H429" s="468"/>
      <c r="I429" s="468"/>
      <c r="J429" s="445" t="str">
        <f t="shared" si="12"/>
        <v>12020711100SUPERANNUATION - COMPANY CONTR64570000</v>
      </c>
      <c r="K429" s="163">
        <f t="shared" si="13"/>
        <v>17941.689999999999</v>
      </c>
    </row>
    <row r="430" spans="1:11" ht="14.5">
      <c r="A430" s="468">
        <v>12023011</v>
      </c>
      <c r="B430" s="468">
        <v>4080</v>
      </c>
      <c r="C430" s="468">
        <v>100</v>
      </c>
      <c r="D430" s="468" t="s">
        <v>141</v>
      </c>
      <c r="E430" s="468">
        <v>47201.69</v>
      </c>
      <c r="F430" s="468">
        <v>64570000</v>
      </c>
      <c r="G430" s="468"/>
      <c r="H430" s="468"/>
      <c r="I430" s="468"/>
      <c r="J430" s="445" t="str">
        <f t="shared" si="12"/>
        <v>12023011100SUPERANNUATION - COMPANY CONTR64570000</v>
      </c>
      <c r="K430" s="163">
        <f t="shared" si="13"/>
        <v>47201.69</v>
      </c>
    </row>
    <row r="431" spans="1:11" ht="14.5">
      <c r="A431" s="468">
        <v>12022511</v>
      </c>
      <c r="B431" s="468">
        <v>4080</v>
      </c>
      <c r="C431" s="468">
        <v>100</v>
      </c>
      <c r="D431" s="468" t="s">
        <v>141</v>
      </c>
      <c r="E431" s="468">
        <v>18996.990000000002</v>
      </c>
      <c r="F431" s="468">
        <v>64570000</v>
      </c>
      <c r="G431" s="468"/>
      <c r="H431" s="468"/>
      <c r="I431" s="468"/>
      <c r="J431" s="445" t="str">
        <f t="shared" si="12"/>
        <v>12022511100SUPERANNUATION - COMPANY CONTR64570000</v>
      </c>
      <c r="K431" s="163">
        <f t="shared" si="13"/>
        <v>18996.990000000002</v>
      </c>
    </row>
    <row r="432" spans="1:11" ht="14.5">
      <c r="A432" s="468">
        <v>12028099</v>
      </c>
      <c r="B432" s="468">
        <v>4080</v>
      </c>
      <c r="C432" s="468">
        <v>100</v>
      </c>
      <c r="D432" s="468" t="s">
        <v>141</v>
      </c>
      <c r="E432" s="468">
        <v>19063.900000000001</v>
      </c>
      <c r="F432" s="468" t="s">
        <v>142</v>
      </c>
      <c r="G432" s="468"/>
      <c r="H432" s="468"/>
      <c r="I432" s="468"/>
      <c r="J432" s="445" t="str">
        <f t="shared" si="12"/>
        <v>12028099100SUPERANNUATION - COMPANY CONTR645700SM</v>
      </c>
      <c r="K432" s="163">
        <f t="shared" si="13"/>
        <v>19063.900000000001</v>
      </c>
    </row>
    <row r="433" spans="1:11" ht="14.5">
      <c r="A433" s="468">
        <v>12024021</v>
      </c>
      <c r="B433" s="468">
        <v>4080</v>
      </c>
      <c r="C433" s="468">
        <v>100</v>
      </c>
      <c r="D433" s="468" t="s">
        <v>141</v>
      </c>
      <c r="E433" s="468">
        <v>8369.7999999999993</v>
      </c>
      <c r="F433" s="468" t="s">
        <v>145</v>
      </c>
      <c r="G433" s="468"/>
      <c r="H433" s="468"/>
      <c r="I433" s="468"/>
      <c r="J433" s="445" t="str">
        <f t="shared" si="12"/>
        <v>12024021100SUPERANNUATION - COMPANY CONTR645700RD</v>
      </c>
      <c r="K433" s="163">
        <f t="shared" si="13"/>
        <v>8369.7999999999993</v>
      </c>
    </row>
    <row r="434" spans="1:11" ht="14.5">
      <c r="A434" s="468">
        <v>12023021</v>
      </c>
      <c r="B434" s="468">
        <v>4080</v>
      </c>
      <c r="C434" s="468">
        <v>100</v>
      </c>
      <c r="D434" s="468" t="s">
        <v>141</v>
      </c>
      <c r="E434" s="468">
        <v>10695.82</v>
      </c>
      <c r="F434" s="468">
        <v>64570000</v>
      </c>
      <c r="G434" s="468"/>
      <c r="H434" s="468"/>
      <c r="I434" s="468"/>
      <c r="J434" s="445" t="str">
        <f t="shared" si="12"/>
        <v>12023021100SUPERANNUATION - COMPANY CONTR64570000</v>
      </c>
      <c r="K434" s="163">
        <f t="shared" si="13"/>
        <v>10695.82</v>
      </c>
    </row>
    <row r="435" spans="1:11" ht="14.5">
      <c r="A435" s="468">
        <v>12030611</v>
      </c>
      <c r="B435" s="468">
        <v>4080</v>
      </c>
      <c r="C435" s="468">
        <v>100</v>
      </c>
      <c r="D435" s="468" t="s">
        <v>141</v>
      </c>
      <c r="E435" s="468">
        <v>74266.929999999993</v>
      </c>
      <c r="F435" s="468">
        <v>64570000</v>
      </c>
      <c r="G435" s="468"/>
      <c r="H435" s="468"/>
      <c r="I435" s="468"/>
      <c r="J435" s="445" t="str">
        <f t="shared" si="12"/>
        <v>12030611100SUPERANNUATION - COMPANY CONTR64570000</v>
      </c>
      <c r="K435" s="163">
        <f t="shared" si="13"/>
        <v>74266.929999999993</v>
      </c>
    </row>
    <row r="436" spans="1:11" ht="14.5">
      <c r="A436" s="468">
        <v>12030400</v>
      </c>
      <c r="B436" s="468">
        <v>4080</v>
      </c>
      <c r="C436" s="468">
        <v>100</v>
      </c>
      <c r="D436" s="468" t="s">
        <v>141</v>
      </c>
      <c r="E436" s="468">
        <v>21110.27</v>
      </c>
      <c r="F436" s="468" t="s">
        <v>144</v>
      </c>
      <c r="G436" s="468"/>
      <c r="H436" s="468"/>
      <c r="I436" s="468"/>
      <c r="J436" s="445" t="str">
        <f t="shared" si="12"/>
        <v>12030400100SUPERANNUATION - COMPANY CONTR645700CS</v>
      </c>
      <c r="K436" s="163">
        <f t="shared" si="13"/>
        <v>21110.27</v>
      </c>
    </row>
    <row r="437" spans="1:11" ht="14.5">
      <c r="A437" s="468">
        <v>12030500</v>
      </c>
      <c r="B437" s="468">
        <v>4080</v>
      </c>
      <c r="C437" s="468">
        <v>100</v>
      </c>
      <c r="D437" s="468" t="s">
        <v>141</v>
      </c>
      <c r="E437" s="468">
        <v>13001.18</v>
      </c>
      <c r="F437" s="468" t="s">
        <v>143</v>
      </c>
      <c r="G437" s="468"/>
      <c r="H437" s="468"/>
      <c r="I437" s="468"/>
      <c r="J437" s="445" t="str">
        <f t="shared" si="12"/>
        <v>12030500100SUPERANNUATION - COMPANY CONTR645700LP</v>
      </c>
      <c r="K437" s="163">
        <f t="shared" si="13"/>
        <v>13001.18</v>
      </c>
    </row>
    <row r="438" spans="1:11" ht="14.5">
      <c r="A438" s="468">
        <v>12030711</v>
      </c>
      <c r="B438" s="468">
        <v>4080</v>
      </c>
      <c r="C438" s="468">
        <v>100</v>
      </c>
      <c r="D438" s="468" t="s">
        <v>141</v>
      </c>
      <c r="E438" s="468">
        <v>20139.07</v>
      </c>
      <c r="F438" s="468">
        <v>64570000</v>
      </c>
      <c r="G438" s="468"/>
      <c r="H438" s="468"/>
      <c r="I438" s="468"/>
      <c r="J438" s="445" t="str">
        <f t="shared" si="12"/>
        <v>12030711100SUPERANNUATION - COMPANY CONTR64570000</v>
      </c>
      <c r="K438" s="163">
        <f t="shared" si="13"/>
        <v>20139.07</v>
      </c>
    </row>
    <row r="439" spans="1:11" ht="14.5">
      <c r="A439" s="468">
        <v>12030800</v>
      </c>
      <c r="B439" s="468">
        <v>4080</v>
      </c>
      <c r="C439" s="468">
        <v>100</v>
      </c>
      <c r="D439" s="468" t="s">
        <v>141</v>
      </c>
      <c r="E439" s="468">
        <v>13198.98</v>
      </c>
      <c r="F439" s="468">
        <v>64500000</v>
      </c>
      <c r="G439" s="468"/>
      <c r="H439" s="468"/>
      <c r="I439" s="468"/>
      <c r="J439" s="445" t="str">
        <f t="shared" si="12"/>
        <v>12030800100SUPERANNUATION - COMPANY CONTR64500000</v>
      </c>
      <c r="K439" s="163">
        <f t="shared" si="13"/>
        <v>13198.98</v>
      </c>
    </row>
    <row r="440" spans="1:11" ht="14.5">
      <c r="A440" s="468">
        <v>12033011</v>
      </c>
      <c r="B440" s="468">
        <v>4080</v>
      </c>
      <c r="C440" s="468">
        <v>100</v>
      </c>
      <c r="D440" s="468" t="s">
        <v>141</v>
      </c>
      <c r="E440" s="468">
        <v>43812.59</v>
      </c>
      <c r="F440" s="468">
        <v>64570000</v>
      </c>
      <c r="G440" s="468"/>
      <c r="H440" s="468"/>
      <c r="I440" s="468"/>
      <c r="J440" s="445" t="str">
        <f t="shared" si="12"/>
        <v>12033011100SUPERANNUATION - COMPANY CONTR64570000</v>
      </c>
      <c r="K440" s="163">
        <f t="shared" si="13"/>
        <v>43812.59</v>
      </c>
    </row>
    <row r="441" spans="1:11" ht="14.5">
      <c r="A441" s="468">
        <v>12032511</v>
      </c>
      <c r="B441" s="468">
        <v>4080</v>
      </c>
      <c r="C441" s="468">
        <v>100</v>
      </c>
      <c r="D441" s="468" t="s">
        <v>141</v>
      </c>
      <c r="E441" s="468">
        <v>8622</v>
      </c>
      <c r="F441" s="468">
        <v>64570000</v>
      </c>
      <c r="G441" s="468"/>
      <c r="H441" s="468"/>
      <c r="I441" s="468"/>
      <c r="J441" s="445" t="str">
        <f t="shared" si="12"/>
        <v>12032511100SUPERANNUATION - COMPANY CONTR64570000</v>
      </c>
      <c r="K441" s="163">
        <f t="shared" si="13"/>
        <v>8622</v>
      </c>
    </row>
    <row r="442" spans="1:11" ht="14.5">
      <c r="A442" s="468">
        <v>12040500</v>
      </c>
      <c r="B442" s="468">
        <v>4080</v>
      </c>
      <c r="C442" s="468">
        <v>100</v>
      </c>
      <c r="D442" s="468" t="s">
        <v>141</v>
      </c>
      <c r="E442" s="468">
        <v>9636.31</v>
      </c>
      <c r="F442" s="468" t="s">
        <v>143</v>
      </c>
      <c r="G442" s="468"/>
      <c r="H442" s="468"/>
      <c r="I442" s="468"/>
      <c r="J442" s="445" t="str">
        <f t="shared" si="12"/>
        <v>12040500100SUPERANNUATION - COMPANY CONTR645700LP</v>
      </c>
      <c r="K442" s="163">
        <f t="shared" si="13"/>
        <v>9636.31</v>
      </c>
    </row>
    <row r="443" spans="1:11" ht="14.5">
      <c r="A443" s="468">
        <v>12040400</v>
      </c>
      <c r="B443" s="468">
        <v>4080</v>
      </c>
      <c r="C443" s="468">
        <v>100</v>
      </c>
      <c r="D443" s="468" t="s">
        <v>141</v>
      </c>
      <c r="E443" s="468">
        <v>7778.19</v>
      </c>
      <c r="F443" s="468" t="s">
        <v>144</v>
      </c>
      <c r="G443" s="468"/>
      <c r="H443" s="468"/>
      <c r="I443" s="468"/>
      <c r="J443" s="445" t="str">
        <f t="shared" si="12"/>
        <v>12040400100SUPERANNUATION - COMPANY CONTR645700CS</v>
      </c>
      <c r="K443" s="163">
        <f t="shared" si="13"/>
        <v>7778.19</v>
      </c>
    </row>
    <row r="444" spans="1:11" ht="14.5">
      <c r="A444" s="468">
        <v>12038099</v>
      </c>
      <c r="B444" s="468">
        <v>4080</v>
      </c>
      <c r="C444" s="468">
        <v>100</v>
      </c>
      <c r="D444" s="468" t="s">
        <v>141</v>
      </c>
      <c r="E444" s="468">
        <v>7043.8</v>
      </c>
      <c r="F444" s="468" t="s">
        <v>142</v>
      </c>
      <c r="G444" s="468"/>
      <c r="H444" s="468"/>
      <c r="I444" s="468"/>
      <c r="J444" s="445" t="str">
        <f t="shared" si="12"/>
        <v>12038099100SUPERANNUATION - COMPANY CONTR645700SM</v>
      </c>
      <c r="K444" s="163">
        <f t="shared" si="13"/>
        <v>7043.8</v>
      </c>
    </row>
    <row r="445" spans="1:11" ht="14.5">
      <c r="A445" s="468">
        <v>12040800</v>
      </c>
      <c r="B445" s="468">
        <v>4080</v>
      </c>
      <c r="C445" s="468">
        <v>100</v>
      </c>
      <c r="D445" s="468" t="s">
        <v>141</v>
      </c>
      <c r="E445" s="468">
        <v>8296.36</v>
      </c>
      <c r="F445" s="468">
        <v>64500000</v>
      </c>
      <c r="G445" s="468"/>
      <c r="H445" s="468"/>
      <c r="I445" s="468"/>
      <c r="J445" s="445" t="str">
        <f t="shared" si="12"/>
        <v>12040800100SUPERANNUATION - COMPANY CONTR64500000</v>
      </c>
      <c r="K445" s="163">
        <f t="shared" si="13"/>
        <v>8296.36</v>
      </c>
    </row>
    <row r="446" spans="1:11" ht="14.5">
      <c r="A446" s="468">
        <v>12043011</v>
      </c>
      <c r="B446" s="468">
        <v>4080</v>
      </c>
      <c r="C446" s="468">
        <v>100</v>
      </c>
      <c r="D446" s="468" t="s">
        <v>141</v>
      </c>
      <c r="E446" s="468">
        <v>54108.66</v>
      </c>
      <c r="F446" s="468">
        <v>64570000</v>
      </c>
      <c r="G446" s="468"/>
      <c r="H446" s="468"/>
      <c r="I446" s="468"/>
      <c r="J446" s="445" t="str">
        <f t="shared" si="12"/>
        <v>12043011100SUPERANNUATION - COMPANY CONTR64570000</v>
      </c>
      <c r="K446" s="163">
        <f t="shared" si="13"/>
        <v>54108.66</v>
      </c>
    </row>
    <row r="447" spans="1:11" ht="14.5">
      <c r="A447" s="468">
        <v>12042511</v>
      </c>
      <c r="B447" s="468">
        <v>4080</v>
      </c>
      <c r="C447" s="468">
        <v>100</v>
      </c>
      <c r="D447" s="468" t="s">
        <v>141</v>
      </c>
      <c r="E447" s="468">
        <v>5349.08</v>
      </c>
      <c r="F447" s="468">
        <v>64570000</v>
      </c>
      <c r="G447" s="468"/>
      <c r="H447" s="468"/>
      <c r="I447" s="468"/>
      <c r="J447" s="445" t="str">
        <f t="shared" si="12"/>
        <v>12042511100SUPERANNUATION - COMPANY CONTR64570000</v>
      </c>
      <c r="K447" s="163">
        <f t="shared" si="13"/>
        <v>5349.08</v>
      </c>
    </row>
    <row r="448" spans="1:11" ht="14.5">
      <c r="A448" s="468">
        <v>12048099</v>
      </c>
      <c r="B448" s="468">
        <v>4080</v>
      </c>
      <c r="C448" s="468">
        <v>100</v>
      </c>
      <c r="D448" s="468" t="s">
        <v>141</v>
      </c>
      <c r="E448" s="468">
        <v>18801.18</v>
      </c>
      <c r="F448" s="468" t="s">
        <v>142</v>
      </c>
      <c r="G448" s="468"/>
      <c r="H448" s="468"/>
      <c r="I448" s="468"/>
      <c r="J448" s="445" t="str">
        <f t="shared" si="12"/>
        <v>12048099100SUPERANNUATION - COMPANY CONTR645700SM</v>
      </c>
      <c r="K448" s="163">
        <f t="shared" si="13"/>
        <v>18801.18</v>
      </c>
    </row>
    <row r="449" spans="1:11" ht="14.5">
      <c r="A449" s="468">
        <v>12043123</v>
      </c>
      <c r="B449" s="468">
        <v>4080</v>
      </c>
      <c r="C449" s="468">
        <v>100</v>
      </c>
      <c r="D449" s="468" t="s">
        <v>141</v>
      </c>
      <c r="E449" s="468">
        <v>7034.8</v>
      </c>
      <c r="F449" s="468">
        <v>64570000</v>
      </c>
      <c r="G449" s="468"/>
      <c r="H449" s="468"/>
      <c r="I449" s="468"/>
      <c r="J449" s="445" t="str">
        <f t="shared" si="12"/>
        <v>12043123100SUPERANNUATION - COMPANY CONTR64570000</v>
      </c>
      <c r="K449" s="163">
        <f t="shared" si="13"/>
        <v>7034.8</v>
      </c>
    </row>
    <row r="450" spans="1:11" ht="14.5">
      <c r="A450" s="468">
        <v>12060800</v>
      </c>
      <c r="B450" s="468">
        <v>4080</v>
      </c>
      <c r="C450" s="468">
        <v>100</v>
      </c>
      <c r="D450" s="468" t="s">
        <v>141</v>
      </c>
      <c r="E450" s="468">
        <v>11060.09</v>
      </c>
      <c r="F450" s="468">
        <v>64500000</v>
      </c>
      <c r="G450" s="468"/>
      <c r="H450" s="468"/>
      <c r="I450" s="468"/>
      <c r="J450" s="445" t="str">
        <f t="shared" si="12"/>
        <v>12060800100SUPERANNUATION - COMPANY CONTR64500000</v>
      </c>
      <c r="K450" s="163">
        <f t="shared" si="13"/>
        <v>11060.09</v>
      </c>
    </row>
    <row r="451" spans="1:11" ht="14.5">
      <c r="A451" s="468">
        <v>12060611</v>
      </c>
      <c r="B451" s="468">
        <v>4080</v>
      </c>
      <c r="C451" s="468">
        <v>100</v>
      </c>
      <c r="D451" s="468" t="s">
        <v>141</v>
      </c>
      <c r="E451" s="468">
        <v>35769.86</v>
      </c>
      <c r="F451" s="468">
        <v>64570000</v>
      </c>
      <c r="G451" s="468"/>
      <c r="H451" s="468"/>
      <c r="I451" s="468"/>
      <c r="J451" s="445" t="str">
        <f t="shared" si="12"/>
        <v>12060611100SUPERANNUATION - COMPANY CONTR64570000</v>
      </c>
      <c r="K451" s="163">
        <f t="shared" si="13"/>
        <v>35769.86</v>
      </c>
    </row>
    <row r="452" spans="1:11" ht="14.5">
      <c r="A452" s="468">
        <v>12060400</v>
      </c>
      <c r="B452" s="468">
        <v>4080</v>
      </c>
      <c r="C452" s="468">
        <v>100</v>
      </c>
      <c r="D452" s="468" t="s">
        <v>141</v>
      </c>
      <c r="E452" s="468">
        <v>5553.04</v>
      </c>
      <c r="F452" s="468" t="s">
        <v>144</v>
      </c>
      <c r="G452" s="468"/>
      <c r="H452" s="468"/>
      <c r="I452" s="468"/>
      <c r="J452" s="445" t="str">
        <f t="shared" si="12"/>
        <v>12060400100SUPERANNUATION - COMPANY CONTR645700CS</v>
      </c>
      <c r="K452" s="163">
        <f t="shared" si="13"/>
        <v>5553.04</v>
      </c>
    </row>
    <row r="453" spans="1:11" ht="14.5">
      <c r="A453" s="468">
        <v>12060711</v>
      </c>
      <c r="B453" s="468">
        <v>4080</v>
      </c>
      <c r="C453" s="468">
        <v>100</v>
      </c>
      <c r="D453" s="468" t="s">
        <v>141</v>
      </c>
      <c r="E453" s="468">
        <v>6094.17</v>
      </c>
      <c r="F453" s="468">
        <v>64570000</v>
      </c>
      <c r="G453" s="468"/>
      <c r="H453" s="468"/>
      <c r="I453" s="468"/>
      <c r="J453" s="445" t="str">
        <f t="shared" ref="J453:J516" si="14">A453&amp;C453&amp;D453&amp;F453</f>
        <v>12060711100SUPERANNUATION - COMPANY CONTR64570000</v>
      </c>
      <c r="K453" s="163">
        <f t="shared" ref="K453:K516" si="15">E453</f>
        <v>6094.17</v>
      </c>
    </row>
    <row r="454" spans="1:11" ht="14.5">
      <c r="A454" s="468">
        <v>12063011</v>
      </c>
      <c r="B454" s="468">
        <v>4080</v>
      </c>
      <c r="C454" s="468">
        <v>100</v>
      </c>
      <c r="D454" s="468" t="s">
        <v>141</v>
      </c>
      <c r="E454" s="468">
        <v>3338.73</v>
      </c>
      <c r="F454" s="468">
        <v>64570000</v>
      </c>
      <c r="G454" s="468"/>
      <c r="H454" s="468"/>
      <c r="I454" s="468"/>
      <c r="J454" s="445" t="str">
        <f t="shared" si="14"/>
        <v>12063011100SUPERANNUATION - COMPANY CONTR64570000</v>
      </c>
      <c r="K454" s="163">
        <f t="shared" si="15"/>
        <v>3338.73</v>
      </c>
    </row>
    <row r="455" spans="1:11" ht="14.5">
      <c r="A455" s="468">
        <v>12062511</v>
      </c>
      <c r="B455" s="468">
        <v>4080</v>
      </c>
      <c r="C455" s="468">
        <v>100</v>
      </c>
      <c r="D455" s="468" t="s">
        <v>141</v>
      </c>
      <c r="E455" s="468">
        <v>6710.22</v>
      </c>
      <c r="F455" s="468">
        <v>64570000</v>
      </c>
      <c r="G455" s="468"/>
      <c r="H455" s="468"/>
      <c r="I455" s="468"/>
      <c r="J455" s="445" t="str">
        <f t="shared" si="14"/>
        <v>12062511100SUPERANNUATION - COMPANY CONTR64570000</v>
      </c>
      <c r="K455" s="163">
        <f t="shared" si="15"/>
        <v>6710.22</v>
      </c>
    </row>
    <row r="456" spans="1:11" ht="14.5">
      <c r="A456" s="468">
        <v>12068099</v>
      </c>
      <c r="B456" s="468">
        <v>4080</v>
      </c>
      <c r="C456" s="468">
        <v>100</v>
      </c>
      <c r="D456" s="468" t="s">
        <v>141</v>
      </c>
      <c r="E456" s="468">
        <v>7579.77</v>
      </c>
      <c r="F456" s="468" t="s">
        <v>142</v>
      </c>
      <c r="G456" s="468"/>
      <c r="H456" s="468"/>
      <c r="I456" s="468"/>
      <c r="J456" s="445" t="str">
        <f t="shared" si="14"/>
        <v>12068099100SUPERANNUATION - COMPANY CONTR645700SM</v>
      </c>
      <c r="K456" s="163">
        <f t="shared" si="15"/>
        <v>7579.77</v>
      </c>
    </row>
    <row r="457" spans="1:11" ht="14.5">
      <c r="A457" s="468">
        <v>12043021</v>
      </c>
      <c r="B457" s="468">
        <v>4101</v>
      </c>
      <c r="C457" s="468"/>
      <c r="D457" s="468" t="s">
        <v>149</v>
      </c>
      <c r="E457" s="468">
        <v>49538.65</v>
      </c>
      <c r="F457" s="468">
        <v>60700100</v>
      </c>
      <c r="G457" s="468"/>
      <c r="H457" s="468"/>
      <c r="I457" s="468"/>
      <c r="J457" s="445" t="str">
        <f t="shared" si="14"/>
        <v>12043021MEDIA &amp; CHEMICAL - ACTUAL  COG60700100</v>
      </c>
      <c r="K457" s="163">
        <f t="shared" si="15"/>
        <v>49538.65</v>
      </c>
    </row>
    <row r="458" spans="1:11" ht="14.5">
      <c r="A458" s="468">
        <v>12043021</v>
      </c>
      <c r="B458" s="468">
        <v>4101</v>
      </c>
      <c r="C458" s="468">
        <v>100</v>
      </c>
      <c r="D458" s="468" t="s">
        <v>149</v>
      </c>
      <c r="E458" s="468">
        <v>1970</v>
      </c>
      <c r="F458" s="468">
        <v>60700100</v>
      </c>
      <c r="G458" s="468"/>
      <c r="H458" s="468"/>
      <c r="I458" s="468"/>
      <c r="J458" s="445" t="str">
        <f t="shared" si="14"/>
        <v>12043021100MEDIA &amp; CHEMICAL - ACTUAL  COG60700100</v>
      </c>
      <c r="K458" s="163">
        <f t="shared" si="15"/>
        <v>1970</v>
      </c>
    </row>
    <row r="459" spans="1:11" ht="14.5">
      <c r="A459" s="468">
        <v>12023021</v>
      </c>
      <c r="B459" s="468">
        <v>4101</v>
      </c>
      <c r="C459" s="468"/>
      <c r="D459" s="468" t="s">
        <v>149</v>
      </c>
      <c r="E459" s="468">
        <v>18782.560000000001</v>
      </c>
      <c r="F459" s="468">
        <v>60700100</v>
      </c>
      <c r="G459" s="468"/>
      <c r="H459" s="468"/>
      <c r="I459" s="468"/>
      <c r="J459" s="445" t="str">
        <f t="shared" si="14"/>
        <v>12023021MEDIA &amp; CHEMICAL - ACTUAL  COG60700100</v>
      </c>
      <c r="K459" s="163">
        <f t="shared" si="15"/>
        <v>18782.560000000001</v>
      </c>
    </row>
    <row r="460" spans="1:11" ht="14.5">
      <c r="A460" s="468">
        <v>12023021</v>
      </c>
      <c r="B460" s="468">
        <v>4101</v>
      </c>
      <c r="C460" s="468">
        <v>100</v>
      </c>
      <c r="D460" s="468" t="s">
        <v>149</v>
      </c>
      <c r="E460" s="468">
        <v>3606.1</v>
      </c>
      <c r="F460" s="468">
        <v>60700100</v>
      </c>
      <c r="G460" s="468"/>
      <c r="H460" s="468"/>
      <c r="I460" s="468"/>
      <c r="J460" s="445" t="str">
        <f t="shared" si="14"/>
        <v>12023021100MEDIA &amp; CHEMICAL - ACTUAL  COG60700100</v>
      </c>
      <c r="K460" s="163">
        <f t="shared" si="15"/>
        <v>3606.1</v>
      </c>
    </row>
    <row r="461" spans="1:11" ht="14.5">
      <c r="A461" s="468">
        <v>12023012</v>
      </c>
      <c r="B461" s="468">
        <v>4101</v>
      </c>
      <c r="C461" s="468"/>
      <c r="D461" s="468" t="s">
        <v>149</v>
      </c>
      <c r="E461" s="468">
        <v>13500</v>
      </c>
      <c r="F461" s="468">
        <v>60700100</v>
      </c>
      <c r="G461" s="468"/>
      <c r="H461" s="468"/>
      <c r="I461" s="468"/>
      <c r="J461" s="445" t="str">
        <f t="shared" si="14"/>
        <v>12023012MEDIA &amp; CHEMICAL - ACTUAL  COG60700100</v>
      </c>
      <c r="K461" s="163">
        <f t="shared" si="15"/>
        <v>13500</v>
      </c>
    </row>
    <row r="462" spans="1:11" ht="14.5">
      <c r="A462" s="468">
        <v>12023011</v>
      </c>
      <c r="B462" s="468">
        <v>4101</v>
      </c>
      <c r="C462" s="468"/>
      <c r="D462" s="468" t="s">
        <v>149</v>
      </c>
      <c r="E462" s="468">
        <v>4986.95</v>
      </c>
      <c r="F462" s="468">
        <v>60700100</v>
      </c>
      <c r="G462" s="468"/>
      <c r="H462" s="468"/>
      <c r="I462" s="468"/>
      <c r="J462" s="445" t="str">
        <f t="shared" si="14"/>
        <v>12023011MEDIA &amp; CHEMICAL - ACTUAL  COG60700100</v>
      </c>
      <c r="K462" s="163">
        <f t="shared" si="15"/>
        <v>4986.95</v>
      </c>
    </row>
    <row r="463" spans="1:11" ht="14.5">
      <c r="A463" s="468">
        <v>12023011</v>
      </c>
      <c r="B463" s="468">
        <v>4101</v>
      </c>
      <c r="C463" s="468">
        <v>100</v>
      </c>
      <c r="D463" s="468" t="s">
        <v>149</v>
      </c>
      <c r="E463" s="468">
        <v>39759.949999999997</v>
      </c>
      <c r="F463" s="468">
        <v>60700100</v>
      </c>
      <c r="G463" s="468"/>
      <c r="H463" s="468"/>
      <c r="I463" s="468"/>
      <c r="J463" s="445" t="str">
        <f t="shared" si="14"/>
        <v>12023011100MEDIA &amp; CHEMICAL - ACTUAL  COG60700100</v>
      </c>
      <c r="K463" s="163">
        <f t="shared" si="15"/>
        <v>39759.949999999997</v>
      </c>
    </row>
    <row r="464" spans="1:11" ht="14.5">
      <c r="A464" s="468">
        <v>12033011</v>
      </c>
      <c r="B464" s="468">
        <v>4101</v>
      </c>
      <c r="C464" s="468"/>
      <c r="D464" s="468" t="s">
        <v>149</v>
      </c>
      <c r="E464" s="468">
        <v>-14910.77</v>
      </c>
      <c r="F464" s="468">
        <v>60700100</v>
      </c>
      <c r="G464" s="468"/>
      <c r="H464" s="468"/>
      <c r="I464" s="468"/>
      <c r="J464" s="445" t="str">
        <f t="shared" si="14"/>
        <v>12033011MEDIA &amp; CHEMICAL - ACTUAL  COG60700100</v>
      </c>
      <c r="K464" s="163">
        <f t="shared" si="15"/>
        <v>-14910.77</v>
      </c>
    </row>
    <row r="465" spans="1:11" ht="14.5">
      <c r="A465" s="468">
        <v>12033011</v>
      </c>
      <c r="B465" s="468">
        <v>4101</v>
      </c>
      <c r="C465" s="468">
        <v>100</v>
      </c>
      <c r="D465" s="468" t="s">
        <v>149</v>
      </c>
      <c r="E465" s="468">
        <v>73211.509999999995</v>
      </c>
      <c r="F465" s="468">
        <v>60700100</v>
      </c>
      <c r="G465" s="468"/>
      <c r="H465" s="468"/>
      <c r="I465" s="468"/>
      <c r="J465" s="445" t="str">
        <f t="shared" si="14"/>
        <v>12033011100MEDIA &amp; CHEMICAL - ACTUAL  COG60700100</v>
      </c>
      <c r="K465" s="163">
        <f t="shared" si="15"/>
        <v>73211.509999999995</v>
      </c>
    </row>
    <row r="466" spans="1:11" ht="14.5">
      <c r="A466" s="468">
        <v>12043011</v>
      </c>
      <c r="B466" s="468">
        <v>4101</v>
      </c>
      <c r="C466" s="468">
        <v>100</v>
      </c>
      <c r="D466" s="468" t="s">
        <v>149</v>
      </c>
      <c r="E466" s="468">
        <v>35253.56</v>
      </c>
      <c r="F466" s="468">
        <v>60700100</v>
      </c>
      <c r="G466" s="468"/>
      <c r="H466" s="468"/>
      <c r="I466" s="468"/>
      <c r="J466" s="445" t="str">
        <f t="shared" si="14"/>
        <v>12043011100MEDIA &amp; CHEMICAL - ACTUAL  COG60700100</v>
      </c>
      <c r="K466" s="163">
        <f t="shared" si="15"/>
        <v>35253.56</v>
      </c>
    </row>
    <row r="467" spans="1:11" ht="14.5">
      <c r="A467" s="468">
        <v>12043011</v>
      </c>
      <c r="B467" s="468">
        <v>4101</v>
      </c>
      <c r="C467" s="468"/>
      <c r="D467" s="468" t="s">
        <v>149</v>
      </c>
      <c r="E467" s="468">
        <v>-39384.75</v>
      </c>
      <c r="F467" s="468">
        <v>60700100</v>
      </c>
      <c r="G467" s="468"/>
      <c r="H467" s="468"/>
      <c r="I467" s="468"/>
      <c r="J467" s="445" t="str">
        <f t="shared" si="14"/>
        <v>12043011MEDIA &amp; CHEMICAL - ACTUAL  COG60700100</v>
      </c>
      <c r="K467" s="163">
        <f t="shared" si="15"/>
        <v>-39384.75</v>
      </c>
    </row>
    <row r="468" spans="1:11" ht="14.5">
      <c r="A468" s="468">
        <v>12033021</v>
      </c>
      <c r="B468" s="468">
        <v>4101</v>
      </c>
      <c r="C468" s="468">
        <v>100</v>
      </c>
      <c r="D468" s="468" t="s">
        <v>149</v>
      </c>
      <c r="E468" s="468">
        <v>3846.9</v>
      </c>
      <c r="F468" s="468">
        <v>60700100</v>
      </c>
      <c r="G468" s="468"/>
      <c r="H468" s="468"/>
      <c r="I468" s="468"/>
      <c r="J468" s="445" t="str">
        <f t="shared" si="14"/>
        <v>12033021100MEDIA &amp; CHEMICAL - ACTUAL  COG60700100</v>
      </c>
      <c r="K468" s="163">
        <f t="shared" si="15"/>
        <v>3846.9</v>
      </c>
    </row>
    <row r="469" spans="1:11" ht="14.5">
      <c r="A469" s="468">
        <v>12033021</v>
      </c>
      <c r="B469" s="468">
        <v>4101</v>
      </c>
      <c r="C469" s="468"/>
      <c r="D469" s="468" t="s">
        <v>149</v>
      </c>
      <c r="E469" s="468">
        <v>-3782.17</v>
      </c>
      <c r="F469" s="468">
        <v>60700100</v>
      </c>
      <c r="G469" s="468"/>
      <c r="H469" s="468"/>
      <c r="I469" s="468"/>
      <c r="J469" s="445" t="str">
        <f t="shared" si="14"/>
        <v>12033021MEDIA &amp; CHEMICAL - ACTUAL  COG60700100</v>
      </c>
      <c r="K469" s="163">
        <f t="shared" si="15"/>
        <v>-3782.17</v>
      </c>
    </row>
    <row r="470" spans="1:11" ht="14.5">
      <c r="A470" s="468">
        <v>12063011</v>
      </c>
      <c r="B470" s="468">
        <v>4101</v>
      </c>
      <c r="C470" s="468">
        <v>100</v>
      </c>
      <c r="D470" s="468" t="s">
        <v>149</v>
      </c>
      <c r="E470" s="468">
        <v>28692.95</v>
      </c>
      <c r="F470" s="468">
        <v>60700100</v>
      </c>
      <c r="G470" s="468"/>
      <c r="H470" s="468"/>
      <c r="I470" s="468"/>
      <c r="J470" s="445" t="str">
        <f t="shared" si="14"/>
        <v>12063011100MEDIA &amp; CHEMICAL - ACTUAL  COG60700100</v>
      </c>
      <c r="K470" s="163">
        <f t="shared" si="15"/>
        <v>28692.95</v>
      </c>
    </row>
    <row r="471" spans="1:11" ht="14.5">
      <c r="A471" s="468">
        <v>12063011</v>
      </c>
      <c r="B471" s="468">
        <v>4101</v>
      </c>
      <c r="C471" s="468"/>
      <c r="D471" s="468" t="s">
        <v>149</v>
      </c>
      <c r="E471" s="468">
        <v>-15222.68</v>
      </c>
      <c r="F471" s="468">
        <v>60700100</v>
      </c>
      <c r="G471" s="468"/>
      <c r="H471" s="468"/>
      <c r="I471" s="468"/>
      <c r="J471" s="445" t="str">
        <f t="shared" si="14"/>
        <v>12063011MEDIA &amp; CHEMICAL - ACTUAL  COG60700100</v>
      </c>
      <c r="K471" s="163">
        <f t="shared" si="15"/>
        <v>-15222.68</v>
      </c>
    </row>
    <row r="472" spans="1:11" ht="14.5">
      <c r="A472" s="468">
        <v>12063021</v>
      </c>
      <c r="B472" s="468">
        <v>4101</v>
      </c>
      <c r="C472" s="468">
        <v>100</v>
      </c>
      <c r="D472" s="468" t="s">
        <v>149</v>
      </c>
      <c r="E472" s="468">
        <v>1065.5</v>
      </c>
      <c r="F472" s="468">
        <v>60700100</v>
      </c>
      <c r="G472" s="468"/>
      <c r="H472" s="468"/>
      <c r="I472" s="468"/>
      <c r="J472" s="445" t="str">
        <f t="shared" si="14"/>
        <v>12063021100MEDIA &amp; CHEMICAL - ACTUAL  COG60700100</v>
      </c>
      <c r="K472" s="163">
        <f t="shared" si="15"/>
        <v>1065.5</v>
      </c>
    </row>
    <row r="473" spans="1:11" ht="14.5">
      <c r="A473" s="468">
        <v>12063021</v>
      </c>
      <c r="B473" s="468">
        <v>4101</v>
      </c>
      <c r="C473" s="468"/>
      <c r="D473" s="468" t="s">
        <v>149</v>
      </c>
      <c r="E473" s="468">
        <v>-766.92</v>
      </c>
      <c r="F473" s="468">
        <v>60700100</v>
      </c>
      <c r="G473" s="468"/>
      <c r="H473" s="468"/>
      <c r="I473" s="468"/>
      <c r="J473" s="445" t="str">
        <f t="shared" si="14"/>
        <v>12063021MEDIA &amp; CHEMICAL - ACTUAL  COG60700100</v>
      </c>
      <c r="K473" s="163">
        <f t="shared" si="15"/>
        <v>-766.92</v>
      </c>
    </row>
    <row r="474" spans="1:11" ht="14.5">
      <c r="A474" s="468">
        <v>12063011</v>
      </c>
      <c r="B474" s="468">
        <v>4102</v>
      </c>
      <c r="C474" s="468"/>
      <c r="D474" s="468" t="s">
        <v>150</v>
      </c>
      <c r="E474" s="468">
        <v>211781.87</v>
      </c>
      <c r="F474" s="468">
        <v>60700100</v>
      </c>
      <c r="G474" s="468"/>
      <c r="H474" s="468"/>
      <c r="I474" s="468"/>
      <c r="J474" s="445" t="str">
        <f t="shared" si="14"/>
        <v>12063011MEDIA - PURCHASE PRICE VARIANC60700100</v>
      </c>
      <c r="K474" s="163">
        <f t="shared" si="15"/>
        <v>211781.87</v>
      </c>
    </row>
    <row r="475" spans="1:11" ht="14.5">
      <c r="A475" s="468">
        <v>12063011</v>
      </c>
      <c r="B475" s="468">
        <v>4102</v>
      </c>
      <c r="C475" s="468">
        <v>100</v>
      </c>
      <c r="D475" s="468" t="s">
        <v>151</v>
      </c>
      <c r="E475" s="468">
        <v>52.13</v>
      </c>
      <c r="F475" s="468">
        <v>60700100</v>
      </c>
      <c r="G475" s="468"/>
      <c r="H475" s="468"/>
      <c r="I475" s="468"/>
      <c r="J475" s="445" t="str">
        <f t="shared" si="14"/>
        <v>12063011100MEDIA – NOT IN ITEM MASTER60700100</v>
      </c>
      <c r="K475" s="163">
        <f t="shared" si="15"/>
        <v>52.13</v>
      </c>
    </row>
    <row r="476" spans="1:11" ht="14.5">
      <c r="A476" s="468">
        <v>12043011</v>
      </c>
      <c r="B476" s="468">
        <v>4102</v>
      </c>
      <c r="C476" s="468"/>
      <c r="D476" s="468" t="s">
        <v>150</v>
      </c>
      <c r="E476" s="468">
        <v>343929.77</v>
      </c>
      <c r="F476" s="468">
        <v>60700100</v>
      </c>
      <c r="G476" s="468"/>
      <c r="H476" s="468"/>
      <c r="I476" s="468"/>
      <c r="J476" s="445" t="str">
        <f t="shared" si="14"/>
        <v>12043011MEDIA - PURCHASE PRICE VARIANC60700100</v>
      </c>
      <c r="K476" s="163">
        <f t="shared" si="15"/>
        <v>343929.77</v>
      </c>
    </row>
    <row r="477" spans="1:11" ht="14.5">
      <c r="A477" s="468">
        <v>12043011</v>
      </c>
      <c r="B477" s="468">
        <v>4102</v>
      </c>
      <c r="C477" s="468">
        <v>100</v>
      </c>
      <c r="D477" s="468" t="s">
        <v>151</v>
      </c>
      <c r="E477" s="468">
        <v>25.02</v>
      </c>
      <c r="F477" s="468">
        <v>60700100</v>
      </c>
      <c r="G477" s="468"/>
      <c r="H477" s="468"/>
      <c r="I477" s="468"/>
      <c r="J477" s="445" t="str">
        <f t="shared" si="14"/>
        <v>12043011100MEDIA – NOT IN ITEM MASTER60700100</v>
      </c>
      <c r="K477" s="163">
        <f t="shared" si="15"/>
        <v>25.02</v>
      </c>
    </row>
    <row r="478" spans="1:11" ht="14.5">
      <c r="A478" s="468">
        <v>12010500</v>
      </c>
      <c r="B478" s="468">
        <v>4102</v>
      </c>
      <c r="C478" s="468"/>
      <c r="D478" s="468" t="s">
        <v>150</v>
      </c>
      <c r="E478" s="468">
        <v>-664.07</v>
      </c>
      <c r="F478" s="468">
        <v>60700100</v>
      </c>
      <c r="G478" s="468"/>
      <c r="H478" s="468"/>
      <c r="I478" s="468"/>
      <c r="J478" s="445" t="str">
        <f t="shared" si="14"/>
        <v>12010500MEDIA - PURCHASE PRICE VARIANC60700100</v>
      </c>
      <c r="K478" s="163">
        <f t="shared" si="15"/>
        <v>-664.07</v>
      </c>
    </row>
    <row r="479" spans="1:11" ht="14.5">
      <c r="A479" s="468">
        <v>12023011</v>
      </c>
      <c r="B479" s="468">
        <v>4102</v>
      </c>
      <c r="C479" s="468"/>
      <c r="D479" s="468" t="s">
        <v>150</v>
      </c>
      <c r="E479" s="468">
        <v>583772.05000000005</v>
      </c>
      <c r="F479" s="468">
        <v>60700100</v>
      </c>
      <c r="G479" s="468"/>
      <c r="H479" s="468"/>
      <c r="I479" s="468"/>
      <c r="J479" s="445" t="str">
        <f t="shared" si="14"/>
        <v>12023011MEDIA - PURCHASE PRICE VARIANC60700100</v>
      </c>
      <c r="K479" s="163">
        <f t="shared" si="15"/>
        <v>583772.05000000005</v>
      </c>
    </row>
    <row r="480" spans="1:11" ht="14.5">
      <c r="A480" s="468">
        <v>12023011</v>
      </c>
      <c r="B480" s="468">
        <v>4102</v>
      </c>
      <c r="C480" s="468">
        <v>100</v>
      </c>
      <c r="D480" s="468" t="s">
        <v>151</v>
      </c>
      <c r="E480" s="468">
        <v>2862.37</v>
      </c>
      <c r="F480" s="468">
        <v>60700100</v>
      </c>
      <c r="G480" s="468"/>
      <c r="H480" s="468"/>
      <c r="I480" s="468"/>
      <c r="J480" s="445" t="str">
        <f t="shared" si="14"/>
        <v>12023011100MEDIA – NOT IN ITEM MASTER60700100</v>
      </c>
      <c r="K480" s="163">
        <f t="shared" si="15"/>
        <v>2862.37</v>
      </c>
    </row>
    <row r="481" spans="1:11" ht="14.5">
      <c r="A481" s="468">
        <v>12033011</v>
      </c>
      <c r="B481" s="468">
        <v>4102</v>
      </c>
      <c r="C481" s="468"/>
      <c r="D481" s="468" t="s">
        <v>150</v>
      </c>
      <c r="E481" s="468">
        <v>874169.91</v>
      </c>
      <c r="F481" s="468">
        <v>60700100</v>
      </c>
      <c r="G481" s="468"/>
      <c r="H481" s="468"/>
      <c r="I481" s="468"/>
      <c r="J481" s="445" t="str">
        <f t="shared" si="14"/>
        <v>12033011MEDIA - PURCHASE PRICE VARIANC60700100</v>
      </c>
      <c r="K481" s="163">
        <f t="shared" si="15"/>
        <v>874169.91</v>
      </c>
    </row>
    <row r="482" spans="1:11" ht="14.5">
      <c r="A482" s="468">
        <v>12033011</v>
      </c>
      <c r="B482" s="468">
        <v>4102</v>
      </c>
      <c r="C482" s="468">
        <v>100</v>
      </c>
      <c r="D482" s="468" t="s">
        <v>151</v>
      </c>
      <c r="E482" s="468">
        <v>2029.64</v>
      </c>
      <c r="F482" s="468">
        <v>60700100</v>
      </c>
      <c r="G482" s="468"/>
      <c r="H482" s="468"/>
      <c r="I482" s="468"/>
      <c r="J482" s="445" t="str">
        <f t="shared" si="14"/>
        <v>12033011100MEDIA – NOT IN ITEM MASTER60700100</v>
      </c>
      <c r="K482" s="163">
        <f t="shared" si="15"/>
        <v>2029.64</v>
      </c>
    </row>
    <row r="483" spans="1:11" ht="14.5">
      <c r="A483" s="468">
        <v>12043011</v>
      </c>
      <c r="B483" s="468">
        <v>4110</v>
      </c>
      <c r="C483" s="468">
        <v>100</v>
      </c>
      <c r="D483" s="468" t="s">
        <v>152</v>
      </c>
      <c r="E483" s="468">
        <v>210</v>
      </c>
      <c r="F483" s="468">
        <v>60700100</v>
      </c>
      <c r="G483" s="468"/>
      <c r="H483" s="468"/>
      <c r="I483" s="468"/>
      <c r="J483" s="445" t="str">
        <f t="shared" si="14"/>
        <v>12043011100CHEMICALS - STANDARD COST60700100</v>
      </c>
      <c r="K483" s="163">
        <f t="shared" si="15"/>
        <v>210</v>
      </c>
    </row>
    <row r="484" spans="1:11" ht="14.5">
      <c r="A484" s="468">
        <v>12043021</v>
      </c>
      <c r="B484" s="468">
        <v>4110</v>
      </c>
      <c r="C484" s="468">
        <v>100</v>
      </c>
      <c r="D484" s="468" t="s">
        <v>152</v>
      </c>
      <c r="E484" s="468">
        <v>142.11000000000001</v>
      </c>
      <c r="F484" s="468">
        <v>60700100</v>
      </c>
      <c r="G484" s="468"/>
      <c r="H484" s="468"/>
      <c r="I484" s="468"/>
      <c r="J484" s="445" t="str">
        <f t="shared" si="14"/>
        <v>12043021100CHEMICALS - STANDARD COST60700100</v>
      </c>
      <c r="K484" s="163">
        <f t="shared" si="15"/>
        <v>142.11000000000001</v>
      </c>
    </row>
    <row r="485" spans="1:11" ht="14.5">
      <c r="A485" s="468">
        <v>12063021</v>
      </c>
      <c r="B485" s="468">
        <v>4110</v>
      </c>
      <c r="C485" s="468">
        <v>100</v>
      </c>
      <c r="D485" s="468" t="s">
        <v>152</v>
      </c>
      <c r="E485" s="468">
        <v>129.31</v>
      </c>
      <c r="F485" s="468">
        <v>60700100</v>
      </c>
      <c r="G485" s="468"/>
      <c r="H485" s="468"/>
      <c r="I485" s="468"/>
      <c r="J485" s="445" t="str">
        <f t="shared" si="14"/>
        <v>12063021100CHEMICALS - STANDARD COST60700100</v>
      </c>
      <c r="K485" s="163">
        <f t="shared" si="15"/>
        <v>129.31</v>
      </c>
    </row>
    <row r="486" spans="1:11" ht="14.5">
      <c r="A486" s="468">
        <v>12063011</v>
      </c>
      <c r="B486" s="468">
        <v>4110</v>
      </c>
      <c r="C486" s="468">
        <v>100</v>
      </c>
      <c r="D486" s="468" t="s">
        <v>152</v>
      </c>
      <c r="E486" s="468">
        <v>210</v>
      </c>
      <c r="F486" s="468">
        <v>60700100</v>
      </c>
      <c r="G486" s="468"/>
      <c r="H486" s="468"/>
      <c r="I486" s="468"/>
      <c r="J486" s="445" t="str">
        <f t="shared" si="14"/>
        <v>12063011100CHEMICALS - STANDARD COST60700100</v>
      </c>
      <c r="K486" s="163">
        <f t="shared" si="15"/>
        <v>210</v>
      </c>
    </row>
    <row r="487" spans="1:11" ht="14.5">
      <c r="A487" s="468">
        <v>12023021</v>
      </c>
      <c r="B487" s="468">
        <v>4110</v>
      </c>
      <c r="C487" s="468"/>
      <c r="D487" s="468" t="s">
        <v>152</v>
      </c>
      <c r="E487" s="468">
        <v>19809.73</v>
      </c>
      <c r="F487" s="468">
        <v>60700100</v>
      </c>
      <c r="G487" s="468"/>
      <c r="H487" s="468"/>
      <c r="I487" s="468"/>
      <c r="J487" s="445" t="str">
        <f t="shared" si="14"/>
        <v>12023021CHEMICALS - STANDARD COST60700100</v>
      </c>
      <c r="K487" s="163">
        <f t="shared" si="15"/>
        <v>19809.73</v>
      </c>
    </row>
    <row r="488" spans="1:11" ht="14.5">
      <c r="A488" s="468">
        <v>12023021</v>
      </c>
      <c r="B488" s="468">
        <v>4110</v>
      </c>
      <c r="C488" s="468">
        <v>100</v>
      </c>
      <c r="D488" s="468" t="s">
        <v>152</v>
      </c>
      <c r="E488" s="468">
        <v>5490.39</v>
      </c>
      <c r="F488" s="468">
        <v>60700100</v>
      </c>
      <c r="G488" s="468"/>
      <c r="H488" s="468"/>
      <c r="I488" s="468"/>
      <c r="J488" s="445" t="str">
        <f t="shared" si="14"/>
        <v>12023021100CHEMICALS - STANDARD COST60700100</v>
      </c>
      <c r="K488" s="163">
        <f t="shared" si="15"/>
        <v>5490.39</v>
      </c>
    </row>
    <row r="489" spans="1:11" s="178" customFormat="1" ht="14.5">
      <c r="A489" s="468">
        <v>12023011</v>
      </c>
      <c r="B489" s="468">
        <v>4110</v>
      </c>
      <c r="C489" s="468"/>
      <c r="D489" s="468" t="s">
        <v>152</v>
      </c>
      <c r="E489" s="468">
        <v>1661.04</v>
      </c>
      <c r="F489" s="468">
        <v>60700100</v>
      </c>
      <c r="G489" s="468"/>
      <c r="H489" s="468"/>
      <c r="I489" s="468"/>
      <c r="J489" s="446" t="str">
        <f t="shared" si="14"/>
        <v>12023011CHEMICALS - STANDARD COST60700100</v>
      </c>
      <c r="K489" s="447">
        <f t="shared" si="15"/>
        <v>1661.04</v>
      </c>
    </row>
    <row r="490" spans="1:11" ht="14.5">
      <c r="A490" s="468">
        <v>12023011</v>
      </c>
      <c r="B490" s="468">
        <v>4110</v>
      </c>
      <c r="C490" s="468">
        <v>100</v>
      </c>
      <c r="D490" s="468" t="s">
        <v>152</v>
      </c>
      <c r="E490" s="468">
        <v>490</v>
      </c>
      <c r="F490" s="468">
        <v>60700100</v>
      </c>
      <c r="G490" s="468"/>
      <c r="H490" s="468"/>
      <c r="I490" s="468"/>
      <c r="J490" s="445" t="str">
        <f t="shared" si="14"/>
        <v>12023011100CHEMICALS - STANDARD COST60700100</v>
      </c>
      <c r="K490" s="163">
        <f t="shared" si="15"/>
        <v>490</v>
      </c>
    </row>
    <row r="491" spans="1:11" ht="14.5">
      <c r="A491" s="468">
        <v>12033011</v>
      </c>
      <c r="B491" s="468">
        <v>4110</v>
      </c>
      <c r="C491" s="468">
        <v>100</v>
      </c>
      <c r="D491" s="468" t="s">
        <v>152</v>
      </c>
      <c r="E491" s="468">
        <v>562.79999999999995</v>
      </c>
      <c r="F491" s="468">
        <v>60700100</v>
      </c>
      <c r="G491" s="468"/>
      <c r="H491" s="468"/>
      <c r="I491" s="468"/>
      <c r="J491" s="445" t="str">
        <f t="shared" si="14"/>
        <v>12033011100CHEMICALS - STANDARD COST60700100</v>
      </c>
      <c r="K491" s="163">
        <f t="shared" si="15"/>
        <v>562.79999999999995</v>
      </c>
    </row>
    <row r="492" spans="1:11" ht="14.5">
      <c r="A492" s="468">
        <v>12033011</v>
      </c>
      <c r="B492" s="468">
        <v>4110</v>
      </c>
      <c r="C492" s="468"/>
      <c r="D492" s="468" t="s">
        <v>152</v>
      </c>
      <c r="E492" s="468">
        <v>155</v>
      </c>
      <c r="F492" s="468">
        <v>60700100</v>
      </c>
      <c r="G492" s="468"/>
      <c r="H492" s="468"/>
      <c r="I492" s="468"/>
      <c r="J492" s="445" t="str">
        <f t="shared" si="14"/>
        <v>12033011CHEMICALS - STANDARD COST60700100</v>
      </c>
      <c r="K492" s="163">
        <f t="shared" si="15"/>
        <v>155</v>
      </c>
    </row>
    <row r="493" spans="1:11" ht="14.5">
      <c r="A493" s="468">
        <v>12033021</v>
      </c>
      <c r="B493" s="468">
        <v>4110</v>
      </c>
      <c r="C493" s="468">
        <v>100</v>
      </c>
      <c r="D493" s="468" t="s">
        <v>152</v>
      </c>
      <c r="E493" s="468">
        <v>2349.4</v>
      </c>
      <c r="F493" s="468">
        <v>60700100</v>
      </c>
      <c r="G493" s="468"/>
      <c r="H493" s="468"/>
      <c r="I493" s="468"/>
      <c r="J493" s="445" t="str">
        <f t="shared" si="14"/>
        <v>12033021100CHEMICALS - STANDARD COST60700100</v>
      </c>
      <c r="K493" s="163">
        <f t="shared" si="15"/>
        <v>2349.4</v>
      </c>
    </row>
    <row r="494" spans="1:11" ht="14.5">
      <c r="A494" s="468">
        <v>12043011</v>
      </c>
      <c r="B494" s="468">
        <v>4111</v>
      </c>
      <c r="C494" s="468"/>
      <c r="D494" s="468" t="s">
        <v>153</v>
      </c>
      <c r="E494" s="468">
        <v>627.22</v>
      </c>
      <c r="F494" s="468">
        <v>60700100</v>
      </c>
      <c r="G494" s="468"/>
      <c r="H494" s="468"/>
      <c r="I494" s="468"/>
      <c r="J494" s="445" t="str">
        <f t="shared" si="14"/>
        <v>12043011CHEMICALS - PURCHASE PRICE VAR60700100</v>
      </c>
      <c r="K494" s="163">
        <f t="shared" si="15"/>
        <v>627.22</v>
      </c>
    </row>
    <row r="495" spans="1:11" ht="14.5">
      <c r="A495" s="468">
        <v>12043123</v>
      </c>
      <c r="B495" s="468">
        <v>4111</v>
      </c>
      <c r="C495" s="468"/>
      <c r="D495" s="468" t="s">
        <v>153</v>
      </c>
      <c r="E495" s="468">
        <v>2594.25</v>
      </c>
      <c r="F495" s="468">
        <v>60700100</v>
      </c>
      <c r="G495" s="468"/>
      <c r="H495" s="468"/>
      <c r="I495" s="468"/>
      <c r="J495" s="445" t="str">
        <f t="shared" si="14"/>
        <v>12043123CHEMICALS - PURCHASE PRICE VAR60700100</v>
      </c>
      <c r="K495" s="163">
        <f t="shared" si="15"/>
        <v>2594.25</v>
      </c>
    </row>
    <row r="496" spans="1:11" ht="14.5">
      <c r="A496" s="468">
        <v>12043021</v>
      </c>
      <c r="B496" s="468">
        <v>4111</v>
      </c>
      <c r="C496" s="468"/>
      <c r="D496" s="468" t="s">
        <v>153</v>
      </c>
      <c r="E496" s="468">
        <v>395.55</v>
      </c>
      <c r="F496" s="468">
        <v>60700100</v>
      </c>
      <c r="G496" s="468"/>
      <c r="H496" s="468"/>
      <c r="I496" s="468"/>
      <c r="J496" s="445" t="str">
        <f t="shared" si="14"/>
        <v>12043021CHEMICALS - PURCHASE PRICE VAR60700100</v>
      </c>
      <c r="K496" s="163">
        <f t="shared" si="15"/>
        <v>395.55</v>
      </c>
    </row>
    <row r="497" spans="1:11" ht="14.5">
      <c r="A497" s="468">
        <v>12063021</v>
      </c>
      <c r="B497" s="468">
        <v>4111</v>
      </c>
      <c r="C497" s="468"/>
      <c r="D497" s="468" t="s">
        <v>153</v>
      </c>
      <c r="E497" s="468">
        <v>803.96</v>
      </c>
      <c r="F497" s="468">
        <v>60700100</v>
      </c>
      <c r="G497" s="468"/>
      <c r="H497" s="468"/>
      <c r="I497" s="468"/>
      <c r="J497" s="445" t="str">
        <f t="shared" si="14"/>
        <v>12063021CHEMICALS - PURCHASE PRICE VAR60700100</v>
      </c>
      <c r="K497" s="163">
        <f t="shared" si="15"/>
        <v>803.96</v>
      </c>
    </row>
    <row r="498" spans="1:11" ht="14.5">
      <c r="A498" s="468">
        <v>12063011</v>
      </c>
      <c r="B498" s="468">
        <v>4111</v>
      </c>
      <c r="C498" s="468"/>
      <c r="D498" s="468" t="s">
        <v>153</v>
      </c>
      <c r="E498" s="468">
        <v>1207.55</v>
      </c>
      <c r="F498" s="468">
        <v>60700100</v>
      </c>
      <c r="G498" s="468"/>
      <c r="H498" s="468"/>
      <c r="I498" s="468"/>
      <c r="J498" s="445" t="str">
        <f t="shared" si="14"/>
        <v>12063011CHEMICALS - PURCHASE PRICE VAR60700100</v>
      </c>
      <c r="K498" s="163">
        <f t="shared" si="15"/>
        <v>1207.55</v>
      </c>
    </row>
    <row r="499" spans="1:11" ht="14.5">
      <c r="A499" s="468">
        <v>12010500</v>
      </c>
      <c r="B499" s="468">
        <v>4111</v>
      </c>
      <c r="C499" s="468"/>
      <c r="D499" s="468" t="s">
        <v>153</v>
      </c>
      <c r="E499" s="468">
        <v>9931.91</v>
      </c>
      <c r="F499" s="468">
        <v>60700100</v>
      </c>
      <c r="G499" s="468"/>
      <c r="H499" s="468"/>
      <c r="I499" s="468"/>
      <c r="J499" s="445" t="str">
        <f t="shared" si="14"/>
        <v>12010500CHEMICALS - PURCHASE PRICE VAR60700100</v>
      </c>
      <c r="K499" s="163">
        <f t="shared" si="15"/>
        <v>9931.91</v>
      </c>
    </row>
    <row r="500" spans="1:11" ht="14.5">
      <c r="A500" s="468">
        <v>12021021</v>
      </c>
      <c r="B500" s="468">
        <v>4111</v>
      </c>
      <c r="C500" s="468"/>
      <c r="D500" s="468" t="s">
        <v>153</v>
      </c>
      <c r="E500" s="468">
        <v>609.1</v>
      </c>
      <c r="F500" s="468">
        <v>60700100</v>
      </c>
      <c r="G500" s="468"/>
      <c r="H500" s="468"/>
      <c r="I500" s="468"/>
      <c r="J500" s="445" t="str">
        <f t="shared" si="14"/>
        <v>12021021CHEMICALS - PURCHASE PRICE VAR60700100</v>
      </c>
      <c r="K500" s="163">
        <f t="shared" si="15"/>
        <v>609.1</v>
      </c>
    </row>
    <row r="501" spans="1:11" ht="14.5">
      <c r="A501" s="468">
        <v>12023021</v>
      </c>
      <c r="B501" s="468">
        <v>4111</v>
      </c>
      <c r="C501" s="468"/>
      <c r="D501" s="468" t="s">
        <v>153</v>
      </c>
      <c r="E501" s="468">
        <v>67299.199999999997</v>
      </c>
      <c r="F501" s="468">
        <v>60700100</v>
      </c>
      <c r="G501" s="468"/>
      <c r="H501" s="468"/>
      <c r="I501" s="468"/>
      <c r="J501" s="445" t="str">
        <f t="shared" si="14"/>
        <v>12023021CHEMICALS - PURCHASE PRICE VAR60700100</v>
      </c>
      <c r="K501" s="163">
        <f t="shared" si="15"/>
        <v>67299.199999999997</v>
      </c>
    </row>
    <row r="502" spans="1:11" ht="14.5">
      <c r="A502" s="468">
        <v>12023011</v>
      </c>
      <c r="B502" s="468">
        <v>4111</v>
      </c>
      <c r="C502" s="468"/>
      <c r="D502" s="468" t="s">
        <v>153</v>
      </c>
      <c r="E502" s="468">
        <v>14728.3</v>
      </c>
      <c r="F502" s="468">
        <v>60700100</v>
      </c>
      <c r="G502" s="468"/>
      <c r="H502" s="468"/>
      <c r="I502" s="468"/>
      <c r="J502" s="445" t="str">
        <f t="shared" si="14"/>
        <v>12023011CHEMICALS - PURCHASE PRICE VAR60700100</v>
      </c>
      <c r="K502" s="163">
        <f t="shared" si="15"/>
        <v>14728.3</v>
      </c>
    </row>
    <row r="503" spans="1:11" ht="14.5">
      <c r="A503" s="468">
        <v>12033011</v>
      </c>
      <c r="B503" s="468">
        <v>4111</v>
      </c>
      <c r="C503" s="468"/>
      <c r="D503" s="468" t="s">
        <v>153</v>
      </c>
      <c r="E503" s="468">
        <v>4312.17</v>
      </c>
      <c r="F503" s="468">
        <v>60700100</v>
      </c>
      <c r="G503" s="468"/>
      <c r="H503" s="468"/>
      <c r="I503" s="468"/>
      <c r="J503" s="445" t="str">
        <f t="shared" si="14"/>
        <v>12033011CHEMICALS - PURCHASE PRICE VAR60700100</v>
      </c>
      <c r="K503" s="163">
        <f t="shared" si="15"/>
        <v>4312.17</v>
      </c>
    </row>
    <row r="504" spans="1:11" ht="14.5">
      <c r="A504" s="468">
        <v>12033021</v>
      </c>
      <c r="B504" s="468">
        <v>4111</v>
      </c>
      <c r="C504" s="468"/>
      <c r="D504" s="468" t="s">
        <v>153</v>
      </c>
      <c r="E504" s="468">
        <v>3182.35</v>
      </c>
      <c r="F504" s="468">
        <v>60700100</v>
      </c>
      <c r="G504" s="468"/>
      <c r="H504" s="468"/>
      <c r="I504" s="468"/>
      <c r="J504" s="445" t="str">
        <f t="shared" si="14"/>
        <v>12033021CHEMICALS - PURCHASE PRICE VAR60700100</v>
      </c>
      <c r="K504" s="163">
        <f t="shared" si="15"/>
        <v>3182.35</v>
      </c>
    </row>
    <row r="505" spans="1:11" ht="14.5">
      <c r="A505" s="468">
        <v>12063011</v>
      </c>
      <c r="B505" s="468">
        <v>4141</v>
      </c>
      <c r="C505" s="468"/>
      <c r="D505" s="468" t="s">
        <v>154</v>
      </c>
      <c r="E505" s="468">
        <v>-6593.98</v>
      </c>
      <c r="F505" s="468">
        <v>60700300</v>
      </c>
      <c r="G505" s="468"/>
      <c r="H505" s="468"/>
      <c r="I505" s="468"/>
      <c r="J505" s="445" t="str">
        <f t="shared" si="14"/>
        <v>12063011GLASS &amp; PLASTIC - STANDARD COS60700300</v>
      </c>
      <c r="K505" s="163">
        <f t="shared" si="15"/>
        <v>-6593.98</v>
      </c>
    </row>
    <row r="506" spans="1:11" ht="14.5">
      <c r="A506" s="468">
        <v>12063011</v>
      </c>
      <c r="B506" s="468">
        <v>4141</v>
      </c>
      <c r="C506" s="468">
        <v>100</v>
      </c>
      <c r="D506" s="468" t="s">
        <v>154</v>
      </c>
      <c r="E506" s="468">
        <v>4176.34</v>
      </c>
      <c r="F506" s="468">
        <v>60700300</v>
      </c>
      <c r="G506" s="468"/>
      <c r="H506" s="468"/>
      <c r="I506" s="468"/>
      <c r="J506" s="445" t="str">
        <f t="shared" si="14"/>
        <v>12063011100GLASS &amp; PLASTIC - STANDARD COS60700300</v>
      </c>
      <c r="K506" s="163">
        <f t="shared" si="15"/>
        <v>4176.34</v>
      </c>
    </row>
    <row r="507" spans="1:11" ht="14.5">
      <c r="A507" s="468">
        <v>12033021</v>
      </c>
      <c r="B507" s="468">
        <v>4141</v>
      </c>
      <c r="C507" s="468"/>
      <c r="D507" s="468" t="s">
        <v>154</v>
      </c>
      <c r="E507" s="468">
        <v>-480</v>
      </c>
      <c r="F507" s="468">
        <v>60700300</v>
      </c>
      <c r="G507" s="468"/>
      <c r="H507" s="468"/>
      <c r="I507" s="468"/>
      <c r="J507" s="445" t="str">
        <f t="shared" si="14"/>
        <v>12033021GLASS &amp; PLASTIC - STANDARD COS60700300</v>
      </c>
      <c r="K507" s="163">
        <f t="shared" si="15"/>
        <v>-480</v>
      </c>
    </row>
    <row r="508" spans="1:11" ht="14.5">
      <c r="A508" s="468">
        <v>12033021</v>
      </c>
      <c r="B508" s="468">
        <v>4141</v>
      </c>
      <c r="C508" s="468">
        <v>100</v>
      </c>
      <c r="D508" s="468" t="s">
        <v>154</v>
      </c>
      <c r="E508" s="468">
        <v>552</v>
      </c>
      <c r="F508" s="468">
        <v>60700300</v>
      </c>
      <c r="G508" s="468"/>
      <c r="H508" s="468"/>
      <c r="I508" s="468"/>
      <c r="J508" s="445" t="str">
        <f t="shared" si="14"/>
        <v>12033021100GLASS &amp; PLASTIC - STANDARD COS60700300</v>
      </c>
      <c r="K508" s="163">
        <f t="shared" si="15"/>
        <v>552</v>
      </c>
    </row>
    <row r="509" spans="1:11" ht="14.5">
      <c r="A509" s="468">
        <v>12043011</v>
      </c>
      <c r="B509" s="468">
        <v>4141</v>
      </c>
      <c r="C509" s="468"/>
      <c r="D509" s="468" t="s">
        <v>154</v>
      </c>
      <c r="E509" s="468">
        <v>-10352.02</v>
      </c>
      <c r="F509" s="468">
        <v>60700300</v>
      </c>
      <c r="G509" s="468"/>
      <c r="H509" s="468"/>
      <c r="I509" s="468"/>
      <c r="J509" s="445" t="str">
        <f t="shared" si="14"/>
        <v>12043011GLASS &amp; PLASTIC - STANDARD COS60700300</v>
      </c>
      <c r="K509" s="163">
        <f t="shared" si="15"/>
        <v>-10352.02</v>
      </c>
    </row>
    <row r="510" spans="1:11" ht="14.5">
      <c r="A510" s="468">
        <v>12043011</v>
      </c>
      <c r="B510" s="468">
        <v>4141</v>
      </c>
      <c r="C510" s="468">
        <v>100</v>
      </c>
      <c r="D510" s="468" t="s">
        <v>154</v>
      </c>
      <c r="E510" s="468">
        <v>4515.2299999999996</v>
      </c>
      <c r="F510" s="468">
        <v>60700300</v>
      </c>
      <c r="G510" s="468"/>
      <c r="H510" s="468"/>
      <c r="I510" s="468"/>
      <c r="J510" s="445" t="str">
        <f t="shared" si="14"/>
        <v>12043011100GLASS &amp; PLASTIC - STANDARD COS60700300</v>
      </c>
      <c r="K510" s="163">
        <f t="shared" si="15"/>
        <v>4515.2299999999996</v>
      </c>
    </row>
    <row r="511" spans="1:11" ht="14.5">
      <c r="A511" s="468">
        <v>12043123</v>
      </c>
      <c r="B511" s="468">
        <v>4141</v>
      </c>
      <c r="C511" s="468">
        <v>100</v>
      </c>
      <c r="D511" s="468" t="s">
        <v>154</v>
      </c>
      <c r="E511" s="468">
        <v>1600</v>
      </c>
      <c r="F511" s="468">
        <v>60700300</v>
      </c>
      <c r="G511" s="468"/>
      <c r="H511" s="468"/>
      <c r="I511" s="468"/>
      <c r="J511" s="445" t="str">
        <f t="shared" si="14"/>
        <v>12043123100GLASS &amp; PLASTIC - STANDARD COS60700300</v>
      </c>
      <c r="K511" s="163">
        <f t="shared" si="15"/>
        <v>1600</v>
      </c>
    </row>
    <row r="512" spans="1:11" ht="14.5">
      <c r="A512" s="468">
        <v>12043021</v>
      </c>
      <c r="B512" s="468">
        <v>4141</v>
      </c>
      <c r="C512" s="468"/>
      <c r="D512" s="468" t="s">
        <v>154</v>
      </c>
      <c r="E512" s="468"/>
      <c r="F512" s="468">
        <v>60700300</v>
      </c>
      <c r="G512" s="468"/>
      <c r="H512" s="468"/>
      <c r="I512" s="468"/>
      <c r="J512" s="445" t="str">
        <f t="shared" si="14"/>
        <v>12043021GLASS &amp; PLASTIC - STANDARD COS60700300</v>
      </c>
      <c r="K512" s="163">
        <f t="shared" si="15"/>
        <v>0</v>
      </c>
    </row>
    <row r="513" spans="1:11" ht="14.5">
      <c r="A513" s="468">
        <v>12043021</v>
      </c>
      <c r="B513" s="468">
        <v>4141</v>
      </c>
      <c r="C513" s="468">
        <v>100</v>
      </c>
      <c r="D513" s="468" t="s">
        <v>154</v>
      </c>
      <c r="E513" s="468">
        <v>3352.32</v>
      </c>
      <c r="F513" s="468">
        <v>60700300</v>
      </c>
      <c r="G513" s="468"/>
      <c r="H513" s="468"/>
      <c r="I513" s="468"/>
      <c r="J513" s="445" t="str">
        <f t="shared" si="14"/>
        <v>12043021100GLASS &amp; PLASTIC - STANDARD COS60700300</v>
      </c>
      <c r="K513" s="163">
        <f t="shared" si="15"/>
        <v>3352.32</v>
      </c>
    </row>
    <row r="514" spans="1:11" ht="14.5">
      <c r="A514" s="468">
        <v>12023011</v>
      </c>
      <c r="B514" s="468">
        <v>4141</v>
      </c>
      <c r="C514" s="468"/>
      <c r="D514" s="468" t="s">
        <v>154</v>
      </c>
      <c r="E514" s="468">
        <v>-4754.7700000000004</v>
      </c>
      <c r="F514" s="468">
        <v>60700300</v>
      </c>
      <c r="G514" s="468"/>
      <c r="H514" s="468"/>
      <c r="I514" s="468"/>
      <c r="J514" s="445" t="str">
        <f t="shared" si="14"/>
        <v>12023011GLASS &amp; PLASTIC - STANDARD COS60700300</v>
      </c>
      <c r="K514" s="163">
        <f t="shared" si="15"/>
        <v>-4754.7700000000004</v>
      </c>
    </row>
    <row r="515" spans="1:11" ht="14.5">
      <c r="A515" s="468">
        <v>12023011</v>
      </c>
      <c r="B515" s="468">
        <v>4141</v>
      </c>
      <c r="C515" s="468">
        <v>100</v>
      </c>
      <c r="D515" s="468" t="s">
        <v>154</v>
      </c>
      <c r="E515" s="468">
        <v>18014.71</v>
      </c>
      <c r="F515" s="468">
        <v>60700300</v>
      </c>
      <c r="G515" s="468"/>
      <c r="H515" s="468"/>
      <c r="I515" s="468"/>
      <c r="J515" s="445" t="str">
        <f t="shared" si="14"/>
        <v>12023011100GLASS &amp; PLASTIC - STANDARD COS60700300</v>
      </c>
      <c r="K515" s="163">
        <f t="shared" si="15"/>
        <v>18014.71</v>
      </c>
    </row>
    <row r="516" spans="1:11" ht="14.5">
      <c r="A516" s="468">
        <v>12023021</v>
      </c>
      <c r="B516" s="468">
        <v>4141</v>
      </c>
      <c r="C516" s="468"/>
      <c r="D516" s="468" t="s">
        <v>154</v>
      </c>
      <c r="E516" s="468">
        <v>-17968.66</v>
      </c>
      <c r="F516" s="468">
        <v>60700300</v>
      </c>
      <c r="G516" s="468"/>
      <c r="H516" s="468"/>
      <c r="I516" s="468"/>
      <c r="J516" s="445" t="str">
        <f t="shared" si="14"/>
        <v>12023021GLASS &amp; PLASTIC - STANDARD COS60700300</v>
      </c>
      <c r="K516" s="163">
        <f t="shared" si="15"/>
        <v>-17968.66</v>
      </c>
    </row>
    <row r="517" spans="1:11" ht="14.5">
      <c r="A517" s="468">
        <v>12023021</v>
      </c>
      <c r="B517" s="468">
        <v>4141</v>
      </c>
      <c r="C517" s="468">
        <v>100</v>
      </c>
      <c r="D517" s="468" t="s">
        <v>154</v>
      </c>
      <c r="E517" s="468">
        <v>73.06</v>
      </c>
      <c r="F517" s="468">
        <v>60700300</v>
      </c>
      <c r="G517" s="468"/>
      <c r="H517" s="468"/>
      <c r="I517" s="468"/>
      <c r="J517" s="445" t="str">
        <f t="shared" ref="J517:J580" si="16">A517&amp;C517&amp;D517&amp;F517</f>
        <v>12023021100GLASS &amp; PLASTIC - STANDARD COS60700300</v>
      </c>
      <c r="K517" s="163">
        <f t="shared" ref="K517:K580" si="17">E517</f>
        <v>73.06</v>
      </c>
    </row>
    <row r="518" spans="1:11" ht="14.5">
      <c r="A518" s="468">
        <v>12033011</v>
      </c>
      <c r="B518" s="468">
        <v>4141</v>
      </c>
      <c r="C518" s="468"/>
      <c r="D518" s="468" t="s">
        <v>154</v>
      </c>
      <c r="E518" s="468">
        <v>-17259.14</v>
      </c>
      <c r="F518" s="468">
        <v>60700300</v>
      </c>
      <c r="G518" s="468"/>
      <c r="H518" s="468"/>
      <c r="I518" s="468"/>
      <c r="J518" s="445" t="str">
        <f t="shared" si="16"/>
        <v>12033011GLASS &amp; PLASTIC - STANDARD COS60700300</v>
      </c>
      <c r="K518" s="163">
        <f t="shared" si="17"/>
        <v>-17259.14</v>
      </c>
    </row>
    <row r="519" spans="1:11" ht="14.5">
      <c r="A519" s="468">
        <v>12033011</v>
      </c>
      <c r="B519" s="468">
        <v>4141</v>
      </c>
      <c r="C519" s="468">
        <v>100</v>
      </c>
      <c r="D519" s="468" t="s">
        <v>154</v>
      </c>
      <c r="E519" s="468">
        <v>21053.69</v>
      </c>
      <c r="F519" s="468">
        <v>60700300</v>
      </c>
      <c r="G519" s="468"/>
      <c r="H519" s="468"/>
      <c r="I519" s="468"/>
      <c r="J519" s="445" t="str">
        <f t="shared" si="16"/>
        <v>12033011100GLASS &amp; PLASTIC - STANDARD COS60700300</v>
      </c>
      <c r="K519" s="163">
        <f t="shared" si="17"/>
        <v>21053.69</v>
      </c>
    </row>
    <row r="520" spans="1:11" ht="14.5">
      <c r="A520" s="468">
        <v>12063011</v>
      </c>
      <c r="B520" s="468">
        <v>4142</v>
      </c>
      <c r="C520" s="468"/>
      <c r="D520" s="468" t="s">
        <v>155</v>
      </c>
      <c r="E520" s="468">
        <v>30633.59</v>
      </c>
      <c r="F520" s="468">
        <v>60700300</v>
      </c>
      <c r="G520" s="468"/>
      <c r="H520" s="468"/>
      <c r="I520" s="468"/>
      <c r="J520" s="445" t="str">
        <f t="shared" si="16"/>
        <v>12063011GLASS &amp; PLASTIC - PURCHASE PRI60700300</v>
      </c>
      <c r="K520" s="163">
        <f t="shared" si="17"/>
        <v>30633.59</v>
      </c>
    </row>
    <row r="521" spans="1:11" ht="14.5">
      <c r="A521" s="468">
        <v>12033021</v>
      </c>
      <c r="B521" s="468">
        <v>4142</v>
      </c>
      <c r="C521" s="468"/>
      <c r="D521" s="468" t="s">
        <v>155</v>
      </c>
      <c r="E521" s="468">
        <v>632.9</v>
      </c>
      <c r="F521" s="468">
        <v>60700300</v>
      </c>
      <c r="G521" s="468"/>
      <c r="H521" s="468"/>
      <c r="I521" s="468"/>
      <c r="J521" s="445" t="str">
        <f t="shared" si="16"/>
        <v>12033021GLASS &amp; PLASTIC - PURCHASE PRI60700300</v>
      </c>
      <c r="K521" s="163">
        <f t="shared" si="17"/>
        <v>632.9</v>
      </c>
    </row>
    <row r="522" spans="1:11" ht="14.5">
      <c r="A522" s="468">
        <v>12043021</v>
      </c>
      <c r="B522" s="468">
        <v>4142</v>
      </c>
      <c r="C522" s="468"/>
      <c r="D522" s="468" t="s">
        <v>155</v>
      </c>
      <c r="E522" s="468">
        <v>3.5</v>
      </c>
      <c r="F522" s="468">
        <v>60700300</v>
      </c>
      <c r="G522" s="468"/>
      <c r="H522" s="468"/>
      <c r="I522" s="468"/>
      <c r="J522" s="445" t="str">
        <f t="shared" si="16"/>
        <v>12043021GLASS &amp; PLASTIC - PURCHASE PRI60700300</v>
      </c>
      <c r="K522" s="163">
        <f t="shared" si="17"/>
        <v>3.5</v>
      </c>
    </row>
    <row r="523" spans="1:11" ht="14.5">
      <c r="A523" s="468">
        <v>12043011</v>
      </c>
      <c r="B523" s="468">
        <v>4142</v>
      </c>
      <c r="C523" s="468"/>
      <c r="D523" s="468" t="s">
        <v>155</v>
      </c>
      <c r="E523" s="468">
        <v>47676.31</v>
      </c>
      <c r="F523" s="468">
        <v>60700300</v>
      </c>
      <c r="G523" s="468"/>
      <c r="H523" s="468"/>
      <c r="I523" s="468"/>
      <c r="J523" s="445" t="str">
        <f t="shared" si="16"/>
        <v>12043011GLASS &amp; PLASTIC - PURCHASE PRI60700300</v>
      </c>
      <c r="K523" s="163">
        <f t="shared" si="17"/>
        <v>47676.31</v>
      </c>
    </row>
    <row r="524" spans="1:11" ht="14.5">
      <c r="A524" s="468">
        <v>12043011</v>
      </c>
      <c r="B524" s="468">
        <v>4142</v>
      </c>
      <c r="C524" s="468">
        <v>100</v>
      </c>
      <c r="D524" s="468" t="s">
        <v>156</v>
      </c>
      <c r="E524" s="468">
        <v>389.71</v>
      </c>
      <c r="F524" s="468">
        <v>60700300</v>
      </c>
      <c r="G524" s="468"/>
      <c r="H524" s="468"/>
      <c r="I524" s="468"/>
      <c r="J524" s="445" t="str">
        <f t="shared" si="16"/>
        <v>12043011100GLASS &amp; PLASTICS - NOT IN ITEM60700300</v>
      </c>
      <c r="K524" s="163">
        <f t="shared" si="17"/>
        <v>389.71</v>
      </c>
    </row>
    <row r="525" spans="1:11" ht="14.5">
      <c r="A525" s="468">
        <v>12043123</v>
      </c>
      <c r="B525" s="468">
        <v>4142</v>
      </c>
      <c r="C525" s="468"/>
      <c r="D525" s="468" t="s">
        <v>155</v>
      </c>
      <c r="E525" s="468">
        <v>32426</v>
      </c>
      <c r="F525" s="468">
        <v>60700300</v>
      </c>
      <c r="G525" s="468"/>
      <c r="H525" s="468"/>
      <c r="I525" s="468"/>
      <c r="J525" s="445" t="str">
        <f t="shared" si="16"/>
        <v>12043123GLASS &amp; PLASTIC - PURCHASE PRI60700300</v>
      </c>
      <c r="K525" s="163">
        <f t="shared" si="17"/>
        <v>32426</v>
      </c>
    </row>
    <row r="526" spans="1:11" ht="14.5">
      <c r="A526" s="468">
        <v>12010500</v>
      </c>
      <c r="B526" s="468">
        <v>4142</v>
      </c>
      <c r="C526" s="468"/>
      <c r="D526" s="468" t="s">
        <v>155</v>
      </c>
      <c r="E526" s="468">
        <v>-45.69</v>
      </c>
      <c r="F526" s="468">
        <v>60700300</v>
      </c>
      <c r="G526" s="468"/>
      <c r="H526" s="468"/>
      <c r="I526" s="468"/>
      <c r="J526" s="445" t="str">
        <f t="shared" si="16"/>
        <v>12010500GLASS &amp; PLASTIC - PURCHASE PRI60700300</v>
      </c>
      <c r="K526" s="163">
        <f t="shared" si="17"/>
        <v>-45.69</v>
      </c>
    </row>
    <row r="527" spans="1:11" ht="14.5">
      <c r="A527" s="468">
        <v>12023011</v>
      </c>
      <c r="B527" s="468">
        <v>4142</v>
      </c>
      <c r="C527" s="468"/>
      <c r="D527" s="468" t="s">
        <v>155</v>
      </c>
      <c r="E527" s="468">
        <v>104056.23</v>
      </c>
      <c r="F527" s="468">
        <v>60700300</v>
      </c>
      <c r="G527" s="468"/>
      <c r="H527" s="468"/>
      <c r="I527" s="468"/>
      <c r="J527" s="445" t="str">
        <f t="shared" si="16"/>
        <v>12023011GLASS &amp; PLASTIC - PURCHASE PRI60700300</v>
      </c>
      <c r="K527" s="163">
        <f t="shared" si="17"/>
        <v>104056.23</v>
      </c>
    </row>
    <row r="528" spans="1:11" ht="14.5">
      <c r="A528" s="468">
        <v>12023011</v>
      </c>
      <c r="B528" s="468">
        <v>4142</v>
      </c>
      <c r="C528" s="468">
        <v>100</v>
      </c>
      <c r="D528" s="468" t="s">
        <v>156</v>
      </c>
      <c r="E528" s="468">
        <v>1086.44</v>
      </c>
      <c r="F528" s="468">
        <v>60700300</v>
      </c>
      <c r="G528" s="468"/>
      <c r="H528" s="468"/>
      <c r="I528" s="468"/>
      <c r="J528" s="445" t="str">
        <f t="shared" si="16"/>
        <v>12023011100GLASS &amp; PLASTICS - NOT IN ITEM60700300</v>
      </c>
      <c r="K528" s="163">
        <f t="shared" si="17"/>
        <v>1086.44</v>
      </c>
    </row>
    <row r="529" spans="1:11" ht="14.5">
      <c r="A529" s="468">
        <v>12023021</v>
      </c>
      <c r="B529" s="468">
        <v>4142</v>
      </c>
      <c r="C529" s="468"/>
      <c r="D529" s="468" t="s">
        <v>155</v>
      </c>
      <c r="E529" s="468">
        <v>35769.56</v>
      </c>
      <c r="F529" s="468">
        <v>60700300</v>
      </c>
      <c r="G529" s="468"/>
      <c r="H529" s="468"/>
      <c r="I529" s="468"/>
      <c r="J529" s="445" t="str">
        <f t="shared" si="16"/>
        <v>12023021GLASS &amp; PLASTIC - PURCHASE PRI60700300</v>
      </c>
      <c r="K529" s="163">
        <f t="shared" si="17"/>
        <v>35769.56</v>
      </c>
    </row>
    <row r="530" spans="1:11" ht="14.5">
      <c r="A530" s="468">
        <v>12033011</v>
      </c>
      <c r="B530" s="468">
        <v>4142</v>
      </c>
      <c r="C530" s="468"/>
      <c r="D530" s="468" t="s">
        <v>155</v>
      </c>
      <c r="E530" s="468">
        <v>125439.01</v>
      </c>
      <c r="F530" s="468">
        <v>60700300</v>
      </c>
      <c r="G530" s="468"/>
      <c r="H530" s="468"/>
      <c r="I530" s="468"/>
      <c r="J530" s="445" t="str">
        <f t="shared" si="16"/>
        <v>12033011GLASS &amp; PLASTIC - PURCHASE PRI60700300</v>
      </c>
      <c r="K530" s="163">
        <f t="shared" si="17"/>
        <v>125439.01</v>
      </c>
    </row>
    <row r="531" spans="1:11" ht="14.5">
      <c r="A531" s="468">
        <v>12033011</v>
      </c>
      <c r="B531" s="468">
        <v>4142</v>
      </c>
      <c r="C531" s="468">
        <v>100</v>
      </c>
      <c r="D531" s="468" t="s">
        <v>156</v>
      </c>
      <c r="E531" s="468">
        <v>444.85</v>
      </c>
      <c r="F531" s="468">
        <v>60700300</v>
      </c>
      <c r="G531" s="468"/>
      <c r="H531" s="468"/>
      <c r="I531" s="468"/>
      <c r="J531" s="445" t="str">
        <f t="shared" si="16"/>
        <v>12033011100GLASS &amp; PLASTICS - NOT IN ITEM60700300</v>
      </c>
      <c r="K531" s="163">
        <f t="shared" si="17"/>
        <v>444.85</v>
      </c>
    </row>
    <row r="532" spans="1:11" ht="14.5">
      <c r="A532" s="468">
        <v>12063011</v>
      </c>
      <c r="B532" s="468">
        <v>4142</v>
      </c>
      <c r="C532" s="468">
        <v>100</v>
      </c>
      <c r="D532" s="468" t="s">
        <v>156</v>
      </c>
      <c r="E532" s="468">
        <v>7.65</v>
      </c>
      <c r="F532" s="468">
        <v>60700300</v>
      </c>
      <c r="G532" s="468"/>
      <c r="H532" s="468"/>
      <c r="I532" s="468"/>
      <c r="J532" s="445" t="str">
        <f t="shared" si="16"/>
        <v>12063011100GLASS &amp; PLASTICS - NOT IN ITEM60700300</v>
      </c>
      <c r="K532" s="163">
        <f t="shared" si="17"/>
        <v>7.65</v>
      </c>
    </row>
    <row r="533" spans="1:11" ht="14.5">
      <c r="A533" s="468">
        <v>12020500</v>
      </c>
      <c r="B533" s="468">
        <v>4151</v>
      </c>
      <c r="C533" s="468"/>
      <c r="D533" s="468" t="s">
        <v>157</v>
      </c>
      <c r="E533" s="468">
        <v>-106.84</v>
      </c>
      <c r="F533" s="468" t="s">
        <v>158</v>
      </c>
      <c r="G533" s="468"/>
      <c r="H533" s="468"/>
      <c r="I533" s="468"/>
      <c r="J533" s="445" t="str">
        <f t="shared" si="16"/>
        <v>12020500SUPPLIES - STANDARD COST607005LP</v>
      </c>
      <c r="K533" s="163">
        <f t="shared" si="17"/>
        <v>-106.84</v>
      </c>
    </row>
    <row r="534" spans="1:11" ht="14.5">
      <c r="A534" s="468">
        <v>12020500</v>
      </c>
      <c r="B534" s="468">
        <v>4151</v>
      </c>
      <c r="C534" s="468">
        <v>100</v>
      </c>
      <c r="D534" s="468" t="s">
        <v>157</v>
      </c>
      <c r="E534" s="468">
        <v>18126.34</v>
      </c>
      <c r="F534" s="468" t="s">
        <v>158</v>
      </c>
      <c r="G534" s="468"/>
      <c r="H534" s="468"/>
      <c r="I534" s="468"/>
      <c r="J534" s="445" t="str">
        <f t="shared" si="16"/>
        <v>12020500100SUPPLIES - STANDARD COST607005LP</v>
      </c>
      <c r="K534" s="163">
        <f t="shared" si="17"/>
        <v>18126.34</v>
      </c>
    </row>
    <row r="535" spans="1:11" ht="14.5">
      <c r="A535" s="468">
        <v>12022511</v>
      </c>
      <c r="B535" s="468">
        <v>4151</v>
      </c>
      <c r="C535" s="468"/>
      <c r="D535" s="468" t="s">
        <v>157</v>
      </c>
      <c r="E535" s="468">
        <v>800</v>
      </c>
      <c r="F535" s="468">
        <v>60700500</v>
      </c>
      <c r="G535" s="468"/>
      <c r="H535" s="468"/>
      <c r="I535" s="468"/>
      <c r="J535" s="445" t="str">
        <f t="shared" si="16"/>
        <v>12022511SUPPLIES - STANDARD COST60700500</v>
      </c>
      <c r="K535" s="163">
        <f t="shared" si="17"/>
        <v>800</v>
      </c>
    </row>
    <row r="536" spans="1:11" ht="14.5">
      <c r="A536" s="468">
        <v>12023011</v>
      </c>
      <c r="B536" s="468">
        <v>4151</v>
      </c>
      <c r="C536" s="468"/>
      <c r="D536" s="468" t="s">
        <v>157</v>
      </c>
      <c r="E536" s="468">
        <v>8275.7199999999993</v>
      </c>
      <c r="F536" s="468">
        <v>60700500</v>
      </c>
      <c r="G536" s="468"/>
      <c r="H536" s="468"/>
      <c r="I536" s="468"/>
      <c r="J536" s="445" t="str">
        <f t="shared" si="16"/>
        <v>12023011SUPPLIES - STANDARD COST60700500</v>
      </c>
      <c r="K536" s="163">
        <f t="shared" si="17"/>
        <v>8275.7199999999993</v>
      </c>
    </row>
    <row r="537" spans="1:11" ht="14.5">
      <c r="A537" s="468">
        <v>12023011</v>
      </c>
      <c r="B537" s="468">
        <v>4151</v>
      </c>
      <c r="C537" s="468">
        <v>100</v>
      </c>
      <c r="D537" s="468" t="s">
        <v>157</v>
      </c>
      <c r="E537" s="468">
        <v>22220.17</v>
      </c>
      <c r="F537" s="468">
        <v>60700500</v>
      </c>
      <c r="G537" s="468"/>
      <c r="H537" s="468"/>
      <c r="I537" s="468"/>
      <c r="J537" s="445" t="str">
        <f t="shared" si="16"/>
        <v>12023011100SUPPLIES - STANDARD COST60700500</v>
      </c>
      <c r="K537" s="163">
        <f t="shared" si="17"/>
        <v>22220.17</v>
      </c>
    </row>
    <row r="538" spans="1:11" ht="14.5">
      <c r="A538" s="468">
        <v>12023021</v>
      </c>
      <c r="B538" s="468">
        <v>4151</v>
      </c>
      <c r="C538" s="468"/>
      <c r="D538" s="468" t="s">
        <v>157</v>
      </c>
      <c r="E538" s="468">
        <v>11039.43</v>
      </c>
      <c r="F538" s="468">
        <v>60700500</v>
      </c>
      <c r="G538" s="468"/>
      <c r="H538" s="468"/>
      <c r="I538" s="468"/>
      <c r="J538" s="445" t="str">
        <f t="shared" si="16"/>
        <v>12023021SUPPLIES - STANDARD COST60700500</v>
      </c>
      <c r="K538" s="163">
        <f t="shared" si="17"/>
        <v>11039.43</v>
      </c>
    </row>
    <row r="539" spans="1:11" ht="14.5">
      <c r="A539" s="468">
        <v>12023021</v>
      </c>
      <c r="B539" s="468">
        <v>4151</v>
      </c>
      <c r="C539" s="468">
        <v>100</v>
      </c>
      <c r="D539" s="468" t="s">
        <v>157</v>
      </c>
      <c r="E539" s="468">
        <v>8471.49</v>
      </c>
      <c r="F539" s="468">
        <v>60700500</v>
      </c>
      <c r="G539" s="468"/>
      <c r="H539" s="468"/>
      <c r="I539" s="468"/>
      <c r="J539" s="445" t="str">
        <f t="shared" si="16"/>
        <v>12023021100SUPPLIES - STANDARD COST60700500</v>
      </c>
      <c r="K539" s="163">
        <f t="shared" si="17"/>
        <v>8471.49</v>
      </c>
    </row>
    <row r="540" spans="1:11" ht="14.5">
      <c r="A540" s="468">
        <v>12030500</v>
      </c>
      <c r="B540" s="468">
        <v>4151</v>
      </c>
      <c r="C540" s="468"/>
      <c r="D540" s="468" t="s">
        <v>157</v>
      </c>
      <c r="E540" s="468">
        <v>6222.85</v>
      </c>
      <c r="F540" s="468" t="s">
        <v>158</v>
      </c>
      <c r="G540" s="468"/>
      <c r="H540" s="468"/>
      <c r="I540" s="468"/>
      <c r="J540" s="445" t="str">
        <f t="shared" si="16"/>
        <v>12030500SUPPLIES - STANDARD COST607005LP</v>
      </c>
      <c r="K540" s="163">
        <f t="shared" si="17"/>
        <v>6222.85</v>
      </c>
    </row>
    <row r="541" spans="1:11" ht="14.5">
      <c r="A541" s="468">
        <v>12030500</v>
      </c>
      <c r="B541" s="468">
        <v>4151</v>
      </c>
      <c r="C541" s="468">
        <v>100</v>
      </c>
      <c r="D541" s="468" t="s">
        <v>157</v>
      </c>
      <c r="E541" s="468">
        <v>11838.22</v>
      </c>
      <c r="F541" s="468" t="s">
        <v>158</v>
      </c>
      <c r="G541" s="468"/>
      <c r="H541" s="468"/>
      <c r="I541" s="468"/>
      <c r="J541" s="445" t="str">
        <f t="shared" si="16"/>
        <v>12030500100SUPPLIES - STANDARD COST607005LP</v>
      </c>
      <c r="K541" s="163">
        <f t="shared" si="17"/>
        <v>11838.22</v>
      </c>
    </row>
    <row r="542" spans="1:11" ht="14.5">
      <c r="A542" s="468">
        <v>12032511</v>
      </c>
      <c r="B542" s="468">
        <v>4151</v>
      </c>
      <c r="C542" s="468"/>
      <c r="D542" s="468" t="s">
        <v>157</v>
      </c>
      <c r="E542" s="468">
        <v>180</v>
      </c>
      <c r="F542" s="468">
        <v>60700500</v>
      </c>
      <c r="G542" s="468"/>
      <c r="H542" s="468"/>
      <c r="I542" s="468"/>
      <c r="J542" s="445" t="str">
        <f t="shared" si="16"/>
        <v>12032511SUPPLIES - STANDARD COST60700500</v>
      </c>
      <c r="K542" s="163">
        <f t="shared" si="17"/>
        <v>180</v>
      </c>
    </row>
    <row r="543" spans="1:11" ht="14.5">
      <c r="A543" s="468">
        <v>12033011</v>
      </c>
      <c r="B543" s="468">
        <v>4151</v>
      </c>
      <c r="C543" s="468"/>
      <c r="D543" s="468" t="s">
        <v>157</v>
      </c>
      <c r="E543" s="468">
        <v>-2265.98</v>
      </c>
      <c r="F543" s="468">
        <v>60700500</v>
      </c>
      <c r="G543" s="468"/>
      <c r="H543" s="468"/>
      <c r="I543" s="468"/>
      <c r="J543" s="445" t="str">
        <f t="shared" si="16"/>
        <v>12033011SUPPLIES - STANDARD COST60700500</v>
      </c>
      <c r="K543" s="163">
        <f t="shared" si="17"/>
        <v>-2265.98</v>
      </c>
    </row>
    <row r="544" spans="1:11" ht="14.5">
      <c r="A544" s="468">
        <v>12033011</v>
      </c>
      <c r="B544" s="468">
        <v>4151</v>
      </c>
      <c r="C544" s="468">
        <v>100</v>
      </c>
      <c r="D544" s="468" t="s">
        <v>157</v>
      </c>
      <c r="E544" s="468">
        <v>32546.49</v>
      </c>
      <c r="F544" s="468">
        <v>60700500</v>
      </c>
      <c r="G544" s="468"/>
      <c r="H544" s="468"/>
      <c r="I544" s="468"/>
      <c r="J544" s="445" t="str">
        <f t="shared" si="16"/>
        <v>12033011100SUPPLIES - STANDARD COST60700500</v>
      </c>
      <c r="K544" s="163">
        <f t="shared" si="17"/>
        <v>32546.49</v>
      </c>
    </row>
    <row r="545" spans="1:11" ht="14.5">
      <c r="A545" s="468">
        <v>12033021</v>
      </c>
      <c r="B545" s="468">
        <v>4151</v>
      </c>
      <c r="C545" s="468"/>
      <c r="D545" s="468" t="s">
        <v>157</v>
      </c>
      <c r="E545" s="468">
        <v>1312</v>
      </c>
      <c r="F545" s="468">
        <v>60700500</v>
      </c>
      <c r="G545" s="468"/>
      <c r="H545" s="468"/>
      <c r="I545" s="468"/>
      <c r="J545" s="445" t="str">
        <f t="shared" si="16"/>
        <v>12033021SUPPLIES - STANDARD COST60700500</v>
      </c>
      <c r="K545" s="163">
        <f t="shared" si="17"/>
        <v>1312</v>
      </c>
    </row>
    <row r="546" spans="1:11" ht="14.5">
      <c r="A546" s="468">
        <v>12033021</v>
      </c>
      <c r="B546" s="468">
        <v>4151</v>
      </c>
      <c r="C546" s="468">
        <v>100</v>
      </c>
      <c r="D546" s="468" t="s">
        <v>157</v>
      </c>
      <c r="E546" s="468">
        <v>1983.69</v>
      </c>
      <c r="F546" s="468">
        <v>60700500</v>
      </c>
      <c r="G546" s="468"/>
      <c r="H546" s="468"/>
      <c r="I546" s="468"/>
      <c r="J546" s="445" t="str">
        <f t="shared" si="16"/>
        <v>12033021100SUPPLIES - STANDARD COST60700500</v>
      </c>
      <c r="K546" s="163">
        <f t="shared" si="17"/>
        <v>1983.69</v>
      </c>
    </row>
    <row r="547" spans="1:11" ht="14.5">
      <c r="A547" s="468">
        <v>12040500</v>
      </c>
      <c r="B547" s="468">
        <v>4151</v>
      </c>
      <c r="C547" s="468"/>
      <c r="D547" s="468" t="s">
        <v>157</v>
      </c>
      <c r="E547" s="468">
        <v>911.44</v>
      </c>
      <c r="F547" s="468" t="s">
        <v>158</v>
      </c>
      <c r="G547" s="468"/>
      <c r="H547" s="468"/>
      <c r="I547" s="468"/>
      <c r="J547" s="445" t="str">
        <f t="shared" si="16"/>
        <v>12040500SUPPLIES - STANDARD COST607005LP</v>
      </c>
      <c r="K547" s="163">
        <f t="shared" si="17"/>
        <v>911.44</v>
      </c>
    </row>
    <row r="548" spans="1:11" ht="14.5">
      <c r="A548" s="468">
        <v>12040500</v>
      </c>
      <c r="B548" s="468">
        <v>4151</v>
      </c>
      <c r="C548" s="468">
        <v>100</v>
      </c>
      <c r="D548" s="468" t="s">
        <v>157</v>
      </c>
      <c r="E548" s="468">
        <v>4606.62</v>
      </c>
      <c r="F548" s="468" t="s">
        <v>158</v>
      </c>
      <c r="G548" s="468"/>
      <c r="H548" s="468"/>
      <c r="I548" s="468"/>
      <c r="J548" s="445" t="str">
        <f t="shared" si="16"/>
        <v>12040500100SUPPLIES - STANDARD COST607005LP</v>
      </c>
      <c r="K548" s="163">
        <f t="shared" si="17"/>
        <v>4606.62</v>
      </c>
    </row>
    <row r="549" spans="1:11" ht="14.5">
      <c r="A549" s="468">
        <v>12043011</v>
      </c>
      <c r="B549" s="468">
        <v>4151</v>
      </c>
      <c r="C549" s="468"/>
      <c r="D549" s="468" t="s">
        <v>157</v>
      </c>
      <c r="E549" s="468">
        <v>252.6</v>
      </c>
      <c r="F549" s="468">
        <v>60700500</v>
      </c>
      <c r="G549" s="468"/>
      <c r="H549" s="468"/>
      <c r="I549" s="468"/>
      <c r="J549" s="445" t="str">
        <f t="shared" si="16"/>
        <v>12043011SUPPLIES - STANDARD COST60700500</v>
      </c>
      <c r="K549" s="163">
        <f t="shared" si="17"/>
        <v>252.6</v>
      </c>
    </row>
    <row r="550" spans="1:11" ht="14.5">
      <c r="A550" s="468">
        <v>12043011</v>
      </c>
      <c r="B550" s="468">
        <v>4151</v>
      </c>
      <c r="C550" s="468">
        <v>100</v>
      </c>
      <c r="D550" s="468" t="s">
        <v>157</v>
      </c>
      <c r="E550" s="468">
        <v>9824.74</v>
      </c>
      <c r="F550" s="468">
        <v>60700500</v>
      </c>
      <c r="G550" s="468"/>
      <c r="H550" s="468"/>
      <c r="I550" s="468"/>
      <c r="J550" s="445" t="str">
        <f t="shared" si="16"/>
        <v>12043011100SUPPLIES - STANDARD COST60700500</v>
      </c>
      <c r="K550" s="163">
        <f t="shared" si="17"/>
        <v>9824.74</v>
      </c>
    </row>
    <row r="551" spans="1:11" ht="14.5">
      <c r="A551" s="468">
        <v>12043021</v>
      </c>
      <c r="B551" s="468">
        <v>4151</v>
      </c>
      <c r="C551" s="468">
        <v>100</v>
      </c>
      <c r="D551" s="468" t="s">
        <v>157</v>
      </c>
      <c r="E551" s="468">
        <v>2632.44</v>
      </c>
      <c r="F551" s="468">
        <v>60700500</v>
      </c>
      <c r="G551" s="468"/>
      <c r="H551" s="468"/>
      <c r="I551" s="468"/>
      <c r="J551" s="445" t="str">
        <f t="shared" si="16"/>
        <v>12043021100SUPPLIES - STANDARD COST60700500</v>
      </c>
      <c r="K551" s="163">
        <f t="shared" si="17"/>
        <v>2632.44</v>
      </c>
    </row>
    <row r="552" spans="1:11" ht="14.5">
      <c r="A552" s="468">
        <v>12060500</v>
      </c>
      <c r="B552" s="468">
        <v>4151</v>
      </c>
      <c r="C552" s="468"/>
      <c r="D552" s="468" t="s">
        <v>157</v>
      </c>
      <c r="E552" s="468">
        <v>2050.2199999999998</v>
      </c>
      <c r="F552" s="468" t="s">
        <v>158</v>
      </c>
      <c r="G552" s="468"/>
      <c r="H552" s="468"/>
      <c r="I552" s="468"/>
      <c r="J552" s="445" t="str">
        <f t="shared" si="16"/>
        <v>12060500SUPPLIES - STANDARD COST607005LP</v>
      </c>
      <c r="K552" s="163">
        <f t="shared" si="17"/>
        <v>2050.2199999999998</v>
      </c>
    </row>
    <row r="553" spans="1:11" ht="14.5">
      <c r="A553" s="468">
        <v>12060500</v>
      </c>
      <c r="B553" s="468">
        <v>4151</v>
      </c>
      <c r="C553" s="468">
        <v>100</v>
      </c>
      <c r="D553" s="468" t="s">
        <v>157</v>
      </c>
      <c r="E553" s="468">
        <v>2041.33</v>
      </c>
      <c r="F553" s="468" t="s">
        <v>158</v>
      </c>
      <c r="G553" s="468"/>
      <c r="H553" s="468"/>
      <c r="I553" s="468"/>
      <c r="J553" s="445" t="str">
        <f t="shared" si="16"/>
        <v>12060500100SUPPLIES - STANDARD COST607005LP</v>
      </c>
      <c r="K553" s="163">
        <f t="shared" si="17"/>
        <v>2041.33</v>
      </c>
    </row>
    <row r="554" spans="1:11" ht="14.5">
      <c r="A554" s="468">
        <v>12063011</v>
      </c>
      <c r="B554" s="468">
        <v>4151</v>
      </c>
      <c r="C554" s="468"/>
      <c r="D554" s="468" t="s">
        <v>157</v>
      </c>
      <c r="E554" s="468">
        <v>761.3</v>
      </c>
      <c r="F554" s="468">
        <v>60700500</v>
      </c>
      <c r="G554" s="468"/>
      <c r="H554" s="468"/>
      <c r="I554" s="468"/>
      <c r="J554" s="445" t="str">
        <f t="shared" si="16"/>
        <v>12063011SUPPLIES - STANDARD COST60700500</v>
      </c>
      <c r="K554" s="163">
        <f t="shared" si="17"/>
        <v>761.3</v>
      </c>
    </row>
    <row r="555" spans="1:11" ht="14.5">
      <c r="A555" s="468">
        <v>12063011</v>
      </c>
      <c r="B555" s="468">
        <v>4151</v>
      </c>
      <c r="C555" s="468">
        <v>100</v>
      </c>
      <c r="D555" s="468" t="s">
        <v>157</v>
      </c>
      <c r="E555" s="468">
        <v>4225.3900000000003</v>
      </c>
      <c r="F555" s="468">
        <v>60700500</v>
      </c>
      <c r="G555" s="468"/>
      <c r="H555" s="468"/>
      <c r="I555" s="468"/>
      <c r="J555" s="445" t="str">
        <f t="shared" si="16"/>
        <v>12063011100SUPPLIES - STANDARD COST60700500</v>
      </c>
      <c r="K555" s="163">
        <f t="shared" si="17"/>
        <v>4225.3900000000003</v>
      </c>
    </row>
    <row r="556" spans="1:11" ht="14.5">
      <c r="A556" s="468">
        <v>12063021</v>
      </c>
      <c r="B556" s="468">
        <v>4151</v>
      </c>
      <c r="C556" s="468">
        <v>100</v>
      </c>
      <c r="D556" s="468" t="s">
        <v>157</v>
      </c>
      <c r="E556" s="468">
        <v>132</v>
      </c>
      <c r="F556" s="468">
        <v>60700500</v>
      </c>
      <c r="G556" s="468"/>
      <c r="H556" s="468"/>
      <c r="I556" s="468"/>
      <c r="J556" s="445" t="str">
        <f t="shared" si="16"/>
        <v>12063021100SUPPLIES - STANDARD COST60700500</v>
      </c>
      <c r="K556" s="163">
        <f t="shared" si="17"/>
        <v>132</v>
      </c>
    </row>
    <row r="557" spans="1:11" ht="14.5">
      <c r="A557" s="468">
        <v>12063021</v>
      </c>
      <c r="B557" s="468">
        <v>4152</v>
      </c>
      <c r="C557" s="468"/>
      <c r="D557" s="468" t="s">
        <v>159</v>
      </c>
      <c r="E557" s="468">
        <v>64.88</v>
      </c>
      <c r="F557" s="468">
        <v>60700500</v>
      </c>
      <c r="G557" s="468"/>
      <c r="H557" s="468"/>
      <c r="I557" s="468"/>
      <c r="J557" s="445" t="str">
        <f t="shared" si="16"/>
        <v>12063021SUPPLIES - PURCHASE PRICE VARI60700500</v>
      </c>
      <c r="K557" s="163">
        <f t="shared" si="17"/>
        <v>64.88</v>
      </c>
    </row>
    <row r="558" spans="1:11" ht="14.5">
      <c r="A558" s="468">
        <v>12033011</v>
      </c>
      <c r="B558" s="468">
        <v>4152</v>
      </c>
      <c r="C558" s="468"/>
      <c r="D558" s="468" t="s">
        <v>159</v>
      </c>
      <c r="E558" s="468">
        <v>138397.66</v>
      </c>
      <c r="F558" s="468">
        <v>60700500</v>
      </c>
      <c r="G558" s="468"/>
      <c r="H558" s="468"/>
      <c r="I558" s="468"/>
      <c r="J558" s="445" t="str">
        <f t="shared" si="16"/>
        <v>12033011SUPPLIES - PURCHASE PRICE VARI60700500</v>
      </c>
      <c r="K558" s="163">
        <f t="shared" si="17"/>
        <v>138397.66</v>
      </c>
    </row>
    <row r="559" spans="1:11" ht="14.5">
      <c r="A559" s="468">
        <v>12033011</v>
      </c>
      <c r="B559" s="468">
        <v>4152</v>
      </c>
      <c r="C559" s="468">
        <v>100</v>
      </c>
      <c r="D559" s="468" t="s">
        <v>160</v>
      </c>
      <c r="E559" s="468">
        <v>305.83</v>
      </c>
      <c r="F559" s="468">
        <v>60700500</v>
      </c>
      <c r="G559" s="468"/>
      <c r="H559" s="468"/>
      <c r="I559" s="468"/>
      <c r="J559" s="445" t="str">
        <f t="shared" si="16"/>
        <v>12033011100SUPPLIES - NOT IN ITEM MASTER60700500</v>
      </c>
      <c r="K559" s="163">
        <f t="shared" si="17"/>
        <v>305.83</v>
      </c>
    </row>
    <row r="560" spans="1:11" ht="14.5">
      <c r="A560" s="468">
        <v>12043011</v>
      </c>
      <c r="B560" s="468">
        <v>4152</v>
      </c>
      <c r="C560" s="468"/>
      <c r="D560" s="468" t="s">
        <v>159</v>
      </c>
      <c r="E560" s="468">
        <v>104529.2</v>
      </c>
      <c r="F560" s="468">
        <v>60700500</v>
      </c>
      <c r="G560" s="468"/>
      <c r="H560" s="468"/>
      <c r="I560" s="468"/>
      <c r="J560" s="445" t="str">
        <f t="shared" si="16"/>
        <v>12043011SUPPLIES - PURCHASE PRICE VARI60700500</v>
      </c>
      <c r="K560" s="163">
        <f t="shared" si="17"/>
        <v>104529.2</v>
      </c>
    </row>
    <row r="561" spans="1:11" ht="14.5">
      <c r="A561" s="468">
        <v>12043011</v>
      </c>
      <c r="B561" s="468">
        <v>4152</v>
      </c>
      <c r="C561" s="468">
        <v>100</v>
      </c>
      <c r="D561" s="468" t="s">
        <v>160</v>
      </c>
      <c r="E561" s="468">
        <v>18.77</v>
      </c>
      <c r="F561" s="468">
        <v>60700500</v>
      </c>
      <c r="G561" s="468"/>
      <c r="H561" s="468"/>
      <c r="I561" s="468"/>
      <c r="J561" s="445" t="str">
        <f t="shared" si="16"/>
        <v>12043011100SUPPLIES - NOT IN ITEM MASTER60700500</v>
      </c>
      <c r="K561" s="163">
        <f t="shared" si="17"/>
        <v>18.77</v>
      </c>
    </row>
    <row r="562" spans="1:11" ht="14.5">
      <c r="A562" s="468">
        <v>12043021</v>
      </c>
      <c r="B562" s="468">
        <v>4152</v>
      </c>
      <c r="C562" s="468"/>
      <c r="D562" s="468" t="s">
        <v>159</v>
      </c>
      <c r="E562" s="468">
        <v>3290.76</v>
      </c>
      <c r="F562" s="468">
        <v>60700500</v>
      </c>
      <c r="G562" s="468"/>
      <c r="H562" s="468"/>
      <c r="I562" s="468"/>
      <c r="J562" s="445" t="str">
        <f t="shared" si="16"/>
        <v>12043021SUPPLIES - PURCHASE PRICE VARI60700500</v>
      </c>
      <c r="K562" s="163">
        <f t="shared" si="17"/>
        <v>3290.76</v>
      </c>
    </row>
    <row r="563" spans="1:11" ht="14.5">
      <c r="A563" s="468">
        <v>12063011</v>
      </c>
      <c r="B563" s="468">
        <v>4152</v>
      </c>
      <c r="C563" s="468"/>
      <c r="D563" s="468" t="s">
        <v>159</v>
      </c>
      <c r="E563" s="468">
        <v>29766.93</v>
      </c>
      <c r="F563" s="468">
        <v>60700500</v>
      </c>
      <c r="G563" s="468"/>
      <c r="H563" s="468"/>
      <c r="I563" s="468"/>
      <c r="J563" s="445" t="str">
        <f t="shared" si="16"/>
        <v>12063011SUPPLIES - PURCHASE PRICE VARI60700500</v>
      </c>
      <c r="K563" s="163">
        <f t="shared" si="17"/>
        <v>29766.93</v>
      </c>
    </row>
    <row r="564" spans="1:11" ht="14.5">
      <c r="A564" s="468">
        <v>12063011</v>
      </c>
      <c r="B564" s="468">
        <v>4152</v>
      </c>
      <c r="C564" s="468">
        <v>100</v>
      </c>
      <c r="D564" s="468" t="s">
        <v>160</v>
      </c>
      <c r="E564" s="468">
        <v>9.73</v>
      </c>
      <c r="F564" s="468">
        <v>60700500</v>
      </c>
      <c r="G564" s="468"/>
      <c r="H564" s="468"/>
      <c r="I564" s="468"/>
      <c r="J564" s="445" t="str">
        <f t="shared" si="16"/>
        <v>12063011100SUPPLIES - NOT IN ITEM MASTER60700500</v>
      </c>
      <c r="K564" s="163">
        <f t="shared" si="17"/>
        <v>9.73</v>
      </c>
    </row>
    <row r="565" spans="1:11" ht="14.5">
      <c r="A565" s="468">
        <v>12010500</v>
      </c>
      <c r="B565" s="468">
        <v>4152</v>
      </c>
      <c r="C565" s="468"/>
      <c r="D565" s="468" t="s">
        <v>159</v>
      </c>
      <c r="E565" s="468">
        <v>4252.84</v>
      </c>
      <c r="F565" s="468" t="s">
        <v>158</v>
      </c>
      <c r="G565" s="468"/>
      <c r="H565" s="468"/>
      <c r="I565" s="468"/>
      <c r="J565" s="445" t="str">
        <f t="shared" si="16"/>
        <v>12010500SUPPLIES - PURCHASE PRICE VARI607005LP</v>
      </c>
      <c r="K565" s="163">
        <f t="shared" si="17"/>
        <v>4252.84</v>
      </c>
    </row>
    <row r="566" spans="1:11" ht="14.5">
      <c r="A566" s="468">
        <v>12022511</v>
      </c>
      <c r="B566" s="468">
        <v>4152</v>
      </c>
      <c r="C566" s="468"/>
      <c r="D566" s="468" t="s">
        <v>159</v>
      </c>
      <c r="E566" s="468">
        <v>170.75</v>
      </c>
      <c r="F566" s="468">
        <v>60700500</v>
      </c>
      <c r="G566" s="468"/>
      <c r="H566" s="468"/>
      <c r="I566" s="468"/>
      <c r="J566" s="445" t="str">
        <f t="shared" si="16"/>
        <v>12022511SUPPLIES - PURCHASE PRICE VARI60700500</v>
      </c>
      <c r="K566" s="163">
        <f t="shared" si="17"/>
        <v>170.75</v>
      </c>
    </row>
    <row r="567" spans="1:11" ht="14.5">
      <c r="A567" s="468">
        <v>12021021</v>
      </c>
      <c r="B567" s="468">
        <v>4152</v>
      </c>
      <c r="C567" s="468"/>
      <c r="D567" s="468" t="s">
        <v>159</v>
      </c>
      <c r="E567" s="468">
        <v>412.5</v>
      </c>
      <c r="F567" s="468">
        <v>60700500</v>
      </c>
      <c r="G567" s="468"/>
      <c r="H567" s="468"/>
      <c r="I567" s="468"/>
      <c r="J567" s="445" t="str">
        <f t="shared" si="16"/>
        <v>12021021SUPPLIES - PURCHASE PRICE VARI60700500</v>
      </c>
      <c r="K567" s="163">
        <f t="shared" si="17"/>
        <v>412.5</v>
      </c>
    </row>
    <row r="568" spans="1:11" ht="14.5">
      <c r="A568" s="468">
        <v>12023021</v>
      </c>
      <c r="B568" s="468">
        <v>4152</v>
      </c>
      <c r="C568" s="468"/>
      <c r="D568" s="468" t="s">
        <v>159</v>
      </c>
      <c r="E568" s="468">
        <v>54186.09</v>
      </c>
      <c r="F568" s="468">
        <v>60700500</v>
      </c>
      <c r="G568" s="468"/>
      <c r="H568" s="468"/>
      <c r="I568" s="468"/>
      <c r="J568" s="445" t="str">
        <f t="shared" si="16"/>
        <v>12023021SUPPLIES - PURCHASE PRICE VARI60700500</v>
      </c>
      <c r="K568" s="163">
        <f t="shared" si="17"/>
        <v>54186.09</v>
      </c>
    </row>
    <row r="569" spans="1:11" ht="14.5">
      <c r="A569" s="468">
        <v>12023011</v>
      </c>
      <c r="B569" s="468">
        <v>4152</v>
      </c>
      <c r="C569" s="468"/>
      <c r="D569" s="468" t="s">
        <v>159</v>
      </c>
      <c r="E569" s="468">
        <v>84067.34</v>
      </c>
      <c r="F569" s="468">
        <v>60700500</v>
      </c>
      <c r="G569" s="468"/>
      <c r="H569" s="468"/>
      <c r="I569" s="468"/>
      <c r="J569" s="445" t="str">
        <f t="shared" si="16"/>
        <v>12023011SUPPLIES - PURCHASE PRICE VARI60700500</v>
      </c>
      <c r="K569" s="163">
        <f t="shared" si="17"/>
        <v>84067.34</v>
      </c>
    </row>
    <row r="570" spans="1:11" ht="14.5">
      <c r="A570" s="468">
        <v>12023011</v>
      </c>
      <c r="B570" s="468">
        <v>4152</v>
      </c>
      <c r="C570" s="468">
        <v>100</v>
      </c>
      <c r="D570" s="468" t="s">
        <v>160</v>
      </c>
      <c r="E570" s="468">
        <v>564.41</v>
      </c>
      <c r="F570" s="468">
        <v>60700500</v>
      </c>
      <c r="G570" s="468"/>
      <c r="H570" s="468"/>
      <c r="I570" s="468"/>
      <c r="J570" s="445" t="str">
        <f t="shared" si="16"/>
        <v>12023011100SUPPLIES - NOT IN ITEM MASTER60700500</v>
      </c>
      <c r="K570" s="163">
        <f t="shared" si="17"/>
        <v>564.41</v>
      </c>
    </row>
    <row r="571" spans="1:11" ht="14.5">
      <c r="A571" s="468">
        <v>12031021</v>
      </c>
      <c r="B571" s="468">
        <v>4152</v>
      </c>
      <c r="C571" s="468"/>
      <c r="D571" s="468" t="s">
        <v>159</v>
      </c>
      <c r="E571" s="468">
        <v>542.5</v>
      </c>
      <c r="F571" s="468">
        <v>60700500</v>
      </c>
      <c r="G571" s="468"/>
      <c r="H571" s="468"/>
      <c r="I571" s="468"/>
      <c r="J571" s="445" t="str">
        <f t="shared" si="16"/>
        <v>12031021SUPPLIES - PURCHASE PRICE VARI60700500</v>
      </c>
      <c r="K571" s="163">
        <f t="shared" si="17"/>
        <v>542.5</v>
      </c>
    </row>
    <row r="572" spans="1:11" ht="14.5">
      <c r="A572" s="468">
        <v>12033021</v>
      </c>
      <c r="B572" s="468">
        <v>4152</v>
      </c>
      <c r="C572" s="468"/>
      <c r="D572" s="468" t="s">
        <v>159</v>
      </c>
      <c r="E572" s="468">
        <v>2757.61</v>
      </c>
      <c r="F572" s="468">
        <v>60700500</v>
      </c>
      <c r="G572" s="468"/>
      <c r="H572" s="468"/>
      <c r="I572" s="468"/>
      <c r="J572" s="445" t="str">
        <f t="shared" si="16"/>
        <v>12033021SUPPLIES - PURCHASE PRICE VARI60700500</v>
      </c>
      <c r="K572" s="163">
        <f t="shared" si="17"/>
        <v>2757.61</v>
      </c>
    </row>
    <row r="573" spans="1:11" ht="14.5">
      <c r="A573" s="468">
        <v>12033123</v>
      </c>
      <c r="B573" s="468">
        <v>4155</v>
      </c>
      <c r="C573" s="468"/>
      <c r="D573" s="468" t="s">
        <v>161</v>
      </c>
      <c r="E573" s="468">
        <v>1067.0899999999999</v>
      </c>
      <c r="F573" s="468">
        <v>60700700</v>
      </c>
      <c r="G573" s="468"/>
      <c r="H573" s="468"/>
      <c r="I573" s="468"/>
      <c r="J573" s="445" t="str">
        <f t="shared" si="16"/>
        <v>12033123PURCHASE OF SAMPLES60700700</v>
      </c>
      <c r="K573" s="163">
        <f t="shared" si="17"/>
        <v>1067.0899999999999</v>
      </c>
    </row>
    <row r="574" spans="1:11" ht="14.5">
      <c r="A574" s="468">
        <v>12043011</v>
      </c>
      <c r="B574" s="468">
        <v>4155</v>
      </c>
      <c r="C574" s="468"/>
      <c r="D574" s="468" t="s">
        <v>161</v>
      </c>
      <c r="E574" s="468">
        <v>959.7</v>
      </c>
      <c r="F574" s="468">
        <v>60700700</v>
      </c>
      <c r="G574" s="468"/>
      <c r="H574" s="468"/>
      <c r="I574" s="468"/>
      <c r="J574" s="445" t="str">
        <f t="shared" si="16"/>
        <v>12043011PURCHASE OF SAMPLES60700700</v>
      </c>
      <c r="K574" s="163">
        <f t="shared" si="17"/>
        <v>959.7</v>
      </c>
    </row>
    <row r="575" spans="1:11" ht="14.5">
      <c r="A575" s="468">
        <v>12063011</v>
      </c>
      <c r="B575" s="468">
        <v>4155</v>
      </c>
      <c r="C575" s="468"/>
      <c r="D575" s="468" t="s">
        <v>161</v>
      </c>
      <c r="E575" s="468">
        <v>767.55</v>
      </c>
      <c r="F575" s="468">
        <v>60700700</v>
      </c>
      <c r="G575" s="468"/>
      <c r="H575" s="468"/>
      <c r="I575" s="468"/>
      <c r="J575" s="445" t="str">
        <f t="shared" si="16"/>
        <v>12063011PURCHASE OF SAMPLES60700700</v>
      </c>
      <c r="K575" s="163">
        <f t="shared" si="17"/>
        <v>767.55</v>
      </c>
    </row>
    <row r="576" spans="1:11" ht="14.5">
      <c r="A576" s="468">
        <v>12023021</v>
      </c>
      <c r="B576" s="468">
        <v>4155</v>
      </c>
      <c r="C576" s="468"/>
      <c r="D576" s="468" t="s">
        <v>161</v>
      </c>
      <c r="E576" s="468">
        <v>176.88</v>
      </c>
      <c r="F576" s="468">
        <v>60700700</v>
      </c>
      <c r="G576" s="468"/>
      <c r="H576" s="468"/>
      <c r="I576" s="468"/>
      <c r="J576" s="445" t="str">
        <f t="shared" si="16"/>
        <v>12023021PURCHASE OF SAMPLES60700700</v>
      </c>
      <c r="K576" s="163">
        <f t="shared" si="17"/>
        <v>176.88</v>
      </c>
    </row>
    <row r="577" spans="1:11" ht="14.5">
      <c r="A577" s="468">
        <v>12023011</v>
      </c>
      <c r="B577" s="468">
        <v>4155</v>
      </c>
      <c r="C577" s="468"/>
      <c r="D577" s="468" t="s">
        <v>161</v>
      </c>
      <c r="E577" s="468">
        <v>3216.19</v>
      </c>
      <c r="F577" s="468">
        <v>60700700</v>
      </c>
      <c r="G577" s="468"/>
      <c r="H577" s="468"/>
      <c r="I577" s="468"/>
      <c r="J577" s="445" t="str">
        <f t="shared" si="16"/>
        <v>12023011PURCHASE OF SAMPLES60700700</v>
      </c>
      <c r="K577" s="163">
        <f t="shared" si="17"/>
        <v>3216.19</v>
      </c>
    </row>
    <row r="578" spans="1:11" ht="14.5">
      <c r="A578" s="468">
        <v>12033011</v>
      </c>
      <c r="B578" s="468">
        <v>4155</v>
      </c>
      <c r="C578" s="468"/>
      <c r="D578" s="468" t="s">
        <v>161</v>
      </c>
      <c r="E578" s="468">
        <v>4443.78</v>
      </c>
      <c r="F578" s="468">
        <v>60700700</v>
      </c>
      <c r="G578" s="468"/>
      <c r="H578" s="468"/>
      <c r="I578" s="468"/>
      <c r="J578" s="445" t="str">
        <f t="shared" si="16"/>
        <v>12033011PURCHASE OF SAMPLES60700700</v>
      </c>
      <c r="K578" s="163">
        <f t="shared" si="17"/>
        <v>4443.78</v>
      </c>
    </row>
    <row r="579" spans="1:11" ht="14.5">
      <c r="A579" s="468">
        <v>12032511</v>
      </c>
      <c r="B579" s="468">
        <v>4155</v>
      </c>
      <c r="C579" s="468"/>
      <c r="D579" s="468" t="s">
        <v>161</v>
      </c>
      <c r="E579" s="468">
        <v>58.32</v>
      </c>
      <c r="F579" s="468">
        <v>60700700</v>
      </c>
      <c r="G579" s="468"/>
      <c r="H579" s="468"/>
      <c r="I579" s="468"/>
      <c r="J579" s="445" t="str">
        <f t="shared" si="16"/>
        <v>12032511PURCHASE OF SAMPLES60700700</v>
      </c>
      <c r="K579" s="163">
        <f t="shared" si="17"/>
        <v>58.32</v>
      </c>
    </row>
    <row r="580" spans="1:11" ht="14.5">
      <c r="A580" s="468">
        <v>12043122</v>
      </c>
      <c r="B580" s="468">
        <v>4163</v>
      </c>
      <c r="C580" s="468"/>
      <c r="D580" s="468" t="s">
        <v>162</v>
      </c>
      <c r="E580" s="468">
        <v>70375.8</v>
      </c>
      <c r="F580" s="468">
        <v>60400000</v>
      </c>
      <c r="G580" s="468"/>
      <c r="H580" s="468"/>
      <c r="I580" s="468"/>
      <c r="J580" s="445" t="str">
        <f t="shared" si="16"/>
        <v>12043122OUTS ANALYSIS &amp; SERV- 1/3 PART60400000</v>
      </c>
      <c r="K580" s="163">
        <f t="shared" si="17"/>
        <v>70375.8</v>
      </c>
    </row>
    <row r="581" spans="1:11" ht="14.5">
      <c r="A581" s="468">
        <v>12063011</v>
      </c>
      <c r="B581" s="468">
        <v>4163</v>
      </c>
      <c r="C581" s="468"/>
      <c r="D581" s="468" t="s">
        <v>162</v>
      </c>
      <c r="E581" s="468">
        <v>55487.68</v>
      </c>
      <c r="F581" s="468">
        <v>60400000</v>
      </c>
      <c r="G581" s="468"/>
      <c r="H581" s="468"/>
      <c r="I581" s="468"/>
      <c r="J581" s="445" t="str">
        <f t="shared" ref="J581:J644" si="18">A581&amp;C581&amp;D581&amp;F581</f>
        <v>12063011OUTS ANALYSIS &amp; SERV- 1/3 PART60400000</v>
      </c>
      <c r="K581" s="163">
        <f t="shared" ref="K581:K644" si="19">E581</f>
        <v>55487.68</v>
      </c>
    </row>
    <row r="582" spans="1:11" ht="14.5">
      <c r="A582" s="468">
        <v>12063122</v>
      </c>
      <c r="B582" s="468">
        <v>4163</v>
      </c>
      <c r="C582" s="468"/>
      <c r="D582" s="468" t="s">
        <v>162</v>
      </c>
      <c r="E582" s="468">
        <v>199495.99</v>
      </c>
      <c r="F582" s="468">
        <v>60400000</v>
      </c>
      <c r="G582" s="468"/>
      <c r="H582" s="468"/>
      <c r="I582" s="468"/>
      <c r="J582" s="445" t="str">
        <f t="shared" si="18"/>
        <v>12063122OUTS ANALYSIS &amp; SERV- 1/3 PART60400000</v>
      </c>
      <c r="K582" s="163">
        <f t="shared" si="19"/>
        <v>199495.99</v>
      </c>
    </row>
    <row r="583" spans="1:11" ht="14.5">
      <c r="A583" s="468">
        <v>12023011</v>
      </c>
      <c r="B583" s="468">
        <v>4163</v>
      </c>
      <c r="C583" s="468"/>
      <c r="D583" s="468" t="s">
        <v>162</v>
      </c>
      <c r="E583" s="468">
        <v>46375.75</v>
      </c>
      <c r="F583" s="468">
        <v>60400000</v>
      </c>
      <c r="G583" s="468"/>
      <c r="H583" s="468"/>
      <c r="I583" s="468"/>
      <c r="J583" s="445" t="str">
        <f t="shared" si="18"/>
        <v>12023011OUTS ANALYSIS &amp; SERV- 1/3 PART60400000</v>
      </c>
      <c r="K583" s="163">
        <f t="shared" si="19"/>
        <v>46375.75</v>
      </c>
    </row>
    <row r="584" spans="1:11" ht="14.5">
      <c r="A584" s="468">
        <v>12023122</v>
      </c>
      <c r="B584" s="468">
        <v>4163</v>
      </c>
      <c r="C584" s="468"/>
      <c r="D584" s="468" t="s">
        <v>162</v>
      </c>
      <c r="E584" s="468">
        <v>253440.81</v>
      </c>
      <c r="F584" s="468">
        <v>60400000</v>
      </c>
      <c r="G584" s="468"/>
      <c r="H584" s="468"/>
      <c r="I584" s="468"/>
      <c r="J584" s="445" t="str">
        <f t="shared" si="18"/>
        <v>12023122OUTS ANALYSIS &amp; SERV- 1/3 PART60400000</v>
      </c>
      <c r="K584" s="163">
        <f t="shared" si="19"/>
        <v>253440.81</v>
      </c>
    </row>
    <row r="585" spans="1:11" ht="14.5">
      <c r="A585" s="468">
        <v>12033011</v>
      </c>
      <c r="B585" s="468">
        <v>4163</v>
      </c>
      <c r="C585" s="468"/>
      <c r="D585" s="468" t="s">
        <v>162</v>
      </c>
      <c r="E585" s="468">
        <v>128646.85</v>
      </c>
      <c r="F585" s="468">
        <v>60400000</v>
      </c>
      <c r="G585" s="468"/>
      <c r="H585" s="468"/>
      <c r="I585" s="468"/>
      <c r="J585" s="445" t="str">
        <f t="shared" si="18"/>
        <v>12033011OUTS ANALYSIS &amp; SERV- 1/3 PART60400000</v>
      </c>
      <c r="K585" s="163">
        <f t="shared" si="19"/>
        <v>128646.85</v>
      </c>
    </row>
    <row r="586" spans="1:11" ht="14.5">
      <c r="A586" s="468">
        <v>12033122</v>
      </c>
      <c r="B586" s="468">
        <v>4163</v>
      </c>
      <c r="C586" s="468"/>
      <c r="D586" s="468" t="s">
        <v>162</v>
      </c>
      <c r="E586" s="468">
        <v>298674.7</v>
      </c>
      <c r="F586" s="468">
        <v>60400000</v>
      </c>
      <c r="G586" s="468"/>
      <c r="H586" s="468"/>
      <c r="I586" s="468"/>
      <c r="J586" s="445" t="str">
        <f t="shared" si="18"/>
        <v>12033122OUTS ANALYSIS &amp; SERV- 1/3 PART60400000</v>
      </c>
      <c r="K586" s="163">
        <f t="shared" si="19"/>
        <v>298674.7</v>
      </c>
    </row>
    <row r="587" spans="1:11" ht="14.5">
      <c r="A587" s="468">
        <v>12043011</v>
      </c>
      <c r="B587" s="468">
        <v>4163</v>
      </c>
      <c r="C587" s="468"/>
      <c r="D587" s="468" t="s">
        <v>162</v>
      </c>
      <c r="E587" s="468">
        <v>20003.419999999998</v>
      </c>
      <c r="F587" s="468">
        <v>60400000</v>
      </c>
      <c r="G587" s="468"/>
      <c r="H587" s="468"/>
      <c r="I587" s="468"/>
      <c r="J587" s="445" t="str">
        <f t="shared" si="18"/>
        <v>12043011OUTS ANALYSIS &amp; SERV- 1/3 PART60400000</v>
      </c>
      <c r="K587" s="163">
        <f t="shared" si="19"/>
        <v>20003.419999999998</v>
      </c>
    </row>
    <row r="588" spans="1:11" ht="14.5">
      <c r="A588" s="468">
        <v>12063122</v>
      </c>
      <c r="B588" s="468">
        <v>4164</v>
      </c>
      <c r="C588" s="468"/>
      <c r="D588" s="468" t="s">
        <v>163</v>
      </c>
      <c r="E588" s="468">
        <v>5653.57</v>
      </c>
      <c r="F588" s="468">
        <v>60400000</v>
      </c>
      <c r="G588" s="468"/>
      <c r="H588" s="468"/>
      <c r="I588" s="468"/>
      <c r="J588" s="445" t="str">
        <f t="shared" si="18"/>
        <v>12063122OUTS ANALYSIS - PURCHASE PRICE60400000</v>
      </c>
      <c r="K588" s="163">
        <f t="shared" si="19"/>
        <v>5653.57</v>
      </c>
    </row>
    <row r="589" spans="1:11" ht="14.5">
      <c r="A589" s="468">
        <v>12013250</v>
      </c>
      <c r="B589" s="468">
        <v>4164</v>
      </c>
      <c r="C589" s="468"/>
      <c r="D589" s="468" t="s">
        <v>163</v>
      </c>
      <c r="E589" s="468">
        <v>1239886.57</v>
      </c>
      <c r="F589" s="468">
        <v>60400000</v>
      </c>
      <c r="G589" s="468"/>
      <c r="H589" s="468"/>
      <c r="I589" s="468"/>
      <c r="J589" s="445" t="str">
        <f t="shared" si="18"/>
        <v>12013250OUTS ANALYSIS - PURCHASE PRICE60400000</v>
      </c>
      <c r="K589" s="163">
        <f t="shared" si="19"/>
        <v>1239886.57</v>
      </c>
    </row>
    <row r="590" spans="1:11" ht="14.5">
      <c r="A590" s="468">
        <v>12023122</v>
      </c>
      <c r="B590" s="468">
        <v>4164</v>
      </c>
      <c r="C590" s="468"/>
      <c r="D590" s="468" t="s">
        <v>163</v>
      </c>
      <c r="E590" s="468">
        <v>-4637.45</v>
      </c>
      <c r="F590" s="468">
        <v>60400000</v>
      </c>
      <c r="G590" s="468"/>
      <c r="H590" s="468"/>
      <c r="I590" s="468"/>
      <c r="J590" s="445" t="str">
        <f t="shared" si="18"/>
        <v>12023122OUTS ANALYSIS - PURCHASE PRICE60400000</v>
      </c>
      <c r="K590" s="163">
        <f t="shared" si="19"/>
        <v>-4637.45</v>
      </c>
    </row>
    <row r="591" spans="1:11" ht="14.5">
      <c r="A591" s="468">
        <v>12033122</v>
      </c>
      <c r="B591" s="468">
        <v>4164</v>
      </c>
      <c r="C591" s="468"/>
      <c r="D591" s="468" t="s">
        <v>163</v>
      </c>
      <c r="E591" s="468">
        <v>-428.96</v>
      </c>
      <c r="F591" s="468">
        <v>60400000</v>
      </c>
      <c r="G591" s="468"/>
      <c r="H591" s="468"/>
      <c r="I591" s="468"/>
      <c r="J591" s="445" t="str">
        <f t="shared" si="18"/>
        <v>12033122OUTS ANALYSIS - PURCHASE PRICE60400000</v>
      </c>
      <c r="K591" s="163">
        <f t="shared" si="19"/>
        <v>-428.96</v>
      </c>
    </row>
    <row r="592" spans="1:11" ht="14.5">
      <c r="A592" s="468">
        <v>12013250</v>
      </c>
      <c r="B592" s="468">
        <v>4166</v>
      </c>
      <c r="C592" s="468">
        <v>171</v>
      </c>
      <c r="D592" s="468" t="s">
        <v>165</v>
      </c>
      <c r="E592" s="468">
        <v>58.43</v>
      </c>
      <c r="F592" s="468">
        <v>60400100</v>
      </c>
      <c r="G592" s="468"/>
      <c r="H592" s="468"/>
      <c r="I592" s="468"/>
      <c r="J592" s="445" t="str">
        <f t="shared" si="18"/>
        <v>12013250171       MXNS Certification LLC60400100</v>
      </c>
      <c r="K592" s="163">
        <f t="shared" si="19"/>
        <v>58.43</v>
      </c>
    </row>
    <row r="593" spans="1:11" ht="14.5">
      <c r="A593" s="468">
        <v>12014000</v>
      </c>
      <c r="B593" s="468">
        <v>4166</v>
      </c>
      <c r="C593" s="468">
        <v>113</v>
      </c>
      <c r="D593" s="468" t="s">
        <v>164</v>
      </c>
      <c r="E593" s="468">
        <v>147853.17000000001</v>
      </c>
      <c r="F593" s="468">
        <v>60400100</v>
      </c>
      <c r="G593" s="468"/>
      <c r="H593" s="468"/>
      <c r="I593" s="468"/>
      <c r="J593" s="445" t="str">
        <f t="shared" si="18"/>
        <v>12014000113 EMAP Holdings60400100</v>
      </c>
      <c r="K593" s="163">
        <f t="shared" si="19"/>
        <v>147853.17000000001</v>
      </c>
    </row>
    <row r="594" spans="1:11" ht="14.5">
      <c r="A594" s="468">
        <v>12023011</v>
      </c>
      <c r="B594" s="468">
        <v>4166</v>
      </c>
      <c r="C594" s="468">
        <v>186</v>
      </c>
      <c r="D594" s="468" t="s">
        <v>166</v>
      </c>
      <c r="E594" s="468">
        <v>1683.67</v>
      </c>
      <c r="F594" s="468">
        <v>60400100</v>
      </c>
      <c r="G594" s="468"/>
      <c r="H594" s="468"/>
      <c r="I594" s="468"/>
      <c r="J594" s="445" t="str">
        <f t="shared" si="18"/>
        <v>12023011186Merieux Nutrisciences India60400100</v>
      </c>
      <c r="K594" s="163">
        <f t="shared" si="19"/>
        <v>1683.67</v>
      </c>
    </row>
    <row r="595" spans="1:11" ht="14.5">
      <c r="A595" s="468">
        <v>12023011</v>
      </c>
      <c r="B595" s="468">
        <v>4166</v>
      </c>
      <c r="C595" s="468">
        <v>152</v>
      </c>
      <c r="D595" s="468" t="s">
        <v>845</v>
      </c>
      <c r="E595" s="468">
        <v>1615.48</v>
      </c>
      <c r="F595" s="468">
        <v>60400100</v>
      </c>
      <c r="G595" s="468"/>
      <c r="H595" s="468"/>
      <c r="I595" s="468"/>
      <c r="J595" s="445" t="str">
        <f t="shared" si="18"/>
        <v>12023011152SWIFT Silliker60400100</v>
      </c>
      <c r="K595" s="163">
        <f t="shared" si="19"/>
        <v>1615.48</v>
      </c>
    </row>
    <row r="596" spans="1:11" ht="14.5">
      <c r="A596" s="468">
        <v>12023122</v>
      </c>
      <c r="B596" s="468">
        <v>4166</v>
      </c>
      <c r="C596" s="468">
        <v>154</v>
      </c>
      <c r="D596" s="468" t="s">
        <v>167</v>
      </c>
      <c r="E596" s="468">
        <v>25966.46</v>
      </c>
      <c r="F596" s="468">
        <v>60400100</v>
      </c>
      <c r="G596" s="468"/>
      <c r="H596" s="468"/>
      <c r="I596" s="468"/>
      <c r="J596" s="445" t="str">
        <f t="shared" si="18"/>
        <v>12023122154Chelab - Italy60400100</v>
      </c>
      <c r="K596" s="163">
        <f t="shared" si="19"/>
        <v>25966.46</v>
      </c>
    </row>
    <row r="597" spans="1:11" ht="14.5">
      <c r="A597" s="468">
        <v>12033011</v>
      </c>
      <c r="B597" s="468">
        <v>4166</v>
      </c>
      <c r="C597" s="468">
        <v>111</v>
      </c>
      <c r="D597" s="468" t="s">
        <v>168</v>
      </c>
      <c r="E597" s="468">
        <v>1811.4</v>
      </c>
      <c r="F597" s="468">
        <v>60400100</v>
      </c>
      <c r="G597" s="468"/>
      <c r="H597" s="468"/>
      <c r="I597" s="468"/>
      <c r="J597" s="445" t="str">
        <f t="shared" si="18"/>
        <v>12033011111SILLIKER CANADA ULC60400100</v>
      </c>
      <c r="K597" s="163">
        <f t="shared" si="19"/>
        <v>1811.4</v>
      </c>
    </row>
    <row r="598" spans="1:11" ht="14.5">
      <c r="A598" s="468">
        <v>12033122</v>
      </c>
      <c r="B598" s="468">
        <v>4166</v>
      </c>
      <c r="C598" s="468">
        <v>104</v>
      </c>
      <c r="D598" s="468" t="s">
        <v>52</v>
      </c>
      <c r="E598" s="468">
        <v>106003.97</v>
      </c>
      <c r="F598" s="468">
        <v>60400100</v>
      </c>
      <c r="G598" s="468"/>
      <c r="H598" s="468"/>
      <c r="I598" s="468"/>
      <c r="J598" s="445" t="str">
        <f t="shared" si="18"/>
        <v>12033122104SILLIKER FRANCE60400100</v>
      </c>
      <c r="K598" s="163">
        <f t="shared" si="19"/>
        <v>106003.97</v>
      </c>
    </row>
    <row r="599" spans="1:11" ht="14.5">
      <c r="A599" s="468">
        <v>12033122</v>
      </c>
      <c r="B599" s="468">
        <v>4166</v>
      </c>
      <c r="C599" s="468">
        <v>113</v>
      </c>
      <c r="D599" s="468" t="s">
        <v>19</v>
      </c>
      <c r="E599" s="468">
        <v>4862.3599999999997</v>
      </c>
      <c r="F599" s="468">
        <v>60400100</v>
      </c>
      <c r="G599" s="468"/>
      <c r="H599" s="468"/>
      <c r="I599" s="468"/>
      <c r="J599" s="445" t="str">
        <f t="shared" si="18"/>
        <v>12033122113SILLIKER USA60400100</v>
      </c>
      <c r="K599" s="163">
        <f t="shared" si="19"/>
        <v>4862.3599999999997</v>
      </c>
    </row>
    <row r="600" spans="1:11" ht="14.5">
      <c r="A600" s="468">
        <v>12033122</v>
      </c>
      <c r="B600" s="468">
        <v>4166</v>
      </c>
      <c r="C600" s="468">
        <v>190</v>
      </c>
      <c r="D600" s="468" t="s">
        <v>169</v>
      </c>
      <c r="E600" s="468">
        <v>1072.8</v>
      </c>
      <c r="F600" s="468">
        <v>60400100</v>
      </c>
      <c r="G600" s="468"/>
      <c r="H600" s="468"/>
      <c r="I600" s="468"/>
      <c r="J600" s="445" t="str">
        <f t="shared" si="18"/>
        <v>12033122190Institut Kirchhoff60400100</v>
      </c>
      <c r="K600" s="163">
        <f t="shared" si="19"/>
        <v>1072.8</v>
      </c>
    </row>
    <row r="601" spans="1:11" ht="14.5">
      <c r="A601" s="468">
        <v>12043122</v>
      </c>
      <c r="B601" s="468">
        <v>4166</v>
      </c>
      <c r="C601" s="468"/>
      <c r="D601" s="468" t="s">
        <v>170</v>
      </c>
      <c r="E601" s="468">
        <v>447.11</v>
      </c>
      <c r="F601" s="468">
        <v>60400100</v>
      </c>
      <c r="G601" s="468"/>
      <c r="H601" s="468"/>
      <c r="I601" s="468"/>
      <c r="J601" s="445" t="str">
        <f t="shared" si="18"/>
        <v>12043122OUTS ANALISYS &amp; SERV- IC - STA60400100</v>
      </c>
      <c r="K601" s="163">
        <f t="shared" si="19"/>
        <v>447.11</v>
      </c>
    </row>
    <row r="602" spans="1:11" ht="14.5">
      <c r="A602" s="468">
        <v>12063011</v>
      </c>
      <c r="B602" s="468">
        <v>4171</v>
      </c>
      <c r="C602" s="468">
        <v>100</v>
      </c>
      <c r="D602" s="468" t="s">
        <v>171</v>
      </c>
      <c r="E602" s="468">
        <v>90385.91</v>
      </c>
      <c r="F602" s="468">
        <v>60400400</v>
      </c>
      <c r="G602" s="468"/>
      <c r="H602" s="468"/>
      <c r="I602" s="468"/>
      <c r="J602" s="445" t="str">
        <f t="shared" si="18"/>
        <v>12063011100COURIER - NO CHARGE TO CLIENT60400400</v>
      </c>
      <c r="K602" s="163">
        <f t="shared" si="19"/>
        <v>90385.91</v>
      </c>
    </row>
    <row r="603" spans="1:11" ht="14.5">
      <c r="A603" s="468">
        <v>12063011</v>
      </c>
      <c r="B603" s="468">
        <v>4171</v>
      </c>
      <c r="C603" s="468">
        <v>200</v>
      </c>
      <c r="D603" s="468" t="s">
        <v>172</v>
      </c>
      <c r="E603" s="468">
        <v>34829.68</v>
      </c>
      <c r="F603" s="468">
        <v>60400400</v>
      </c>
      <c r="G603" s="468"/>
      <c r="H603" s="468"/>
      <c r="I603" s="468"/>
      <c r="J603" s="445" t="str">
        <f t="shared" si="18"/>
        <v>12063011200COURIER - RECHARGE TO CLIENTS60400400</v>
      </c>
      <c r="K603" s="163">
        <f t="shared" si="19"/>
        <v>34829.68</v>
      </c>
    </row>
    <row r="604" spans="1:11" ht="14.5">
      <c r="A604" s="468">
        <v>12063011</v>
      </c>
      <c r="B604" s="468">
        <v>4171</v>
      </c>
      <c r="C604" s="468">
        <v>300</v>
      </c>
      <c r="D604" s="468" t="s">
        <v>173</v>
      </c>
      <c r="E604" s="468">
        <v>25</v>
      </c>
      <c r="F604" s="468">
        <v>60400400</v>
      </c>
      <c r="G604" s="468"/>
      <c r="H604" s="468"/>
      <c r="I604" s="468"/>
      <c r="J604" s="445" t="str">
        <f t="shared" si="18"/>
        <v>12063011300FREIGHT ON SUNDRY PURCHASES60400400</v>
      </c>
      <c r="K604" s="163">
        <f t="shared" si="19"/>
        <v>25</v>
      </c>
    </row>
    <row r="605" spans="1:11" ht="14.5">
      <c r="A605" s="468">
        <v>12043123</v>
      </c>
      <c r="B605" s="468">
        <v>4171</v>
      </c>
      <c r="C605" s="468">
        <v>200</v>
      </c>
      <c r="D605" s="468" t="s">
        <v>172</v>
      </c>
      <c r="E605" s="468">
        <v>42449.9</v>
      </c>
      <c r="F605" s="468">
        <v>60400400</v>
      </c>
      <c r="G605" s="468"/>
      <c r="H605" s="468"/>
      <c r="I605" s="468"/>
      <c r="J605" s="445" t="str">
        <f t="shared" si="18"/>
        <v>12043123200COURIER - RECHARGE TO CLIENTS60400400</v>
      </c>
      <c r="K605" s="163">
        <f t="shared" si="19"/>
        <v>42449.9</v>
      </c>
    </row>
    <row r="606" spans="1:11" ht="14.5">
      <c r="A606" s="468">
        <v>12060500</v>
      </c>
      <c r="B606" s="468">
        <v>4171</v>
      </c>
      <c r="C606" s="468">
        <v>300</v>
      </c>
      <c r="D606" s="468" t="s">
        <v>173</v>
      </c>
      <c r="E606" s="468">
        <v>50</v>
      </c>
      <c r="F606" s="468" t="s">
        <v>174</v>
      </c>
      <c r="G606" s="468"/>
      <c r="H606" s="468"/>
      <c r="I606" s="468"/>
      <c r="J606" s="445" t="str">
        <f t="shared" si="18"/>
        <v>12060500300FREIGHT ON SUNDRY PURCHASES604004LP</v>
      </c>
      <c r="K606" s="163">
        <f t="shared" si="19"/>
        <v>50</v>
      </c>
    </row>
    <row r="607" spans="1:11" ht="14.5">
      <c r="A607" s="468">
        <v>12040500</v>
      </c>
      <c r="B607" s="468">
        <v>4171</v>
      </c>
      <c r="C607" s="468">
        <v>300</v>
      </c>
      <c r="D607" s="468" t="s">
        <v>173</v>
      </c>
      <c r="E607" s="468">
        <v>50</v>
      </c>
      <c r="F607" s="468" t="s">
        <v>174</v>
      </c>
      <c r="G607" s="468"/>
      <c r="H607" s="468"/>
      <c r="I607" s="468"/>
      <c r="J607" s="445" t="str">
        <f t="shared" si="18"/>
        <v>12040500300FREIGHT ON SUNDRY PURCHASES604004LP</v>
      </c>
      <c r="K607" s="163">
        <f t="shared" si="19"/>
        <v>50</v>
      </c>
    </row>
    <row r="608" spans="1:11" ht="14.5">
      <c r="A608" s="468">
        <v>12043011</v>
      </c>
      <c r="B608" s="468">
        <v>4171</v>
      </c>
      <c r="C608" s="468">
        <v>100</v>
      </c>
      <c r="D608" s="468" t="s">
        <v>171</v>
      </c>
      <c r="E608" s="468">
        <v>217670.12</v>
      </c>
      <c r="F608" s="468">
        <v>60400400</v>
      </c>
      <c r="G608" s="468"/>
      <c r="H608" s="468"/>
      <c r="I608" s="468"/>
      <c r="J608" s="445" t="str">
        <f t="shared" si="18"/>
        <v>12043011100COURIER - NO CHARGE TO CLIENT60400400</v>
      </c>
      <c r="K608" s="163">
        <f t="shared" si="19"/>
        <v>217670.12</v>
      </c>
    </row>
    <row r="609" spans="1:11" ht="14.5">
      <c r="A609" s="468">
        <v>12043011</v>
      </c>
      <c r="B609" s="468">
        <v>4171</v>
      </c>
      <c r="C609" s="468">
        <v>200</v>
      </c>
      <c r="D609" s="468" t="s">
        <v>172</v>
      </c>
      <c r="E609" s="468">
        <v>97024.66</v>
      </c>
      <c r="F609" s="468">
        <v>60400400</v>
      </c>
      <c r="G609" s="468"/>
      <c r="H609" s="468"/>
      <c r="I609" s="468"/>
      <c r="J609" s="445" t="str">
        <f t="shared" si="18"/>
        <v>12043011200COURIER - RECHARGE TO CLIENTS60400400</v>
      </c>
      <c r="K609" s="163">
        <f t="shared" si="19"/>
        <v>97024.66</v>
      </c>
    </row>
    <row r="610" spans="1:11" ht="14.5">
      <c r="A610" s="468">
        <v>12043011</v>
      </c>
      <c r="B610" s="468">
        <v>4171</v>
      </c>
      <c r="C610" s="468">
        <v>300</v>
      </c>
      <c r="D610" s="468" t="s">
        <v>173</v>
      </c>
      <c r="E610" s="468">
        <v>308.39999999999998</v>
      </c>
      <c r="F610" s="468">
        <v>60400400</v>
      </c>
      <c r="G610" s="468"/>
      <c r="H610" s="468"/>
      <c r="I610" s="468"/>
      <c r="J610" s="445" t="str">
        <f t="shared" si="18"/>
        <v>12043011300FREIGHT ON SUNDRY PURCHASES60400400</v>
      </c>
      <c r="K610" s="163">
        <f t="shared" si="19"/>
        <v>308.39999999999998</v>
      </c>
    </row>
    <row r="611" spans="1:11" ht="14.5">
      <c r="A611" s="468">
        <v>12033011</v>
      </c>
      <c r="B611" s="468">
        <v>4171</v>
      </c>
      <c r="C611" s="468">
        <v>100</v>
      </c>
      <c r="D611" s="468" t="s">
        <v>171</v>
      </c>
      <c r="E611" s="468">
        <v>280516.90999999997</v>
      </c>
      <c r="F611" s="468">
        <v>60400400</v>
      </c>
      <c r="G611" s="468"/>
      <c r="H611" s="468"/>
      <c r="I611" s="468"/>
      <c r="J611" s="445" t="str">
        <f t="shared" si="18"/>
        <v>12033011100COURIER - NO CHARGE TO CLIENT60400400</v>
      </c>
      <c r="K611" s="163">
        <f t="shared" si="19"/>
        <v>280516.90999999997</v>
      </c>
    </row>
    <row r="612" spans="1:11" ht="14.5">
      <c r="A612" s="468">
        <v>12033011</v>
      </c>
      <c r="B612" s="468">
        <v>4171</v>
      </c>
      <c r="C612" s="468">
        <v>200</v>
      </c>
      <c r="D612" s="468" t="s">
        <v>172</v>
      </c>
      <c r="E612" s="468">
        <v>104013.44</v>
      </c>
      <c r="F612" s="468">
        <v>60400400</v>
      </c>
      <c r="G612" s="468"/>
      <c r="H612" s="468"/>
      <c r="I612" s="468"/>
      <c r="J612" s="445" t="str">
        <f t="shared" si="18"/>
        <v>12033011200COURIER - RECHARGE TO CLIENTS60400400</v>
      </c>
      <c r="K612" s="163">
        <f t="shared" si="19"/>
        <v>104013.44</v>
      </c>
    </row>
    <row r="613" spans="1:11" ht="14.5">
      <c r="A613" s="468">
        <v>12033011</v>
      </c>
      <c r="B613" s="468">
        <v>4171</v>
      </c>
      <c r="C613" s="468">
        <v>300</v>
      </c>
      <c r="D613" s="468" t="s">
        <v>173</v>
      </c>
      <c r="E613" s="468">
        <v>240</v>
      </c>
      <c r="F613" s="468">
        <v>60400400</v>
      </c>
      <c r="G613" s="468"/>
      <c r="H613" s="468"/>
      <c r="I613" s="468"/>
      <c r="J613" s="445" t="str">
        <f t="shared" si="18"/>
        <v>12033011300FREIGHT ON SUNDRY PURCHASES60400400</v>
      </c>
      <c r="K613" s="163">
        <f t="shared" si="19"/>
        <v>240</v>
      </c>
    </row>
    <row r="614" spans="1:11" ht="14.5">
      <c r="A614" s="468">
        <v>12033021</v>
      </c>
      <c r="B614" s="468">
        <v>4171</v>
      </c>
      <c r="C614" s="468">
        <v>100</v>
      </c>
      <c r="D614" s="468" t="s">
        <v>171</v>
      </c>
      <c r="E614" s="468">
        <v>1899.41</v>
      </c>
      <c r="F614" s="468">
        <v>60400400</v>
      </c>
      <c r="G614" s="468"/>
      <c r="H614" s="468"/>
      <c r="I614" s="468"/>
      <c r="J614" s="445" t="str">
        <f t="shared" si="18"/>
        <v>12033021100COURIER - NO CHARGE TO CLIENT60400400</v>
      </c>
      <c r="K614" s="163">
        <f t="shared" si="19"/>
        <v>1899.41</v>
      </c>
    </row>
    <row r="615" spans="1:11" ht="14.5">
      <c r="A615" s="468">
        <v>12020500</v>
      </c>
      <c r="B615" s="468">
        <v>4171</v>
      </c>
      <c r="C615" s="468">
        <v>100</v>
      </c>
      <c r="D615" s="468" t="s">
        <v>171</v>
      </c>
      <c r="E615" s="468">
        <v>36147.61</v>
      </c>
      <c r="F615" s="468" t="s">
        <v>174</v>
      </c>
      <c r="G615" s="468"/>
      <c r="H615" s="468"/>
      <c r="I615" s="468"/>
      <c r="J615" s="445" t="str">
        <f t="shared" si="18"/>
        <v>12020500100COURIER - NO CHARGE TO CLIENT604004LP</v>
      </c>
      <c r="K615" s="163">
        <f t="shared" si="19"/>
        <v>36147.61</v>
      </c>
    </row>
    <row r="616" spans="1:11" ht="14.5">
      <c r="A616" s="468">
        <v>12020500</v>
      </c>
      <c r="B616" s="468">
        <v>4171</v>
      </c>
      <c r="C616" s="468">
        <v>300</v>
      </c>
      <c r="D616" s="468" t="s">
        <v>173</v>
      </c>
      <c r="E616" s="468">
        <v>35</v>
      </c>
      <c r="F616" s="468" t="s">
        <v>174</v>
      </c>
      <c r="G616" s="468"/>
      <c r="H616" s="468"/>
      <c r="I616" s="468"/>
      <c r="J616" s="445" t="str">
        <f t="shared" si="18"/>
        <v>12020500300FREIGHT ON SUNDRY PURCHASES604004LP</v>
      </c>
      <c r="K616" s="163">
        <f t="shared" si="19"/>
        <v>35</v>
      </c>
    </row>
    <row r="617" spans="1:11" ht="14.5">
      <c r="A617" s="468">
        <v>12023021</v>
      </c>
      <c r="B617" s="468">
        <v>4171</v>
      </c>
      <c r="C617" s="468">
        <v>100</v>
      </c>
      <c r="D617" s="468" t="s">
        <v>171</v>
      </c>
      <c r="E617" s="468">
        <v>37164.82</v>
      </c>
      <c r="F617" s="468">
        <v>60400400</v>
      </c>
      <c r="G617" s="468"/>
      <c r="H617" s="468"/>
      <c r="I617" s="468"/>
      <c r="J617" s="445" t="str">
        <f t="shared" si="18"/>
        <v>12023021100COURIER - NO CHARGE TO CLIENT60400400</v>
      </c>
      <c r="K617" s="163">
        <f t="shared" si="19"/>
        <v>37164.82</v>
      </c>
    </row>
    <row r="618" spans="1:11" ht="14.5">
      <c r="A618" s="468">
        <v>12023021</v>
      </c>
      <c r="B618" s="468">
        <v>4171</v>
      </c>
      <c r="C618" s="468">
        <v>200</v>
      </c>
      <c r="D618" s="468" t="s">
        <v>172</v>
      </c>
      <c r="E618" s="468">
        <v>844.08</v>
      </c>
      <c r="F618" s="468">
        <v>60400400</v>
      </c>
      <c r="G618" s="468"/>
      <c r="H618" s="468"/>
      <c r="I618" s="468"/>
      <c r="J618" s="445" t="str">
        <f t="shared" si="18"/>
        <v>12023021200COURIER - RECHARGE TO CLIENTS60400400</v>
      </c>
      <c r="K618" s="163">
        <f t="shared" si="19"/>
        <v>844.08</v>
      </c>
    </row>
    <row r="619" spans="1:11" ht="14.5">
      <c r="A619" s="468">
        <v>12010500</v>
      </c>
      <c r="B619" s="468">
        <v>4171</v>
      </c>
      <c r="C619" s="468">
        <v>300</v>
      </c>
      <c r="D619" s="468" t="s">
        <v>173</v>
      </c>
      <c r="E619" s="468">
        <v>25</v>
      </c>
      <c r="F619" s="468" t="s">
        <v>174</v>
      </c>
      <c r="G619" s="468"/>
      <c r="H619" s="468"/>
      <c r="I619" s="468"/>
      <c r="J619" s="445" t="str">
        <f t="shared" si="18"/>
        <v>12010500300FREIGHT ON SUNDRY PURCHASES604004LP</v>
      </c>
      <c r="K619" s="163">
        <f t="shared" si="19"/>
        <v>25</v>
      </c>
    </row>
    <row r="620" spans="1:11" ht="14.5">
      <c r="A620" s="468">
        <v>12023011</v>
      </c>
      <c r="B620" s="468">
        <v>4171</v>
      </c>
      <c r="C620" s="468">
        <v>100</v>
      </c>
      <c r="D620" s="468" t="s">
        <v>171</v>
      </c>
      <c r="E620" s="468">
        <v>123935.65</v>
      </c>
      <c r="F620" s="468">
        <v>60400400</v>
      </c>
      <c r="G620" s="468"/>
      <c r="H620" s="468"/>
      <c r="I620" s="468"/>
      <c r="J620" s="445" t="str">
        <f t="shared" si="18"/>
        <v>12023011100COURIER - NO CHARGE TO CLIENT60400400</v>
      </c>
      <c r="K620" s="163">
        <f t="shared" si="19"/>
        <v>123935.65</v>
      </c>
    </row>
    <row r="621" spans="1:11" ht="14.5">
      <c r="A621" s="468">
        <v>12023011</v>
      </c>
      <c r="B621" s="468">
        <v>4171</v>
      </c>
      <c r="C621" s="468">
        <v>200</v>
      </c>
      <c r="D621" s="468" t="s">
        <v>172</v>
      </c>
      <c r="E621" s="468">
        <v>135760.07999999999</v>
      </c>
      <c r="F621" s="468">
        <v>60400400</v>
      </c>
      <c r="G621" s="468"/>
      <c r="H621" s="468"/>
      <c r="I621" s="468"/>
      <c r="J621" s="445" t="str">
        <f t="shared" si="18"/>
        <v>12023011200COURIER - RECHARGE TO CLIENTS60400400</v>
      </c>
      <c r="K621" s="163">
        <f t="shared" si="19"/>
        <v>135760.07999999999</v>
      </c>
    </row>
    <row r="622" spans="1:11" ht="14.5">
      <c r="A622" s="468">
        <v>12023011</v>
      </c>
      <c r="B622" s="468">
        <v>4171</v>
      </c>
      <c r="C622" s="468">
        <v>300</v>
      </c>
      <c r="D622" s="468" t="s">
        <v>173</v>
      </c>
      <c r="E622" s="468">
        <v>90</v>
      </c>
      <c r="F622" s="468">
        <v>60400400</v>
      </c>
      <c r="G622" s="468"/>
      <c r="H622" s="468"/>
      <c r="I622" s="468"/>
      <c r="J622" s="445" t="str">
        <f t="shared" si="18"/>
        <v>12023011300FREIGHT ON SUNDRY PURCHASES60400400</v>
      </c>
      <c r="K622" s="163">
        <f t="shared" si="19"/>
        <v>90</v>
      </c>
    </row>
    <row r="623" spans="1:11" ht="14.5">
      <c r="A623" s="468">
        <v>12043021</v>
      </c>
      <c r="B623" s="468">
        <v>4173</v>
      </c>
      <c r="C623" s="468"/>
      <c r="D623" s="468" t="s">
        <v>175</v>
      </c>
      <c r="E623" s="468">
        <v>2967.6</v>
      </c>
      <c r="F623" s="468">
        <v>60400400</v>
      </c>
      <c r="G623" s="468"/>
      <c r="H623" s="468"/>
      <c r="I623" s="468"/>
      <c r="J623" s="445" t="str">
        <f t="shared" si="18"/>
        <v>12043021OVERHEAD - STANDARD COST PU&amp;C60400400</v>
      </c>
      <c r="K623" s="163">
        <f t="shared" si="19"/>
        <v>2967.6</v>
      </c>
    </row>
    <row r="624" spans="1:11" ht="14.5">
      <c r="A624" s="468">
        <v>12043011</v>
      </c>
      <c r="B624" s="468">
        <v>4173</v>
      </c>
      <c r="C624" s="468"/>
      <c r="D624" s="468" t="s">
        <v>175</v>
      </c>
      <c r="E624" s="468">
        <v>160</v>
      </c>
      <c r="F624" s="468">
        <v>60400400</v>
      </c>
      <c r="G624" s="468"/>
      <c r="H624" s="468"/>
      <c r="I624" s="468"/>
      <c r="J624" s="445" t="str">
        <f t="shared" si="18"/>
        <v>12043011OVERHEAD - STANDARD COST PU&amp;C60400400</v>
      </c>
      <c r="K624" s="163">
        <f t="shared" si="19"/>
        <v>160</v>
      </c>
    </row>
    <row r="625" spans="1:11" ht="14.5">
      <c r="A625" s="468">
        <v>12033011</v>
      </c>
      <c r="B625" s="468">
        <v>4173</v>
      </c>
      <c r="C625" s="468"/>
      <c r="D625" s="468" t="s">
        <v>175</v>
      </c>
      <c r="E625" s="468">
        <v>880</v>
      </c>
      <c r="F625" s="468">
        <v>60400400</v>
      </c>
      <c r="G625" s="468"/>
      <c r="H625" s="468"/>
      <c r="I625" s="468"/>
      <c r="J625" s="445" t="str">
        <f t="shared" si="18"/>
        <v>12033011OVERHEAD - STANDARD COST PU&amp;C60400400</v>
      </c>
      <c r="K625" s="163">
        <f t="shared" si="19"/>
        <v>880</v>
      </c>
    </row>
    <row r="626" spans="1:11" ht="14.5">
      <c r="A626" s="468">
        <v>12033021</v>
      </c>
      <c r="B626" s="468">
        <v>4173</v>
      </c>
      <c r="C626" s="468"/>
      <c r="D626" s="468" t="s">
        <v>175</v>
      </c>
      <c r="E626" s="468">
        <v>30</v>
      </c>
      <c r="F626" s="468">
        <v>60400400</v>
      </c>
      <c r="G626" s="468"/>
      <c r="H626" s="468"/>
      <c r="I626" s="468"/>
      <c r="J626" s="445" t="str">
        <f t="shared" si="18"/>
        <v>12033021OVERHEAD - STANDARD COST PU&amp;C60400400</v>
      </c>
      <c r="K626" s="163">
        <f t="shared" si="19"/>
        <v>30</v>
      </c>
    </row>
    <row r="627" spans="1:11" ht="14.5">
      <c r="A627" s="468">
        <v>12023021</v>
      </c>
      <c r="B627" s="468">
        <v>4173</v>
      </c>
      <c r="C627" s="468"/>
      <c r="D627" s="468" t="s">
        <v>175</v>
      </c>
      <c r="E627" s="468">
        <v>65</v>
      </c>
      <c r="F627" s="468">
        <v>60400400</v>
      </c>
      <c r="G627" s="468"/>
      <c r="H627" s="468"/>
      <c r="I627" s="468"/>
      <c r="J627" s="445" t="str">
        <f t="shared" si="18"/>
        <v>12023021OVERHEAD - STANDARD COST PU&amp;C60400400</v>
      </c>
      <c r="K627" s="163">
        <f t="shared" si="19"/>
        <v>65</v>
      </c>
    </row>
    <row r="628" spans="1:11" ht="14.5">
      <c r="A628" s="468">
        <v>12023011</v>
      </c>
      <c r="B628" s="468">
        <v>4173</v>
      </c>
      <c r="C628" s="468"/>
      <c r="D628" s="468" t="s">
        <v>175</v>
      </c>
      <c r="E628" s="468">
        <v>25</v>
      </c>
      <c r="F628" s="468">
        <v>60400400</v>
      </c>
      <c r="G628" s="468"/>
      <c r="H628" s="468"/>
      <c r="I628" s="468"/>
      <c r="J628" s="445" t="str">
        <f t="shared" si="18"/>
        <v>12023011OVERHEAD - STANDARD COST PU&amp;C60400400</v>
      </c>
      <c r="K628" s="163">
        <f t="shared" si="19"/>
        <v>25</v>
      </c>
    </row>
    <row r="629" spans="1:11" ht="14.5">
      <c r="A629" s="468">
        <v>12063011</v>
      </c>
      <c r="B629" s="468">
        <v>4173</v>
      </c>
      <c r="C629" s="468"/>
      <c r="D629" s="468" t="s">
        <v>175</v>
      </c>
      <c r="E629" s="468">
        <v>7950</v>
      </c>
      <c r="F629" s="468">
        <v>60400400</v>
      </c>
      <c r="G629" s="468"/>
      <c r="H629" s="468"/>
      <c r="I629" s="468"/>
      <c r="J629" s="445" t="str">
        <f t="shared" si="18"/>
        <v>12063011OVERHEAD - STANDARD COST PU&amp;C60400400</v>
      </c>
      <c r="K629" s="163">
        <f t="shared" si="19"/>
        <v>7950</v>
      </c>
    </row>
    <row r="630" spans="1:11" ht="14.5">
      <c r="A630" s="468">
        <v>12043011</v>
      </c>
      <c r="B630" s="468">
        <v>4181</v>
      </c>
      <c r="C630" s="468"/>
      <c r="D630" s="468" t="s">
        <v>176</v>
      </c>
      <c r="E630" s="468">
        <v>12612.56</v>
      </c>
      <c r="F630" s="468">
        <v>60400500</v>
      </c>
      <c r="G630" s="468"/>
      <c r="H630" s="468"/>
      <c r="I630" s="468"/>
      <c r="J630" s="445" t="str">
        <f t="shared" si="18"/>
        <v>12043011OUTSIDE WASTE MANAGEMENT EXP.60400500</v>
      </c>
      <c r="K630" s="163">
        <f t="shared" si="19"/>
        <v>12612.56</v>
      </c>
    </row>
    <row r="631" spans="1:11" ht="14.5">
      <c r="A631" s="468">
        <v>12023021</v>
      </c>
      <c r="B631" s="468">
        <v>4181</v>
      </c>
      <c r="C631" s="468"/>
      <c r="D631" s="468" t="s">
        <v>176</v>
      </c>
      <c r="E631" s="468">
        <v>3231.81</v>
      </c>
      <c r="F631" s="468">
        <v>60400500</v>
      </c>
      <c r="G631" s="468"/>
      <c r="H631" s="468"/>
      <c r="I631" s="468"/>
      <c r="J631" s="445" t="str">
        <f t="shared" si="18"/>
        <v>12023021OUTSIDE WASTE MANAGEMENT EXP.60400500</v>
      </c>
      <c r="K631" s="163">
        <f t="shared" si="19"/>
        <v>3231.81</v>
      </c>
    </row>
    <row r="632" spans="1:11" ht="14.5">
      <c r="A632" s="468">
        <v>12023011</v>
      </c>
      <c r="B632" s="468">
        <v>4181</v>
      </c>
      <c r="C632" s="468"/>
      <c r="D632" s="468" t="s">
        <v>176</v>
      </c>
      <c r="E632" s="468">
        <v>6761.46</v>
      </c>
      <c r="F632" s="468">
        <v>60400500</v>
      </c>
      <c r="G632" s="468"/>
      <c r="H632" s="468"/>
      <c r="I632" s="468"/>
      <c r="J632" s="445" t="str">
        <f t="shared" si="18"/>
        <v>12023011OUTSIDE WASTE MANAGEMENT EXP.60400500</v>
      </c>
      <c r="K632" s="163">
        <f t="shared" si="19"/>
        <v>6761.46</v>
      </c>
    </row>
    <row r="633" spans="1:11" ht="14.5">
      <c r="A633" s="468">
        <v>12010700</v>
      </c>
      <c r="B633" s="468">
        <v>4405</v>
      </c>
      <c r="C633" s="468">
        <v>400</v>
      </c>
      <c r="D633" s="468" t="s">
        <v>177</v>
      </c>
      <c r="E633" s="468">
        <v>555.09</v>
      </c>
      <c r="F633" s="468">
        <v>68112000</v>
      </c>
      <c r="G633" s="468"/>
      <c r="H633" s="468"/>
      <c r="I633" s="468"/>
      <c r="J633" s="445" t="str">
        <f t="shared" si="18"/>
        <v>12010700400DEPRECIATION - EQUIPMENT68112000</v>
      </c>
      <c r="K633" s="163">
        <f t="shared" si="19"/>
        <v>555.09</v>
      </c>
    </row>
    <row r="634" spans="1:11" ht="14.5">
      <c r="A634" s="468">
        <v>12010500</v>
      </c>
      <c r="B634" s="468">
        <v>4405</v>
      </c>
      <c r="C634" s="468">
        <v>200</v>
      </c>
      <c r="D634" s="468" t="s">
        <v>178</v>
      </c>
      <c r="E634" s="468">
        <v>8974.59</v>
      </c>
      <c r="F634" s="468" t="s">
        <v>179</v>
      </c>
      <c r="G634" s="468"/>
      <c r="H634" s="468"/>
      <c r="I634" s="468"/>
      <c r="J634" s="445" t="str">
        <f t="shared" si="18"/>
        <v>12010500200DEPRECIATION - ALT TO L/H PREM681120LP</v>
      </c>
      <c r="K634" s="163">
        <f t="shared" si="19"/>
        <v>8974.59</v>
      </c>
    </row>
    <row r="635" spans="1:11" ht="14.5">
      <c r="A635" s="468">
        <v>12010500</v>
      </c>
      <c r="B635" s="468">
        <v>4405</v>
      </c>
      <c r="C635" s="468">
        <v>400</v>
      </c>
      <c r="D635" s="468" t="s">
        <v>177</v>
      </c>
      <c r="E635" s="468">
        <v>321.01</v>
      </c>
      <c r="F635" s="468" t="s">
        <v>179</v>
      </c>
      <c r="G635" s="468"/>
      <c r="H635" s="468"/>
      <c r="I635" s="468"/>
      <c r="J635" s="445" t="str">
        <f t="shared" si="18"/>
        <v>12010500400DEPRECIATION - EQUIPMENT681120LP</v>
      </c>
      <c r="K635" s="163">
        <f t="shared" si="19"/>
        <v>321.01</v>
      </c>
    </row>
    <row r="636" spans="1:11" ht="14.5">
      <c r="A636" s="468">
        <v>12018099</v>
      </c>
      <c r="B636" s="468">
        <v>4405</v>
      </c>
      <c r="C636" s="468">
        <v>400</v>
      </c>
      <c r="D636" s="468" t="s">
        <v>177</v>
      </c>
      <c r="E636" s="468">
        <v>5.59</v>
      </c>
      <c r="F636" s="468" t="s">
        <v>180</v>
      </c>
      <c r="G636" s="468"/>
      <c r="H636" s="468"/>
      <c r="I636" s="468"/>
      <c r="J636" s="445" t="str">
        <f t="shared" si="18"/>
        <v>12018099400DEPRECIATION - EQUIPMENT681120SM</v>
      </c>
      <c r="K636" s="163">
        <f t="shared" si="19"/>
        <v>5.59</v>
      </c>
    </row>
    <row r="637" spans="1:11" ht="14.5">
      <c r="A637" s="468">
        <v>12013300</v>
      </c>
      <c r="B637" s="468">
        <v>4405</v>
      </c>
      <c r="C637" s="468">
        <v>400</v>
      </c>
      <c r="D637" s="468" t="s">
        <v>177</v>
      </c>
      <c r="E637" s="468">
        <v>28169.65</v>
      </c>
      <c r="F637" s="468" t="s">
        <v>181</v>
      </c>
      <c r="G637" s="468"/>
      <c r="H637" s="468"/>
      <c r="I637" s="468"/>
      <c r="J637" s="445" t="str">
        <f t="shared" si="18"/>
        <v>12013300400DEPRECIATION - EQUIPMENT681120IT</v>
      </c>
      <c r="K637" s="163">
        <f t="shared" si="19"/>
        <v>28169.65</v>
      </c>
    </row>
    <row r="638" spans="1:11" ht="14.5">
      <c r="A638" s="468">
        <v>12013250</v>
      </c>
      <c r="B638" s="468">
        <v>4405</v>
      </c>
      <c r="C638" s="468">
        <v>400</v>
      </c>
      <c r="D638" s="468" t="s">
        <v>177</v>
      </c>
      <c r="E638" s="468">
        <v>31.56</v>
      </c>
      <c r="F638" s="468">
        <v>68112000</v>
      </c>
      <c r="G638" s="468"/>
      <c r="H638" s="468"/>
      <c r="I638" s="468"/>
      <c r="J638" s="445" t="str">
        <f t="shared" si="18"/>
        <v>12013250400DEPRECIATION - EQUIPMENT68112000</v>
      </c>
      <c r="K638" s="163">
        <f t="shared" si="19"/>
        <v>31.56</v>
      </c>
    </row>
    <row r="639" spans="1:11" ht="14.5">
      <c r="A639" s="468">
        <v>12013250</v>
      </c>
      <c r="B639" s="468">
        <v>4405</v>
      </c>
      <c r="C639" s="468">
        <v>500</v>
      </c>
      <c r="D639" s="468" t="s">
        <v>182</v>
      </c>
      <c r="E639" s="468">
        <v>422</v>
      </c>
      <c r="F639" s="468">
        <v>68112000</v>
      </c>
      <c r="G639" s="468"/>
      <c r="H639" s="468"/>
      <c r="I639" s="468"/>
      <c r="J639" s="445" t="str">
        <f t="shared" si="18"/>
        <v>12013250500DEPRECIATION - FURN &amp; FIT68112000</v>
      </c>
      <c r="K639" s="163">
        <f t="shared" si="19"/>
        <v>422</v>
      </c>
    </row>
    <row r="640" spans="1:11" ht="14.5">
      <c r="A640" s="468">
        <v>12013012</v>
      </c>
      <c r="B640" s="468">
        <v>4405</v>
      </c>
      <c r="C640" s="468">
        <v>400</v>
      </c>
      <c r="D640" s="468" t="s">
        <v>177</v>
      </c>
      <c r="E640" s="468">
        <v>550.46</v>
      </c>
      <c r="F640" s="468">
        <v>68112000</v>
      </c>
      <c r="G640" s="468"/>
      <c r="H640" s="468"/>
      <c r="I640" s="468"/>
      <c r="J640" s="445" t="str">
        <f t="shared" si="18"/>
        <v>12013012400DEPRECIATION - EQUIPMENT68112000</v>
      </c>
      <c r="K640" s="163">
        <f t="shared" si="19"/>
        <v>550.46</v>
      </c>
    </row>
    <row r="641" spans="1:11" ht="14.5">
      <c r="A641" s="468">
        <v>12022511</v>
      </c>
      <c r="B641" s="468">
        <v>4405</v>
      </c>
      <c r="C641" s="468">
        <v>400</v>
      </c>
      <c r="D641" s="468" t="s">
        <v>177</v>
      </c>
      <c r="E641" s="468">
        <v>273.51</v>
      </c>
      <c r="F641" s="468">
        <v>68112000</v>
      </c>
      <c r="G641" s="468"/>
      <c r="H641" s="468"/>
      <c r="I641" s="468"/>
      <c r="J641" s="445" t="str">
        <f t="shared" si="18"/>
        <v>12022511400DEPRECIATION - EQUIPMENT68112000</v>
      </c>
      <c r="K641" s="163">
        <f t="shared" si="19"/>
        <v>273.51</v>
      </c>
    </row>
    <row r="642" spans="1:11" ht="14.5">
      <c r="A642" s="468">
        <v>12022511</v>
      </c>
      <c r="B642" s="468">
        <v>4405</v>
      </c>
      <c r="C642" s="468">
        <v>500</v>
      </c>
      <c r="D642" s="468" t="s">
        <v>182</v>
      </c>
      <c r="E642" s="468">
        <v>116.38</v>
      </c>
      <c r="F642" s="468">
        <v>68112000</v>
      </c>
      <c r="G642" s="468"/>
      <c r="H642" s="468"/>
      <c r="I642" s="468"/>
      <c r="J642" s="445" t="str">
        <f t="shared" si="18"/>
        <v>12022511500DEPRECIATION - FURN &amp; FIT68112000</v>
      </c>
      <c r="K642" s="163">
        <f t="shared" si="19"/>
        <v>116.38</v>
      </c>
    </row>
    <row r="643" spans="1:11" ht="14.5">
      <c r="A643" s="468">
        <v>12020611</v>
      </c>
      <c r="B643" s="468">
        <v>4405</v>
      </c>
      <c r="C643" s="468">
        <v>400</v>
      </c>
      <c r="D643" s="468" t="s">
        <v>177</v>
      </c>
      <c r="E643" s="468">
        <v>282.60000000000002</v>
      </c>
      <c r="F643" s="468">
        <v>68112000</v>
      </c>
      <c r="G643" s="468"/>
      <c r="H643" s="468"/>
      <c r="I643" s="468"/>
      <c r="J643" s="445" t="str">
        <f t="shared" si="18"/>
        <v>12020611400DEPRECIATION - EQUIPMENT68112000</v>
      </c>
      <c r="K643" s="163">
        <f t="shared" si="19"/>
        <v>282.60000000000002</v>
      </c>
    </row>
    <row r="644" spans="1:11" ht="14.5">
      <c r="A644" s="468">
        <v>12020500</v>
      </c>
      <c r="B644" s="468">
        <v>4405</v>
      </c>
      <c r="C644" s="468">
        <v>200</v>
      </c>
      <c r="D644" s="468" t="s">
        <v>178</v>
      </c>
      <c r="E644" s="468">
        <v>1393.65</v>
      </c>
      <c r="F644" s="468" t="s">
        <v>179</v>
      </c>
      <c r="G644" s="468"/>
      <c r="H644" s="468"/>
      <c r="I644" s="468"/>
      <c r="J644" s="445" t="str">
        <f t="shared" si="18"/>
        <v>12020500200DEPRECIATION - ALT TO L/H PREM681120LP</v>
      </c>
      <c r="K644" s="163">
        <f t="shared" si="19"/>
        <v>1393.65</v>
      </c>
    </row>
    <row r="645" spans="1:11" ht="14.5">
      <c r="A645" s="468">
        <v>12020500</v>
      </c>
      <c r="B645" s="468">
        <v>4405</v>
      </c>
      <c r="C645" s="468">
        <v>400</v>
      </c>
      <c r="D645" s="468" t="s">
        <v>177</v>
      </c>
      <c r="E645" s="468">
        <v>321.01</v>
      </c>
      <c r="F645" s="468" t="s">
        <v>179</v>
      </c>
      <c r="G645" s="468"/>
      <c r="H645" s="468"/>
      <c r="I645" s="468"/>
      <c r="J645" s="445" t="str">
        <f t="shared" ref="J645:J708" si="20">A645&amp;C645&amp;D645&amp;F645</f>
        <v>12020500400DEPRECIATION - EQUIPMENT681120LP</v>
      </c>
      <c r="K645" s="163">
        <f t="shared" ref="K645:K708" si="21">E645</f>
        <v>321.01</v>
      </c>
    </row>
    <row r="646" spans="1:11" ht="14.5">
      <c r="A646" s="468">
        <v>12020500</v>
      </c>
      <c r="B646" s="468">
        <v>4405</v>
      </c>
      <c r="C646" s="468">
        <v>500</v>
      </c>
      <c r="D646" s="468" t="s">
        <v>182</v>
      </c>
      <c r="E646" s="468">
        <v>38.79</v>
      </c>
      <c r="F646" s="468" t="s">
        <v>179</v>
      </c>
      <c r="G646" s="468"/>
      <c r="H646" s="468"/>
      <c r="I646" s="468"/>
      <c r="J646" s="445" t="str">
        <f t="shared" si="20"/>
        <v>12020500500DEPRECIATION - FURN &amp; FIT681120LP</v>
      </c>
      <c r="K646" s="163">
        <f t="shared" si="21"/>
        <v>38.79</v>
      </c>
    </row>
    <row r="647" spans="1:11" ht="14.5">
      <c r="A647" s="468">
        <v>12019199</v>
      </c>
      <c r="B647" s="468">
        <v>4405</v>
      </c>
      <c r="C647" s="468">
        <v>400</v>
      </c>
      <c r="D647" s="468" t="s">
        <v>177</v>
      </c>
      <c r="E647" s="468">
        <v>3510.09</v>
      </c>
      <c r="F647" s="468" t="s">
        <v>183</v>
      </c>
      <c r="G647" s="468"/>
      <c r="H647" s="468"/>
      <c r="I647" s="468"/>
      <c r="J647" s="445" t="str">
        <f t="shared" si="20"/>
        <v>12019199400DEPRECIATION - EQUIPMENT681120GA</v>
      </c>
      <c r="K647" s="163">
        <f t="shared" si="21"/>
        <v>3510.09</v>
      </c>
    </row>
    <row r="648" spans="1:11" ht="14.5">
      <c r="A648" s="468">
        <v>12019099</v>
      </c>
      <c r="B648" s="468">
        <v>4405</v>
      </c>
      <c r="C648" s="468">
        <v>400</v>
      </c>
      <c r="D648" s="468" t="s">
        <v>177</v>
      </c>
      <c r="E648" s="468">
        <v>690.67</v>
      </c>
      <c r="F648" s="468" t="s">
        <v>183</v>
      </c>
      <c r="G648" s="468"/>
      <c r="H648" s="468"/>
      <c r="I648" s="468"/>
      <c r="J648" s="445" t="str">
        <f t="shared" si="20"/>
        <v>12019099400DEPRECIATION - EQUIPMENT681120GA</v>
      </c>
      <c r="K648" s="163">
        <f t="shared" si="21"/>
        <v>690.67</v>
      </c>
    </row>
    <row r="649" spans="1:11" ht="14.5">
      <c r="A649" s="468">
        <v>12030500</v>
      </c>
      <c r="B649" s="468">
        <v>4405</v>
      </c>
      <c r="C649" s="468">
        <v>200</v>
      </c>
      <c r="D649" s="468" t="s">
        <v>178</v>
      </c>
      <c r="E649" s="468">
        <v>844.3</v>
      </c>
      <c r="F649" s="468" t="s">
        <v>179</v>
      </c>
      <c r="G649" s="468"/>
      <c r="H649" s="468"/>
      <c r="I649" s="468"/>
      <c r="J649" s="445" t="str">
        <f t="shared" si="20"/>
        <v>12030500200DEPRECIATION - ALT TO L/H PREM681120LP</v>
      </c>
      <c r="K649" s="163">
        <f t="shared" si="21"/>
        <v>844.3</v>
      </c>
    </row>
    <row r="650" spans="1:11" ht="14.5">
      <c r="A650" s="468">
        <v>12030500</v>
      </c>
      <c r="B650" s="468">
        <v>4405</v>
      </c>
      <c r="C650" s="468">
        <v>400</v>
      </c>
      <c r="D650" s="468" t="s">
        <v>177</v>
      </c>
      <c r="E650" s="468">
        <v>294.52999999999997</v>
      </c>
      <c r="F650" s="468" t="s">
        <v>179</v>
      </c>
      <c r="G650" s="468"/>
      <c r="H650" s="468"/>
      <c r="I650" s="468"/>
      <c r="J650" s="445" t="str">
        <f t="shared" si="20"/>
        <v>12030500400DEPRECIATION - EQUIPMENT681120LP</v>
      </c>
      <c r="K650" s="163">
        <f t="shared" si="21"/>
        <v>294.52999999999997</v>
      </c>
    </row>
    <row r="651" spans="1:11" ht="14.5">
      <c r="A651" s="468">
        <v>12030500</v>
      </c>
      <c r="B651" s="468">
        <v>4405</v>
      </c>
      <c r="C651" s="468">
        <v>500</v>
      </c>
      <c r="D651" s="468" t="s">
        <v>182</v>
      </c>
      <c r="E651" s="468">
        <v>2228.1799999999998</v>
      </c>
      <c r="F651" s="468" t="s">
        <v>179</v>
      </c>
      <c r="G651" s="468"/>
      <c r="H651" s="468"/>
      <c r="I651" s="468"/>
      <c r="J651" s="445" t="str">
        <f t="shared" si="20"/>
        <v>12030500500DEPRECIATION - FURN &amp; FIT681120LP</v>
      </c>
      <c r="K651" s="163">
        <f t="shared" si="21"/>
        <v>2228.1799999999998</v>
      </c>
    </row>
    <row r="652" spans="1:11" ht="14.5">
      <c r="A652" s="468">
        <v>12030400</v>
      </c>
      <c r="B652" s="468">
        <v>4405</v>
      </c>
      <c r="C652" s="468">
        <v>400</v>
      </c>
      <c r="D652" s="468" t="s">
        <v>177</v>
      </c>
      <c r="E652" s="468">
        <v>849.62</v>
      </c>
      <c r="F652" s="468" t="s">
        <v>184</v>
      </c>
      <c r="G652" s="468"/>
      <c r="H652" s="468"/>
      <c r="I652" s="468"/>
      <c r="J652" s="445" t="str">
        <f t="shared" si="20"/>
        <v>12030400400DEPRECIATION - EQUIPMENT681120CS</v>
      </c>
      <c r="K652" s="163">
        <f t="shared" si="21"/>
        <v>849.62</v>
      </c>
    </row>
    <row r="653" spans="1:11" ht="14.5">
      <c r="A653" s="468">
        <v>12023021</v>
      </c>
      <c r="B653" s="468">
        <v>4405</v>
      </c>
      <c r="C653" s="468">
        <v>200</v>
      </c>
      <c r="D653" s="468" t="s">
        <v>178</v>
      </c>
      <c r="E653" s="468">
        <v>6205.49</v>
      </c>
      <c r="F653" s="468">
        <v>68112000</v>
      </c>
      <c r="G653" s="468"/>
      <c r="H653" s="468"/>
      <c r="I653" s="468"/>
      <c r="J653" s="445" t="str">
        <f t="shared" si="20"/>
        <v>12023021200DEPRECIATION - ALT TO L/H PREM68112000</v>
      </c>
      <c r="K653" s="163">
        <f t="shared" si="21"/>
        <v>6205.49</v>
      </c>
    </row>
    <row r="654" spans="1:11" ht="14.5">
      <c r="A654" s="468">
        <v>12023021</v>
      </c>
      <c r="B654" s="468">
        <v>4405</v>
      </c>
      <c r="C654" s="468">
        <v>400</v>
      </c>
      <c r="D654" s="468" t="s">
        <v>177</v>
      </c>
      <c r="E654" s="468">
        <v>139999.26999999999</v>
      </c>
      <c r="F654" s="468">
        <v>68112000</v>
      </c>
      <c r="G654" s="468"/>
      <c r="H654" s="468"/>
      <c r="I654" s="468"/>
      <c r="J654" s="445" t="str">
        <f t="shared" si="20"/>
        <v>12023021400DEPRECIATION - EQUIPMENT68112000</v>
      </c>
      <c r="K654" s="163">
        <f t="shared" si="21"/>
        <v>139999.26999999999</v>
      </c>
    </row>
    <row r="655" spans="1:11" ht="14.5">
      <c r="A655" s="468">
        <v>12023021</v>
      </c>
      <c r="B655" s="468">
        <v>4405</v>
      </c>
      <c r="C655" s="468">
        <v>500</v>
      </c>
      <c r="D655" s="468" t="s">
        <v>182</v>
      </c>
      <c r="E655" s="468">
        <v>3347.8</v>
      </c>
      <c r="F655" s="468">
        <v>68112000</v>
      </c>
      <c r="G655" s="468"/>
      <c r="H655" s="468"/>
      <c r="I655" s="468"/>
      <c r="J655" s="445" t="str">
        <f t="shared" si="20"/>
        <v>12023021500DEPRECIATION - FURN &amp; FIT68112000</v>
      </c>
      <c r="K655" s="163">
        <f t="shared" si="21"/>
        <v>3347.8</v>
      </c>
    </row>
    <row r="656" spans="1:11" ht="14.5">
      <c r="A656" s="468">
        <v>12023011</v>
      </c>
      <c r="B656" s="468">
        <v>4405</v>
      </c>
      <c r="C656" s="468">
        <v>400</v>
      </c>
      <c r="D656" s="468" t="s">
        <v>177</v>
      </c>
      <c r="E656" s="468">
        <v>54655.44</v>
      </c>
      <c r="F656" s="468">
        <v>68112000</v>
      </c>
      <c r="G656" s="468"/>
      <c r="H656" s="468"/>
      <c r="I656" s="468"/>
      <c r="J656" s="445" t="str">
        <f t="shared" si="20"/>
        <v>12023011400DEPRECIATION - EQUIPMENT68112000</v>
      </c>
      <c r="K656" s="163">
        <f t="shared" si="21"/>
        <v>54655.44</v>
      </c>
    </row>
    <row r="657" spans="1:11" ht="14.5">
      <c r="A657" s="468">
        <v>12023011</v>
      </c>
      <c r="B657" s="468">
        <v>4405</v>
      </c>
      <c r="C657" s="468">
        <v>500</v>
      </c>
      <c r="D657" s="468" t="s">
        <v>182</v>
      </c>
      <c r="E657" s="468">
        <v>623.14</v>
      </c>
      <c r="F657" s="468">
        <v>68112000</v>
      </c>
      <c r="G657" s="468"/>
      <c r="H657" s="468"/>
      <c r="I657" s="468"/>
      <c r="J657" s="445" t="str">
        <f t="shared" si="20"/>
        <v>12023011500DEPRECIATION - FURN &amp; FIT68112000</v>
      </c>
      <c r="K657" s="163">
        <f t="shared" si="21"/>
        <v>623.14</v>
      </c>
    </row>
    <row r="658" spans="1:11" ht="14.5">
      <c r="A658" s="468">
        <v>12040500</v>
      </c>
      <c r="B658" s="468">
        <v>4405</v>
      </c>
      <c r="C658" s="468">
        <v>200</v>
      </c>
      <c r="D658" s="468" t="s">
        <v>178</v>
      </c>
      <c r="E658" s="468">
        <v>841</v>
      </c>
      <c r="F658" s="468" t="s">
        <v>179</v>
      </c>
      <c r="G658" s="468"/>
      <c r="H658" s="468"/>
      <c r="I658" s="468"/>
      <c r="J658" s="445" t="str">
        <f t="shared" si="20"/>
        <v>12040500200DEPRECIATION - ALT TO L/H PREM681120LP</v>
      </c>
      <c r="K658" s="163">
        <f t="shared" si="21"/>
        <v>841</v>
      </c>
    </row>
    <row r="659" spans="1:11" ht="14.5">
      <c r="A659" s="468">
        <v>12040500</v>
      </c>
      <c r="B659" s="468">
        <v>4405</v>
      </c>
      <c r="C659" s="468">
        <v>400</v>
      </c>
      <c r="D659" s="468" t="s">
        <v>177</v>
      </c>
      <c r="E659" s="468">
        <v>263.13</v>
      </c>
      <c r="F659" s="468" t="s">
        <v>179</v>
      </c>
      <c r="G659" s="468"/>
      <c r="H659" s="468"/>
      <c r="I659" s="468"/>
      <c r="J659" s="445" t="str">
        <f t="shared" si="20"/>
        <v>12040500400DEPRECIATION - EQUIPMENT681120LP</v>
      </c>
      <c r="K659" s="163">
        <f t="shared" si="21"/>
        <v>263.13</v>
      </c>
    </row>
    <row r="660" spans="1:11" ht="14.5">
      <c r="A660" s="468">
        <v>12038099</v>
      </c>
      <c r="B660" s="468">
        <v>4405</v>
      </c>
      <c r="C660" s="468">
        <v>400</v>
      </c>
      <c r="D660" s="468" t="s">
        <v>177</v>
      </c>
      <c r="E660" s="468">
        <v>551.36</v>
      </c>
      <c r="F660" s="468" t="s">
        <v>180</v>
      </c>
      <c r="G660" s="468"/>
      <c r="H660" s="468"/>
      <c r="I660" s="468"/>
      <c r="J660" s="445" t="str">
        <f t="shared" si="20"/>
        <v>12038099400DEPRECIATION - EQUIPMENT681120SM</v>
      </c>
      <c r="K660" s="163">
        <f t="shared" si="21"/>
        <v>551.36</v>
      </c>
    </row>
    <row r="661" spans="1:11" ht="14.5">
      <c r="A661" s="468">
        <v>12033123</v>
      </c>
      <c r="B661" s="468">
        <v>4405</v>
      </c>
      <c r="C661" s="468">
        <v>600</v>
      </c>
      <c r="D661" s="468" t="s">
        <v>185</v>
      </c>
      <c r="E661" s="468">
        <v>-0.01</v>
      </c>
      <c r="F661" s="468">
        <v>68111000</v>
      </c>
      <c r="G661" s="468"/>
      <c r="H661" s="468"/>
      <c r="I661" s="468"/>
      <c r="J661" s="445" t="str">
        <f t="shared" si="20"/>
        <v>12033123600DEPRECIATION - INTANGIBLE68111000</v>
      </c>
      <c r="K661" s="163">
        <f t="shared" si="21"/>
        <v>-0.01</v>
      </c>
    </row>
    <row r="662" spans="1:11" ht="14.5">
      <c r="A662" s="468">
        <v>12033021</v>
      </c>
      <c r="B662" s="468">
        <v>4405</v>
      </c>
      <c r="C662" s="468">
        <v>500</v>
      </c>
      <c r="D662" s="468" t="s">
        <v>182</v>
      </c>
      <c r="E662" s="468">
        <v>606.38</v>
      </c>
      <c r="F662" s="468">
        <v>68112000</v>
      </c>
      <c r="G662" s="468"/>
      <c r="H662" s="468"/>
      <c r="I662" s="468"/>
      <c r="J662" s="445" t="str">
        <f t="shared" si="20"/>
        <v>12033021500DEPRECIATION - FURN &amp; FIT68112000</v>
      </c>
      <c r="K662" s="163">
        <f t="shared" si="21"/>
        <v>606.38</v>
      </c>
    </row>
    <row r="663" spans="1:11" ht="14.5">
      <c r="A663" s="468">
        <v>12033012</v>
      </c>
      <c r="B663" s="468">
        <v>4405</v>
      </c>
      <c r="C663" s="468">
        <v>400</v>
      </c>
      <c r="D663" s="468" t="s">
        <v>177</v>
      </c>
      <c r="E663" s="468">
        <v>1943.1</v>
      </c>
      <c r="F663" s="468">
        <v>68112000</v>
      </c>
      <c r="G663" s="468"/>
      <c r="H663" s="468"/>
      <c r="I663" s="468"/>
      <c r="J663" s="445" t="str">
        <f t="shared" si="20"/>
        <v>12033012400DEPRECIATION - EQUIPMENT68112000</v>
      </c>
      <c r="K663" s="163">
        <f t="shared" si="21"/>
        <v>1943.1</v>
      </c>
    </row>
    <row r="664" spans="1:11" ht="14.5">
      <c r="A664" s="468">
        <v>12033011</v>
      </c>
      <c r="B664" s="468">
        <v>4405</v>
      </c>
      <c r="C664" s="468">
        <v>200</v>
      </c>
      <c r="D664" s="468" t="s">
        <v>178</v>
      </c>
      <c r="E664" s="468">
        <v>128223.23</v>
      </c>
      <c r="F664" s="468">
        <v>68112000</v>
      </c>
      <c r="G664" s="468"/>
      <c r="H664" s="468"/>
      <c r="I664" s="468"/>
      <c r="J664" s="445" t="str">
        <f t="shared" si="20"/>
        <v>12033011200DEPRECIATION - ALT TO L/H PREM68112000</v>
      </c>
      <c r="K664" s="163">
        <f t="shared" si="21"/>
        <v>128223.23</v>
      </c>
    </row>
    <row r="665" spans="1:11" ht="14.5">
      <c r="A665" s="468">
        <v>12033011</v>
      </c>
      <c r="B665" s="468">
        <v>4405</v>
      </c>
      <c r="C665" s="468">
        <v>400</v>
      </c>
      <c r="D665" s="468" t="s">
        <v>177</v>
      </c>
      <c r="E665" s="468">
        <v>120658.61</v>
      </c>
      <c r="F665" s="468">
        <v>68112000</v>
      </c>
      <c r="G665" s="468"/>
      <c r="H665" s="468"/>
      <c r="I665" s="468"/>
      <c r="J665" s="445" t="str">
        <f t="shared" si="20"/>
        <v>12033011400DEPRECIATION - EQUIPMENT68112000</v>
      </c>
      <c r="K665" s="163">
        <f t="shared" si="21"/>
        <v>120658.61</v>
      </c>
    </row>
    <row r="666" spans="1:11" ht="14.5">
      <c r="A666" s="468">
        <v>12033011</v>
      </c>
      <c r="B666" s="468">
        <v>4405</v>
      </c>
      <c r="C666" s="468">
        <v>500</v>
      </c>
      <c r="D666" s="468" t="s">
        <v>182</v>
      </c>
      <c r="E666" s="468">
        <v>1845.89</v>
      </c>
      <c r="F666" s="468">
        <v>68112000</v>
      </c>
      <c r="G666" s="468"/>
      <c r="H666" s="468"/>
      <c r="I666" s="468"/>
      <c r="J666" s="445" t="str">
        <f t="shared" si="20"/>
        <v>12033011500DEPRECIATION - FURN &amp; FIT68112000</v>
      </c>
      <c r="K666" s="163">
        <f t="shared" si="21"/>
        <v>1845.89</v>
      </c>
    </row>
    <row r="667" spans="1:11" ht="14.5">
      <c r="A667" s="468">
        <v>12033011</v>
      </c>
      <c r="B667" s="468">
        <v>4405</v>
      </c>
      <c r="C667" s="468">
        <v>600</v>
      </c>
      <c r="D667" s="468" t="s">
        <v>185</v>
      </c>
      <c r="E667" s="468">
        <v>4351.1099999999997</v>
      </c>
      <c r="F667" s="468">
        <v>68111000</v>
      </c>
      <c r="G667" s="468"/>
      <c r="H667" s="468"/>
      <c r="I667" s="468"/>
      <c r="J667" s="445" t="str">
        <f t="shared" si="20"/>
        <v>12033011600DEPRECIATION - INTANGIBLE68111000</v>
      </c>
      <c r="K667" s="163">
        <f t="shared" si="21"/>
        <v>4351.1099999999997</v>
      </c>
    </row>
    <row r="668" spans="1:11" ht="14.5">
      <c r="A668" s="468">
        <v>12032511</v>
      </c>
      <c r="B668" s="468">
        <v>4405</v>
      </c>
      <c r="C668" s="468">
        <v>400</v>
      </c>
      <c r="D668" s="468" t="s">
        <v>177</v>
      </c>
      <c r="E668" s="468">
        <v>30.27</v>
      </c>
      <c r="F668" s="468">
        <v>68112000</v>
      </c>
      <c r="G668" s="468"/>
      <c r="H668" s="468"/>
      <c r="I668" s="468"/>
      <c r="J668" s="445" t="str">
        <f t="shared" si="20"/>
        <v>12032511400DEPRECIATION - EQUIPMENT68112000</v>
      </c>
      <c r="K668" s="163">
        <f t="shared" si="21"/>
        <v>30.27</v>
      </c>
    </row>
    <row r="669" spans="1:11" ht="14.5">
      <c r="A669" s="468">
        <v>12048099</v>
      </c>
      <c r="B669" s="468">
        <v>4405</v>
      </c>
      <c r="C669" s="468">
        <v>400</v>
      </c>
      <c r="D669" s="468" t="s">
        <v>177</v>
      </c>
      <c r="E669" s="468">
        <v>615.54</v>
      </c>
      <c r="F669" s="468" t="s">
        <v>180</v>
      </c>
      <c r="G669" s="468"/>
      <c r="H669" s="468"/>
      <c r="I669" s="468"/>
      <c r="J669" s="445" t="str">
        <f t="shared" si="20"/>
        <v>12048099400DEPRECIATION - EQUIPMENT681120SM</v>
      </c>
      <c r="K669" s="163">
        <f t="shared" si="21"/>
        <v>615.54</v>
      </c>
    </row>
    <row r="670" spans="1:11" ht="14.5">
      <c r="A670" s="468">
        <v>12043123</v>
      </c>
      <c r="B670" s="468">
        <v>4405</v>
      </c>
      <c r="C670" s="468">
        <v>400</v>
      </c>
      <c r="D670" s="468" t="s">
        <v>177</v>
      </c>
      <c r="E670" s="468">
        <v>49125.55</v>
      </c>
      <c r="F670" s="468">
        <v>68112000</v>
      </c>
      <c r="G670" s="468"/>
      <c r="H670" s="468"/>
      <c r="I670" s="468"/>
      <c r="J670" s="445" t="str">
        <f t="shared" si="20"/>
        <v>12043123400DEPRECIATION - EQUIPMENT68112000</v>
      </c>
      <c r="K670" s="163">
        <f t="shared" si="21"/>
        <v>49125.55</v>
      </c>
    </row>
    <row r="671" spans="1:11" ht="14.5">
      <c r="A671" s="468">
        <v>12043011</v>
      </c>
      <c r="B671" s="468">
        <v>4405</v>
      </c>
      <c r="C671" s="468">
        <v>400</v>
      </c>
      <c r="D671" s="468" t="s">
        <v>177</v>
      </c>
      <c r="E671" s="468">
        <v>41337.300000000003</v>
      </c>
      <c r="F671" s="468">
        <v>68112000</v>
      </c>
      <c r="G671" s="468"/>
      <c r="H671" s="468"/>
      <c r="I671" s="468"/>
      <c r="J671" s="445" t="str">
        <f t="shared" si="20"/>
        <v>12043011400DEPRECIATION - EQUIPMENT68112000</v>
      </c>
      <c r="K671" s="163">
        <f t="shared" si="21"/>
        <v>41337.300000000003</v>
      </c>
    </row>
    <row r="672" spans="1:11" ht="14.5">
      <c r="A672" s="468">
        <v>12043011</v>
      </c>
      <c r="B672" s="468">
        <v>4405</v>
      </c>
      <c r="C672" s="468">
        <v>500</v>
      </c>
      <c r="D672" s="468" t="s">
        <v>182</v>
      </c>
      <c r="E672" s="468">
        <v>329.1</v>
      </c>
      <c r="F672" s="468">
        <v>68112000</v>
      </c>
      <c r="G672" s="468"/>
      <c r="H672" s="468"/>
      <c r="I672" s="468"/>
      <c r="J672" s="445" t="str">
        <f t="shared" si="20"/>
        <v>12043011500DEPRECIATION - FURN &amp; FIT68112000</v>
      </c>
      <c r="K672" s="163">
        <f t="shared" si="21"/>
        <v>329.1</v>
      </c>
    </row>
    <row r="673" spans="1:11" ht="14.5">
      <c r="A673" s="468">
        <v>12063011</v>
      </c>
      <c r="B673" s="468">
        <v>4405</v>
      </c>
      <c r="C673" s="468">
        <v>200</v>
      </c>
      <c r="D673" s="468" t="s">
        <v>178</v>
      </c>
      <c r="E673" s="468">
        <v>16842</v>
      </c>
      <c r="F673" s="468">
        <v>68112000</v>
      </c>
      <c r="G673" s="468"/>
      <c r="H673" s="468"/>
      <c r="I673" s="468"/>
      <c r="J673" s="445" t="str">
        <f t="shared" si="20"/>
        <v>12063011200DEPRECIATION - ALT TO L/H PREM68112000</v>
      </c>
      <c r="K673" s="163">
        <f t="shared" si="21"/>
        <v>16842</v>
      </c>
    </row>
    <row r="674" spans="1:11" ht="14.5">
      <c r="A674" s="468">
        <v>12063011</v>
      </c>
      <c r="B674" s="468">
        <v>4405</v>
      </c>
      <c r="C674" s="468">
        <v>400</v>
      </c>
      <c r="D674" s="468" t="s">
        <v>177</v>
      </c>
      <c r="E674" s="468">
        <v>6902.15</v>
      </c>
      <c r="F674" s="468">
        <v>68112000</v>
      </c>
      <c r="G674" s="468"/>
      <c r="H674" s="468"/>
      <c r="I674" s="468"/>
      <c r="J674" s="445" t="str">
        <f t="shared" si="20"/>
        <v>12063011400DEPRECIATION - EQUIPMENT68112000</v>
      </c>
      <c r="K674" s="163">
        <f t="shared" si="21"/>
        <v>6902.15</v>
      </c>
    </row>
    <row r="675" spans="1:11" ht="14.5">
      <c r="A675" s="468">
        <v>12063011</v>
      </c>
      <c r="B675" s="468">
        <v>4405</v>
      </c>
      <c r="C675" s="468">
        <v>500</v>
      </c>
      <c r="D675" s="468" t="s">
        <v>182</v>
      </c>
      <c r="E675" s="468">
        <v>128.6</v>
      </c>
      <c r="F675" s="468">
        <v>68112000</v>
      </c>
      <c r="G675" s="468"/>
      <c r="H675" s="468"/>
      <c r="I675" s="468"/>
      <c r="J675" s="445" t="str">
        <f t="shared" si="20"/>
        <v>12063011500DEPRECIATION - FURN &amp; FIT68112000</v>
      </c>
      <c r="K675" s="163">
        <f t="shared" si="21"/>
        <v>128.6</v>
      </c>
    </row>
    <row r="676" spans="1:11" ht="14.5">
      <c r="A676" s="468">
        <v>12060500</v>
      </c>
      <c r="B676" s="468">
        <v>4405</v>
      </c>
      <c r="C676" s="468">
        <v>200</v>
      </c>
      <c r="D676" s="468" t="s">
        <v>178</v>
      </c>
      <c r="E676" s="468">
        <v>219.48</v>
      </c>
      <c r="F676" s="468" t="s">
        <v>179</v>
      </c>
      <c r="G676" s="468"/>
      <c r="H676" s="468"/>
      <c r="I676" s="468"/>
      <c r="J676" s="445" t="str">
        <f t="shared" si="20"/>
        <v>12060500200DEPRECIATION - ALT TO L/H PREM681120LP</v>
      </c>
      <c r="K676" s="163">
        <f t="shared" si="21"/>
        <v>219.48</v>
      </c>
    </row>
    <row r="677" spans="1:11" ht="14.5">
      <c r="A677" s="468">
        <v>12060500</v>
      </c>
      <c r="B677" s="468">
        <v>4405</v>
      </c>
      <c r="C677" s="468">
        <v>400</v>
      </c>
      <c r="D677" s="468" t="s">
        <v>177</v>
      </c>
      <c r="E677" s="468">
        <v>1080</v>
      </c>
      <c r="F677" s="468" t="s">
        <v>179</v>
      </c>
      <c r="G677" s="468"/>
      <c r="H677" s="468"/>
      <c r="I677" s="468"/>
      <c r="J677" s="445" t="str">
        <f t="shared" si="20"/>
        <v>12060500400DEPRECIATION - EQUIPMENT681120LP</v>
      </c>
      <c r="K677" s="163">
        <f t="shared" si="21"/>
        <v>1080</v>
      </c>
    </row>
    <row r="678" spans="1:11" ht="14.5">
      <c r="A678" s="468">
        <v>12060400</v>
      </c>
      <c r="B678" s="468">
        <v>4405</v>
      </c>
      <c r="C678" s="468">
        <v>400</v>
      </c>
      <c r="D678" s="468" t="s">
        <v>177</v>
      </c>
      <c r="E678" s="468">
        <v>31.56</v>
      </c>
      <c r="F678" s="468" t="s">
        <v>184</v>
      </c>
      <c r="G678" s="468"/>
      <c r="H678" s="468"/>
      <c r="I678" s="468"/>
      <c r="J678" s="445" t="str">
        <f t="shared" si="20"/>
        <v>12060400400DEPRECIATION - EQUIPMENT681120CS</v>
      </c>
      <c r="K678" s="163">
        <f t="shared" si="21"/>
        <v>31.56</v>
      </c>
    </row>
    <row r="679" spans="1:11" ht="14.5">
      <c r="A679" s="468">
        <v>12010700</v>
      </c>
      <c r="B679" s="468">
        <v>4450</v>
      </c>
      <c r="C679" s="468"/>
      <c r="D679" s="468" t="s">
        <v>186</v>
      </c>
      <c r="E679" s="468">
        <v>8515.84</v>
      </c>
      <c r="F679" s="468">
        <v>68112500</v>
      </c>
      <c r="G679" s="468"/>
      <c r="H679" s="468"/>
      <c r="I679" s="468"/>
      <c r="J679" s="445" t="str">
        <f t="shared" si="20"/>
        <v>12010700DEP EXP- RIGHT-OF-USE68112500</v>
      </c>
      <c r="K679" s="163">
        <f t="shared" si="21"/>
        <v>8515.84</v>
      </c>
    </row>
    <row r="680" spans="1:11" ht="14.5">
      <c r="A680" s="468">
        <v>12060400</v>
      </c>
      <c r="B680" s="468">
        <v>4450</v>
      </c>
      <c r="C680" s="468"/>
      <c r="D680" s="468" t="s">
        <v>186</v>
      </c>
      <c r="E680" s="468">
        <v>4796.4399999999996</v>
      </c>
      <c r="F680" s="468" t="s">
        <v>187</v>
      </c>
      <c r="G680" s="468"/>
      <c r="H680" s="468"/>
      <c r="I680" s="468"/>
      <c r="J680" s="445" t="str">
        <f t="shared" si="20"/>
        <v>12060400DEP EXP- RIGHT-OF-USE681125CS</v>
      </c>
      <c r="K680" s="163">
        <f t="shared" si="21"/>
        <v>4796.4399999999996</v>
      </c>
    </row>
    <row r="681" spans="1:11" ht="14.5">
      <c r="A681" s="468">
        <v>12018599</v>
      </c>
      <c r="B681" s="468">
        <v>4450</v>
      </c>
      <c r="C681" s="468"/>
      <c r="D681" s="468" t="s">
        <v>186</v>
      </c>
      <c r="E681" s="468">
        <v>8049.41</v>
      </c>
      <c r="F681" s="468" t="s">
        <v>188</v>
      </c>
      <c r="G681" s="468"/>
      <c r="H681" s="468"/>
      <c r="I681" s="468"/>
      <c r="J681" s="445" t="str">
        <f t="shared" si="20"/>
        <v>12018599DEP EXP- RIGHT-OF-USE681125GA</v>
      </c>
      <c r="K681" s="163">
        <f t="shared" si="21"/>
        <v>8049.41</v>
      </c>
    </row>
    <row r="682" spans="1:11" ht="14.5">
      <c r="A682" s="468">
        <v>12018099</v>
      </c>
      <c r="B682" s="468">
        <v>4450</v>
      </c>
      <c r="C682" s="468"/>
      <c r="D682" s="468" t="s">
        <v>186</v>
      </c>
      <c r="E682" s="468">
        <v>39005.49</v>
      </c>
      <c r="F682" s="468" t="s">
        <v>189</v>
      </c>
      <c r="G682" s="468"/>
      <c r="H682" s="468"/>
      <c r="I682" s="468"/>
      <c r="J682" s="445" t="str">
        <f t="shared" si="20"/>
        <v>12018099DEP EXP- RIGHT-OF-USE681125SM</v>
      </c>
      <c r="K682" s="163">
        <f t="shared" si="21"/>
        <v>39005.49</v>
      </c>
    </row>
    <row r="683" spans="1:11" ht="14.5">
      <c r="A683" s="468">
        <v>12013300</v>
      </c>
      <c r="B683" s="468">
        <v>4450</v>
      </c>
      <c r="C683" s="468"/>
      <c r="D683" s="468" t="s">
        <v>186</v>
      </c>
      <c r="E683" s="468">
        <v>10178.379999999999</v>
      </c>
      <c r="F683" s="468" t="s">
        <v>190</v>
      </c>
      <c r="G683" s="468"/>
      <c r="H683" s="468"/>
      <c r="I683" s="468"/>
      <c r="J683" s="445" t="str">
        <f t="shared" si="20"/>
        <v>12013300DEP EXP- RIGHT-OF-USE681125IT</v>
      </c>
      <c r="K683" s="163">
        <f t="shared" si="21"/>
        <v>10178.379999999999</v>
      </c>
    </row>
    <row r="684" spans="1:11" ht="14.5">
      <c r="A684" s="468">
        <v>12013250</v>
      </c>
      <c r="B684" s="468">
        <v>4450</v>
      </c>
      <c r="C684" s="468"/>
      <c r="D684" s="468" t="s">
        <v>186</v>
      </c>
      <c r="E684" s="468">
        <v>22390.44</v>
      </c>
      <c r="F684" s="468">
        <v>68112500</v>
      </c>
      <c r="G684" s="468"/>
      <c r="H684" s="468"/>
      <c r="I684" s="468"/>
      <c r="J684" s="445" t="str">
        <f t="shared" si="20"/>
        <v>12013250DEP EXP- RIGHT-OF-USE68112500</v>
      </c>
      <c r="K684" s="163">
        <f t="shared" si="21"/>
        <v>22390.44</v>
      </c>
    </row>
    <row r="685" spans="1:11" ht="14.5">
      <c r="A685" s="468">
        <v>12013012</v>
      </c>
      <c r="B685" s="468">
        <v>4450</v>
      </c>
      <c r="C685" s="468"/>
      <c r="D685" s="468" t="s">
        <v>186</v>
      </c>
      <c r="E685" s="468">
        <v>19317.77</v>
      </c>
      <c r="F685" s="468">
        <v>68112500</v>
      </c>
      <c r="G685" s="468"/>
      <c r="H685" s="468"/>
      <c r="I685" s="468"/>
      <c r="J685" s="445" t="str">
        <f t="shared" si="20"/>
        <v>12013012DEP EXP- RIGHT-OF-USE68112500</v>
      </c>
      <c r="K685" s="163">
        <f t="shared" si="21"/>
        <v>19317.77</v>
      </c>
    </row>
    <row r="686" spans="1:11" ht="14.5">
      <c r="A686" s="468">
        <v>12020500</v>
      </c>
      <c r="B686" s="468">
        <v>4450</v>
      </c>
      <c r="C686" s="468"/>
      <c r="D686" s="468" t="s">
        <v>186</v>
      </c>
      <c r="E686" s="468">
        <v>9185.6200000000008</v>
      </c>
      <c r="F686" s="468" t="s">
        <v>191</v>
      </c>
      <c r="G686" s="468"/>
      <c r="H686" s="468"/>
      <c r="I686" s="468"/>
      <c r="J686" s="445" t="str">
        <f t="shared" si="20"/>
        <v>12020500DEP EXP- RIGHT-OF-USE681125LP</v>
      </c>
      <c r="K686" s="163">
        <f t="shared" si="21"/>
        <v>9185.6200000000008</v>
      </c>
    </row>
    <row r="687" spans="1:11" ht="14.5">
      <c r="A687" s="468">
        <v>12020400</v>
      </c>
      <c r="B687" s="468">
        <v>4450</v>
      </c>
      <c r="C687" s="468"/>
      <c r="D687" s="468" t="s">
        <v>186</v>
      </c>
      <c r="E687" s="468">
        <v>9855.42</v>
      </c>
      <c r="F687" s="468" t="s">
        <v>187</v>
      </c>
      <c r="G687" s="468"/>
      <c r="H687" s="468"/>
      <c r="I687" s="468"/>
      <c r="J687" s="445" t="str">
        <f t="shared" si="20"/>
        <v>12020400DEP EXP- RIGHT-OF-USE681125CS</v>
      </c>
      <c r="K687" s="163">
        <f t="shared" si="21"/>
        <v>9855.42</v>
      </c>
    </row>
    <row r="688" spans="1:11" ht="14.5">
      <c r="A688" s="468">
        <v>12019199</v>
      </c>
      <c r="B688" s="468">
        <v>4450</v>
      </c>
      <c r="C688" s="468"/>
      <c r="D688" s="468" t="s">
        <v>186</v>
      </c>
      <c r="E688" s="468">
        <v>30363.45</v>
      </c>
      <c r="F688" s="468" t="s">
        <v>188</v>
      </c>
      <c r="G688" s="468"/>
      <c r="H688" s="468"/>
      <c r="I688" s="468"/>
      <c r="J688" s="445" t="str">
        <f t="shared" si="20"/>
        <v>12019199DEP EXP- RIGHT-OF-USE681125GA</v>
      </c>
      <c r="K688" s="163">
        <f t="shared" si="21"/>
        <v>30363.45</v>
      </c>
    </row>
    <row r="689" spans="1:11" ht="14.5">
      <c r="A689" s="468">
        <v>12019099</v>
      </c>
      <c r="B689" s="468">
        <v>4450</v>
      </c>
      <c r="C689" s="468"/>
      <c r="D689" s="468" t="s">
        <v>186</v>
      </c>
      <c r="E689" s="468">
        <v>4257.92</v>
      </c>
      <c r="F689" s="468" t="s">
        <v>188</v>
      </c>
      <c r="G689" s="468"/>
      <c r="H689" s="468"/>
      <c r="I689" s="468"/>
      <c r="J689" s="445" t="str">
        <f t="shared" si="20"/>
        <v>12019099DEP EXP- RIGHT-OF-USE681125GA</v>
      </c>
      <c r="K689" s="163">
        <f t="shared" si="21"/>
        <v>4257.92</v>
      </c>
    </row>
    <row r="690" spans="1:11" ht="14.5">
      <c r="A690" s="468">
        <v>12030500</v>
      </c>
      <c r="B690" s="468">
        <v>4450</v>
      </c>
      <c r="C690" s="468"/>
      <c r="D690" s="468" t="s">
        <v>186</v>
      </c>
      <c r="E690" s="468">
        <v>8475.2099999999991</v>
      </c>
      <c r="F690" s="468" t="s">
        <v>191</v>
      </c>
      <c r="G690" s="468"/>
      <c r="H690" s="468"/>
      <c r="I690" s="468"/>
      <c r="J690" s="445" t="str">
        <f t="shared" si="20"/>
        <v>12030500DEP EXP- RIGHT-OF-USE681125LP</v>
      </c>
      <c r="K690" s="163">
        <f t="shared" si="21"/>
        <v>8475.2099999999991</v>
      </c>
    </row>
    <row r="691" spans="1:11" ht="14.5">
      <c r="A691" s="468">
        <v>12030400</v>
      </c>
      <c r="B691" s="468">
        <v>4450</v>
      </c>
      <c r="C691" s="468"/>
      <c r="D691" s="468" t="s">
        <v>186</v>
      </c>
      <c r="E691" s="468">
        <v>10732.43</v>
      </c>
      <c r="F691" s="468" t="s">
        <v>187</v>
      </c>
      <c r="G691" s="468"/>
      <c r="H691" s="468"/>
      <c r="I691" s="468"/>
      <c r="J691" s="445" t="str">
        <f t="shared" si="20"/>
        <v>12030400DEP EXP- RIGHT-OF-USE681125CS</v>
      </c>
      <c r="K691" s="163">
        <f t="shared" si="21"/>
        <v>10732.43</v>
      </c>
    </row>
    <row r="692" spans="1:11" ht="14.5">
      <c r="A692" s="468">
        <v>12023021</v>
      </c>
      <c r="B692" s="468">
        <v>4450</v>
      </c>
      <c r="C692" s="468"/>
      <c r="D692" s="468" t="s">
        <v>186</v>
      </c>
      <c r="E692" s="468">
        <v>75816.479999999996</v>
      </c>
      <c r="F692" s="468">
        <v>68112500</v>
      </c>
      <c r="G692" s="468"/>
      <c r="H692" s="468"/>
      <c r="I692" s="468"/>
      <c r="J692" s="445" t="str">
        <f t="shared" si="20"/>
        <v>12023021DEP EXP- RIGHT-OF-USE68112500</v>
      </c>
      <c r="K692" s="163">
        <f t="shared" si="21"/>
        <v>75816.479999999996</v>
      </c>
    </row>
    <row r="693" spans="1:11" ht="14.5">
      <c r="A693" s="468">
        <v>12023011</v>
      </c>
      <c r="B693" s="468">
        <v>4450</v>
      </c>
      <c r="C693" s="468"/>
      <c r="D693" s="468" t="s">
        <v>186</v>
      </c>
      <c r="E693" s="468">
        <v>113353.28</v>
      </c>
      <c r="F693" s="468">
        <v>68112500</v>
      </c>
      <c r="G693" s="468"/>
      <c r="H693" s="468"/>
      <c r="I693" s="468"/>
      <c r="J693" s="445" t="str">
        <f t="shared" si="20"/>
        <v>12023011DEP EXP- RIGHT-OF-USE68112500</v>
      </c>
      <c r="K693" s="163">
        <f t="shared" si="21"/>
        <v>113353.28</v>
      </c>
    </row>
    <row r="694" spans="1:11" ht="14.5">
      <c r="A694" s="468">
        <v>12040500</v>
      </c>
      <c r="B694" s="468">
        <v>4450</v>
      </c>
      <c r="C694" s="468"/>
      <c r="D694" s="468" t="s">
        <v>186</v>
      </c>
      <c r="E694" s="468">
        <v>4975.18</v>
      </c>
      <c r="F694" s="468" t="s">
        <v>191</v>
      </c>
      <c r="G694" s="468"/>
      <c r="H694" s="468"/>
      <c r="I694" s="468"/>
      <c r="J694" s="445" t="str">
        <f t="shared" si="20"/>
        <v>12040500DEP EXP- RIGHT-OF-USE681125LP</v>
      </c>
      <c r="K694" s="163">
        <f t="shared" si="21"/>
        <v>4975.18</v>
      </c>
    </row>
    <row r="695" spans="1:11" ht="14.5">
      <c r="A695" s="468">
        <v>12040400</v>
      </c>
      <c r="B695" s="468">
        <v>4450</v>
      </c>
      <c r="C695" s="468"/>
      <c r="D695" s="468" t="s">
        <v>186</v>
      </c>
      <c r="E695" s="468">
        <v>5118.62</v>
      </c>
      <c r="F695" s="468" t="s">
        <v>187</v>
      </c>
      <c r="G695" s="468"/>
      <c r="H695" s="468"/>
      <c r="I695" s="468"/>
      <c r="J695" s="445" t="str">
        <f t="shared" si="20"/>
        <v>12040400DEP EXP- RIGHT-OF-USE681125CS</v>
      </c>
      <c r="K695" s="163">
        <f t="shared" si="21"/>
        <v>5118.62</v>
      </c>
    </row>
    <row r="696" spans="1:11" ht="14.5">
      <c r="A696" s="468">
        <v>12033011</v>
      </c>
      <c r="B696" s="468">
        <v>4450</v>
      </c>
      <c r="C696" s="468"/>
      <c r="D696" s="468" t="s">
        <v>186</v>
      </c>
      <c r="E696" s="468">
        <v>139137.07</v>
      </c>
      <c r="F696" s="468">
        <v>68112500</v>
      </c>
      <c r="G696" s="468"/>
      <c r="H696" s="468"/>
      <c r="I696" s="468"/>
      <c r="J696" s="445" t="str">
        <f t="shared" si="20"/>
        <v>12033011DEP EXP- RIGHT-OF-USE68112500</v>
      </c>
      <c r="K696" s="163">
        <f t="shared" si="21"/>
        <v>139137.07</v>
      </c>
    </row>
    <row r="697" spans="1:11" ht="14.5">
      <c r="A697" s="468">
        <v>12043123</v>
      </c>
      <c r="B697" s="468">
        <v>4450</v>
      </c>
      <c r="C697" s="468"/>
      <c r="D697" s="468" t="s">
        <v>186</v>
      </c>
      <c r="E697" s="468">
        <v>8879.2800000000007</v>
      </c>
      <c r="F697" s="468">
        <v>68112500</v>
      </c>
      <c r="G697" s="468"/>
      <c r="H697" s="468"/>
      <c r="I697" s="468"/>
      <c r="J697" s="445" t="str">
        <f t="shared" si="20"/>
        <v>12043123DEP EXP- RIGHT-OF-USE68112500</v>
      </c>
      <c r="K697" s="163">
        <f t="shared" si="21"/>
        <v>8879.2800000000007</v>
      </c>
    </row>
    <row r="698" spans="1:11" ht="14.5">
      <c r="A698" s="468">
        <v>12043011</v>
      </c>
      <c r="B698" s="468">
        <v>4450</v>
      </c>
      <c r="C698" s="468"/>
      <c r="D698" s="468" t="s">
        <v>186</v>
      </c>
      <c r="E698" s="468">
        <v>53230.37</v>
      </c>
      <c r="F698" s="468">
        <v>68112500</v>
      </c>
      <c r="G698" s="468"/>
      <c r="H698" s="468"/>
      <c r="I698" s="468"/>
      <c r="J698" s="445" t="str">
        <f t="shared" si="20"/>
        <v>12043011DEP EXP- RIGHT-OF-USE68112500</v>
      </c>
      <c r="K698" s="163">
        <f t="shared" si="21"/>
        <v>53230.37</v>
      </c>
    </row>
    <row r="699" spans="1:11" ht="14.5">
      <c r="A699" s="468">
        <v>12063011</v>
      </c>
      <c r="B699" s="468">
        <v>4450</v>
      </c>
      <c r="C699" s="468"/>
      <c r="D699" s="468" t="s">
        <v>186</v>
      </c>
      <c r="E699" s="468">
        <v>52882.79</v>
      </c>
      <c r="F699" s="468">
        <v>68112500</v>
      </c>
      <c r="G699" s="468"/>
      <c r="H699" s="468"/>
      <c r="I699" s="468"/>
      <c r="J699" s="445" t="str">
        <f t="shared" si="20"/>
        <v>12063011DEP EXP- RIGHT-OF-USE68112500</v>
      </c>
      <c r="K699" s="163">
        <f t="shared" si="21"/>
        <v>52882.79</v>
      </c>
    </row>
    <row r="700" spans="1:11" ht="14.5">
      <c r="A700" s="468">
        <v>12010500</v>
      </c>
      <c r="B700" s="468">
        <v>4450</v>
      </c>
      <c r="C700" s="468"/>
      <c r="D700" s="468" t="s">
        <v>186</v>
      </c>
      <c r="E700" s="468">
        <v>20894.5</v>
      </c>
      <c r="F700" s="468" t="s">
        <v>191</v>
      </c>
      <c r="G700" s="468"/>
      <c r="H700" s="468"/>
      <c r="I700" s="468"/>
      <c r="J700" s="445" t="str">
        <f t="shared" si="20"/>
        <v>12010500DEP EXP- RIGHT-OF-USE681125LP</v>
      </c>
      <c r="K700" s="163">
        <f t="shared" si="21"/>
        <v>20894.5</v>
      </c>
    </row>
    <row r="701" spans="1:11" ht="14.5">
      <c r="A701" s="468">
        <v>12048099</v>
      </c>
      <c r="B701" s="468">
        <v>4505</v>
      </c>
      <c r="C701" s="468"/>
      <c r="D701" s="468" t="s">
        <v>192</v>
      </c>
      <c r="E701" s="468">
        <v>185.38</v>
      </c>
      <c r="F701" s="468" t="s">
        <v>194</v>
      </c>
      <c r="G701" s="468"/>
      <c r="H701" s="468"/>
      <c r="I701" s="468"/>
      <c r="J701" s="445" t="str">
        <f t="shared" si="20"/>
        <v>12048099PURCHASED EQUIPMENT EXP610001SM</v>
      </c>
      <c r="K701" s="163">
        <f t="shared" si="21"/>
        <v>185.38</v>
      </c>
    </row>
    <row r="702" spans="1:11" ht="14.5">
      <c r="A702" s="468">
        <v>12063011</v>
      </c>
      <c r="B702" s="468">
        <v>4505</v>
      </c>
      <c r="C702" s="468"/>
      <c r="D702" s="468" t="s">
        <v>192</v>
      </c>
      <c r="E702" s="468">
        <v>1650</v>
      </c>
      <c r="F702" s="468">
        <v>61000100</v>
      </c>
      <c r="G702" s="468"/>
      <c r="H702" s="468"/>
      <c r="I702" s="468"/>
      <c r="J702" s="445" t="str">
        <f t="shared" si="20"/>
        <v>12063011PURCHASED EQUIPMENT EXP61000100</v>
      </c>
      <c r="K702" s="163">
        <f t="shared" si="21"/>
        <v>1650</v>
      </c>
    </row>
    <row r="703" spans="1:11" ht="14.5">
      <c r="A703" s="468">
        <v>12013300</v>
      </c>
      <c r="B703" s="468">
        <v>4505</v>
      </c>
      <c r="C703" s="468"/>
      <c r="D703" s="468" t="s">
        <v>192</v>
      </c>
      <c r="E703" s="468">
        <v>5860.6</v>
      </c>
      <c r="F703" s="468" t="s">
        <v>195</v>
      </c>
      <c r="G703" s="468"/>
      <c r="H703" s="468"/>
      <c r="I703" s="468"/>
      <c r="J703" s="445" t="str">
        <f t="shared" si="20"/>
        <v>12013300PURCHASED EQUIPMENT EXP610001IT</v>
      </c>
      <c r="K703" s="163">
        <f t="shared" si="21"/>
        <v>5860.6</v>
      </c>
    </row>
    <row r="704" spans="1:11" ht="14.5">
      <c r="A704" s="468">
        <v>12013012</v>
      </c>
      <c r="B704" s="468">
        <v>4505</v>
      </c>
      <c r="C704" s="468"/>
      <c r="D704" s="468" t="s">
        <v>192</v>
      </c>
      <c r="E704" s="468">
        <v>53.56</v>
      </c>
      <c r="F704" s="468">
        <v>61000100</v>
      </c>
      <c r="G704" s="468"/>
      <c r="H704" s="468"/>
      <c r="I704" s="468"/>
      <c r="J704" s="445" t="str">
        <f t="shared" si="20"/>
        <v>12013012PURCHASED EQUIPMENT EXP61000100</v>
      </c>
      <c r="K704" s="163">
        <f t="shared" si="21"/>
        <v>53.56</v>
      </c>
    </row>
    <row r="705" spans="1:11" ht="14.5">
      <c r="A705" s="468">
        <v>12018099</v>
      </c>
      <c r="B705" s="468">
        <v>4505</v>
      </c>
      <c r="C705" s="468"/>
      <c r="D705" s="468" t="s">
        <v>192</v>
      </c>
      <c r="E705" s="468">
        <v>119.71</v>
      </c>
      <c r="F705" s="468" t="s">
        <v>194</v>
      </c>
      <c r="G705" s="468"/>
      <c r="H705" s="468"/>
      <c r="I705" s="468"/>
      <c r="J705" s="445" t="str">
        <f t="shared" si="20"/>
        <v>12018099PURCHASED EQUIPMENT EXP610001SM</v>
      </c>
      <c r="K705" s="163">
        <f t="shared" si="21"/>
        <v>119.71</v>
      </c>
    </row>
    <row r="706" spans="1:11" ht="14.5">
      <c r="A706" s="468">
        <v>12023011</v>
      </c>
      <c r="B706" s="468">
        <v>4505</v>
      </c>
      <c r="C706" s="468"/>
      <c r="D706" s="468" t="s">
        <v>192</v>
      </c>
      <c r="E706" s="468">
        <v>29066.82</v>
      </c>
      <c r="F706" s="468">
        <v>61000100</v>
      </c>
      <c r="G706" s="468"/>
      <c r="H706" s="468"/>
      <c r="I706" s="468"/>
      <c r="J706" s="445" t="str">
        <f t="shared" si="20"/>
        <v>12023011PURCHASED EQUIPMENT EXP61000100</v>
      </c>
      <c r="K706" s="163">
        <f t="shared" si="21"/>
        <v>29066.82</v>
      </c>
    </row>
    <row r="707" spans="1:11" ht="14.5">
      <c r="A707" s="468">
        <v>12022511</v>
      </c>
      <c r="B707" s="468">
        <v>4505</v>
      </c>
      <c r="C707" s="468"/>
      <c r="D707" s="468" t="s">
        <v>192</v>
      </c>
      <c r="E707" s="468">
        <v>700</v>
      </c>
      <c r="F707" s="468">
        <v>61000100</v>
      </c>
      <c r="G707" s="468"/>
      <c r="H707" s="468"/>
      <c r="I707" s="468"/>
      <c r="J707" s="445" t="str">
        <f t="shared" si="20"/>
        <v>12022511PURCHASED EQUIPMENT EXP61000100</v>
      </c>
      <c r="K707" s="163">
        <f t="shared" si="21"/>
        <v>700</v>
      </c>
    </row>
    <row r="708" spans="1:11" ht="14.5">
      <c r="A708" s="468">
        <v>12020500</v>
      </c>
      <c r="B708" s="468">
        <v>4505</v>
      </c>
      <c r="C708" s="468"/>
      <c r="D708" s="468" t="s">
        <v>192</v>
      </c>
      <c r="E708" s="468">
        <v>3107.48</v>
      </c>
      <c r="F708" s="468" t="s">
        <v>193</v>
      </c>
      <c r="G708" s="468"/>
      <c r="H708" s="468"/>
      <c r="I708" s="468"/>
      <c r="J708" s="445" t="str">
        <f t="shared" si="20"/>
        <v>12020500PURCHASED EQUIPMENT EXP610001LP</v>
      </c>
      <c r="K708" s="163">
        <f t="shared" si="21"/>
        <v>3107.48</v>
      </c>
    </row>
    <row r="709" spans="1:11" ht="14.5">
      <c r="A709" s="468">
        <v>12030500</v>
      </c>
      <c r="B709" s="468">
        <v>4505</v>
      </c>
      <c r="C709" s="468"/>
      <c r="D709" s="468" t="s">
        <v>192</v>
      </c>
      <c r="E709" s="468">
        <v>468</v>
      </c>
      <c r="F709" s="468" t="s">
        <v>193</v>
      </c>
      <c r="G709" s="468"/>
      <c r="H709" s="468"/>
      <c r="I709" s="468"/>
      <c r="J709" s="445" t="str">
        <f t="shared" ref="J709:J772" si="22">A709&amp;C709&amp;D709&amp;F709</f>
        <v>12030500PURCHASED EQUIPMENT EXP610001LP</v>
      </c>
      <c r="K709" s="163">
        <f t="shared" ref="K709:K772" si="23">E709</f>
        <v>468</v>
      </c>
    </row>
    <row r="710" spans="1:11" ht="14.5">
      <c r="A710" s="468">
        <v>12023021</v>
      </c>
      <c r="B710" s="468">
        <v>4505</v>
      </c>
      <c r="C710" s="468"/>
      <c r="D710" s="468" t="s">
        <v>192</v>
      </c>
      <c r="E710" s="468">
        <v>10135.68</v>
      </c>
      <c r="F710" s="468">
        <v>61000100</v>
      </c>
      <c r="G710" s="468"/>
      <c r="H710" s="468"/>
      <c r="I710" s="468"/>
      <c r="J710" s="445" t="str">
        <f t="shared" si="22"/>
        <v>12023021PURCHASED EQUIPMENT EXP61000100</v>
      </c>
      <c r="K710" s="163">
        <f t="shared" si="23"/>
        <v>10135.68</v>
      </c>
    </row>
    <row r="711" spans="1:11" ht="14.5">
      <c r="A711" s="468">
        <v>12033021</v>
      </c>
      <c r="B711" s="468">
        <v>4505</v>
      </c>
      <c r="C711" s="468"/>
      <c r="D711" s="468" t="s">
        <v>192</v>
      </c>
      <c r="E711" s="468">
        <v>2132</v>
      </c>
      <c r="F711" s="468">
        <v>61000100</v>
      </c>
      <c r="G711" s="468"/>
      <c r="H711" s="468"/>
      <c r="I711" s="468"/>
      <c r="J711" s="445" t="str">
        <f t="shared" si="22"/>
        <v>12033021PURCHASED EQUIPMENT EXP61000100</v>
      </c>
      <c r="K711" s="163">
        <f t="shared" si="23"/>
        <v>2132</v>
      </c>
    </row>
    <row r="712" spans="1:11" ht="14.5">
      <c r="A712" s="468">
        <v>12033011</v>
      </c>
      <c r="B712" s="468">
        <v>4505</v>
      </c>
      <c r="C712" s="468"/>
      <c r="D712" s="468" t="s">
        <v>192</v>
      </c>
      <c r="E712" s="468">
        <v>21893.32</v>
      </c>
      <c r="F712" s="468">
        <v>61000100</v>
      </c>
      <c r="G712" s="468"/>
      <c r="H712" s="468"/>
      <c r="I712" s="468"/>
      <c r="J712" s="445" t="str">
        <f t="shared" si="22"/>
        <v>12033011PURCHASED EQUIPMENT EXP61000100</v>
      </c>
      <c r="K712" s="163">
        <f t="shared" si="23"/>
        <v>21893.32</v>
      </c>
    </row>
    <row r="713" spans="1:11" ht="14.5">
      <c r="A713" s="468">
        <v>12043011</v>
      </c>
      <c r="B713" s="468">
        <v>4505</v>
      </c>
      <c r="C713" s="468"/>
      <c r="D713" s="468" t="s">
        <v>192</v>
      </c>
      <c r="E713" s="468">
        <v>16401.45</v>
      </c>
      <c r="F713" s="468">
        <v>61000100</v>
      </c>
      <c r="G713" s="468"/>
      <c r="H713" s="468"/>
      <c r="I713" s="468"/>
      <c r="J713" s="445" t="str">
        <f t="shared" si="22"/>
        <v>12043011PURCHASED EQUIPMENT EXP61000100</v>
      </c>
      <c r="K713" s="163">
        <f t="shared" si="23"/>
        <v>16401.45</v>
      </c>
    </row>
    <row r="714" spans="1:11" ht="14.5">
      <c r="A714" s="468">
        <v>12010500</v>
      </c>
      <c r="B714" s="468">
        <v>4510</v>
      </c>
      <c r="C714" s="468">
        <v>200</v>
      </c>
      <c r="D714" s="468" t="s">
        <v>197</v>
      </c>
      <c r="E714" s="468">
        <v>1692.16</v>
      </c>
      <c r="F714" s="468" t="s">
        <v>198</v>
      </c>
      <c r="G714" s="468"/>
      <c r="H714" s="468"/>
      <c r="I714" s="468"/>
      <c r="J714" s="445" t="str">
        <f t="shared" si="22"/>
        <v>12010500200COPIERS610002LP</v>
      </c>
      <c r="K714" s="163">
        <f t="shared" si="23"/>
        <v>1692.16</v>
      </c>
    </row>
    <row r="715" spans="1:11" ht="14.5">
      <c r="A715" s="468">
        <v>12013300</v>
      </c>
      <c r="B715" s="468">
        <v>4510</v>
      </c>
      <c r="C715" s="468">
        <v>200</v>
      </c>
      <c r="D715" s="468" t="s">
        <v>197</v>
      </c>
      <c r="E715" s="468">
        <v>366.23</v>
      </c>
      <c r="F715" s="468" t="s">
        <v>202</v>
      </c>
      <c r="G715" s="468"/>
      <c r="H715" s="468"/>
      <c r="I715" s="468"/>
      <c r="J715" s="445" t="str">
        <f t="shared" si="22"/>
        <v>12013300200COPIERS610002IT</v>
      </c>
      <c r="K715" s="163">
        <f t="shared" si="23"/>
        <v>366.23</v>
      </c>
    </row>
    <row r="716" spans="1:11" ht="14.5">
      <c r="A716" s="468">
        <v>12013250</v>
      </c>
      <c r="B716" s="468">
        <v>4510</v>
      </c>
      <c r="C716" s="468">
        <v>200</v>
      </c>
      <c r="D716" s="468" t="s">
        <v>197</v>
      </c>
      <c r="E716" s="468">
        <v>1018.63</v>
      </c>
      <c r="F716" s="468">
        <v>61000200</v>
      </c>
      <c r="G716" s="468"/>
      <c r="H716" s="468"/>
      <c r="I716" s="468"/>
      <c r="J716" s="445" t="str">
        <f t="shared" si="22"/>
        <v>12013250200COPIERS61000200</v>
      </c>
      <c r="K716" s="163">
        <f t="shared" si="23"/>
        <v>1018.63</v>
      </c>
    </row>
    <row r="717" spans="1:11" ht="14.5">
      <c r="A717" s="468">
        <v>12013012</v>
      </c>
      <c r="B717" s="468">
        <v>4510</v>
      </c>
      <c r="C717" s="468">
        <v>200</v>
      </c>
      <c r="D717" s="468" t="s">
        <v>197</v>
      </c>
      <c r="E717" s="468">
        <v>635.53</v>
      </c>
      <c r="F717" s="468">
        <v>61000200</v>
      </c>
      <c r="G717" s="468"/>
      <c r="H717" s="468"/>
      <c r="I717" s="468"/>
      <c r="J717" s="445" t="str">
        <f t="shared" si="22"/>
        <v>12013012200COPIERS61000200</v>
      </c>
      <c r="K717" s="163">
        <f t="shared" si="23"/>
        <v>635.53</v>
      </c>
    </row>
    <row r="718" spans="1:11" ht="14.5">
      <c r="A718" s="468">
        <v>12019099</v>
      </c>
      <c r="B718" s="468">
        <v>4510</v>
      </c>
      <c r="C718" s="468">
        <v>200</v>
      </c>
      <c r="D718" s="468" t="s">
        <v>197</v>
      </c>
      <c r="E718" s="468">
        <v>206.21</v>
      </c>
      <c r="F718" s="468" t="s">
        <v>201</v>
      </c>
      <c r="G718" s="468"/>
      <c r="H718" s="468"/>
      <c r="I718" s="468"/>
      <c r="J718" s="445" t="str">
        <f t="shared" si="22"/>
        <v>12019099200COPIERS610002GA</v>
      </c>
      <c r="K718" s="163">
        <f t="shared" si="23"/>
        <v>206.21</v>
      </c>
    </row>
    <row r="719" spans="1:11" ht="14.5">
      <c r="A719" s="468">
        <v>12018599</v>
      </c>
      <c r="B719" s="468">
        <v>4510</v>
      </c>
      <c r="C719" s="468">
        <v>200</v>
      </c>
      <c r="D719" s="468" t="s">
        <v>197</v>
      </c>
      <c r="E719" s="468">
        <v>262.20999999999998</v>
      </c>
      <c r="F719" s="468" t="s">
        <v>201</v>
      </c>
      <c r="G719" s="468"/>
      <c r="H719" s="468"/>
      <c r="I719" s="468"/>
      <c r="J719" s="445" t="str">
        <f t="shared" si="22"/>
        <v>12018599200COPIERS610002GA</v>
      </c>
      <c r="K719" s="163">
        <f t="shared" si="23"/>
        <v>262.20999999999998</v>
      </c>
    </row>
    <row r="720" spans="1:11" ht="14.5">
      <c r="A720" s="468">
        <v>12018099</v>
      </c>
      <c r="B720" s="468">
        <v>4510</v>
      </c>
      <c r="C720" s="468">
        <v>200</v>
      </c>
      <c r="D720" s="468" t="s">
        <v>197</v>
      </c>
      <c r="E720" s="468">
        <v>557.32000000000005</v>
      </c>
      <c r="F720" s="468" t="s">
        <v>200</v>
      </c>
      <c r="G720" s="468"/>
      <c r="H720" s="468"/>
      <c r="I720" s="468"/>
      <c r="J720" s="445" t="str">
        <f t="shared" si="22"/>
        <v>12018099200COPIERS610002SM</v>
      </c>
      <c r="K720" s="163">
        <f t="shared" si="23"/>
        <v>557.32000000000005</v>
      </c>
    </row>
    <row r="721" spans="1:11" ht="14.5">
      <c r="A721" s="468">
        <v>12023011</v>
      </c>
      <c r="B721" s="468">
        <v>4510</v>
      </c>
      <c r="C721" s="468"/>
      <c r="D721" s="468" t="s">
        <v>196</v>
      </c>
      <c r="E721" s="468">
        <v>5956.02</v>
      </c>
      <c r="F721" s="468">
        <v>61000200</v>
      </c>
      <c r="G721" s="468"/>
      <c r="H721" s="468"/>
      <c r="I721" s="468"/>
      <c r="J721" s="445" t="str">
        <f t="shared" si="22"/>
        <v>12023011LEASED EQUIPMENT EXP61000200</v>
      </c>
      <c r="K721" s="163">
        <f t="shared" si="23"/>
        <v>5956.02</v>
      </c>
    </row>
    <row r="722" spans="1:11" ht="14.5">
      <c r="A722" s="468">
        <v>12023011</v>
      </c>
      <c r="B722" s="468">
        <v>4510</v>
      </c>
      <c r="C722" s="468">
        <v>200</v>
      </c>
      <c r="D722" s="468" t="s">
        <v>197</v>
      </c>
      <c r="E722" s="468">
        <v>3635.42</v>
      </c>
      <c r="F722" s="468">
        <v>61000200</v>
      </c>
      <c r="G722" s="468"/>
      <c r="H722" s="468"/>
      <c r="I722" s="468"/>
      <c r="J722" s="445" t="str">
        <f t="shared" si="22"/>
        <v>12023011200COPIERS61000200</v>
      </c>
      <c r="K722" s="163">
        <f t="shared" si="23"/>
        <v>3635.42</v>
      </c>
    </row>
    <row r="723" spans="1:11" ht="14.5">
      <c r="A723" s="468">
        <v>12020500</v>
      </c>
      <c r="B723" s="468">
        <v>4510</v>
      </c>
      <c r="C723" s="468">
        <v>200</v>
      </c>
      <c r="D723" s="468" t="s">
        <v>197</v>
      </c>
      <c r="E723" s="468">
        <v>906.2</v>
      </c>
      <c r="F723" s="468" t="s">
        <v>198</v>
      </c>
      <c r="G723" s="468"/>
      <c r="H723" s="468"/>
      <c r="I723" s="468"/>
      <c r="J723" s="445" t="str">
        <f t="shared" si="22"/>
        <v>12020500200COPIERS610002LP</v>
      </c>
      <c r="K723" s="163">
        <f t="shared" si="23"/>
        <v>906.2</v>
      </c>
    </row>
    <row r="724" spans="1:11" ht="14.5">
      <c r="A724" s="468">
        <v>12020400</v>
      </c>
      <c r="B724" s="468">
        <v>4510</v>
      </c>
      <c r="C724" s="468">
        <v>200</v>
      </c>
      <c r="D724" s="468" t="s">
        <v>197</v>
      </c>
      <c r="E724" s="468">
        <v>342.2</v>
      </c>
      <c r="F724" s="468" t="s">
        <v>199</v>
      </c>
      <c r="G724" s="468"/>
      <c r="H724" s="468"/>
      <c r="I724" s="468"/>
      <c r="J724" s="445" t="str">
        <f t="shared" si="22"/>
        <v>12020400200COPIERS610002CS</v>
      </c>
      <c r="K724" s="163">
        <f t="shared" si="23"/>
        <v>342.2</v>
      </c>
    </row>
    <row r="725" spans="1:11" ht="14.5">
      <c r="A725" s="468">
        <v>12019199</v>
      </c>
      <c r="B725" s="468">
        <v>4510</v>
      </c>
      <c r="C725" s="468">
        <v>200</v>
      </c>
      <c r="D725" s="468" t="s">
        <v>197</v>
      </c>
      <c r="E725" s="468">
        <v>3104.8</v>
      </c>
      <c r="F725" s="468" t="s">
        <v>201</v>
      </c>
      <c r="G725" s="468"/>
      <c r="H725" s="468"/>
      <c r="I725" s="468"/>
      <c r="J725" s="445" t="str">
        <f t="shared" si="22"/>
        <v>12019199200COPIERS610002GA</v>
      </c>
      <c r="K725" s="163">
        <f t="shared" si="23"/>
        <v>3104.8</v>
      </c>
    </row>
    <row r="726" spans="1:11" ht="14.5">
      <c r="A726" s="468">
        <v>12030500</v>
      </c>
      <c r="B726" s="468">
        <v>4510</v>
      </c>
      <c r="C726" s="468"/>
      <c r="D726" s="468" t="s">
        <v>196</v>
      </c>
      <c r="E726" s="468">
        <v>728.91</v>
      </c>
      <c r="F726" s="468" t="s">
        <v>198</v>
      </c>
      <c r="G726" s="468"/>
      <c r="H726" s="468"/>
      <c r="I726" s="468"/>
      <c r="J726" s="445" t="str">
        <f t="shared" si="22"/>
        <v>12030500LEASED EQUIPMENT EXP610002LP</v>
      </c>
      <c r="K726" s="163">
        <f t="shared" si="23"/>
        <v>728.91</v>
      </c>
    </row>
    <row r="727" spans="1:11" ht="14.5">
      <c r="A727" s="468">
        <v>12030500</v>
      </c>
      <c r="B727" s="468">
        <v>4510</v>
      </c>
      <c r="C727" s="468">
        <v>200</v>
      </c>
      <c r="D727" s="468" t="s">
        <v>197</v>
      </c>
      <c r="E727" s="468">
        <v>862.2</v>
      </c>
      <c r="F727" s="468" t="s">
        <v>198</v>
      </c>
      <c r="G727" s="468"/>
      <c r="H727" s="468"/>
      <c r="I727" s="468"/>
      <c r="J727" s="445" t="str">
        <f t="shared" si="22"/>
        <v>12030500200COPIERS610002LP</v>
      </c>
      <c r="K727" s="163">
        <f t="shared" si="23"/>
        <v>862.2</v>
      </c>
    </row>
    <row r="728" spans="1:11" ht="14.5">
      <c r="A728" s="468">
        <v>12030400</v>
      </c>
      <c r="B728" s="468">
        <v>4510</v>
      </c>
      <c r="C728" s="468">
        <v>200</v>
      </c>
      <c r="D728" s="468" t="s">
        <v>197</v>
      </c>
      <c r="E728" s="468">
        <v>342.2</v>
      </c>
      <c r="F728" s="468" t="s">
        <v>199</v>
      </c>
      <c r="G728" s="468"/>
      <c r="H728" s="468"/>
      <c r="I728" s="468"/>
      <c r="J728" s="445" t="str">
        <f t="shared" si="22"/>
        <v>12030400200COPIERS610002CS</v>
      </c>
      <c r="K728" s="163">
        <f t="shared" si="23"/>
        <v>342.2</v>
      </c>
    </row>
    <row r="729" spans="1:11" ht="14.5">
      <c r="A729" s="468">
        <v>12028099</v>
      </c>
      <c r="B729" s="468">
        <v>4510</v>
      </c>
      <c r="C729" s="468">
        <v>200</v>
      </c>
      <c r="D729" s="468" t="s">
        <v>197</v>
      </c>
      <c r="E729" s="468">
        <v>44</v>
      </c>
      <c r="F729" s="468" t="s">
        <v>200</v>
      </c>
      <c r="G729" s="468"/>
      <c r="H729" s="468"/>
      <c r="I729" s="468"/>
      <c r="J729" s="445" t="str">
        <f t="shared" si="22"/>
        <v>12028099200COPIERS610002SM</v>
      </c>
      <c r="K729" s="163">
        <f t="shared" si="23"/>
        <v>44</v>
      </c>
    </row>
    <row r="730" spans="1:11" ht="14.5">
      <c r="A730" s="468">
        <v>12023021</v>
      </c>
      <c r="B730" s="468">
        <v>4510</v>
      </c>
      <c r="C730" s="468">
        <v>200</v>
      </c>
      <c r="D730" s="468" t="s">
        <v>197</v>
      </c>
      <c r="E730" s="468">
        <v>3069.67</v>
      </c>
      <c r="F730" s="468">
        <v>61000200</v>
      </c>
      <c r="G730" s="468"/>
      <c r="H730" s="468"/>
      <c r="I730" s="468"/>
      <c r="J730" s="445" t="str">
        <f t="shared" si="22"/>
        <v>12023021200COPIERS61000200</v>
      </c>
      <c r="K730" s="163">
        <f t="shared" si="23"/>
        <v>3069.67</v>
      </c>
    </row>
    <row r="731" spans="1:11" ht="14.5">
      <c r="A731" s="468">
        <v>12033011</v>
      </c>
      <c r="B731" s="468">
        <v>4510</v>
      </c>
      <c r="C731" s="468"/>
      <c r="D731" s="468" t="s">
        <v>196</v>
      </c>
      <c r="E731" s="468">
        <v>8821.02</v>
      </c>
      <c r="F731" s="468">
        <v>61000200</v>
      </c>
      <c r="G731" s="468"/>
      <c r="H731" s="468"/>
      <c r="I731" s="468"/>
      <c r="J731" s="445" t="str">
        <f t="shared" si="22"/>
        <v>12033011LEASED EQUIPMENT EXP61000200</v>
      </c>
      <c r="K731" s="163">
        <f t="shared" si="23"/>
        <v>8821.02</v>
      </c>
    </row>
    <row r="732" spans="1:11" ht="14.5">
      <c r="A732" s="468">
        <v>12033011</v>
      </c>
      <c r="B732" s="468">
        <v>4510</v>
      </c>
      <c r="C732" s="468">
        <v>200</v>
      </c>
      <c r="D732" s="468" t="s">
        <v>197</v>
      </c>
      <c r="E732" s="468">
        <v>4690.7299999999996</v>
      </c>
      <c r="F732" s="468">
        <v>61000200</v>
      </c>
      <c r="G732" s="468"/>
      <c r="H732" s="468"/>
      <c r="I732" s="468"/>
      <c r="J732" s="445" t="str">
        <f t="shared" si="22"/>
        <v>12033011200COPIERS61000200</v>
      </c>
      <c r="K732" s="163">
        <f t="shared" si="23"/>
        <v>4690.7299999999996</v>
      </c>
    </row>
    <row r="733" spans="1:11" ht="14.5">
      <c r="A733" s="468">
        <v>12043011</v>
      </c>
      <c r="B733" s="468">
        <v>4510</v>
      </c>
      <c r="C733" s="468"/>
      <c r="D733" s="468" t="s">
        <v>196</v>
      </c>
      <c r="E733" s="468">
        <v>3573.48</v>
      </c>
      <c r="F733" s="468">
        <v>61000200</v>
      </c>
      <c r="G733" s="468"/>
      <c r="H733" s="468"/>
      <c r="I733" s="468"/>
      <c r="J733" s="445" t="str">
        <f t="shared" si="22"/>
        <v>12043011LEASED EQUIPMENT EXP61000200</v>
      </c>
      <c r="K733" s="163">
        <f t="shared" si="23"/>
        <v>3573.48</v>
      </c>
    </row>
    <row r="734" spans="1:11" ht="14.5">
      <c r="A734" s="468">
        <v>12043011</v>
      </c>
      <c r="B734" s="468">
        <v>4510</v>
      </c>
      <c r="C734" s="468">
        <v>200</v>
      </c>
      <c r="D734" s="468" t="s">
        <v>197</v>
      </c>
      <c r="E734" s="468">
        <v>1769.73</v>
      </c>
      <c r="F734" s="468">
        <v>61000200</v>
      </c>
      <c r="G734" s="468"/>
      <c r="H734" s="468"/>
      <c r="I734" s="468"/>
      <c r="J734" s="445" t="str">
        <f t="shared" si="22"/>
        <v>12043011200COPIERS61000200</v>
      </c>
      <c r="K734" s="163">
        <f t="shared" si="23"/>
        <v>1769.73</v>
      </c>
    </row>
    <row r="735" spans="1:11" ht="14.5">
      <c r="A735" s="468">
        <v>12040500</v>
      </c>
      <c r="B735" s="468">
        <v>4510</v>
      </c>
      <c r="C735" s="468">
        <v>200</v>
      </c>
      <c r="D735" s="468" t="s">
        <v>197</v>
      </c>
      <c r="E735" s="468">
        <v>166.21</v>
      </c>
      <c r="F735" s="468" t="s">
        <v>198</v>
      </c>
      <c r="G735" s="468"/>
      <c r="H735" s="468"/>
      <c r="I735" s="468"/>
      <c r="J735" s="445" t="str">
        <f t="shared" si="22"/>
        <v>12040500200COPIERS610002LP</v>
      </c>
      <c r="K735" s="163">
        <f t="shared" si="23"/>
        <v>166.21</v>
      </c>
    </row>
    <row r="736" spans="1:11" ht="14.5">
      <c r="A736" s="468">
        <v>12040400</v>
      </c>
      <c r="B736" s="468">
        <v>4510</v>
      </c>
      <c r="C736" s="468">
        <v>200</v>
      </c>
      <c r="D736" s="468" t="s">
        <v>197</v>
      </c>
      <c r="E736" s="468">
        <v>166.21</v>
      </c>
      <c r="F736" s="468" t="s">
        <v>199</v>
      </c>
      <c r="G736" s="468"/>
      <c r="H736" s="468"/>
      <c r="I736" s="468"/>
      <c r="J736" s="445" t="str">
        <f t="shared" si="22"/>
        <v>12040400200COPIERS610002CS</v>
      </c>
      <c r="K736" s="163">
        <f t="shared" si="23"/>
        <v>166.21</v>
      </c>
    </row>
    <row r="737" spans="1:11" ht="14.5">
      <c r="A737" s="468">
        <v>12038099</v>
      </c>
      <c r="B737" s="468">
        <v>4510</v>
      </c>
      <c r="C737" s="468">
        <v>200</v>
      </c>
      <c r="D737" s="468" t="s">
        <v>197</v>
      </c>
      <c r="E737" s="468">
        <v>16</v>
      </c>
      <c r="F737" s="468" t="s">
        <v>200</v>
      </c>
      <c r="G737" s="468"/>
      <c r="H737" s="468"/>
      <c r="I737" s="468"/>
      <c r="J737" s="445" t="str">
        <f t="shared" si="22"/>
        <v>12038099200COPIERS610002SM</v>
      </c>
      <c r="K737" s="163">
        <f t="shared" si="23"/>
        <v>16</v>
      </c>
    </row>
    <row r="738" spans="1:11" ht="14.5">
      <c r="A738" s="468">
        <v>12060500</v>
      </c>
      <c r="B738" s="468">
        <v>4510</v>
      </c>
      <c r="C738" s="468">
        <v>200</v>
      </c>
      <c r="D738" s="468" t="s">
        <v>197</v>
      </c>
      <c r="E738" s="468">
        <v>84</v>
      </c>
      <c r="F738" s="468" t="s">
        <v>198</v>
      </c>
      <c r="G738" s="468"/>
      <c r="H738" s="468"/>
      <c r="I738" s="468"/>
      <c r="J738" s="445" t="str">
        <f t="shared" si="22"/>
        <v>12060500200COPIERS610002LP</v>
      </c>
      <c r="K738" s="163">
        <f t="shared" si="23"/>
        <v>84</v>
      </c>
    </row>
    <row r="739" spans="1:11" ht="14.5">
      <c r="A739" s="468">
        <v>12060400</v>
      </c>
      <c r="B739" s="468">
        <v>4510</v>
      </c>
      <c r="C739" s="468">
        <v>200</v>
      </c>
      <c r="D739" s="468" t="s">
        <v>197</v>
      </c>
      <c r="E739" s="468">
        <v>166.21</v>
      </c>
      <c r="F739" s="468" t="s">
        <v>199</v>
      </c>
      <c r="G739" s="468"/>
      <c r="H739" s="468"/>
      <c r="I739" s="468"/>
      <c r="J739" s="445" t="str">
        <f t="shared" si="22"/>
        <v>12060400200COPIERS610002CS</v>
      </c>
      <c r="K739" s="163">
        <f t="shared" si="23"/>
        <v>166.21</v>
      </c>
    </row>
    <row r="740" spans="1:11" ht="14.5">
      <c r="A740" s="468">
        <v>12063011</v>
      </c>
      <c r="B740" s="468">
        <v>4510</v>
      </c>
      <c r="C740" s="468"/>
      <c r="D740" s="468" t="s">
        <v>196</v>
      </c>
      <c r="E740" s="468">
        <v>6270.66</v>
      </c>
      <c r="F740" s="468">
        <v>61000200</v>
      </c>
      <c r="G740" s="468"/>
      <c r="H740" s="468"/>
      <c r="I740" s="468"/>
      <c r="J740" s="445" t="str">
        <f t="shared" si="22"/>
        <v>12063011LEASED EQUIPMENT EXP61000200</v>
      </c>
      <c r="K740" s="163">
        <f t="shared" si="23"/>
        <v>6270.66</v>
      </c>
    </row>
    <row r="741" spans="1:11" ht="14.5">
      <c r="A741" s="468">
        <v>12063011</v>
      </c>
      <c r="B741" s="468">
        <v>4510</v>
      </c>
      <c r="C741" s="468">
        <v>200</v>
      </c>
      <c r="D741" s="468" t="s">
        <v>197</v>
      </c>
      <c r="E741" s="468">
        <v>1995.93</v>
      </c>
      <c r="F741" s="468">
        <v>61000200</v>
      </c>
      <c r="G741" s="468"/>
      <c r="H741" s="468"/>
      <c r="I741" s="468"/>
      <c r="J741" s="445" t="str">
        <f t="shared" si="22"/>
        <v>12063011200COPIERS61000200</v>
      </c>
      <c r="K741" s="163">
        <f t="shared" si="23"/>
        <v>1995.93</v>
      </c>
    </row>
    <row r="742" spans="1:11" ht="14.5">
      <c r="A742" s="468">
        <v>12063011</v>
      </c>
      <c r="B742" s="468">
        <v>4515</v>
      </c>
      <c r="C742" s="468"/>
      <c r="D742" s="468" t="s">
        <v>203</v>
      </c>
      <c r="E742" s="468">
        <v>23063.919999999998</v>
      </c>
      <c r="F742" s="468">
        <v>61000300</v>
      </c>
      <c r="G742" s="468"/>
      <c r="H742" s="468"/>
      <c r="I742" s="468"/>
      <c r="J742" s="445" t="str">
        <f t="shared" si="22"/>
        <v>12063011EQUIPMENT REPAIR61000300</v>
      </c>
      <c r="K742" s="163">
        <f t="shared" si="23"/>
        <v>23063.919999999998</v>
      </c>
    </row>
    <row r="743" spans="1:11" ht="14.5">
      <c r="A743" s="468">
        <v>12063011</v>
      </c>
      <c r="B743" s="468">
        <v>4515</v>
      </c>
      <c r="C743" s="468">
        <v>100</v>
      </c>
      <c r="D743" s="468" t="s">
        <v>871</v>
      </c>
      <c r="E743" s="468">
        <v>-4725</v>
      </c>
      <c r="F743" s="468">
        <v>61000300</v>
      </c>
      <c r="G743" s="468"/>
      <c r="H743" s="468"/>
      <c r="I743" s="468"/>
      <c r="J743" s="445" t="str">
        <f t="shared" si="22"/>
        <v>12063011100EQUIPMENT REPAIR-FIXED ASSETS61000300</v>
      </c>
      <c r="K743" s="163">
        <f t="shared" si="23"/>
        <v>-4725</v>
      </c>
    </row>
    <row r="744" spans="1:11" ht="14.5">
      <c r="A744" s="468">
        <v>12062511</v>
      </c>
      <c r="B744" s="468">
        <v>4515</v>
      </c>
      <c r="C744" s="468"/>
      <c r="D744" s="468" t="s">
        <v>203</v>
      </c>
      <c r="E744" s="468">
        <v>150</v>
      </c>
      <c r="F744" s="468">
        <v>61000300</v>
      </c>
      <c r="G744" s="468"/>
      <c r="H744" s="468"/>
      <c r="I744" s="468"/>
      <c r="J744" s="445" t="str">
        <f t="shared" si="22"/>
        <v>12062511EQUIPMENT REPAIR61000300</v>
      </c>
      <c r="K744" s="163">
        <f t="shared" si="23"/>
        <v>150</v>
      </c>
    </row>
    <row r="745" spans="1:11" ht="14.5">
      <c r="A745" s="468">
        <v>12023122</v>
      </c>
      <c r="B745" s="468">
        <v>4515</v>
      </c>
      <c r="C745" s="468"/>
      <c r="D745" s="468" t="s">
        <v>203</v>
      </c>
      <c r="E745" s="468">
        <v>1194.1199999999999</v>
      </c>
      <c r="F745" s="468">
        <v>61000300</v>
      </c>
      <c r="G745" s="468"/>
      <c r="H745" s="468"/>
      <c r="I745" s="468"/>
      <c r="J745" s="445" t="str">
        <f t="shared" si="22"/>
        <v>12023122EQUIPMENT REPAIR61000300</v>
      </c>
      <c r="K745" s="163">
        <f t="shared" si="23"/>
        <v>1194.1199999999999</v>
      </c>
    </row>
    <row r="746" spans="1:11" ht="14.5">
      <c r="A746" s="468">
        <v>12023021</v>
      </c>
      <c r="B746" s="468">
        <v>4515</v>
      </c>
      <c r="C746" s="468"/>
      <c r="D746" s="468" t="s">
        <v>203</v>
      </c>
      <c r="E746" s="468">
        <v>103486.32</v>
      </c>
      <c r="F746" s="468">
        <v>61000300</v>
      </c>
      <c r="G746" s="468"/>
      <c r="H746" s="468"/>
      <c r="I746" s="468"/>
      <c r="J746" s="445" t="str">
        <f t="shared" si="22"/>
        <v>12023021EQUIPMENT REPAIR61000300</v>
      </c>
      <c r="K746" s="163">
        <f t="shared" si="23"/>
        <v>103486.32</v>
      </c>
    </row>
    <row r="747" spans="1:11" ht="14.5">
      <c r="A747" s="468">
        <v>12033123</v>
      </c>
      <c r="B747" s="468">
        <v>4515</v>
      </c>
      <c r="C747" s="468"/>
      <c r="D747" s="468" t="s">
        <v>203</v>
      </c>
      <c r="E747" s="468">
        <v>1375</v>
      </c>
      <c r="F747" s="468">
        <v>61000300</v>
      </c>
      <c r="G747" s="468"/>
      <c r="H747" s="468"/>
      <c r="I747" s="468"/>
      <c r="J747" s="445" t="str">
        <f t="shared" si="22"/>
        <v>12033123EQUIPMENT REPAIR61000300</v>
      </c>
      <c r="K747" s="163">
        <f t="shared" si="23"/>
        <v>1375</v>
      </c>
    </row>
    <row r="748" spans="1:11" ht="14.5">
      <c r="A748" s="468">
        <v>12033011</v>
      </c>
      <c r="B748" s="468">
        <v>4515</v>
      </c>
      <c r="C748" s="468"/>
      <c r="D748" s="468" t="s">
        <v>203</v>
      </c>
      <c r="E748" s="468">
        <v>45640.34</v>
      </c>
      <c r="F748" s="468">
        <v>61000300</v>
      </c>
      <c r="G748" s="468"/>
      <c r="H748" s="468"/>
      <c r="I748" s="468"/>
      <c r="J748" s="445" t="str">
        <f t="shared" si="22"/>
        <v>12033011EQUIPMENT REPAIR61000300</v>
      </c>
      <c r="K748" s="163">
        <f t="shared" si="23"/>
        <v>45640.34</v>
      </c>
    </row>
    <row r="749" spans="1:11" ht="14.5">
      <c r="A749" s="468">
        <v>12033011</v>
      </c>
      <c r="B749" s="468">
        <v>4515</v>
      </c>
      <c r="C749" s="468">
        <v>100</v>
      </c>
      <c r="D749" s="468" t="s">
        <v>871</v>
      </c>
      <c r="E749" s="468">
        <v>-2981.09</v>
      </c>
      <c r="F749" s="468">
        <v>61000300</v>
      </c>
      <c r="G749" s="468"/>
      <c r="H749" s="468"/>
      <c r="I749" s="468"/>
      <c r="J749" s="445" t="str">
        <f t="shared" si="22"/>
        <v>12033011100EQUIPMENT REPAIR-FIXED ASSETS61000300</v>
      </c>
      <c r="K749" s="163">
        <f t="shared" si="23"/>
        <v>-2981.09</v>
      </c>
    </row>
    <row r="750" spans="1:11" ht="14.5">
      <c r="A750" s="468">
        <v>12032511</v>
      </c>
      <c r="B750" s="468">
        <v>4515</v>
      </c>
      <c r="C750" s="468"/>
      <c r="D750" s="468" t="s">
        <v>203</v>
      </c>
      <c r="E750" s="468">
        <v>2173</v>
      </c>
      <c r="F750" s="468">
        <v>61000300</v>
      </c>
      <c r="G750" s="468"/>
      <c r="H750" s="468"/>
      <c r="I750" s="468"/>
      <c r="J750" s="445" t="str">
        <f t="shared" si="22"/>
        <v>12032511EQUIPMENT REPAIR61000300</v>
      </c>
      <c r="K750" s="163">
        <f t="shared" si="23"/>
        <v>2173</v>
      </c>
    </row>
    <row r="751" spans="1:11" ht="14.5">
      <c r="A751" s="468">
        <v>12043011</v>
      </c>
      <c r="B751" s="468">
        <v>4515</v>
      </c>
      <c r="C751" s="468"/>
      <c r="D751" s="468" t="s">
        <v>203</v>
      </c>
      <c r="E751" s="468">
        <v>39202.74</v>
      </c>
      <c r="F751" s="468">
        <v>61000300</v>
      </c>
      <c r="G751" s="468"/>
      <c r="H751" s="468"/>
      <c r="I751" s="468"/>
      <c r="J751" s="445" t="str">
        <f t="shared" si="22"/>
        <v>12043011EQUIPMENT REPAIR61000300</v>
      </c>
      <c r="K751" s="163">
        <f t="shared" si="23"/>
        <v>39202.74</v>
      </c>
    </row>
    <row r="752" spans="1:11" ht="14.5">
      <c r="A752" s="468">
        <v>12042511</v>
      </c>
      <c r="B752" s="468">
        <v>4515</v>
      </c>
      <c r="C752" s="468"/>
      <c r="D752" s="468" t="s">
        <v>203</v>
      </c>
      <c r="E752" s="468">
        <v>185</v>
      </c>
      <c r="F752" s="468">
        <v>61000300</v>
      </c>
      <c r="G752" s="468"/>
      <c r="H752" s="468"/>
      <c r="I752" s="468"/>
      <c r="J752" s="445" t="str">
        <f t="shared" si="22"/>
        <v>12042511EQUIPMENT REPAIR61000300</v>
      </c>
      <c r="K752" s="163">
        <f t="shared" si="23"/>
        <v>185</v>
      </c>
    </row>
    <row r="753" spans="1:11" ht="14.5">
      <c r="A753" s="468">
        <v>12040500</v>
      </c>
      <c r="B753" s="468">
        <v>4515</v>
      </c>
      <c r="C753" s="468"/>
      <c r="D753" s="468" t="s">
        <v>203</v>
      </c>
      <c r="E753" s="468">
        <v>3711.52</v>
      </c>
      <c r="F753" s="468" t="s">
        <v>204</v>
      </c>
      <c r="G753" s="468"/>
      <c r="H753" s="468"/>
      <c r="I753" s="468"/>
      <c r="J753" s="445" t="str">
        <f t="shared" si="22"/>
        <v>12040500EQUIPMENT REPAIR610003LP</v>
      </c>
      <c r="K753" s="163">
        <f t="shared" si="23"/>
        <v>3711.52</v>
      </c>
    </row>
    <row r="754" spans="1:11" ht="14.5">
      <c r="A754" s="468">
        <v>12060500</v>
      </c>
      <c r="B754" s="468">
        <v>4515</v>
      </c>
      <c r="C754" s="468"/>
      <c r="D754" s="468" t="s">
        <v>203</v>
      </c>
      <c r="E754" s="468">
        <v>3024</v>
      </c>
      <c r="F754" s="468" t="s">
        <v>204</v>
      </c>
      <c r="G754" s="468"/>
      <c r="H754" s="468"/>
      <c r="I754" s="468"/>
      <c r="J754" s="445" t="str">
        <f t="shared" si="22"/>
        <v>12060500EQUIPMENT REPAIR610003LP</v>
      </c>
      <c r="K754" s="163">
        <f t="shared" si="23"/>
        <v>3024</v>
      </c>
    </row>
    <row r="755" spans="1:11" ht="14.5">
      <c r="A755" s="468">
        <v>12043123</v>
      </c>
      <c r="B755" s="468">
        <v>4515</v>
      </c>
      <c r="C755" s="468"/>
      <c r="D755" s="468" t="s">
        <v>203</v>
      </c>
      <c r="E755" s="468">
        <v>10700.02</v>
      </c>
      <c r="F755" s="468">
        <v>61000300</v>
      </c>
      <c r="G755" s="468"/>
      <c r="H755" s="468"/>
      <c r="I755" s="468"/>
      <c r="J755" s="445" t="str">
        <f t="shared" si="22"/>
        <v>12043123EQUIPMENT REPAIR61000300</v>
      </c>
      <c r="K755" s="163">
        <f t="shared" si="23"/>
        <v>10700.02</v>
      </c>
    </row>
    <row r="756" spans="1:11" ht="14.5">
      <c r="A756" s="468">
        <v>12023011</v>
      </c>
      <c r="B756" s="468">
        <v>4515</v>
      </c>
      <c r="C756" s="468"/>
      <c r="D756" s="468" t="s">
        <v>203</v>
      </c>
      <c r="E756" s="468">
        <v>65653.77</v>
      </c>
      <c r="F756" s="468">
        <v>61000300</v>
      </c>
      <c r="G756" s="468"/>
      <c r="H756" s="468"/>
      <c r="I756" s="468"/>
      <c r="J756" s="445" t="str">
        <f t="shared" si="22"/>
        <v>12023011EQUIPMENT REPAIR61000300</v>
      </c>
      <c r="K756" s="163">
        <f t="shared" si="23"/>
        <v>65653.77</v>
      </c>
    </row>
    <row r="757" spans="1:11" ht="14.5">
      <c r="A757" s="468">
        <v>12022511</v>
      </c>
      <c r="B757" s="468">
        <v>4515</v>
      </c>
      <c r="C757" s="468"/>
      <c r="D757" s="468" t="s">
        <v>203</v>
      </c>
      <c r="E757" s="468">
        <v>15239.59</v>
      </c>
      <c r="F757" s="468">
        <v>61000300</v>
      </c>
      <c r="G757" s="468"/>
      <c r="H757" s="468"/>
      <c r="I757" s="468"/>
      <c r="J757" s="445" t="str">
        <f t="shared" si="22"/>
        <v>12022511EQUIPMENT REPAIR61000300</v>
      </c>
      <c r="K757" s="163">
        <f t="shared" si="23"/>
        <v>15239.59</v>
      </c>
    </row>
    <row r="758" spans="1:11" ht="14.5">
      <c r="A758" s="468">
        <v>12020500</v>
      </c>
      <c r="B758" s="468">
        <v>4515</v>
      </c>
      <c r="C758" s="468"/>
      <c r="D758" s="468" t="s">
        <v>203</v>
      </c>
      <c r="E758" s="468">
        <v>328</v>
      </c>
      <c r="F758" s="468" t="s">
        <v>204</v>
      </c>
      <c r="G758" s="468"/>
      <c r="H758" s="468"/>
      <c r="I758" s="468"/>
      <c r="J758" s="445" t="str">
        <f t="shared" si="22"/>
        <v>12020500EQUIPMENT REPAIR610003LP</v>
      </c>
      <c r="K758" s="163">
        <f t="shared" si="23"/>
        <v>328</v>
      </c>
    </row>
    <row r="759" spans="1:11" ht="14.5">
      <c r="A759" s="468">
        <v>12030500</v>
      </c>
      <c r="B759" s="468">
        <v>4515</v>
      </c>
      <c r="C759" s="468"/>
      <c r="D759" s="468" t="s">
        <v>203</v>
      </c>
      <c r="E759" s="468">
        <v>1205</v>
      </c>
      <c r="F759" s="468" t="s">
        <v>204</v>
      </c>
      <c r="G759" s="468"/>
      <c r="H759" s="468"/>
      <c r="I759" s="468"/>
      <c r="J759" s="445" t="str">
        <f t="shared" si="22"/>
        <v>12030500EQUIPMENT REPAIR610003LP</v>
      </c>
      <c r="K759" s="163">
        <f t="shared" si="23"/>
        <v>1205</v>
      </c>
    </row>
    <row r="760" spans="1:11" ht="14.5">
      <c r="A760" s="468">
        <v>12013300</v>
      </c>
      <c r="B760" s="468">
        <v>4520</v>
      </c>
      <c r="C760" s="468"/>
      <c r="D760" s="468" t="s">
        <v>205</v>
      </c>
      <c r="E760" s="468">
        <v>1235.8499999999999</v>
      </c>
      <c r="F760" s="468" t="s">
        <v>206</v>
      </c>
      <c r="G760" s="468"/>
      <c r="H760" s="468"/>
      <c r="I760" s="468"/>
      <c r="J760" s="445" t="str">
        <f t="shared" si="22"/>
        <v>12013300MAINT. AGREEMT- HARDWARE610004IT</v>
      </c>
      <c r="K760" s="163">
        <f t="shared" si="23"/>
        <v>1235.8499999999999</v>
      </c>
    </row>
    <row r="761" spans="1:11" ht="14.5">
      <c r="A761" s="468">
        <v>12033011</v>
      </c>
      <c r="B761" s="468">
        <v>4555</v>
      </c>
      <c r="C761" s="468"/>
      <c r="D761" s="468" t="s">
        <v>207</v>
      </c>
      <c r="E761" s="468">
        <v>57328.65</v>
      </c>
      <c r="F761" s="468">
        <v>77520000</v>
      </c>
      <c r="G761" s="468"/>
      <c r="H761" s="468"/>
      <c r="I761" s="468"/>
      <c r="J761" s="445" t="str">
        <f t="shared" si="22"/>
        <v>12033011PROCEEDS - TANGIB .ASSET DISP.77520000</v>
      </c>
      <c r="K761" s="163">
        <f t="shared" si="23"/>
        <v>57328.65</v>
      </c>
    </row>
    <row r="762" spans="1:11" ht="14.5">
      <c r="A762" s="468">
        <v>12033011</v>
      </c>
      <c r="B762" s="468">
        <v>4555</v>
      </c>
      <c r="C762" s="468">
        <v>113</v>
      </c>
      <c r="D762" s="468" t="s">
        <v>207</v>
      </c>
      <c r="E762" s="468">
        <v>-64000</v>
      </c>
      <c r="F762" s="468">
        <v>77520000</v>
      </c>
      <c r="G762" s="468"/>
      <c r="H762" s="468"/>
      <c r="I762" s="468"/>
      <c r="J762" s="445" t="str">
        <f t="shared" si="22"/>
        <v>12033011113PROCEEDS - TANGIB .ASSET DISP.77520000</v>
      </c>
      <c r="K762" s="163">
        <f t="shared" si="23"/>
        <v>-64000</v>
      </c>
    </row>
    <row r="763" spans="1:11" ht="14.5">
      <c r="A763" s="468">
        <v>12020500</v>
      </c>
      <c r="B763" s="468">
        <v>4555</v>
      </c>
      <c r="C763" s="468"/>
      <c r="D763" s="468" t="s">
        <v>846</v>
      </c>
      <c r="E763" s="468">
        <v>-7363.64</v>
      </c>
      <c r="F763" s="468" t="s">
        <v>847</v>
      </c>
      <c r="G763" s="468"/>
      <c r="H763" s="468"/>
      <c r="I763" s="468"/>
      <c r="J763" s="445" t="str">
        <f t="shared" si="22"/>
        <v>12020500PROCEEDS - TANGIB .ASSET775200LP</v>
      </c>
      <c r="K763" s="163">
        <f t="shared" si="23"/>
        <v>-7363.64</v>
      </c>
    </row>
    <row r="764" spans="1:11" ht="14.5">
      <c r="A764" s="468">
        <v>12013012</v>
      </c>
      <c r="B764" s="468">
        <v>4805</v>
      </c>
      <c r="C764" s="468"/>
      <c r="D764" s="468" t="s">
        <v>208</v>
      </c>
      <c r="E764" s="468">
        <v>19.54</v>
      </c>
      <c r="F764" s="468">
        <v>61000800</v>
      </c>
      <c r="G764" s="468"/>
      <c r="H764" s="468"/>
      <c r="I764" s="468"/>
      <c r="J764" s="445" t="str">
        <f t="shared" si="22"/>
        <v>12013012UTILITYWATER61000800</v>
      </c>
      <c r="K764" s="163">
        <f t="shared" si="23"/>
        <v>19.54</v>
      </c>
    </row>
    <row r="765" spans="1:11" ht="14.5">
      <c r="A765" s="468">
        <v>12033011</v>
      </c>
      <c r="B765" s="468">
        <v>4805</v>
      </c>
      <c r="C765" s="468"/>
      <c r="D765" s="468" t="s">
        <v>208</v>
      </c>
      <c r="E765" s="468">
        <v>267.89999999999998</v>
      </c>
      <c r="F765" s="468">
        <v>61000800</v>
      </c>
      <c r="G765" s="468"/>
      <c r="H765" s="468"/>
      <c r="I765" s="468"/>
      <c r="J765" s="445" t="str">
        <f t="shared" si="22"/>
        <v>12033011UTILITYWATER61000800</v>
      </c>
      <c r="K765" s="163">
        <f t="shared" si="23"/>
        <v>267.89999999999998</v>
      </c>
    </row>
    <row r="766" spans="1:11" ht="14.5">
      <c r="A766" s="468">
        <v>12030500</v>
      </c>
      <c r="B766" s="468">
        <v>4805</v>
      </c>
      <c r="C766" s="468"/>
      <c r="D766" s="468" t="s">
        <v>208</v>
      </c>
      <c r="E766" s="468">
        <v>145.87</v>
      </c>
      <c r="F766" s="468" t="s">
        <v>209</v>
      </c>
      <c r="G766" s="468"/>
      <c r="H766" s="468"/>
      <c r="I766" s="468"/>
      <c r="J766" s="445" t="str">
        <f t="shared" si="22"/>
        <v>12030500UTILITYWATER610008LP</v>
      </c>
      <c r="K766" s="163">
        <f t="shared" si="23"/>
        <v>145.87</v>
      </c>
    </row>
    <row r="767" spans="1:11" ht="14.5">
      <c r="A767" s="468">
        <v>12030400</v>
      </c>
      <c r="B767" s="468">
        <v>4805</v>
      </c>
      <c r="C767" s="468"/>
      <c r="D767" s="468" t="s">
        <v>208</v>
      </c>
      <c r="E767" s="468">
        <v>-43.63</v>
      </c>
      <c r="F767" s="468" t="s">
        <v>213</v>
      </c>
      <c r="G767" s="468"/>
      <c r="H767" s="468"/>
      <c r="I767" s="468"/>
      <c r="J767" s="445" t="str">
        <f t="shared" si="22"/>
        <v>12030400UTILITYWATER610008CS</v>
      </c>
      <c r="K767" s="163">
        <f t="shared" si="23"/>
        <v>-43.63</v>
      </c>
    </row>
    <row r="768" spans="1:11" ht="14.5">
      <c r="A768" s="468">
        <v>12019199</v>
      </c>
      <c r="B768" s="468">
        <v>4805</v>
      </c>
      <c r="C768" s="468"/>
      <c r="D768" s="468" t="s">
        <v>208</v>
      </c>
      <c r="E768" s="468">
        <v>55.7</v>
      </c>
      <c r="F768" s="468" t="s">
        <v>212</v>
      </c>
      <c r="G768" s="468"/>
      <c r="H768" s="468"/>
      <c r="I768" s="468"/>
      <c r="J768" s="445" t="str">
        <f t="shared" si="22"/>
        <v>12019199UTILITYWATER610008GA</v>
      </c>
      <c r="K768" s="163">
        <f t="shared" si="23"/>
        <v>55.7</v>
      </c>
    </row>
    <row r="769" spans="1:11" ht="14.5">
      <c r="A769" s="468">
        <v>12018599</v>
      </c>
      <c r="B769" s="468">
        <v>4805</v>
      </c>
      <c r="C769" s="468"/>
      <c r="D769" s="468" t="s">
        <v>208</v>
      </c>
      <c r="E769" s="468">
        <v>47.38</v>
      </c>
      <c r="F769" s="468" t="s">
        <v>212</v>
      </c>
      <c r="G769" s="468"/>
      <c r="H769" s="468"/>
      <c r="I769" s="468"/>
      <c r="J769" s="445" t="str">
        <f t="shared" si="22"/>
        <v>12018599UTILITYWATER610008GA</v>
      </c>
      <c r="K769" s="163">
        <f t="shared" si="23"/>
        <v>47.38</v>
      </c>
    </row>
    <row r="770" spans="1:11" ht="14.5">
      <c r="A770" s="468">
        <v>12018099</v>
      </c>
      <c r="B770" s="468">
        <v>4805</v>
      </c>
      <c r="C770" s="468"/>
      <c r="D770" s="468" t="s">
        <v>208</v>
      </c>
      <c r="E770" s="468">
        <v>-107.83</v>
      </c>
      <c r="F770" s="468" t="s">
        <v>210</v>
      </c>
      <c r="G770" s="468"/>
      <c r="H770" s="468"/>
      <c r="I770" s="468"/>
      <c r="J770" s="445" t="str">
        <f t="shared" si="22"/>
        <v>12018099UTILITYWATER610008SM</v>
      </c>
      <c r="K770" s="163">
        <f t="shared" si="23"/>
        <v>-107.83</v>
      </c>
    </row>
    <row r="771" spans="1:11" ht="14.5">
      <c r="A771" s="468">
        <v>12013300</v>
      </c>
      <c r="B771" s="468">
        <v>4805</v>
      </c>
      <c r="C771" s="468"/>
      <c r="D771" s="468" t="s">
        <v>208</v>
      </c>
      <c r="E771" s="468">
        <v>-43.63</v>
      </c>
      <c r="F771" s="468" t="s">
        <v>211</v>
      </c>
      <c r="G771" s="468"/>
      <c r="H771" s="468"/>
      <c r="I771" s="468"/>
      <c r="J771" s="445" t="str">
        <f t="shared" si="22"/>
        <v>12013300UTILITYWATER610008IT</v>
      </c>
      <c r="K771" s="163">
        <f t="shared" si="23"/>
        <v>-43.63</v>
      </c>
    </row>
    <row r="772" spans="1:11" ht="14.5">
      <c r="A772" s="468">
        <v>12060500</v>
      </c>
      <c r="B772" s="468">
        <v>4805</v>
      </c>
      <c r="C772" s="468"/>
      <c r="D772" s="468" t="s">
        <v>208</v>
      </c>
      <c r="E772" s="468">
        <v>2158.64</v>
      </c>
      <c r="F772" s="468" t="s">
        <v>209</v>
      </c>
      <c r="G772" s="468"/>
      <c r="H772" s="468"/>
      <c r="I772" s="468"/>
      <c r="J772" s="445" t="str">
        <f t="shared" si="22"/>
        <v>12060500UTILITYWATER610008LP</v>
      </c>
      <c r="K772" s="163">
        <f t="shared" si="23"/>
        <v>2158.64</v>
      </c>
    </row>
    <row r="773" spans="1:11" ht="14.5">
      <c r="A773" s="468">
        <v>12013250</v>
      </c>
      <c r="B773" s="468">
        <v>4805</v>
      </c>
      <c r="C773" s="468"/>
      <c r="D773" s="468" t="s">
        <v>208</v>
      </c>
      <c r="E773" s="468">
        <v>167.94</v>
      </c>
      <c r="F773" s="468">
        <v>61000800</v>
      </c>
      <c r="G773" s="468"/>
      <c r="H773" s="468"/>
      <c r="I773" s="468"/>
      <c r="J773" s="445" t="str">
        <f t="shared" ref="J773:J836" si="24">A773&amp;C773&amp;D773&amp;F773</f>
        <v>12013250UTILITYWATER61000800</v>
      </c>
      <c r="K773" s="163">
        <f t="shared" ref="K773:K836" si="25">E773</f>
        <v>167.94</v>
      </c>
    </row>
    <row r="774" spans="1:11" ht="14.5">
      <c r="A774" s="468">
        <v>12013012</v>
      </c>
      <c r="B774" s="468">
        <v>4810</v>
      </c>
      <c r="C774" s="468"/>
      <c r="D774" s="468" t="s">
        <v>214</v>
      </c>
      <c r="E774" s="468">
        <v>2778.31</v>
      </c>
      <c r="F774" s="468">
        <v>61000800</v>
      </c>
      <c r="G774" s="468"/>
      <c r="H774" s="468"/>
      <c r="I774" s="468"/>
      <c r="J774" s="445" t="str">
        <f t="shared" si="24"/>
        <v>12013012UTILITYELECTRIC61000800</v>
      </c>
      <c r="K774" s="163">
        <f t="shared" si="25"/>
        <v>2778.31</v>
      </c>
    </row>
    <row r="775" spans="1:11" ht="14.5">
      <c r="A775" s="468">
        <v>12010700</v>
      </c>
      <c r="B775" s="468">
        <v>4810</v>
      </c>
      <c r="C775" s="468"/>
      <c r="D775" s="468" t="s">
        <v>214</v>
      </c>
      <c r="E775" s="468">
        <v>1358.62</v>
      </c>
      <c r="F775" s="468" t="s">
        <v>215</v>
      </c>
      <c r="G775" s="468"/>
      <c r="H775" s="468"/>
      <c r="I775" s="468"/>
      <c r="J775" s="445" t="str">
        <f t="shared" si="24"/>
        <v>12010700UTILITYELECTRIC610008QL</v>
      </c>
      <c r="K775" s="163">
        <f t="shared" si="25"/>
        <v>1358.62</v>
      </c>
    </row>
    <row r="776" spans="1:11" ht="14.5">
      <c r="A776" s="468">
        <v>12010500</v>
      </c>
      <c r="B776" s="468">
        <v>4810</v>
      </c>
      <c r="C776" s="468"/>
      <c r="D776" s="468" t="s">
        <v>214</v>
      </c>
      <c r="E776" s="468">
        <v>5145.34</v>
      </c>
      <c r="F776" s="468" t="s">
        <v>209</v>
      </c>
      <c r="G776" s="468"/>
      <c r="H776" s="468"/>
      <c r="I776" s="468"/>
      <c r="J776" s="445" t="str">
        <f t="shared" si="24"/>
        <v>12010500UTILITYELECTRIC610008LP</v>
      </c>
      <c r="K776" s="163">
        <f t="shared" si="25"/>
        <v>5145.34</v>
      </c>
    </row>
    <row r="777" spans="1:11" ht="14.5">
      <c r="A777" s="468">
        <v>12033011</v>
      </c>
      <c r="B777" s="468">
        <v>4810</v>
      </c>
      <c r="C777" s="468"/>
      <c r="D777" s="468" t="s">
        <v>214</v>
      </c>
      <c r="E777" s="468">
        <v>15342.32</v>
      </c>
      <c r="F777" s="468">
        <v>61000800</v>
      </c>
      <c r="G777" s="468"/>
      <c r="H777" s="468"/>
      <c r="I777" s="468"/>
      <c r="J777" s="445" t="str">
        <f t="shared" si="24"/>
        <v>12033011UTILITYELECTRIC61000800</v>
      </c>
      <c r="K777" s="163">
        <f t="shared" si="25"/>
        <v>15342.32</v>
      </c>
    </row>
    <row r="778" spans="1:11" ht="14.5">
      <c r="A778" s="468">
        <v>12030500</v>
      </c>
      <c r="B778" s="468">
        <v>4810</v>
      </c>
      <c r="C778" s="468"/>
      <c r="D778" s="468" t="s">
        <v>214</v>
      </c>
      <c r="E778" s="468">
        <v>4136.99</v>
      </c>
      <c r="F778" s="468" t="s">
        <v>209</v>
      </c>
      <c r="G778" s="468"/>
      <c r="H778" s="468"/>
      <c r="I778" s="468"/>
      <c r="J778" s="445" t="str">
        <f t="shared" si="24"/>
        <v>12030500UTILITYELECTRIC610008LP</v>
      </c>
      <c r="K778" s="163">
        <f t="shared" si="25"/>
        <v>4136.99</v>
      </c>
    </row>
    <row r="779" spans="1:11" ht="14.5">
      <c r="A779" s="468">
        <v>12030400</v>
      </c>
      <c r="B779" s="468">
        <v>4810</v>
      </c>
      <c r="C779" s="468"/>
      <c r="D779" s="468" t="s">
        <v>214</v>
      </c>
      <c r="E779" s="468">
        <v>1419.62</v>
      </c>
      <c r="F779" s="468" t="s">
        <v>213</v>
      </c>
      <c r="G779" s="468"/>
      <c r="H779" s="468"/>
      <c r="I779" s="468"/>
      <c r="J779" s="445" t="str">
        <f t="shared" si="24"/>
        <v>12030400UTILITYELECTRIC610008CS</v>
      </c>
      <c r="K779" s="163">
        <f t="shared" si="25"/>
        <v>1419.62</v>
      </c>
    </row>
    <row r="780" spans="1:11" ht="14.5">
      <c r="A780" s="468">
        <v>12023021</v>
      </c>
      <c r="B780" s="468">
        <v>4810</v>
      </c>
      <c r="C780" s="468"/>
      <c r="D780" s="468" t="s">
        <v>214</v>
      </c>
      <c r="E780" s="468">
        <v>38956.5</v>
      </c>
      <c r="F780" s="468">
        <v>61000800</v>
      </c>
      <c r="G780" s="468"/>
      <c r="H780" s="468"/>
      <c r="I780" s="468"/>
      <c r="J780" s="445" t="str">
        <f t="shared" si="24"/>
        <v>12023021UTILITYELECTRIC61000800</v>
      </c>
      <c r="K780" s="163">
        <f t="shared" si="25"/>
        <v>38956.5</v>
      </c>
    </row>
    <row r="781" spans="1:11" ht="14.5">
      <c r="A781" s="468">
        <v>12023011</v>
      </c>
      <c r="B781" s="468">
        <v>4810</v>
      </c>
      <c r="C781" s="468"/>
      <c r="D781" s="468" t="s">
        <v>214</v>
      </c>
      <c r="E781" s="468">
        <v>48316.480000000003</v>
      </c>
      <c r="F781" s="468">
        <v>61000800</v>
      </c>
      <c r="G781" s="468"/>
      <c r="H781" s="468"/>
      <c r="I781" s="468"/>
      <c r="J781" s="445" t="str">
        <f t="shared" si="24"/>
        <v>12023011UTILITYELECTRIC61000800</v>
      </c>
      <c r="K781" s="163">
        <f t="shared" si="25"/>
        <v>48316.480000000003</v>
      </c>
    </row>
    <row r="782" spans="1:11" ht="14.5">
      <c r="A782" s="468">
        <v>12020500</v>
      </c>
      <c r="B782" s="468">
        <v>4810</v>
      </c>
      <c r="C782" s="468"/>
      <c r="D782" s="468" t="s">
        <v>214</v>
      </c>
      <c r="E782" s="468">
        <v>8201.36</v>
      </c>
      <c r="F782" s="468" t="s">
        <v>209</v>
      </c>
      <c r="G782" s="468"/>
      <c r="H782" s="468"/>
      <c r="I782" s="468"/>
      <c r="J782" s="445" t="str">
        <f t="shared" si="24"/>
        <v>12020500UTILITYELECTRIC610008LP</v>
      </c>
      <c r="K782" s="163">
        <f t="shared" si="25"/>
        <v>8201.36</v>
      </c>
    </row>
    <row r="783" spans="1:11" ht="14.5">
      <c r="A783" s="468">
        <v>12020400</v>
      </c>
      <c r="B783" s="468">
        <v>4810</v>
      </c>
      <c r="C783" s="468"/>
      <c r="D783" s="468" t="s">
        <v>214</v>
      </c>
      <c r="E783" s="468">
        <v>6151.04</v>
      </c>
      <c r="F783" s="468" t="s">
        <v>213</v>
      </c>
      <c r="G783" s="468"/>
      <c r="H783" s="468"/>
      <c r="I783" s="468"/>
      <c r="J783" s="445" t="str">
        <f t="shared" si="24"/>
        <v>12020400UTILITYELECTRIC610008CS</v>
      </c>
      <c r="K783" s="163">
        <f t="shared" si="25"/>
        <v>6151.04</v>
      </c>
    </row>
    <row r="784" spans="1:11" ht="14.5">
      <c r="A784" s="468">
        <v>12019199</v>
      </c>
      <c r="B784" s="468">
        <v>4810</v>
      </c>
      <c r="C784" s="468"/>
      <c r="D784" s="468" t="s">
        <v>214</v>
      </c>
      <c r="E784" s="468">
        <v>4683.16</v>
      </c>
      <c r="F784" s="468" t="s">
        <v>212</v>
      </c>
      <c r="G784" s="468"/>
      <c r="H784" s="468"/>
      <c r="I784" s="468"/>
      <c r="J784" s="445" t="str">
        <f t="shared" si="24"/>
        <v>12019199UTILITYELECTRIC610008GA</v>
      </c>
      <c r="K784" s="163">
        <f t="shared" si="25"/>
        <v>4683.16</v>
      </c>
    </row>
    <row r="785" spans="1:11" ht="14.5">
      <c r="A785" s="468">
        <v>12018599</v>
      </c>
      <c r="B785" s="468">
        <v>4810</v>
      </c>
      <c r="C785" s="468"/>
      <c r="D785" s="468" t="s">
        <v>214</v>
      </c>
      <c r="E785" s="468">
        <v>1019.01</v>
      </c>
      <c r="F785" s="468" t="s">
        <v>212</v>
      </c>
      <c r="G785" s="468"/>
      <c r="H785" s="468"/>
      <c r="I785" s="468"/>
      <c r="J785" s="445" t="str">
        <f t="shared" si="24"/>
        <v>12018599UTILITYELECTRIC610008GA</v>
      </c>
      <c r="K785" s="163">
        <f t="shared" si="25"/>
        <v>1019.01</v>
      </c>
    </row>
    <row r="786" spans="1:11" ht="14.5">
      <c r="A786" s="468">
        <v>12018099</v>
      </c>
      <c r="B786" s="468">
        <v>4810</v>
      </c>
      <c r="C786" s="468"/>
      <c r="D786" s="468" t="s">
        <v>214</v>
      </c>
      <c r="E786" s="468">
        <v>5762.52</v>
      </c>
      <c r="F786" s="468" t="s">
        <v>210</v>
      </c>
      <c r="G786" s="468"/>
      <c r="H786" s="468"/>
      <c r="I786" s="468"/>
      <c r="J786" s="445" t="str">
        <f t="shared" si="24"/>
        <v>12018099UTILITYELECTRIC610008SM</v>
      </c>
      <c r="K786" s="163">
        <f t="shared" si="25"/>
        <v>5762.52</v>
      </c>
    </row>
    <row r="787" spans="1:11" ht="14.5">
      <c r="A787" s="468">
        <v>12013300</v>
      </c>
      <c r="B787" s="468">
        <v>4810</v>
      </c>
      <c r="C787" s="468"/>
      <c r="D787" s="468" t="s">
        <v>214</v>
      </c>
      <c r="E787" s="468">
        <v>1419.6</v>
      </c>
      <c r="F787" s="468" t="s">
        <v>211</v>
      </c>
      <c r="G787" s="468"/>
      <c r="H787" s="468"/>
      <c r="I787" s="468"/>
      <c r="J787" s="445" t="str">
        <f t="shared" si="24"/>
        <v>12013300UTILITYELECTRIC610008IT</v>
      </c>
      <c r="K787" s="163">
        <f t="shared" si="25"/>
        <v>1419.6</v>
      </c>
    </row>
    <row r="788" spans="1:11" ht="14.5">
      <c r="A788" s="468">
        <v>12063011</v>
      </c>
      <c r="B788" s="468">
        <v>4810</v>
      </c>
      <c r="C788" s="468"/>
      <c r="D788" s="468" t="s">
        <v>214</v>
      </c>
      <c r="E788" s="468">
        <v>14072.62</v>
      </c>
      <c r="F788" s="468">
        <v>61000800</v>
      </c>
      <c r="G788" s="468"/>
      <c r="H788" s="468"/>
      <c r="I788" s="468"/>
      <c r="J788" s="445" t="str">
        <f t="shared" si="24"/>
        <v>12063011UTILITYELECTRIC61000800</v>
      </c>
      <c r="K788" s="163">
        <f t="shared" si="25"/>
        <v>14072.62</v>
      </c>
    </row>
    <row r="789" spans="1:11" ht="14.5">
      <c r="A789" s="468">
        <v>12060500</v>
      </c>
      <c r="B789" s="468">
        <v>4810</v>
      </c>
      <c r="C789" s="468"/>
      <c r="D789" s="468" t="s">
        <v>214</v>
      </c>
      <c r="E789" s="468">
        <v>2439.25</v>
      </c>
      <c r="F789" s="468" t="s">
        <v>209</v>
      </c>
      <c r="G789" s="468"/>
      <c r="H789" s="468"/>
      <c r="I789" s="468"/>
      <c r="J789" s="445" t="str">
        <f t="shared" si="24"/>
        <v>12060500UTILITYELECTRIC610008LP</v>
      </c>
      <c r="K789" s="163">
        <f t="shared" si="25"/>
        <v>2439.25</v>
      </c>
    </row>
    <row r="790" spans="1:11" ht="14.5">
      <c r="A790" s="468">
        <v>12060400</v>
      </c>
      <c r="B790" s="468">
        <v>4810</v>
      </c>
      <c r="C790" s="468"/>
      <c r="D790" s="468" t="s">
        <v>214</v>
      </c>
      <c r="E790" s="468">
        <v>1313.44</v>
      </c>
      <c r="F790" s="468" t="s">
        <v>213</v>
      </c>
      <c r="G790" s="468"/>
      <c r="H790" s="468"/>
      <c r="I790" s="468"/>
      <c r="J790" s="445" t="str">
        <f t="shared" si="24"/>
        <v>12060400UTILITYELECTRIC610008CS</v>
      </c>
      <c r="K790" s="163">
        <f t="shared" si="25"/>
        <v>1313.44</v>
      </c>
    </row>
    <row r="791" spans="1:11" ht="14.5">
      <c r="A791" s="468">
        <v>12043123</v>
      </c>
      <c r="B791" s="468">
        <v>4810</v>
      </c>
      <c r="C791" s="468"/>
      <c r="D791" s="468" t="s">
        <v>214</v>
      </c>
      <c r="E791" s="468">
        <v>2089.1999999999998</v>
      </c>
      <c r="F791" s="468">
        <v>61000800</v>
      </c>
      <c r="G791" s="468"/>
      <c r="H791" s="468"/>
      <c r="I791" s="468"/>
      <c r="J791" s="445" t="str">
        <f t="shared" si="24"/>
        <v>12043123UTILITYELECTRIC61000800</v>
      </c>
      <c r="K791" s="163">
        <f t="shared" si="25"/>
        <v>2089.1999999999998</v>
      </c>
    </row>
    <row r="792" spans="1:11" ht="14.5">
      <c r="A792" s="468">
        <v>12043011</v>
      </c>
      <c r="B792" s="468">
        <v>4810</v>
      </c>
      <c r="C792" s="468"/>
      <c r="D792" s="468" t="s">
        <v>214</v>
      </c>
      <c r="E792" s="468">
        <v>13579.79</v>
      </c>
      <c r="F792" s="468">
        <v>61000800</v>
      </c>
      <c r="G792" s="468"/>
      <c r="H792" s="468"/>
      <c r="I792" s="468"/>
      <c r="J792" s="445" t="str">
        <f t="shared" si="24"/>
        <v>12043011UTILITYELECTRIC61000800</v>
      </c>
      <c r="K792" s="163">
        <f t="shared" si="25"/>
        <v>13579.79</v>
      </c>
    </row>
    <row r="793" spans="1:11" ht="14.5">
      <c r="A793" s="468">
        <v>12040500</v>
      </c>
      <c r="B793" s="468">
        <v>4810</v>
      </c>
      <c r="C793" s="468"/>
      <c r="D793" s="468" t="s">
        <v>214</v>
      </c>
      <c r="E793" s="468">
        <v>1044.5999999999999</v>
      </c>
      <c r="F793" s="468" t="s">
        <v>209</v>
      </c>
      <c r="G793" s="468"/>
      <c r="H793" s="468"/>
      <c r="I793" s="468"/>
      <c r="J793" s="445" t="str">
        <f t="shared" si="24"/>
        <v>12040500UTILITYELECTRIC610008LP</v>
      </c>
      <c r="K793" s="163">
        <f t="shared" si="25"/>
        <v>1044.5999999999999</v>
      </c>
    </row>
    <row r="794" spans="1:11" ht="14.5">
      <c r="A794" s="468">
        <v>12040400</v>
      </c>
      <c r="B794" s="468">
        <v>4810</v>
      </c>
      <c r="C794" s="468"/>
      <c r="D794" s="468" t="s">
        <v>214</v>
      </c>
      <c r="E794" s="468">
        <v>2089.1999999999998</v>
      </c>
      <c r="F794" s="468" t="s">
        <v>213</v>
      </c>
      <c r="G794" s="468"/>
      <c r="H794" s="468"/>
      <c r="I794" s="468"/>
      <c r="J794" s="445" t="str">
        <f t="shared" si="24"/>
        <v>12040400UTILITYELECTRIC610008CS</v>
      </c>
      <c r="K794" s="163">
        <f t="shared" si="25"/>
        <v>2089.1999999999998</v>
      </c>
    </row>
    <row r="795" spans="1:11" ht="14.5">
      <c r="A795" s="468">
        <v>12013250</v>
      </c>
      <c r="B795" s="468">
        <v>4810</v>
      </c>
      <c r="C795" s="468"/>
      <c r="D795" s="468" t="s">
        <v>214</v>
      </c>
      <c r="E795" s="468">
        <v>16330.78</v>
      </c>
      <c r="F795" s="468">
        <v>61000800</v>
      </c>
      <c r="G795" s="468"/>
      <c r="H795" s="468"/>
      <c r="I795" s="468"/>
      <c r="J795" s="445" t="str">
        <f t="shared" si="24"/>
        <v>12013250UTILITYELECTRIC61000800</v>
      </c>
      <c r="K795" s="163">
        <f t="shared" si="25"/>
        <v>16330.78</v>
      </c>
    </row>
    <row r="796" spans="1:11" ht="14.5">
      <c r="A796" s="468">
        <v>12063011</v>
      </c>
      <c r="B796" s="468">
        <v>4815</v>
      </c>
      <c r="C796" s="468"/>
      <c r="D796" s="468" t="s">
        <v>216</v>
      </c>
      <c r="E796" s="468">
        <v>115.54</v>
      </c>
      <c r="F796" s="468">
        <v>61000800</v>
      </c>
      <c r="G796" s="468"/>
      <c r="H796" s="468"/>
      <c r="I796" s="468"/>
      <c r="J796" s="445" t="str">
        <f t="shared" si="24"/>
        <v>12063011UTILITYGAS61000800</v>
      </c>
      <c r="K796" s="163">
        <f t="shared" si="25"/>
        <v>115.54</v>
      </c>
    </row>
    <row r="797" spans="1:11" ht="14.5">
      <c r="A797" s="468">
        <v>12060500</v>
      </c>
      <c r="B797" s="468">
        <v>4815</v>
      </c>
      <c r="C797" s="468"/>
      <c r="D797" s="468" t="s">
        <v>216</v>
      </c>
      <c r="E797" s="468">
        <v>20.03</v>
      </c>
      <c r="F797" s="468" t="s">
        <v>209</v>
      </c>
      <c r="G797" s="468"/>
      <c r="H797" s="468"/>
      <c r="I797" s="468"/>
      <c r="J797" s="445" t="str">
        <f t="shared" si="24"/>
        <v>12060500UTILITYGAS610008LP</v>
      </c>
      <c r="K797" s="163">
        <f t="shared" si="25"/>
        <v>20.03</v>
      </c>
    </row>
    <row r="798" spans="1:11" ht="14.5">
      <c r="A798" s="468">
        <v>12060400</v>
      </c>
      <c r="B798" s="468">
        <v>4815</v>
      </c>
      <c r="C798" s="468"/>
      <c r="D798" s="468" t="s">
        <v>216</v>
      </c>
      <c r="E798" s="468">
        <v>10.78</v>
      </c>
      <c r="F798" s="468" t="s">
        <v>213</v>
      </c>
      <c r="G798" s="468"/>
      <c r="H798" s="468"/>
      <c r="I798" s="468"/>
      <c r="J798" s="445" t="str">
        <f t="shared" si="24"/>
        <v>12060400UTILITYGAS610008CS</v>
      </c>
      <c r="K798" s="163">
        <f t="shared" si="25"/>
        <v>10.78</v>
      </c>
    </row>
    <row r="799" spans="1:11" ht="14.5">
      <c r="A799" s="468">
        <v>12033011</v>
      </c>
      <c r="B799" s="468">
        <v>4815</v>
      </c>
      <c r="C799" s="468"/>
      <c r="D799" s="468" t="s">
        <v>216</v>
      </c>
      <c r="E799" s="468">
        <v>1415.52</v>
      </c>
      <c r="F799" s="468">
        <v>61000800</v>
      </c>
      <c r="G799" s="468"/>
      <c r="H799" s="468"/>
      <c r="I799" s="468"/>
      <c r="J799" s="445" t="str">
        <f t="shared" si="24"/>
        <v>12033011UTILITYGAS61000800</v>
      </c>
      <c r="K799" s="163">
        <f t="shared" si="25"/>
        <v>1415.52</v>
      </c>
    </row>
    <row r="800" spans="1:11" ht="14.5">
      <c r="A800" s="468">
        <v>12030500</v>
      </c>
      <c r="B800" s="468">
        <v>4815</v>
      </c>
      <c r="C800" s="468"/>
      <c r="D800" s="468" t="s">
        <v>216</v>
      </c>
      <c r="E800" s="468">
        <v>354.97</v>
      </c>
      <c r="F800" s="468" t="s">
        <v>209</v>
      </c>
      <c r="G800" s="468"/>
      <c r="H800" s="468"/>
      <c r="I800" s="468"/>
      <c r="J800" s="445" t="str">
        <f t="shared" si="24"/>
        <v>12030500UTILITYGAS610008LP</v>
      </c>
      <c r="K800" s="163">
        <f t="shared" si="25"/>
        <v>354.97</v>
      </c>
    </row>
    <row r="801" spans="1:11" ht="14.5">
      <c r="A801" s="468">
        <v>12030400</v>
      </c>
      <c r="B801" s="468">
        <v>4815</v>
      </c>
      <c r="C801" s="468"/>
      <c r="D801" s="468" t="s">
        <v>216</v>
      </c>
      <c r="E801" s="468">
        <v>64.63</v>
      </c>
      <c r="F801" s="468" t="s">
        <v>213</v>
      </c>
      <c r="G801" s="468"/>
      <c r="H801" s="468"/>
      <c r="I801" s="468"/>
      <c r="J801" s="445" t="str">
        <f t="shared" si="24"/>
        <v>12030400UTILITYGAS610008CS</v>
      </c>
      <c r="K801" s="163">
        <f t="shared" si="25"/>
        <v>64.63</v>
      </c>
    </row>
    <row r="802" spans="1:11" ht="14.5">
      <c r="A802" s="468">
        <v>12019199</v>
      </c>
      <c r="B802" s="468">
        <v>4815</v>
      </c>
      <c r="C802" s="468"/>
      <c r="D802" s="468" t="s">
        <v>216</v>
      </c>
      <c r="E802" s="468">
        <v>365.92</v>
      </c>
      <c r="F802" s="468" t="s">
        <v>212</v>
      </c>
      <c r="G802" s="468"/>
      <c r="H802" s="468"/>
      <c r="I802" s="468"/>
      <c r="J802" s="445" t="str">
        <f t="shared" si="24"/>
        <v>12019199UTILITYGAS610008GA</v>
      </c>
      <c r="K802" s="163">
        <f t="shared" si="25"/>
        <v>365.92</v>
      </c>
    </row>
    <row r="803" spans="1:11" ht="14.5">
      <c r="A803" s="468">
        <v>12018599</v>
      </c>
      <c r="B803" s="468">
        <v>4815</v>
      </c>
      <c r="C803" s="468"/>
      <c r="D803" s="468" t="s">
        <v>216</v>
      </c>
      <c r="E803" s="468">
        <v>108.88</v>
      </c>
      <c r="F803" s="468" t="s">
        <v>212</v>
      </c>
      <c r="G803" s="468"/>
      <c r="H803" s="468"/>
      <c r="I803" s="468"/>
      <c r="J803" s="445" t="str">
        <f t="shared" si="24"/>
        <v>12018599UTILITYGAS610008GA</v>
      </c>
      <c r="K803" s="163">
        <f t="shared" si="25"/>
        <v>108.88</v>
      </c>
    </row>
    <row r="804" spans="1:11" ht="14.5">
      <c r="A804" s="468">
        <v>12018099</v>
      </c>
      <c r="B804" s="468">
        <v>4815</v>
      </c>
      <c r="C804" s="468"/>
      <c r="D804" s="468" t="s">
        <v>216</v>
      </c>
      <c r="E804" s="468">
        <v>34.32</v>
      </c>
      <c r="F804" s="468" t="s">
        <v>210</v>
      </c>
      <c r="G804" s="468"/>
      <c r="H804" s="468"/>
      <c r="I804" s="468"/>
      <c r="J804" s="445" t="str">
        <f t="shared" si="24"/>
        <v>12018099UTILITYGAS610008SM</v>
      </c>
      <c r="K804" s="163">
        <f t="shared" si="25"/>
        <v>34.32</v>
      </c>
    </row>
    <row r="805" spans="1:11" ht="14.5">
      <c r="A805" s="468">
        <v>12013300</v>
      </c>
      <c r="B805" s="468">
        <v>4815</v>
      </c>
      <c r="C805" s="468"/>
      <c r="D805" s="468" t="s">
        <v>216</v>
      </c>
      <c r="E805" s="468">
        <v>64.63</v>
      </c>
      <c r="F805" s="468" t="s">
        <v>211</v>
      </c>
      <c r="G805" s="468"/>
      <c r="H805" s="468"/>
      <c r="I805" s="468"/>
      <c r="J805" s="445" t="str">
        <f t="shared" si="24"/>
        <v>12013300UTILITYGAS610008IT</v>
      </c>
      <c r="K805" s="163">
        <f t="shared" si="25"/>
        <v>64.63</v>
      </c>
    </row>
    <row r="806" spans="1:11" ht="14.5">
      <c r="A806" s="468">
        <v>12013250</v>
      </c>
      <c r="B806" s="468">
        <v>4815</v>
      </c>
      <c r="C806" s="468"/>
      <c r="D806" s="468" t="s">
        <v>216</v>
      </c>
      <c r="E806" s="468">
        <v>209.81</v>
      </c>
      <c r="F806" s="468">
        <v>61000800</v>
      </c>
      <c r="G806" s="468"/>
      <c r="H806" s="468"/>
      <c r="I806" s="468"/>
      <c r="J806" s="445" t="str">
        <f t="shared" si="24"/>
        <v>12013250UTILITYGAS61000800</v>
      </c>
      <c r="K806" s="163">
        <f t="shared" si="25"/>
        <v>209.81</v>
      </c>
    </row>
    <row r="807" spans="1:11" ht="14.5">
      <c r="A807" s="468">
        <v>12013012</v>
      </c>
      <c r="B807" s="468">
        <v>4815</v>
      </c>
      <c r="C807" s="468"/>
      <c r="D807" s="468" t="s">
        <v>216</v>
      </c>
      <c r="E807" s="468">
        <v>209.79</v>
      </c>
      <c r="F807" s="468">
        <v>61000800</v>
      </c>
      <c r="G807" s="468"/>
      <c r="H807" s="468"/>
      <c r="I807" s="468"/>
      <c r="J807" s="445" t="str">
        <f t="shared" si="24"/>
        <v>12013012UTILITYGAS61000800</v>
      </c>
      <c r="K807" s="163">
        <f t="shared" si="25"/>
        <v>209.79</v>
      </c>
    </row>
    <row r="808" spans="1:11" ht="14.5">
      <c r="A808" s="468">
        <v>12010700</v>
      </c>
      <c r="B808" s="468">
        <v>4815</v>
      </c>
      <c r="C808" s="468"/>
      <c r="D808" s="468" t="s">
        <v>216</v>
      </c>
      <c r="E808" s="468">
        <v>145.15</v>
      </c>
      <c r="F808" s="468" t="s">
        <v>215</v>
      </c>
      <c r="G808" s="468"/>
      <c r="H808" s="468"/>
      <c r="I808" s="468"/>
      <c r="J808" s="445" t="str">
        <f t="shared" si="24"/>
        <v>12010700UTILITYGAS610008QL</v>
      </c>
      <c r="K808" s="163">
        <f t="shared" si="25"/>
        <v>145.15</v>
      </c>
    </row>
    <row r="809" spans="1:11" ht="14.5">
      <c r="A809" s="468">
        <v>12063011</v>
      </c>
      <c r="B809" s="468">
        <v>4820</v>
      </c>
      <c r="C809" s="468">
        <v>100</v>
      </c>
      <c r="D809" s="468" t="s">
        <v>217</v>
      </c>
      <c r="E809" s="468">
        <v>16471.560000000001</v>
      </c>
      <c r="F809" s="468">
        <v>61000900</v>
      </c>
      <c r="G809" s="468"/>
      <c r="H809" s="468"/>
      <c r="I809" s="468"/>
      <c r="J809" s="445" t="str">
        <f t="shared" si="24"/>
        <v>12063011100WASTE DISPOSAL61000900</v>
      </c>
      <c r="K809" s="163">
        <f t="shared" si="25"/>
        <v>16471.560000000001</v>
      </c>
    </row>
    <row r="810" spans="1:11" ht="14.5">
      <c r="A810" s="468">
        <v>12063011</v>
      </c>
      <c r="B810" s="468">
        <v>4820</v>
      </c>
      <c r="C810" s="468">
        <v>200</v>
      </c>
      <c r="D810" s="468" t="s">
        <v>218</v>
      </c>
      <c r="E810" s="468">
        <v>2433.79</v>
      </c>
      <c r="F810" s="468">
        <v>61000900</v>
      </c>
      <c r="G810" s="468"/>
      <c r="H810" s="468"/>
      <c r="I810" s="468"/>
      <c r="J810" s="445" t="str">
        <f t="shared" si="24"/>
        <v>12063011200LAUNDRY61000900</v>
      </c>
      <c r="K810" s="163">
        <f t="shared" si="25"/>
        <v>2433.79</v>
      </c>
    </row>
    <row r="811" spans="1:11" ht="14.5">
      <c r="A811" s="468">
        <v>12040500</v>
      </c>
      <c r="B811" s="468">
        <v>4820</v>
      </c>
      <c r="C811" s="468">
        <v>200</v>
      </c>
      <c r="D811" s="468" t="s">
        <v>218</v>
      </c>
      <c r="E811" s="468">
        <v>3062.33</v>
      </c>
      <c r="F811" s="468" t="s">
        <v>219</v>
      </c>
      <c r="G811" s="468"/>
      <c r="H811" s="468"/>
      <c r="I811" s="468"/>
      <c r="J811" s="445" t="str">
        <f t="shared" si="24"/>
        <v>12040500200LAUNDRY610009LP</v>
      </c>
      <c r="K811" s="163">
        <f t="shared" si="25"/>
        <v>3062.33</v>
      </c>
    </row>
    <row r="812" spans="1:11" ht="14.5">
      <c r="A812" s="468">
        <v>12043011</v>
      </c>
      <c r="B812" s="468">
        <v>4820</v>
      </c>
      <c r="C812" s="468">
        <v>200</v>
      </c>
      <c r="D812" s="468" t="s">
        <v>218</v>
      </c>
      <c r="E812" s="468">
        <v>5916</v>
      </c>
      <c r="F812" s="468">
        <v>61000900</v>
      </c>
      <c r="G812" s="468"/>
      <c r="H812" s="468"/>
      <c r="I812" s="468"/>
      <c r="J812" s="445" t="str">
        <f t="shared" si="24"/>
        <v>12043011200LAUNDRY61000900</v>
      </c>
      <c r="K812" s="163">
        <f t="shared" si="25"/>
        <v>5916</v>
      </c>
    </row>
    <row r="813" spans="1:11" ht="14.5">
      <c r="A813" s="468">
        <v>12023021</v>
      </c>
      <c r="B813" s="468">
        <v>4820</v>
      </c>
      <c r="C813" s="468">
        <v>100</v>
      </c>
      <c r="D813" s="468" t="s">
        <v>217</v>
      </c>
      <c r="E813" s="468">
        <v>16254.37</v>
      </c>
      <c r="F813" s="468">
        <v>61000900</v>
      </c>
      <c r="G813" s="468"/>
      <c r="H813" s="468"/>
      <c r="I813" s="468"/>
      <c r="J813" s="445" t="str">
        <f t="shared" si="24"/>
        <v>12023021100WASTE DISPOSAL61000900</v>
      </c>
      <c r="K813" s="163">
        <f t="shared" si="25"/>
        <v>16254.37</v>
      </c>
    </row>
    <row r="814" spans="1:11" ht="14.5">
      <c r="A814" s="468">
        <v>12030500</v>
      </c>
      <c r="B814" s="468">
        <v>4820</v>
      </c>
      <c r="C814" s="468">
        <v>100</v>
      </c>
      <c r="D814" s="468" t="s">
        <v>217</v>
      </c>
      <c r="E814" s="468">
        <v>10633.14</v>
      </c>
      <c r="F814" s="468" t="s">
        <v>219</v>
      </c>
      <c r="G814" s="468"/>
      <c r="H814" s="468"/>
      <c r="I814" s="468"/>
      <c r="J814" s="445" t="str">
        <f t="shared" si="24"/>
        <v>12030500100WASTE DISPOSAL610009LP</v>
      </c>
      <c r="K814" s="163">
        <f t="shared" si="25"/>
        <v>10633.14</v>
      </c>
    </row>
    <row r="815" spans="1:11" ht="14.5">
      <c r="A815" s="468">
        <v>12030500</v>
      </c>
      <c r="B815" s="468">
        <v>4820</v>
      </c>
      <c r="C815" s="468">
        <v>200</v>
      </c>
      <c r="D815" s="468" t="s">
        <v>218</v>
      </c>
      <c r="E815" s="468">
        <v>461.54</v>
      </c>
      <c r="F815" s="468" t="s">
        <v>219</v>
      </c>
      <c r="G815" s="468"/>
      <c r="H815" s="468"/>
      <c r="I815" s="468"/>
      <c r="J815" s="445" t="str">
        <f t="shared" si="24"/>
        <v>12030500200LAUNDRY610009LP</v>
      </c>
      <c r="K815" s="163">
        <f t="shared" si="25"/>
        <v>461.54</v>
      </c>
    </row>
    <row r="816" spans="1:11" ht="14.5">
      <c r="A816" s="468">
        <v>12033012</v>
      </c>
      <c r="B816" s="468">
        <v>4820</v>
      </c>
      <c r="C816" s="468">
        <v>200</v>
      </c>
      <c r="D816" s="468" t="s">
        <v>218</v>
      </c>
      <c r="E816" s="468">
        <v>938.01</v>
      </c>
      <c r="F816" s="468">
        <v>61000900</v>
      </c>
      <c r="G816" s="468"/>
      <c r="H816" s="468"/>
      <c r="I816" s="468"/>
      <c r="J816" s="445" t="str">
        <f t="shared" si="24"/>
        <v>12033012200LAUNDRY61000900</v>
      </c>
      <c r="K816" s="163">
        <f t="shared" si="25"/>
        <v>938.01</v>
      </c>
    </row>
    <row r="817" spans="1:11" ht="14.5">
      <c r="A817" s="468">
        <v>12033011</v>
      </c>
      <c r="B817" s="468">
        <v>4820</v>
      </c>
      <c r="C817" s="468">
        <v>100</v>
      </c>
      <c r="D817" s="468" t="s">
        <v>217</v>
      </c>
      <c r="E817" s="468">
        <v>184058.11</v>
      </c>
      <c r="F817" s="468">
        <v>61000900</v>
      </c>
      <c r="G817" s="468"/>
      <c r="H817" s="468"/>
      <c r="I817" s="468"/>
      <c r="J817" s="445" t="str">
        <f t="shared" si="24"/>
        <v>12033011100WASTE DISPOSAL61000900</v>
      </c>
      <c r="K817" s="163">
        <f t="shared" si="25"/>
        <v>184058.11</v>
      </c>
    </row>
    <row r="818" spans="1:11" ht="14.5">
      <c r="A818" s="468">
        <v>12033011</v>
      </c>
      <c r="B818" s="468">
        <v>4820</v>
      </c>
      <c r="C818" s="468">
        <v>200</v>
      </c>
      <c r="D818" s="468" t="s">
        <v>218</v>
      </c>
      <c r="E818" s="468">
        <v>8413.39</v>
      </c>
      <c r="F818" s="468">
        <v>61000900</v>
      </c>
      <c r="G818" s="468"/>
      <c r="H818" s="468"/>
      <c r="I818" s="468"/>
      <c r="J818" s="445" t="str">
        <f t="shared" si="24"/>
        <v>12033011200LAUNDRY61000900</v>
      </c>
      <c r="K818" s="163">
        <f t="shared" si="25"/>
        <v>8413.39</v>
      </c>
    </row>
    <row r="819" spans="1:11" ht="14.5">
      <c r="A819" s="468">
        <v>12020400</v>
      </c>
      <c r="B819" s="468">
        <v>4820</v>
      </c>
      <c r="C819" s="468">
        <v>100</v>
      </c>
      <c r="D819" s="468" t="s">
        <v>217</v>
      </c>
      <c r="E819" s="468">
        <v>2294.1999999999998</v>
      </c>
      <c r="F819" s="468" t="s">
        <v>220</v>
      </c>
      <c r="G819" s="468"/>
      <c r="H819" s="468"/>
      <c r="I819" s="468"/>
      <c r="J819" s="445" t="str">
        <f t="shared" si="24"/>
        <v>12020400100WASTE DISPOSAL610009CS</v>
      </c>
      <c r="K819" s="163">
        <f t="shared" si="25"/>
        <v>2294.1999999999998</v>
      </c>
    </row>
    <row r="820" spans="1:11" ht="14.5">
      <c r="A820" s="468">
        <v>12019199</v>
      </c>
      <c r="B820" s="468">
        <v>4820</v>
      </c>
      <c r="C820" s="468">
        <v>100</v>
      </c>
      <c r="D820" s="468" t="s">
        <v>217</v>
      </c>
      <c r="E820" s="468">
        <v>6379.87</v>
      </c>
      <c r="F820" s="468" t="s">
        <v>221</v>
      </c>
      <c r="G820" s="468"/>
      <c r="H820" s="468"/>
      <c r="I820" s="468"/>
      <c r="J820" s="445" t="str">
        <f t="shared" si="24"/>
        <v>12019199100WASTE DISPOSAL610009GA</v>
      </c>
      <c r="K820" s="163">
        <f t="shared" si="25"/>
        <v>6379.87</v>
      </c>
    </row>
    <row r="821" spans="1:11" ht="14.5">
      <c r="A821" s="468">
        <v>12019099</v>
      </c>
      <c r="B821" s="468">
        <v>4820</v>
      </c>
      <c r="C821" s="468">
        <v>100</v>
      </c>
      <c r="D821" s="468" t="s">
        <v>217</v>
      </c>
      <c r="E821" s="468">
        <v>707.11</v>
      </c>
      <c r="F821" s="468" t="s">
        <v>221</v>
      </c>
      <c r="G821" s="468"/>
      <c r="H821" s="468"/>
      <c r="I821" s="468"/>
      <c r="J821" s="445" t="str">
        <f t="shared" si="24"/>
        <v>12019099100WASTE DISPOSAL610009GA</v>
      </c>
      <c r="K821" s="163">
        <f t="shared" si="25"/>
        <v>707.11</v>
      </c>
    </row>
    <row r="822" spans="1:11" ht="14.5">
      <c r="A822" s="468">
        <v>12020500</v>
      </c>
      <c r="B822" s="468">
        <v>4820</v>
      </c>
      <c r="C822" s="468">
        <v>100</v>
      </c>
      <c r="D822" s="468" t="s">
        <v>217</v>
      </c>
      <c r="E822" s="468">
        <v>2735.69</v>
      </c>
      <c r="F822" s="468" t="s">
        <v>219</v>
      </c>
      <c r="G822" s="468"/>
      <c r="H822" s="468"/>
      <c r="I822" s="468"/>
      <c r="J822" s="445" t="str">
        <f t="shared" si="24"/>
        <v>12020500100WASTE DISPOSAL610009LP</v>
      </c>
      <c r="K822" s="163">
        <f t="shared" si="25"/>
        <v>2735.69</v>
      </c>
    </row>
    <row r="823" spans="1:11" ht="14.5">
      <c r="A823" s="468">
        <v>12020500</v>
      </c>
      <c r="B823" s="468">
        <v>4820</v>
      </c>
      <c r="C823" s="468">
        <v>200</v>
      </c>
      <c r="D823" s="468" t="s">
        <v>218</v>
      </c>
      <c r="E823" s="468">
        <v>16940.84</v>
      </c>
      <c r="F823" s="468" t="s">
        <v>219</v>
      </c>
      <c r="G823" s="468"/>
      <c r="H823" s="468"/>
      <c r="I823" s="468"/>
      <c r="J823" s="445" t="str">
        <f t="shared" si="24"/>
        <v>12020500200LAUNDRY610009LP</v>
      </c>
      <c r="K823" s="163">
        <f t="shared" si="25"/>
        <v>16940.84</v>
      </c>
    </row>
    <row r="824" spans="1:11" ht="14.5">
      <c r="A824" s="468">
        <v>12023011</v>
      </c>
      <c r="B824" s="468">
        <v>4820</v>
      </c>
      <c r="C824" s="468">
        <v>100</v>
      </c>
      <c r="D824" s="468" t="s">
        <v>217</v>
      </c>
      <c r="E824" s="468">
        <v>17287.439999999999</v>
      </c>
      <c r="F824" s="468">
        <v>61000900</v>
      </c>
      <c r="G824" s="468"/>
      <c r="H824" s="468"/>
      <c r="I824" s="468"/>
      <c r="J824" s="445" t="str">
        <f t="shared" si="24"/>
        <v>12023011100WASTE DISPOSAL61000900</v>
      </c>
      <c r="K824" s="163">
        <f t="shared" si="25"/>
        <v>17287.439999999999</v>
      </c>
    </row>
    <row r="825" spans="1:11" ht="14.5">
      <c r="A825" s="468">
        <v>12010500</v>
      </c>
      <c r="B825" s="468">
        <v>4820</v>
      </c>
      <c r="C825" s="468">
        <v>100</v>
      </c>
      <c r="D825" s="468" t="s">
        <v>217</v>
      </c>
      <c r="E825" s="468">
        <v>7553.15</v>
      </c>
      <c r="F825" s="468" t="s">
        <v>219</v>
      </c>
      <c r="G825" s="468"/>
      <c r="H825" s="468"/>
      <c r="I825" s="468"/>
      <c r="J825" s="445" t="str">
        <f t="shared" si="24"/>
        <v>12010500100WASTE DISPOSAL610009LP</v>
      </c>
      <c r="K825" s="163">
        <f t="shared" si="25"/>
        <v>7553.15</v>
      </c>
    </row>
    <row r="826" spans="1:11" ht="14.5">
      <c r="A826" s="468">
        <v>12013300</v>
      </c>
      <c r="B826" s="468">
        <v>4820</v>
      </c>
      <c r="C826" s="468">
        <v>100</v>
      </c>
      <c r="D826" s="468" t="s">
        <v>217</v>
      </c>
      <c r="E826" s="468">
        <v>3546.15</v>
      </c>
      <c r="F826" s="468" t="s">
        <v>223</v>
      </c>
      <c r="G826" s="468"/>
      <c r="H826" s="468"/>
      <c r="I826" s="468"/>
      <c r="J826" s="445" t="str">
        <f t="shared" si="24"/>
        <v>12013300100WASTE DISPOSAL610009IT</v>
      </c>
      <c r="K826" s="163">
        <f t="shared" si="25"/>
        <v>3546.15</v>
      </c>
    </row>
    <row r="827" spans="1:11" ht="14.5">
      <c r="A827" s="468">
        <v>12018199</v>
      </c>
      <c r="B827" s="468">
        <v>4820</v>
      </c>
      <c r="C827" s="468">
        <v>100</v>
      </c>
      <c r="D827" s="468" t="s">
        <v>217</v>
      </c>
      <c r="E827" s="468">
        <v>2833.71</v>
      </c>
      <c r="F827" s="468" t="s">
        <v>222</v>
      </c>
      <c r="G827" s="468"/>
      <c r="H827" s="468"/>
      <c r="I827" s="468"/>
      <c r="J827" s="445" t="str">
        <f t="shared" si="24"/>
        <v>12018199100WASTE DISPOSAL610009SM</v>
      </c>
      <c r="K827" s="163">
        <f t="shared" si="25"/>
        <v>2833.71</v>
      </c>
    </row>
    <row r="828" spans="1:11" ht="14.5">
      <c r="A828" s="468">
        <v>12018099</v>
      </c>
      <c r="B828" s="468">
        <v>4820</v>
      </c>
      <c r="C828" s="468">
        <v>100</v>
      </c>
      <c r="D828" s="468" t="s">
        <v>217</v>
      </c>
      <c r="E828" s="468">
        <v>764.74</v>
      </c>
      <c r="F828" s="468" t="s">
        <v>222</v>
      </c>
      <c r="G828" s="468"/>
      <c r="H828" s="468"/>
      <c r="I828" s="468"/>
      <c r="J828" s="445" t="str">
        <f t="shared" si="24"/>
        <v>12018099100WASTE DISPOSAL610009SM</v>
      </c>
      <c r="K828" s="163">
        <f t="shared" si="25"/>
        <v>764.74</v>
      </c>
    </row>
    <row r="829" spans="1:11" ht="14.5">
      <c r="A829" s="468">
        <v>12010700</v>
      </c>
      <c r="B829" s="468">
        <v>4825</v>
      </c>
      <c r="C829" s="468">
        <v>200</v>
      </c>
      <c r="D829" s="468" t="s">
        <v>226</v>
      </c>
      <c r="E829" s="468">
        <v>847.27</v>
      </c>
      <c r="F829" s="468" t="s">
        <v>230</v>
      </c>
      <c r="G829" s="468"/>
      <c r="H829" s="468"/>
      <c r="I829" s="468"/>
      <c r="J829" s="445" t="str">
        <f t="shared" si="24"/>
        <v>12010700200IT COMMUNICATIONS &amp; INTERNET610010QL</v>
      </c>
      <c r="K829" s="163">
        <f t="shared" si="25"/>
        <v>847.27</v>
      </c>
    </row>
    <row r="830" spans="1:11" ht="14.5">
      <c r="A830" s="468">
        <v>12013300</v>
      </c>
      <c r="B830" s="468">
        <v>4825</v>
      </c>
      <c r="C830" s="468">
        <v>100</v>
      </c>
      <c r="D830" s="468" t="s">
        <v>224</v>
      </c>
      <c r="E830" s="468">
        <v>433.21</v>
      </c>
      <c r="F830" s="468" t="s">
        <v>225</v>
      </c>
      <c r="G830" s="468"/>
      <c r="H830" s="468"/>
      <c r="I830" s="468"/>
      <c r="J830" s="445" t="str">
        <f t="shared" si="24"/>
        <v>12013300100TELEPHONE610010IT</v>
      </c>
      <c r="K830" s="163">
        <f t="shared" si="25"/>
        <v>433.21</v>
      </c>
    </row>
    <row r="831" spans="1:11" ht="14.5">
      <c r="A831" s="468">
        <v>12013300</v>
      </c>
      <c r="B831" s="468">
        <v>4825</v>
      </c>
      <c r="C831" s="468">
        <v>200</v>
      </c>
      <c r="D831" s="468" t="s">
        <v>226</v>
      </c>
      <c r="E831" s="468">
        <v>82955.53</v>
      </c>
      <c r="F831" s="468" t="s">
        <v>225</v>
      </c>
      <c r="G831" s="468"/>
      <c r="H831" s="468"/>
      <c r="I831" s="468"/>
      <c r="J831" s="445" t="str">
        <f t="shared" si="24"/>
        <v>12013300200IT COMMUNICATIONS &amp; INTERNET610010IT</v>
      </c>
      <c r="K831" s="163">
        <f t="shared" si="25"/>
        <v>82955.53</v>
      </c>
    </row>
    <row r="832" spans="1:11" ht="14.5">
      <c r="A832" s="468">
        <v>12018199</v>
      </c>
      <c r="B832" s="468">
        <v>4825</v>
      </c>
      <c r="C832" s="468">
        <v>200</v>
      </c>
      <c r="D832" s="468" t="s">
        <v>226</v>
      </c>
      <c r="E832" s="468">
        <v>272.73</v>
      </c>
      <c r="F832" s="468" t="s">
        <v>227</v>
      </c>
      <c r="G832" s="468"/>
      <c r="H832" s="468"/>
      <c r="I832" s="468"/>
      <c r="J832" s="445" t="str">
        <f t="shared" si="24"/>
        <v>12018199200IT COMMUNICATIONS &amp; INTERNET610010SM</v>
      </c>
      <c r="K832" s="163">
        <f t="shared" si="25"/>
        <v>272.73</v>
      </c>
    </row>
    <row r="833" spans="1:11" ht="14.5">
      <c r="A833" s="468">
        <v>12030500</v>
      </c>
      <c r="B833" s="468">
        <v>4825</v>
      </c>
      <c r="C833" s="468">
        <v>100</v>
      </c>
      <c r="D833" s="468" t="s">
        <v>224</v>
      </c>
      <c r="E833" s="468">
        <v>1205.3399999999999</v>
      </c>
      <c r="F833" s="468" t="s">
        <v>229</v>
      </c>
      <c r="G833" s="468"/>
      <c r="H833" s="468"/>
      <c r="I833" s="468"/>
      <c r="J833" s="445" t="str">
        <f t="shared" si="24"/>
        <v>12030500100TELEPHONE610010LP</v>
      </c>
      <c r="K833" s="163">
        <f t="shared" si="25"/>
        <v>1205.3399999999999</v>
      </c>
    </row>
    <row r="834" spans="1:11" ht="14.5">
      <c r="A834" s="468">
        <v>12030500</v>
      </c>
      <c r="B834" s="468">
        <v>4825</v>
      </c>
      <c r="C834" s="468">
        <v>200</v>
      </c>
      <c r="D834" s="468" t="s">
        <v>226</v>
      </c>
      <c r="E834" s="468">
        <v>363.63</v>
      </c>
      <c r="F834" s="468" t="s">
        <v>229</v>
      </c>
      <c r="G834" s="468"/>
      <c r="H834" s="468"/>
      <c r="I834" s="468"/>
      <c r="J834" s="445" t="str">
        <f t="shared" si="24"/>
        <v>12030500200IT COMMUNICATIONS &amp; INTERNET610010LP</v>
      </c>
      <c r="K834" s="163">
        <f t="shared" si="25"/>
        <v>363.63</v>
      </c>
    </row>
    <row r="835" spans="1:11" ht="14.5">
      <c r="A835" s="468">
        <v>12033011</v>
      </c>
      <c r="B835" s="468">
        <v>4825</v>
      </c>
      <c r="C835" s="468">
        <v>100</v>
      </c>
      <c r="D835" s="468" t="s">
        <v>224</v>
      </c>
      <c r="E835" s="468">
        <v>688.14</v>
      </c>
      <c r="F835" s="468">
        <v>61001000</v>
      </c>
      <c r="G835" s="468"/>
      <c r="H835" s="468"/>
      <c r="I835" s="468"/>
      <c r="J835" s="445" t="str">
        <f t="shared" si="24"/>
        <v>12033011100TELEPHONE61001000</v>
      </c>
      <c r="K835" s="163">
        <f t="shared" si="25"/>
        <v>688.14</v>
      </c>
    </row>
    <row r="836" spans="1:11" ht="14.5">
      <c r="A836" s="468">
        <v>12033021</v>
      </c>
      <c r="B836" s="468">
        <v>4825</v>
      </c>
      <c r="C836" s="468">
        <v>100</v>
      </c>
      <c r="D836" s="468" t="s">
        <v>224</v>
      </c>
      <c r="E836" s="468">
        <v>826.7</v>
      </c>
      <c r="F836" s="468">
        <v>61001000</v>
      </c>
      <c r="G836" s="468"/>
      <c r="H836" s="468"/>
      <c r="I836" s="468"/>
      <c r="J836" s="445" t="str">
        <f t="shared" si="24"/>
        <v>12033021100TELEPHONE61001000</v>
      </c>
      <c r="K836" s="163">
        <f t="shared" si="25"/>
        <v>826.7</v>
      </c>
    </row>
    <row r="837" spans="1:11" ht="14.5">
      <c r="A837" s="468">
        <v>12018099</v>
      </c>
      <c r="B837" s="468">
        <v>4825</v>
      </c>
      <c r="C837" s="468">
        <v>100</v>
      </c>
      <c r="D837" s="468" t="s">
        <v>224</v>
      </c>
      <c r="E837" s="468">
        <v>466.53</v>
      </c>
      <c r="F837" s="468" t="s">
        <v>227</v>
      </c>
      <c r="G837" s="468"/>
      <c r="H837" s="468"/>
      <c r="I837" s="468"/>
      <c r="J837" s="445" t="str">
        <f t="shared" ref="J837:J900" si="26">A837&amp;C837&amp;D837&amp;F837</f>
        <v>12018099100TELEPHONE610010SM</v>
      </c>
      <c r="K837" s="163">
        <f t="shared" ref="K837:K900" si="27">E837</f>
        <v>466.53</v>
      </c>
    </row>
    <row r="838" spans="1:11" ht="14.5">
      <c r="A838" s="468">
        <v>12018099</v>
      </c>
      <c r="B838" s="468">
        <v>4825</v>
      </c>
      <c r="C838" s="468">
        <v>200</v>
      </c>
      <c r="D838" s="468" t="s">
        <v>226</v>
      </c>
      <c r="E838" s="468">
        <v>727.27</v>
      </c>
      <c r="F838" s="468" t="s">
        <v>227</v>
      </c>
      <c r="G838" s="468"/>
      <c r="H838" s="468"/>
      <c r="I838" s="468"/>
      <c r="J838" s="445" t="str">
        <f t="shared" si="26"/>
        <v>12018099200IT COMMUNICATIONS &amp; INTERNET610010SM</v>
      </c>
      <c r="K838" s="163">
        <f t="shared" si="27"/>
        <v>727.27</v>
      </c>
    </row>
    <row r="839" spans="1:11" ht="14.5">
      <c r="A839" s="468">
        <v>12019199</v>
      </c>
      <c r="B839" s="468">
        <v>4825</v>
      </c>
      <c r="C839" s="468">
        <v>100</v>
      </c>
      <c r="D839" s="468" t="s">
        <v>224</v>
      </c>
      <c r="E839" s="468">
        <v>1594.66</v>
      </c>
      <c r="F839" s="468" t="s">
        <v>228</v>
      </c>
      <c r="G839" s="468"/>
      <c r="H839" s="468"/>
      <c r="I839" s="468"/>
      <c r="J839" s="445" t="str">
        <f t="shared" si="26"/>
        <v>12019199100TELEPHONE610010GA</v>
      </c>
      <c r="K839" s="163">
        <f t="shared" si="27"/>
        <v>1594.66</v>
      </c>
    </row>
    <row r="840" spans="1:11" ht="14.5">
      <c r="A840" s="468">
        <v>12019199</v>
      </c>
      <c r="B840" s="468">
        <v>4825</v>
      </c>
      <c r="C840" s="468">
        <v>200</v>
      </c>
      <c r="D840" s="468" t="s">
        <v>226</v>
      </c>
      <c r="E840" s="468">
        <v>1219.4000000000001</v>
      </c>
      <c r="F840" s="468" t="s">
        <v>228</v>
      </c>
      <c r="G840" s="468"/>
      <c r="H840" s="468"/>
      <c r="I840" s="468"/>
      <c r="J840" s="445" t="str">
        <f t="shared" si="26"/>
        <v>12019199200IT COMMUNICATIONS &amp; INTERNET610010GA</v>
      </c>
      <c r="K840" s="163">
        <f t="shared" si="27"/>
        <v>1219.4000000000001</v>
      </c>
    </row>
    <row r="841" spans="1:11" ht="14.5">
      <c r="A841" s="468">
        <v>12019099</v>
      </c>
      <c r="B841" s="468">
        <v>4825</v>
      </c>
      <c r="C841" s="468">
        <v>100</v>
      </c>
      <c r="D841" s="468" t="s">
        <v>224</v>
      </c>
      <c r="E841" s="468">
        <v>420.35</v>
      </c>
      <c r="F841" s="468" t="s">
        <v>228</v>
      </c>
      <c r="G841" s="468"/>
      <c r="H841" s="468"/>
      <c r="I841" s="468"/>
      <c r="J841" s="445" t="str">
        <f t="shared" si="26"/>
        <v>12019099100TELEPHONE610010GA</v>
      </c>
      <c r="K841" s="163">
        <f t="shared" si="27"/>
        <v>420.35</v>
      </c>
    </row>
    <row r="842" spans="1:11" ht="14.5">
      <c r="A842" s="468">
        <v>12018599</v>
      </c>
      <c r="B842" s="468">
        <v>4825</v>
      </c>
      <c r="C842" s="468">
        <v>200</v>
      </c>
      <c r="D842" s="468" t="s">
        <v>226</v>
      </c>
      <c r="E842" s="468">
        <v>218.18</v>
      </c>
      <c r="F842" s="468" t="s">
        <v>228</v>
      </c>
      <c r="G842" s="468"/>
      <c r="H842" s="468"/>
      <c r="I842" s="468"/>
      <c r="J842" s="445" t="str">
        <f t="shared" si="26"/>
        <v>12018599200IT COMMUNICATIONS &amp; INTERNET610010GA</v>
      </c>
      <c r="K842" s="163">
        <f t="shared" si="27"/>
        <v>218.18</v>
      </c>
    </row>
    <row r="843" spans="1:11" ht="14.5">
      <c r="A843" s="468">
        <v>12020500</v>
      </c>
      <c r="B843" s="468">
        <v>4825</v>
      </c>
      <c r="C843" s="468">
        <v>100</v>
      </c>
      <c r="D843" s="468" t="s">
        <v>224</v>
      </c>
      <c r="E843" s="468">
        <v>1800.76</v>
      </c>
      <c r="F843" s="468" t="s">
        <v>229</v>
      </c>
      <c r="G843" s="468"/>
      <c r="H843" s="468"/>
      <c r="I843" s="468"/>
      <c r="J843" s="445" t="str">
        <f t="shared" si="26"/>
        <v>12020500100TELEPHONE610010LP</v>
      </c>
      <c r="K843" s="163">
        <f t="shared" si="27"/>
        <v>1800.76</v>
      </c>
    </row>
    <row r="844" spans="1:11" ht="14.5">
      <c r="A844" s="468">
        <v>12020500</v>
      </c>
      <c r="B844" s="468">
        <v>4825</v>
      </c>
      <c r="C844" s="468">
        <v>200</v>
      </c>
      <c r="D844" s="468" t="s">
        <v>226</v>
      </c>
      <c r="E844" s="468">
        <v>26.98</v>
      </c>
      <c r="F844" s="468" t="s">
        <v>229</v>
      </c>
      <c r="G844" s="468"/>
      <c r="H844" s="468"/>
      <c r="I844" s="468"/>
      <c r="J844" s="445" t="str">
        <f t="shared" si="26"/>
        <v>12020500200IT COMMUNICATIONS &amp; INTERNET610010LP</v>
      </c>
      <c r="K844" s="163">
        <f t="shared" si="27"/>
        <v>26.98</v>
      </c>
    </row>
    <row r="845" spans="1:11" ht="14.5">
      <c r="A845" s="468">
        <v>12023011</v>
      </c>
      <c r="B845" s="468">
        <v>4825</v>
      </c>
      <c r="C845" s="468">
        <v>100</v>
      </c>
      <c r="D845" s="468" t="s">
        <v>224</v>
      </c>
      <c r="E845" s="468">
        <v>1255.6300000000001</v>
      </c>
      <c r="F845" s="468">
        <v>61001000</v>
      </c>
      <c r="G845" s="468"/>
      <c r="H845" s="468"/>
      <c r="I845" s="468"/>
      <c r="J845" s="445" t="str">
        <f t="shared" si="26"/>
        <v>12023011100TELEPHONE61001000</v>
      </c>
      <c r="K845" s="163">
        <f t="shared" si="27"/>
        <v>1255.6300000000001</v>
      </c>
    </row>
    <row r="846" spans="1:11" ht="14.5">
      <c r="A846" s="468">
        <v>12023011</v>
      </c>
      <c r="B846" s="468">
        <v>4825</v>
      </c>
      <c r="C846" s="468">
        <v>200</v>
      </c>
      <c r="D846" s="468" t="s">
        <v>226</v>
      </c>
      <c r="E846" s="468">
        <v>518.14</v>
      </c>
      <c r="F846" s="468">
        <v>61001000</v>
      </c>
      <c r="G846" s="468"/>
      <c r="H846" s="468"/>
      <c r="I846" s="468"/>
      <c r="J846" s="445" t="str">
        <f t="shared" si="26"/>
        <v>12023011200IT COMMUNICATIONS &amp; INTERNET61001000</v>
      </c>
      <c r="K846" s="163">
        <f t="shared" si="27"/>
        <v>518.14</v>
      </c>
    </row>
    <row r="847" spans="1:11" ht="14.5">
      <c r="A847" s="468">
        <v>12010500</v>
      </c>
      <c r="B847" s="468">
        <v>4825</v>
      </c>
      <c r="C847" s="468">
        <v>100</v>
      </c>
      <c r="D847" s="468" t="s">
        <v>224</v>
      </c>
      <c r="E847" s="468">
        <v>466.53</v>
      </c>
      <c r="F847" s="468" t="s">
        <v>229</v>
      </c>
      <c r="G847" s="468"/>
      <c r="H847" s="468"/>
      <c r="I847" s="468"/>
      <c r="J847" s="445" t="str">
        <f t="shared" si="26"/>
        <v>12010500100TELEPHONE610010LP</v>
      </c>
      <c r="K847" s="163">
        <f t="shared" si="27"/>
        <v>466.53</v>
      </c>
    </row>
    <row r="848" spans="1:11" ht="14.5">
      <c r="A848" s="468">
        <v>12010500</v>
      </c>
      <c r="B848" s="468">
        <v>4825</v>
      </c>
      <c r="C848" s="468">
        <v>200</v>
      </c>
      <c r="D848" s="468" t="s">
        <v>226</v>
      </c>
      <c r="E848" s="468">
        <v>777.28</v>
      </c>
      <c r="F848" s="468" t="s">
        <v>229</v>
      </c>
      <c r="G848" s="468"/>
      <c r="H848" s="468"/>
      <c r="I848" s="468"/>
      <c r="J848" s="445" t="str">
        <f t="shared" si="26"/>
        <v>12010500200IT COMMUNICATIONS &amp; INTERNET610010LP</v>
      </c>
      <c r="K848" s="163">
        <f t="shared" si="27"/>
        <v>777.28</v>
      </c>
    </row>
    <row r="849" spans="1:11" ht="14.5">
      <c r="A849" s="468">
        <v>12013250</v>
      </c>
      <c r="B849" s="468">
        <v>4825</v>
      </c>
      <c r="C849" s="468">
        <v>100</v>
      </c>
      <c r="D849" s="468" t="s">
        <v>224</v>
      </c>
      <c r="E849" s="468">
        <v>493.64</v>
      </c>
      <c r="F849" s="468">
        <v>61001000</v>
      </c>
      <c r="G849" s="468"/>
      <c r="H849" s="468"/>
      <c r="I849" s="468"/>
      <c r="J849" s="445" t="str">
        <f t="shared" si="26"/>
        <v>12013250100TELEPHONE61001000</v>
      </c>
      <c r="K849" s="163">
        <f t="shared" si="27"/>
        <v>493.64</v>
      </c>
    </row>
    <row r="850" spans="1:11" ht="14.5">
      <c r="A850" s="468">
        <v>12013250</v>
      </c>
      <c r="B850" s="468">
        <v>4825</v>
      </c>
      <c r="C850" s="468">
        <v>200</v>
      </c>
      <c r="D850" s="468" t="s">
        <v>226</v>
      </c>
      <c r="E850" s="468">
        <v>1385.58</v>
      </c>
      <c r="F850" s="468">
        <v>61001000</v>
      </c>
      <c r="G850" s="468"/>
      <c r="H850" s="468"/>
      <c r="I850" s="468"/>
      <c r="J850" s="445" t="str">
        <f t="shared" si="26"/>
        <v>12013250200IT COMMUNICATIONS &amp; INTERNET61001000</v>
      </c>
      <c r="K850" s="163">
        <f t="shared" si="27"/>
        <v>1385.58</v>
      </c>
    </row>
    <row r="851" spans="1:11" ht="14.5">
      <c r="A851" s="468">
        <v>12063011</v>
      </c>
      <c r="B851" s="468">
        <v>4825</v>
      </c>
      <c r="C851" s="468">
        <v>100</v>
      </c>
      <c r="D851" s="468" t="s">
        <v>224</v>
      </c>
      <c r="E851" s="468">
        <v>480.06</v>
      </c>
      <c r="F851" s="468">
        <v>61001000</v>
      </c>
      <c r="G851" s="468"/>
      <c r="H851" s="468"/>
      <c r="I851" s="468"/>
      <c r="J851" s="445" t="str">
        <f t="shared" si="26"/>
        <v>12063011100TELEPHONE61001000</v>
      </c>
      <c r="K851" s="163">
        <f t="shared" si="27"/>
        <v>480.06</v>
      </c>
    </row>
    <row r="852" spans="1:11" ht="14.5">
      <c r="A852" s="468">
        <v>12040500</v>
      </c>
      <c r="B852" s="468">
        <v>4825</v>
      </c>
      <c r="C852" s="468">
        <v>100</v>
      </c>
      <c r="D852" s="468" t="s">
        <v>224</v>
      </c>
      <c r="E852" s="468">
        <v>480.06</v>
      </c>
      <c r="F852" s="468" t="s">
        <v>229</v>
      </c>
      <c r="G852" s="468"/>
      <c r="H852" s="468"/>
      <c r="I852" s="468"/>
      <c r="J852" s="445" t="str">
        <f t="shared" si="26"/>
        <v>12040500100TELEPHONE610010LP</v>
      </c>
      <c r="K852" s="163">
        <f t="shared" si="27"/>
        <v>480.06</v>
      </c>
    </row>
    <row r="853" spans="1:11" ht="14.5">
      <c r="A853" s="468">
        <v>12040500</v>
      </c>
      <c r="B853" s="468">
        <v>4825</v>
      </c>
      <c r="C853" s="468">
        <v>200</v>
      </c>
      <c r="D853" s="468" t="s">
        <v>226</v>
      </c>
      <c r="E853" s="468">
        <v>72.73</v>
      </c>
      <c r="F853" s="468" t="s">
        <v>229</v>
      </c>
      <c r="G853" s="468"/>
      <c r="H853" s="468"/>
      <c r="I853" s="468"/>
      <c r="J853" s="445" t="str">
        <f t="shared" si="26"/>
        <v>12040500200IT COMMUNICATIONS &amp; INTERNET610010LP</v>
      </c>
      <c r="K853" s="163">
        <f t="shared" si="27"/>
        <v>72.73</v>
      </c>
    </row>
    <row r="854" spans="1:11" ht="14.5">
      <c r="A854" s="468">
        <v>12038099</v>
      </c>
      <c r="B854" s="468">
        <v>4825</v>
      </c>
      <c r="C854" s="468">
        <v>200</v>
      </c>
      <c r="D854" s="468" t="s">
        <v>226</v>
      </c>
      <c r="E854" s="468">
        <v>318.18</v>
      </c>
      <c r="F854" s="468" t="s">
        <v>227</v>
      </c>
      <c r="G854" s="468"/>
      <c r="H854" s="468"/>
      <c r="I854" s="468"/>
      <c r="J854" s="445" t="str">
        <f t="shared" si="26"/>
        <v>12038099200IT COMMUNICATIONS &amp; INTERNET610010SM</v>
      </c>
      <c r="K854" s="163">
        <f t="shared" si="27"/>
        <v>318.18</v>
      </c>
    </row>
    <row r="855" spans="1:11" ht="14.5">
      <c r="A855" s="468">
        <v>12043011</v>
      </c>
      <c r="B855" s="468">
        <v>4825</v>
      </c>
      <c r="C855" s="468">
        <v>100</v>
      </c>
      <c r="D855" s="468" t="s">
        <v>224</v>
      </c>
      <c r="E855" s="468">
        <v>480.06</v>
      </c>
      <c r="F855" s="468">
        <v>61001000</v>
      </c>
      <c r="G855" s="468"/>
      <c r="H855" s="468"/>
      <c r="I855" s="468"/>
      <c r="J855" s="445" t="str">
        <f t="shared" si="26"/>
        <v>12043011100TELEPHONE61001000</v>
      </c>
      <c r="K855" s="163">
        <f t="shared" si="27"/>
        <v>480.06</v>
      </c>
    </row>
    <row r="856" spans="1:11" ht="14.5">
      <c r="A856" s="468">
        <v>12060500</v>
      </c>
      <c r="B856" s="468">
        <v>4825</v>
      </c>
      <c r="C856" s="468">
        <v>100</v>
      </c>
      <c r="D856" s="468" t="s">
        <v>224</v>
      </c>
      <c r="E856" s="468">
        <v>480.06</v>
      </c>
      <c r="F856" s="468" t="s">
        <v>229</v>
      </c>
      <c r="G856" s="468"/>
      <c r="H856" s="468"/>
      <c r="I856" s="468"/>
      <c r="J856" s="445" t="str">
        <f t="shared" si="26"/>
        <v>12060500100TELEPHONE610010LP</v>
      </c>
      <c r="K856" s="163">
        <f t="shared" si="27"/>
        <v>480.06</v>
      </c>
    </row>
    <row r="857" spans="1:11" ht="14.5">
      <c r="A857" s="468">
        <v>12060500</v>
      </c>
      <c r="B857" s="468">
        <v>4825</v>
      </c>
      <c r="C857" s="468">
        <v>200</v>
      </c>
      <c r="D857" s="468" t="s">
        <v>226</v>
      </c>
      <c r="E857" s="468">
        <v>190.9</v>
      </c>
      <c r="F857" s="468" t="s">
        <v>229</v>
      </c>
      <c r="G857" s="468"/>
      <c r="H857" s="468"/>
      <c r="I857" s="468"/>
      <c r="J857" s="445" t="str">
        <f t="shared" si="26"/>
        <v>12060500200IT COMMUNICATIONS &amp; INTERNET610010LP</v>
      </c>
      <c r="K857" s="163">
        <f t="shared" si="27"/>
        <v>190.9</v>
      </c>
    </row>
    <row r="858" spans="1:11" ht="14.5">
      <c r="A858" s="468">
        <v>12028099</v>
      </c>
      <c r="B858" s="468">
        <v>4825</v>
      </c>
      <c r="C858" s="468">
        <v>100</v>
      </c>
      <c r="D858" s="468" t="s">
        <v>224</v>
      </c>
      <c r="E858" s="468">
        <v>341.53</v>
      </c>
      <c r="F858" s="468" t="s">
        <v>227</v>
      </c>
      <c r="G858" s="468"/>
      <c r="H858" s="468"/>
      <c r="I858" s="468"/>
      <c r="J858" s="445" t="str">
        <f t="shared" si="26"/>
        <v>12028099100TELEPHONE610010SM</v>
      </c>
      <c r="K858" s="163">
        <f t="shared" si="27"/>
        <v>341.53</v>
      </c>
    </row>
    <row r="859" spans="1:11" ht="14.5">
      <c r="A859" s="468">
        <v>12023021</v>
      </c>
      <c r="B859" s="468">
        <v>4825</v>
      </c>
      <c r="C859" s="468">
        <v>100</v>
      </c>
      <c r="D859" s="468" t="s">
        <v>224</v>
      </c>
      <c r="E859" s="468">
        <v>230.69</v>
      </c>
      <c r="F859" s="468">
        <v>61001000</v>
      </c>
      <c r="G859" s="468"/>
      <c r="H859" s="468"/>
      <c r="I859" s="468"/>
      <c r="J859" s="445" t="str">
        <f t="shared" si="26"/>
        <v>12023021100TELEPHONE61001000</v>
      </c>
      <c r="K859" s="163">
        <f t="shared" si="27"/>
        <v>230.69</v>
      </c>
    </row>
    <row r="860" spans="1:11" ht="14.5">
      <c r="A860" s="468">
        <v>12023021</v>
      </c>
      <c r="B860" s="468">
        <v>4825</v>
      </c>
      <c r="C860" s="468">
        <v>200</v>
      </c>
      <c r="D860" s="468" t="s">
        <v>226</v>
      </c>
      <c r="E860" s="468">
        <v>318.17</v>
      </c>
      <c r="F860" s="468">
        <v>61001000</v>
      </c>
      <c r="G860" s="468"/>
      <c r="H860" s="468"/>
      <c r="I860" s="468"/>
      <c r="J860" s="445" t="str">
        <f t="shared" si="26"/>
        <v>12023021200IT COMMUNICATIONS &amp; INTERNET61001000</v>
      </c>
      <c r="K860" s="163">
        <f t="shared" si="27"/>
        <v>318.17</v>
      </c>
    </row>
    <row r="861" spans="1:11" ht="14.5">
      <c r="A861" s="468">
        <v>12018099</v>
      </c>
      <c r="B861" s="468">
        <v>4830</v>
      </c>
      <c r="C861" s="468"/>
      <c r="D861" s="468" t="s">
        <v>231</v>
      </c>
      <c r="E861" s="468">
        <v>778.81</v>
      </c>
      <c r="F861" s="468" t="s">
        <v>227</v>
      </c>
      <c r="G861" s="468"/>
      <c r="H861" s="468"/>
      <c r="I861" s="468"/>
      <c r="J861" s="445" t="str">
        <f t="shared" si="26"/>
        <v>12018099UTILITYCELLULAR610010SM</v>
      </c>
      <c r="K861" s="163">
        <f t="shared" si="27"/>
        <v>778.81</v>
      </c>
    </row>
    <row r="862" spans="1:11" ht="14.5">
      <c r="A862" s="468">
        <v>12060500</v>
      </c>
      <c r="B862" s="468">
        <v>4830</v>
      </c>
      <c r="C862" s="468"/>
      <c r="D862" s="468" t="s">
        <v>231</v>
      </c>
      <c r="E862" s="468">
        <v>592.28</v>
      </c>
      <c r="F862" s="468" t="s">
        <v>229</v>
      </c>
      <c r="G862" s="468"/>
      <c r="H862" s="468"/>
      <c r="I862" s="468"/>
      <c r="J862" s="445" t="str">
        <f t="shared" si="26"/>
        <v>12060500UTILITYCELLULAR610010LP</v>
      </c>
      <c r="K862" s="163">
        <f t="shared" si="27"/>
        <v>592.28</v>
      </c>
    </row>
    <row r="863" spans="1:11" ht="14.5">
      <c r="A863" s="468">
        <v>12048099</v>
      </c>
      <c r="B863" s="468">
        <v>4830</v>
      </c>
      <c r="C863" s="468"/>
      <c r="D863" s="468" t="s">
        <v>231</v>
      </c>
      <c r="E863" s="468">
        <v>1536.01</v>
      </c>
      <c r="F863" s="468" t="s">
        <v>227</v>
      </c>
      <c r="G863" s="468"/>
      <c r="H863" s="468"/>
      <c r="I863" s="468"/>
      <c r="J863" s="445" t="str">
        <f t="shared" si="26"/>
        <v>12048099UTILITYCELLULAR610010SM</v>
      </c>
      <c r="K863" s="163">
        <f t="shared" si="27"/>
        <v>1536.01</v>
      </c>
    </row>
    <row r="864" spans="1:11" ht="14.5">
      <c r="A864" s="468">
        <v>12063011</v>
      </c>
      <c r="B864" s="468">
        <v>4830</v>
      </c>
      <c r="C864" s="468"/>
      <c r="D864" s="468" t="s">
        <v>231</v>
      </c>
      <c r="E864" s="468">
        <v>436.53</v>
      </c>
      <c r="F864" s="468">
        <v>61001000</v>
      </c>
      <c r="G864" s="468"/>
      <c r="H864" s="468"/>
      <c r="I864" s="468"/>
      <c r="J864" s="445" t="str">
        <f t="shared" si="26"/>
        <v>12063011UTILITYCELLULAR61001000</v>
      </c>
      <c r="K864" s="163">
        <f t="shared" si="27"/>
        <v>436.53</v>
      </c>
    </row>
    <row r="865" spans="1:11" ht="14.5">
      <c r="A865" s="468">
        <v>12068099</v>
      </c>
      <c r="B865" s="468">
        <v>4830</v>
      </c>
      <c r="C865" s="468"/>
      <c r="D865" s="468" t="s">
        <v>231</v>
      </c>
      <c r="E865" s="468">
        <v>778.94</v>
      </c>
      <c r="F865" s="468" t="s">
        <v>227</v>
      </c>
      <c r="G865" s="468"/>
      <c r="H865" s="468"/>
      <c r="I865" s="468"/>
      <c r="J865" s="445" t="str">
        <f t="shared" si="26"/>
        <v>12068099UTILITYCELLULAR610010SM</v>
      </c>
      <c r="K865" s="163">
        <f t="shared" si="27"/>
        <v>778.94</v>
      </c>
    </row>
    <row r="866" spans="1:11" ht="14.5">
      <c r="A866" s="468">
        <v>12030500</v>
      </c>
      <c r="B866" s="468">
        <v>4830</v>
      </c>
      <c r="C866" s="468"/>
      <c r="D866" s="468" t="s">
        <v>231</v>
      </c>
      <c r="E866" s="468">
        <v>2249.66</v>
      </c>
      <c r="F866" s="468" t="s">
        <v>229</v>
      </c>
      <c r="G866" s="468"/>
      <c r="H866" s="468"/>
      <c r="I866" s="468"/>
      <c r="J866" s="445" t="str">
        <f t="shared" si="26"/>
        <v>12030500UTILITYCELLULAR610010LP</v>
      </c>
      <c r="K866" s="163">
        <f t="shared" si="27"/>
        <v>2249.66</v>
      </c>
    </row>
    <row r="867" spans="1:11" ht="14.5">
      <c r="A867" s="468">
        <v>12033011</v>
      </c>
      <c r="B867" s="468">
        <v>4830</v>
      </c>
      <c r="C867" s="468"/>
      <c r="D867" s="468" t="s">
        <v>231</v>
      </c>
      <c r="E867" s="468">
        <v>828.95</v>
      </c>
      <c r="F867" s="468">
        <v>61001000</v>
      </c>
      <c r="G867" s="468"/>
      <c r="H867" s="468"/>
      <c r="I867" s="468"/>
      <c r="J867" s="445" t="str">
        <f t="shared" si="26"/>
        <v>12033011UTILITYCELLULAR61001000</v>
      </c>
      <c r="K867" s="163">
        <f t="shared" si="27"/>
        <v>828.95</v>
      </c>
    </row>
    <row r="868" spans="1:11" ht="14.5">
      <c r="A868" s="468">
        <v>12033123</v>
      </c>
      <c r="B868" s="468">
        <v>4830</v>
      </c>
      <c r="C868" s="468"/>
      <c r="D868" s="468" t="s">
        <v>231</v>
      </c>
      <c r="E868" s="468">
        <v>592.28</v>
      </c>
      <c r="F868" s="468">
        <v>61001000</v>
      </c>
      <c r="G868" s="468"/>
      <c r="H868" s="468"/>
      <c r="I868" s="468"/>
      <c r="J868" s="445" t="str">
        <f t="shared" si="26"/>
        <v>12033123UTILITYCELLULAR61001000</v>
      </c>
      <c r="K868" s="163">
        <f t="shared" si="27"/>
        <v>592.28</v>
      </c>
    </row>
    <row r="869" spans="1:11" ht="14.5">
      <c r="A869" s="468">
        <v>12040400</v>
      </c>
      <c r="B869" s="468">
        <v>4830</v>
      </c>
      <c r="C869" s="468"/>
      <c r="D869" s="468" t="s">
        <v>231</v>
      </c>
      <c r="E869" s="468">
        <v>50</v>
      </c>
      <c r="F869" s="468" t="s">
        <v>232</v>
      </c>
      <c r="G869" s="468"/>
      <c r="H869" s="468"/>
      <c r="I869" s="468"/>
      <c r="J869" s="445" t="str">
        <f t="shared" si="26"/>
        <v>12040400UTILITYCELLULAR610010CS</v>
      </c>
      <c r="K869" s="163">
        <f t="shared" si="27"/>
        <v>50</v>
      </c>
    </row>
    <row r="870" spans="1:11" ht="14.5">
      <c r="A870" s="468">
        <v>12038099</v>
      </c>
      <c r="B870" s="468">
        <v>4830</v>
      </c>
      <c r="C870" s="468"/>
      <c r="D870" s="468" t="s">
        <v>231</v>
      </c>
      <c r="E870" s="468">
        <v>1579.59</v>
      </c>
      <c r="F870" s="468" t="s">
        <v>227</v>
      </c>
      <c r="G870" s="468"/>
      <c r="H870" s="468"/>
      <c r="I870" s="468"/>
      <c r="J870" s="445" t="str">
        <f t="shared" si="26"/>
        <v>12038099UTILITYCELLULAR610010SM</v>
      </c>
      <c r="K870" s="163">
        <f t="shared" si="27"/>
        <v>1579.59</v>
      </c>
    </row>
    <row r="871" spans="1:11" ht="14.5">
      <c r="A871" s="468">
        <v>12043011</v>
      </c>
      <c r="B871" s="468">
        <v>4830</v>
      </c>
      <c r="C871" s="468"/>
      <c r="D871" s="468" t="s">
        <v>231</v>
      </c>
      <c r="E871" s="468">
        <v>741.68</v>
      </c>
      <c r="F871" s="468">
        <v>61001000</v>
      </c>
      <c r="G871" s="468"/>
      <c r="H871" s="468"/>
      <c r="I871" s="468"/>
      <c r="J871" s="445" t="str">
        <f t="shared" si="26"/>
        <v>12043011UTILITYCELLULAR61001000</v>
      </c>
      <c r="K871" s="163">
        <f t="shared" si="27"/>
        <v>741.68</v>
      </c>
    </row>
    <row r="872" spans="1:11" ht="14.5">
      <c r="A872" s="468">
        <v>12020400</v>
      </c>
      <c r="B872" s="468">
        <v>4830</v>
      </c>
      <c r="C872" s="468"/>
      <c r="D872" s="468" t="s">
        <v>231</v>
      </c>
      <c r="E872" s="468">
        <v>50</v>
      </c>
      <c r="F872" s="468" t="s">
        <v>232</v>
      </c>
      <c r="G872" s="468"/>
      <c r="H872" s="468"/>
      <c r="I872" s="468"/>
      <c r="J872" s="445" t="str">
        <f t="shared" si="26"/>
        <v>12020400UTILITYCELLULAR610010CS</v>
      </c>
      <c r="K872" s="163">
        <f t="shared" si="27"/>
        <v>50</v>
      </c>
    </row>
    <row r="873" spans="1:11" ht="14.5">
      <c r="A873" s="468">
        <v>12019199</v>
      </c>
      <c r="B873" s="468">
        <v>4830</v>
      </c>
      <c r="C873" s="468"/>
      <c r="D873" s="468" t="s">
        <v>231</v>
      </c>
      <c r="E873" s="468">
        <v>1694.54</v>
      </c>
      <c r="F873" s="468" t="s">
        <v>228</v>
      </c>
      <c r="G873" s="468"/>
      <c r="H873" s="468"/>
      <c r="I873" s="468"/>
      <c r="J873" s="445" t="str">
        <f t="shared" si="26"/>
        <v>12019199UTILITYCELLULAR610010GA</v>
      </c>
      <c r="K873" s="163">
        <f t="shared" si="27"/>
        <v>1694.54</v>
      </c>
    </row>
    <row r="874" spans="1:11" ht="14.5">
      <c r="A874" s="468">
        <v>12019099</v>
      </c>
      <c r="B874" s="468">
        <v>4830</v>
      </c>
      <c r="C874" s="468"/>
      <c r="D874" s="468" t="s">
        <v>231</v>
      </c>
      <c r="E874" s="468">
        <v>109.54</v>
      </c>
      <c r="F874" s="468" t="s">
        <v>228</v>
      </c>
      <c r="G874" s="468"/>
      <c r="H874" s="468"/>
      <c r="I874" s="468"/>
      <c r="J874" s="445" t="str">
        <f t="shared" si="26"/>
        <v>12019099UTILITYCELLULAR610010GA</v>
      </c>
      <c r="K874" s="163">
        <f t="shared" si="27"/>
        <v>109.54</v>
      </c>
    </row>
    <row r="875" spans="1:11" ht="14.5">
      <c r="A875" s="468">
        <v>12018599</v>
      </c>
      <c r="B875" s="468">
        <v>4830</v>
      </c>
      <c r="C875" s="468"/>
      <c r="D875" s="468" t="s">
        <v>231</v>
      </c>
      <c r="E875" s="468">
        <v>883.96</v>
      </c>
      <c r="F875" s="468" t="s">
        <v>228</v>
      </c>
      <c r="G875" s="468"/>
      <c r="H875" s="468"/>
      <c r="I875" s="468"/>
      <c r="J875" s="445" t="str">
        <f t="shared" si="26"/>
        <v>12018599UTILITYCELLULAR610010GA</v>
      </c>
      <c r="K875" s="163">
        <f t="shared" si="27"/>
        <v>883.96</v>
      </c>
    </row>
    <row r="876" spans="1:11" ht="14.5">
      <c r="A876" s="468">
        <v>12020500</v>
      </c>
      <c r="B876" s="468">
        <v>4830</v>
      </c>
      <c r="C876" s="468"/>
      <c r="D876" s="468" t="s">
        <v>231</v>
      </c>
      <c r="E876" s="468">
        <v>790.46</v>
      </c>
      <c r="F876" s="468" t="s">
        <v>229</v>
      </c>
      <c r="G876" s="468"/>
      <c r="H876" s="468"/>
      <c r="I876" s="468"/>
      <c r="J876" s="445" t="str">
        <f t="shared" si="26"/>
        <v>12020500UTILITYCELLULAR610010LP</v>
      </c>
      <c r="K876" s="163">
        <f t="shared" si="27"/>
        <v>790.46</v>
      </c>
    </row>
    <row r="877" spans="1:11" ht="14.5">
      <c r="A877" s="468">
        <v>12023011</v>
      </c>
      <c r="B877" s="468">
        <v>4830</v>
      </c>
      <c r="C877" s="468"/>
      <c r="D877" s="468" t="s">
        <v>231</v>
      </c>
      <c r="E877" s="468">
        <v>778.94</v>
      </c>
      <c r="F877" s="468">
        <v>61001000</v>
      </c>
      <c r="G877" s="468"/>
      <c r="H877" s="468"/>
      <c r="I877" s="468"/>
      <c r="J877" s="445" t="str">
        <f t="shared" si="26"/>
        <v>12023011UTILITYCELLULAR61001000</v>
      </c>
      <c r="K877" s="163">
        <f t="shared" si="27"/>
        <v>778.94</v>
      </c>
    </row>
    <row r="878" spans="1:11" ht="14.5">
      <c r="A878" s="468">
        <v>12028099</v>
      </c>
      <c r="B878" s="468">
        <v>4830</v>
      </c>
      <c r="C878" s="468"/>
      <c r="D878" s="468" t="s">
        <v>231</v>
      </c>
      <c r="E878" s="468">
        <v>1623.97</v>
      </c>
      <c r="F878" s="468" t="s">
        <v>227</v>
      </c>
      <c r="G878" s="468"/>
      <c r="H878" s="468"/>
      <c r="I878" s="468"/>
      <c r="J878" s="445" t="str">
        <f t="shared" si="26"/>
        <v>12028099UTILITYCELLULAR610010SM</v>
      </c>
      <c r="K878" s="163">
        <f t="shared" si="27"/>
        <v>1623.97</v>
      </c>
    </row>
    <row r="879" spans="1:11" ht="14.5">
      <c r="A879" s="468">
        <v>12023021</v>
      </c>
      <c r="B879" s="468">
        <v>4830</v>
      </c>
      <c r="C879" s="468"/>
      <c r="D879" s="468" t="s">
        <v>231</v>
      </c>
      <c r="E879" s="468">
        <v>846.58</v>
      </c>
      <c r="F879" s="468">
        <v>61001000</v>
      </c>
      <c r="G879" s="468"/>
      <c r="H879" s="468"/>
      <c r="I879" s="468"/>
      <c r="J879" s="445" t="str">
        <f t="shared" si="26"/>
        <v>12023021UTILITYCELLULAR61001000</v>
      </c>
      <c r="K879" s="163">
        <f t="shared" si="27"/>
        <v>846.58</v>
      </c>
    </row>
    <row r="880" spans="1:11" ht="14.5">
      <c r="A880" s="468">
        <v>12010500</v>
      </c>
      <c r="B880" s="468">
        <v>4830</v>
      </c>
      <c r="C880" s="468"/>
      <c r="D880" s="468" t="s">
        <v>231</v>
      </c>
      <c r="E880" s="468">
        <v>3037.19</v>
      </c>
      <c r="F880" s="468" t="s">
        <v>229</v>
      </c>
      <c r="G880" s="468"/>
      <c r="H880" s="468"/>
      <c r="I880" s="468"/>
      <c r="J880" s="445" t="str">
        <f t="shared" si="26"/>
        <v>12010500UTILITYCELLULAR610010LP</v>
      </c>
      <c r="K880" s="163">
        <f t="shared" si="27"/>
        <v>3037.19</v>
      </c>
    </row>
    <row r="881" spans="1:11" ht="14.5">
      <c r="A881" s="468">
        <v>12013250</v>
      </c>
      <c r="B881" s="468">
        <v>4830</v>
      </c>
      <c r="C881" s="468"/>
      <c r="D881" s="468" t="s">
        <v>231</v>
      </c>
      <c r="E881" s="468">
        <v>2638.64</v>
      </c>
      <c r="F881" s="468">
        <v>61001000</v>
      </c>
      <c r="G881" s="468"/>
      <c r="H881" s="468"/>
      <c r="I881" s="468"/>
      <c r="J881" s="445" t="str">
        <f t="shared" si="26"/>
        <v>12013250UTILITYCELLULAR61001000</v>
      </c>
      <c r="K881" s="163">
        <f t="shared" si="27"/>
        <v>2638.64</v>
      </c>
    </row>
    <row r="882" spans="1:11" ht="14.5">
      <c r="A882" s="468">
        <v>12013012</v>
      </c>
      <c r="B882" s="468">
        <v>4830</v>
      </c>
      <c r="C882" s="468"/>
      <c r="D882" s="468" t="s">
        <v>231</v>
      </c>
      <c r="E882" s="468">
        <v>701.68</v>
      </c>
      <c r="F882" s="468">
        <v>61001000</v>
      </c>
      <c r="G882" s="468"/>
      <c r="H882" s="468"/>
      <c r="I882" s="468"/>
      <c r="J882" s="445" t="str">
        <f t="shared" si="26"/>
        <v>12013012UTILITYCELLULAR61001000</v>
      </c>
      <c r="K882" s="163">
        <f t="shared" si="27"/>
        <v>701.68</v>
      </c>
    </row>
    <row r="883" spans="1:11" ht="14.5">
      <c r="A883" s="468">
        <v>12010700</v>
      </c>
      <c r="B883" s="468">
        <v>4830</v>
      </c>
      <c r="C883" s="468"/>
      <c r="D883" s="468" t="s">
        <v>231</v>
      </c>
      <c r="E883" s="468">
        <v>791.78</v>
      </c>
      <c r="F883" s="468" t="s">
        <v>230</v>
      </c>
      <c r="G883" s="468"/>
      <c r="H883" s="468"/>
      <c r="I883" s="468"/>
      <c r="J883" s="445" t="str">
        <f t="shared" si="26"/>
        <v>12010700UTILITYCELLULAR610010QL</v>
      </c>
      <c r="K883" s="163">
        <f t="shared" si="27"/>
        <v>791.78</v>
      </c>
    </row>
    <row r="884" spans="1:11" ht="14.5">
      <c r="A884" s="468">
        <v>12013300</v>
      </c>
      <c r="B884" s="468">
        <v>4830</v>
      </c>
      <c r="C884" s="468"/>
      <c r="D884" s="468" t="s">
        <v>231</v>
      </c>
      <c r="E884" s="468">
        <v>2064.96</v>
      </c>
      <c r="F884" s="468" t="s">
        <v>225</v>
      </c>
      <c r="G884" s="468"/>
      <c r="H884" s="468"/>
      <c r="I884" s="468"/>
      <c r="J884" s="445" t="str">
        <f t="shared" si="26"/>
        <v>12013300UTILITYCELLULAR610010IT</v>
      </c>
      <c r="K884" s="163">
        <f t="shared" si="27"/>
        <v>2064.96</v>
      </c>
    </row>
    <row r="885" spans="1:11" ht="14.5">
      <c r="A885" s="468">
        <v>12013260</v>
      </c>
      <c r="B885" s="468">
        <v>4830</v>
      </c>
      <c r="C885" s="468"/>
      <c r="D885" s="468" t="s">
        <v>231</v>
      </c>
      <c r="E885" s="468">
        <v>1639.83</v>
      </c>
      <c r="F885" s="468">
        <v>61001000</v>
      </c>
      <c r="G885" s="468"/>
      <c r="H885" s="468"/>
      <c r="I885" s="468"/>
      <c r="J885" s="445" t="str">
        <f t="shared" si="26"/>
        <v>12013260UTILITYCELLULAR61001000</v>
      </c>
      <c r="K885" s="163">
        <f t="shared" si="27"/>
        <v>1639.83</v>
      </c>
    </row>
    <row r="886" spans="1:11" ht="14.5">
      <c r="A886" s="468">
        <v>12018199</v>
      </c>
      <c r="B886" s="468">
        <v>4830</v>
      </c>
      <c r="C886" s="468"/>
      <c r="D886" s="468" t="s">
        <v>231</v>
      </c>
      <c r="E886" s="468">
        <v>1551.07</v>
      </c>
      <c r="F886" s="468" t="s">
        <v>227</v>
      </c>
      <c r="G886" s="468"/>
      <c r="H886" s="468"/>
      <c r="I886" s="468"/>
      <c r="J886" s="445" t="str">
        <f t="shared" si="26"/>
        <v>12018199UTILITYCELLULAR610010SM</v>
      </c>
      <c r="K886" s="163">
        <f t="shared" si="27"/>
        <v>1551.07</v>
      </c>
    </row>
    <row r="887" spans="1:11" ht="14.5">
      <c r="A887" s="468">
        <v>12068099</v>
      </c>
      <c r="B887" s="468">
        <v>4835</v>
      </c>
      <c r="C887" s="468">
        <v>200</v>
      </c>
      <c r="D887" s="468" t="s">
        <v>233</v>
      </c>
      <c r="E887" s="468">
        <v>1356</v>
      </c>
      <c r="F887" s="468" t="s">
        <v>235</v>
      </c>
      <c r="G887" s="468"/>
      <c r="H887" s="468"/>
      <c r="I887" s="468"/>
      <c r="J887" s="445" t="str">
        <f t="shared" si="26"/>
        <v>12068099200OUTGOINGS613000SM</v>
      </c>
      <c r="K887" s="163">
        <f t="shared" si="27"/>
        <v>1356</v>
      </c>
    </row>
    <row r="888" spans="1:11" ht="14.5">
      <c r="A888" s="468">
        <v>12043123</v>
      </c>
      <c r="B888" s="468">
        <v>4835</v>
      </c>
      <c r="C888" s="468">
        <v>200</v>
      </c>
      <c r="D888" s="468" t="s">
        <v>233</v>
      </c>
      <c r="E888" s="468">
        <v>2632.54</v>
      </c>
      <c r="F888" s="468">
        <v>61300000</v>
      </c>
      <c r="G888" s="468"/>
      <c r="H888" s="468"/>
      <c r="I888" s="468"/>
      <c r="J888" s="445" t="str">
        <f t="shared" si="26"/>
        <v>12043123200OUTGOINGS61300000</v>
      </c>
      <c r="K888" s="163">
        <f t="shared" si="27"/>
        <v>2632.54</v>
      </c>
    </row>
    <row r="889" spans="1:11" ht="14.5">
      <c r="A889" s="468">
        <v>12060400</v>
      </c>
      <c r="B889" s="468">
        <v>4835</v>
      </c>
      <c r="C889" s="468">
        <v>200</v>
      </c>
      <c r="D889" s="468" t="s">
        <v>233</v>
      </c>
      <c r="E889" s="468">
        <v>678</v>
      </c>
      <c r="F889" s="468" t="s">
        <v>236</v>
      </c>
      <c r="G889" s="468"/>
      <c r="H889" s="468"/>
      <c r="I889" s="468"/>
      <c r="J889" s="445" t="str">
        <f t="shared" si="26"/>
        <v>12060400200OUTGOINGS613000CS</v>
      </c>
      <c r="K889" s="163">
        <f t="shared" si="27"/>
        <v>678</v>
      </c>
    </row>
    <row r="890" spans="1:11" ht="14.5">
      <c r="A890" s="468">
        <v>12048099</v>
      </c>
      <c r="B890" s="468">
        <v>4835</v>
      </c>
      <c r="C890" s="468">
        <v>200</v>
      </c>
      <c r="D890" s="468" t="s">
        <v>233</v>
      </c>
      <c r="E890" s="468">
        <v>756</v>
      </c>
      <c r="F890" s="468" t="s">
        <v>235</v>
      </c>
      <c r="G890" s="468"/>
      <c r="H890" s="468"/>
      <c r="I890" s="468"/>
      <c r="J890" s="445" t="str">
        <f t="shared" si="26"/>
        <v>12048099200OUTGOINGS613000SM</v>
      </c>
      <c r="K890" s="163">
        <f t="shared" si="27"/>
        <v>756</v>
      </c>
    </row>
    <row r="891" spans="1:11" ht="14.5">
      <c r="A891" s="468">
        <v>12063011</v>
      </c>
      <c r="B891" s="468">
        <v>4835</v>
      </c>
      <c r="C891" s="468">
        <v>200</v>
      </c>
      <c r="D891" s="468" t="s">
        <v>233</v>
      </c>
      <c r="E891" s="468">
        <v>8814</v>
      </c>
      <c r="F891" s="468">
        <v>61300000</v>
      </c>
      <c r="G891" s="468"/>
      <c r="H891" s="468"/>
      <c r="I891" s="468"/>
      <c r="J891" s="445" t="str">
        <f t="shared" si="26"/>
        <v>12063011200OUTGOINGS61300000</v>
      </c>
      <c r="K891" s="163">
        <f t="shared" si="27"/>
        <v>8814</v>
      </c>
    </row>
    <row r="892" spans="1:11" ht="14.5">
      <c r="A892" s="468">
        <v>12040500</v>
      </c>
      <c r="B892" s="468">
        <v>4835</v>
      </c>
      <c r="C892" s="468">
        <v>200</v>
      </c>
      <c r="D892" s="468" t="s">
        <v>233</v>
      </c>
      <c r="E892" s="468">
        <v>1166.56</v>
      </c>
      <c r="F892" s="468" t="s">
        <v>234</v>
      </c>
      <c r="G892" s="468"/>
      <c r="H892" s="468"/>
      <c r="I892" s="468"/>
      <c r="J892" s="445" t="str">
        <f t="shared" si="26"/>
        <v>12040500200OUTGOINGS613000LP</v>
      </c>
      <c r="K892" s="163">
        <f t="shared" si="27"/>
        <v>1166.56</v>
      </c>
    </row>
    <row r="893" spans="1:11" ht="14.5">
      <c r="A893" s="468">
        <v>12040400</v>
      </c>
      <c r="B893" s="468">
        <v>4835</v>
      </c>
      <c r="C893" s="468">
        <v>200</v>
      </c>
      <c r="D893" s="468" t="s">
        <v>233</v>
      </c>
      <c r="E893" s="468">
        <v>1433.74</v>
      </c>
      <c r="F893" s="468" t="s">
        <v>236</v>
      </c>
      <c r="G893" s="468"/>
      <c r="H893" s="468"/>
      <c r="I893" s="468"/>
      <c r="J893" s="445" t="str">
        <f t="shared" si="26"/>
        <v>12040400200OUTGOINGS613000CS</v>
      </c>
      <c r="K893" s="163">
        <f t="shared" si="27"/>
        <v>1433.74</v>
      </c>
    </row>
    <row r="894" spans="1:11" ht="14.5">
      <c r="A894" s="468">
        <v>12043011</v>
      </c>
      <c r="B894" s="468">
        <v>4835</v>
      </c>
      <c r="C894" s="468">
        <v>200</v>
      </c>
      <c r="D894" s="468" t="s">
        <v>233</v>
      </c>
      <c r="E894" s="468">
        <v>15046.35</v>
      </c>
      <c r="F894" s="468">
        <v>61300000</v>
      </c>
      <c r="G894" s="468"/>
      <c r="H894" s="468"/>
      <c r="I894" s="468"/>
      <c r="J894" s="445" t="str">
        <f t="shared" si="26"/>
        <v>12043011200OUTGOINGS61300000</v>
      </c>
      <c r="K894" s="163">
        <f t="shared" si="27"/>
        <v>15046.35</v>
      </c>
    </row>
    <row r="895" spans="1:11" ht="14.5">
      <c r="A895" s="468">
        <v>12020500</v>
      </c>
      <c r="B895" s="468">
        <v>4835</v>
      </c>
      <c r="C895" s="468">
        <v>200</v>
      </c>
      <c r="D895" s="468" t="s">
        <v>233</v>
      </c>
      <c r="E895" s="468">
        <v>2182.19</v>
      </c>
      <c r="F895" s="468" t="s">
        <v>234</v>
      </c>
      <c r="G895" s="468"/>
      <c r="H895" s="468"/>
      <c r="I895" s="468"/>
      <c r="J895" s="445" t="str">
        <f t="shared" si="26"/>
        <v>12020500200OUTGOINGS613000LP</v>
      </c>
      <c r="K895" s="163">
        <f t="shared" si="27"/>
        <v>2182.19</v>
      </c>
    </row>
    <row r="896" spans="1:11" ht="14.5">
      <c r="A896" s="468">
        <v>12020400</v>
      </c>
      <c r="B896" s="468">
        <v>4835</v>
      </c>
      <c r="C896" s="468">
        <v>200</v>
      </c>
      <c r="D896" s="468" t="s">
        <v>233</v>
      </c>
      <c r="E896" s="468">
        <v>3352.16</v>
      </c>
      <c r="F896" s="468" t="s">
        <v>236</v>
      </c>
      <c r="G896" s="468"/>
      <c r="H896" s="468"/>
      <c r="I896" s="468"/>
      <c r="J896" s="445" t="str">
        <f t="shared" si="26"/>
        <v>12020400200OUTGOINGS613000CS</v>
      </c>
      <c r="K896" s="163">
        <f t="shared" si="27"/>
        <v>3352.16</v>
      </c>
    </row>
    <row r="897" spans="1:11" ht="14.5">
      <c r="A897" s="468">
        <v>12023011</v>
      </c>
      <c r="B897" s="468">
        <v>4835</v>
      </c>
      <c r="C897" s="468">
        <v>200</v>
      </c>
      <c r="D897" s="468" t="s">
        <v>233</v>
      </c>
      <c r="E897" s="468">
        <v>35769.839999999997</v>
      </c>
      <c r="F897" s="468">
        <v>61300000</v>
      </c>
      <c r="G897" s="468"/>
      <c r="H897" s="468"/>
      <c r="I897" s="468"/>
      <c r="J897" s="445" t="str">
        <f t="shared" si="26"/>
        <v>12023011200OUTGOINGS61300000</v>
      </c>
      <c r="K897" s="163">
        <f t="shared" si="27"/>
        <v>35769.839999999997</v>
      </c>
    </row>
    <row r="898" spans="1:11" ht="14.5">
      <c r="A898" s="468">
        <v>12028099</v>
      </c>
      <c r="B898" s="468">
        <v>4835</v>
      </c>
      <c r="C898" s="468">
        <v>200</v>
      </c>
      <c r="D898" s="468" t="s">
        <v>233</v>
      </c>
      <c r="E898" s="468">
        <v>3352.16</v>
      </c>
      <c r="F898" s="468" t="s">
        <v>235</v>
      </c>
      <c r="G898" s="468"/>
      <c r="H898" s="468"/>
      <c r="I898" s="468"/>
      <c r="J898" s="445" t="str">
        <f t="shared" si="26"/>
        <v>12028099200OUTGOINGS613000SM</v>
      </c>
      <c r="K898" s="163">
        <f t="shared" si="27"/>
        <v>3352.16</v>
      </c>
    </row>
    <row r="899" spans="1:11" ht="14.5">
      <c r="A899" s="468">
        <v>12023021</v>
      </c>
      <c r="B899" s="468">
        <v>4835</v>
      </c>
      <c r="C899" s="468">
        <v>200</v>
      </c>
      <c r="D899" s="468" t="s">
        <v>233</v>
      </c>
      <c r="E899" s="468">
        <v>18443.650000000001</v>
      </c>
      <c r="F899" s="468">
        <v>61300000</v>
      </c>
      <c r="G899" s="468"/>
      <c r="H899" s="468"/>
      <c r="I899" s="468"/>
      <c r="J899" s="445" t="str">
        <f t="shared" si="26"/>
        <v>12023021200OUTGOINGS61300000</v>
      </c>
      <c r="K899" s="163">
        <f t="shared" si="27"/>
        <v>18443.650000000001</v>
      </c>
    </row>
    <row r="900" spans="1:11" ht="14.5">
      <c r="A900" s="468">
        <v>12010500</v>
      </c>
      <c r="B900" s="468">
        <v>4835</v>
      </c>
      <c r="C900" s="468">
        <v>200</v>
      </c>
      <c r="D900" s="468" t="s">
        <v>233</v>
      </c>
      <c r="E900" s="468">
        <v>15.28</v>
      </c>
      <c r="F900" s="468" t="s">
        <v>234</v>
      </c>
      <c r="G900" s="468"/>
      <c r="H900" s="468"/>
      <c r="I900" s="468"/>
      <c r="J900" s="445" t="str">
        <f t="shared" si="26"/>
        <v>12010500200OUTGOINGS613000LP</v>
      </c>
      <c r="K900" s="163">
        <f t="shared" si="27"/>
        <v>15.28</v>
      </c>
    </row>
    <row r="901" spans="1:11" ht="14.5">
      <c r="A901" s="468">
        <v>12018099</v>
      </c>
      <c r="B901" s="468">
        <v>4835</v>
      </c>
      <c r="C901" s="468">
        <v>200</v>
      </c>
      <c r="D901" s="468" t="s">
        <v>233</v>
      </c>
      <c r="E901" s="468">
        <v>15.3</v>
      </c>
      <c r="F901" s="468" t="s">
        <v>235</v>
      </c>
      <c r="G901" s="468"/>
      <c r="H901" s="468"/>
      <c r="I901" s="468"/>
      <c r="J901" s="445" t="str">
        <f t="shared" ref="J901:J964" si="28">A901&amp;C901&amp;D901&amp;F901</f>
        <v>12018099200OUTGOINGS613000SM</v>
      </c>
      <c r="K901" s="163">
        <f t="shared" ref="K901:K964" si="29">E901</f>
        <v>15.3</v>
      </c>
    </row>
    <row r="902" spans="1:11" ht="14.5">
      <c r="A902" s="468">
        <v>12010500</v>
      </c>
      <c r="B902" s="468">
        <v>4840</v>
      </c>
      <c r="C902" s="468">
        <v>100</v>
      </c>
      <c r="D902" s="468" t="s">
        <v>237</v>
      </c>
      <c r="E902" s="468">
        <v>80.08</v>
      </c>
      <c r="F902" s="468" t="s">
        <v>238</v>
      </c>
      <c r="G902" s="468"/>
      <c r="H902" s="468"/>
      <c r="I902" s="468"/>
      <c r="J902" s="445" t="str">
        <f t="shared" si="28"/>
        <v>12010500100INSURANCE - PUBLIC LIABILITY (616000LP</v>
      </c>
      <c r="K902" s="163">
        <f t="shared" si="29"/>
        <v>80.08</v>
      </c>
    </row>
    <row r="903" spans="1:11" ht="14.5">
      <c r="A903" s="468">
        <v>12013250</v>
      </c>
      <c r="B903" s="468">
        <v>4840</v>
      </c>
      <c r="C903" s="468">
        <v>100</v>
      </c>
      <c r="D903" s="468" t="s">
        <v>237</v>
      </c>
      <c r="E903" s="468">
        <v>857.22</v>
      </c>
      <c r="F903" s="468">
        <v>61600000</v>
      </c>
      <c r="G903" s="468"/>
      <c r="H903" s="468"/>
      <c r="I903" s="468"/>
      <c r="J903" s="445" t="str">
        <f t="shared" si="28"/>
        <v>12013250100INSURANCE - PUBLIC LIABILITY (61600000</v>
      </c>
      <c r="K903" s="163">
        <f t="shared" si="29"/>
        <v>857.22</v>
      </c>
    </row>
    <row r="904" spans="1:11" ht="14.5">
      <c r="A904" s="468">
        <v>12013012</v>
      </c>
      <c r="B904" s="468">
        <v>4840</v>
      </c>
      <c r="C904" s="468">
        <v>100</v>
      </c>
      <c r="D904" s="468" t="s">
        <v>237</v>
      </c>
      <c r="E904" s="468">
        <v>792.75</v>
      </c>
      <c r="F904" s="468">
        <v>61600000</v>
      </c>
      <c r="G904" s="468"/>
      <c r="H904" s="468"/>
      <c r="I904" s="468"/>
      <c r="J904" s="445" t="str">
        <f t="shared" si="28"/>
        <v>12013012100INSURANCE - PUBLIC LIABILITY (61600000</v>
      </c>
      <c r="K904" s="163">
        <f t="shared" si="29"/>
        <v>792.75</v>
      </c>
    </row>
    <row r="905" spans="1:11" ht="14.5">
      <c r="A905" s="468">
        <v>12018099</v>
      </c>
      <c r="B905" s="468">
        <v>4840</v>
      </c>
      <c r="C905" s="468">
        <v>100</v>
      </c>
      <c r="D905" s="468" t="s">
        <v>237</v>
      </c>
      <c r="E905" s="468">
        <v>2087.8200000000002</v>
      </c>
      <c r="F905" s="468" t="s">
        <v>241</v>
      </c>
      <c r="G905" s="468"/>
      <c r="H905" s="468"/>
      <c r="I905" s="468"/>
      <c r="J905" s="445" t="str">
        <f t="shared" si="28"/>
        <v>12018099100INSURANCE - PUBLIC LIABILITY (616000SM</v>
      </c>
      <c r="K905" s="163">
        <f t="shared" si="29"/>
        <v>2087.8200000000002</v>
      </c>
    </row>
    <row r="906" spans="1:11" ht="14.5">
      <c r="A906" s="468">
        <v>12013300</v>
      </c>
      <c r="B906" s="468">
        <v>4840</v>
      </c>
      <c r="C906" s="468">
        <v>100</v>
      </c>
      <c r="D906" s="468" t="s">
        <v>237</v>
      </c>
      <c r="E906" s="468">
        <v>905.31</v>
      </c>
      <c r="F906" s="468" t="s">
        <v>244</v>
      </c>
      <c r="G906" s="468"/>
      <c r="H906" s="468"/>
      <c r="I906" s="468"/>
      <c r="J906" s="445" t="str">
        <f t="shared" si="28"/>
        <v>12013300100INSURANCE - PUBLIC LIABILITY (616000IT</v>
      </c>
      <c r="K906" s="163">
        <f t="shared" si="29"/>
        <v>905.31</v>
      </c>
    </row>
    <row r="907" spans="1:11" ht="14.5">
      <c r="A907" s="468">
        <v>12013260</v>
      </c>
      <c r="B907" s="468">
        <v>4840</v>
      </c>
      <c r="C907" s="468">
        <v>100</v>
      </c>
      <c r="D907" s="468" t="s">
        <v>237</v>
      </c>
      <c r="E907" s="468">
        <v>5781.44</v>
      </c>
      <c r="F907" s="468">
        <v>61600000</v>
      </c>
      <c r="G907" s="468"/>
      <c r="H907" s="468"/>
      <c r="I907" s="468"/>
      <c r="J907" s="445" t="str">
        <f t="shared" si="28"/>
        <v>12013260100INSURANCE - PUBLIC LIABILITY (61600000</v>
      </c>
      <c r="K907" s="163">
        <f t="shared" si="29"/>
        <v>5781.44</v>
      </c>
    </row>
    <row r="908" spans="1:11" ht="14.5">
      <c r="A908" s="468">
        <v>12013260</v>
      </c>
      <c r="B908" s="468">
        <v>4840</v>
      </c>
      <c r="C908" s="468">
        <v>300</v>
      </c>
      <c r="D908" s="468" t="s">
        <v>239</v>
      </c>
      <c r="E908" s="468">
        <v>844.97</v>
      </c>
      <c r="F908" s="468">
        <v>61600000</v>
      </c>
      <c r="G908" s="468"/>
      <c r="H908" s="468"/>
      <c r="I908" s="468"/>
      <c r="J908" s="445" t="str">
        <f t="shared" si="28"/>
        <v>12013260300INSURANCE - MOTOR VEHICLES (LO61600000</v>
      </c>
      <c r="K908" s="163">
        <f t="shared" si="29"/>
        <v>844.97</v>
      </c>
    </row>
    <row r="909" spans="1:11" ht="14.5">
      <c r="A909" s="468">
        <v>12019199</v>
      </c>
      <c r="B909" s="468">
        <v>4840</v>
      </c>
      <c r="C909" s="468">
        <v>100</v>
      </c>
      <c r="D909" s="468" t="s">
        <v>237</v>
      </c>
      <c r="E909" s="468">
        <v>1714.3</v>
      </c>
      <c r="F909" s="468" t="s">
        <v>242</v>
      </c>
      <c r="G909" s="468"/>
      <c r="H909" s="468"/>
      <c r="I909" s="468"/>
      <c r="J909" s="445" t="str">
        <f t="shared" si="28"/>
        <v>12019199100INSURANCE - PUBLIC LIABILITY (616000GA</v>
      </c>
      <c r="K909" s="163">
        <f t="shared" si="29"/>
        <v>1714.3</v>
      </c>
    </row>
    <row r="910" spans="1:11" ht="14.5">
      <c r="A910" s="468">
        <v>12019099</v>
      </c>
      <c r="B910" s="468">
        <v>4840</v>
      </c>
      <c r="C910" s="468">
        <v>100</v>
      </c>
      <c r="D910" s="468" t="s">
        <v>237</v>
      </c>
      <c r="E910" s="468">
        <v>15.96</v>
      </c>
      <c r="F910" s="468" t="s">
        <v>242</v>
      </c>
      <c r="G910" s="468"/>
      <c r="H910" s="468"/>
      <c r="I910" s="468"/>
      <c r="J910" s="445" t="str">
        <f t="shared" si="28"/>
        <v>12019099100INSURANCE - PUBLIC LIABILITY (616000GA</v>
      </c>
      <c r="K910" s="163">
        <f t="shared" si="29"/>
        <v>15.96</v>
      </c>
    </row>
    <row r="911" spans="1:11" ht="14.5">
      <c r="A911" s="468">
        <v>12019099</v>
      </c>
      <c r="B911" s="468">
        <v>4840</v>
      </c>
      <c r="C911" s="468">
        <v>500</v>
      </c>
      <c r="D911" s="468" t="s">
        <v>243</v>
      </c>
      <c r="E911" s="468">
        <v>3649.36</v>
      </c>
      <c r="F911" s="468" t="s">
        <v>242</v>
      </c>
      <c r="G911" s="468"/>
      <c r="H911" s="468"/>
      <c r="I911" s="468"/>
      <c r="J911" s="445" t="str">
        <f t="shared" si="28"/>
        <v>12019099500INSURANCE - OTHER (LOCAL)616000GA</v>
      </c>
      <c r="K911" s="163">
        <f t="shared" si="29"/>
        <v>3649.36</v>
      </c>
    </row>
    <row r="912" spans="1:11" ht="14.5">
      <c r="A912" s="468">
        <v>12020500</v>
      </c>
      <c r="B912" s="468">
        <v>4840</v>
      </c>
      <c r="C912" s="468">
        <v>100</v>
      </c>
      <c r="D912" s="468" t="s">
        <v>237</v>
      </c>
      <c r="E912" s="468">
        <v>1476.86</v>
      </c>
      <c r="F912" s="468" t="s">
        <v>238</v>
      </c>
      <c r="G912" s="468"/>
      <c r="H912" s="468"/>
      <c r="I912" s="468"/>
      <c r="J912" s="445" t="str">
        <f t="shared" si="28"/>
        <v>12020500100INSURANCE - PUBLIC LIABILITY (616000LP</v>
      </c>
      <c r="K912" s="163">
        <f t="shared" si="29"/>
        <v>1476.86</v>
      </c>
    </row>
    <row r="913" spans="1:11" ht="14.5">
      <c r="A913" s="468">
        <v>12020500</v>
      </c>
      <c r="B913" s="468">
        <v>4840</v>
      </c>
      <c r="C913" s="468">
        <v>300</v>
      </c>
      <c r="D913" s="468" t="s">
        <v>239</v>
      </c>
      <c r="E913" s="468">
        <v>1689.94</v>
      </c>
      <c r="F913" s="468" t="s">
        <v>238</v>
      </c>
      <c r="G913" s="468"/>
      <c r="H913" s="468"/>
      <c r="I913" s="468"/>
      <c r="J913" s="445" t="str">
        <f t="shared" si="28"/>
        <v>12020500300INSURANCE - MOTOR VEHICLES (LO616000LP</v>
      </c>
      <c r="K913" s="163">
        <f t="shared" si="29"/>
        <v>1689.94</v>
      </c>
    </row>
    <row r="914" spans="1:11" ht="14.5">
      <c r="A914" s="468">
        <v>12030500</v>
      </c>
      <c r="B914" s="468">
        <v>4840</v>
      </c>
      <c r="C914" s="468">
        <v>100</v>
      </c>
      <c r="D914" s="468" t="s">
        <v>237</v>
      </c>
      <c r="E914" s="468">
        <v>1675.94</v>
      </c>
      <c r="F914" s="468" t="s">
        <v>238</v>
      </c>
      <c r="G914" s="468"/>
      <c r="H914" s="468"/>
      <c r="I914" s="468"/>
      <c r="J914" s="445" t="str">
        <f t="shared" si="28"/>
        <v>12030500100INSURANCE - PUBLIC LIABILITY (616000LP</v>
      </c>
      <c r="K914" s="163">
        <f t="shared" si="29"/>
        <v>1675.94</v>
      </c>
    </row>
    <row r="915" spans="1:11" ht="14.5">
      <c r="A915" s="468">
        <v>12030500</v>
      </c>
      <c r="B915" s="468">
        <v>4840</v>
      </c>
      <c r="C915" s="468">
        <v>300</v>
      </c>
      <c r="D915" s="468" t="s">
        <v>239</v>
      </c>
      <c r="E915" s="468">
        <v>844.97</v>
      </c>
      <c r="F915" s="468" t="s">
        <v>238</v>
      </c>
      <c r="G915" s="468"/>
      <c r="H915" s="468"/>
      <c r="I915" s="468"/>
      <c r="J915" s="445" t="str">
        <f t="shared" si="28"/>
        <v>12030500300INSURANCE - MOTOR VEHICLES (LO616000LP</v>
      </c>
      <c r="K915" s="163">
        <f t="shared" si="29"/>
        <v>844.97</v>
      </c>
    </row>
    <row r="916" spans="1:11" ht="14.5">
      <c r="A916" s="468">
        <v>12033011</v>
      </c>
      <c r="B916" s="468">
        <v>4840</v>
      </c>
      <c r="C916" s="468">
        <v>100</v>
      </c>
      <c r="D916" s="468" t="s">
        <v>237</v>
      </c>
      <c r="E916" s="468">
        <v>5953.22</v>
      </c>
      <c r="F916" s="468">
        <v>61600000</v>
      </c>
      <c r="G916" s="468"/>
      <c r="H916" s="468"/>
      <c r="I916" s="468"/>
      <c r="J916" s="445" t="str">
        <f t="shared" si="28"/>
        <v>12033011100INSURANCE - PUBLIC LIABILITY (61600000</v>
      </c>
      <c r="K916" s="163">
        <f t="shared" si="29"/>
        <v>5953.22</v>
      </c>
    </row>
    <row r="917" spans="1:11" ht="14.5">
      <c r="A917" s="468">
        <v>12033123</v>
      </c>
      <c r="B917" s="468">
        <v>4840</v>
      </c>
      <c r="C917" s="468">
        <v>100</v>
      </c>
      <c r="D917" s="468" t="s">
        <v>237</v>
      </c>
      <c r="E917" s="468">
        <v>792.97</v>
      </c>
      <c r="F917" s="468">
        <v>61600000</v>
      </c>
      <c r="G917" s="468"/>
      <c r="H917" s="468"/>
      <c r="I917" s="468"/>
      <c r="J917" s="445" t="str">
        <f t="shared" si="28"/>
        <v>12033123100INSURANCE - PUBLIC LIABILITY (61600000</v>
      </c>
      <c r="K917" s="163">
        <f t="shared" si="29"/>
        <v>792.97</v>
      </c>
    </row>
    <row r="918" spans="1:11" ht="14.5">
      <c r="A918" s="468">
        <v>12040500</v>
      </c>
      <c r="B918" s="468">
        <v>4840</v>
      </c>
      <c r="C918" s="468">
        <v>300</v>
      </c>
      <c r="D918" s="468" t="s">
        <v>239</v>
      </c>
      <c r="E918" s="468">
        <v>844.97</v>
      </c>
      <c r="F918" s="468" t="s">
        <v>238</v>
      </c>
      <c r="G918" s="468"/>
      <c r="H918" s="468"/>
      <c r="I918" s="468"/>
      <c r="J918" s="445" t="str">
        <f t="shared" si="28"/>
        <v>12040500300INSURANCE - MOTOR VEHICLES (LO616000LP</v>
      </c>
      <c r="K918" s="163">
        <f t="shared" si="29"/>
        <v>844.97</v>
      </c>
    </row>
    <row r="919" spans="1:11" ht="14.5">
      <c r="A919" s="468">
        <v>12040400</v>
      </c>
      <c r="B919" s="468">
        <v>4840</v>
      </c>
      <c r="C919" s="468">
        <v>100</v>
      </c>
      <c r="D919" s="468" t="s">
        <v>237</v>
      </c>
      <c r="E919" s="468">
        <v>793.03</v>
      </c>
      <c r="F919" s="468" t="s">
        <v>240</v>
      </c>
      <c r="G919" s="468"/>
      <c r="H919" s="468"/>
      <c r="I919" s="468"/>
      <c r="J919" s="445" t="str">
        <f t="shared" si="28"/>
        <v>12040400100INSURANCE - PUBLIC LIABILITY (616000CS</v>
      </c>
      <c r="K919" s="163">
        <f t="shared" si="29"/>
        <v>793.03</v>
      </c>
    </row>
    <row r="920" spans="1:11" ht="14.5">
      <c r="A920" s="468">
        <v>12038099</v>
      </c>
      <c r="B920" s="468">
        <v>4840</v>
      </c>
      <c r="C920" s="468">
        <v>100</v>
      </c>
      <c r="D920" s="468" t="s">
        <v>237</v>
      </c>
      <c r="E920" s="468">
        <v>128.44999999999999</v>
      </c>
      <c r="F920" s="468" t="s">
        <v>241</v>
      </c>
      <c r="G920" s="468"/>
      <c r="H920" s="468"/>
      <c r="I920" s="468"/>
      <c r="J920" s="445" t="str">
        <f t="shared" si="28"/>
        <v>12038099100INSURANCE - PUBLIC LIABILITY (616000SM</v>
      </c>
      <c r="K920" s="163">
        <f t="shared" si="29"/>
        <v>128.44999999999999</v>
      </c>
    </row>
    <row r="921" spans="1:11" ht="14.5">
      <c r="A921" s="468">
        <v>12060500</v>
      </c>
      <c r="B921" s="468">
        <v>4840</v>
      </c>
      <c r="C921" s="468">
        <v>100</v>
      </c>
      <c r="D921" s="468" t="s">
        <v>237</v>
      </c>
      <c r="E921" s="468">
        <v>802.76</v>
      </c>
      <c r="F921" s="468" t="s">
        <v>238</v>
      </c>
      <c r="G921" s="468"/>
      <c r="H921" s="468"/>
      <c r="I921" s="468"/>
      <c r="J921" s="445" t="str">
        <f t="shared" si="28"/>
        <v>12060500100INSURANCE - PUBLIC LIABILITY (616000LP</v>
      </c>
      <c r="K921" s="163">
        <f t="shared" si="29"/>
        <v>802.76</v>
      </c>
    </row>
    <row r="922" spans="1:11" ht="14.5">
      <c r="A922" s="468">
        <v>12060500</v>
      </c>
      <c r="B922" s="468">
        <v>4840</v>
      </c>
      <c r="C922" s="468">
        <v>300</v>
      </c>
      <c r="D922" s="468" t="s">
        <v>239</v>
      </c>
      <c r="E922" s="468">
        <v>844.97</v>
      </c>
      <c r="F922" s="468" t="s">
        <v>238</v>
      </c>
      <c r="G922" s="468"/>
      <c r="H922" s="468"/>
      <c r="I922" s="468"/>
      <c r="J922" s="445" t="str">
        <f t="shared" si="28"/>
        <v>12060500300INSURANCE - MOTOR VEHICLES (LO616000LP</v>
      </c>
      <c r="K922" s="163">
        <f t="shared" si="29"/>
        <v>844.97</v>
      </c>
    </row>
    <row r="923" spans="1:11" ht="14.5">
      <c r="A923" s="468">
        <v>12040500</v>
      </c>
      <c r="B923" s="468">
        <v>4845</v>
      </c>
      <c r="C923" s="468">
        <v>100</v>
      </c>
      <c r="D923" s="468" t="s">
        <v>245</v>
      </c>
      <c r="E923" s="468">
        <v>6837.02</v>
      </c>
      <c r="F923" s="468" t="s">
        <v>246</v>
      </c>
      <c r="G923" s="468"/>
      <c r="H923" s="468"/>
      <c r="I923" s="468"/>
      <c r="J923" s="445" t="str">
        <f t="shared" si="28"/>
        <v>12040500100BUILDING REPAIRS &amp; MAINTENANCE615000LP</v>
      </c>
      <c r="K923" s="163">
        <f t="shared" si="29"/>
        <v>6837.02</v>
      </c>
    </row>
    <row r="924" spans="1:11" ht="14.5">
      <c r="A924" s="468">
        <v>12040500</v>
      </c>
      <c r="B924" s="468">
        <v>4845</v>
      </c>
      <c r="C924" s="468">
        <v>200</v>
      </c>
      <c r="D924" s="468" t="s">
        <v>247</v>
      </c>
      <c r="E924" s="468">
        <v>5080.09</v>
      </c>
      <c r="F924" s="468" t="s">
        <v>246</v>
      </c>
      <c r="G924" s="468"/>
      <c r="H924" s="468"/>
      <c r="I924" s="468"/>
      <c r="J924" s="445" t="str">
        <f t="shared" si="28"/>
        <v>12040500200BUILDING CLEANING615000LP</v>
      </c>
      <c r="K924" s="163">
        <f t="shared" si="29"/>
        <v>5080.09</v>
      </c>
    </row>
    <row r="925" spans="1:11" ht="14.5">
      <c r="A925" s="468">
        <v>12040500</v>
      </c>
      <c r="B925" s="468">
        <v>4845</v>
      </c>
      <c r="C925" s="468">
        <v>300</v>
      </c>
      <c r="D925" s="468" t="s">
        <v>248</v>
      </c>
      <c r="E925" s="468">
        <v>1016.85</v>
      </c>
      <c r="F925" s="468" t="s">
        <v>246</v>
      </c>
      <c r="G925" s="468"/>
      <c r="H925" s="468"/>
      <c r="I925" s="468"/>
      <c r="J925" s="445" t="str">
        <f t="shared" si="28"/>
        <v>12040500300BUILDING SECURITY615000LP</v>
      </c>
      <c r="K925" s="163">
        <f t="shared" si="29"/>
        <v>1016.85</v>
      </c>
    </row>
    <row r="926" spans="1:11" ht="14.5">
      <c r="A926" s="468">
        <v>12043011</v>
      </c>
      <c r="B926" s="468">
        <v>4845</v>
      </c>
      <c r="C926" s="468">
        <v>100</v>
      </c>
      <c r="D926" s="468" t="s">
        <v>245</v>
      </c>
      <c r="E926" s="468">
        <v>8611.56</v>
      </c>
      <c r="F926" s="468">
        <v>61500000</v>
      </c>
      <c r="G926" s="468"/>
      <c r="H926" s="468"/>
      <c r="I926" s="468"/>
      <c r="J926" s="445" t="str">
        <f t="shared" si="28"/>
        <v>12043011100BUILDING REPAIRS &amp; MAINTENANCE61500000</v>
      </c>
      <c r="K926" s="163">
        <f t="shared" si="29"/>
        <v>8611.56</v>
      </c>
    </row>
    <row r="927" spans="1:11" ht="14.5">
      <c r="A927" s="468">
        <v>12043011</v>
      </c>
      <c r="B927" s="468">
        <v>4845</v>
      </c>
      <c r="C927" s="468">
        <v>200</v>
      </c>
      <c r="D927" s="468" t="s">
        <v>247</v>
      </c>
      <c r="E927" s="468">
        <v>11941.12</v>
      </c>
      <c r="F927" s="468">
        <v>61500000</v>
      </c>
      <c r="G927" s="468"/>
      <c r="H927" s="468"/>
      <c r="I927" s="468"/>
      <c r="J927" s="445" t="str">
        <f t="shared" si="28"/>
        <v>12043011200BUILDING CLEANING61500000</v>
      </c>
      <c r="K927" s="163">
        <f t="shared" si="29"/>
        <v>11941.12</v>
      </c>
    </row>
    <row r="928" spans="1:11" ht="14.5">
      <c r="A928" s="468">
        <v>12048099</v>
      </c>
      <c r="B928" s="468">
        <v>4845</v>
      </c>
      <c r="C928" s="468">
        <v>100</v>
      </c>
      <c r="D928" s="468" t="s">
        <v>245</v>
      </c>
      <c r="E928" s="468">
        <v>2212.33</v>
      </c>
      <c r="F928" s="468" t="s">
        <v>250</v>
      </c>
      <c r="G928" s="468"/>
      <c r="H928" s="468"/>
      <c r="I928" s="468"/>
      <c r="J928" s="445" t="str">
        <f t="shared" si="28"/>
        <v>12048099100BUILDING REPAIRS &amp; MAINTENANCE615000SM</v>
      </c>
      <c r="K928" s="163">
        <f t="shared" si="29"/>
        <v>2212.33</v>
      </c>
    </row>
    <row r="929" spans="1:11" ht="14.5">
      <c r="A929" s="468">
        <v>12060500</v>
      </c>
      <c r="B929" s="468">
        <v>4845</v>
      </c>
      <c r="C929" s="468">
        <v>100</v>
      </c>
      <c r="D929" s="468" t="s">
        <v>245</v>
      </c>
      <c r="E929" s="468">
        <v>5043.8900000000003</v>
      </c>
      <c r="F929" s="468" t="s">
        <v>246</v>
      </c>
      <c r="G929" s="468"/>
      <c r="H929" s="468"/>
      <c r="I929" s="468"/>
      <c r="J929" s="445" t="str">
        <f t="shared" si="28"/>
        <v>12060500100BUILDING REPAIRS &amp; MAINTENANCE615000LP</v>
      </c>
      <c r="K929" s="163">
        <f t="shared" si="29"/>
        <v>5043.8900000000003</v>
      </c>
    </row>
    <row r="930" spans="1:11" ht="14.5">
      <c r="A930" s="468">
        <v>12060500</v>
      </c>
      <c r="B930" s="468">
        <v>4845</v>
      </c>
      <c r="C930" s="468">
        <v>200</v>
      </c>
      <c r="D930" s="468" t="s">
        <v>247</v>
      </c>
      <c r="E930" s="468">
        <v>1569.32</v>
      </c>
      <c r="F930" s="468" t="s">
        <v>246</v>
      </c>
      <c r="G930" s="468"/>
      <c r="H930" s="468"/>
      <c r="I930" s="468"/>
      <c r="J930" s="445" t="str">
        <f t="shared" si="28"/>
        <v>12060500200BUILDING CLEANING615000LP</v>
      </c>
      <c r="K930" s="163">
        <f t="shared" si="29"/>
        <v>1569.32</v>
      </c>
    </row>
    <row r="931" spans="1:11" ht="14.5">
      <c r="A931" s="468">
        <v>12060500</v>
      </c>
      <c r="B931" s="468">
        <v>4845</v>
      </c>
      <c r="C931" s="468">
        <v>300</v>
      </c>
      <c r="D931" s="468" t="s">
        <v>248</v>
      </c>
      <c r="E931" s="468">
        <v>1955.2</v>
      </c>
      <c r="F931" s="468" t="s">
        <v>246</v>
      </c>
      <c r="G931" s="468"/>
      <c r="H931" s="468"/>
      <c r="I931" s="468"/>
      <c r="J931" s="445" t="str">
        <f t="shared" si="28"/>
        <v>12060500300BUILDING SECURITY615000LP</v>
      </c>
      <c r="K931" s="163">
        <f t="shared" si="29"/>
        <v>1955.2</v>
      </c>
    </row>
    <row r="932" spans="1:11" ht="14.5">
      <c r="A932" s="468">
        <v>12060400</v>
      </c>
      <c r="B932" s="468">
        <v>4845</v>
      </c>
      <c r="C932" s="468">
        <v>200</v>
      </c>
      <c r="D932" s="468" t="s">
        <v>247</v>
      </c>
      <c r="E932" s="468">
        <v>845.03</v>
      </c>
      <c r="F932" s="468" t="s">
        <v>249</v>
      </c>
      <c r="G932" s="468"/>
      <c r="H932" s="468"/>
      <c r="I932" s="468"/>
      <c r="J932" s="445" t="str">
        <f t="shared" si="28"/>
        <v>12060400200BUILDING CLEANING615000CS</v>
      </c>
      <c r="K932" s="163">
        <f t="shared" si="29"/>
        <v>845.03</v>
      </c>
    </row>
    <row r="933" spans="1:11" ht="14.5">
      <c r="A933" s="468">
        <v>12063011</v>
      </c>
      <c r="B933" s="468">
        <v>4845</v>
      </c>
      <c r="C933" s="468">
        <v>100</v>
      </c>
      <c r="D933" s="468" t="s">
        <v>245</v>
      </c>
      <c r="E933" s="468">
        <v>7782.45</v>
      </c>
      <c r="F933" s="468">
        <v>61500000</v>
      </c>
      <c r="G933" s="468"/>
      <c r="H933" s="468"/>
      <c r="I933" s="468"/>
      <c r="J933" s="445" t="str">
        <f t="shared" si="28"/>
        <v>12063011100BUILDING REPAIRS &amp; MAINTENANCE61500000</v>
      </c>
      <c r="K933" s="163">
        <f t="shared" si="29"/>
        <v>7782.45</v>
      </c>
    </row>
    <row r="934" spans="1:11" ht="14.5">
      <c r="A934" s="468">
        <v>12063011</v>
      </c>
      <c r="B934" s="468">
        <v>4845</v>
      </c>
      <c r="C934" s="468">
        <v>200</v>
      </c>
      <c r="D934" s="468" t="s">
        <v>247</v>
      </c>
      <c r="E934" s="468">
        <v>9053.7999999999993</v>
      </c>
      <c r="F934" s="468">
        <v>61500000</v>
      </c>
      <c r="G934" s="468"/>
      <c r="H934" s="468"/>
      <c r="I934" s="468"/>
      <c r="J934" s="445" t="str">
        <f t="shared" si="28"/>
        <v>12063011200BUILDING CLEANING61500000</v>
      </c>
      <c r="K934" s="163">
        <f t="shared" si="29"/>
        <v>9053.7999999999993</v>
      </c>
    </row>
    <row r="935" spans="1:11" ht="14.5">
      <c r="A935" s="468">
        <v>12068099</v>
      </c>
      <c r="B935" s="468">
        <v>4845</v>
      </c>
      <c r="C935" s="468">
        <v>200</v>
      </c>
      <c r="D935" s="468" t="s">
        <v>247</v>
      </c>
      <c r="E935" s="468">
        <v>603.6</v>
      </c>
      <c r="F935" s="468" t="s">
        <v>250</v>
      </c>
      <c r="G935" s="468"/>
      <c r="H935" s="468"/>
      <c r="I935" s="468"/>
      <c r="J935" s="445" t="str">
        <f t="shared" si="28"/>
        <v>12068099200BUILDING CLEANING615000SM</v>
      </c>
      <c r="K935" s="163">
        <f t="shared" si="29"/>
        <v>603.6</v>
      </c>
    </row>
    <row r="936" spans="1:11" ht="14.5">
      <c r="A936" s="468">
        <v>12020500</v>
      </c>
      <c r="B936" s="468">
        <v>4845</v>
      </c>
      <c r="C936" s="468">
        <v>300</v>
      </c>
      <c r="D936" s="468" t="s">
        <v>248</v>
      </c>
      <c r="E936" s="468">
        <v>2161.1999999999998</v>
      </c>
      <c r="F936" s="468" t="s">
        <v>246</v>
      </c>
      <c r="G936" s="468"/>
      <c r="H936" s="468"/>
      <c r="I936" s="468"/>
      <c r="J936" s="445" t="str">
        <f t="shared" si="28"/>
        <v>12020500300BUILDING SECURITY615000LP</v>
      </c>
      <c r="K936" s="163">
        <f t="shared" si="29"/>
        <v>2161.1999999999998</v>
      </c>
    </row>
    <row r="937" spans="1:11" ht="14.5">
      <c r="A937" s="468">
        <v>12020400</v>
      </c>
      <c r="B937" s="468">
        <v>4845</v>
      </c>
      <c r="C937" s="468">
        <v>200</v>
      </c>
      <c r="D937" s="468" t="s">
        <v>247</v>
      </c>
      <c r="E937" s="468">
        <v>1161.95</v>
      </c>
      <c r="F937" s="468" t="s">
        <v>249</v>
      </c>
      <c r="G937" s="468"/>
      <c r="H937" s="468"/>
      <c r="I937" s="468"/>
      <c r="J937" s="445" t="str">
        <f t="shared" si="28"/>
        <v>12020400200BUILDING CLEANING615000CS</v>
      </c>
      <c r="K937" s="163">
        <f t="shared" si="29"/>
        <v>1161.95</v>
      </c>
    </row>
    <row r="938" spans="1:11" ht="14.5">
      <c r="A938" s="468">
        <v>12023011</v>
      </c>
      <c r="B938" s="468">
        <v>4845</v>
      </c>
      <c r="C938" s="468">
        <v>100</v>
      </c>
      <c r="D938" s="468" t="s">
        <v>245</v>
      </c>
      <c r="E938" s="468">
        <v>10883.65</v>
      </c>
      <c r="F938" s="468">
        <v>61500000</v>
      </c>
      <c r="G938" s="468"/>
      <c r="H938" s="468"/>
      <c r="I938" s="468"/>
      <c r="J938" s="445" t="str">
        <f t="shared" si="28"/>
        <v>12023011100BUILDING REPAIRS &amp; MAINTENANCE61500000</v>
      </c>
      <c r="K938" s="163">
        <f t="shared" si="29"/>
        <v>10883.65</v>
      </c>
    </row>
    <row r="939" spans="1:11" ht="14.5">
      <c r="A939" s="468">
        <v>12023011</v>
      </c>
      <c r="B939" s="468">
        <v>4845</v>
      </c>
      <c r="C939" s="468">
        <v>200</v>
      </c>
      <c r="D939" s="468" t="s">
        <v>247</v>
      </c>
      <c r="E939" s="468">
        <v>8133.76</v>
      </c>
      <c r="F939" s="468">
        <v>61500000</v>
      </c>
      <c r="G939" s="468"/>
      <c r="H939" s="468"/>
      <c r="I939" s="468"/>
      <c r="J939" s="445" t="str">
        <f t="shared" si="28"/>
        <v>12023011200BUILDING CLEANING61500000</v>
      </c>
      <c r="K939" s="163">
        <f t="shared" si="29"/>
        <v>8133.76</v>
      </c>
    </row>
    <row r="940" spans="1:11" ht="14.5">
      <c r="A940" s="468">
        <v>12030400</v>
      </c>
      <c r="B940" s="468">
        <v>4845</v>
      </c>
      <c r="C940" s="468">
        <v>200</v>
      </c>
      <c r="D940" s="468" t="s">
        <v>247</v>
      </c>
      <c r="E940" s="468">
        <v>714.36</v>
      </c>
      <c r="F940" s="468" t="s">
        <v>249</v>
      </c>
      <c r="G940" s="468"/>
      <c r="H940" s="468"/>
      <c r="I940" s="468"/>
      <c r="J940" s="445" t="str">
        <f t="shared" si="28"/>
        <v>12030400200BUILDING CLEANING615000CS</v>
      </c>
      <c r="K940" s="163">
        <f t="shared" si="29"/>
        <v>714.36</v>
      </c>
    </row>
    <row r="941" spans="1:11" ht="14.5">
      <c r="A941" s="468">
        <v>12023021</v>
      </c>
      <c r="B941" s="468">
        <v>4845</v>
      </c>
      <c r="C941" s="468">
        <v>100</v>
      </c>
      <c r="D941" s="468" t="s">
        <v>245</v>
      </c>
      <c r="E941" s="468">
        <v>19397.150000000001</v>
      </c>
      <c r="F941" s="468">
        <v>61500000</v>
      </c>
      <c r="G941" s="468"/>
      <c r="H941" s="468"/>
      <c r="I941" s="468"/>
      <c r="J941" s="445" t="str">
        <f t="shared" si="28"/>
        <v>12023021100BUILDING REPAIRS &amp; MAINTENANCE61500000</v>
      </c>
      <c r="K941" s="163">
        <f t="shared" si="29"/>
        <v>19397.150000000001</v>
      </c>
    </row>
    <row r="942" spans="1:11" ht="14.5">
      <c r="A942" s="468">
        <v>12023021</v>
      </c>
      <c r="B942" s="468">
        <v>4845</v>
      </c>
      <c r="C942" s="468">
        <v>200</v>
      </c>
      <c r="D942" s="468" t="s">
        <v>247</v>
      </c>
      <c r="E942" s="468">
        <v>7359.11</v>
      </c>
      <c r="F942" s="468">
        <v>61500000</v>
      </c>
      <c r="G942" s="468"/>
      <c r="H942" s="468"/>
      <c r="I942" s="468"/>
      <c r="J942" s="445" t="str">
        <f t="shared" si="28"/>
        <v>12023021200BUILDING CLEANING61500000</v>
      </c>
      <c r="K942" s="163">
        <f t="shared" si="29"/>
        <v>7359.11</v>
      </c>
    </row>
    <row r="943" spans="1:11" ht="14.5">
      <c r="A943" s="468">
        <v>12030500</v>
      </c>
      <c r="B943" s="468">
        <v>4845</v>
      </c>
      <c r="C943" s="468">
        <v>100</v>
      </c>
      <c r="D943" s="468" t="s">
        <v>245</v>
      </c>
      <c r="E943" s="468">
        <v>27183.99</v>
      </c>
      <c r="F943" s="468" t="s">
        <v>246</v>
      </c>
      <c r="G943" s="468"/>
      <c r="H943" s="468"/>
      <c r="I943" s="468"/>
      <c r="J943" s="445" t="str">
        <f t="shared" si="28"/>
        <v>12030500100BUILDING REPAIRS &amp; MAINTENANCE615000LP</v>
      </c>
      <c r="K943" s="163">
        <f t="shared" si="29"/>
        <v>27183.99</v>
      </c>
    </row>
    <row r="944" spans="1:11" ht="14.5">
      <c r="A944" s="468">
        <v>12030500</v>
      </c>
      <c r="B944" s="468">
        <v>4845</v>
      </c>
      <c r="C944" s="468">
        <v>200</v>
      </c>
      <c r="D944" s="468" t="s">
        <v>247</v>
      </c>
      <c r="E944" s="468">
        <v>3092.64</v>
      </c>
      <c r="F944" s="468" t="s">
        <v>246</v>
      </c>
      <c r="G944" s="468"/>
      <c r="H944" s="468"/>
      <c r="I944" s="468"/>
      <c r="J944" s="445" t="str">
        <f t="shared" si="28"/>
        <v>12030500200BUILDING CLEANING615000LP</v>
      </c>
      <c r="K944" s="163">
        <f t="shared" si="29"/>
        <v>3092.64</v>
      </c>
    </row>
    <row r="945" spans="1:11" ht="14.5">
      <c r="A945" s="468">
        <v>12033012</v>
      </c>
      <c r="B945" s="468">
        <v>4845</v>
      </c>
      <c r="C945" s="468">
        <v>200</v>
      </c>
      <c r="D945" s="468" t="s">
        <v>247</v>
      </c>
      <c r="E945" s="468">
        <v>123.21</v>
      </c>
      <c r="F945" s="468">
        <v>61500000</v>
      </c>
      <c r="G945" s="468"/>
      <c r="H945" s="468"/>
      <c r="I945" s="468"/>
      <c r="J945" s="445" t="str">
        <f t="shared" si="28"/>
        <v>12033012200BUILDING CLEANING61500000</v>
      </c>
      <c r="K945" s="163">
        <f t="shared" si="29"/>
        <v>123.21</v>
      </c>
    </row>
    <row r="946" spans="1:11" ht="14.5">
      <c r="A946" s="468">
        <v>12033011</v>
      </c>
      <c r="B946" s="468">
        <v>4845</v>
      </c>
      <c r="C946" s="468">
        <v>100</v>
      </c>
      <c r="D946" s="468" t="s">
        <v>245</v>
      </c>
      <c r="E946" s="468">
        <v>16342.68</v>
      </c>
      <c r="F946" s="468">
        <v>61500000</v>
      </c>
      <c r="G946" s="468"/>
      <c r="H946" s="468"/>
      <c r="I946" s="468"/>
      <c r="J946" s="445" t="str">
        <f t="shared" si="28"/>
        <v>12033011100BUILDING REPAIRS &amp; MAINTENANCE61500000</v>
      </c>
      <c r="K946" s="163">
        <f t="shared" si="29"/>
        <v>16342.68</v>
      </c>
    </row>
    <row r="947" spans="1:11" ht="14.5">
      <c r="A947" s="468">
        <v>12033011</v>
      </c>
      <c r="B947" s="468">
        <v>4845</v>
      </c>
      <c r="C947" s="468">
        <v>200</v>
      </c>
      <c r="D947" s="468" t="s">
        <v>247</v>
      </c>
      <c r="E947" s="468">
        <v>6835.66</v>
      </c>
      <c r="F947" s="468">
        <v>61500000</v>
      </c>
      <c r="G947" s="468"/>
      <c r="H947" s="468"/>
      <c r="I947" s="468"/>
      <c r="J947" s="445" t="str">
        <f t="shared" si="28"/>
        <v>12033011200BUILDING CLEANING61500000</v>
      </c>
      <c r="K947" s="163">
        <f t="shared" si="29"/>
        <v>6835.66</v>
      </c>
    </row>
    <row r="948" spans="1:11" ht="14.5">
      <c r="A948" s="468">
        <v>12010500</v>
      </c>
      <c r="B948" s="468">
        <v>4845</v>
      </c>
      <c r="C948" s="468">
        <v>100</v>
      </c>
      <c r="D948" s="468" t="s">
        <v>245</v>
      </c>
      <c r="E948" s="468">
        <v>141.93</v>
      </c>
      <c r="F948" s="468" t="s">
        <v>246</v>
      </c>
      <c r="G948" s="468"/>
      <c r="H948" s="468"/>
      <c r="I948" s="468"/>
      <c r="J948" s="445" t="str">
        <f t="shared" si="28"/>
        <v>12010500100BUILDING REPAIRS &amp; MAINTENANCE615000LP</v>
      </c>
      <c r="K948" s="163">
        <f t="shared" si="29"/>
        <v>141.93</v>
      </c>
    </row>
    <row r="949" spans="1:11" ht="14.5">
      <c r="A949" s="468">
        <v>12010500</v>
      </c>
      <c r="B949" s="468">
        <v>4845</v>
      </c>
      <c r="C949" s="468">
        <v>200</v>
      </c>
      <c r="D949" s="468" t="s">
        <v>247</v>
      </c>
      <c r="E949" s="468">
        <v>774.67</v>
      </c>
      <c r="F949" s="468" t="s">
        <v>246</v>
      </c>
      <c r="G949" s="468"/>
      <c r="H949" s="468"/>
      <c r="I949" s="468"/>
      <c r="J949" s="445" t="str">
        <f t="shared" si="28"/>
        <v>12010500200BUILDING CLEANING615000LP</v>
      </c>
      <c r="K949" s="163">
        <f t="shared" si="29"/>
        <v>774.67</v>
      </c>
    </row>
    <row r="950" spans="1:11" ht="14.5">
      <c r="A950" s="468">
        <v>12013250</v>
      </c>
      <c r="B950" s="468">
        <v>4845</v>
      </c>
      <c r="C950" s="468">
        <v>100</v>
      </c>
      <c r="D950" s="468" t="s">
        <v>245</v>
      </c>
      <c r="E950" s="468">
        <v>1481.53</v>
      </c>
      <c r="F950" s="468">
        <v>61500000</v>
      </c>
      <c r="G950" s="468"/>
      <c r="H950" s="468"/>
      <c r="I950" s="468"/>
      <c r="J950" s="445" t="str">
        <f t="shared" si="28"/>
        <v>12013250100BUILDING REPAIRS &amp; MAINTENANCE61500000</v>
      </c>
      <c r="K950" s="163">
        <f t="shared" si="29"/>
        <v>1481.53</v>
      </c>
    </row>
    <row r="951" spans="1:11" ht="14.5">
      <c r="A951" s="468">
        <v>12013012</v>
      </c>
      <c r="B951" s="468">
        <v>4845</v>
      </c>
      <c r="C951" s="468">
        <v>100</v>
      </c>
      <c r="D951" s="468" t="s">
        <v>245</v>
      </c>
      <c r="E951" s="468">
        <v>1210.1600000000001</v>
      </c>
      <c r="F951" s="468">
        <v>61500000</v>
      </c>
      <c r="G951" s="468"/>
      <c r="H951" s="468"/>
      <c r="I951" s="468"/>
      <c r="J951" s="445" t="str">
        <f t="shared" si="28"/>
        <v>12013012100BUILDING REPAIRS &amp; MAINTENANCE61500000</v>
      </c>
      <c r="K951" s="163">
        <f t="shared" si="29"/>
        <v>1210.1600000000001</v>
      </c>
    </row>
    <row r="952" spans="1:11" ht="14.5">
      <c r="A952" s="468">
        <v>12013012</v>
      </c>
      <c r="B952" s="468">
        <v>4845</v>
      </c>
      <c r="C952" s="468">
        <v>200</v>
      </c>
      <c r="D952" s="468" t="s">
        <v>247</v>
      </c>
      <c r="E952" s="468">
        <v>1182.3</v>
      </c>
      <c r="F952" s="468">
        <v>61500000</v>
      </c>
      <c r="G952" s="468"/>
      <c r="H952" s="468"/>
      <c r="I952" s="468"/>
      <c r="J952" s="445" t="str">
        <f t="shared" si="28"/>
        <v>12013012200BUILDING CLEANING61500000</v>
      </c>
      <c r="K952" s="163">
        <f t="shared" si="29"/>
        <v>1182.3</v>
      </c>
    </row>
    <row r="953" spans="1:11" ht="14.5">
      <c r="A953" s="468">
        <v>12010700</v>
      </c>
      <c r="B953" s="468">
        <v>4845</v>
      </c>
      <c r="C953" s="468">
        <v>200</v>
      </c>
      <c r="D953" s="468" t="s">
        <v>247</v>
      </c>
      <c r="E953" s="468">
        <v>591.15</v>
      </c>
      <c r="F953" s="468" t="s">
        <v>253</v>
      </c>
      <c r="G953" s="468"/>
      <c r="H953" s="468"/>
      <c r="I953" s="468"/>
      <c r="J953" s="445" t="str">
        <f t="shared" si="28"/>
        <v>12010700200BUILDING CLEANING615000QL</v>
      </c>
      <c r="K953" s="163">
        <f t="shared" si="29"/>
        <v>591.15</v>
      </c>
    </row>
    <row r="954" spans="1:11" ht="14.5">
      <c r="A954" s="468">
        <v>12018099</v>
      </c>
      <c r="B954" s="468">
        <v>4845</v>
      </c>
      <c r="C954" s="468">
        <v>200</v>
      </c>
      <c r="D954" s="468" t="s">
        <v>247</v>
      </c>
      <c r="E954" s="468">
        <v>1286.46</v>
      </c>
      <c r="F954" s="468" t="s">
        <v>250</v>
      </c>
      <c r="G954" s="468"/>
      <c r="H954" s="468"/>
      <c r="I954" s="468"/>
      <c r="J954" s="445" t="str">
        <f t="shared" si="28"/>
        <v>12018099200BUILDING CLEANING615000SM</v>
      </c>
      <c r="K954" s="163">
        <f t="shared" si="29"/>
        <v>1286.46</v>
      </c>
    </row>
    <row r="955" spans="1:11" ht="14.5">
      <c r="A955" s="468">
        <v>12013300</v>
      </c>
      <c r="B955" s="468">
        <v>4845</v>
      </c>
      <c r="C955" s="468">
        <v>200</v>
      </c>
      <c r="D955" s="468" t="s">
        <v>247</v>
      </c>
      <c r="E955" s="468">
        <v>714.36</v>
      </c>
      <c r="F955" s="468" t="s">
        <v>251</v>
      </c>
      <c r="G955" s="468"/>
      <c r="H955" s="468"/>
      <c r="I955" s="468"/>
      <c r="J955" s="445" t="str">
        <f t="shared" si="28"/>
        <v>12013300200BUILDING CLEANING615000IT</v>
      </c>
      <c r="K955" s="163">
        <f t="shared" si="29"/>
        <v>714.36</v>
      </c>
    </row>
    <row r="956" spans="1:11" ht="14.5">
      <c r="A956" s="468">
        <v>12013260</v>
      </c>
      <c r="B956" s="468">
        <v>4845</v>
      </c>
      <c r="C956" s="468">
        <v>100</v>
      </c>
      <c r="D956" s="468" t="s">
        <v>245</v>
      </c>
      <c r="E956" s="468">
        <v>-0.01</v>
      </c>
      <c r="F956" s="468">
        <v>61500000</v>
      </c>
      <c r="G956" s="468"/>
      <c r="H956" s="468"/>
      <c r="I956" s="468"/>
      <c r="J956" s="445" t="str">
        <f t="shared" si="28"/>
        <v>12013260100BUILDING REPAIRS &amp; MAINTENANCE61500000</v>
      </c>
      <c r="K956" s="163">
        <f t="shared" si="29"/>
        <v>-0.01</v>
      </c>
    </row>
    <row r="957" spans="1:11" ht="14.5">
      <c r="A957" s="468">
        <v>12013250</v>
      </c>
      <c r="B957" s="468">
        <v>4845</v>
      </c>
      <c r="C957" s="468">
        <v>200</v>
      </c>
      <c r="D957" s="468" t="s">
        <v>247</v>
      </c>
      <c r="E957" s="468">
        <v>1305.51</v>
      </c>
      <c r="F957" s="468">
        <v>61500000</v>
      </c>
      <c r="G957" s="468"/>
      <c r="H957" s="468"/>
      <c r="I957" s="468"/>
      <c r="J957" s="445" t="str">
        <f t="shared" si="28"/>
        <v>12013250200BUILDING CLEANING61500000</v>
      </c>
      <c r="K957" s="163">
        <f t="shared" si="29"/>
        <v>1305.51</v>
      </c>
    </row>
    <row r="958" spans="1:11" ht="14.5">
      <c r="A958" s="468">
        <v>12018599</v>
      </c>
      <c r="B958" s="468">
        <v>4845</v>
      </c>
      <c r="C958" s="468">
        <v>100</v>
      </c>
      <c r="D958" s="468" t="s">
        <v>245</v>
      </c>
      <c r="E958" s="468">
        <v>109.98</v>
      </c>
      <c r="F958" s="468" t="s">
        <v>252</v>
      </c>
      <c r="G958" s="468"/>
      <c r="H958" s="468"/>
      <c r="I958" s="468"/>
      <c r="J958" s="445" t="str">
        <f t="shared" si="28"/>
        <v>12018599100BUILDING REPAIRS &amp; MAINTENANCE615000GA</v>
      </c>
      <c r="K958" s="163">
        <f t="shared" si="29"/>
        <v>109.98</v>
      </c>
    </row>
    <row r="959" spans="1:11" ht="14.5">
      <c r="A959" s="468">
        <v>12018599</v>
      </c>
      <c r="B959" s="468">
        <v>4845</v>
      </c>
      <c r="C959" s="468">
        <v>200</v>
      </c>
      <c r="D959" s="468" t="s">
        <v>247</v>
      </c>
      <c r="E959" s="468">
        <v>443.38</v>
      </c>
      <c r="F959" s="468" t="s">
        <v>252</v>
      </c>
      <c r="G959" s="468"/>
      <c r="H959" s="468"/>
      <c r="I959" s="468"/>
      <c r="J959" s="445" t="str">
        <f t="shared" si="28"/>
        <v>12018599200BUILDING CLEANING615000GA</v>
      </c>
      <c r="K959" s="163">
        <f t="shared" si="29"/>
        <v>443.38</v>
      </c>
    </row>
    <row r="960" spans="1:11" ht="14.5">
      <c r="A960" s="468">
        <v>12018599</v>
      </c>
      <c r="B960" s="468">
        <v>4845</v>
      </c>
      <c r="C960" s="468">
        <v>300</v>
      </c>
      <c r="D960" s="468" t="s">
        <v>248</v>
      </c>
      <c r="E960" s="468">
        <v>1324</v>
      </c>
      <c r="F960" s="468" t="s">
        <v>252</v>
      </c>
      <c r="G960" s="468"/>
      <c r="H960" s="468"/>
      <c r="I960" s="468"/>
      <c r="J960" s="445" t="str">
        <f t="shared" si="28"/>
        <v>12018599300BUILDING SECURITY615000GA</v>
      </c>
      <c r="K960" s="163">
        <f t="shared" si="29"/>
        <v>1324</v>
      </c>
    </row>
    <row r="961" spans="1:11" ht="14.5">
      <c r="A961" s="468">
        <v>12019199</v>
      </c>
      <c r="B961" s="468">
        <v>4845</v>
      </c>
      <c r="C961" s="468">
        <v>200</v>
      </c>
      <c r="D961" s="468" t="s">
        <v>247</v>
      </c>
      <c r="E961" s="468">
        <v>2167.7199999999998</v>
      </c>
      <c r="F961" s="468" t="s">
        <v>252</v>
      </c>
      <c r="G961" s="468"/>
      <c r="H961" s="468"/>
      <c r="I961" s="468"/>
      <c r="J961" s="445" t="str">
        <f t="shared" si="28"/>
        <v>12019199200BUILDING CLEANING615000GA</v>
      </c>
      <c r="K961" s="163">
        <f t="shared" si="29"/>
        <v>2167.7199999999998</v>
      </c>
    </row>
    <row r="962" spans="1:11" ht="14.5">
      <c r="A962" s="468">
        <v>12020500</v>
      </c>
      <c r="B962" s="468">
        <v>4845</v>
      </c>
      <c r="C962" s="468">
        <v>100</v>
      </c>
      <c r="D962" s="468" t="s">
        <v>245</v>
      </c>
      <c r="E962" s="468">
        <v>12175.96</v>
      </c>
      <c r="F962" s="468" t="s">
        <v>246</v>
      </c>
      <c r="G962" s="468"/>
      <c r="H962" s="468"/>
      <c r="I962" s="468"/>
      <c r="J962" s="445" t="str">
        <f t="shared" si="28"/>
        <v>12020500100BUILDING REPAIRS &amp; MAINTENANCE615000LP</v>
      </c>
      <c r="K962" s="163">
        <f t="shared" si="29"/>
        <v>12175.96</v>
      </c>
    </row>
    <row r="963" spans="1:11" ht="14.5">
      <c r="A963" s="468">
        <v>12020500</v>
      </c>
      <c r="B963" s="468">
        <v>4845</v>
      </c>
      <c r="C963" s="468">
        <v>200</v>
      </c>
      <c r="D963" s="468" t="s">
        <v>247</v>
      </c>
      <c r="E963" s="468">
        <v>1549.34</v>
      </c>
      <c r="F963" s="468" t="s">
        <v>246</v>
      </c>
      <c r="G963" s="468"/>
      <c r="H963" s="468"/>
      <c r="I963" s="468"/>
      <c r="J963" s="445" t="str">
        <f t="shared" si="28"/>
        <v>12020500200BUILDING CLEANING615000LP</v>
      </c>
      <c r="K963" s="163">
        <f t="shared" si="29"/>
        <v>1549.34</v>
      </c>
    </row>
    <row r="964" spans="1:11" ht="14.5">
      <c r="A964" s="468">
        <v>12010500</v>
      </c>
      <c r="B964" s="468">
        <v>4850</v>
      </c>
      <c r="C964" s="468"/>
      <c r="D964" s="468" t="s">
        <v>254</v>
      </c>
      <c r="E964" s="468">
        <v>1856.66</v>
      </c>
      <c r="F964" s="468" t="s">
        <v>255</v>
      </c>
      <c r="G964" s="468"/>
      <c r="H964" s="468"/>
      <c r="I964" s="468"/>
      <c r="J964" s="445" t="str">
        <f t="shared" si="28"/>
        <v>12010500REAL ESTATE &amp; PROPERTY TAXES614000LP</v>
      </c>
      <c r="K964" s="163">
        <f t="shared" si="29"/>
        <v>1856.66</v>
      </c>
    </row>
    <row r="965" spans="1:11" ht="14.5">
      <c r="A965" s="468">
        <v>12013012</v>
      </c>
      <c r="B965" s="468">
        <v>4850</v>
      </c>
      <c r="C965" s="468"/>
      <c r="D965" s="468" t="s">
        <v>254</v>
      </c>
      <c r="E965" s="468">
        <v>323.33999999999997</v>
      </c>
      <c r="F965" s="468">
        <v>61400000</v>
      </c>
      <c r="G965" s="468"/>
      <c r="H965" s="468"/>
      <c r="I965" s="468"/>
      <c r="J965" s="445" t="str">
        <f t="shared" ref="J965:J1028" si="30">A965&amp;C965&amp;D965&amp;F965</f>
        <v>12013012REAL ESTATE &amp; PROPERTY TAXES61400000</v>
      </c>
      <c r="K965" s="163">
        <f t="shared" ref="K965:K1028" si="31">E965</f>
        <v>323.33999999999997</v>
      </c>
    </row>
    <row r="966" spans="1:11" ht="14.5">
      <c r="A966" s="468">
        <v>12010700</v>
      </c>
      <c r="B966" s="468">
        <v>4850</v>
      </c>
      <c r="C966" s="468"/>
      <c r="D966" s="468" t="s">
        <v>254</v>
      </c>
      <c r="E966" s="468">
        <v>930</v>
      </c>
      <c r="F966" s="468">
        <v>61400000</v>
      </c>
      <c r="G966" s="468"/>
      <c r="H966" s="468"/>
      <c r="I966" s="468"/>
      <c r="J966" s="445" t="str">
        <f t="shared" si="30"/>
        <v>12010700REAL ESTATE &amp; PROPERTY TAXES61400000</v>
      </c>
      <c r="K966" s="163">
        <f t="shared" si="31"/>
        <v>930</v>
      </c>
    </row>
    <row r="967" spans="1:11" ht="14.5">
      <c r="A967" s="468">
        <v>12018099</v>
      </c>
      <c r="B967" s="468">
        <v>4850</v>
      </c>
      <c r="C967" s="468"/>
      <c r="D967" s="468" t="s">
        <v>254</v>
      </c>
      <c r="E967" s="468">
        <v>996.68</v>
      </c>
      <c r="F967" s="468" t="s">
        <v>256</v>
      </c>
      <c r="G967" s="468"/>
      <c r="H967" s="468"/>
      <c r="I967" s="468"/>
      <c r="J967" s="445" t="str">
        <f t="shared" si="30"/>
        <v>12018099REAL ESTATE &amp; PROPERTY TAXES614000SM</v>
      </c>
      <c r="K967" s="163">
        <f t="shared" si="31"/>
        <v>996.68</v>
      </c>
    </row>
    <row r="968" spans="1:11" ht="14.5">
      <c r="A968" s="468">
        <v>12013300</v>
      </c>
      <c r="B968" s="468">
        <v>4850</v>
      </c>
      <c r="C968" s="468"/>
      <c r="D968" s="468" t="s">
        <v>254</v>
      </c>
      <c r="E968" s="468">
        <v>996.66</v>
      </c>
      <c r="F968" s="468" t="s">
        <v>257</v>
      </c>
      <c r="G968" s="468"/>
      <c r="H968" s="468"/>
      <c r="I968" s="468"/>
      <c r="J968" s="445" t="str">
        <f t="shared" si="30"/>
        <v>12013300REAL ESTATE &amp; PROPERTY TAXES614000IT</v>
      </c>
      <c r="K968" s="163">
        <f t="shared" si="31"/>
        <v>996.66</v>
      </c>
    </row>
    <row r="969" spans="1:11" ht="14.5">
      <c r="A969" s="468">
        <v>12013250</v>
      </c>
      <c r="B969" s="468">
        <v>4850</v>
      </c>
      <c r="C969" s="468"/>
      <c r="D969" s="468" t="s">
        <v>254</v>
      </c>
      <c r="E969" s="468">
        <v>1806.66</v>
      </c>
      <c r="F969" s="468">
        <v>61400000</v>
      </c>
      <c r="G969" s="468"/>
      <c r="H969" s="468"/>
      <c r="I969" s="468"/>
      <c r="J969" s="445" t="str">
        <f t="shared" si="30"/>
        <v>12013250REAL ESTATE &amp; PROPERTY TAXES61400000</v>
      </c>
      <c r="K969" s="163">
        <f t="shared" si="31"/>
        <v>1806.66</v>
      </c>
    </row>
    <row r="970" spans="1:11" ht="14.5">
      <c r="A970" s="468">
        <v>12018599</v>
      </c>
      <c r="B970" s="468">
        <v>4850</v>
      </c>
      <c r="C970" s="468"/>
      <c r="D970" s="468" t="s">
        <v>254</v>
      </c>
      <c r="E970" s="468">
        <v>703.34</v>
      </c>
      <c r="F970" s="468" t="s">
        <v>258</v>
      </c>
      <c r="G970" s="468"/>
      <c r="H970" s="468"/>
      <c r="I970" s="468"/>
      <c r="J970" s="445" t="str">
        <f t="shared" si="30"/>
        <v>12018599REAL ESTATE &amp; PROPERTY TAXES614000GA</v>
      </c>
      <c r="K970" s="163">
        <f t="shared" si="31"/>
        <v>703.34</v>
      </c>
    </row>
    <row r="971" spans="1:11" ht="14.5">
      <c r="A971" s="468">
        <v>12019199</v>
      </c>
      <c r="B971" s="468">
        <v>4850</v>
      </c>
      <c r="C971" s="468"/>
      <c r="D971" s="468" t="s">
        <v>254</v>
      </c>
      <c r="E971" s="468">
        <v>3043.34</v>
      </c>
      <c r="F971" s="468" t="s">
        <v>258</v>
      </c>
      <c r="G971" s="468"/>
      <c r="H971" s="468"/>
      <c r="I971" s="468"/>
      <c r="J971" s="445" t="str">
        <f t="shared" si="30"/>
        <v>12019199REAL ESTATE &amp; PROPERTY TAXES614000GA</v>
      </c>
      <c r="K971" s="163">
        <f t="shared" si="31"/>
        <v>3043.34</v>
      </c>
    </row>
    <row r="972" spans="1:11" ht="14.5">
      <c r="A972" s="468">
        <v>12019099</v>
      </c>
      <c r="B972" s="468">
        <v>4850</v>
      </c>
      <c r="C972" s="468"/>
      <c r="D972" s="468" t="s">
        <v>254</v>
      </c>
      <c r="E972" s="468">
        <v>56.66</v>
      </c>
      <c r="F972" s="468" t="s">
        <v>258</v>
      </c>
      <c r="G972" s="468"/>
      <c r="H972" s="468"/>
      <c r="I972" s="468"/>
      <c r="J972" s="445" t="str">
        <f t="shared" si="30"/>
        <v>12019099REAL ESTATE &amp; PROPERTY TAXES614000GA</v>
      </c>
      <c r="K972" s="163">
        <f t="shared" si="31"/>
        <v>56.66</v>
      </c>
    </row>
    <row r="973" spans="1:11" ht="14.5">
      <c r="A973" s="468">
        <v>12030400</v>
      </c>
      <c r="B973" s="468">
        <v>4850</v>
      </c>
      <c r="C973" s="468"/>
      <c r="D973" s="468" t="s">
        <v>254</v>
      </c>
      <c r="E973" s="468">
        <v>993.34</v>
      </c>
      <c r="F973" s="468" t="s">
        <v>259</v>
      </c>
      <c r="G973" s="468"/>
      <c r="H973" s="468"/>
      <c r="I973" s="468"/>
      <c r="J973" s="445" t="str">
        <f t="shared" si="30"/>
        <v>12030400REAL ESTATE &amp; PROPERTY TAXES614000CS</v>
      </c>
      <c r="K973" s="163">
        <f t="shared" si="31"/>
        <v>993.34</v>
      </c>
    </row>
    <row r="974" spans="1:11" ht="14.5">
      <c r="A974" s="468">
        <v>12030500</v>
      </c>
      <c r="B974" s="468">
        <v>4850</v>
      </c>
      <c r="C974" s="468"/>
      <c r="D974" s="468" t="s">
        <v>254</v>
      </c>
      <c r="E974" s="468">
        <v>846.66</v>
      </c>
      <c r="F974" s="468" t="s">
        <v>255</v>
      </c>
      <c r="G974" s="468"/>
      <c r="H974" s="468"/>
      <c r="I974" s="468"/>
      <c r="J974" s="445" t="str">
        <f t="shared" si="30"/>
        <v>12030500REAL ESTATE &amp; PROPERTY TAXES614000LP</v>
      </c>
      <c r="K974" s="163">
        <f t="shared" si="31"/>
        <v>846.66</v>
      </c>
    </row>
    <row r="975" spans="1:11" ht="14.5">
      <c r="A975" s="468">
        <v>12033011</v>
      </c>
      <c r="B975" s="468">
        <v>4850</v>
      </c>
      <c r="C975" s="468"/>
      <c r="D975" s="468" t="s">
        <v>254</v>
      </c>
      <c r="E975" s="468">
        <v>11446.66</v>
      </c>
      <c r="F975" s="468">
        <v>61400000</v>
      </c>
      <c r="G975" s="468"/>
      <c r="H975" s="468"/>
      <c r="I975" s="468"/>
      <c r="J975" s="445" t="str">
        <f t="shared" si="30"/>
        <v>12033011REAL ESTATE &amp; PROPERTY TAXES61400000</v>
      </c>
      <c r="K975" s="163">
        <f t="shared" si="31"/>
        <v>11446.66</v>
      </c>
    </row>
    <row r="976" spans="1:11" ht="14.5">
      <c r="A976" s="468">
        <v>12040500</v>
      </c>
      <c r="B976" s="468">
        <v>4850</v>
      </c>
      <c r="C976" s="468"/>
      <c r="D976" s="468" t="s">
        <v>254</v>
      </c>
      <c r="E976" s="468">
        <v>337.08</v>
      </c>
      <c r="F976" s="468" t="s">
        <v>255</v>
      </c>
      <c r="G976" s="468"/>
      <c r="H976" s="468"/>
      <c r="I976" s="468"/>
      <c r="J976" s="445" t="str">
        <f t="shared" si="30"/>
        <v>12040500REAL ESTATE &amp; PROPERTY TAXES614000LP</v>
      </c>
      <c r="K976" s="163">
        <f t="shared" si="31"/>
        <v>337.08</v>
      </c>
    </row>
    <row r="977" spans="1:11" ht="14.5">
      <c r="A977" s="468">
        <v>12040400</v>
      </c>
      <c r="B977" s="468">
        <v>4850</v>
      </c>
      <c r="C977" s="468"/>
      <c r="D977" s="468" t="s">
        <v>254</v>
      </c>
      <c r="E977" s="468">
        <v>404.52</v>
      </c>
      <c r="F977" s="468" t="s">
        <v>259</v>
      </c>
      <c r="G977" s="468"/>
      <c r="H977" s="468"/>
      <c r="I977" s="468"/>
      <c r="J977" s="445" t="str">
        <f t="shared" si="30"/>
        <v>12040400REAL ESTATE &amp; PROPERTY TAXES614000CS</v>
      </c>
      <c r="K977" s="163">
        <f t="shared" si="31"/>
        <v>404.52</v>
      </c>
    </row>
    <row r="978" spans="1:11" ht="14.5">
      <c r="A978" s="468">
        <v>12043011</v>
      </c>
      <c r="B978" s="468">
        <v>4850</v>
      </c>
      <c r="C978" s="468"/>
      <c r="D978" s="468" t="s">
        <v>254</v>
      </c>
      <c r="E978" s="468">
        <v>4247.16</v>
      </c>
      <c r="F978" s="468">
        <v>61400000</v>
      </c>
      <c r="G978" s="468"/>
      <c r="H978" s="468"/>
      <c r="I978" s="468"/>
      <c r="J978" s="445" t="str">
        <f t="shared" si="30"/>
        <v>12043011REAL ESTATE &amp; PROPERTY TAXES61400000</v>
      </c>
      <c r="K978" s="163">
        <f t="shared" si="31"/>
        <v>4247.16</v>
      </c>
    </row>
    <row r="979" spans="1:11" ht="14.5">
      <c r="A979" s="468">
        <v>12043123</v>
      </c>
      <c r="B979" s="468">
        <v>4850</v>
      </c>
      <c r="C979" s="468"/>
      <c r="D979" s="468" t="s">
        <v>254</v>
      </c>
      <c r="E979" s="468">
        <v>1011.24</v>
      </c>
      <c r="F979" s="468">
        <v>61400000</v>
      </c>
      <c r="G979" s="468"/>
      <c r="H979" s="468"/>
      <c r="I979" s="468"/>
      <c r="J979" s="445" t="str">
        <f t="shared" si="30"/>
        <v>12043123REAL ESTATE &amp; PROPERTY TAXES61400000</v>
      </c>
      <c r="K979" s="163">
        <f t="shared" si="31"/>
        <v>1011.24</v>
      </c>
    </row>
    <row r="980" spans="1:11" ht="14.5">
      <c r="A980" s="468">
        <v>12010500</v>
      </c>
      <c r="B980" s="468">
        <v>4905</v>
      </c>
      <c r="C980" s="468">
        <v>150</v>
      </c>
      <c r="D980" s="468" t="s">
        <v>260</v>
      </c>
      <c r="E980" s="468">
        <v>504.7</v>
      </c>
      <c r="F980" s="468" t="s">
        <v>261</v>
      </c>
      <c r="G980" s="468"/>
      <c r="H980" s="468"/>
      <c r="I980" s="468"/>
      <c r="J980" s="445" t="str">
        <f t="shared" si="30"/>
        <v>12010500150MV - OPERATING625000LP</v>
      </c>
      <c r="K980" s="163">
        <f t="shared" si="31"/>
        <v>504.7</v>
      </c>
    </row>
    <row r="981" spans="1:11" ht="14.5">
      <c r="A981" s="468">
        <v>12010500</v>
      </c>
      <c r="B981" s="468">
        <v>4905</v>
      </c>
      <c r="C981" s="468">
        <v>200</v>
      </c>
      <c r="D981" s="468" t="s">
        <v>262</v>
      </c>
      <c r="E981" s="468">
        <v>1241</v>
      </c>
      <c r="F981" s="468" t="s">
        <v>261</v>
      </c>
      <c r="G981" s="468"/>
      <c r="H981" s="468"/>
      <c r="I981" s="468"/>
      <c r="J981" s="445" t="str">
        <f t="shared" si="30"/>
        <v>12010500200AIRFARES - DOMESTIC625000LP</v>
      </c>
      <c r="K981" s="163">
        <f t="shared" si="31"/>
        <v>1241</v>
      </c>
    </row>
    <row r="982" spans="1:11" ht="14.5">
      <c r="A982" s="468">
        <v>12010500</v>
      </c>
      <c r="B982" s="468">
        <v>4905</v>
      </c>
      <c r="C982" s="468">
        <v>250</v>
      </c>
      <c r="D982" s="468" t="s">
        <v>263</v>
      </c>
      <c r="E982" s="468">
        <v>5199.8</v>
      </c>
      <c r="F982" s="468" t="s">
        <v>261</v>
      </c>
      <c r="G982" s="468"/>
      <c r="H982" s="468"/>
      <c r="I982" s="468"/>
      <c r="J982" s="445" t="str">
        <f t="shared" si="30"/>
        <v>12010500250 AIRFARES - INTERNATIONAL625000LP</v>
      </c>
      <c r="K982" s="163">
        <f t="shared" si="31"/>
        <v>5199.8</v>
      </c>
    </row>
    <row r="983" spans="1:11" ht="14.5">
      <c r="A983" s="468">
        <v>12010500</v>
      </c>
      <c r="B983" s="468">
        <v>4905</v>
      </c>
      <c r="C983" s="468">
        <v>300</v>
      </c>
      <c r="D983" s="468" t="s">
        <v>264</v>
      </c>
      <c r="E983" s="468">
        <v>3518.55</v>
      </c>
      <c r="F983" s="468" t="s">
        <v>261</v>
      </c>
      <c r="G983" s="468"/>
      <c r="H983" s="468"/>
      <c r="I983" s="468"/>
      <c r="J983" s="445" t="str">
        <f t="shared" si="30"/>
        <v>12010500300ACCOMMODATION &amp; MEALS - DOMEST625000LP</v>
      </c>
      <c r="K983" s="163">
        <f t="shared" si="31"/>
        <v>3518.55</v>
      </c>
    </row>
    <row r="984" spans="1:11" ht="14.5">
      <c r="A984" s="468">
        <v>12010500</v>
      </c>
      <c r="B984" s="468">
        <v>4905</v>
      </c>
      <c r="C984" s="468">
        <v>350</v>
      </c>
      <c r="D984" s="468" t="s">
        <v>265</v>
      </c>
      <c r="E984" s="468">
        <v>9023.27</v>
      </c>
      <c r="F984" s="468" t="s">
        <v>261</v>
      </c>
      <c r="G984" s="468"/>
      <c r="H984" s="468"/>
      <c r="I984" s="468"/>
      <c r="J984" s="445" t="str">
        <f t="shared" si="30"/>
        <v>12010500350ACCOMMODATION &amp; MEALS - INTERN625000LP</v>
      </c>
      <c r="K984" s="163">
        <f t="shared" si="31"/>
        <v>9023.27</v>
      </c>
    </row>
    <row r="985" spans="1:11" ht="14.5">
      <c r="A985" s="468">
        <v>12010500</v>
      </c>
      <c r="B985" s="468">
        <v>4905</v>
      </c>
      <c r="C985" s="468">
        <v>400</v>
      </c>
      <c r="D985" s="468" t="s">
        <v>268</v>
      </c>
      <c r="E985" s="468">
        <v>699.8</v>
      </c>
      <c r="F985" s="468" t="s">
        <v>261</v>
      </c>
      <c r="G985" s="468"/>
      <c r="H985" s="468"/>
      <c r="I985" s="468"/>
      <c r="J985" s="445" t="str">
        <f t="shared" si="30"/>
        <v>12010500400RENTAL CARS - DOMESTIC625000LP</v>
      </c>
      <c r="K985" s="163">
        <f t="shared" si="31"/>
        <v>699.8</v>
      </c>
    </row>
    <row r="986" spans="1:11" ht="14.5">
      <c r="A986" s="468">
        <v>12010500</v>
      </c>
      <c r="B986" s="468">
        <v>4905</v>
      </c>
      <c r="C986" s="468">
        <v>700</v>
      </c>
      <c r="D986" s="468" t="s">
        <v>266</v>
      </c>
      <c r="E986" s="468">
        <v>2944.81</v>
      </c>
      <c r="F986" s="468" t="s">
        <v>261</v>
      </c>
      <c r="G986" s="468"/>
      <c r="H986" s="468"/>
      <c r="I986" s="468"/>
      <c r="J986" s="445" t="str">
        <f t="shared" si="30"/>
        <v>12010500700TRAVEL - MISC EXP DOMESTIC625000LP</v>
      </c>
      <c r="K986" s="163">
        <f t="shared" si="31"/>
        <v>2944.81</v>
      </c>
    </row>
    <row r="987" spans="1:11" ht="14.5">
      <c r="A987" s="468">
        <v>12010500</v>
      </c>
      <c r="B987" s="468">
        <v>4905</v>
      </c>
      <c r="C987" s="468">
        <v>750</v>
      </c>
      <c r="D987" s="468" t="s">
        <v>267</v>
      </c>
      <c r="E987" s="468">
        <v>200.83</v>
      </c>
      <c r="F987" s="468" t="s">
        <v>261</v>
      </c>
      <c r="G987" s="468"/>
      <c r="H987" s="468"/>
      <c r="I987" s="468"/>
      <c r="J987" s="445" t="str">
        <f t="shared" si="30"/>
        <v>12010500750TRAVEL - MISC EXP INTERNATIONA625000LP</v>
      </c>
      <c r="K987" s="163">
        <f t="shared" si="31"/>
        <v>200.83</v>
      </c>
    </row>
    <row r="988" spans="1:11" ht="14.5">
      <c r="A988" s="468">
        <v>12013250</v>
      </c>
      <c r="B988" s="468">
        <v>4905</v>
      </c>
      <c r="C988" s="468">
        <v>150</v>
      </c>
      <c r="D988" s="468" t="s">
        <v>260</v>
      </c>
      <c r="E988" s="468">
        <v>540.67999999999995</v>
      </c>
      <c r="F988" s="468">
        <v>62500000</v>
      </c>
      <c r="G988" s="468"/>
      <c r="H988" s="468"/>
      <c r="I988" s="468"/>
      <c r="J988" s="445" t="str">
        <f t="shared" si="30"/>
        <v>12013250150MV - OPERATING62500000</v>
      </c>
      <c r="K988" s="163">
        <f t="shared" si="31"/>
        <v>540.67999999999995</v>
      </c>
    </row>
    <row r="989" spans="1:11" ht="14.5">
      <c r="A989" s="468">
        <v>12013250</v>
      </c>
      <c r="B989" s="468">
        <v>4905</v>
      </c>
      <c r="C989" s="468">
        <v>200</v>
      </c>
      <c r="D989" s="468" t="s">
        <v>262</v>
      </c>
      <c r="E989" s="468">
        <v>1927.99</v>
      </c>
      <c r="F989" s="468">
        <v>62500000</v>
      </c>
      <c r="G989" s="468"/>
      <c r="H989" s="468"/>
      <c r="I989" s="468"/>
      <c r="J989" s="445" t="str">
        <f t="shared" si="30"/>
        <v>12013250200AIRFARES - DOMESTIC62500000</v>
      </c>
      <c r="K989" s="163">
        <f t="shared" si="31"/>
        <v>1927.99</v>
      </c>
    </row>
    <row r="990" spans="1:11" ht="14.5">
      <c r="A990" s="468">
        <v>12013250</v>
      </c>
      <c r="B990" s="468">
        <v>4905</v>
      </c>
      <c r="C990" s="468">
        <v>300</v>
      </c>
      <c r="D990" s="468" t="s">
        <v>264</v>
      </c>
      <c r="E990" s="468">
        <v>2399.7600000000002</v>
      </c>
      <c r="F990" s="468">
        <v>62500000</v>
      </c>
      <c r="G990" s="468"/>
      <c r="H990" s="468"/>
      <c r="I990" s="468"/>
      <c r="J990" s="445" t="str">
        <f t="shared" si="30"/>
        <v>12013250300ACCOMMODATION &amp; MEALS - DOMEST62500000</v>
      </c>
      <c r="K990" s="163">
        <f t="shared" si="31"/>
        <v>2399.7600000000002</v>
      </c>
    </row>
    <row r="991" spans="1:11" ht="14.5">
      <c r="A991" s="468">
        <v>12013250</v>
      </c>
      <c r="B991" s="468">
        <v>4905</v>
      </c>
      <c r="C991" s="468">
        <v>350</v>
      </c>
      <c r="D991" s="468" t="s">
        <v>265</v>
      </c>
      <c r="E991" s="468">
        <v>367.33</v>
      </c>
      <c r="F991" s="468">
        <v>62500000</v>
      </c>
      <c r="G991" s="468"/>
      <c r="H991" s="468"/>
      <c r="I991" s="468"/>
      <c r="J991" s="445" t="str">
        <f t="shared" si="30"/>
        <v>12013250350ACCOMMODATION &amp; MEALS - INTERN62500000</v>
      </c>
      <c r="K991" s="163">
        <f t="shared" si="31"/>
        <v>367.33</v>
      </c>
    </row>
    <row r="992" spans="1:11" ht="14.5">
      <c r="A992" s="468">
        <v>12013250</v>
      </c>
      <c r="B992" s="468">
        <v>4905</v>
      </c>
      <c r="C992" s="468">
        <v>400</v>
      </c>
      <c r="D992" s="468" t="s">
        <v>268</v>
      </c>
      <c r="E992" s="468">
        <v>31.24</v>
      </c>
      <c r="F992" s="468">
        <v>62500000</v>
      </c>
      <c r="G992" s="468"/>
      <c r="H992" s="468"/>
      <c r="I992" s="468"/>
      <c r="J992" s="445" t="str">
        <f t="shared" si="30"/>
        <v>12013250400RENTAL CARS - DOMESTIC62500000</v>
      </c>
      <c r="K992" s="163">
        <f t="shared" si="31"/>
        <v>31.24</v>
      </c>
    </row>
    <row r="993" spans="1:11" ht="14.5">
      <c r="A993" s="468">
        <v>12013250</v>
      </c>
      <c r="B993" s="468">
        <v>4905</v>
      </c>
      <c r="C993" s="468">
        <v>700</v>
      </c>
      <c r="D993" s="468" t="s">
        <v>266</v>
      </c>
      <c r="E993" s="468">
        <v>1347.04</v>
      </c>
      <c r="F993" s="468">
        <v>62500000</v>
      </c>
      <c r="G993" s="468"/>
      <c r="H993" s="468"/>
      <c r="I993" s="468"/>
      <c r="J993" s="445" t="str">
        <f t="shared" si="30"/>
        <v>12013250700TRAVEL - MISC EXP DOMESTIC62500000</v>
      </c>
      <c r="K993" s="163">
        <f t="shared" si="31"/>
        <v>1347.04</v>
      </c>
    </row>
    <row r="994" spans="1:11" ht="14.5">
      <c r="A994" s="468">
        <v>12013012</v>
      </c>
      <c r="B994" s="468">
        <v>4905</v>
      </c>
      <c r="C994" s="468">
        <v>150</v>
      </c>
      <c r="D994" s="468" t="s">
        <v>260</v>
      </c>
      <c r="E994" s="468">
        <v>366.68</v>
      </c>
      <c r="F994" s="468">
        <v>62500000</v>
      </c>
      <c r="G994" s="468"/>
      <c r="H994" s="468"/>
      <c r="I994" s="468"/>
      <c r="J994" s="445" t="str">
        <f t="shared" si="30"/>
        <v>12013012150MV - OPERATING62500000</v>
      </c>
      <c r="K994" s="163">
        <f t="shared" si="31"/>
        <v>366.68</v>
      </c>
    </row>
    <row r="995" spans="1:11" ht="14.5">
      <c r="A995" s="468">
        <v>12013012</v>
      </c>
      <c r="B995" s="468">
        <v>4905</v>
      </c>
      <c r="C995" s="468">
        <v>500</v>
      </c>
      <c r="D995" s="468" t="s">
        <v>269</v>
      </c>
      <c r="E995" s="468">
        <v>108.73</v>
      </c>
      <c r="F995" s="468">
        <v>62500000</v>
      </c>
      <c r="G995" s="468"/>
      <c r="H995" s="468"/>
      <c r="I995" s="468"/>
      <c r="J995" s="445" t="str">
        <f t="shared" si="30"/>
        <v>12013012500ENTERTAINMENT - DOMESTIC (FBT)62500000</v>
      </c>
      <c r="K995" s="163">
        <f t="shared" si="31"/>
        <v>108.73</v>
      </c>
    </row>
    <row r="996" spans="1:11" ht="14.5">
      <c r="A996" s="468">
        <v>12010700</v>
      </c>
      <c r="B996" s="468">
        <v>4905</v>
      </c>
      <c r="C996" s="468">
        <v>150</v>
      </c>
      <c r="D996" s="468" t="s">
        <v>260</v>
      </c>
      <c r="E996" s="468">
        <v>117.32</v>
      </c>
      <c r="F996" s="468" t="s">
        <v>270</v>
      </c>
      <c r="G996" s="468"/>
      <c r="H996" s="468"/>
      <c r="I996" s="468"/>
      <c r="J996" s="445" t="str">
        <f t="shared" si="30"/>
        <v>12010700150MV - OPERATING625000QL</v>
      </c>
      <c r="K996" s="163">
        <f t="shared" si="31"/>
        <v>117.32</v>
      </c>
    </row>
    <row r="997" spans="1:11" ht="14.5">
      <c r="A997" s="468">
        <v>12010700</v>
      </c>
      <c r="B997" s="468">
        <v>4905</v>
      </c>
      <c r="C997" s="468">
        <v>200</v>
      </c>
      <c r="D997" s="468" t="s">
        <v>262</v>
      </c>
      <c r="E997" s="468">
        <v>708.62</v>
      </c>
      <c r="F997" s="468" t="s">
        <v>270</v>
      </c>
      <c r="G997" s="468"/>
      <c r="H997" s="468"/>
      <c r="I997" s="468"/>
      <c r="J997" s="445" t="str">
        <f t="shared" si="30"/>
        <v>12010700200AIRFARES - DOMESTIC625000QL</v>
      </c>
      <c r="K997" s="163">
        <f t="shared" si="31"/>
        <v>708.62</v>
      </c>
    </row>
    <row r="998" spans="1:11" ht="14.5">
      <c r="A998" s="468">
        <v>12010700</v>
      </c>
      <c r="B998" s="468">
        <v>4905</v>
      </c>
      <c r="C998" s="468">
        <v>300</v>
      </c>
      <c r="D998" s="468" t="s">
        <v>264</v>
      </c>
      <c r="E998" s="468">
        <v>-148.72999999999999</v>
      </c>
      <c r="F998" s="468" t="s">
        <v>270</v>
      </c>
      <c r="G998" s="468"/>
      <c r="H998" s="468"/>
      <c r="I998" s="468"/>
      <c r="J998" s="445" t="str">
        <f t="shared" si="30"/>
        <v>12010700300ACCOMMODATION &amp; MEALS - DOMEST625000QL</v>
      </c>
      <c r="K998" s="163">
        <f t="shared" si="31"/>
        <v>-148.72999999999999</v>
      </c>
    </row>
    <row r="999" spans="1:11" ht="14.5">
      <c r="A999" s="468">
        <v>12010700</v>
      </c>
      <c r="B999" s="468">
        <v>4905</v>
      </c>
      <c r="C999" s="468">
        <v>350</v>
      </c>
      <c r="D999" s="468" t="s">
        <v>265</v>
      </c>
      <c r="E999" s="468">
        <v>229.1</v>
      </c>
      <c r="F999" s="468" t="s">
        <v>270</v>
      </c>
      <c r="G999" s="468"/>
      <c r="H999" s="468"/>
      <c r="I999" s="468"/>
      <c r="J999" s="445" t="str">
        <f t="shared" si="30"/>
        <v>12010700350ACCOMMODATION &amp; MEALS - INTERN625000QL</v>
      </c>
      <c r="K999" s="163">
        <f t="shared" si="31"/>
        <v>229.1</v>
      </c>
    </row>
    <row r="1000" spans="1:11" ht="14.5">
      <c r="A1000" s="468">
        <v>12010700</v>
      </c>
      <c r="B1000" s="468">
        <v>4905</v>
      </c>
      <c r="C1000" s="468">
        <v>700</v>
      </c>
      <c r="D1000" s="468" t="s">
        <v>266</v>
      </c>
      <c r="E1000" s="468">
        <v>638.30999999999995</v>
      </c>
      <c r="F1000" s="468" t="s">
        <v>270</v>
      </c>
      <c r="G1000" s="468"/>
      <c r="H1000" s="468"/>
      <c r="I1000" s="468"/>
      <c r="J1000" s="445" t="str">
        <f t="shared" si="30"/>
        <v>12010700700TRAVEL - MISC EXP DOMESTIC625000QL</v>
      </c>
      <c r="K1000" s="163">
        <f t="shared" si="31"/>
        <v>638.30999999999995</v>
      </c>
    </row>
    <row r="1001" spans="1:11" ht="14.5">
      <c r="A1001" s="468">
        <v>12018199</v>
      </c>
      <c r="B1001" s="468">
        <v>4905</v>
      </c>
      <c r="C1001" s="468">
        <v>700</v>
      </c>
      <c r="D1001" s="468" t="s">
        <v>266</v>
      </c>
      <c r="E1001" s="468">
        <v>793.28</v>
      </c>
      <c r="F1001" s="468" t="s">
        <v>271</v>
      </c>
      <c r="G1001" s="468"/>
      <c r="H1001" s="468"/>
      <c r="I1001" s="468"/>
      <c r="J1001" s="445" t="str">
        <f t="shared" si="30"/>
        <v>12018199700TRAVEL - MISC EXP DOMESTIC625000SM</v>
      </c>
      <c r="K1001" s="163">
        <f t="shared" si="31"/>
        <v>793.28</v>
      </c>
    </row>
    <row r="1002" spans="1:11" ht="14.5">
      <c r="A1002" s="468">
        <v>12018199</v>
      </c>
      <c r="B1002" s="468">
        <v>4905</v>
      </c>
      <c r="C1002" s="468">
        <v>750</v>
      </c>
      <c r="D1002" s="468" t="s">
        <v>267</v>
      </c>
      <c r="E1002" s="468">
        <v>331.95</v>
      </c>
      <c r="F1002" s="468" t="s">
        <v>271</v>
      </c>
      <c r="G1002" s="468"/>
      <c r="H1002" s="468"/>
      <c r="I1002" s="468"/>
      <c r="J1002" s="445" t="str">
        <f t="shared" si="30"/>
        <v>12018199750TRAVEL - MISC EXP INTERNATIONA625000SM</v>
      </c>
      <c r="K1002" s="163">
        <f t="shared" si="31"/>
        <v>331.95</v>
      </c>
    </row>
    <row r="1003" spans="1:11" ht="14.5">
      <c r="A1003" s="468">
        <v>12018099</v>
      </c>
      <c r="B1003" s="468">
        <v>4905</v>
      </c>
      <c r="C1003" s="468">
        <v>150</v>
      </c>
      <c r="D1003" s="468" t="s">
        <v>260</v>
      </c>
      <c r="E1003" s="468">
        <v>272.45</v>
      </c>
      <c r="F1003" s="468" t="s">
        <v>271</v>
      </c>
      <c r="G1003" s="468"/>
      <c r="H1003" s="468"/>
      <c r="I1003" s="468"/>
      <c r="J1003" s="445" t="str">
        <f t="shared" si="30"/>
        <v>12018099150MV - OPERATING625000SM</v>
      </c>
      <c r="K1003" s="163">
        <f t="shared" si="31"/>
        <v>272.45</v>
      </c>
    </row>
    <row r="1004" spans="1:11" ht="14.5">
      <c r="A1004" s="468">
        <v>12018099</v>
      </c>
      <c r="B1004" s="468">
        <v>4905</v>
      </c>
      <c r="C1004" s="468">
        <v>200</v>
      </c>
      <c r="D1004" s="468" t="s">
        <v>262</v>
      </c>
      <c r="E1004" s="468">
        <v>4141.04</v>
      </c>
      <c r="F1004" s="468" t="s">
        <v>271</v>
      </c>
      <c r="G1004" s="468"/>
      <c r="H1004" s="468"/>
      <c r="I1004" s="468"/>
      <c r="J1004" s="445" t="str">
        <f t="shared" si="30"/>
        <v>12018099200AIRFARES - DOMESTIC625000SM</v>
      </c>
      <c r="K1004" s="163">
        <f t="shared" si="31"/>
        <v>4141.04</v>
      </c>
    </row>
    <row r="1005" spans="1:11" ht="14.5">
      <c r="A1005" s="468">
        <v>12018099</v>
      </c>
      <c r="B1005" s="468">
        <v>4905</v>
      </c>
      <c r="C1005" s="468">
        <v>300</v>
      </c>
      <c r="D1005" s="468" t="s">
        <v>264</v>
      </c>
      <c r="E1005" s="468">
        <v>4028.07</v>
      </c>
      <c r="F1005" s="468" t="s">
        <v>271</v>
      </c>
      <c r="G1005" s="468"/>
      <c r="H1005" s="468"/>
      <c r="I1005" s="468"/>
      <c r="J1005" s="445" t="str">
        <f t="shared" si="30"/>
        <v>12018099300ACCOMMODATION &amp; MEALS - DOMEST625000SM</v>
      </c>
      <c r="K1005" s="163">
        <f t="shared" si="31"/>
        <v>4028.07</v>
      </c>
    </row>
    <row r="1006" spans="1:11" ht="14.5">
      <c r="A1006" s="468">
        <v>12018099</v>
      </c>
      <c r="B1006" s="468">
        <v>4905</v>
      </c>
      <c r="C1006" s="468">
        <v>350</v>
      </c>
      <c r="D1006" s="468" t="s">
        <v>265</v>
      </c>
      <c r="E1006" s="468">
        <v>2372.1999999999998</v>
      </c>
      <c r="F1006" s="468" t="s">
        <v>271</v>
      </c>
      <c r="G1006" s="468"/>
      <c r="H1006" s="468"/>
      <c r="I1006" s="468"/>
      <c r="J1006" s="445" t="str">
        <f t="shared" si="30"/>
        <v>12018099350ACCOMMODATION &amp; MEALS - INTERN625000SM</v>
      </c>
      <c r="K1006" s="163">
        <f t="shared" si="31"/>
        <v>2372.1999999999998</v>
      </c>
    </row>
    <row r="1007" spans="1:11" ht="14.5">
      <c r="A1007" s="468">
        <v>12018099</v>
      </c>
      <c r="B1007" s="468">
        <v>4905</v>
      </c>
      <c r="C1007" s="468">
        <v>400</v>
      </c>
      <c r="D1007" s="468" t="s">
        <v>268</v>
      </c>
      <c r="E1007" s="468">
        <v>1655.93</v>
      </c>
      <c r="F1007" s="468" t="s">
        <v>271</v>
      </c>
      <c r="G1007" s="468"/>
      <c r="H1007" s="468"/>
      <c r="I1007" s="468"/>
      <c r="J1007" s="445" t="str">
        <f t="shared" si="30"/>
        <v>12018099400RENTAL CARS - DOMESTIC625000SM</v>
      </c>
      <c r="K1007" s="163">
        <f t="shared" si="31"/>
        <v>1655.93</v>
      </c>
    </row>
    <row r="1008" spans="1:11" ht="14.5">
      <c r="A1008" s="468">
        <v>12018099</v>
      </c>
      <c r="B1008" s="468">
        <v>4905</v>
      </c>
      <c r="C1008" s="468">
        <v>700</v>
      </c>
      <c r="D1008" s="468" t="s">
        <v>266</v>
      </c>
      <c r="E1008" s="468">
        <v>1964.87</v>
      </c>
      <c r="F1008" s="468" t="s">
        <v>271</v>
      </c>
      <c r="G1008" s="468"/>
      <c r="H1008" s="468"/>
      <c r="I1008" s="468"/>
      <c r="J1008" s="445" t="str">
        <f t="shared" si="30"/>
        <v>12018099700TRAVEL - MISC EXP DOMESTIC625000SM</v>
      </c>
      <c r="K1008" s="163">
        <f t="shared" si="31"/>
        <v>1964.87</v>
      </c>
    </row>
    <row r="1009" spans="1:11" ht="14.5">
      <c r="A1009" s="468">
        <v>12013300</v>
      </c>
      <c r="B1009" s="468">
        <v>4905</v>
      </c>
      <c r="C1009" s="468">
        <v>150</v>
      </c>
      <c r="D1009" s="468" t="s">
        <v>260</v>
      </c>
      <c r="E1009" s="468">
        <v>117.32</v>
      </c>
      <c r="F1009" s="468" t="s">
        <v>272</v>
      </c>
      <c r="G1009" s="468"/>
      <c r="H1009" s="468"/>
      <c r="I1009" s="468"/>
      <c r="J1009" s="445" t="str">
        <f t="shared" si="30"/>
        <v>12013300150MV - OPERATING625000IT</v>
      </c>
      <c r="K1009" s="163">
        <f t="shared" si="31"/>
        <v>117.32</v>
      </c>
    </row>
    <row r="1010" spans="1:11" ht="14.5">
      <c r="A1010" s="468">
        <v>12013300</v>
      </c>
      <c r="B1010" s="468">
        <v>4905</v>
      </c>
      <c r="C1010" s="468">
        <v>200</v>
      </c>
      <c r="D1010" s="468" t="s">
        <v>262</v>
      </c>
      <c r="E1010" s="468">
        <v>340.91</v>
      </c>
      <c r="F1010" s="468" t="s">
        <v>272</v>
      </c>
      <c r="G1010" s="468"/>
      <c r="H1010" s="468"/>
      <c r="I1010" s="468"/>
      <c r="J1010" s="445" t="str">
        <f t="shared" si="30"/>
        <v>12013300200AIRFARES - DOMESTIC625000IT</v>
      </c>
      <c r="K1010" s="163">
        <f t="shared" si="31"/>
        <v>340.91</v>
      </c>
    </row>
    <row r="1011" spans="1:11" ht="14.5">
      <c r="A1011" s="468">
        <v>12013300</v>
      </c>
      <c r="B1011" s="468">
        <v>4905</v>
      </c>
      <c r="C1011" s="468">
        <v>350</v>
      </c>
      <c r="D1011" s="468" t="s">
        <v>265</v>
      </c>
      <c r="E1011" s="468"/>
      <c r="F1011" s="468" t="s">
        <v>272</v>
      </c>
      <c r="G1011" s="468"/>
      <c r="H1011" s="468"/>
      <c r="I1011" s="468"/>
      <c r="J1011" s="445" t="str">
        <f t="shared" si="30"/>
        <v>12013300350ACCOMMODATION &amp; MEALS - INTERN625000IT</v>
      </c>
      <c r="K1011" s="163">
        <f t="shared" si="31"/>
        <v>0</v>
      </c>
    </row>
    <row r="1012" spans="1:11" ht="14.5">
      <c r="A1012" s="468">
        <v>12013300</v>
      </c>
      <c r="B1012" s="468">
        <v>4905</v>
      </c>
      <c r="C1012" s="468">
        <v>700</v>
      </c>
      <c r="D1012" s="468" t="s">
        <v>266</v>
      </c>
      <c r="E1012" s="468">
        <v>204.11</v>
      </c>
      <c r="F1012" s="468" t="s">
        <v>272</v>
      </c>
      <c r="G1012" s="468"/>
      <c r="H1012" s="468"/>
      <c r="I1012" s="468"/>
      <c r="J1012" s="445" t="str">
        <f t="shared" si="30"/>
        <v>12013300700TRAVEL - MISC EXP DOMESTIC625000IT</v>
      </c>
      <c r="K1012" s="163">
        <f t="shared" si="31"/>
        <v>204.11</v>
      </c>
    </row>
    <row r="1013" spans="1:11" ht="14.5">
      <c r="A1013" s="468">
        <v>12019099</v>
      </c>
      <c r="B1013" s="468">
        <v>4905</v>
      </c>
      <c r="C1013" s="468">
        <v>150</v>
      </c>
      <c r="D1013" s="468" t="s">
        <v>260</v>
      </c>
      <c r="E1013" s="468">
        <v>1944.38</v>
      </c>
      <c r="F1013" s="468" t="s">
        <v>273</v>
      </c>
      <c r="G1013" s="468"/>
      <c r="H1013" s="468"/>
      <c r="I1013" s="468"/>
      <c r="J1013" s="445" t="str">
        <f t="shared" si="30"/>
        <v>12019099150MV - OPERATING625000GA</v>
      </c>
      <c r="K1013" s="163">
        <f t="shared" si="31"/>
        <v>1944.38</v>
      </c>
    </row>
    <row r="1014" spans="1:11" ht="14.5">
      <c r="A1014" s="468">
        <v>12019099</v>
      </c>
      <c r="B1014" s="468">
        <v>4905</v>
      </c>
      <c r="C1014" s="468">
        <v>200</v>
      </c>
      <c r="D1014" s="468" t="s">
        <v>262</v>
      </c>
      <c r="E1014" s="468">
        <v>9085.9599999999991</v>
      </c>
      <c r="F1014" s="468" t="s">
        <v>273</v>
      </c>
      <c r="G1014" s="468"/>
      <c r="H1014" s="468"/>
      <c r="I1014" s="468"/>
      <c r="J1014" s="445" t="str">
        <f t="shared" si="30"/>
        <v>12019099200AIRFARES - DOMESTIC625000GA</v>
      </c>
      <c r="K1014" s="163">
        <f t="shared" si="31"/>
        <v>9085.9599999999991</v>
      </c>
    </row>
    <row r="1015" spans="1:11" ht="14.5">
      <c r="A1015" s="468">
        <v>12019099</v>
      </c>
      <c r="B1015" s="468">
        <v>4905</v>
      </c>
      <c r="C1015" s="468">
        <v>250</v>
      </c>
      <c r="D1015" s="468" t="s">
        <v>263</v>
      </c>
      <c r="E1015" s="468">
        <v>3287.1</v>
      </c>
      <c r="F1015" s="468" t="s">
        <v>273</v>
      </c>
      <c r="G1015" s="468"/>
      <c r="H1015" s="468"/>
      <c r="I1015" s="468"/>
      <c r="J1015" s="445" t="str">
        <f t="shared" si="30"/>
        <v>12019099250 AIRFARES - INTERNATIONAL625000GA</v>
      </c>
      <c r="K1015" s="163">
        <f t="shared" si="31"/>
        <v>3287.1</v>
      </c>
    </row>
    <row r="1016" spans="1:11" ht="14.5">
      <c r="A1016" s="468">
        <v>12019099</v>
      </c>
      <c r="B1016" s="468">
        <v>4905</v>
      </c>
      <c r="C1016" s="468">
        <v>300</v>
      </c>
      <c r="D1016" s="468" t="s">
        <v>264</v>
      </c>
      <c r="E1016" s="468">
        <v>3005.73</v>
      </c>
      <c r="F1016" s="468" t="s">
        <v>273</v>
      </c>
      <c r="G1016" s="468"/>
      <c r="H1016" s="468"/>
      <c r="I1016" s="468"/>
      <c r="J1016" s="445" t="str">
        <f t="shared" si="30"/>
        <v>12019099300ACCOMMODATION &amp; MEALS - DOMEST625000GA</v>
      </c>
      <c r="K1016" s="163">
        <f t="shared" si="31"/>
        <v>3005.73</v>
      </c>
    </row>
    <row r="1017" spans="1:11" ht="14.5">
      <c r="A1017" s="468">
        <v>12019099</v>
      </c>
      <c r="B1017" s="468">
        <v>4905</v>
      </c>
      <c r="C1017" s="468">
        <v>350</v>
      </c>
      <c r="D1017" s="468" t="s">
        <v>265</v>
      </c>
      <c r="E1017" s="468">
        <v>23124.23</v>
      </c>
      <c r="F1017" s="468" t="s">
        <v>273</v>
      </c>
      <c r="G1017" s="468"/>
      <c r="H1017" s="468"/>
      <c r="I1017" s="468"/>
      <c r="J1017" s="445" t="str">
        <f t="shared" si="30"/>
        <v>12019099350ACCOMMODATION &amp; MEALS - INTERN625000GA</v>
      </c>
      <c r="K1017" s="163">
        <f t="shared" si="31"/>
        <v>23124.23</v>
      </c>
    </row>
    <row r="1018" spans="1:11" ht="14.5">
      <c r="A1018" s="468">
        <v>12018599</v>
      </c>
      <c r="B1018" s="468">
        <v>4905</v>
      </c>
      <c r="C1018" s="468">
        <v>150</v>
      </c>
      <c r="D1018" s="468" t="s">
        <v>260</v>
      </c>
      <c r="E1018" s="468">
        <v>117.32</v>
      </c>
      <c r="F1018" s="468" t="s">
        <v>273</v>
      </c>
      <c r="G1018" s="468"/>
      <c r="H1018" s="468"/>
      <c r="I1018" s="468"/>
      <c r="J1018" s="445" t="str">
        <f t="shared" si="30"/>
        <v>12018599150MV - OPERATING625000GA</v>
      </c>
      <c r="K1018" s="163">
        <f t="shared" si="31"/>
        <v>117.32</v>
      </c>
    </row>
    <row r="1019" spans="1:11" ht="14.5">
      <c r="A1019" s="468">
        <v>12018599</v>
      </c>
      <c r="B1019" s="468">
        <v>4905</v>
      </c>
      <c r="C1019" s="468">
        <v>200</v>
      </c>
      <c r="D1019" s="468" t="s">
        <v>262</v>
      </c>
      <c r="E1019" s="468">
        <v>5274.9</v>
      </c>
      <c r="F1019" s="468" t="s">
        <v>273</v>
      </c>
      <c r="G1019" s="468"/>
      <c r="H1019" s="468"/>
      <c r="I1019" s="468"/>
      <c r="J1019" s="445" t="str">
        <f t="shared" si="30"/>
        <v>12018599200AIRFARES - DOMESTIC625000GA</v>
      </c>
      <c r="K1019" s="163">
        <f t="shared" si="31"/>
        <v>5274.9</v>
      </c>
    </row>
    <row r="1020" spans="1:11" ht="14.5">
      <c r="A1020" s="468">
        <v>12018599</v>
      </c>
      <c r="B1020" s="468">
        <v>4905</v>
      </c>
      <c r="C1020" s="468">
        <v>250</v>
      </c>
      <c r="D1020" s="468" t="s">
        <v>263</v>
      </c>
      <c r="E1020" s="468">
        <v>-2500</v>
      </c>
      <c r="F1020" s="468" t="s">
        <v>273</v>
      </c>
      <c r="G1020" s="468"/>
      <c r="H1020" s="468"/>
      <c r="I1020" s="468"/>
      <c r="J1020" s="445" t="str">
        <f t="shared" si="30"/>
        <v>12018599250 AIRFARES - INTERNATIONAL625000GA</v>
      </c>
      <c r="K1020" s="163">
        <f t="shared" si="31"/>
        <v>-2500</v>
      </c>
    </row>
    <row r="1021" spans="1:11" ht="14.5">
      <c r="A1021" s="468">
        <v>12018599</v>
      </c>
      <c r="B1021" s="468">
        <v>4905</v>
      </c>
      <c r="C1021" s="468">
        <v>300</v>
      </c>
      <c r="D1021" s="468" t="s">
        <v>264</v>
      </c>
      <c r="E1021" s="468">
        <v>430.12</v>
      </c>
      <c r="F1021" s="468" t="s">
        <v>273</v>
      </c>
      <c r="G1021" s="468"/>
      <c r="H1021" s="468"/>
      <c r="I1021" s="468"/>
      <c r="J1021" s="445" t="str">
        <f t="shared" si="30"/>
        <v>12018599300ACCOMMODATION &amp; MEALS - DOMEST625000GA</v>
      </c>
      <c r="K1021" s="163">
        <f t="shared" si="31"/>
        <v>430.12</v>
      </c>
    </row>
    <row r="1022" spans="1:11" ht="14.5">
      <c r="A1022" s="468">
        <v>12018599</v>
      </c>
      <c r="B1022" s="468">
        <v>4905</v>
      </c>
      <c r="C1022" s="468">
        <v>350</v>
      </c>
      <c r="D1022" s="468" t="s">
        <v>265</v>
      </c>
      <c r="E1022" s="468">
        <v>-266.54000000000002</v>
      </c>
      <c r="F1022" s="468" t="s">
        <v>273</v>
      </c>
      <c r="G1022" s="468"/>
      <c r="H1022" s="468"/>
      <c r="I1022" s="468"/>
      <c r="J1022" s="445" t="str">
        <f t="shared" si="30"/>
        <v>12018599350ACCOMMODATION &amp; MEALS - INTERN625000GA</v>
      </c>
      <c r="K1022" s="163">
        <f t="shared" si="31"/>
        <v>-266.54000000000002</v>
      </c>
    </row>
    <row r="1023" spans="1:11" ht="14.5">
      <c r="A1023" s="468">
        <v>12018599</v>
      </c>
      <c r="B1023" s="468">
        <v>4905</v>
      </c>
      <c r="C1023" s="468">
        <v>700</v>
      </c>
      <c r="D1023" s="468" t="s">
        <v>266</v>
      </c>
      <c r="E1023" s="468">
        <v>622.22</v>
      </c>
      <c r="F1023" s="468" t="s">
        <v>273</v>
      </c>
      <c r="G1023" s="468"/>
      <c r="H1023" s="468"/>
      <c r="I1023" s="468"/>
      <c r="J1023" s="445" t="str">
        <f t="shared" si="30"/>
        <v>12018599700TRAVEL - MISC EXP DOMESTIC625000GA</v>
      </c>
      <c r="K1023" s="163">
        <f t="shared" si="31"/>
        <v>622.22</v>
      </c>
    </row>
    <row r="1024" spans="1:11" ht="14.5">
      <c r="A1024" s="468">
        <v>12018199</v>
      </c>
      <c r="B1024" s="468">
        <v>4905</v>
      </c>
      <c r="C1024" s="468">
        <v>200</v>
      </c>
      <c r="D1024" s="468" t="s">
        <v>262</v>
      </c>
      <c r="E1024" s="468">
        <v>4325.2299999999996</v>
      </c>
      <c r="F1024" s="468" t="s">
        <v>271</v>
      </c>
      <c r="G1024" s="468"/>
      <c r="H1024" s="468"/>
      <c r="I1024" s="468"/>
      <c r="J1024" s="445" t="str">
        <f t="shared" si="30"/>
        <v>12018199200AIRFARES - DOMESTIC625000SM</v>
      </c>
      <c r="K1024" s="163">
        <f t="shared" si="31"/>
        <v>4325.2299999999996</v>
      </c>
    </row>
    <row r="1025" spans="1:11" ht="14.5">
      <c r="A1025" s="468">
        <v>12018199</v>
      </c>
      <c r="B1025" s="468">
        <v>4905</v>
      </c>
      <c r="C1025" s="468">
        <v>300</v>
      </c>
      <c r="D1025" s="468" t="s">
        <v>264</v>
      </c>
      <c r="E1025" s="468">
        <v>575.35</v>
      </c>
      <c r="F1025" s="468" t="s">
        <v>271</v>
      </c>
      <c r="G1025" s="468"/>
      <c r="H1025" s="468"/>
      <c r="I1025" s="468"/>
      <c r="J1025" s="445" t="str">
        <f t="shared" si="30"/>
        <v>12018199300ACCOMMODATION &amp; MEALS - DOMEST625000SM</v>
      </c>
      <c r="K1025" s="163">
        <f t="shared" si="31"/>
        <v>575.35</v>
      </c>
    </row>
    <row r="1026" spans="1:11" ht="14.5">
      <c r="A1026" s="468">
        <v>12018199</v>
      </c>
      <c r="B1026" s="468">
        <v>4905</v>
      </c>
      <c r="C1026" s="468">
        <v>350</v>
      </c>
      <c r="D1026" s="468" t="s">
        <v>265</v>
      </c>
      <c r="E1026" s="468">
        <v>7134.4</v>
      </c>
      <c r="F1026" s="468" t="s">
        <v>271</v>
      </c>
      <c r="G1026" s="468"/>
      <c r="H1026" s="468"/>
      <c r="I1026" s="468"/>
      <c r="J1026" s="445" t="str">
        <f t="shared" si="30"/>
        <v>12018199350ACCOMMODATION &amp; MEALS - INTERN625000SM</v>
      </c>
      <c r="K1026" s="163">
        <f t="shared" si="31"/>
        <v>7134.4</v>
      </c>
    </row>
    <row r="1027" spans="1:11" ht="14.5">
      <c r="A1027" s="468">
        <v>12020500</v>
      </c>
      <c r="B1027" s="468">
        <v>4905</v>
      </c>
      <c r="C1027" s="468">
        <v>300</v>
      </c>
      <c r="D1027" s="468" t="s">
        <v>264</v>
      </c>
      <c r="E1027" s="468">
        <v>764.05</v>
      </c>
      <c r="F1027" s="468" t="s">
        <v>261</v>
      </c>
      <c r="G1027" s="468"/>
      <c r="H1027" s="468"/>
      <c r="I1027" s="468"/>
      <c r="J1027" s="445" t="str">
        <f t="shared" si="30"/>
        <v>12020500300ACCOMMODATION &amp; MEALS - DOMEST625000LP</v>
      </c>
      <c r="K1027" s="163">
        <f t="shared" si="31"/>
        <v>764.05</v>
      </c>
    </row>
    <row r="1028" spans="1:11" ht="14.5">
      <c r="A1028" s="468">
        <v>12020500</v>
      </c>
      <c r="B1028" s="468">
        <v>4905</v>
      </c>
      <c r="C1028" s="468">
        <v>700</v>
      </c>
      <c r="D1028" s="468" t="s">
        <v>266</v>
      </c>
      <c r="E1028" s="468">
        <v>36.36</v>
      </c>
      <c r="F1028" s="468" t="s">
        <v>261</v>
      </c>
      <c r="G1028" s="468"/>
      <c r="H1028" s="468"/>
      <c r="I1028" s="468"/>
      <c r="J1028" s="445" t="str">
        <f t="shared" si="30"/>
        <v>12020500700TRAVEL - MISC EXP DOMESTIC625000LP</v>
      </c>
      <c r="K1028" s="163">
        <f t="shared" si="31"/>
        <v>36.36</v>
      </c>
    </row>
    <row r="1029" spans="1:11" ht="14.5">
      <c r="A1029" s="468">
        <v>12019199</v>
      </c>
      <c r="B1029" s="468">
        <v>4905</v>
      </c>
      <c r="C1029" s="468">
        <v>100</v>
      </c>
      <c r="D1029" s="468" t="s">
        <v>274</v>
      </c>
      <c r="E1029" s="468">
        <v>72.73</v>
      </c>
      <c r="F1029" s="468" t="s">
        <v>273</v>
      </c>
      <c r="G1029" s="468"/>
      <c r="H1029" s="468"/>
      <c r="I1029" s="468"/>
      <c r="J1029" s="445" t="str">
        <f t="shared" ref="J1029:J1043" si="32">A1029&amp;C1029&amp;D1029&amp;F1029</f>
        <v>12019199100MV - LEASE625000GA</v>
      </c>
      <c r="K1029" s="163">
        <f t="shared" ref="K1029:K1043" si="33">E1029</f>
        <v>72.73</v>
      </c>
    </row>
    <row r="1030" spans="1:11" ht="14.5">
      <c r="A1030" s="468">
        <v>12019199</v>
      </c>
      <c r="B1030" s="468">
        <v>4905</v>
      </c>
      <c r="C1030" s="468">
        <v>150</v>
      </c>
      <c r="D1030" s="468" t="s">
        <v>260</v>
      </c>
      <c r="E1030" s="468">
        <v>2272.69</v>
      </c>
      <c r="F1030" s="468" t="s">
        <v>273</v>
      </c>
      <c r="G1030" s="468"/>
      <c r="H1030" s="468"/>
      <c r="I1030" s="468"/>
      <c r="J1030" s="445" t="str">
        <f t="shared" si="32"/>
        <v>12019199150MV - OPERATING625000GA</v>
      </c>
      <c r="K1030" s="163">
        <f t="shared" si="33"/>
        <v>2272.69</v>
      </c>
    </row>
    <row r="1031" spans="1:11" ht="14.5">
      <c r="A1031" s="468">
        <v>12019199</v>
      </c>
      <c r="B1031" s="468">
        <v>4905</v>
      </c>
      <c r="C1031" s="468">
        <v>200</v>
      </c>
      <c r="D1031" s="468" t="s">
        <v>262</v>
      </c>
      <c r="E1031" s="468">
        <v>1208.53</v>
      </c>
      <c r="F1031" s="468" t="s">
        <v>273</v>
      </c>
      <c r="G1031" s="468"/>
      <c r="H1031" s="468"/>
      <c r="I1031" s="468"/>
      <c r="J1031" s="445" t="str">
        <f t="shared" si="32"/>
        <v>12019199200AIRFARES - DOMESTIC625000GA</v>
      </c>
      <c r="K1031" s="163">
        <f t="shared" si="33"/>
        <v>1208.53</v>
      </c>
    </row>
    <row r="1032" spans="1:11" ht="14.5">
      <c r="A1032" s="468">
        <v>12019199</v>
      </c>
      <c r="B1032" s="468">
        <v>4905</v>
      </c>
      <c r="C1032" s="468">
        <v>250</v>
      </c>
      <c r="D1032" s="468" t="s">
        <v>263</v>
      </c>
      <c r="E1032" s="468">
        <v>11167.71</v>
      </c>
      <c r="F1032" s="468" t="s">
        <v>273</v>
      </c>
      <c r="G1032" s="468"/>
      <c r="H1032" s="468"/>
      <c r="I1032" s="468"/>
      <c r="J1032" s="445" t="str">
        <f t="shared" si="32"/>
        <v>12019199250 AIRFARES - INTERNATIONAL625000GA</v>
      </c>
      <c r="K1032" s="163">
        <f t="shared" si="33"/>
        <v>11167.71</v>
      </c>
    </row>
    <row r="1033" spans="1:11" ht="14.5">
      <c r="A1033" s="468">
        <v>12019199</v>
      </c>
      <c r="B1033" s="468">
        <v>4905</v>
      </c>
      <c r="C1033" s="468">
        <v>300</v>
      </c>
      <c r="D1033" s="468" t="s">
        <v>264</v>
      </c>
      <c r="E1033" s="468">
        <v>59.09</v>
      </c>
      <c r="F1033" s="468" t="s">
        <v>273</v>
      </c>
      <c r="G1033" s="468"/>
      <c r="H1033" s="468"/>
      <c r="I1033" s="468"/>
      <c r="J1033" s="445" t="str">
        <f t="shared" si="32"/>
        <v>12019199300ACCOMMODATION &amp; MEALS - DOMEST625000GA</v>
      </c>
      <c r="K1033" s="163">
        <f t="shared" si="33"/>
        <v>59.09</v>
      </c>
    </row>
    <row r="1034" spans="1:11" ht="14.5">
      <c r="A1034" s="468">
        <v>12019199</v>
      </c>
      <c r="B1034" s="468">
        <v>4905</v>
      </c>
      <c r="C1034" s="468">
        <v>350</v>
      </c>
      <c r="D1034" s="468" t="s">
        <v>265</v>
      </c>
      <c r="E1034" s="468">
        <v>1445.54</v>
      </c>
      <c r="F1034" s="468" t="s">
        <v>273</v>
      </c>
      <c r="G1034" s="468"/>
      <c r="H1034" s="468"/>
      <c r="I1034" s="468"/>
      <c r="J1034" s="445" t="str">
        <f t="shared" si="32"/>
        <v>12019199350ACCOMMODATION &amp; MEALS - INTERN625000GA</v>
      </c>
      <c r="K1034" s="163">
        <f t="shared" si="33"/>
        <v>1445.54</v>
      </c>
    </row>
    <row r="1035" spans="1:11" ht="14.5">
      <c r="A1035" s="468">
        <v>12019199</v>
      </c>
      <c r="B1035" s="468">
        <v>4905</v>
      </c>
      <c r="C1035" s="468">
        <v>700</v>
      </c>
      <c r="D1035" s="468" t="s">
        <v>266</v>
      </c>
      <c r="E1035" s="468">
        <v>476.56</v>
      </c>
      <c r="F1035" s="468" t="s">
        <v>273</v>
      </c>
      <c r="G1035" s="468"/>
      <c r="H1035" s="468"/>
      <c r="I1035" s="468"/>
      <c r="J1035" s="445" t="str">
        <f t="shared" si="32"/>
        <v>12019199700TRAVEL - MISC EXP DOMESTIC625000GA</v>
      </c>
      <c r="K1035" s="163">
        <f t="shared" si="33"/>
        <v>476.56</v>
      </c>
    </row>
    <row r="1036" spans="1:11" ht="14.5">
      <c r="A1036" s="468">
        <v>12019199</v>
      </c>
      <c r="B1036" s="468">
        <v>4905</v>
      </c>
      <c r="C1036" s="468">
        <v>750</v>
      </c>
      <c r="D1036" s="468" t="s">
        <v>267</v>
      </c>
      <c r="E1036" s="468">
        <v>678.21</v>
      </c>
      <c r="F1036" s="468" t="s">
        <v>273</v>
      </c>
      <c r="G1036" s="468"/>
      <c r="H1036" s="468"/>
      <c r="I1036" s="468"/>
      <c r="J1036" s="445" t="str">
        <f t="shared" si="32"/>
        <v>12019199750TRAVEL - MISC EXP INTERNATIONA625000GA</v>
      </c>
      <c r="K1036" s="163">
        <f t="shared" si="33"/>
        <v>678.21</v>
      </c>
    </row>
    <row r="1037" spans="1:11" ht="14.5">
      <c r="A1037" s="468">
        <v>12019099</v>
      </c>
      <c r="B1037" s="468">
        <v>4905</v>
      </c>
      <c r="C1037" s="468">
        <v>400</v>
      </c>
      <c r="D1037" s="468" t="s">
        <v>268</v>
      </c>
      <c r="E1037" s="468"/>
      <c r="F1037" s="468" t="s">
        <v>273</v>
      </c>
      <c r="G1037" s="468"/>
      <c r="H1037" s="468"/>
      <c r="I1037" s="468"/>
      <c r="J1037" s="445" t="str">
        <f t="shared" si="32"/>
        <v>12019099400RENTAL CARS - DOMESTIC625000GA</v>
      </c>
      <c r="K1037" s="163">
        <f t="shared" si="33"/>
        <v>0</v>
      </c>
    </row>
    <row r="1038" spans="1:11" ht="14.5">
      <c r="A1038" s="468">
        <v>12019099</v>
      </c>
      <c r="B1038" s="468">
        <v>4905</v>
      </c>
      <c r="C1038" s="468">
        <v>700</v>
      </c>
      <c r="D1038" s="468" t="s">
        <v>266</v>
      </c>
      <c r="E1038" s="468">
        <v>5099.09</v>
      </c>
      <c r="F1038" s="468" t="s">
        <v>273</v>
      </c>
      <c r="G1038" s="468"/>
      <c r="H1038" s="468"/>
      <c r="I1038" s="468"/>
      <c r="J1038" s="445" t="str">
        <f t="shared" si="32"/>
        <v>12019099700TRAVEL - MISC EXP DOMESTIC625000GA</v>
      </c>
      <c r="K1038" s="163">
        <f t="shared" si="33"/>
        <v>5099.09</v>
      </c>
    </row>
    <row r="1039" spans="1:11" ht="14.5">
      <c r="A1039" s="468">
        <v>12019099</v>
      </c>
      <c r="B1039" s="468">
        <v>4905</v>
      </c>
      <c r="C1039" s="468">
        <v>750</v>
      </c>
      <c r="D1039" s="468" t="s">
        <v>267</v>
      </c>
      <c r="E1039" s="468">
        <v>118</v>
      </c>
      <c r="F1039" s="468" t="s">
        <v>273</v>
      </c>
      <c r="G1039" s="468"/>
      <c r="H1039" s="468"/>
      <c r="I1039" s="468"/>
      <c r="J1039" s="445" t="str">
        <f t="shared" si="32"/>
        <v>12019099750TRAVEL - MISC EXP INTERNATIONA625000GA</v>
      </c>
      <c r="K1039" s="163">
        <f t="shared" si="33"/>
        <v>118</v>
      </c>
    </row>
    <row r="1040" spans="1:11" ht="14.5">
      <c r="A1040" s="468">
        <v>12023011</v>
      </c>
      <c r="B1040" s="468">
        <v>4905</v>
      </c>
      <c r="C1040" s="468">
        <v>700</v>
      </c>
      <c r="D1040" s="468" t="s">
        <v>266</v>
      </c>
      <c r="E1040" s="468">
        <v>451.94</v>
      </c>
      <c r="F1040" s="468">
        <v>62500000</v>
      </c>
      <c r="G1040" s="468"/>
      <c r="H1040" s="468"/>
      <c r="I1040" s="468"/>
      <c r="J1040" s="445" t="str">
        <f t="shared" si="32"/>
        <v>12023011700TRAVEL - MISC EXP DOMESTIC62500000</v>
      </c>
      <c r="K1040" s="163">
        <f t="shared" si="33"/>
        <v>451.94</v>
      </c>
    </row>
    <row r="1041" spans="1:11" ht="14.5">
      <c r="A1041" s="468">
        <v>12023011</v>
      </c>
      <c r="B1041" s="468">
        <v>4905</v>
      </c>
      <c r="C1041" s="468">
        <v>200</v>
      </c>
      <c r="D1041" s="468" t="s">
        <v>262</v>
      </c>
      <c r="E1041" s="468">
        <v>291.91000000000003</v>
      </c>
      <c r="F1041" s="468">
        <v>62500000</v>
      </c>
      <c r="G1041" s="468"/>
      <c r="H1041" s="468"/>
      <c r="I1041" s="468"/>
      <c r="J1041" s="445" t="str">
        <f t="shared" si="32"/>
        <v>12023011200AIRFARES - DOMESTIC62500000</v>
      </c>
      <c r="K1041" s="163">
        <f t="shared" si="33"/>
        <v>291.91000000000003</v>
      </c>
    </row>
    <row r="1042" spans="1:11" ht="14.5">
      <c r="A1042" s="468">
        <v>12023011</v>
      </c>
      <c r="B1042" s="468">
        <v>4905</v>
      </c>
      <c r="C1042" s="468">
        <v>300</v>
      </c>
      <c r="D1042" s="468" t="s">
        <v>264</v>
      </c>
      <c r="E1042" s="468">
        <v>190.49</v>
      </c>
      <c r="F1042" s="468">
        <v>62500000</v>
      </c>
      <c r="G1042" s="468"/>
      <c r="H1042" s="468"/>
      <c r="I1042" s="468"/>
      <c r="J1042" s="445" t="str">
        <f t="shared" si="32"/>
        <v>12023011300ACCOMMODATION &amp; MEALS - DOMEST62500000</v>
      </c>
      <c r="K1042" s="163">
        <f t="shared" si="33"/>
        <v>190.49</v>
      </c>
    </row>
    <row r="1043" spans="1:11" ht="14.5">
      <c r="A1043" s="468">
        <v>12023011</v>
      </c>
      <c r="B1043" s="468">
        <v>4905</v>
      </c>
      <c r="C1043" s="468">
        <v>500</v>
      </c>
      <c r="D1043" s="468" t="s">
        <v>269</v>
      </c>
      <c r="E1043" s="468">
        <v>1240.4000000000001</v>
      </c>
      <c r="F1043" s="468">
        <v>62500000</v>
      </c>
      <c r="G1043" s="468"/>
      <c r="H1043" s="468"/>
      <c r="I1043" s="468"/>
      <c r="J1043" s="445" t="str">
        <f t="shared" si="32"/>
        <v>12023011500ENTERTAINMENT - DOMESTIC (FBT)62500000</v>
      </c>
      <c r="K1043" s="163">
        <f t="shared" si="33"/>
        <v>1240.4000000000001</v>
      </c>
    </row>
    <row r="1044" spans="1:11" ht="14.5">
      <c r="A1044" s="468">
        <v>12020500</v>
      </c>
      <c r="B1044" s="468">
        <v>4905</v>
      </c>
      <c r="C1044" s="468">
        <v>100</v>
      </c>
      <c r="D1044" s="468" t="s">
        <v>274</v>
      </c>
      <c r="E1044" s="468">
        <v>132.28</v>
      </c>
      <c r="F1044" s="468" t="s">
        <v>261</v>
      </c>
      <c r="G1044" s="468"/>
      <c r="H1044" s="468"/>
      <c r="I1044" s="468"/>
      <c r="J1044" s="445" t="str">
        <f t="shared" ref="J1044:J1107" si="34">A1044&amp;C1044&amp;D1044&amp;F1044</f>
        <v>12020500100MV - LEASE625000LP</v>
      </c>
      <c r="K1044" s="163">
        <f t="shared" ref="K1044:K1107" si="35">E1044</f>
        <v>132.28</v>
      </c>
    </row>
    <row r="1045" spans="1:11" ht="14.5">
      <c r="A1045" s="468">
        <v>12020500</v>
      </c>
      <c r="B1045" s="468">
        <v>4905</v>
      </c>
      <c r="C1045" s="468">
        <v>150</v>
      </c>
      <c r="D1045" s="468" t="s">
        <v>260</v>
      </c>
      <c r="E1045" s="468">
        <v>1215.54</v>
      </c>
      <c r="F1045" s="468" t="s">
        <v>261</v>
      </c>
      <c r="G1045" s="468"/>
      <c r="H1045" s="468"/>
      <c r="I1045" s="468"/>
      <c r="J1045" s="445" t="str">
        <f t="shared" si="34"/>
        <v>12020500150MV - OPERATING625000LP</v>
      </c>
      <c r="K1045" s="163">
        <f t="shared" si="35"/>
        <v>1215.54</v>
      </c>
    </row>
    <row r="1046" spans="1:11" ht="14.5">
      <c r="A1046" s="468">
        <v>12028099</v>
      </c>
      <c r="B1046" s="468">
        <v>4905</v>
      </c>
      <c r="C1046" s="468">
        <v>500</v>
      </c>
      <c r="D1046" s="468" t="s">
        <v>269</v>
      </c>
      <c r="E1046" s="468">
        <v>76.42</v>
      </c>
      <c r="F1046" s="468" t="s">
        <v>271</v>
      </c>
      <c r="G1046" s="468"/>
      <c r="H1046" s="468"/>
      <c r="I1046" s="468"/>
      <c r="J1046" s="445" t="str">
        <f t="shared" si="34"/>
        <v>12028099500ENTERTAINMENT - DOMESTIC (FBT)625000SM</v>
      </c>
      <c r="K1046" s="163">
        <f t="shared" si="35"/>
        <v>76.42</v>
      </c>
    </row>
    <row r="1047" spans="1:11" ht="14.5">
      <c r="A1047" s="468">
        <v>12028099</v>
      </c>
      <c r="B1047" s="468">
        <v>4905</v>
      </c>
      <c r="C1047" s="468">
        <v>550</v>
      </c>
      <c r="D1047" s="468" t="s">
        <v>275</v>
      </c>
      <c r="E1047" s="468">
        <v>56.33</v>
      </c>
      <c r="F1047" s="468" t="s">
        <v>271</v>
      </c>
      <c r="G1047" s="468"/>
      <c r="H1047" s="468"/>
      <c r="I1047" s="468"/>
      <c r="J1047" s="445" t="str">
        <f t="shared" si="34"/>
        <v>12028099550ENTERTAINMENT - DOMESTIC (NON625000SM</v>
      </c>
      <c r="K1047" s="163">
        <f t="shared" si="35"/>
        <v>56.33</v>
      </c>
    </row>
    <row r="1048" spans="1:11" ht="14.5">
      <c r="A1048" s="468">
        <v>12023021</v>
      </c>
      <c r="B1048" s="468">
        <v>4905</v>
      </c>
      <c r="C1048" s="468">
        <v>200</v>
      </c>
      <c r="D1048" s="468" t="s">
        <v>262</v>
      </c>
      <c r="E1048" s="468">
        <v>290.18</v>
      </c>
      <c r="F1048" s="468">
        <v>62500000</v>
      </c>
      <c r="G1048" s="468"/>
      <c r="H1048" s="468"/>
      <c r="I1048" s="468"/>
      <c r="J1048" s="445" t="str">
        <f t="shared" si="34"/>
        <v>12023021200AIRFARES - DOMESTIC62500000</v>
      </c>
      <c r="K1048" s="163">
        <f t="shared" si="35"/>
        <v>290.18</v>
      </c>
    </row>
    <row r="1049" spans="1:11" ht="14.5">
      <c r="A1049" s="468">
        <v>12023021</v>
      </c>
      <c r="B1049" s="468">
        <v>4905</v>
      </c>
      <c r="C1049" s="468">
        <v>300</v>
      </c>
      <c r="D1049" s="468" t="s">
        <v>264</v>
      </c>
      <c r="E1049" s="468">
        <v>462.4</v>
      </c>
      <c r="F1049" s="468">
        <v>62500000</v>
      </c>
      <c r="G1049" s="468"/>
      <c r="H1049" s="468"/>
      <c r="I1049" s="468"/>
      <c r="J1049" s="445" t="str">
        <f t="shared" si="34"/>
        <v>12023021300ACCOMMODATION &amp; MEALS - DOMEST62500000</v>
      </c>
      <c r="K1049" s="163">
        <f t="shared" si="35"/>
        <v>462.4</v>
      </c>
    </row>
    <row r="1050" spans="1:11" ht="14.5">
      <c r="A1050" s="468">
        <v>12023021</v>
      </c>
      <c r="B1050" s="468">
        <v>4905</v>
      </c>
      <c r="C1050" s="468">
        <v>500</v>
      </c>
      <c r="D1050" s="468" t="s">
        <v>269</v>
      </c>
      <c r="E1050" s="468">
        <v>561.82000000000005</v>
      </c>
      <c r="F1050" s="468">
        <v>62500000</v>
      </c>
      <c r="G1050" s="468"/>
      <c r="H1050" s="468"/>
      <c r="I1050" s="468"/>
      <c r="J1050" s="445" t="str">
        <f t="shared" si="34"/>
        <v>12023021500ENTERTAINMENT - DOMESTIC (FBT)62500000</v>
      </c>
      <c r="K1050" s="163">
        <f t="shared" si="35"/>
        <v>561.82000000000005</v>
      </c>
    </row>
    <row r="1051" spans="1:11" ht="14.5">
      <c r="A1051" s="468">
        <v>12023021</v>
      </c>
      <c r="B1051" s="468">
        <v>4905</v>
      </c>
      <c r="C1051" s="468">
        <v>550</v>
      </c>
      <c r="D1051" s="468" t="s">
        <v>275</v>
      </c>
      <c r="E1051" s="468">
        <v>104.55</v>
      </c>
      <c r="F1051" s="468">
        <v>62500000</v>
      </c>
      <c r="G1051" s="468"/>
      <c r="H1051" s="468"/>
      <c r="I1051" s="468"/>
      <c r="J1051" s="445" t="str">
        <f t="shared" si="34"/>
        <v>12023021550ENTERTAINMENT - DOMESTIC (NON62500000</v>
      </c>
      <c r="K1051" s="163">
        <f t="shared" si="35"/>
        <v>104.55</v>
      </c>
    </row>
    <row r="1052" spans="1:11" ht="14.5">
      <c r="A1052" s="468">
        <v>12023011</v>
      </c>
      <c r="B1052" s="468">
        <v>4905</v>
      </c>
      <c r="C1052" s="468">
        <v>550</v>
      </c>
      <c r="D1052" s="468" t="s">
        <v>275</v>
      </c>
      <c r="E1052" s="468">
        <v>199.68</v>
      </c>
      <c r="F1052" s="468">
        <v>62500000</v>
      </c>
      <c r="G1052" s="468"/>
      <c r="H1052" s="468"/>
      <c r="I1052" s="468"/>
      <c r="J1052" s="445" t="str">
        <f t="shared" si="34"/>
        <v>12023011550ENTERTAINMENT - DOMESTIC (NON62500000</v>
      </c>
      <c r="K1052" s="163">
        <f t="shared" si="35"/>
        <v>199.68</v>
      </c>
    </row>
    <row r="1053" spans="1:11" ht="14.5">
      <c r="A1053" s="468">
        <v>12030500</v>
      </c>
      <c r="B1053" s="468">
        <v>4905</v>
      </c>
      <c r="C1053" s="468">
        <v>150</v>
      </c>
      <c r="D1053" s="468" t="s">
        <v>260</v>
      </c>
      <c r="E1053" s="468">
        <v>3643.01</v>
      </c>
      <c r="F1053" s="468" t="s">
        <v>261</v>
      </c>
      <c r="G1053" s="468"/>
      <c r="H1053" s="468"/>
      <c r="I1053" s="468"/>
      <c r="J1053" s="445" t="str">
        <f t="shared" si="34"/>
        <v>12030500150MV - OPERATING625000LP</v>
      </c>
      <c r="K1053" s="163">
        <f t="shared" si="35"/>
        <v>3643.01</v>
      </c>
    </row>
    <row r="1054" spans="1:11" ht="14.5">
      <c r="A1054" s="468">
        <v>12030500</v>
      </c>
      <c r="B1054" s="468">
        <v>4905</v>
      </c>
      <c r="C1054" s="468">
        <v>300</v>
      </c>
      <c r="D1054" s="468" t="s">
        <v>264</v>
      </c>
      <c r="E1054" s="468">
        <v>18.899999999999999</v>
      </c>
      <c r="F1054" s="468" t="s">
        <v>261</v>
      </c>
      <c r="G1054" s="468"/>
      <c r="H1054" s="468"/>
      <c r="I1054" s="468"/>
      <c r="J1054" s="445" t="str">
        <f t="shared" si="34"/>
        <v>12030500300ACCOMMODATION &amp; MEALS - DOMEST625000LP</v>
      </c>
      <c r="K1054" s="163">
        <f t="shared" si="35"/>
        <v>18.899999999999999</v>
      </c>
    </row>
    <row r="1055" spans="1:11" ht="14.5">
      <c r="A1055" s="468">
        <v>12030500</v>
      </c>
      <c r="B1055" s="468">
        <v>4905</v>
      </c>
      <c r="C1055" s="468">
        <v>700</v>
      </c>
      <c r="D1055" s="468" t="s">
        <v>266</v>
      </c>
      <c r="E1055" s="468">
        <v>212.16</v>
      </c>
      <c r="F1055" s="468" t="s">
        <v>261</v>
      </c>
      <c r="G1055" s="468"/>
      <c r="H1055" s="468"/>
      <c r="I1055" s="468"/>
      <c r="J1055" s="445" t="str">
        <f t="shared" si="34"/>
        <v>12030500700TRAVEL - MISC EXP DOMESTIC625000LP</v>
      </c>
      <c r="K1055" s="163">
        <f t="shared" si="35"/>
        <v>212.16</v>
      </c>
    </row>
    <row r="1056" spans="1:11" ht="14.5">
      <c r="A1056" s="468">
        <v>12030400</v>
      </c>
      <c r="B1056" s="468">
        <v>4905</v>
      </c>
      <c r="C1056" s="468">
        <v>150</v>
      </c>
      <c r="D1056" s="468" t="s">
        <v>260</v>
      </c>
      <c r="E1056" s="468">
        <v>190.68</v>
      </c>
      <c r="F1056" s="468" t="s">
        <v>276</v>
      </c>
      <c r="G1056" s="468"/>
      <c r="H1056" s="468"/>
      <c r="I1056" s="468"/>
      <c r="J1056" s="445" t="str">
        <f t="shared" si="34"/>
        <v>12030400150MV - OPERATING625000CS</v>
      </c>
      <c r="K1056" s="163">
        <f t="shared" si="35"/>
        <v>190.68</v>
      </c>
    </row>
    <row r="1057" spans="1:11" ht="14.5">
      <c r="A1057" s="468">
        <v>12030400</v>
      </c>
      <c r="B1057" s="468">
        <v>4905</v>
      </c>
      <c r="C1057" s="468">
        <v>350</v>
      </c>
      <c r="D1057" s="468" t="s">
        <v>265</v>
      </c>
      <c r="E1057" s="468">
        <v>340.91</v>
      </c>
      <c r="F1057" s="468" t="s">
        <v>276</v>
      </c>
      <c r="G1057" s="468"/>
      <c r="H1057" s="468"/>
      <c r="I1057" s="468"/>
      <c r="J1057" s="445" t="str">
        <f t="shared" si="34"/>
        <v>12030400350ACCOMMODATION &amp; MEALS - INTERN625000CS</v>
      </c>
      <c r="K1057" s="163">
        <f t="shared" si="35"/>
        <v>340.91</v>
      </c>
    </row>
    <row r="1058" spans="1:11" ht="14.5">
      <c r="A1058" s="468">
        <v>12028099</v>
      </c>
      <c r="B1058" s="468">
        <v>4905</v>
      </c>
      <c r="C1058" s="468">
        <v>150</v>
      </c>
      <c r="D1058" s="468" t="s">
        <v>260</v>
      </c>
      <c r="E1058" s="468">
        <v>346.35</v>
      </c>
      <c r="F1058" s="468" t="s">
        <v>271</v>
      </c>
      <c r="G1058" s="468"/>
      <c r="H1058" s="468"/>
      <c r="I1058" s="468"/>
      <c r="J1058" s="445" t="str">
        <f t="shared" si="34"/>
        <v>12028099150MV - OPERATING625000SM</v>
      </c>
      <c r="K1058" s="163">
        <f t="shared" si="35"/>
        <v>346.35</v>
      </c>
    </row>
    <row r="1059" spans="1:11" ht="14.5">
      <c r="A1059" s="468">
        <v>12028099</v>
      </c>
      <c r="B1059" s="468">
        <v>4905</v>
      </c>
      <c r="C1059" s="468">
        <v>200</v>
      </c>
      <c r="D1059" s="468" t="s">
        <v>262</v>
      </c>
      <c r="E1059" s="468">
        <v>1534.75</v>
      </c>
      <c r="F1059" s="468" t="s">
        <v>271</v>
      </c>
      <c r="G1059" s="468"/>
      <c r="H1059" s="468"/>
      <c r="I1059" s="468"/>
      <c r="J1059" s="445" t="str">
        <f t="shared" si="34"/>
        <v>12028099200AIRFARES - DOMESTIC625000SM</v>
      </c>
      <c r="K1059" s="163">
        <f t="shared" si="35"/>
        <v>1534.75</v>
      </c>
    </row>
    <row r="1060" spans="1:11" ht="14.5">
      <c r="A1060" s="468">
        <v>12028099</v>
      </c>
      <c r="B1060" s="468">
        <v>4905</v>
      </c>
      <c r="C1060" s="468">
        <v>300</v>
      </c>
      <c r="D1060" s="468" t="s">
        <v>264</v>
      </c>
      <c r="E1060" s="468">
        <v>-285.5</v>
      </c>
      <c r="F1060" s="468" t="s">
        <v>271</v>
      </c>
      <c r="G1060" s="468"/>
      <c r="H1060" s="468"/>
      <c r="I1060" s="468"/>
      <c r="J1060" s="445" t="str">
        <f t="shared" si="34"/>
        <v>12028099300ACCOMMODATION &amp; MEALS - DOMEST625000SM</v>
      </c>
      <c r="K1060" s="163">
        <f t="shared" si="35"/>
        <v>-285.5</v>
      </c>
    </row>
    <row r="1061" spans="1:11" ht="14.5">
      <c r="A1061" s="468">
        <v>12028099</v>
      </c>
      <c r="B1061" s="468">
        <v>4905</v>
      </c>
      <c r="C1061" s="468">
        <v>350</v>
      </c>
      <c r="D1061" s="468" t="s">
        <v>265</v>
      </c>
      <c r="E1061" s="468">
        <v>182.65</v>
      </c>
      <c r="F1061" s="468" t="s">
        <v>271</v>
      </c>
      <c r="G1061" s="468"/>
      <c r="H1061" s="468"/>
      <c r="I1061" s="468"/>
      <c r="J1061" s="445" t="str">
        <f t="shared" si="34"/>
        <v>12028099350ACCOMMODATION &amp; MEALS - INTERN625000SM</v>
      </c>
      <c r="K1061" s="163">
        <f t="shared" si="35"/>
        <v>182.65</v>
      </c>
    </row>
    <row r="1062" spans="1:11" ht="14.5">
      <c r="A1062" s="468">
        <v>12028099</v>
      </c>
      <c r="B1062" s="468">
        <v>4905</v>
      </c>
      <c r="C1062" s="468">
        <v>400</v>
      </c>
      <c r="D1062" s="468" t="s">
        <v>268</v>
      </c>
      <c r="E1062" s="468">
        <v>1146.8599999999999</v>
      </c>
      <c r="F1062" s="468" t="s">
        <v>271</v>
      </c>
      <c r="G1062" s="468"/>
      <c r="H1062" s="468"/>
      <c r="I1062" s="468"/>
      <c r="J1062" s="445" t="str">
        <f t="shared" si="34"/>
        <v>12028099400RENTAL CARS - DOMESTIC625000SM</v>
      </c>
      <c r="K1062" s="163">
        <f t="shared" si="35"/>
        <v>1146.8599999999999</v>
      </c>
    </row>
    <row r="1063" spans="1:11" ht="14.5">
      <c r="A1063" s="468">
        <v>12033011</v>
      </c>
      <c r="B1063" s="468">
        <v>4905</v>
      </c>
      <c r="C1063" s="468">
        <v>150</v>
      </c>
      <c r="D1063" s="468" t="s">
        <v>260</v>
      </c>
      <c r="E1063" s="468">
        <v>1862.68</v>
      </c>
      <c r="F1063" s="468">
        <v>62500000</v>
      </c>
      <c r="G1063" s="468"/>
      <c r="H1063" s="468"/>
      <c r="I1063" s="468"/>
      <c r="J1063" s="445" t="str">
        <f t="shared" si="34"/>
        <v>12033011150MV - OPERATING62500000</v>
      </c>
      <c r="K1063" s="163">
        <f t="shared" si="35"/>
        <v>1862.68</v>
      </c>
    </row>
    <row r="1064" spans="1:11" ht="14.5">
      <c r="A1064" s="468">
        <v>12033011</v>
      </c>
      <c r="B1064" s="468">
        <v>4905</v>
      </c>
      <c r="C1064" s="468">
        <v>350</v>
      </c>
      <c r="D1064" s="468" t="s">
        <v>265</v>
      </c>
      <c r="E1064" s="468">
        <v>91.64</v>
      </c>
      <c r="F1064" s="468">
        <v>62500000</v>
      </c>
      <c r="G1064" s="468"/>
      <c r="H1064" s="468"/>
      <c r="I1064" s="468"/>
      <c r="J1064" s="445" t="str">
        <f t="shared" si="34"/>
        <v>12033011350ACCOMMODATION &amp; MEALS - INTERN62500000</v>
      </c>
      <c r="K1064" s="163">
        <f t="shared" si="35"/>
        <v>91.64</v>
      </c>
    </row>
    <row r="1065" spans="1:11" ht="14.5">
      <c r="A1065" s="468">
        <v>12033011</v>
      </c>
      <c r="B1065" s="468">
        <v>4905</v>
      </c>
      <c r="C1065" s="468">
        <v>800</v>
      </c>
      <c r="D1065" s="468" t="s">
        <v>277</v>
      </c>
      <c r="E1065" s="468">
        <v>18.23</v>
      </c>
      <c r="F1065" s="468">
        <v>62500000</v>
      </c>
      <c r="G1065" s="468"/>
      <c r="H1065" s="468"/>
      <c r="I1065" s="468"/>
      <c r="J1065" s="445" t="str">
        <f t="shared" si="34"/>
        <v>12033011800TRAVEL &amp; CAR RELATED EXPENSES62500000</v>
      </c>
      <c r="K1065" s="163">
        <f t="shared" si="35"/>
        <v>18.23</v>
      </c>
    </row>
    <row r="1066" spans="1:11" ht="14.5">
      <c r="A1066" s="468">
        <v>12040500</v>
      </c>
      <c r="B1066" s="468">
        <v>4905</v>
      </c>
      <c r="C1066" s="468">
        <v>100</v>
      </c>
      <c r="D1066" s="468" t="s">
        <v>274</v>
      </c>
      <c r="E1066" s="468">
        <v>132.27000000000001</v>
      </c>
      <c r="F1066" s="468" t="s">
        <v>261</v>
      </c>
      <c r="G1066" s="468"/>
      <c r="H1066" s="468"/>
      <c r="I1066" s="468"/>
      <c r="J1066" s="445" t="str">
        <f t="shared" si="34"/>
        <v>12040500100MV - LEASE625000LP</v>
      </c>
      <c r="K1066" s="163">
        <f t="shared" si="35"/>
        <v>132.27000000000001</v>
      </c>
    </row>
    <row r="1067" spans="1:11" ht="14.5">
      <c r="A1067" s="468">
        <v>12040500</v>
      </c>
      <c r="B1067" s="468">
        <v>4905</v>
      </c>
      <c r="C1067" s="468">
        <v>150</v>
      </c>
      <c r="D1067" s="468" t="s">
        <v>260</v>
      </c>
      <c r="E1067" s="468">
        <v>3501.94</v>
      </c>
      <c r="F1067" s="468" t="s">
        <v>261</v>
      </c>
      <c r="G1067" s="468"/>
      <c r="H1067" s="468"/>
      <c r="I1067" s="468"/>
      <c r="J1067" s="445" t="str">
        <f t="shared" si="34"/>
        <v>12040500150MV - OPERATING625000LP</v>
      </c>
      <c r="K1067" s="163">
        <f t="shared" si="35"/>
        <v>3501.94</v>
      </c>
    </row>
    <row r="1068" spans="1:11" ht="14.5">
      <c r="A1068" s="468">
        <v>12040500</v>
      </c>
      <c r="B1068" s="468">
        <v>4905</v>
      </c>
      <c r="C1068" s="468">
        <v>300</v>
      </c>
      <c r="D1068" s="468" t="s">
        <v>264</v>
      </c>
      <c r="E1068" s="468">
        <v>53.31</v>
      </c>
      <c r="F1068" s="468" t="s">
        <v>261</v>
      </c>
      <c r="G1068" s="468"/>
      <c r="H1068" s="468"/>
      <c r="I1068" s="468"/>
      <c r="J1068" s="445" t="str">
        <f t="shared" si="34"/>
        <v>12040500300ACCOMMODATION &amp; MEALS - DOMEST625000LP</v>
      </c>
      <c r="K1068" s="163">
        <f t="shared" si="35"/>
        <v>53.31</v>
      </c>
    </row>
    <row r="1069" spans="1:11" ht="14.5">
      <c r="A1069" s="468">
        <v>12040500</v>
      </c>
      <c r="B1069" s="468">
        <v>4905</v>
      </c>
      <c r="C1069" s="468">
        <v>350</v>
      </c>
      <c r="D1069" s="468" t="s">
        <v>265</v>
      </c>
      <c r="E1069" s="468">
        <v>91.66</v>
      </c>
      <c r="F1069" s="468" t="s">
        <v>261</v>
      </c>
      <c r="G1069" s="468"/>
      <c r="H1069" s="468"/>
      <c r="I1069" s="468"/>
      <c r="J1069" s="445" t="str">
        <f t="shared" si="34"/>
        <v>12040500350ACCOMMODATION &amp; MEALS - INTERN625000LP</v>
      </c>
      <c r="K1069" s="163">
        <f t="shared" si="35"/>
        <v>91.66</v>
      </c>
    </row>
    <row r="1070" spans="1:11" ht="14.5">
      <c r="A1070" s="468">
        <v>12040500</v>
      </c>
      <c r="B1070" s="468">
        <v>4905</v>
      </c>
      <c r="C1070" s="468">
        <v>700</v>
      </c>
      <c r="D1070" s="468" t="s">
        <v>266</v>
      </c>
      <c r="E1070" s="468">
        <v>285.37</v>
      </c>
      <c r="F1070" s="468" t="s">
        <v>261</v>
      </c>
      <c r="G1070" s="468"/>
      <c r="H1070" s="468"/>
      <c r="I1070" s="468"/>
      <c r="J1070" s="445" t="str">
        <f t="shared" si="34"/>
        <v>12040500700TRAVEL - MISC EXP DOMESTIC625000LP</v>
      </c>
      <c r="K1070" s="163">
        <f t="shared" si="35"/>
        <v>285.37</v>
      </c>
    </row>
    <row r="1071" spans="1:11" ht="14.5">
      <c r="A1071" s="468">
        <v>12040400</v>
      </c>
      <c r="B1071" s="468">
        <v>4905</v>
      </c>
      <c r="C1071" s="468">
        <v>200</v>
      </c>
      <c r="D1071" s="468" t="s">
        <v>262</v>
      </c>
      <c r="E1071" s="468">
        <v>426.36</v>
      </c>
      <c r="F1071" s="468" t="s">
        <v>276</v>
      </c>
      <c r="G1071" s="468"/>
      <c r="H1071" s="468"/>
      <c r="I1071" s="468"/>
      <c r="J1071" s="445" t="str">
        <f t="shared" si="34"/>
        <v>12040400200AIRFARES - DOMESTIC625000CS</v>
      </c>
      <c r="K1071" s="163">
        <f t="shared" si="35"/>
        <v>426.36</v>
      </c>
    </row>
    <row r="1072" spans="1:11" ht="14.5">
      <c r="A1072" s="468">
        <v>12040400</v>
      </c>
      <c r="B1072" s="468">
        <v>4905</v>
      </c>
      <c r="C1072" s="468">
        <v>300</v>
      </c>
      <c r="D1072" s="468" t="s">
        <v>264</v>
      </c>
      <c r="E1072" s="468">
        <v>1055.96</v>
      </c>
      <c r="F1072" s="468" t="s">
        <v>276</v>
      </c>
      <c r="G1072" s="468"/>
      <c r="H1072" s="468"/>
      <c r="I1072" s="468"/>
      <c r="J1072" s="445" t="str">
        <f t="shared" si="34"/>
        <v>12040400300ACCOMMODATION &amp; MEALS - DOMEST625000CS</v>
      </c>
      <c r="K1072" s="163">
        <f t="shared" si="35"/>
        <v>1055.96</v>
      </c>
    </row>
    <row r="1073" spans="1:11" ht="14.5">
      <c r="A1073" s="468">
        <v>12040400</v>
      </c>
      <c r="B1073" s="468">
        <v>4905</v>
      </c>
      <c r="C1073" s="468">
        <v>700</v>
      </c>
      <c r="D1073" s="468" t="s">
        <v>266</v>
      </c>
      <c r="E1073" s="468">
        <v>307.06</v>
      </c>
      <c r="F1073" s="468" t="s">
        <v>276</v>
      </c>
      <c r="G1073" s="468"/>
      <c r="H1073" s="468"/>
      <c r="I1073" s="468"/>
      <c r="J1073" s="445" t="str">
        <f t="shared" si="34"/>
        <v>12040400700TRAVEL - MISC EXP DOMESTIC625000CS</v>
      </c>
      <c r="K1073" s="163">
        <f t="shared" si="35"/>
        <v>307.06</v>
      </c>
    </row>
    <row r="1074" spans="1:11" ht="14.5">
      <c r="A1074" s="468">
        <v>12038099</v>
      </c>
      <c r="B1074" s="468">
        <v>4905</v>
      </c>
      <c r="C1074" s="468">
        <v>200</v>
      </c>
      <c r="D1074" s="468" t="s">
        <v>262</v>
      </c>
      <c r="E1074" s="468">
        <v>309.08999999999997</v>
      </c>
      <c r="F1074" s="468" t="s">
        <v>271</v>
      </c>
      <c r="G1074" s="468"/>
      <c r="H1074" s="468"/>
      <c r="I1074" s="468"/>
      <c r="J1074" s="445" t="str">
        <f t="shared" si="34"/>
        <v>12038099200AIRFARES - DOMESTIC625000SM</v>
      </c>
      <c r="K1074" s="163">
        <f t="shared" si="35"/>
        <v>309.08999999999997</v>
      </c>
    </row>
    <row r="1075" spans="1:11" ht="14.5">
      <c r="A1075" s="468">
        <v>12038099</v>
      </c>
      <c r="B1075" s="468">
        <v>4905</v>
      </c>
      <c r="C1075" s="468">
        <v>400</v>
      </c>
      <c r="D1075" s="468" t="s">
        <v>268</v>
      </c>
      <c r="E1075" s="468">
        <v>351.36</v>
      </c>
      <c r="F1075" s="468" t="s">
        <v>271</v>
      </c>
      <c r="G1075" s="468"/>
      <c r="H1075" s="468"/>
      <c r="I1075" s="468"/>
      <c r="J1075" s="445" t="str">
        <f t="shared" si="34"/>
        <v>12038099400RENTAL CARS - DOMESTIC625000SM</v>
      </c>
      <c r="K1075" s="163">
        <f t="shared" si="35"/>
        <v>351.36</v>
      </c>
    </row>
    <row r="1076" spans="1:11" ht="14.5">
      <c r="A1076" s="468">
        <v>12038099</v>
      </c>
      <c r="B1076" s="468">
        <v>4905</v>
      </c>
      <c r="C1076" s="468">
        <v>500</v>
      </c>
      <c r="D1076" s="468" t="s">
        <v>269</v>
      </c>
      <c r="E1076" s="468">
        <v>76.45</v>
      </c>
      <c r="F1076" s="468" t="s">
        <v>271</v>
      </c>
      <c r="G1076" s="468"/>
      <c r="H1076" s="468"/>
      <c r="I1076" s="468"/>
      <c r="J1076" s="445" t="str">
        <f t="shared" si="34"/>
        <v>12038099500ENTERTAINMENT - DOMESTIC (FBT)625000SM</v>
      </c>
      <c r="K1076" s="163">
        <f t="shared" si="35"/>
        <v>76.45</v>
      </c>
    </row>
    <row r="1077" spans="1:11" ht="14.5">
      <c r="A1077" s="468">
        <v>12038099</v>
      </c>
      <c r="B1077" s="468">
        <v>4905</v>
      </c>
      <c r="C1077" s="468">
        <v>550</v>
      </c>
      <c r="D1077" s="468" t="s">
        <v>275</v>
      </c>
      <c r="E1077" s="468">
        <v>24.82</v>
      </c>
      <c r="F1077" s="468" t="s">
        <v>271</v>
      </c>
      <c r="G1077" s="468"/>
      <c r="H1077" s="468"/>
      <c r="I1077" s="468"/>
      <c r="J1077" s="445" t="str">
        <f t="shared" si="34"/>
        <v>12038099550ENTERTAINMENT - DOMESTIC (NON625000SM</v>
      </c>
      <c r="K1077" s="163">
        <f t="shared" si="35"/>
        <v>24.82</v>
      </c>
    </row>
    <row r="1078" spans="1:11" ht="14.5">
      <c r="A1078" s="468">
        <v>12038099</v>
      </c>
      <c r="B1078" s="468">
        <v>4905</v>
      </c>
      <c r="C1078" s="468">
        <v>700</v>
      </c>
      <c r="D1078" s="468" t="s">
        <v>266</v>
      </c>
      <c r="E1078" s="468">
        <v>254.5</v>
      </c>
      <c r="F1078" s="468" t="s">
        <v>271</v>
      </c>
      <c r="G1078" s="468"/>
      <c r="H1078" s="468"/>
      <c r="I1078" s="468"/>
      <c r="J1078" s="445" t="str">
        <f t="shared" si="34"/>
        <v>12038099700TRAVEL - MISC EXP DOMESTIC625000SM</v>
      </c>
      <c r="K1078" s="163">
        <f t="shared" si="35"/>
        <v>254.5</v>
      </c>
    </row>
    <row r="1079" spans="1:11" ht="14.5">
      <c r="A1079" s="468">
        <v>12043011</v>
      </c>
      <c r="B1079" s="468">
        <v>4905</v>
      </c>
      <c r="C1079" s="468">
        <v>800</v>
      </c>
      <c r="D1079" s="468" t="s">
        <v>277</v>
      </c>
      <c r="E1079" s="468">
        <v>292.89</v>
      </c>
      <c r="F1079" s="468">
        <v>62500000</v>
      </c>
      <c r="G1079" s="468"/>
      <c r="H1079" s="468"/>
      <c r="I1079" s="468"/>
      <c r="J1079" s="445" t="str">
        <f t="shared" si="34"/>
        <v>12043011800TRAVEL &amp; CAR RELATED EXPENSES62500000</v>
      </c>
      <c r="K1079" s="163">
        <f t="shared" si="35"/>
        <v>292.89</v>
      </c>
    </row>
    <row r="1080" spans="1:11" ht="14.5">
      <c r="A1080" s="468">
        <v>12043011</v>
      </c>
      <c r="B1080" s="468">
        <v>4905</v>
      </c>
      <c r="C1080" s="468">
        <v>150</v>
      </c>
      <c r="D1080" s="468" t="s">
        <v>260</v>
      </c>
      <c r="E1080" s="468">
        <v>2487.86</v>
      </c>
      <c r="F1080" s="468">
        <v>62500000</v>
      </c>
      <c r="G1080" s="468"/>
      <c r="H1080" s="468"/>
      <c r="I1080" s="468"/>
      <c r="J1080" s="445" t="str">
        <f t="shared" si="34"/>
        <v>12043011150MV - OPERATING62500000</v>
      </c>
      <c r="K1080" s="163">
        <f t="shared" si="35"/>
        <v>2487.86</v>
      </c>
    </row>
    <row r="1081" spans="1:11" ht="14.5">
      <c r="A1081" s="468">
        <v>12060500</v>
      </c>
      <c r="B1081" s="468">
        <v>4905</v>
      </c>
      <c r="C1081" s="468">
        <v>150</v>
      </c>
      <c r="D1081" s="468" t="s">
        <v>260</v>
      </c>
      <c r="E1081" s="468">
        <v>310.56</v>
      </c>
      <c r="F1081" s="468" t="s">
        <v>261</v>
      </c>
      <c r="G1081" s="468"/>
      <c r="H1081" s="468"/>
      <c r="I1081" s="468"/>
      <c r="J1081" s="445" t="str">
        <f t="shared" si="34"/>
        <v>12060500150MV - OPERATING625000LP</v>
      </c>
      <c r="K1081" s="163">
        <f t="shared" si="35"/>
        <v>310.56</v>
      </c>
    </row>
    <row r="1082" spans="1:11" ht="14.5">
      <c r="A1082" s="468">
        <v>12060500</v>
      </c>
      <c r="B1082" s="468">
        <v>4905</v>
      </c>
      <c r="C1082" s="468">
        <v>200</v>
      </c>
      <c r="D1082" s="468" t="s">
        <v>262</v>
      </c>
      <c r="E1082" s="468">
        <v>910.49</v>
      </c>
      <c r="F1082" s="468" t="s">
        <v>261</v>
      </c>
      <c r="G1082" s="468"/>
      <c r="H1082" s="468"/>
      <c r="I1082" s="468"/>
      <c r="J1082" s="445" t="str">
        <f t="shared" si="34"/>
        <v>12060500200AIRFARES - DOMESTIC625000LP</v>
      </c>
      <c r="K1082" s="163">
        <f t="shared" si="35"/>
        <v>910.49</v>
      </c>
    </row>
    <row r="1083" spans="1:11" ht="14.5">
      <c r="A1083" s="468">
        <v>12060500</v>
      </c>
      <c r="B1083" s="468">
        <v>4905</v>
      </c>
      <c r="C1083" s="468">
        <v>250</v>
      </c>
      <c r="D1083" s="468" t="s">
        <v>263</v>
      </c>
      <c r="E1083" s="468">
        <v>291.25</v>
      </c>
      <c r="F1083" s="468" t="s">
        <v>261</v>
      </c>
      <c r="G1083" s="468"/>
      <c r="H1083" s="468"/>
      <c r="I1083" s="468"/>
      <c r="J1083" s="445" t="str">
        <f t="shared" si="34"/>
        <v>12060500250 AIRFARES - INTERNATIONAL625000LP</v>
      </c>
      <c r="K1083" s="163">
        <f t="shared" si="35"/>
        <v>291.25</v>
      </c>
    </row>
    <row r="1084" spans="1:11" ht="14.5">
      <c r="A1084" s="468">
        <v>12060500</v>
      </c>
      <c r="B1084" s="468">
        <v>4905</v>
      </c>
      <c r="C1084" s="468">
        <v>500</v>
      </c>
      <c r="D1084" s="468" t="s">
        <v>269</v>
      </c>
      <c r="E1084" s="468">
        <v>100</v>
      </c>
      <c r="F1084" s="468" t="s">
        <v>261</v>
      </c>
      <c r="G1084" s="468"/>
      <c r="H1084" s="468"/>
      <c r="I1084" s="468"/>
      <c r="J1084" s="445" t="str">
        <f t="shared" si="34"/>
        <v>12060500500ENTERTAINMENT - DOMESTIC (FBT)625000LP</v>
      </c>
      <c r="K1084" s="163">
        <f t="shared" si="35"/>
        <v>100</v>
      </c>
    </row>
    <row r="1085" spans="1:11" ht="14.5">
      <c r="A1085" s="468">
        <v>12060400</v>
      </c>
      <c r="B1085" s="468">
        <v>4905</v>
      </c>
      <c r="C1085" s="468">
        <v>150</v>
      </c>
      <c r="D1085" s="468" t="s">
        <v>260</v>
      </c>
      <c r="E1085" s="468">
        <v>177.44</v>
      </c>
      <c r="F1085" s="468" t="s">
        <v>276</v>
      </c>
      <c r="G1085" s="468"/>
      <c r="H1085" s="468"/>
      <c r="I1085" s="468"/>
      <c r="J1085" s="445" t="str">
        <f t="shared" si="34"/>
        <v>12060400150MV - OPERATING625000CS</v>
      </c>
      <c r="K1085" s="163">
        <f t="shared" si="35"/>
        <v>177.44</v>
      </c>
    </row>
    <row r="1086" spans="1:11" ht="14.5">
      <c r="A1086" s="468">
        <v>12060400</v>
      </c>
      <c r="B1086" s="468">
        <v>4905</v>
      </c>
      <c r="C1086" s="468">
        <v>300</v>
      </c>
      <c r="D1086" s="468" t="s">
        <v>264</v>
      </c>
      <c r="E1086" s="468">
        <v>50.5</v>
      </c>
      <c r="F1086" s="468" t="s">
        <v>276</v>
      </c>
      <c r="G1086" s="468"/>
      <c r="H1086" s="468"/>
      <c r="I1086" s="468"/>
      <c r="J1086" s="445" t="str">
        <f t="shared" si="34"/>
        <v>12060400300ACCOMMODATION &amp; MEALS - DOMEST625000CS</v>
      </c>
      <c r="K1086" s="163">
        <f t="shared" si="35"/>
        <v>50.5</v>
      </c>
    </row>
    <row r="1087" spans="1:11" ht="14.5">
      <c r="A1087" s="468">
        <v>12060400</v>
      </c>
      <c r="B1087" s="468">
        <v>4905</v>
      </c>
      <c r="C1087" s="468">
        <v>350</v>
      </c>
      <c r="D1087" s="468" t="s">
        <v>265</v>
      </c>
      <c r="E1087" s="468"/>
      <c r="F1087" s="468" t="s">
        <v>276</v>
      </c>
      <c r="G1087" s="468"/>
      <c r="H1087" s="468"/>
      <c r="I1087" s="468"/>
      <c r="J1087" s="445" t="str">
        <f t="shared" si="34"/>
        <v>12060400350ACCOMMODATION &amp; MEALS - INTERN625000CS</v>
      </c>
      <c r="K1087" s="163">
        <f t="shared" si="35"/>
        <v>0</v>
      </c>
    </row>
    <row r="1088" spans="1:11" ht="14.5">
      <c r="A1088" s="468">
        <v>12060400</v>
      </c>
      <c r="B1088" s="468">
        <v>4905</v>
      </c>
      <c r="C1088" s="468">
        <v>700</v>
      </c>
      <c r="D1088" s="468" t="s">
        <v>266</v>
      </c>
      <c r="E1088" s="468">
        <v>198.97</v>
      </c>
      <c r="F1088" s="468" t="s">
        <v>276</v>
      </c>
      <c r="G1088" s="468"/>
      <c r="H1088" s="468"/>
      <c r="I1088" s="468"/>
      <c r="J1088" s="445" t="str">
        <f t="shared" si="34"/>
        <v>12060400700TRAVEL - MISC EXP DOMESTIC625000CS</v>
      </c>
      <c r="K1088" s="163">
        <f t="shared" si="35"/>
        <v>198.97</v>
      </c>
    </row>
    <row r="1089" spans="1:11" ht="14.5">
      <c r="A1089" s="468">
        <v>12048099</v>
      </c>
      <c r="B1089" s="468">
        <v>4905</v>
      </c>
      <c r="C1089" s="468">
        <v>200</v>
      </c>
      <c r="D1089" s="468" t="s">
        <v>262</v>
      </c>
      <c r="E1089" s="468">
        <v>11420.42</v>
      </c>
      <c r="F1089" s="468" t="s">
        <v>271</v>
      </c>
      <c r="G1089" s="468"/>
      <c r="H1089" s="468"/>
      <c r="I1089" s="468"/>
      <c r="J1089" s="445" t="str">
        <f t="shared" si="34"/>
        <v>12048099200AIRFARES - DOMESTIC625000SM</v>
      </c>
      <c r="K1089" s="163">
        <f t="shared" si="35"/>
        <v>11420.42</v>
      </c>
    </row>
    <row r="1090" spans="1:11" ht="14.5">
      <c r="A1090" s="468">
        <v>12048099</v>
      </c>
      <c r="B1090" s="468">
        <v>4905</v>
      </c>
      <c r="C1090" s="468">
        <v>300</v>
      </c>
      <c r="D1090" s="468" t="s">
        <v>264</v>
      </c>
      <c r="E1090" s="468">
        <v>6838.21</v>
      </c>
      <c r="F1090" s="468" t="s">
        <v>271</v>
      </c>
      <c r="G1090" s="468"/>
      <c r="H1090" s="468"/>
      <c r="I1090" s="468"/>
      <c r="J1090" s="445" t="str">
        <f t="shared" si="34"/>
        <v>12048099300ACCOMMODATION &amp; MEALS - DOMEST625000SM</v>
      </c>
      <c r="K1090" s="163">
        <f t="shared" si="35"/>
        <v>6838.21</v>
      </c>
    </row>
    <row r="1091" spans="1:11" ht="14.5">
      <c r="A1091" s="468">
        <v>12048099</v>
      </c>
      <c r="B1091" s="468">
        <v>4905</v>
      </c>
      <c r="C1091" s="468">
        <v>350</v>
      </c>
      <c r="D1091" s="468" t="s">
        <v>265</v>
      </c>
      <c r="E1091" s="468">
        <v>565.54999999999995</v>
      </c>
      <c r="F1091" s="468" t="s">
        <v>271</v>
      </c>
      <c r="G1091" s="468"/>
      <c r="H1091" s="468"/>
      <c r="I1091" s="468"/>
      <c r="J1091" s="445" t="str">
        <f t="shared" si="34"/>
        <v>12048099350ACCOMMODATION &amp; MEALS - INTERN625000SM</v>
      </c>
      <c r="K1091" s="163">
        <f t="shared" si="35"/>
        <v>565.54999999999995</v>
      </c>
    </row>
    <row r="1092" spans="1:11" ht="14.5">
      <c r="A1092" s="468">
        <v>12048099</v>
      </c>
      <c r="B1092" s="468">
        <v>4905</v>
      </c>
      <c r="C1092" s="468">
        <v>400</v>
      </c>
      <c r="D1092" s="468" t="s">
        <v>268</v>
      </c>
      <c r="E1092" s="468">
        <v>9763.2199999999993</v>
      </c>
      <c r="F1092" s="468" t="s">
        <v>271</v>
      </c>
      <c r="G1092" s="468"/>
      <c r="H1092" s="468"/>
      <c r="I1092" s="468"/>
      <c r="J1092" s="445" t="str">
        <f t="shared" si="34"/>
        <v>12048099400RENTAL CARS - DOMESTIC625000SM</v>
      </c>
      <c r="K1092" s="163">
        <f t="shared" si="35"/>
        <v>9763.2199999999993</v>
      </c>
    </row>
    <row r="1093" spans="1:11" ht="14.5">
      <c r="A1093" s="468">
        <v>12048099</v>
      </c>
      <c r="B1093" s="468">
        <v>4905</v>
      </c>
      <c r="C1093" s="468">
        <v>700</v>
      </c>
      <c r="D1093" s="468" t="s">
        <v>266</v>
      </c>
      <c r="E1093" s="468">
        <v>4200.43</v>
      </c>
      <c r="F1093" s="468" t="s">
        <v>271</v>
      </c>
      <c r="G1093" s="468"/>
      <c r="H1093" s="468"/>
      <c r="I1093" s="468"/>
      <c r="J1093" s="445" t="str">
        <f t="shared" si="34"/>
        <v>12048099700TRAVEL - MISC EXP DOMESTIC625000SM</v>
      </c>
      <c r="K1093" s="163">
        <f t="shared" si="35"/>
        <v>4200.43</v>
      </c>
    </row>
    <row r="1094" spans="1:11" ht="14.5">
      <c r="A1094" s="468">
        <v>12063011</v>
      </c>
      <c r="B1094" s="468">
        <v>4905</v>
      </c>
      <c r="C1094" s="468">
        <v>150</v>
      </c>
      <c r="D1094" s="468" t="s">
        <v>260</v>
      </c>
      <c r="E1094" s="468">
        <v>1818.92</v>
      </c>
      <c r="F1094" s="468">
        <v>62500000</v>
      </c>
      <c r="G1094" s="468"/>
      <c r="H1094" s="468"/>
      <c r="I1094" s="468"/>
      <c r="J1094" s="445" t="str">
        <f t="shared" si="34"/>
        <v>12063011150MV - OPERATING62500000</v>
      </c>
      <c r="K1094" s="163">
        <f t="shared" si="35"/>
        <v>1818.92</v>
      </c>
    </row>
    <row r="1095" spans="1:11" ht="14.5">
      <c r="A1095" s="468">
        <v>12063011</v>
      </c>
      <c r="B1095" s="468">
        <v>4905</v>
      </c>
      <c r="C1095" s="468">
        <v>200</v>
      </c>
      <c r="D1095" s="468" t="s">
        <v>262</v>
      </c>
      <c r="E1095" s="468">
        <v>710</v>
      </c>
      <c r="F1095" s="468">
        <v>62500000</v>
      </c>
      <c r="G1095" s="468"/>
      <c r="H1095" s="468"/>
      <c r="I1095" s="468"/>
      <c r="J1095" s="445" t="str">
        <f t="shared" si="34"/>
        <v>12063011200AIRFARES - DOMESTIC62500000</v>
      </c>
      <c r="K1095" s="163">
        <f t="shared" si="35"/>
        <v>710</v>
      </c>
    </row>
    <row r="1096" spans="1:11" ht="14.5">
      <c r="A1096" s="468">
        <v>12063011</v>
      </c>
      <c r="B1096" s="468">
        <v>4905</v>
      </c>
      <c r="C1096" s="468">
        <v>300</v>
      </c>
      <c r="D1096" s="468" t="s">
        <v>264</v>
      </c>
      <c r="E1096" s="468">
        <v>636.79999999999995</v>
      </c>
      <c r="F1096" s="468">
        <v>62500000</v>
      </c>
      <c r="G1096" s="468"/>
      <c r="H1096" s="468"/>
      <c r="I1096" s="468"/>
      <c r="J1096" s="445" t="str">
        <f t="shared" si="34"/>
        <v>12063011300ACCOMMODATION &amp; MEALS - DOMEST62500000</v>
      </c>
      <c r="K1096" s="163">
        <f t="shared" si="35"/>
        <v>636.79999999999995</v>
      </c>
    </row>
    <row r="1097" spans="1:11" ht="14.5">
      <c r="A1097" s="468">
        <v>12063011</v>
      </c>
      <c r="B1097" s="468">
        <v>4905</v>
      </c>
      <c r="C1097" s="468">
        <v>350</v>
      </c>
      <c r="D1097" s="468" t="s">
        <v>265</v>
      </c>
      <c r="E1097" s="468">
        <v>458.2</v>
      </c>
      <c r="F1097" s="468">
        <v>62500000</v>
      </c>
      <c r="G1097" s="468"/>
      <c r="H1097" s="468"/>
      <c r="I1097" s="468"/>
      <c r="J1097" s="445" t="str">
        <f t="shared" si="34"/>
        <v>12063011350ACCOMMODATION &amp; MEALS - INTERN62500000</v>
      </c>
      <c r="K1097" s="163">
        <f t="shared" si="35"/>
        <v>458.2</v>
      </c>
    </row>
    <row r="1098" spans="1:11" ht="14.5">
      <c r="A1098" s="468">
        <v>12068099</v>
      </c>
      <c r="B1098" s="468">
        <v>4905</v>
      </c>
      <c r="C1098" s="468">
        <v>200</v>
      </c>
      <c r="D1098" s="468" t="s">
        <v>262</v>
      </c>
      <c r="E1098" s="468">
        <v>3223.53</v>
      </c>
      <c r="F1098" s="468" t="s">
        <v>271</v>
      </c>
      <c r="G1098" s="468"/>
      <c r="H1098" s="468"/>
      <c r="I1098" s="468"/>
      <c r="J1098" s="445" t="str">
        <f t="shared" si="34"/>
        <v>12068099200AIRFARES - DOMESTIC625000SM</v>
      </c>
      <c r="K1098" s="163">
        <f t="shared" si="35"/>
        <v>3223.53</v>
      </c>
    </row>
    <row r="1099" spans="1:11" ht="14.5">
      <c r="A1099" s="468">
        <v>12068099</v>
      </c>
      <c r="B1099" s="468">
        <v>4905</v>
      </c>
      <c r="C1099" s="468">
        <v>300</v>
      </c>
      <c r="D1099" s="468" t="s">
        <v>264</v>
      </c>
      <c r="E1099" s="468">
        <v>1005.15</v>
      </c>
      <c r="F1099" s="468" t="s">
        <v>271</v>
      </c>
      <c r="G1099" s="468"/>
      <c r="H1099" s="468"/>
      <c r="I1099" s="468"/>
      <c r="J1099" s="445" t="str">
        <f t="shared" si="34"/>
        <v>12068099300ACCOMMODATION &amp; MEALS - DOMEST625000SM</v>
      </c>
      <c r="K1099" s="163">
        <f t="shared" si="35"/>
        <v>1005.15</v>
      </c>
    </row>
    <row r="1100" spans="1:11" ht="14.5">
      <c r="A1100" s="468">
        <v>12068099</v>
      </c>
      <c r="B1100" s="468">
        <v>4905</v>
      </c>
      <c r="C1100" s="468">
        <v>350</v>
      </c>
      <c r="D1100" s="468" t="s">
        <v>265</v>
      </c>
      <c r="E1100" s="468">
        <v>173.46</v>
      </c>
      <c r="F1100" s="468" t="s">
        <v>271</v>
      </c>
      <c r="G1100" s="468"/>
      <c r="H1100" s="468"/>
      <c r="I1100" s="468"/>
      <c r="J1100" s="445" t="str">
        <f t="shared" si="34"/>
        <v>12068099350ACCOMMODATION &amp; MEALS - INTERN625000SM</v>
      </c>
      <c r="K1100" s="163">
        <f t="shared" si="35"/>
        <v>173.46</v>
      </c>
    </row>
    <row r="1101" spans="1:11" ht="14.5">
      <c r="A1101" s="468">
        <v>12068099</v>
      </c>
      <c r="B1101" s="468">
        <v>4905</v>
      </c>
      <c r="C1101" s="468">
        <v>400</v>
      </c>
      <c r="D1101" s="468" t="s">
        <v>268</v>
      </c>
      <c r="E1101" s="468">
        <v>1302.1500000000001</v>
      </c>
      <c r="F1101" s="468" t="s">
        <v>271</v>
      </c>
      <c r="G1101" s="468"/>
      <c r="H1101" s="468"/>
      <c r="I1101" s="468"/>
      <c r="J1101" s="445" t="str">
        <f t="shared" si="34"/>
        <v>12068099400RENTAL CARS - DOMESTIC625000SM</v>
      </c>
      <c r="K1101" s="163">
        <f t="shared" si="35"/>
        <v>1302.1500000000001</v>
      </c>
    </row>
    <row r="1102" spans="1:11" ht="14.5">
      <c r="A1102" s="468">
        <v>12033011</v>
      </c>
      <c r="B1102" s="468">
        <v>5010</v>
      </c>
      <c r="C1102" s="468">
        <v>100</v>
      </c>
      <c r="D1102" s="468" t="s">
        <v>278</v>
      </c>
      <c r="E1102" s="468">
        <v>8598.9699999999993</v>
      </c>
      <c r="F1102" s="468">
        <v>62000200</v>
      </c>
      <c r="G1102" s="468"/>
      <c r="H1102" s="468"/>
      <c r="I1102" s="468"/>
      <c r="J1102" s="445" t="str">
        <f t="shared" si="34"/>
        <v>12033011100QA PROFICIENCY TESTING - EXTER62000200</v>
      </c>
      <c r="K1102" s="163">
        <f t="shared" si="35"/>
        <v>8598.9699999999993</v>
      </c>
    </row>
    <row r="1103" spans="1:11" ht="14.5">
      <c r="A1103" s="468">
        <v>12033011</v>
      </c>
      <c r="B1103" s="468">
        <v>5010</v>
      </c>
      <c r="C1103" s="468">
        <v>200</v>
      </c>
      <c r="D1103" s="468" t="s">
        <v>279</v>
      </c>
      <c r="E1103" s="468">
        <v>8167.66</v>
      </c>
      <c r="F1103" s="468">
        <v>62000200</v>
      </c>
      <c r="G1103" s="468"/>
      <c r="H1103" s="468"/>
      <c r="I1103" s="468"/>
      <c r="J1103" s="445" t="str">
        <f t="shared" si="34"/>
        <v>12033011200QA MATERIALS PURCHASED62000200</v>
      </c>
      <c r="K1103" s="163">
        <f t="shared" si="35"/>
        <v>8167.66</v>
      </c>
    </row>
    <row r="1104" spans="1:11" ht="14.5">
      <c r="A1104" s="468">
        <v>12033011</v>
      </c>
      <c r="B1104" s="468">
        <v>5010</v>
      </c>
      <c r="C1104" s="468">
        <v>300</v>
      </c>
      <c r="D1104" s="468" t="s">
        <v>280</v>
      </c>
      <c r="E1104" s="468">
        <v>26237.91</v>
      </c>
      <c r="F1104" s="468">
        <v>62000200</v>
      </c>
      <c r="G1104" s="468"/>
      <c r="H1104" s="468"/>
      <c r="I1104" s="468"/>
      <c r="J1104" s="445" t="str">
        <f t="shared" si="34"/>
        <v>12033011300QA AUDIT - EXTERNAL FEES62000200</v>
      </c>
      <c r="K1104" s="163">
        <f t="shared" si="35"/>
        <v>26237.91</v>
      </c>
    </row>
    <row r="1105" spans="1:11" ht="14.5">
      <c r="A1105" s="468">
        <v>12030700</v>
      </c>
      <c r="B1105" s="468">
        <v>5010</v>
      </c>
      <c r="C1105" s="468">
        <v>100</v>
      </c>
      <c r="D1105" s="468" t="s">
        <v>278</v>
      </c>
      <c r="E1105" s="468">
        <v>544.97</v>
      </c>
      <c r="F1105" s="468" t="s">
        <v>281</v>
      </c>
      <c r="G1105" s="468"/>
      <c r="H1105" s="468"/>
      <c r="I1105" s="468"/>
      <c r="J1105" s="445" t="str">
        <f t="shared" si="34"/>
        <v>12030700100QA PROFICIENCY TESTING - EXTER620002QL</v>
      </c>
      <c r="K1105" s="163">
        <f t="shared" si="35"/>
        <v>544.97</v>
      </c>
    </row>
    <row r="1106" spans="1:11" ht="14.5">
      <c r="A1106" s="468">
        <v>12030700</v>
      </c>
      <c r="B1106" s="468">
        <v>5010</v>
      </c>
      <c r="C1106" s="468">
        <v>300</v>
      </c>
      <c r="D1106" s="468" t="s">
        <v>280</v>
      </c>
      <c r="E1106" s="468">
        <v>5245.95</v>
      </c>
      <c r="F1106" s="468" t="s">
        <v>281</v>
      </c>
      <c r="G1106" s="468"/>
      <c r="H1106" s="468"/>
      <c r="I1106" s="468"/>
      <c r="J1106" s="445" t="str">
        <f t="shared" si="34"/>
        <v>12030700300QA AUDIT - EXTERNAL FEES620002QL</v>
      </c>
      <c r="K1106" s="163">
        <f t="shared" si="35"/>
        <v>5245.95</v>
      </c>
    </row>
    <row r="1107" spans="1:11" ht="14.5">
      <c r="A1107" s="468">
        <v>12023021</v>
      </c>
      <c r="B1107" s="468">
        <v>5010</v>
      </c>
      <c r="C1107" s="468">
        <v>100</v>
      </c>
      <c r="D1107" s="468" t="s">
        <v>278</v>
      </c>
      <c r="E1107" s="468">
        <v>3266.03</v>
      </c>
      <c r="F1107" s="468">
        <v>62000200</v>
      </c>
      <c r="G1107" s="468"/>
      <c r="H1107" s="468"/>
      <c r="I1107" s="468"/>
      <c r="J1107" s="445" t="str">
        <f t="shared" si="34"/>
        <v>12023021100QA PROFICIENCY TESTING - EXTER62000200</v>
      </c>
      <c r="K1107" s="163">
        <f t="shared" si="35"/>
        <v>3266.03</v>
      </c>
    </row>
    <row r="1108" spans="1:11" ht="14.5">
      <c r="A1108" s="468">
        <v>12023021</v>
      </c>
      <c r="B1108" s="468">
        <v>5010</v>
      </c>
      <c r="C1108" s="468">
        <v>300</v>
      </c>
      <c r="D1108" s="468" t="s">
        <v>280</v>
      </c>
      <c r="E1108" s="468">
        <v>5717.61</v>
      </c>
      <c r="F1108" s="468">
        <v>62000200</v>
      </c>
      <c r="G1108" s="468"/>
      <c r="H1108" s="468"/>
      <c r="I1108" s="468"/>
      <c r="J1108" s="445" t="str">
        <f t="shared" ref="J1108:J1171" si="36">A1108&amp;C1108&amp;D1108&amp;F1108</f>
        <v>12023021300QA AUDIT - EXTERNAL FEES62000200</v>
      </c>
      <c r="K1108" s="163">
        <f t="shared" ref="K1108:K1171" si="37">E1108</f>
        <v>5717.61</v>
      </c>
    </row>
    <row r="1109" spans="1:11" ht="14.5">
      <c r="A1109" s="468">
        <v>12023011</v>
      </c>
      <c r="B1109" s="468">
        <v>5010</v>
      </c>
      <c r="C1109" s="468">
        <v>100</v>
      </c>
      <c r="D1109" s="468" t="s">
        <v>278</v>
      </c>
      <c r="E1109" s="468">
        <v>7466</v>
      </c>
      <c r="F1109" s="468">
        <v>62000200</v>
      </c>
      <c r="G1109" s="468"/>
      <c r="H1109" s="468"/>
      <c r="I1109" s="468"/>
      <c r="J1109" s="445" t="str">
        <f t="shared" si="36"/>
        <v>12023011100QA PROFICIENCY TESTING - EXTER62000200</v>
      </c>
      <c r="K1109" s="163">
        <f t="shared" si="37"/>
        <v>7466</v>
      </c>
    </row>
    <row r="1110" spans="1:11" ht="14.5">
      <c r="A1110" s="468">
        <v>12023011</v>
      </c>
      <c r="B1110" s="468">
        <v>5010</v>
      </c>
      <c r="C1110" s="468">
        <v>200</v>
      </c>
      <c r="D1110" s="468" t="s">
        <v>279</v>
      </c>
      <c r="E1110" s="468">
        <v>3792</v>
      </c>
      <c r="F1110" s="468">
        <v>62000200</v>
      </c>
      <c r="G1110" s="468"/>
      <c r="H1110" s="468"/>
      <c r="I1110" s="468"/>
      <c r="J1110" s="445" t="str">
        <f t="shared" si="36"/>
        <v>12023011200QA MATERIALS PURCHASED62000200</v>
      </c>
      <c r="K1110" s="163">
        <f t="shared" si="37"/>
        <v>3792</v>
      </c>
    </row>
    <row r="1111" spans="1:11" ht="14.5">
      <c r="A1111" s="468">
        <v>12023011</v>
      </c>
      <c r="B1111" s="468">
        <v>5010</v>
      </c>
      <c r="C1111" s="468">
        <v>300</v>
      </c>
      <c r="D1111" s="468" t="s">
        <v>280</v>
      </c>
      <c r="E1111" s="468">
        <v>13329.7</v>
      </c>
      <c r="F1111" s="468">
        <v>62000200</v>
      </c>
      <c r="G1111" s="468"/>
      <c r="H1111" s="468"/>
      <c r="I1111" s="468"/>
      <c r="J1111" s="445" t="str">
        <f t="shared" si="36"/>
        <v>12023011300QA AUDIT - EXTERNAL FEES62000200</v>
      </c>
      <c r="K1111" s="163">
        <f t="shared" si="37"/>
        <v>13329.7</v>
      </c>
    </row>
    <row r="1112" spans="1:11" ht="14.5">
      <c r="A1112" s="468">
        <v>12020700</v>
      </c>
      <c r="B1112" s="468">
        <v>5010</v>
      </c>
      <c r="C1112" s="468">
        <v>100</v>
      </c>
      <c r="D1112" s="468" t="s">
        <v>278</v>
      </c>
      <c r="E1112" s="468">
        <v>544.98</v>
      </c>
      <c r="F1112" s="468" t="s">
        <v>281</v>
      </c>
      <c r="G1112" s="468"/>
      <c r="H1112" s="468"/>
      <c r="I1112" s="468"/>
      <c r="J1112" s="445" t="str">
        <f t="shared" si="36"/>
        <v>12020700100QA PROFICIENCY TESTING - EXTER620002QL</v>
      </c>
      <c r="K1112" s="163">
        <f t="shared" si="37"/>
        <v>544.98</v>
      </c>
    </row>
    <row r="1113" spans="1:11" ht="14.5">
      <c r="A1113" s="468">
        <v>12020700</v>
      </c>
      <c r="B1113" s="468">
        <v>5010</v>
      </c>
      <c r="C1113" s="468">
        <v>300</v>
      </c>
      <c r="D1113" s="468" t="s">
        <v>280</v>
      </c>
      <c r="E1113" s="468">
        <v>4514.13</v>
      </c>
      <c r="F1113" s="468" t="s">
        <v>281</v>
      </c>
      <c r="G1113" s="468"/>
      <c r="H1113" s="468"/>
      <c r="I1113" s="468"/>
      <c r="J1113" s="445" t="str">
        <f t="shared" si="36"/>
        <v>12020700300QA AUDIT - EXTERNAL FEES620002QL</v>
      </c>
      <c r="K1113" s="163">
        <f t="shared" si="37"/>
        <v>4514.13</v>
      </c>
    </row>
    <row r="1114" spans="1:11" ht="14.5">
      <c r="A1114" s="468">
        <v>12063011</v>
      </c>
      <c r="B1114" s="468">
        <v>5010</v>
      </c>
      <c r="C1114" s="468">
        <v>100</v>
      </c>
      <c r="D1114" s="468" t="s">
        <v>278</v>
      </c>
      <c r="E1114" s="468">
        <v>7126.06</v>
      </c>
      <c r="F1114" s="468">
        <v>62000200</v>
      </c>
      <c r="G1114" s="468"/>
      <c r="H1114" s="468"/>
      <c r="I1114" s="468"/>
      <c r="J1114" s="445" t="str">
        <f t="shared" si="36"/>
        <v>12063011100QA PROFICIENCY TESTING - EXTER62000200</v>
      </c>
      <c r="K1114" s="163">
        <f t="shared" si="37"/>
        <v>7126.06</v>
      </c>
    </row>
    <row r="1115" spans="1:11" ht="14.5">
      <c r="A1115" s="468">
        <v>12063011</v>
      </c>
      <c r="B1115" s="468">
        <v>5010</v>
      </c>
      <c r="C1115" s="468">
        <v>200</v>
      </c>
      <c r="D1115" s="468" t="s">
        <v>279</v>
      </c>
      <c r="E1115" s="468">
        <v>4033.65</v>
      </c>
      <c r="F1115" s="468">
        <v>62000200</v>
      </c>
      <c r="G1115" s="468"/>
      <c r="H1115" s="468"/>
      <c r="I1115" s="468"/>
      <c r="J1115" s="445" t="str">
        <f t="shared" si="36"/>
        <v>12063011200QA MATERIALS PURCHASED62000200</v>
      </c>
      <c r="K1115" s="163">
        <f t="shared" si="37"/>
        <v>4033.65</v>
      </c>
    </row>
    <row r="1116" spans="1:11" ht="14.5">
      <c r="A1116" s="468">
        <v>12063011</v>
      </c>
      <c r="B1116" s="468">
        <v>5010</v>
      </c>
      <c r="C1116" s="468">
        <v>300</v>
      </c>
      <c r="D1116" s="468" t="s">
        <v>280</v>
      </c>
      <c r="E1116" s="468">
        <v>9361.8700000000008</v>
      </c>
      <c r="F1116" s="468">
        <v>62000200</v>
      </c>
      <c r="G1116" s="468"/>
      <c r="H1116" s="468"/>
      <c r="I1116" s="468"/>
      <c r="J1116" s="445" t="str">
        <f t="shared" si="36"/>
        <v>12063011300QA AUDIT - EXTERNAL FEES62000200</v>
      </c>
      <c r="K1116" s="163">
        <f t="shared" si="37"/>
        <v>9361.8700000000008</v>
      </c>
    </row>
    <row r="1117" spans="1:11" ht="14.5">
      <c r="A1117" s="468">
        <v>12060700</v>
      </c>
      <c r="B1117" s="468">
        <v>5010</v>
      </c>
      <c r="C1117" s="468">
        <v>100</v>
      </c>
      <c r="D1117" s="468" t="s">
        <v>278</v>
      </c>
      <c r="E1117" s="468">
        <v>544.97</v>
      </c>
      <c r="F1117" s="468" t="s">
        <v>281</v>
      </c>
      <c r="G1117" s="468"/>
      <c r="H1117" s="468"/>
      <c r="I1117" s="468"/>
      <c r="J1117" s="445" t="str">
        <f t="shared" si="36"/>
        <v>12060700100QA PROFICIENCY TESTING - EXTER620002QL</v>
      </c>
      <c r="K1117" s="163">
        <f t="shared" si="37"/>
        <v>544.97</v>
      </c>
    </row>
    <row r="1118" spans="1:11" ht="14.5">
      <c r="A1118" s="468">
        <v>12043021</v>
      </c>
      <c r="B1118" s="468">
        <v>5010</v>
      </c>
      <c r="C1118" s="468">
        <v>100</v>
      </c>
      <c r="D1118" s="468" t="s">
        <v>278</v>
      </c>
      <c r="E1118" s="468">
        <v>14818.4</v>
      </c>
      <c r="F1118" s="468">
        <v>62000200</v>
      </c>
      <c r="G1118" s="468"/>
      <c r="H1118" s="468"/>
      <c r="I1118" s="468"/>
      <c r="J1118" s="445" t="str">
        <f t="shared" si="36"/>
        <v>12043021100QA PROFICIENCY TESTING - EXTER62000200</v>
      </c>
      <c r="K1118" s="163">
        <f t="shared" si="37"/>
        <v>14818.4</v>
      </c>
    </row>
    <row r="1119" spans="1:11" ht="14.5">
      <c r="A1119" s="468">
        <v>12043011</v>
      </c>
      <c r="B1119" s="468">
        <v>5010</v>
      </c>
      <c r="C1119" s="468">
        <v>100</v>
      </c>
      <c r="D1119" s="468" t="s">
        <v>278</v>
      </c>
      <c r="E1119" s="468">
        <v>24351.96</v>
      </c>
      <c r="F1119" s="468">
        <v>62000200</v>
      </c>
      <c r="G1119" s="468"/>
      <c r="H1119" s="468"/>
      <c r="I1119" s="468"/>
      <c r="J1119" s="445" t="str">
        <f t="shared" si="36"/>
        <v>12043011100QA PROFICIENCY TESTING - EXTER62000200</v>
      </c>
      <c r="K1119" s="163">
        <f t="shared" si="37"/>
        <v>24351.96</v>
      </c>
    </row>
    <row r="1120" spans="1:11" ht="14.5">
      <c r="A1120" s="468">
        <v>12043011</v>
      </c>
      <c r="B1120" s="468">
        <v>5010</v>
      </c>
      <c r="C1120" s="468">
        <v>200</v>
      </c>
      <c r="D1120" s="468" t="s">
        <v>279</v>
      </c>
      <c r="E1120" s="468">
        <v>3718.53</v>
      </c>
      <c r="F1120" s="468">
        <v>62000200</v>
      </c>
      <c r="G1120" s="468"/>
      <c r="H1120" s="468"/>
      <c r="I1120" s="468"/>
      <c r="J1120" s="445" t="str">
        <f t="shared" si="36"/>
        <v>12043011200QA MATERIALS PURCHASED62000200</v>
      </c>
      <c r="K1120" s="163">
        <f t="shared" si="37"/>
        <v>3718.53</v>
      </c>
    </row>
    <row r="1121" spans="1:11" ht="14.5">
      <c r="A1121" s="468">
        <v>12043011</v>
      </c>
      <c r="B1121" s="468">
        <v>5010</v>
      </c>
      <c r="C1121" s="468">
        <v>300</v>
      </c>
      <c r="D1121" s="468" t="s">
        <v>280</v>
      </c>
      <c r="E1121" s="468">
        <v>10561.87</v>
      </c>
      <c r="F1121" s="468">
        <v>62000200</v>
      </c>
      <c r="G1121" s="468"/>
      <c r="H1121" s="468"/>
      <c r="I1121" s="468"/>
      <c r="J1121" s="445" t="str">
        <f t="shared" si="36"/>
        <v>12043011300QA AUDIT - EXTERNAL FEES62000200</v>
      </c>
      <c r="K1121" s="163">
        <f t="shared" si="37"/>
        <v>10561.87</v>
      </c>
    </row>
    <row r="1122" spans="1:11" ht="14.5">
      <c r="A1122" s="468">
        <v>12040700</v>
      </c>
      <c r="B1122" s="468">
        <v>5010</v>
      </c>
      <c r="C1122" s="468">
        <v>100</v>
      </c>
      <c r="D1122" s="468" t="s">
        <v>278</v>
      </c>
      <c r="E1122" s="468">
        <v>544.97</v>
      </c>
      <c r="F1122" s="468" t="s">
        <v>281</v>
      </c>
      <c r="G1122" s="468"/>
      <c r="H1122" s="468"/>
      <c r="I1122" s="468"/>
      <c r="J1122" s="445" t="str">
        <f t="shared" si="36"/>
        <v>12040700100QA PROFICIENCY TESTING - EXTER620002QL</v>
      </c>
      <c r="K1122" s="163">
        <f t="shared" si="37"/>
        <v>544.97</v>
      </c>
    </row>
    <row r="1123" spans="1:11" ht="14.5">
      <c r="A1123" s="468">
        <v>12033011</v>
      </c>
      <c r="B1123" s="468">
        <v>5015</v>
      </c>
      <c r="C1123" s="468"/>
      <c r="D1123" s="468" t="s">
        <v>282</v>
      </c>
      <c r="E1123" s="468">
        <v>1782.07</v>
      </c>
      <c r="F1123" s="468">
        <v>62000300</v>
      </c>
      <c r="G1123" s="468"/>
      <c r="H1123" s="468"/>
      <c r="I1123" s="468"/>
      <c r="J1123" s="445" t="str">
        <f t="shared" si="36"/>
        <v>12033011SAFETYTRNG/EQUIP/OUTSIDE SERV62000300</v>
      </c>
      <c r="K1123" s="163">
        <f t="shared" si="37"/>
        <v>1782.07</v>
      </c>
    </row>
    <row r="1124" spans="1:11" ht="14.5">
      <c r="A1124" s="468">
        <v>12030500</v>
      </c>
      <c r="B1124" s="468">
        <v>5015</v>
      </c>
      <c r="C1124" s="468"/>
      <c r="D1124" s="468" t="s">
        <v>282</v>
      </c>
      <c r="E1124" s="468">
        <v>10245.6</v>
      </c>
      <c r="F1124" s="468" t="s">
        <v>283</v>
      </c>
      <c r="G1124" s="468"/>
      <c r="H1124" s="468"/>
      <c r="I1124" s="468"/>
      <c r="J1124" s="445" t="str">
        <f t="shared" si="36"/>
        <v>12030500SAFETYTRNG/EQUIP/OUTSIDE SERV620003LP</v>
      </c>
      <c r="K1124" s="163">
        <f t="shared" si="37"/>
        <v>10245.6</v>
      </c>
    </row>
    <row r="1125" spans="1:11" ht="14.5">
      <c r="A1125" s="468">
        <v>12018599</v>
      </c>
      <c r="B1125" s="468">
        <v>5015</v>
      </c>
      <c r="C1125" s="468"/>
      <c r="D1125" s="468" t="s">
        <v>282</v>
      </c>
      <c r="E1125" s="468">
        <v>3843</v>
      </c>
      <c r="F1125" s="468" t="s">
        <v>284</v>
      </c>
      <c r="G1125" s="468"/>
      <c r="H1125" s="468"/>
      <c r="I1125" s="468"/>
      <c r="J1125" s="445" t="str">
        <f t="shared" si="36"/>
        <v>12018599SAFETYTRNG/EQUIP/OUTSIDE SERV620003GA</v>
      </c>
      <c r="K1125" s="163">
        <f t="shared" si="37"/>
        <v>3843</v>
      </c>
    </row>
    <row r="1126" spans="1:11" ht="14.5">
      <c r="A1126" s="468">
        <v>12060500</v>
      </c>
      <c r="B1126" s="468">
        <v>5015</v>
      </c>
      <c r="C1126" s="468"/>
      <c r="D1126" s="468" t="s">
        <v>282</v>
      </c>
      <c r="E1126" s="468">
        <v>402.75</v>
      </c>
      <c r="F1126" s="468" t="s">
        <v>283</v>
      </c>
      <c r="G1126" s="468"/>
      <c r="H1126" s="468"/>
      <c r="I1126" s="468"/>
      <c r="J1126" s="445" t="str">
        <f t="shared" si="36"/>
        <v>12060500SAFETYTRNG/EQUIP/OUTSIDE SERV620003LP</v>
      </c>
      <c r="K1126" s="163">
        <f t="shared" si="37"/>
        <v>402.75</v>
      </c>
    </row>
    <row r="1127" spans="1:11" ht="14.5">
      <c r="A1127" s="468">
        <v>12043011</v>
      </c>
      <c r="B1127" s="468">
        <v>5015</v>
      </c>
      <c r="C1127" s="468"/>
      <c r="D1127" s="468" t="s">
        <v>282</v>
      </c>
      <c r="E1127" s="468">
        <v>900</v>
      </c>
      <c r="F1127" s="468">
        <v>62000300</v>
      </c>
      <c r="G1127" s="468"/>
      <c r="H1127" s="468"/>
      <c r="I1127" s="468"/>
      <c r="J1127" s="445" t="str">
        <f t="shared" si="36"/>
        <v>12043011SAFETYTRNG/EQUIP/OUTSIDE SERV62000300</v>
      </c>
      <c r="K1127" s="163">
        <f t="shared" si="37"/>
        <v>900</v>
      </c>
    </row>
    <row r="1128" spans="1:11" ht="14.5">
      <c r="A1128" s="468">
        <v>12040500</v>
      </c>
      <c r="B1128" s="468">
        <v>5015</v>
      </c>
      <c r="C1128" s="468"/>
      <c r="D1128" s="468" t="s">
        <v>282</v>
      </c>
      <c r="E1128" s="468">
        <v>2475</v>
      </c>
      <c r="F1128" s="468" t="s">
        <v>283</v>
      </c>
      <c r="G1128" s="468"/>
      <c r="H1128" s="468"/>
      <c r="I1128" s="468"/>
      <c r="J1128" s="445" t="str">
        <f t="shared" si="36"/>
        <v>12040500SAFETYTRNG/EQUIP/OUTSIDE SERV620003LP</v>
      </c>
      <c r="K1128" s="163">
        <f t="shared" si="37"/>
        <v>2475</v>
      </c>
    </row>
    <row r="1129" spans="1:11" ht="14.5">
      <c r="A1129" s="468">
        <v>12010500</v>
      </c>
      <c r="B1129" s="468">
        <v>5030</v>
      </c>
      <c r="C1129" s="468"/>
      <c r="D1129" s="468" t="s">
        <v>285</v>
      </c>
      <c r="E1129" s="468">
        <v>11.55</v>
      </c>
      <c r="F1129" s="468" t="s">
        <v>286</v>
      </c>
      <c r="G1129" s="468"/>
      <c r="H1129" s="468"/>
      <c r="I1129" s="468"/>
      <c r="J1129" s="445" t="str">
        <f t="shared" si="36"/>
        <v>12010500POSTAGE626000LP</v>
      </c>
      <c r="K1129" s="163">
        <f t="shared" si="37"/>
        <v>11.55</v>
      </c>
    </row>
    <row r="1130" spans="1:11" ht="14.5">
      <c r="A1130" s="468">
        <v>12020500</v>
      </c>
      <c r="B1130" s="468">
        <v>5030</v>
      </c>
      <c r="C1130" s="468"/>
      <c r="D1130" s="468" t="s">
        <v>285</v>
      </c>
      <c r="E1130" s="468">
        <v>2370.17</v>
      </c>
      <c r="F1130" s="468" t="s">
        <v>286</v>
      </c>
      <c r="G1130" s="468"/>
      <c r="H1130" s="468"/>
      <c r="I1130" s="468"/>
      <c r="J1130" s="445" t="str">
        <f t="shared" si="36"/>
        <v>12020500POSTAGE626000LP</v>
      </c>
      <c r="K1130" s="163">
        <f t="shared" si="37"/>
        <v>2370.17</v>
      </c>
    </row>
    <row r="1131" spans="1:11" ht="14.5">
      <c r="A1131" s="468">
        <v>12013250</v>
      </c>
      <c r="B1131" s="468">
        <v>5035</v>
      </c>
      <c r="C1131" s="468">
        <v>300</v>
      </c>
      <c r="D1131" s="468" t="s">
        <v>287</v>
      </c>
      <c r="E1131" s="468">
        <v>141952.97</v>
      </c>
      <c r="F1131" s="468">
        <v>62000400</v>
      </c>
      <c r="G1131" s="468"/>
      <c r="H1131" s="468"/>
      <c r="I1131" s="468"/>
      <c r="J1131" s="445" t="str">
        <f t="shared" si="36"/>
        <v>12013250300LICENSE FEES &amp; CHARGES62000400</v>
      </c>
      <c r="K1131" s="163">
        <f t="shared" si="37"/>
        <v>141952.97</v>
      </c>
    </row>
    <row r="1132" spans="1:11" ht="14.5">
      <c r="A1132" s="468">
        <v>12013250</v>
      </c>
      <c r="B1132" s="468">
        <v>5035</v>
      </c>
      <c r="C1132" s="468"/>
      <c r="D1132" s="468" t="s">
        <v>288</v>
      </c>
      <c r="E1132" s="468">
        <v>32376</v>
      </c>
      <c r="F1132" s="468">
        <v>62000400</v>
      </c>
      <c r="G1132" s="468"/>
      <c r="H1132" s="468"/>
      <c r="I1132" s="468"/>
      <c r="J1132" s="445" t="str">
        <f t="shared" si="36"/>
        <v>12013250BUSINESS LICENSES &amp; FEES62000400</v>
      </c>
      <c r="K1132" s="163">
        <f t="shared" si="37"/>
        <v>32376</v>
      </c>
    </row>
    <row r="1133" spans="1:11" ht="14.5">
      <c r="A1133" s="468">
        <v>12010500</v>
      </c>
      <c r="B1133" s="468">
        <v>5035</v>
      </c>
      <c r="C1133" s="468">
        <v>100</v>
      </c>
      <c r="D1133" s="468" t="s">
        <v>289</v>
      </c>
      <c r="E1133" s="468">
        <v>10.91</v>
      </c>
      <c r="F1133" s="468" t="s">
        <v>290</v>
      </c>
      <c r="G1133" s="468"/>
      <c r="H1133" s="468"/>
      <c r="I1133" s="468"/>
      <c r="J1133" s="445" t="str">
        <f t="shared" si="36"/>
        <v>12010500100BUSINESS LICENCES620004LP</v>
      </c>
      <c r="K1133" s="163">
        <f t="shared" si="37"/>
        <v>10.91</v>
      </c>
    </row>
    <row r="1134" spans="1:11" ht="14.5">
      <c r="A1134" s="468">
        <v>12028099</v>
      </c>
      <c r="B1134" s="468">
        <v>5035</v>
      </c>
      <c r="C1134" s="468">
        <v>100</v>
      </c>
      <c r="D1134" s="468" t="s">
        <v>289</v>
      </c>
      <c r="E1134" s="468">
        <v>46.04</v>
      </c>
      <c r="F1134" s="468" t="s">
        <v>291</v>
      </c>
      <c r="G1134" s="468"/>
      <c r="H1134" s="468"/>
      <c r="I1134" s="468"/>
      <c r="J1134" s="445" t="str">
        <f t="shared" si="36"/>
        <v>12028099100BUSINESS LICENCES620004SM</v>
      </c>
      <c r="K1134" s="163">
        <f t="shared" si="37"/>
        <v>46.04</v>
      </c>
    </row>
    <row r="1135" spans="1:11" ht="14.5">
      <c r="A1135" s="468">
        <v>12023011</v>
      </c>
      <c r="B1135" s="468">
        <v>5035</v>
      </c>
      <c r="C1135" s="468">
        <v>100</v>
      </c>
      <c r="D1135" s="468" t="s">
        <v>289</v>
      </c>
      <c r="E1135" s="468">
        <v>2097.52</v>
      </c>
      <c r="F1135" s="468">
        <v>62000400</v>
      </c>
      <c r="G1135" s="468"/>
      <c r="H1135" s="468"/>
      <c r="I1135" s="468"/>
      <c r="J1135" s="445" t="str">
        <f t="shared" si="36"/>
        <v>12023011100BUSINESS LICENCES62000400</v>
      </c>
      <c r="K1135" s="163">
        <f t="shared" si="37"/>
        <v>2097.52</v>
      </c>
    </row>
    <row r="1136" spans="1:11" ht="14.5">
      <c r="A1136" s="468">
        <v>12020500</v>
      </c>
      <c r="B1136" s="468">
        <v>5035</v>
      </c>
      <c r="C1136" s="468">
        <v>100</v>
      </c>
      <c r="D1136" s="468" t="s">
        <v>289</v>
      </c>
      <c r="E1136" s="468">
        <v>327.27</v>
      </c>
      <c r="F1136" s="468" t="s">
        <v>290</v>
      </c>
      <c r="G1136" s="468"/>
      <c r="H1136" s="468"/>
      <c r="I1136" s="468"/>
      <c r="J1136" s="445" t="str">
        <f t="shared" si="36"/>
        <v>12020500100BUSINESS LICENCES620004LP</v>
      </c>
      <c r="K1136" s="163">
        <f t="shared" si="37"/>
        <v>327.27</v>
      </c>
    </row>
    <row r="1137" spans="1:11" ht="14.5">
      <c r="A1137" s="468">
        <v>12019199</v>
      </c>
      <c r="B1137" s="468">
        <v>5035</v>
      </c>
      <c r="C1137" s="468">
        <v>100</v>
      </c>
      <c r="D1137" s="468" t="s">
        <v>289</v>
      </c>
      <c r="E1137" s="468">
        <v>1283.6400000000001</v>
      </c>
      <c r="F1137" s="468" t="s">
        <v>292</v>
      </c>
      <c r="G1137" s="468"/>
      <c r="H1137" s="468"/>
      <c r="I1137" s="468"/>
      <c r="J1137" s="445" t="str">
        <f t="shared" si="36"/>
        <v>12019199100BUSINESS LICENCES620004GA</v>
      </c>
      <c r="K1137" s="163">
        <f t="shared" si="37"/>
        <v>1283.6400000000001</v>
      </c>
    </row>
    <row r="1138" spans="1:11" ht="14.5">
      <c r="A1138" s="468">
        <v>12033011</v>
      </c>
      <c r="B1138" s="468">
        <v>5035</v>
      </c>
      <c r="C1138" s="468">
        <v>100</v>
      </c>
      <c r="D1138" s="468" t="s">
        <v>289</v>
      </c>
      <c r="E1138" s="468">
        <v>2097.52</v>
      </c>
      <c r="F1138" s="468">
        <v>62000400</v>
      </c>
      <c r="G1138" s="468"/>
      <c r="H1138" s="468"/>
      <c r="I1138" s="468"/>
      <c r="J1138" s="445" t="str">
        <f t="shared" si="36"/>
        <v>12033011100BUSINESS LICENCES62000400</v>
      </c>
      <c r="K1138" s="163">
        <f t="shared" si="37"/>
        <v>2097.52</v>
      </c>
    </row>
    <row r="1139" spans="1:11" ht="14.5">
      <c r="A1139" s="468">
        <v>12033011</v>
      </c>
      <c r="B1139" s="468">
        <v>5035</v>
      </c>
      <c r="C1139" s="468">
        <v>200</v>
      </c>
      <c r="D1139" s="468" t="s">
        <v>848</v>
      </c>
      <c r="E1139" s="468">
        <v>-72.099999999999994</v>
      </c>
      <c r="F1139" s="468">
        <v>62000400</v>
      </c>
      <c r="G1139" s="468"/>
      <c r="H1139" s="468"/>
      <c r="I1139" s="468"/>
      <c r="J1139" s="445" t="str">
        <f t="shared" si="36"/>
        <v>12033011200CERTIFICATION FEES (ANNUAL FEE62000400</v>
      </c>
      <c r="K1139" s="163">
        <f t="shared" si="37"/>
        <v>-72.099999999999994</v>
      </c>
    </row>
    <row r="1140" spans="1:11" ht="14.5">
      <c r="A1140" s="468">
        <v>12030400</v>
      </c>
      <c r="B1140" s="468">
        <v>5035</v>
      </c>
      <c r="C1140" s="468">
        <v>100</v>
      </c>
      <c r="D1140" s="468" t="s">
        <v>289</v>
      </c>
      <c r="E1140" s="468">
        <v>46.04</v>
      </c>
      <c r="F1140" s="468" t="s">
        <v>293</v>
      </c>
      <c r="G1140" s="468"/>
      <c r="H1140" s="468"/>
      <c r="I1140" s="468"/>
      <c r="J1140" s="445" t="str">
        <f t="shared" si="36"/>
        <v>12030400100BUSINESS LICENCES620004CS</v>
      </c>
      <c r="K1140" s="163">
        <f t="shared" si="37"/>
        <v>46.04</v>
      </c>
    </row>
    <row r="1141" spans="1:11" ht="14.5">
      <c r="A1141" s="468">
        <v>12030500</v>
      </c>
      <c r="B1141" s="468">
        <v>5035</v>
      </c>
      <c r="C1141" s="468">
        <v>100</v>
      </c>
      <c r="D1141" s="468" t="s">
        <v>289</v>
      </c>
      <c r="E1141" s="468">
        <v>240</v>
      </c>
      <c r="F1141" s="468" t="s">
        <v>290</v>
      </c>
      <c r="G1141" s="468"/>
      <c r="H1141" s="468"/>
      <c r="I1141" s="468"/>
      <c r="J1141" s="445" t="str">
        <f t="shared" si="36"/>
        <v>12030500100BUSINESS LICENCES620004LP</v>
      </c>
      <c r="K1141" s="163">
        <f t="shared" si="37"/>
        <v>240</v>
      </c>
    </row>
    <row r="1142" spans="1:11" ht="14.5">
      <c r="A1142" s="468">
        <v>12018599</v>
      </c>
      <c r="B1142" s="468">
        <v>5045</v>
      </c>
      <c r="C1142" s="468"/>
      <c r="D1142" s="468" t="s">
        <v>294</v>
      </c>
      <c r="E1142" s="468">
        <v>3642</v>
      </c>
      <c r="F1142" s="468" t="s">
        <v>295</v>
      </c>
      <c r="G1142" s="468"/>
      <c r="H1142" s="468"/>
      <c r="I1142" s="468"/>
      <c r="J1142" s="445" t="str">
        <f t="shared" si="36"/>
        <v>12018599OUTS CONSULT.SUPP. &amp; GL SERV.622000GA</v>
      </c>
      <c r="K1142" s="163">
        <f t="shared" si="37"/>
        <v>3642</v>
      </c>
    </row>
    <row r="1143" spans="1:11" ht="14.5">
      <c r="A1143" s="468">
        <v>12013300</v>
      </c>
      <c r="B1143" s="468">
        <v>5045</v>
      </c>
      <c r="C1143" s="468"/>
      <c r="D1143" s="468" t="s">
        <v>294</v>
      </c>
      <c r="E1143" s="468">
        <v>1702</v>
      </c>
      <c r="F1143" s="468" t="s">
        <v>296</v>
      </c>
      <c r="G1143" s="468"/>
      <c r="H1143" s="468"/>
      <c r="I1143" s="468"/>
      <c r="J1143" s="445" t="str">
        <f t="shared" si="36"/>
        <v>12013300OUTS CONSULT.SUPP. &amp; GL SERV.622000IT</v>
      </c>
      <c r="K1143" s="163">
        <f t="shared" si="37"/>
        <v>1702</v>
      </c>
    </row>
    <row r="1144" spans="1:11" ht="14.5">
      <c r="A1144" s="468">
        <v>12013250</v>
      </c>
      <c r="B1144" s="468">
        <v>5045</v>
      </c>
      <c r="C1144" s="468"/>
      <c r="D1144" s="468" t="s">
        <v>294</v>
      </c>
      <c r="E1144" s="468">
        <v>11559.09</v>
      </c>
      <c r="F1144" s="468">
        <v>62200000</v>
      </c>
      <c r="G1144" s="468"/>
      <c r="H1144" s="468"/>
      <c r="I1144" s="468"/>
      <c r="J1144" s="445" t="str">
        <f t="shared" si="36"/>
        <v>12013250OUTS CONSULT.SUPP. &amp; GL SERV.62200000</v>
      </c>
      <c r="K1144" s="163">
        <f t="shared" si="37"/>
        <v>11559.09</v>
      </c>
    </row>
    <row r="1145" spans="1:11" ht="14.5">
      <c r="A1145" s="468">
        <v>12013260</v>
      </c>
      <c r="B1145" s="468">
        <v>5045</v>
      </c>
      <c r="C1145" s="468"/>
      <c r="D1145" s="468" t="s">
        <v>294</v>
      </c>
      <c r="E1145" s="468">
        <v>1502.5</v>
      </c>
      <c r="F1145" s="468">
        <v>62200000</v>
      </c>
      <c r="G1145" s="468"/>
      <c r="H1145" s="468"/>
      <c r="I1145" s="468"/>
      <c r="J1145" s="445" t="str">
        <f t="shared" si="36"/>
        <v>12013260OUTS CONSULT.SUPP. &amp; GL SERV.62200000</v>
      </c>
      <c r="K1145" s="163">
        <f t="shared" si="37"/>
        <v>1502.5</v>
      </c>
    </row>
    <row r="1146" spans="1:11" ht="14.5">
      <c r="A1146" s="468">
        <v>12019199</v>
      </c>
      <c r="B1146" s="468">
        <v>5045</v>
      </c>
      <c r="C1146" s="468"/>
      <c r="D1146" s="468" t="s">
        <v>294</v>
      </c>
      <c r="E1146" s="468">
        <v>46800</v>
      </c>
      <c r="F1146" s="468" t="s">
        <v>295</v>
      </c>
      <c r="G1146" s="468"/>
      <c r="H1146" s="468"/>
      <c r="I1146" s="468"/>
      <c r="J1146" s="445" t="str">
        <f t="shared" si="36"/>
        <v>12019199OUTS CONSULT.SUPP. &amp; GL SERV.622000GA</v>
      </c>
      <c r="K1146" s="163">
        <f t="shared" si="37"/>
        <v>46800</v>
      </c>
    </row>
    <row r="1147" spans="1:11" ht="14.5">
      <c r="A1147" s="468">
        <v>12018199</v>
      </c>
      <c r="B1147" s="468">
        <v>5065</v>
      </c>
      <c r="C1147" s="468">
        <v>117</v>
      </c>
      <c r="D1147" s="468" t="s">
        <v>297</v>
      </c>
      <c r="E1147" s="468">
        <v>-9876.25</v>
      </c>
      <c r="F1147" s="468" t="s">
        <v>298</v>
      </c>
      <c r="G1147" s="468"/>
      <c r="H1147" s="468"/>
      <c r="I1147" s="468"/>
      <c r="J1147" s="445" t="str">
        <f t="shared" si="36"/>
        <v>12018199117OTHER REINVOIC.INCOM- INTERCO.720007SM</v>
      </c>
      <c r="K1147" s="163">
        <f t="shared" si="37"/>
        <v>-9876.25</v>
      </c>
    </row>
    <row r="1148" spans="1:11" ht="14.5">
      <c r="A1148" s="468">
        <v>12010500</v>
      </c>
      <c r="B1148" s="468">
        <v>5065</v>
      </c>
      <c r="C1148" s="468">
        <v>192</v>
      </c>
      <c r="D1148" s="468" t="s">
        <v>297</v>
      </c>
      <c r="E1148" s="468">
        <v>-2448.13</v>
      </c>
      <c r="F1148" s="468" t="s">
        <v>849</v>
      </c>
      <c r="G1148" s="468"/>
      <c r="H1148" s="468"/>
      <c r="I1148" s="468"/>
      <c r="J1148" s="445" t="str">
        <f t="shared" si="36"/>
        <v>12010500192OTHER REINVOIC.INCOM- INTERCO.720007LP</v>
      </c>
      <c r="K1148" s="163">
        <f t="shared" si="37"/>
        <v>-2448.13</v>
      </c>
    </row>
    <row r="1149" spans="1:11" ht="14.5">
      <c r="A1149" s="468">
        <v>12033011</v>
      </c>
      <c r="B1149" s="468">
        <v>5065</v>
      </c>
      <c r="C1149" s="468">
        <v>113</v>
      </c>
      <c r="D1149" s="468" t="s">
        <v>297</v>
      </c>
      <c r="E1149" s="468">
        <v>-21373.200000000001</v>
      </c>
      <c r="F1149" s="468">
        <v>72000700</v>
      </c>
      <c r="G1149" s="468"/>
      <c r="H1149" s="468"/>
      <c r="I1149" s="468"/>
      <c r="J1149" s="445" t="str">
        <f t="shared" si="36"/>
        <v>12033011113OTHER REINVOIC.INCOM- INTERCO.72000700</v>
      </c>
      <c r="K1149" s="163">
        <f t="shared" si="37"/>
        <v>-21373.200000000001</v>
      </c>
    </row>
    <row r="1150" spans="1:11" ht="14.5">
      <c r="A1150" s="468">
        <v>12019099</v>
      </c>
      <c r="B1150" s="468">
        <v>5065</v>
      </c>
      <c r="C1150" s="468">
        <v>117</v>
      </c>
      <c r="D1150" s="468" t="s">
        <v>297</v>
      </c>
      <c r="E1150" s="468">
        <v>-871.59</v>
      </c>
      <c r="F1150" s="468" t="s">
        <v>850</v>
      </c>
      <c r="G1150" s="468"/>
      <c r="H1150" s="468"/>
      <c r="I1150" s="468"/>
      <c r="J1150" s="445" t="str">
        <f t="shared" si="36"/>
        <v>12019099117OTHER REINVOIC.INCOM- INTERCO.720007GA</v>
      </c>
      <c r="K1150" s="163">
        <f t="shared" si="37"/>
        <v>-871.59</v>
      </c>
    </row>
    <row r="1151" spans="1:11" ht="14.5">
      <c r="A1151" s="468">
        <v>12043011</v>
      </c>
      <c r="B1151" s="468">
        <v>5070</v>
      </c>
      <c r="C1151" s="468">
        <v>113</v>
      </c>
      <c r="D1151" s="468" t="s">
        <v>299</v>
      </c>
      <c r="E1151" s="468">
        <v>-550</v>
      </c>
      <c r="F1151" s="468">
        <v>62000700</v>
      </c>
      <c r="G1151" s="468"/>
      <c r="H1151" s="468"/>
      <c r="I1151" s="468"/>
      <c r="J1151" s="445" t="str">
        <f t="shared" si="36"/>
        <v>12043011113OTHER REINVOICING EXPENSE - IC62000700</v>
      </c>
      <c r="K1151" s="163">
        <f t="shared" si="37"/>
        <v>-550</v>
      </c>
    </row>
    <row r="1152" spans="1:11" ht="14.5">
      <c r="A1152" s="468">
        <v>12043011</v>
      </c>
      <c r="B1152" s="468">
        <v>5070</v>
      </c>
      <c r="C1152" s="468">
        <v>177</v>
      </c>
      <c r="D1152" s="468" t="s">
        <v>299</v>
      </c>
      <c r="E1152" s="468">
        <v>550</v>
      </c>
      <c r="F1152" s="468">
        <v>62000700</v>
      </c>
      <c r="G1152" s="468"/>
      <c r="H1152" s="468"/>
      <c r="I1152" s="468"/>
      <c r="J1152" s="445" t="str">
        <f t="shared" si="36"/>
        <v>12043011177OTHER REINVOICING EXPENSE - IC62000700</v>
      </c>
      <c r="K1152" s="163">
        <f t="shared" si="37"/>
        <v>550</v>
      </c>
    </row>
    <row r="1153" spans="1:11" ht="14.5">
      <c r="A1153" s="468">
        <v>12023021</v>
      </c>
      <c r="B1153" s="468">
        <v>5070</v>
      </c>
      <c r="C1153" s="468">
        <v>104</v>
      </c>
      <c r="D1153" s="468" t="s">
        <v>299</v>
      </c>
      <c r="E1153" s="468">
        <v>283.91000000000003</v>
      </c>
      <c r="F1153" s="468">
        <v>62000700</v>
      </c>
      <c r="G1153" s="468"/>
      <c r="H1153" s="468"/>
      <c r="I1153" s="468"/>
      <c r="J1153" s="445" t="str">
        <f t="shared" si="36"/>
        <v>12023021104OTHER REINVOICING EXPENSE - IC62000700</v>
      </c>
      <c r="K1153" s="163">
        <f t="shared" si="37"/>
        <v>283.91000000000003</v>
      </c>
    </row>
    <row r="1154" spans="1:11" ht="14.5">
      <c r="A1154" s="468">
        <v>12023122</v>
      </c>
      <c r="B1154" s="468">
        <v>5070</v>
      </c>
      <c r="C1154" s="468">
        <v>113</v>
      </c>
      <c r="D1154" s="468" t="s">
        <v>299</v>
      </c>
      <c r="E1154" s="468">
        <v>7352.81</v>
      </c>
      <c r="F1154" s="468">
        <v>62000700</v>
      </c>
      <c r="G1154" s="468"/>
      <c r="H1154" s="468"/>
      <c r="I1154" s="468"/>
      <c r="J1154" s="445" t="str">
        <f t="shared" si="36"/>
        <v>12023122113OTHER REINVOICING EXPENSE - IC62000700</v>
      </c>
      <c r="K1154" s="163">
        <f t="shared" si="37"/>
        <v>7352.81</v>
      </c>
    </row>
    <row r="1155" spans="1:11" ht="14.5">
      <c r="A1155" s="468">
        <v>12019199</v>
      </c>
      <c r="B1155" s="468">
        <v>5070</v>
      </c>
      <c r="C1155" s="468">
        <v>117</v>
      </c>
      <c r="D1155" s="468" t="s">
        <v>299</v>
      </c>
      <c r="E1155" s="468">
        <v>56986.23</v>
      </c>
      <c r="F1155" s="468" t="s">
        <v>301</v>
      </c>
      <c r="G1155" s="468"/>
      <c r="H1155" s="468"/>
      <c r="I1155" s="468"/>
      <c r="J1155" s="445" t="str">
        <f t="shared" si="36"/>
        <v>12019199117OTHER REINVOICING EXPENSE - IC620007GA</v>
      </c>
      <c r="K1155" s="163">
        <f t="shared" si="37"/>
        <v>56986.23</v>
      </c>
    </row>
    <row r="1156" spans="1:11" ht="14.5">
      <c r="A1156" s="468">
        <v>12013300</v>
      </c>
      <c r="B1156" s="468">
        <v>5070</v>
      </c>
      <c r="C1156" s="468">
        <v>117</v>
      </c>
      <c r="D1156" s="468" t="s">
        <v>299</v>
      </c>
      <c r="E1156" s="468">
        <v>580708.81999999995</v>
      </c>
      <c r="F1156" s="468" t="s">
        <v>300</v>
      </c>
      <c r="G1156" s="468"/>
      <c r="H1156" s="468"/>
      <c r="I1156" s="468"/>
      <c r="J1156" s="445" t="str">
        <f t="shared" si="36"/>
        <v>12013300117OTHER REINVOICING EXPENSE - IC620007IT</v>
      </c>
      <c r="K1156" s="163">
        <f t="shared" si="37"/>
        <v>580708.81999999995</v>
      </c>
    </row>
    <row r="1157" spans="1:11" ht="14.5">
      <c r="A1157" s="468">
        <v>12014000</v>
      </c>
      <c r="B1157" s="468">
        <v>5070</v>
      </c>
      <c r="C1157" s="468">
        <v>117</v>
      </c>
      <c r="D1157" s="468" t="s">
        <v>299</v>
      </c>
      <c r="E1157" s="468">
        <v>-20574.580000000002</v>
      </c>
      <c r="F1157" s="468">
        <v>62000700</v>
      </c>
      <c r="G1157" s="468"/>
      <c r="H1157" s="468"/>
      <c r="I1157" s="468"/>
      <c r="J1157" s="445" t="str">
        <f t="shared" si="36"/>
        <v>12014000117OTHER REINVOICING EXPENSE - IC62000700</v>
      </c>
      <c r="K1157" s="163">
        <f t="shared" si="37"/>
        <v>-20574.580000000002</v>
      </c>
    </row>
    <row r="1158" spans="1:11" ht="14.5">
      <c r="A1158" s="468">
        <v>12014000</v>
      </c>
      <c r="B1158" s="468">
        <v>5070</v>
      </c>
      <c r="C1158" s="468">
        <v>180</v>
      </c>
      <c r="D1158" s="468" t="s">
        <v>299</v>
      </c>
      <c r="E1158" s="468">
        <v>20574.580000000002</v>
      </c>
      <c r="F1158" s="468">
        <v>62000700</v>
      </c>
      <c r="G1158" s="468"/>
      <c r="H1158" s="468"/>
      <c r="I1158" s="468"/>
      <c r="J1158" s="445" t="str">
        <f t="shared" si="36"/>
        <v>12014000180OTHER REINVOICING EXPENSE - IC62000700</v>
      </c>
      <c r="K1158" s="163">
        <f t="shared" si="37"/>
        <v>20574.580000000002</v>
      </c>
    </row>
    <row r="1159" spans="1:11" ht="14.5">
      <c r="A1159" s="468">
        <v>12013250</v>
      </c>
      <c r="B1159" s="468">
        <v>5070</v>
      </c>
      <c r="C1159" s="468">
        <v>171</v>
      </c>
      <c r="D1159" s="468" t="s">
        <v>299</v>
      </c>
      <c r="E1159" s="468">
        <v>53394.14</v>
      </c>
      <c r="F1159" s="468">
        <v>62000700</v>
      </c>
      <c r="G1159" s="468"/>
      <c r="H1159" s="468"/>
      <c r="I1159" s="468"/>
      <c r="J1159" s="445" t="str">
        <f t="shared" si="36"/>
        <v>12013250171OTHER REINVOICING EXPENSE - IC62000700</v>
      </c>
      <c r="K1159" s="163">
        <f t="shared" si="37"/>
        <v>53394.14</v>
      </c>
    </row>
    <row r="1160" spans="1:11" ht="14.5">
      <c r="A1160" s="468">
        <v>12010500</v>
      </c>
      <c r="B1160" s="468">
        <v>5075</v>
      </c>
      <c r="C1160" s="468">
        <v>150</v>
      </c>
      <c r="D1160" s="468" t="s">
        <v>308</v>
      </c>
      <c r="E1160" s="468">
        <v>36.369999999999997</v>
      </c>
      <c r="F1160" s="468" t="s">
        <v>306</v>
      </c>
      <c r="G1160" s="468"/>
      <c r="H1160" s="468"/>
      <c r="I1160" s="468"/>
      <c r="J1160" s="445" t="str">
        <f t="shared" si="36"/>
        <v>12010500150WEBSITE623000SM</v>
      </c>
      <c r="K1160" s="163">
        <f t="shared" si="37"/>
        <v>36.369999999999997</v>
      </c>
    </row>
    <row r="1161" spans="1:11" ht="14.5">
      <c r="A1161" s="468">
        <v>12018599</v>
      </c>
      <c r="B1161" s="468">
        <v>5075</v>
      </c>
      <c r="C1161" s="468">
        <v>300</v>
      </c>
      <c r="D1161" s="468" t="s">
        <v>302</v>
      </c>
      <c r="E1161" s="468">
        <v>4989.8999999999996</v>
      </c>
      <c r="F1161" s="468" t="s">
        <v>304</v>
      </c>
      <c r="G1161" s="468"/>
      <c r="H1161" s="468"/>
      <c r="I1161" s="468"/>
      <c r="J1161" s="445" t="str">
        <f t="shared" si="36"/>
        <v>12018599300PRINTING620008GA</v>
      </c>
      <c r="K1161" s="163">
        <f t="shared" si="37"/>
        <v>4989.8999999999996</v>
      </c>
    </row>
    <row r="1162" spans="1:11" ht="14.5">
      <c r="A1162" s="468">
        <v>12018199</v>
      </c>
      <c r="B1162" s="468">
        <v>5075</v>
      </c>
      <c r="C1162" s="468">
        <v>100</v>
      </c>
      <c r="D1162" s="468" t="s">
        <v>305</v>
      </c>
      <c r="E1162" s="468">
        <v>11791.09</v>
      </c>
      <c r="F1162" s="468" t="s">
        <v>306</v>
      </c>
      <c r="G1162" s="468"/>
      <c r="H1162" s="468"/>
      <c r="I1162" s="468"/>
      <c r="J1162" s="445" t="str">
        <f t="shared" si="36"/>
        <v>12018199100ADVERTISING623000SM</v>
      </c>
      <c r="K1162" s="163">
        <f t="shared" si="37"/>
        <v>11791.09</v>
      </c>
    </row>
    <row r="1163" spans="1:11" ht="14.5">
      <c r="A1163" s="468">
        <v>12018199</v>
      </c>
      <c r="B1163" s="468">
        <v>5075</v>
      </c>
      <c r="C1163" s="468">
        <v>150</v>
      </c>
      <c r="D1163" s="468" t="s">
        <v>308</v>
      </c>
      <c r="E1163" s="468">
        <v>102.66</v>
      </c>
      <c r="F1163" s="468" t="s">
        <v>306</v>
      </c>
      <c r="G1163" s="468"/>
      <c r="H1163" s="468"/>
      <c r="I1163" s="468"/>
      <c r="J1163" s="445" t="str">
        <f t="shared" si="36"/>
        <v>12018199150WEBSITE623000SM</v>
      </c>
      <c r="K1163" s="163">
        <f t="shared" si="37"/>
        <v>102.66</v>
      </c>
    </row>
    <row r="1164" spans="1:11" ht="14.5">
      <c r="A1164" s="468">
        <v>12018199</v>
      </c>
      <c r="B1164" s="468">
        <v>5075</v>
      </c>
      <c r="C1164" s="468">
        <v>300</v>
      </c>
      <c r="D1164" s="468" t="s">
        <v>302</v>
      </c>
      <c r="E1164" s="468">
        <v>1151.82</v>
      </c>
      <c r="F1164" s="468" t="s">
        <v>306</v>
      </c>
      <c r="G1164" s="468"/>
      <c r="H1164" s="468"/>
      <c r="I1164" s="468"/>
      <c r="J1164" s="445" t="str">
        <f t="shared" si="36"/>
        <v>12018199300PRINTING623000SM</v>
      </c>
      <c r="K1164" s="163">
        <f t="shared" si="37"/>
        <v>1151.82</v>
      </c>
    </row>
    <row r="1165" spans="1:11" ht="14.5">
      <c r="A1165" s="468">
        <v>12018199</v>
      </c>
      <c r="B1165" s="468">
        <v>5075</v>
      </c>
      <c r="C1165" s="468">
        <v>400</v>
      </c>
      <c r="D1165" s="468" t="s">
        <v>307</v>
      </c>
      <c r="E1165" s="468">
        <v>4304.87</v>
      </c>
      <c r="F1165" s="468" t="s">
        <v>306</v>
      </c>
      <c r="G1165" s="468"/>
      <c r="H1165" s="468"/>
      <c r="I1165" s="468"/>
      <c r="J1165" s="445" t="str">
        <f t="shared" si="36"/>
        <v>12018199400TRADE SHOWS623000SM</v>
      </c>
      <c r="K1165" s="163">
        <f t="shared" si="37"/>
        <v>4304.87</v>
      </c>
    </row>
    <row r="1166" spans="1:11" ht="14.5">
      <c r="A1166" s="468">
        <v>12018099</v>
      </c>
      <c r="B1166" s="468">
        <v>5075</v>
      </c>
      <c r="C1166" s="468">
        <v>100</v>
      </c>
      <c r="D1166" s="468" t="s">
        <v>305</v>
      </c>
      <c r="E1166" s="468">
        <v>226.36</v>
      </c>
      <c r="F1166" s="468" t="s">
        <v>306</v>
      </c>
      <c r="G1166" s="468"/>
      <c r="H1166" s="468"/>
      <c r="I1166" s="468"/>
      <c r="J1166" s="445" t="str">
        <f t="shared" si="36"/>
        <v>12018099100ADVERTISING623000SM</v>
      </c>
      <c r="K1166" s="163">
        <f t="shared" si="37"/>
        <v>226.36</v>
      </c>
    </row>
    <row r="1167" spans="1:11" ht="14.5">
      <c r="A1167" s="468">
        <v>12018099</v>
      </c>
      <c r="B1167" s="468">
        <v>5075</v>
      </c>
      <c r="C1167" s="468">
        <v>300</v>
      </c>
      <c r="D1167" s="468" t="s">
        <v>302</v>
      </c>
      <c r="E1167" s="468">
        <v>49078.91</v>
      </c>
      <c r="F1167" s="468" t="s">
        <v>306</v>
      </c>
      <c r="G1167" s="468"/>
      <c r="H1167" s="468"/>
      <c r="I1167" s="468"/>
      <c r="J1167" s="445" t="str">
        <f t="shared" si="36"/>
        <v>12018099300PRINTING623000SM</v>
      </c>
      <c r="K1167" s="163">
        <f t="shared" si="37"/>
        <v>49078.91</v>
      </c>
    </row>
    <row r="1168" spans="1:11" ht="14.5">
      <c r="A1168" s="468">
        <v>12038099</v>
      </c>
      <c r="B1168" s="468">
        <v>5075</v>
      </c>
      <c r="C1168" s="468">
        <v>300</v>
      </c>
      <c r="D1168" s="468" t="s">
        <v>302</v>
      </c>
      <c r="E1168" s="468">
        <v>1646.05</v>
      </c>
      <c r="F1168" s="468" t="s">
        <v>303</v>
      </c>
      <c r="G1168" s="468"/>
      <c r="H1168" s="468"/>
      <c r="I1168" s="468"/>
      <c r="J1168" s="445" t="str">
        <f t="shared" si="36"/>
        <v>12038099300PRINTING620008SM</v>
      </c>
      <c r="K1168" s="163">
        <f t="shared" si="37"/>
        <v>1646.05</v>
      </c>
    </row>
    <row r="1169" spans="1:11" ht="14.5">
      <c r="A1169" s="468">
        <v>12038099</v>
      </c>
      <c r="B1169" s="468">
        <v>5085</v>
      </c>
      <c r="C1169" s="468"/>
      <c r="D1169" s="468" t="s">
        <v>309</v>
      </c>
      <c r="E1169" s="468">
        <v>2144.21</v>
      </c>
      <c r="F1169" s="468" t="s">
        <v>303</v>
      </c>
      <c r="G1169" s="468"/>
      <c r="H1169" s="468"/>
      <c r="I1169" s="468"/>
      <c r="J1169" s="445" t="str">
        <f t="shared" si="36"/>
        <v>12038099OFFICE &amp; IT SUPPLIES620008SM</v>
      </c>
      <c r="K1169" s="163">
        <f t="shared" si="37"/>
        <v>2144.21</v>
      </c>
    </row>
    <row r="1170" spans="1:11" ht="14.5">
      <c r="A1170" s="468">
        <v>12020500</v>
      </c>
      <c r="B1170" s="468">
        <v>5085</v>
      </c>
      <c r="C1170" s="468"/>
      <c r="D1170" s="468" t="s">
        <v>309</v>
      </c>
      <c r="E1170" s="468">
        <v>18350.330000000002</v>
      </c>
      <c r="F1170" s="468" t="s">
        <v>310</v>
      </c>
      <c r="G1170" s="468"/>
      <c r="H1170" s="468"/>
      <c r="I1170" s="468"/>
      <c r="J1170" s="445" t="str">
        <f t="shared" si="36"/>
        <v>12020500OFFICE &amp; IT SUPPLIES620008LP</v>
      </c>
      <c r="K1170" s="163">
        <f t="shared" si="37"/>
        <v>18350.330000000002</v>
      </c>
    </row>
    <row r="1171" spans="1:11" ht="14.5">
      <c r="A1171" s="468">
        <v>12010500</v>
      </c>
      <c r="B1171" s="468">
        <v>5085</v>
      </c>
      <c r="C1171" s="468"/>
      <c r="D1171" s="468" t="s">
        <v>309</v>
      </c>
      <c r="E1171" s="468">
        <v>1191</v>
      </c>
      <c r="F1171" s="468" t="s">
        <v>310</v>
      </c>
      <c r="G1171" s="468"/>
      <c r="H1171" s="468"/>
      <c r="I1171" s="468"/>
      <c r="J1171" s="445" t="str">
        <f t="shared" si="36"/>
        <v>12010500OFFICE &amp; IT SUPPLIES620008LP</v>
      </c>
      <c r="K1171" s="163">
        <f t="shared" si="37"/>
        <v>1191</v>
      </c>
    </row>
    <row r="1172" spans="1:11" ht="14.5">
      <c r="A1172" s="468">
        <v>12040500</v>
      </c>
      <c r="B1172" s="468">
        <v>5085</v>
      </c>
      <c r="C1172" s="468"/>
      <c r="D1172" s="468" t="s">
        <v>309</v>
      </c>
      <c r="E1172" s="468">
        <v>12281.25</v>
      </c>
      <c r="F1172" s="468" t="s">
        <v>310</v>
      </c>
      <c r="G1172" s="468"/>
      <c r="H1172" s="468"/>
      <c r="I1172" s="468"/>
      <c r="J1172" s="445" t="str">
        <f t="shared" ref="J1172:J1235" si="38">A1172&amp;C1172&amp;D1172&amp;F1172</f>
        <v>12040500OFFICE &amp; IT SUPPLIES620008LP</v>
      </c>
      <c r="K1172" s="163">
        <f t="shared" ref="K1172:K1235" si="39">E1172</f>
        <v>12281.25</v>
      </c>
    </row>
    <row r="1173" spans="1:11" ht="14.5">
      <c r="A1173" s="468">
        <v>12043011</v>
      </c>
      <c r="B1173" s="468">
        <v>5085</v>
      </c>
      <c r="C1173" s="468"/>
      <c r="D1173" s="468" t="s">
        <v>309</v>
      </c>
      <c r="E1173" s="468">
        <v>490.36</v>
      </c>
      <c r="F1173" s="468">
        <v>62000800</v>
      </c>
      <c r="G1173" s="468"/>
      <c r="H1173" s="468"/>
      <c r="I1173" s="468"/>
      <c r="J1173" s="445" t="str">
        <f t="shared" si="38"/>
        <v>12043011OFFICE &amp; IT SUPPLIES62000800</v>
      </c>
      <c r="K1173" s="163">
        <f t="shared" si="39"/>
        <v>490.36</v>
      </c>
    </row>
    <row r="1174" spans="1:11" ht="14.5">
      <c r="A1174" s="468">
        <v>12019099</v>
      </c>
      <c r="B1174" s="468">
        <v>5085</v>
      </c>
      <c r="C1174" s="468"/>
      <c r="D1174" s="468" t="s">
        <v>309</v>
      </c>
      <c r="E1174" s="468">
        <v>1811.82</v>
      </c>
      <c r="F1174" s="468" t="s">
        <v>304</v>
      </c>
      <c r="G1174" s="468"/>
      <c r="H1174" s="468"/>
      <c r="I1174" s="468"/>
      <c r="J1174" s="445" t="str">
        <f t="shared" si="38"/>
        <v>12019099OFFICE &amp; IT SUPPLIES620008GA</v>
      </c>
      <c r="K1174" s="163">
        <f t="shared" si="39"/>
        <v>1811.82</v>
      </c>
    </row>
    <row r="1175" spans="1:11" ht="14.5">
      <c r="A1175" s="468">
        <v>12019199</v>
      </c>
      <c r="B1175" s="468">
        <v>5085</v>
      </c>
      <c r="C1175" s="468"/>
      <c r="D1175" s="468" t="s">
        <v>309</v>
      </c>
      <c r="E1175" s="468">
        <v>379.99</v>
      </c>
      <c r="F1175" s="468" t="s">
        <v>304</v>
      </c>
      <c r="G1175" s="468"/>
      <c r="H1175" s="468"/>
      <c r="I1175" s="468"/>
      <c r="J1175" s="445" t="str">
        <f t="shared" si="38"/>
        <v>12019199OFFICE &amp; IT SUPPLIES620008GA</v>
      </c>
      <c r="K1175" s="163">
        <f t="shared" si="39"/>
        <v>379.99</v>
      </c>
    </row>
    <row r="1176" spans="1:11" ht="14.5">
      <c r="A1176" s="468">
        <v>12018599</v>
      </c>
      <c r="B1176" s="468">
        <v>5085</v>
      </c>
      <c r="C1176" s="468"/>
      <c r="D1176" s="468" t="s">
        <v>309</v>
      </c>
      <c r="E1176" s="468">
        <v>85.41</v>
      </c>
      <c r="F1176" s="468" t="s">
        <v>304</v>
      </c>
      <c r="G1176" s="468"/>
      <c r="H1176" s="468"/>
      <c r="I1176" s="468"/>
      <c r="J1176" s="445" t="str">
        <f t="shared" si="38"/>
        <v>12018599OFFICE &amp; IT SUPPLIES620008GA</v>
      </c>
      <c r="K1176" s="163">
        <f t="shared" si="39"/>
        <v>85.41</v>
      </c>
    </row>
    <row r="1177" spans="1:11" ht="14.5">
      <c r="A1177" s="468">
        <v>12013300</v>
      </c>
      <c r="B1177" s="468">
        <v>5085</v>
      </c>
      <c r="C1177" s="468"/>
      <c r="D1177" s="468" t="s">
        <v>309</v>
      </c>
      <c r="E1177" s="468">
        <v>3351.47</v>
      </c>
      <c r="F1177" s="468" t="s">
        <v>312</v>
      </c>
      <c r="G1177" s="468"/>
      <c r="H1177" s="468"/>
      <c r="I1177" s="468"/>
      <c r="J1177" s="445" t="str">
        <f t="shared" si="38"/>
        <v>12013300OFFICE &amp; IT SUPPLIES620008IT</v>
      </c>
      <c r="K1177" s="163">
        <f t="shared" si="39"/>
        <v>3351.47</v>
      </c>
    </row>
    <row r="1178" spans="1:11" ht="14.5">
      <c r="A1178" s="468">
        <v>12018099</v>
      </c>
      <c r="B1178" s="468">
        <v>5085</v>
      </c>
      <c r="C1178" s="468"/>
      <c r="D1178" s="468" t="s">
        <v>309</v>
      </c>
      <c r="E1178" s="468">
        <v>45.41</v>
      </c>
      <c r="F1178" s="468" t="s">
        <v>303</v>
      </c>
      <c r="G1178" s="468"/>
      <c r="H1178" s="468"/>
      <c r="I1178" s="468"/>
      <c r="J1178" s="445" t="str">
        <f t="shared" si="38"/>
        <v>12018099OFFICE &amp; IT SUPPLIES620008SM</v>
      </c>
      <c r="K1178" s="163">
        <f t="shared" si="39"/>
        <v>45.41</v>
      </c>
    </row>
    <row r="1179" spans="1:11" ht="14.5">
      <c r="A1179" s="468">
        <v>12013250</v>
      </c>
      <c r="B1179" s="468">
        <v>5085</v>
      </c>
      <c r="C1179" s="468"/>
      <c r="D1179" s="468" t="s">
        <v>309</v>
      </c>
      <c r="E1179" s="468">
        <v>155.31</v>
      </c>
      <c r="F1179" s="468">
        <v>62000800</v>
      </c>
      <c r="G1179" s="468"/>
      <c r="H1179" s="468"/>
      <c r="I1179" s="468"/>
      <c r="J1179" s="445" t="str">
        <f t="shared" si="38"/>
        <v>12013250OFFICE &amp; IT SUPPLIES62000800</v>
      </c>
      <c r="K1179" s="163">
        <f t="shared" si="39"/>
        <v>155.31</v>
      </c>
    </row>
    <row r="1180" spans="1:11" ht="14.5">
      <c r="A1180" s="468">
        <v>12033011</v>
      </c>
      <c r="B1180" s="468">
        <v>5085</v>
      </c>
      <c r="C1180" s="468"/>
      <c r="D1180" s="468" t="s">
        <v>309</v>
      </c>
      <c r="E1180" s="468">
        <v>1540.66</v>
      </c>
      <c r="F1180" s="468">
        <v>62000800</v>
      </c>
      <c r="G1180" s="468"/>
      <c r="H1180" s="468"/>
      <c r="I1180" s="468"/>
      <c r="J1180" s="445" t="str">
        <f t="shared" si="38"/>
        <v>12033011OFFICE &amp; IT SUPPLIES62000800</v>
      </c>
      <c r="K1180" s="163">
        <f t="shared" si="39"/>
        <v>1540.66</v>
      </c>
    </row>
    <row r="1181" spans="1:11" ht="14.5">
      <c r="A1181" s="468">
        <v>12030400</v>
      </c>
      <c r="B1181" s="468">
        <v>5085</v>
      </c>
      <c r="C1181" s="468"/>
      <c r="D1181" s="468" t="s">
        <v>309</v>
      </c>
      <c r="E1181" s="468">
        <v>43.64</v>
      </c>
      <c r="F1181" s="468" t="s">
        <v>311</v>
      </c>
      <c r="G1181" s="468"/>
      <c r="H1181" s="468"/>
      <c r="I1181" s="468"/>
      <c r="J1181" s="445" t="str">
        <f t="shared" si="38"/>
        <v>12030400OFFICE &amp; IT SUPPLIES620008CS</v>
      </c>
      <c r="K1181" s="163">
        <f t="shared" si="39"/>
        <v>43.64</v>
      </c>
    </row>
    <row r="1182" spans="1:11" ht="14.5">
      <c r="A1182" s="468">
        <v>12030500</v>
      </c>
      <c r="B1182" s="468">
        <v>5085</v>
      </c>
      <c r="C1182" s="468"/>
      <c r="D1182" s="468" t="s">
        <v>309</v>
      </c>
      <c r="E1182" s="468">
        <v>15204.1</v>
      </c>
      <c r="F1182" s="468" t="s">
        <v>310</v>
      </c>
      <c r="G1182" s="468"/>
      <c r="H1182" s="468"/>
      <c r="I1182" s="468"/>
      <c r="J1182" s="445" t="str">
        <f t="shared" si="38"/>
        <v>12030500OFFICE &amp; IT SUPPLIES620008LP</v>
      </c>
      <c r="K1182" s="163">
        <f t="shared" si="39"/>
        <v>15204.1</v>
      </c>
    </row>
    <row r="1183" spans="1:11" ht="14.5">
      <c r="A1183" s="468">
        <v>12023021</v>
      </c>
      <c r="B1183" s="468">
        <v>5085</v>
      </c>
      <c r="C1183" s="468"/>
      <c r="D1183" s="468" t="s">
        <v>309</v>
      </c>
      <c r="E1183" s="468">
        <v>6291.38</v>
      </c>
      <c r="F1183" s="468">
        <v>62000800</v>
      </c>
      <c r="G1183" s="468"/>
      <c r="H1183" s="468"/>
      <c r="I1183" s="468"/>
      <c r="J1183" s="445" t="str">
        <f t="shared" si="38"/>
        <v>12023021OFFICE &amp; IT SUPPLIES62000800</v>
      </c>
      <c r="K1183" s="163">
        <f t="shared" si="39"/>
        <v>6291.38</v>
      </c>
    </row>
    <row r="1184" spans="1:11" ht="14.5">
      <c r="A1184" s="468">
        <v>12023011</v>
      </c>
      <c r="B1184" s="468">
        <v>5085</v>
      </c>
      <c r="C1184" s="468"/>
      <c r="D1184" s="468" t="s">
        <v>309</v>
      </c>
      <c r="E1184" s="468">
        <v>5108.57</v>
      </c>
      <c r="F1184" s="468">
        <v>62000800</v>
      </c>
      <c r="G1184" s="468"/>
      <c r="H1184" s="468"/>
      <c r="I1184" s="468"/>
      <c r="J1184" s="445" t="str">
        <f t="shared" si="38"/>
        <v>12023011OFFICE &amp; IT SUPPLIES62000800</v>
      </c>
      <c r="K1184" s="163">
        <f t="shared" si="39"/>
        <v>5108.57</v>
      </c>
    </row>
    <row r="1185" spans="1:11" ht="14.5">
      <c r="A1185" s="468">
        <v>12060500</v>
      </c>
      <c r="B1185" s="468">
        <v>5085</v>
      </c>
      <c r="C1185" s="468"/>
      <c r="D1185" s="468" t="s">
        <v>309</v>
      </c>
      <c r="E1185" s="468">
        <v>13661.96</v>
      </c>
      <c r="F1185" s="468" t="s">
        <v>310</v>
      </c>
      <c r="G1185" s="468"/>
      <c r="H1185" s="468"/>
      <c r="I1185" s="468"/>
      <c r="J1185" s="445" t="str">
        <f t="shared" si="38"/>
        <v>12060500OFFICE &amp; IT SUPPLIES620008LP</v>
      </c>
      <c r="K1185" s="163">
        <f t="shared" si="39"/>
        <v>13661.96</v>
      </c>
    </row>
    <row r="1186" spans="1:11" ht="14.5">
      <c r="A1186" s="468">
        <v>12048099</v>
      </c>
      <c r="B1186" s="468">
        <v>5085</v>
      </c>
      <c r="C1186" s="468"/>
      <c r="D1186" s="468" t="s">
        <v>309</v>
      </c>
      <c r="E1186" s="468">
        <v>21.12</v>
      </c>
      <c r="F1186" s="468" t="s">
        <v>303</v>
      </c>
      <c r="G1186" s="468"/>
      <c r="H1186" s="468"/>
      <c r="I1186" s="468"/>
      <c r="J1186" s="445" t="str">
        <f t="shared" si="38"/>
        <v>12048099OFFICE &amp; IT SUPPLIES620008SM</v>
      </c>
      <c r="K1186" s="163">
        <f t="shared" si="39"/>
        <v>21.12</v>
      </c>
    </row>
    <row r="1187" spans="1:11" ht="14.5">
      <c r="A1187" s="468">
        <v>12018599</v>
      </c>
      <c r="B1187" s="468">
        <v>5090</v>
      </c>
      <c r="C1187" s="468"/>
      <c r="D1187" s="468" t="s">
        <v>851</v>
      </c>
      <c r="E1187" s="468">
        <v>2827.49</v>
      </c>
      <c r="F1187" s="468" t="s">
        <v>852</v>
      </c>
      <c r="G1187" s="468"/>
      <c r="H1187" s="468"/>
      <c r="I1187" s="468"/>
      <c r="J1187" s="445" t="str">
        <f t="shared" si="38"/>
        <v>12018599LEGAL FEES620009GA</v>
      </c>
      <c r="K1187" s="163">
        <f t="shared" si="39"/>
        <v>2827.49</v>
      </c>
    </row>
    <row r="1188" spans="1:11" ht="14.5">
      <c r="A1188" s="468">
        <v>12019199</v>
      </c>
      <c r="B1188" s="468">
        <v>5095</v>
      </c>
      <c r="C1188" s="468">
        <v>200</v>
      </c>
      <c r="D1188" s="468" t="s">
        <v>315</v>
      </c>
      <c r="E1188" s="468">
        <v>23832</v>
      </c>
      <c r="F1188" s="468" t="s">
        <v>314</v>
      </c>
      <c r="G1188" s="468"/>
      <c r="H1188" s="468"/>
      <c r="I1188" s="468"/>
      <c r="J1188" s="445" t="str">
        <f t="shared" si="38"/>
        <v>12019199200ACCOUNTING &amp; TAX FEES620010GA</v>
      </c>
      <c r="K1188" s="163">
        <f t="shared" si="39"/>
        <v>23832</v>
      </c>
    </row>
    <row r="1189" spans="1:11" ht="14.5">
      <c r="A1189" s="468">
        <v>12019199</v>
      </c>
      <c r="B1189" s="468">
        <v>5095</v>
      </c>
      <c r="C1189" s="468">
        <v>100</v>
      </c>
      <c r="D1189" s="468" t="s">
        <v>313</v>
      </c>
      <c r="E1189" s="468">
        <v>50158</v>
      </c>
      <c r="F1189" s="468" t="s">
        <v>314</v>
      </c>
      <c r="G1189" s="468"/>
      <c r="H1189" s="468"/>
      <c r="I1189" s="468"/>
      <c r="J1189" s="445" t="str">
        <f t="shared" si="38"/>
        <v>12019199100AUDIT FEES &amp; EXPENSES620010GA</v>
      </c>
      <c r="K1189" s="163">
        <f t="shared" si="39"/>
        <v>50158</v>
      </c>
    </row>
    <row r="1190" spans="1:11" ht="14.5">
      <c r="A1190" s="468">
        <v>12018099</v>
      </c>
      <c r="B1190" s="468">
        <v>5105</v>
      </c>
      <c r="C1190" s="468">
        <v>100</v>
      </c>
      <c r="D1190" s="468" t="s">
        <v>316</v>
      </c>
      <c r="E1190" s="468">
        <v>6026.2</v>
      </c>
      <c r="F1190" s="468" t="s">
        <v>317</v>
      </c>
      <c r="G1190" s="468"/>
      <c r="H1190" s="468"/>
      <c r="I1190" s="468"/>
      <c r="J1190" s="445" t="str">
        <f t="shared" si="38"/>
        <v>12018099100BAD DEBT ALLOWANCE620012SM</v>
      </c>
      <c r="K1190" s="163">
        <f t="shared" si="39"/>
        <v>6026.2</v>
      </c>
    </row>
    <row r="1191" spans="1:11" ht="14.5">
      <c r="A1191" s="468">
        <v>12018099</v>
      </c>
      <c r="B1191" s="468">
        <v>5105</v>
      </c>
      <c r="C1191" s="468"/>
      <c r="D1191" s="468" t="s">
        <v>318</v>
      </c>
      <c r="E1191" s="468">
        <v>3970.32</v>
      </c>
      <c r="F1191" s="468" t="s">
        <v>319</v>
      </c>
      <c r="G1191" s="468"/>
      <c r="H1191" s="468"/>
      <c r="I1191" s="468"/>
      <c r="J1191" s="445" t="str">
        <f t="shared" si="38"/>
        <v>12018099BAD DEBT ALLOWANCE &amp; REVERSAL620011SM</v>
      </c>
      <c r="K1191" s="163">
        <f t="shared" si="39"/>
        <v>3970.32</v>
      </c>
    </row>
    <row r="1192" spans="1:11" ht="14.5">
      <c r="A1192" s="468">
        <v>12018099</v>
      </c>
      <c r="B1192" s="468">
        <v>5110</v>
      </c>
      <c r="C1192" s="468"/>
      <c r="D1192" s="468" t="s">
        <v>320</v>
      </c>
      <c r="E1192" s="468">
        <v>7270.2</v>
      </c>
      <c r="F1192" s="468" t="s">
        <v>321</v>
      </c>
      <c r="G1192" s="468"/>
      <c r="H1192" s="468"/>
      <c r="I1192" s="468"/>
      <c r="J1192" s="445" t="str">
        <f t="shared" si="38"/>
        <v>12018099BAD DEBT COLLECTION FEE620013SM</v>
      </c>
      <c r="K1192" s="163">
        <f t="shared" si="39"/>
        <v>7270.2</v>
      </c>
    </row>
    <row r="1193" spans="1:11" ht="14.5">
      <c r="A1193" s="468">
        <v>12019199</v>
      </c>
      <c r="B1193" s="468">
        <v>5115</v>
      </c>
      <c r="C1193" s="468"/>
      <c r="D1193" s="468" t="s">
        <v>322</v>
      </c>
      <c r="E1193" s="468">
        <v>23469.46</v>
      </c>
      <c r="F1193" s="468">
        <v>62700000</v>
      </c>
      <c r="G1193" s="468"/>
      <c r="H1193" s="468"/>
      <c r="I1193" s="468"/>
      <c r="J1193" s="445" t="str">
        <f t="shared" si="38"/>
        <v>12019199BANK SERVICE CHARGES62700000</v>
      </c>
      <c r="K1193" s="163">
        <f t="shared" si="39"/>
        <v>23469.46</v>
      </c>
    </row>
    <row r="1194" spans="1:11" ht="14.5">
      <c r="A1194" s="468">
        <v>12040500</v>
      </c>
      <c r="B1194" s="468">
        <v>5135</v>
      </c>
      <c r="C1194" s="468">
        <v>250</v>
      </c>
      <c r="D1194" s="468" t="s">
        <v>323</v>
      </c>
      <c r="E1194" s="468">
        <v>324.91000000000003</v>
      </c>
      <c r="F1194" s="468" t="s">
        <v>324</v>
      </c>
      <c r="G1194" s="468"/>
      <c r="H1194" s="468"/>
      <c r="I1194" s="468"/>
      <c r="J1194" s="445" t="str">
        <f t="shared" si="38"/>
        <v>12040500250EMPLOYEE RECOGNITION620016LP</v>
      </c>
      <c r="K1194" s="163">
        <f t="shared" si="39"/>
        <v>324.91000000000003</v>
      </c>
    </row>
    <row r="1195" spans="1:11" ht="14.5">
      <c r="A1195" s="468">
        <v>12043011</v>
      </c>
      <c r="B1195" s="468">
        <v>5135</v>
      </c>
      <c r="C1195" s="468">
        <v>250</v>
      </c>
      <c r="D1195" s="468" t="s">
        <v>323</v>
      </c>
      <c r="E1195" s="468">
        <v>168.91</v>
      </c>
      <c r="F1195" s="468">
        <v>62001600</v>
      </c>
      <c r="G1195" s="468"/>
      <c r="H1195" s="468"/>
      <c r="I1195" s="468"/>
      <c r="J1195" s="445" t="str">
        <f t="shared" si="38"/>
        <v>12043011250EMPLOYEE RECOGNITION62001600</v>
      </c>
      <c r="K1195" s="163">
        <f t="shared" si="39"/>
        <v>168.91</v>
      </c>
    </row>
    <row r="1196" spans="1:11" ht="14.5">
      <c r="A1196" s="468">
        <v>12028099</v>
      </c>
      <c r="B1196" s="468">
        <v>5135</v>
      </c>
      <c r="C1196" s="468">
        <v>250</v>
      </c>
      <c r="D1196" s="468" t="s">
        <v>323</v>
      </c>
      <c r="E1196" s="468">
        <v>181.82</v>
      </c>
      <c r="F1196" s="468" t="s">
        <v>325</v>
      </c>
      <c r="G1196" s="468"/>
      <c r="H1196" s="468"/>
      <c r="I1196" s="468"/>
      <c r="J1196" s="445" t="str">
        <f t="shared" si="38"/>
        <v>12028099250EMPLOYEE RECOGNITION620016SM</v>
      </c>
      <c r="K1196" s="163">
        <f t="shared" si="39"/>
        <v>181.82</v>
      </c>
    </row>
    <row r="1197" spans="1:11" ht="14.5">
      <c r="A1197" s="468">
        <v>12030500</v>
      </c>
      <c r="B1197" s="468">
        <v>5135</v>
      </c>
      <c r="C1197" s="468">
        <v>200</v>
      </c>
      <c r="D1197" s="468" t="s">
        <v>326</v>
      </c>
      <c r="E1197" s="468">
        <v>3810</v>
      </c>
      <c r="F1197" s="468" t="s">
        <v>324</v>
      </c>
      <c r="G1197" s="468"/>
      <c r="H1197" s="468"/>
      <c r="I1197" s="468"/>
      <c r="J1197" s="445" t="str">
        <f t="shared" si="38"/>
        <v>12030500200SEMINARS620016LP</v>
      </c>
      <c r="K1197" s="163">
        <f t="shared" si="39"/>
        <v>3810</v>
      </c>
    </row>
    <row r="1198" spans="1:11" ht="14.5">
      <c r="A1198" s="468">
        <v>12038099</v>
      </c>
      <c r="B1198" s="468">
        <v>5135</v>
      </c>
      <c r="C1198" s="468">
        <v>200</v>
      </c>
      <c r="D1198" s="468" t="s">
        <v>326</v>
      </c>
      <c r="E1198" s="468">
        <v>72.73</v>
      </c>
      <c r="F1198" s="468" t="s">
        <v>325</v>
      </c>
      <c r="G1198" s="468"/>
      <c r="H1198" s="468"/>
      <c r="I1198" s="468"/>
      <c r="J1198" s="445" t="str">
        <f t="shared" si="38"/>
        <v>12038099200SEMINARS620016SM</v>
      </c>
      <c r="K1198" s="163">
        <f t="shared" si="39"/>
        <v>72.73</v>
      </c>
    </row>
    <row r="1199" spans="1:11" ht="14.5">
      <c r="A1199" s="468">
        <v>12038099</v>
      </c>
      <c r="B1199" s="468">
        <v>5135</v>
      </c>
      <c r="C1199" s="468">
        <v>250</v>
      </c>
      <c r="D1199" s="468" t="s">
        <v>323</v>
      </c>
      <c r="E1199" s="468">
        <v>95.41</v>
      </c>
      <c r="F1199" s="468" t="s">
        <v>325</v>
      </c>
      <c r="G1199" s="468"/>
      <c r="H1199" s="468"/>
      <c r="I1199" s="468"/>
      <c r="J1199" s="445" t="str">
        <f t="shared" si="38"/>
        <v>12038099250EMPLOYEE RECOGNITION620016SM</v>
      </c>
      <c r="K1199" s="163">
        <f t="shared" si="39"/>
        <v>95.41</v>
      </c>
    </row>
    <row r="1200" spans="1:11" ht="14.5">
      <c r="A1200" s="468">
        <v>12019199</v>
      </c>
      <c r="B1200" s="468">
        <v>5135</v>
      </c>
      <c r="C1200" s="468">
        <v>250</v>
      </c>
      <c r="D1200" s="468" t="s">
        <v>323</v>
      </c>
      <c r="E1200" s="468">
        <v>216.36</v>
      </c>
      <c r="F1200" s="468" t="s">
        <v>328</v>
      </c>
      <c r="G1200" s="468"/>
      <c r="H1200" s="468"/>
      <c r="I1200" s="468"/>
      <c r="J1200" s="445" t="str">
        <f t="shared" si="38"/>
        <v>12019199250EMPLOYEE RECOGNITION620016GA</v>
      </c>
      <c r="K1200" s="163">
        <f t="shared" si="39"/>
        <v>216.36</v>
      </c>
    </row>
    <row r="1201" spans="1:11" ht="14.5">
      <c r="A1201" s="468">
        <v>12023011</v>
      </c>
      <c r="B1201" s="468">
        <v>5135</v>
      </c>
      <c r="C1201" s="468">
        <v>150</v>
      </c>
      <c r="D1201" s="468" t="s">
        <v>329</v>
      </c>
      <c r="E1201" s="468">
        <v>400</v>
      </c>
      <c r="F1201" s="468">
        <v>62001600</v>
      </c>
      <c r="G1201" s="468"/>
      <c r="H1201" s="468"/>
      <c r="I1201" s="468"/>
      <c r="J1201" s="445" t="str">
        <f t="shared" si="38"/>
        <v>12023011150TRAINING - EXTERNAL62001600</v>
      </c>
      <c r="K1201" s="163">
        <f t="shared" si="39"/>
        <v>400</v>
      </c>
    </row>
    <row r="1202" spans="1:11" ht="14.5">
      <c r="A1202" s="468">
        <v>12023011</v>
      </c>
      <c r="B1202" s="468">
        <v>5135</v>
      </c>
      <c r="C1202" s="468">
        <v>200</v>
      </c>
      <c r="D1202" s="468" t="s">
        <v>326</v>
      </c>
      <c r="E1202" s="468">
        <v>825</v>
      </c>
      <c r="F1202" s="468">
        <v>62001600</v>
      </c>
      <c r="G1202" s="468"/>
      <c r="H1202" s="468"/>
      <c r="I1202" s="468"/>
      <c r="J1202" s="445" t="str">
        <f t="shared" si="38"/>
        <v>12023011200SEMINARS62001600</v>
      </c>
      <c r="K1202" s="163">
        <f t="shared" si="39"/>
        <v>825</v>
      </c>
    </row>
    <row r="1203" spans="1:11" ht="14.5">
      <c r="A1203" s="468">
        <v>12023011</v>
      </c>
      <c r="B1203" s="468">
        <v>5135</v>
      </c>
      <c r="C1203" s="468">
        <v>250</v>
      </c>
      <c r="D1203" s="468" t="s">
        <v>323</v>
      </c>
      <c r="E1203" s="468">
        <v>86.27</v>
      </c>
      <c r="F1203" s="468">
        <v>62001600</v>
      </c>
      <c r="G1203" s="468"/>
      <c r="H1203" s="468"/>
      <c r="I1203" s="468"/>
      <c r="J1203" s="445" t="str">
        <f t="shared" si="38"/>
        <v>12023011250EMPLOYEE RECOGNITION62001600</v>
      </c>
      <c r="K1203" s="163">
        <f t="shared" si="39"/>
        <v>86.27</v>
      </c>
    </row>
    <row r="1204" spans="1:11" ht="14.5">
      <c r="A1204" s="468">
        <v>12023021</v>
      </c>
      <c r="B1204" s="468">
        <v>5135</v>
      </c>
      <c r="C1204" s="468">
        <v>150</v>
      </c>
      <c r="D1204" s="468" t="s">
        <v>329</v>
      </c>
      <c r="E1204" s="468">
        <v>4989.6400000000003</v>
      </c>
      <c r="F1204" s="468">
        <v>62001600</v>
      </c>
      <c r="G1204" s="468"/>
      <c r="H1204" s="468"/>
      <c r="I1204" s="468"/>
      <c r="J1204" s="445" t="str">
        <f t="shared" si="38"/>
        <v>12023021150TRAINING - EXTERNAL62001600</v>
      </c>
      <c r="K1204" s="163">
        <f t="shared" si="39"/>
        <v>4989.6400000000003</v>
      </c>
    </row>
    <row r="1205" spans="1:11" ht="14.5">
      <c r="A1205" s="468">
        <v>12010500</v>
      </c>
      <c r="B1205" s="468">
        <v>5135</v>
      </c>
      <c r="C1205" s="468">
        <v>200</v>
      </c>
      <c r="D1205" s="468" t="s">
        <v>326</v>
      </c>
      <c r="E1205" s="468">
        <v>1019.87</v>
      </c>
      <c r="F1205" s="468" t="s">
        <v>324</v>
      </c>
      <c r="G1205" s="468"/>
      <c r="H1205" s="468"/>
      <c r="I1205" s="468"/>
      <c r="J1205" s="445" t="str">
        <f t="shared" si="38"/>
        <v>12010500200SEMINARS620016LP</v>
      </c>
      <c r="K1205" s="163">
        <f t="shared" si="39"/>
        <v>1019.87</v>
      </c>
    </row>
    <row r="1206" spans="1:11" ht="14.5">
      <c r="A1206" s="468">
        <v>12010500</v>
      </c>
      <c r="B1206" s="468">
        <v>5135</v>
      </c>
      <c r="C1206" s="468">
        <v>250</v>
      </c>
      <c r="D1206" s="468" t="s">
        <v>323</v>
      </c>
      <c r="E1206" s="468">
        <v>291.20999999999998</v>
      </c>
      <c r="F1206" s="468" t="s">
        <v>324</v>
      </c>
      <c r="G1206" s="468"/>
      <c r="H1206" s="468"/>
      <c r="I1206" s="468"/>
      <c r="J1206" s="445" t="str">
        <f t="shared" si="38"/>
        <v>12010500250EMPLOYEE RECOGNITION620016LP</v>
      </c>
      <c r="K1206" s="163">
        <f t="shared" si="39"/>
        <v>291.20999999999998</v>
      </c>
    </row>
    <row r="1207" spans="1:11" ht="14.5">
      <c r="A1207" s="468">
        <v>12013250</v>
      </c>
      <c r="B1207" s="468">
        <v>5135</v>
      </c>
      <c r="C1207" s="468">
        <v>100</v>
      </c>
      <c r="D1207" s="468" t="s">
        <v>327</v>
      </c>
      <c r="E1207" s="468">
        <v>325</v>
      </c>
      <c r="F1207" s="468">
        <v>62001600</v>
      </c>
      <c r="G1207" s="468"/>
      <c r="H1207" s="468"/>
      <c r="I1207" s="468"/>
      <c r="J1207" s="445" t="str">
        <f t="shared" si="38"/>
        <v>12013250100TRAINING - INTERNAL62001600</v>
      </c>
      <c r="K1207" s="163">
        <f t="shared" si="39"/>
        <v>325</v>
      </c>
    </row>
    <row r="1208" spans="1:11" ht="14.5">
      <c r="A1208" s="468">
        <v>12013250</v>
      </c>
      <c r="B1208" s="468">
        <v>5135</v>
      </c>
      <c r="C1208" s="468">
        <v>150</v>
      </c>
      <c r="D1208" s="468" t="s">
        <v>329</v>
      </c>
      <c r="E1208" s="468">
        <v>2334.4899999999998</v>
      </c>
      <c r="F1208" s="468">
        <v>62001600</v>
      </c>
      <c r="G1208" s="468"/>
      <c r="H1208" s="468"/>
      <c r="I1208" s="468"/>
      <c r="J1208" s="445" t="str">
        <f t="shared" si="38"/>
        <v>12013250150TRAINING - EXTERNAL62001600</v>
      </c>
      <c r="K1208" s="163">
        <f t="shared" si="39"/>
        <v>2334.4899999999998</v>
      </c>
    </row>
    <row r="1209" spans="1:11" ht="14.5">
      <c r="A1209" s="468">
        <v>12013250</v>
      </c>
      <c r="B1209" s="468">
        <v>5135</v>
      </c>
      <c r="C1209" s="468">
        <v>200</v>
      </c>
      <c r="D1209" s="468" t="s">
        <v>326</v>
      </c>
      <c r="E1209" s="468">
        <v>1796.13</v>
      </c>
      <c r="F1209" s="468">
        <v>62001600</v>
      </c>
      <c r="G1209" s="468"/>
      <c r="H1209" s="468"/>
      <c r="I1209" s="468"/>
      <c r="J1209" s="445" t="str">
        <f t="shared" si="38"/>
        <v>12013250200SEMINARS62001600</v>
      </c>
      <c r="K1209" s="163">
        <f t="shared" si="39"/>
        <v>1796.13</v>
      </c>
    </row>
    <row r="1210" spans="1:11" ht="14.5">
      <c r="A1210" s="468">
        <v>12013250</v>
      </c>
      <c r="B1210" s="468">
        <v>5135</v>
      </c>
      <c r="C1210" s="468">
        <v>250</v>
      </c>
      <c r="D1210" s="468" t="s">
        <v>323</v>
      </c>
      <c r="E1210" s="468">
        <v>104.55</v>
      </c>
      <c r="F1210" s="468">
        <v>62001600</v>
      </c>
      <c r="G1210" s="468"/>
      <c r="H1210" s="468"/>
      <c r="I1210" s="468"/>
      <c r="J1210" s="445" t="str">
        <f t="shared" si="38"/>
        <v>12013250250EMPLOYEE RECOGNITION62001600</v>
      </c>
      <c r="K1210" s="163">
        <f t="shared" si="39"/>
        <v>104.55</v>
      </c>
    </row>
    <row r="1211" spans="1:11" ht="14.5">
      <c r="A1211" s="468">
        <v>12013012</v>
      </c>
      <c r="B1211" s="468">
        <v>5135</v>
      </c>
      <c r="C1211" s="468">
        <v>250</v>
      </c>
      <c r="D1211" s="468" t="s">
        <v>323</v>
      </c>
      <c r="E1211" s="468">
        <v>3000</v>
      </c>
      <c r="F1211" s="468">
        <v>62001600</v>
      </c>
      <c r="G1211" s="468"/>
      <c r="H1211" s="468"/>
      <c r="I1211" s="468"/>
      <c r="J1211" s="445" t="str">
        <f t="shared" si="38"/>
        <v>12013012250EMPLOYEE RECOGNITION62001600</v>
      </c>
      <c r="K1211" s="163">
        <f t="shared" si="39"/>
        <v>3000</v>
      </c>
    </row>
    <row r="1212" spans="1:11" ht="14.5">
      <c r="A1212" s="468">
        <v>12018599</v>
      </c>
      <c r="B1212" s="468">
        <v>5135</v>
      </c>
      <c r="C1212" s="468">
        <v>100</v>
      </c>
      <c r="D1212" s="468" t="s">
        <v>327</v>
      </c>
      <c r="E1212" s="468">
        <v>6660</v>
      </c>
      <c r="F1212" s="468" t="s">
        <v>328</v>
      </c>
      <c r="G1212" s="468"/>
      <c r="H1212" s="468"/>
      <c r="I1212" s="468"/>
      <c r="J1212" s="445" t="str">
        <f t="shared" si="38"/>
        <v>12018599100TRAINING - INTERNAL620016GA</v>
      </c>
      <c r="K1212" s="163">
        <f t="shared" si="39"/>
        <v>6660</v>
      </c>
    </row>
    <row r="1213" spans="1:11" ht="14.5">
      <c r="A1213" s="468">
        <v>12018599</v>
      </c>
      <c r="B1213" s="468">
        <v>5135</v>
      </c>
      <c r="C1213" s="468">
        <v>150</v>
      </c>
      <c r="D1213" s="468" t="s">
        <v>329</v>
      </c>
      <c r="E1213" s="468">
        <v>3980</v>
      </c>
      <c r="F1213" s="468" t="s">
        <v>328</v>
      </c>
      <c r="G1213" s="468"/>
      <c r="H1213" s="468"/>
      <c r="I1213" s="468"/>
      <c r="J1213" s="445" t="str">
        <f t="shared" si="38"/>
        <v>12018599150TRAINING - EXTERNAL620016GA</v>
      </c>
      <c r="K1213" s="163">
        <f t="shared" si="39"/>
        <v>3980</v>
      </c>
    </row>
    <row r="1214" spans="1:11" ht="14.5">
      <c r="A1214" s="468">
        <v>12018099</v>
      </c>
      <c r="B1214" s="468">
        <v>5135</v>
      </c>
      <c r="C1214" s="468">
        <v>200</v>
      </c>
      <c r="D1214" s="468" t="s">
        <v>326</v>
      </c>
      <c r="E1214" s="468">
        <v>271.73</v>
      </c>
      <c r="F1214" s="468" t="s">
        <v>325</v>
      </c>
      <c r="G1214" s="468"/>
      <c r="H1214" s="468"/>
      <c r="I1214" s="468"/>
      <c r="J1214" s="445" t="str">
        <f t="shared" si="38"/>
        <v>12018099200SEMINARS620016SM</v>
      </c>
      <c r="K1214" s="163">
        <f t="shared" si="39"/>
        <v>271.73</v>
      </c>
    </row>
    <row r="1215" spans="1:11" ht="14.5">
      <c r="A1215" s="468">
        <v>12018199</v>
      </c>
      <c r="B1215" s="468">
        <v>5135</v>
      </c>
      <c r="C1215" s="468">
        <v>150</v>
      </c>
      <c r="D1215" s="468" t="s">
        <v>329</v>
      </c>
      <c r="E1215" s="468">
        <v>6027</v>
      </c>
      <c r="F1215" s="468" t="s">
        <v>325</v>
      </c>
      <c r="G1215" s="468"/>
      <c r="H1215" s="468"/>
      <c r="I1215" s="468"/>
      <c r="J1215" s="445" t="str">
        <f t="shared" si="38"/>
        <v>12018199150TRAINING - EXTERNAL620016SM</v>
      </c>
      <c r="K1215" s="163">
        <f t="shared" si="39"/>
        <v>6027</v>
      </c>
    </row>
    <row r="1216" spans="1:11" ht="14.5">
      <c r="A1216" s="468">
        <v>12013300</v>
      </c>
      <c r="B1216" s="468">
        <v>5135</v>
      </c>
      <c r="C1216" s="468">
        <v>100</v>
      </c>
      <c r="D1216" s="468" t="s">
        <v>327</v>
      </c>
      <c r="E1216" s="468">
        <v>175</v>
      </c>
      <c r="F1216" s="468" t="s">
        <v>330</v>
      </c>
      <c r="G1216" s="468"/>
      <c r="H1216" s="468"/>
      <c r="I1216" s="468"/>
      <c r="J1216" s="445" t="str">
        <f t="shared" si="38"/>
        <v>12013300100TRAINING - INTERNAL620016IT</v>
      </c>
      <c r="K1216" s="163">
        <f t="shared" si="39"/>
        <v>175</v>
      </c>
    </row>
    <row r="1217" spans="1:11" ht="14.5">
      <c r="A1217" s="468">
        <v>12018599</v>
      </c>
      <c r="B1217" s="468">
        <v>5135</v>
      </c>
      <c r="C1217" s="468">
        <v>250</v>
      </c>
      <c r="D1217" s="468" t="s">
        <v>323</v>
      </c>
      <c r="E1217" s="468">
        <v>15493.86</v>
      </c>
      <c r="F1217" s="468" t="s">
        <v>328</v>
      </c>
      <c r="G1217" s="468"/>
      <c r="H1217" s="468"/>
      <c r="I1217" s="468"/>
      <c r="J1217" s="445" t="str">
        <f t="shared" si="38"/>
        <v>12018599250EMPLOYEE RECOGNITION620016GA</v>
      </c>
      <c r="K1217" s="163">
        <f t="shared" si="39"/>
        <v>15493.86</v>
      </c>
    </row>
    <row r="1218" spans="1:11" ht="14.5">
      <c r="A1218" s="468">
        <v>12018599</v>
      </c>
      <c r="B1218" s="468">
        <v>5145</v>
      </c>
      <c r="C1218" s="468">
        <v>100</v>
      </c>
      <c r="D1218" s="468" t="s">
        <v>331</v>
      </c>
      <c r="E1218" s="468">
        <v>36636.660000000003</v>
      </c>
      <c r="F1218" s="468" t="s">
        <v>332</v>
      </c>
      <c r="G1218" s="468"/>
      <c r="H1218" s="468"/>
      <c r="I1218" s="468"/>
      <c r="J1218" s="445" t="str">
        <f t="shared" si="38"/>
        <v>12018599100RECRUITING COSTS628001GA</v>
      </c>
      <c r="K1218" s="163">
        <f t="shared" si="39"/>
        <v>36636.660000000003</v>
      </c>
    </row>
    <row r="1219" spans="1:11" ht="14.5">
      <c r="A1219" s="468">
        <v>12020500</v>
      </c>
      <c r="B1219" s="468">
        <v>5145</v>
      </c>
      <c r="C1219" s="468">
        <v>100</v>
      </c>
      <c r="D1219" s="468" t="s">
        <v>331</v>
      </c>
      <c r="E1219" s="468">
        <v>11880</v>
      </c>
      <c r="F1219" s="468" t="s">
        <v>333</v>
      </c>
      <c r="G1219" s="468"/>
      <c r="H1219" s="468"/>
      <c r="I1219" s="468"/>
      <c r="J1219" s="445" t="str">
        <f t="shared" si="38"/>
        <v>12020500100RECRUITING COSTS628001LP</v>
      </c>
      <c r="K1219" s="163">
        <f t="shared" si="39"/>
        <v>11880</v>
      </c>
    </row>
    <row r="1220" spans="1:11" ht="14.5">
      <c r="A1220" s="468">
        <v>12019199</v>
      </c>
      <c r="B1220" s="468">
        <v>5145</v>
      </c>
      <c r="C1220" s="468"/>
      <c r="D1220" s="468" t="s">
        <v>334</v>
      </c>
      <c r="E1220" s="468">
        <v>-2703.2</v>
      </c>
      <c r="F1220" s="468" t="s">
        <v>332</v>
      </c>
      <c r="G1220" s="468"/>
      <c r="H1220" s="468"/>
      <c r="I1220" s="468"/>
      <c r="J1220" s="445" t="str">
        <f t="shared" si="38"/>
        <v>12019199RECRUITING COST &amp; RELOCATION628001GA</v>
      </c>
      <c r="K1220" s="163">
        <f t="shared" si="39"/>
        <v>-2703.2</v>
      </c>
    </row>
    <row r="1221" spans="1:11" ht="14.5">
      <c r="A1221" s="468">
        <v>12019199</v>
      </c>
      <c r="B1221" s="468">
        <v>5145</v>
      </c>
      <c r="C1221" s="468">
        <v>100</v>
      </c>
      <c r="D1221" s="468" t="s">
        <v>331</v>
      </c>
      <c r="E1221" s="468">
        <v>32961.5</v>
      </c>
      <c r="F1221" s="468" t="s">
        <v>332</v>
      </c>
      <c r="G1221" s="468"/>
      <c r="H1221" s="468"/>
      <c r="I1221" s="468"/>
      <c r="J1221" s="445" t="str">
        <f t="shared" si="38"/>
        <v>12019199100RECRUITING COSTS628001GA</v>
      </c>
      <c r="K1221" s="163">
        <f t="shared" si="39"/>
        <v>32961.5</v>
      </c>
    </row>
    <row r="1222" spans="1:11" ht="14.5">
      <c r="A1222" s="468">
        <v>12030500</v>
      </c>
      <c r="B1222" s="468">
        <v>5145</v>
      </c>
      <c r="C1222" s="468">
        <v>200</v>
      </c>
      <c r="D1222" s="468" t="s">
        <v>335</v>
      </c>
      <c r="E1222" s="468">
        <v>10486.35</v>
      </c>
      <c r="F1222" s="468" t="s">
        <v>333</v>
      </c>
      <c r="G1222" s="468"/>
      <c r="H1222" s="468"/>
      <c r="I1222" s="468"/>
      <c r="J1222" s="445" t="str">
        <f t="shared" si="38"/>
        <v>12030500200RELOCATION COSTS628001LP</v>
      </c>
      <c r="K1222" s="163">
        <f t="shared" si="39"/>
        <v>10486.35</v>
      </c>
    </row>
    <row r="1223" spans="1:11" ht="14.5">
      <c r="A1223" s="468">
        <v>12040500</v>
      </c>
      <c r="B1223" s="468">
        <v>5145</v>
      </c>
      <c r="C1223" s="468">
        <v>200</v>
      </c>
      <c r="D1223" s="468" t="s">
        <v>335</v>
      </c>
      <c r="E1223" s="468">
        <v>600</v>
      </c>
      <c r="F1223" s="468" t="s">
        <v>333</v>
      </c>
      <c r="G1223" s="468"/>
      <c r="H1223" s="468"/>
      <c r="I1223" s="468"/>
      <c r="J1223" s="445" t="str">
        <f t="shared" si="38"/>
        <v>12040500200RELOCATION COSTS628001LP</v>
      </c>
      <c r="K1223" s="163">
        <f t="shared" si="39"/>
        <v>600</v>
      </c>
    </row>
    <row r="1224" spans="1:11" ht="14.5">
      <c r="A1224" s="468">
        <v>12043011</v>
      </c>
      <c r="B1224" s="468">
        <v>5145</v>
      </c>
      <c r="C1224" s="468">
        <v>100</v>
      </c>
      <c r="D1224" s="468" t="s">
        <v>331</v>
      </c>
      <c r="E1224" s="468">
        <v>1921.24</v>
      </c>
      <c r="F1224" s="468">
        <v>62800100</v>
      </c>
      <c r="G1224" s="468"/>
      <c r="H1224" s="468"/>
      <c r="I1224" s="468"/>
      <c r="J1224" s="445" t="str">
        <f t="shared" si="38"/>
        <v>12043011100RECRUITING COSTS62800100</v>
      </c>
      <c r="K1224" s="163">
        <f t="shared" si="39"/>
        <v>1921.24</v>
      </c>
    </row>
    <row r="1225" spans="1:11" ht="14.5">
      <c r="A1225" s="468">
        <v>12048099</v>
      </c>
      <c r="B1225" s="468">
        <v>5145</v>
      </c>
      <c r="C1225" s="468">
        <v>100</v>
      </c>
      <c r="D1225" s="468" t="s">
        <v>331</v>
      </c>
      <c r="E1225" s="468">
        <v>17550</v>
      </c>
      <c r="F1225" s="468" t="s">
        <v>336</v>
      </c>
      <c r="G1225" s="468"/>
      <c r="H1225" s="468"/>
      <c r="I1225" s="468"/>
      <c r="J1225" s="445" t="str">
        <f t="shared" si="38"/>
        <v>12048099100RECRUITING COSTS628001SM</v>
      </c>
      <c r="K1225" s="163">
        <f t="shared" si="39"/>
        <v>17550</v>
      </c>
    </row>
    <row r="1226" spans="1:11" ht="14.5">
      <c r="A1226" s="468">
        <v>12060500</v>
      </c>
      <c r="B1226" s="468">
        <v>5165</v>
      </c>
      <c r="C1226" s="468">
        <v>100</v>
      </c>
      <c r="D1226" s="468" t="s">
        <v>337</v>
      </c>
      <c r="E1226" s="468">
        <v>102</v>
      </c>
      <c r="F1226" s="468" t="s">
        <v>338</v>
      </c>
      <c r="G1226" s="468"/>
      <c r="H1226" s="468"/>
      <c r="I1226" s="468"/>
      <c r="J1226" s="445" t="str">
        <f t="shared" si="38"/>
        <v>12060500100BOOKS AND SUBSCRIPTIONS628000LP</v>
      </c>
      <c r="K1226" s="163">
        <f t="shared" si="39"/>
        <v>102</v>
      </c>
    </row>
    <row r="1227" spans="1:11" ht="14.5">
      <c r="A1227" s="468">
        <v>12060500</v>
      </c>
      <c r="B1227" s="468">
        <v>5165</v>
      </c>
      <c r="C1227" s="468">
        <v>150</v>
      </c>
      <c r="D1227" s="468" t="s">
        <v>339</v>
      </c>
      <c r="E1227" s="468">
        <v>127.5</v>
      </c>
      <c r="F1227" s="468" t="s">
        <v>338</v>
      </c>
      <c r="G1227" s="468"/>
      <c r="H1227" s="468"/>
      <c r="I1227" s="468"/>
      <c r="J1227" s="445" t="str">
        <f t="shared" si="38"/>
        <v>12060500150CATERING628000LP</v>
      </c>
      <c r="K1227" s="163">
        <f t="shared" si="39"/>
        <v>127.5</v>
      </c>
    </row>
    <row r="1228" spans="1:11" ht="14.5">
      <c r="A1228" s="468">
        <v>12048099</v>
      </c>
      <c r="B1228" s="468">
        <v>5165</v>
      </c>
      <c r="C1228" s="468">
        <v>100</v>
      </c>
      <c r="D1228" s="468" t="s">
        <v>337</v>
      </c>
      <c r="E1228" s="468">
        <v>358.91</v>
      </c>
      <c r="F1228" s="468" t="s">
        <v>340</v>
      </c>
      <c r="G1228" s="468"/>
      <c r="H1228" s="468"/>
      <c r="I1228" s="468"/>
      <c r="J1228" s="445" t="str">
        <f t="shared" si="38"/>
        <v>12048099100BOOKS AND SUBSCRIPTIONS628000SM</v>
      </c>
      <c r="K1228" s="163">
        <f t="shared" si="39"/>
        <v>358.91</v>
      </c>
    </row>
    <row r="1229" spans="1:11" ht="14.5">
      <c r="A1229" s="468">
        <v>12068099</v>
      </c>
      <c r="B1229" s="468">
        <v>5165</v>
      </c>
      <c r="C1229" s="468">
        <v>250</v>
      </c>
      <c r="D1229" s="468" t="s">
        <v>341</v>
      </c>
      <c r="E1229" s="468">
        <v>454.55</v>
      </c>
      <c r="F1229" s="468" t="s">
        <v>340</v>
      </c>
      <c r="G1229" s="468"/>
      <c r="H1229" s="468"/>
      <c r="I1229" s="468"/>
      <c r="J1229" s="445" t="str">
        <f t="shared" si="38"/>
        <v>12068099250MEMBERSHIPS INDIVIDUAL628000SM</v>
      </c>
      <c r="K1229" s="163">
        <f t="shared" si="39"/>
        <v>454.55</v>
      </c>
    </row>
    <row r="1230" spans="1:11" ht="14.5">
      <c r="A1230" s="468">
        <v>12033011</v>
      </c>
      <c r="B1230" s="468">
        <v>5165</v>
      </c>
      <c r="C1230" s="468">
        <v>100</v>
      </c>
      <c r="D1230" s="468" t="s">
        <v>337</v>
      </c>
      <c r="E1230" s="468">
        <v>165.96</v>
      </c>
      <c r="F1230" s="468">
        <v>62800000</v>
      </c>
      <c r="G1230" s="468"/>
      <c r="H1230" s="468"/>
      <c r="I1230" s="468"/>
      <c r="J1230" s="445" t="str">
        <f t="shared" si="38"/>
        <v>12033011100BOOKS AND SUBSCRIPTIONS62800000</v>
      </c>
      <c r="K1230" s="163">
        <f t="shared" si="39"/>
        <v>165.96</v>
      </c>
    </row>
    <row r="1231" spans="1:11" ht="14.5">
      <c r="A1231" s="468">
        <v>12040500</v>
      </c>
      <c r="B1231" s="468">
        <v>5165</v>
      </c>
      <c r="C1231" s="468">
        <v>100</v>
      </c>
      <c r="D1231" s="468" t="s">
        <v>337</v>
      </c>
      <c r="E1231" s="468">
        <v>1072.4000000000001</v>
      </c>
      <c r="F1231" s="468" t="s">
        <v>338</v>
      </c>
      <c r="G1231" s="468"/>
      <c r="H1231" s="468"/>
      <c r="I1231" s="468"/>
      <c r="J1231" s="445" t="str">
        <f t="shared" si="38"/>
        <v>12040500100BOOKS AND SUBSCRIPTIONS628000LP</v>
      </c>
      <c r="K1231" s="163">
        <f t="shared" si="39"/>
        <v>1072.4000000000001</v>
      </c>
    </row>
    <row r="1232" spans="1:11" ht="14.5">
      <c r="A1232" s="468">
        <v>12040500</v>
      </c>
      <c r="B1232" s="468">
        <v>5165</v>
      </c>
      <c r="C1232" s="468">
        <v>150</v>
      </c>
      <c r="D1232" s="468" t="s">
        <v>339</v>
      </c>
      <c r="E1232" s="468">
        <v>2382.5100000000002</v>
      </c>
      <c r="F1232" s="468" t="s">
        <v>338</v>
      </c>
      <c r="G1232" s="468"/>
      <c r="H1232" s="468"/>
      <c r="I1232" s="468"/>
      <c r="J1232" s="445" t="str">
        <f t="shared" si="38"/>
        <v>12040500150CATERING628000LP</v>
      </c>
      <c r="K1232" s="163">
        <f t="shared" si="39"/>
        <v>2382.5100000000002</v>
      </c>
    </row>
    <row r="1233" spans="1:11" ht="14.5">
      <c r="A1233" s="468">
        <v>12038099</v>
      </c>
      <c r="B1233" s="468">
        <v>5165</v>
      </c>
      <c r="C1233" s="468">
        <v>100</v>
      </c>
      <c r="D1233" s="468" t="s">
        <v>337</v>
      </c>
      <c r="E1233" s="468">
        <v>1815</v>
      </c>
      <c r="F1233" s="468" t="s">
        <v>340</v>
      </c>
      <c r="G1233" s="468"/>
      <c r="H1233" s="468"/>
      <c r="I1233" s="468"/>
      <c r="J1233" s="445" t="str">
        <f t="shared" si="38"/>
        <v>12038099100BOOKS AND SUBSCRIPTIONS628000SM</v>
      </c>
      <c r="K1233" s="163">
        <f t="shared" si="39"/>
        <v>1815</v>
      </c>
    </row>
    <row r="1234" spans="1:11" ht="14.5">
      <c r="A1234" s="468">
        <v>12038099</v>
      </c>
      <c r="B1234" s="468">
        <v>5165</v>
      </c>
      <c r="C1234" s="468">
        <v>150</v>
      </c>
      <c r="D1234" s="468" t="s">
        <v>339</v>
      </c>
      <c r="E1234" s="468">
        <v>11.98</v>
      </c>
      <c r="F1234" s="468" t="s">
        <v>340</v>
      </c>
      <c r="G1234" s="468"/>
      <c r="H1234" s="468"/>
      <c r="I1234" s="468"/>
      <c r="J1234" s="445" t="str">
        <f t="shared" si="38"/>
        <v>12038099150CATERING628000SM</v>
      </c>
      <c r="K1234" s="163">
        <f t="shared" si="39"/>
        <v>11.98</v>
      </c>
    </row>
    <row r="1235" spans="1:11" ht="14.5">
      <c r="A1235" s="468">
        <v>12043011</v>
      </c>
      <c r="B1235" s="468">
        <v>5165</v>
      </c>
      <c r="C1235" s="468">
        <v>100</v>
      </c>
      <c r="D1235" s="468" t="s">
        <v>337</v>
      </c>
      <c r="E1235" s="468">
        <v>190</v>
      </c>
      <c r="F1235" s="468">
        <v>62800000</v>
      </c>
      <c r="G1235" s="468"/>
      <c r="H1235" s="468"/>
      <c r="I1235" s="468"/>
      <c r="J1235" s="445" t="str">
        <f t="shared" si="38"/>
        <v>12043011100BOOKS AND SUBSCRIPTIONS62800000</v>
      </c>
      <c r="K1235" s="163">
        <f t="shared" si="39"/>
        <v>190</v>
      </c>
    </row>
    <row r="1236" spans="1:11" ht="14.5">
      <c r="A1236" s="468">
        <v>12043011</v>
      </c>
      <c r="B1236" s="468">
        <v>5165</v>
      </c>
      <c r="C1236" s="468">
        <v>150</v>
      </c>
      <c r="D1236" s="468" t="s">
        <v>339</v>
      </c>
      <c r="E1236" s="468">
        <v>689.06</v>
      </c>
      <c r="F1236" s="468">
        <v>62800000</v>
      </c>
      <c r="G1236" s="468"/>
      <c r="H1236" s="468"/>
      <c r="I1236" s="468"/>
      <c r="J1236" s="445" t="str">
        <f t="shared" ref="J1236:J1299" si="40">A1236&amp;C1236&amp;D1236&amp;F1236</f>
        <v>12043011150CATERING62800000</v>
      </c>
      <c r="K1236" s="163">
        <f t="shared" ref="K1236:K1299" si="41">E1236</f>
        <v>689.06</v>
      </c>
    </row>
    <row r="1237" spans="1:11" ht="14.5">
      <c r="A1237" s="468">
        <v>12043011</v>
      </c>
      <c r="B1237" s="468">
        <v>5165</v>
      </c>
      <c r="C1237" s="468">
        <v>250</v>
      </c>
      <c r="D1237" s="468" t="s">
        <v>341</v>
      </c>
      <c r="E1237" s="468">
        <v>200</v>
      </c>
      <c r="F1237" s="468">
        <v>62800000</v>
      </c>
      <c r="G1237" s="468"/>
      <c r="H1237" s="468"/>
      <c r="I1237" s="468"/>
      <c r="J1237" s="445" t="str">
        <f t="shared" si="40"/>
        <v>12043011250MEMBERSHIPS INDIVIDUAL62800000</v>
      </c>
      <c r="K1237" s="163">
        <f t="shared" si="41"/>
        <v>200</v>
      </c>
    </row>
    <row r="1238" spans="1:11" ht="14.5">
      <c r="A1238" s="468">
        <v>12020500</v>
      </c>
      <c r="B1238" s="468">
        <v>5165</v>
      </c>
      <c r="C1238" s="468">
        <v>200</v>
      </c>
      <c r="D1238" s="468" t="s">
        <v>344</v>
      </c>
      <c r="E1238" s="468">
        <v>252</v>
      </c>
      <c r="F1238" s="468" t="s">
        <v>338</v>
      </c>
      <c r="G1238" s="468"/>
      <c r="H1238" s="468"/>
      <c r="I1238" s="468"/>
      <c r="J1238" s="445" t="str">
        <f t="shared" si="40"/>
        <v>12020500200MEMBERSHIPS CORPORATE628000LP</v>
      </c>
      <c r="K1238" s="163">
        <f t="shared" si="41"/>
        <v>252</v>
      </c>
    </row>
    <row r="1239" spans="1:11" ht="14.5">
      <c r="A1239" s="468">
        <v>12030400</v>
      </c>
      <c r="B1239" s="468">
        <v>5165</v>
      </c>
      <c r="C1239" s="468">
        <v>100</v>
      </c>
      <c r="D1239" s="468" t="s">
        <v>337</v>
      </c>
      <c r="E1239" s="468">
        <v>414.29</v>
      </c>
      <c r="F1239" s="468" t="s">
        <v>342</v>
      </c>
      <c r="G1239" s="468"/>
      <c r="H1239" s="468"/>
      <c r="I1239" s="468"/>
      <c r="J1239" s="445" t="str">
        <f t="shared" si="40"/>
        <v>12030400100BOOKS AND SUBSCRIPTIONS628000CS</v>
      </c>
      <c r="K1239" s="163">
        <f t="shared" si="41"/>
        <v>414.29</v>
      </c>
    </row>
    <row r="1240" spans="1:11" ht="14.5">
      <c r="A1240" s="468">
        <v>12030400</v>
      </c>
      <c r="B1240" s="468">
        <v>5165</v>
      </c>
      <c r="C1240" s="468">
        <v>150</v>
      </c>
      <c r="D1240" s="468" t="s">
        <v>339</v>
      </c>
      <c r="E1240" s="468">
        <v>18.18</v>
      </c>
      <c r="F1240" s="468" t="s">
        <v>342</v>
      </c>
      <c r="G1240" s="468"/>
      <c r="H1240" s="468"/>
      <c r="I1240" s="468"/>
      <c r="J1240" s="445" t="str">
        <f t="shared" si="40"/>
        <v>12030400150CATERING628000CS</v>
      </c>
      <c r="K1240" s="163">
        <f t="shared" si="41"/>
        <v>18.18</v>
      </c>
    </row>
    <row r="1241" spans="1:11" ht="14.5">
      <c r="A1241" s="468">
        <v>12023011</v>
      </c>
      <c r="B1241" s="468">
        <v>5165</v>
      </c>
      <c r="C1241" s="468">
        <v>100</v>
      </c>
      <c r="D1241" s="468" t="s">
        <v>337</v>
      </c>
      <c r="E1241" s="468">
        <v>143.63</v>
      </c>
      <c r="F1241" s="468">
        <v>62800000</v>
      </c>
      <c r="G1241" s="468"/>
      <c r="H1241" s="468"/>
      <c r="I1241" s="468"/>
      <c r="J1241" s="445" t="str">
        <f t="shared" si="40"/>
        <v>12023011100BOOKS AND SUBSCRIPTIONS62800000</v>
      </c>
      <c r="K1241" s="163">
        <f t="shared" si="41"/>
        <v>143.63</v>
      </c>
    </row>
    <row r="1242" spans="1:11" ht="14.5">
      <c r="A1242" s="468">
        <v>12023011</v>
      </c>
      <c r="B1242" s="468">
        <v>5165</v>
      </c>
      <c r="C1242" s="468">
        <v>150</v>
      </c>
      <c r="D1242" s="468" t="s">
        <v>339</v>
      </c>
      <c r="E1242" s="468">
        <v>26.64</v>
      </c>
      <c r="F1242" s="468">
        <v>62800000</v>
      </c>
      <c r="G1242" s="468"/>
      <c r="H1242" s="468"/>
      <c r="I1242" s="468"/>
      <c r="J1242" s="445" t="str">
        <f t="shared" si="40"/>
        <v>12023011150CATERING62800000</v>
      </c>
      <c r="K1242" s="163">
        <f t="shared" si="41"/>
        <v>26.64</v>
      </c>
    </row>
    <row r="1243" spans="1:11" ht="14.5">
      <c r="A1243" s="468">
        <v>12030700</v>
      </c>
      <c r="B1243" s="468">
        <v>5165</v>
      </c>
      <c r="C1243" s="468">
        <v>100</v>
      </c>
      <c r="D1243" s="468" t="s">
        <v>337</v>
      </c>
      <c r="E1243" s="468">
        <v>306.98</v>
      </c>
      <c r="F1243" s="468" t="s">
        <v>343</v>
      </c>
      <c r="G1243" s="468"/>
      <c r="H1243" s="468"/>
      <c r="I1243" s="468"/>
      <c r="J1243" s="445" t="str">
        <f t="shared" si="40"/>
        <v>12030700100BOOKS AND SUBSCRIPTIONS628000QL</v>
      </c>
      <c r="K1243" s="163">
        <f t="shared" si="41"/>
        <v>306.98</v>
      </c>
    </row>
    <row r="1244" spans="1:11" ht="14.5">
      <c r="A1244" s="468">
        <v>12030500</v>
      </c>
      <c r="B1244" s="468">
        <v>5165</v>
      </c>
      <c r="C1244" s="468">
        <v>100</v>
      </c>
      <c r="D1244" s="468" t="s">
        <v>337</v>
      </c>
      <c r="E1244" s="468">
        <v>50</v>
      </c>
      <c r="F1244" s="468" t="s">
        <v>338</v>
      </c>
      <c r="G1244" s="468"/>
      <c r="H1244" s="468"/>
      <c r="I1244" s="468"/>
      <c r="J1244" s="445" t="str">
        <f t="shared" si="40"/>
        <v>12030500100BOOKS AND SUBSCRIPTIONS628000LP</v>
      </c>
      <c r="K1244" s="163">
        <f t="shared" si="41"/>
        <v>50</v>
      </c>
    </row>
    <row r="1245" spans="1:11" ht="14.5">
      <c r="A1245" s="468">
        <v>12030500</v>
      </c>
      <c r="B1245" s="468">
        <v>5165</v>
      </c>
      <c r="C1245" s="468">
        <v>150</v>
      </c>
      <c r="D1245" s="468" t="s">
        <v>339</v>
      </c>
      <c r="E1245" s="468">
        <v>314.39999999999998</v>
      </c>
      <c r="F1245" s="468" t="s">
        <v>338</v>
      </c>
      <c r="G1245" s="468"/>
      <c r="H1245" s="468"/>
      <c r="I1245" s="468"/>
      <c r="J1245" s="445" t="str">
        <f t="shared" si="40"/>
        <v>12030500150CATERING628000LP</v>
      </c>
      <c r="K1245" s="163">
        <f t="shared" si="41"/>
        <v>314.39999999999998</v>
      </c>
    </row>
    <row r="1246" spans="1:11" ht="14.5">
      <c r="A1246" s="468">
        <v>12030500</v>
      </c>
      <c r="B1246" s="468">
        <v>5165</v>
      </c>
      <c r="C1246" s="468">
        <v>200</v>
      </c>
      <c r="D1246" s="468" t="s">
        <v>344</v>
      </c>
      <c r="E1246" s="468">
        <v>1200</v>
      </c>
      <c r="F1246" s="468" t="s">
        <v>338</v>
      </c>
      <c r="G1246" s="468"/>
      <c r="H1246" s="468"/>
      <c r="I1246" s="468"/>
      <c r="J1246" s="445" t="str">
        <f t="shared" si="40"/>
        <v>12030500200MEMBERSHIPS CORPORATE628000LP</v>
      </c>
      <c r="K1246" s="163">
        <f t="shared" si="41"/>
        <v>1200</v>
      </c>
    </row>
    <row r="1247" spans="1:11" ht="14.5">
      <c r="A1247" s="468">
        <v>12028099</v>
      </c>
      <c r="B1247" s="468">
        <v>5165</v>
      </c>
      <c r="C1247" s="468">
        <v>150</v>
      </c>
      <c r="D1247" s="468" t="s">
        <v>339</v>
      </c>
      <c r="E1247" s="468">
        <v>80.459999999999994</v>
      </c>
      <c r="F1247" s="468" t="s">
        <v>340</v>
      </c>
      <c r="G1247" s="468"/>
      <c r="H1247" s="468"/>
      <c r="I1247" s="468"/>
      <c r="J1247" s="445" t="str">
        <f t="shared" si="40"/>
        <v>12028099150CATERING628000SM</v>
      </c>
      <c r="K1247" s="163">
        <f t="shared" si="41"/>
        <v>80.459999999999994</v>
      </c>
    </row>
    <row r="1248" spans="1:11" ht="14.5">
      <c r="A1248" s="468">
        <v>12019199</v>
      </c>
      <c r="B1248" s="468">
        <v>5165</v>
      </c>
      <c r="C1248" s="468">
        <v>250</v>
      </c>
      <c r="D1248" s="468" t="s">
        <v>341</v>
      </c>
      <c r="E1248" s="468">
        <v>1377.26</v>
      </c>
      <c r="F1248" s="468" t="s">
        <v>345</v>
      </c>
      <c r="G1248" s="468"/>
      <c r="H1248" s="468"/>
      <c r="I1248" s="468"/>
      <c r="J1248" s="445" t="str">
        <f t="shared" si="40"/>
        <v>12019199250MEMBERSHIPS INDIVIDUAL628000GA</v>
      </c>
      <c r="K1248" s="163">
        <f t="shared" si="41"/>
        <v>1377.26</v>
      </c>
    </row>
    <row r="1249" spans="1:11" ht="14.5">
      <c r="A1249" s="468">
        <v>12018599</v>
      </c>
      <c r="B1249" s="468">
        <v>5165</v>
      </c>
      <c r="C1249" s="468">
        <v>150</v>
      </c>
      <c r="D1249" s="468" t="s">
        <v>339</v>
      </c>
      <c r="E1249" s="468">
        <v>1398.64</v>
      </c>
      <c r="F1249" s="468" t="s">
        <v>345</v>
      </c>
      <c r="G1249" s="468"/>
      <c r="H1249" s="468"/>
      <c r="I1249" s="468"/>
      <c r="J1249" s="445" t="str">
        <f t="shared" si="40"/>
        <v>12018599150CATERING628000GA</v>
      </c>
      <c r="K1249" s="163">
        <f t="shared" si="41"/>
        <v>1398.64</v>
      </c>
    </row>
    <row r="1250" spans="1:11" ht="14.5">
      <c r="A1250" s="468">
        <v>12018599</v>
      </c>
      <c r="B1250" s="468">
        <v>5165</v>
      </c>
      <c r="C1250" s="468">
        <v>200</v>
      </c>
      <c r="D1250" s="468" t="s">
        <v>344</v>
      </c>
      <c r="E1250" s="468">
        <v>2775</v>
      </c>
      <c r="F1250" s="468" t="s">
        <v>345</v>
      </c>
      <c r="G1250" s="468"/>
      <c r="H1250" s="468"/>
      <c r="I1250" s="468"/>
      <c r="J1250" s="445" t="str">
        <f t="shared" si="40"/>
        <v>12018599200MEMBERSHIPS CORPORATE628000GA</v>
      </c>
      <c r="K1250" s="163">
        <f t="shared" si="41"/>
        <v>2775</v>
      </c>
    </row>
    <row r="1251" spans="1:11" ht="14.5">
      <c r="A1251" s="468">
        <v>12018599</v>
      </c>
      <c r="B1251" s="468">
        <v>5165</v>
      </c>
      <c r="C1251" s="468">
        <v>300</v>
      </c>
      <c r="D1251" s="468" t="s">
        <v>346</v>
      </c>
      <c r="E1251" s="468">
        <v>2167.5</v>
      </c>
      <c r="F1251" s="468" t="s">
        <v>345</v>
      </c>
      <c r="G1251" s="468"/>
      <c r="H1251" s="468"/>
      <c r="I1251" s="468"/>
      <c r="J1251" s="445" t="str">
        <f t="shared" si="40"/>
        <v>12018599300MEMBERSHIPS OTHER628000GA</v>
      </c>
      <c r="K1251" s="163">
        <f t="shared" si="41"/>
        <v>2167.5</v>
      </c>
    </row>
    <row r="1252" spans="1:11" ht="14.5">
      <c r="A1252" s="468">
        <v>12019099</v>
      </c>
      <c r="B1252" s="468">
        <v>5165</v>
      </c>
      <c r="C1252" s="468">
        <v>150</v>
      </c>
      <c r="D1252" s="468" t="s">
        <v>339</v>
      </c>
      <c r="E1252" s="468">
        <v>120</v>
      </c>
      <c r="F1252" s="468" t="s">
        <v>345</v>
      </c>
      <c r="G1252" s="468"/>
      <c r="H1252" s="468"/>
      <c r="I1252" s="468"/>
      <c r="J1252" s="445" t="str">
        <f t="shared" si="40"/>
        <v>12019099150CATERING628000GA</v>
      </c>
      <c r="K1252" s="163">
        <f t="shared" si="41"/>
        <v>120</v>
      </c>
    </row>
    <row r="1253" spans="1:11" ht="14.5">
      <c r="A1253" s="468">
        <v>12020500</v>
      </c>
      <c r="B1253" s="468">
        <v>5165</v>
      </c>
      <c r="C1253" s="468">
        <v>100</v>
      </c>
      <c r="D1253" s="468" t="s">
        <v>337</v>
      </c>
      <c r="E1253" s="468">
        <v>791.6</v>
      </c>
      <c r="F1253" s="468" t="s">
        <v>338</v>
      </c>
      <c r="G1253" s="468"/>
      <c r="H1253" s="468"/>
      <c r="I1253" s="468"/>
      <c r="J1253" s="445" t="str">
        <f t="shared" si="40"/>
        <v>12020500100BOOKS AND SUBSCRIPTIONS628000LP</v>
      </c>
      <c r="K1253" s="163">
        <f t="shared" si="41"/>
        <v>791.6</v>
      </c>
    </row>
    <row r="1254" spans="1:11" ht="14.5">
      <c r="A1254" s="468">
        <v>12020500</v>
      </c>
      <c r="B1254" s="468">
        <v>5165</v>
      </c>
      <c r="C1254" s="468">
        <v>150</v>
      </c>
      <c r="D1254" s="468" t="s">
        <v>339</v>
      </c>
      <c r="E1254" s="468">
        <v>1591.41</v>
      </c>
      <c r="F1254" s="468" t="s">
        <v>338</v>
      </c>
      <c r="G1254" s="468"/>
      <c r="H1254" s="468"/>
      <c r="I1254" s="468"/>
      <c r="J1254" s="445" t="str">
        <f t="shared" si="40"/>
        <v>12020500150CATERING628000LP</v>
      </c>
      <c r="K1254" s="163">
        <f t="shared" si="41"/>
        <v>1591.41</v>
      </c>
    </row>
    <row r="1255" spans="1:11" ht="14.5">
      <c r="A1255" s="468">
        <v>12019199</v>
      </c>
      <c r="B1255" s="468">
        <v>5165</v>
      </c>
      <c r="C1255" s="468">
        <v>100</v>
      </c>
      <c r="D1255" s="468" t="s">
        <v>337</v>
      </c>
      <c r="E1255" s="468">
        <v>10694.93</v>
      </c>
      <c r="F1255" s="468" t="s">
        <v>345</v>
      </c>
      <c r="G1255" s="468"/>
      <c r="H1255" s="468"/>
      <c r="I1255" s="468"/>
      <c r="J1255" s="445" t="str">
        <f t="shared" si="40"/>
        <v>12019199100BOOKS AND SUBSCRIPTIONS628000GA</v>
      </c>
      <c r="K1255" s="163">
        <f t="shared" si="41"/>
        <v>10694.93</v>
      </c>
    </row>
    <row r="1256" spans="1:11" ht="14.5">
      <c r="A1256" s="468">
        <v>12019199</v>
      </c>
      <c r="B1256" s="468">
        <v>5165</v>
      </c>
      <c r="C1256" s="468">
        <v>150</v>
      </c>
      <c r="D1256" s="468" t="s">
        <v>339</v>
      </c>
      <c r="E1256" s="468">
        <v>45.18</v>
      </c>
      <c r="F1256" s="468" t="s">
        <v>345</v>
      </c>
      <c r="G1256" s="468"/>
      <c r="H1256" s="468"/>
      <c r="I1256" s="468"/>
      <c r="J1256" s="445" t="str">
        <f t="shared" si="40"/>
        <v>12019199150CATERING628000GA</v>
      </c>
      <c r="K1256" s="163">
        <f t="shared" si="41"/>
        <v>45.18</v>
      </c>
    </row>
    <row r="1257" spans="1:11" ht="14.5">
      <c r="A1257" s="468">
        <v>12023011</v>
      </c>
      <c r="B1257" s="468">
        <v>5165</v>
      </c>
      <c r="C1257" s="468">
        <v>250</v>
      </c>
      <c r="D1257" s="468" t="s">
        <v>341</v>
      </c>
      <c r="E1257" s="468">
        <v>181.82</v>
      </c>
      <c r="F1257" s="468">
        <v>62800000</v>
      </c>
      <c r="G1257" s="468"/>
      <c r="H1257" s="468"/>
      <c r="I1257" s="468"/>
      <c r="J1257" s="445" t="str">
        <f t="shared" si="40"/>
        <v>12023011250MEMBERSHIPS INDIVIDUAL62800000</v>
      </c>
      <c r="K1257" s="163">
        <f t="shared" si="41"/>
        <v>181.82</v>
      </c>
    </row>
    <row r="1258" spans="1:11" ht="14.5">
      <c r="A1258" s="468">
        <v>12013012</v>
      </c>
      <c r="B1258" s="468">
        <v>5165</v>
      </c>
      <c r="C1258" s="468">
        <v>100</v>
      </c>
      <c r="D1258" s="468" t="s">
        <v>337</v>
      </c>
      <c r="E1258" s="468">
        <v>218.05</v>
      </c>
      <c r="F1258" s="468">
        <v>62800000</v>
      </c>
      <c r="G1258" s="468"/>
      <c r="H1258" s="468"/>
      <c r="I1258" s="468"/>
      <c r="J1258" s="445" t="str">
        <f t="shared" si="40"/>
        <v>12013012100BOOKS AND SUBSCRIPTIONS62800000</v>
      </c>
      <c r="K1258" s="163">
        <f t="shared" si="41"/>
        <v>218.05</v>
      </c>
    </row>
    <row r="1259" spans="1:11" ht="14.5">
      <c r="A1259" s="468">
        <v>12010500</v>
      </c>
      <c r="B1259" s="468">
        <v>5165</v>
      </c>
      <c r="C1259" s="468">
        <v>100</v>
      </c>
      <c r="D1259" s="468" t="s">
        <v>337</v>
      </c>
      <c r="E1259" s="468">
        <v>454.55</v>
      </c>
      <c r="F1259" s="468" t="s">
        <v>338</v>
      </c>
      <c r="G1259" s="468"/>
      <c r="H1259" s="468"/>
      <c r="I1259" s="468"/>
      <c r="J1259" s="445" t="str">
        <f t="shared" si="40"/>
        <v>12010500100BOOKS AND SUBSCRIPTIONS628000LP</v>
      </c>
      <c r="K1259" s="163">
        <f t="shared" si="41"/>
        <v>454.55</v>
      </c>
    </row>
    <row r="1260" spans="1:11" ht="14.5">
      <c r="A1260" s="468">
        <v>12010500</v>
      </c>
      <c r="B1260" s="468">
        <v>5165</v>
      </c>
      <c r="C1260" s="468">
        <v>150</v>
      </c>
      <c r="D1260" s="468" t="s">
        <v>339</v>
      </c>
      <c r="E1260" s="468">
        <v>22.43</v>
      </c>
      <c r="F1260" s="468" t="s">
        <v>338</v>
      </c>
      <c r="G1260" s="468"/>
      <c r="H1260" s="468"/>
      <c r="I1260" s="468"/>
      <c r="J1260" s="445" t="str">
        <f t="shared" si="40"/>
        <v>12010500150CATERING628000LP</v>
      </c>
      <c r="K1260" s="163">
        <f t="shared" si="41"/>
        <v>22.43</v>
      </c>
    </row>
    <row r="1261" spans="1:11" ht="14.5">
      <c r="A1261" s="468">
        <v>12010500</v>
      </c>
      <c r="B1261" s="468">
        <v>5165</v>
      </c>
      <c r="C1261" s="468">
        <v>250</v>
      </c>
      <c r="D1261" s="468" t="s">
        <v>341</v>
      </c>
      <c r="E1261" s="468">
        <v>635.45000000000005</v>
      </c>
      <c r="F1261" s="468" t="s">
        <v>338</v>
      </c>
      <c r="G1261" s="468"/>
      <c r="H1261" s="468"/>
      <c r="I1261" s="468"/>
      <c r="J1261" s="445" t="str">
        <f t="shared" si="40"/>
        <v>12010500250MEMBERSHIPS INDIVIDUAL628000LP</v>
      </c>
      <c r="K1261" s="163">
        <f t="shared" si="41"/>
        <v>635.45000000000005</v>
      </c>
    </row>
    <row r="1262" spans="1:11" ht="14.5">
      <c r="A1262" s="468">
        <v>12013250</v>
      </c>
      <c r="B1262" s="468">
        <v>5165</v>
      </c>
      <c r="C1262" s="468">
        <v>100</v>
      </c>
      <c r="D1262" s="468" t="s">
        <v>337</v>
      </c>
      <c r="E1262" s="468">
        <v>311.81</v>
      </c>
      <c r="F1262" s="468">
        <v>62800000</v>
      </c>
      <c r="G1262" s="468"/>
      <c r="H1262" s="468"/>
      <c r="I1262" s="468"/>
      <c r="J1262" s="445" t="str">
        <f t="shared" si="40"/>
        <v>12013250100BOOKS AND SUBSCRIPTIONS62800000</v>
      </c>
      <c r="K1262" s="163">
        <f t="shared" si="41"/>
        <v>311.81</v>
      </c>
    </row>
    <row r="1263" spans="1:11" ht="14.5">
      <c r="A1263" s="468">
        <v>12013250</v>
      </c>
      <c r="B1263" s="468">
        <v>5165</v>
      </c>
      <c r="C1263" s="468">
        <v>150</v>
      </c>
      <c r="D1263" s="468" t="s">
        <v>339</v>
      </c>
      <c r="E1263" s="468">
        <v>633.64</v>
      </c>
      <c r="F1263" s="468">
        <v>62800000</v>
      </c>
      <c r="G1263" s="468"/>
      <c r="H1263" s="468"/>
      <c r="I1263" s="468"/>
      <c r="J1263" s="445" t="str">
        <f t="shared" si="40"/>
        <v>12013250150CATERING62800000</v>
      </c>
      <c r="K1263" s="163">
        <f t="shared" si="41"/>
        <v>633.64</v>
      </c>
    </row>
    <row r="1264" spans="1:11" ht="14.5">
      <c r="A1264" s="468">
        <v>12013250</v>
      </c>
      <c r="B1264" s="468">
        <v>5165</v>
      </c>
      <c r="C1264" s="468">
        <v>200</v>
      </c>
      <c r="D1264" s="468" t="s">
        <v>344</v>
      </c>
      <c r="E1264" s="468">
        <v>8613.6</v>
      </c>
      <c r="F1264" s="468">
        <v>62800000</v>
      </c>
      <c r="G1264" s="468"/>
      <c r="H1264" s="468"/>
      <c r="I1264" s="468"/>
      <c r="J1264" s="445" t="str">
        <f t="shared" si="40"/>
        <v>12013250200MEMBERSHIPS CORPORATE62800000</v>
      </c>
      <c r="K1264" s="163">
        <f t="shared" si="41"/>
        <v>8613.6</v>
      </c>
    </row>
    <row r="1265" spans="1:11" ht="14.5">
      <c r="A1265" s="468">
        <v>12018099</v>
      </c>
      <c r="B1265" s="468">
        <v>5165</v>
      </c>
      <c r="C1265" s="468">
        <v>150</v>
      </c>
      <c r="D1265" s="468" t="s">
        <v>339</v>
      </c>
      <c r="E1265" s="468">
        <v>154.94</v>
      </c>
      <c r="F1265" s="468" t="s">
        <v>340</v>
      </c>
      <c r="G1265" s="468"/>
      <c r="H1265" s="468"/>
      <c r="I1265" s="468"/>
      <c r="J1265" s="445" t="str">
        <f t="shared" si="40"/>
        <v>12018099150CATERING628000SM</v>
      </c>
      <c r="K1265" s="163">
        <f t="shared" si="41"/>
        <v>154.94</v>
      </c>
    </row>
    <row r="1266" spans="1:11" ht="14.5">
      <c r="A1266" s="468">
        <v>12018199</v>
      </c>
      <c r="B1266" s="468">
        <v>5165</v>
      </c>
      <c r="C1266" s="468">
        <v>100</v>
      </c>
      <c r="D1266" s="468" t="s">
        <v>337</v>
      </c>
      <c r="E1266" s="468">
        <v>437.19</v>
      </c>
      <c r="F1266" s="468" t="s">
        <v>340</v>
      </c>
      <c r="G1266" s="468"/>
      <c r="H1266" s="468"/>
      <c r="I1266" s="468"/>
      <c r="J1266" s="445" t="str">
        <f t="shared" si="40"/>
        <v>12018199100BOOKS AND SUBSCRIPTIONS628000SM</v>
      </c>
      <c r="K1266" s="163">
        <f t="shared" si="41"/>
        <v>437.19</v>
      </c>
    </row>
    <row r="1267" spans="1:11" ht="14.5">
      <c r="A1267" s="468">
        <v>12018199</v>
      </c>
      <c r="B1267" s="468">
        <v>5165</v>
      </c>
      <c r="C1267" s="468">
        <v>200</v>
      </c>
      <c r="D1267" s="468" t="s">
        <v>344</v>
      </c>
      <c r="E1267" s="468">
        <v>833.33</v>
      </c>
      <c r="F1267" s="468" t="s">
        <v>340</v>
      </c>
      <c r="G1267" s="468"/>
      <c r="H1267" s="468"/>
      <c r="I1267" s="468"/>
      <c r="J1267" s="445" t="str">
        <f t="shared" si="40"/>
        <v>12018199200MEMBERSHIPS CORPORATE628000SM</v>
      </c>
      <c r="K1267" s="163">
        <f t="shared" si="41"/>
        <v>833.33</v>
      </c>
    </row>
    <row r="1268" spans="1:11" ht="14.5">
      <c r="A1268" s="468">
        <v>12013300</v>
      </c>
      <c r="B1268" s="468">
        <v>5165</v>
      </c>
      <c r="C1268" s="468">
        <v>100</v>
      </c>
      <c r="D1268" s="468" t="s">
        <v>337</v>
      </c>
      <c r="E1268" s="468">
        <v>5757.78</v>
      </c>
      <c r="F1268" s="468" t="s">
        <v>347</v>
      </c>
      <c r="G1268" s="468"/>
      <c r="H1268" s="468"/>
      <c r="I1268" s="468"/>
      <c r="J1268" s="445" t="str">
        <f t="shared" si="40"/>
        <v>12013300100BOOKS AND SUBSCRIPTIONS628000IT</v>
      </c>
      <c r="K1268" s="163">
        <f t="shared" si="41"/>
        <v>5757.78</v>
      </c>
    </row>
    <row r="1269" spans="1:11" ht="14.5">
      <c r="A1269" s="468">
        <v>12019499</v>
      </c>
      <c r="B1269" s="468">
        <v>5630</v>
      </c>
      <c r="C1269" s="468"/>
      <c r="D1269" s="468" t="s">
        <v>348</v>
      </c>
      <c r="E1269" s="468">
        <v>-2614.04</v>
      </c>
      <c r="F1269" s="468">
        <v>62001900</v>
      </c>
      <c r="G1269" s="468"/>
      <c r="H1269" s="468"/>
      <c r="I1269" s="468"/>
      <c r="J1269" s="445" t="str">
        <f t="shared" si="40"/>
        <v>12019499FX GAIN ON ST B/S ITEMS62001900</v>
      </c>
      <c r="K1269" s="163">
        <f t="shared" si="41"/>
        <v>-2614.04</v>
      </c>
    </row>
    <row r="1270" spans="1:11" ht="14.5">
      <c r="A1270" s="468">
        <v>12019499</v>
      </c>
      <c r="B1270" s="468">
        <v>5680</v>
      </c>
      <c r="C1270" s="468"/>
      <c r="D1270" s="468" t="s">
        <v>349</v>
      </c>
      <c r="E1270" s="468">
        <v>16718.64</v>
      </c>
      <c r="F1270" s="468">
        <v>62001900</v>
      </c>
      <c r="G1270" s="468"/>
      <c r="H1270" s="468"/>
      <c r="I1270" s="468"/>
      <c r="J1270" s="445" t="str">
        <f t="shared" si="40"/>
        <v>12019499FX LOSS ON ST B/S ITEMS62001900</v>
      </c>
      <c r="K1270" s="163">
        <f t="shared" si="41"/>
        <v>16718.64</v>
      </c>
    </row>
    <row r="1271" spans="1:11" ht="14.5">
      <c r="A1271" s="468">
        <v>12019599</v>
      </c>
      <c r="B1271" s="468">
        <v>5820</v>
      </c>
      <c r="C1271" s="468">
        <v>117</v>
      </c>
      <c r="D1271" s="468" t="s">
        <v>350</v>
      </c>
      <c r="E1271" s="468">
        <v>440199.86</v>
      </c>
      <c r="F1271" s="468">
        <v>65000100</v>
      </c>
      <c r="G1271" s="468"/>
      <c r="H1271" s="468"/>
      <c r="I1271" s="468"/>
      <c r="J1271" s="445" t="str">
        <f t="shared" si="40"/>
        <v>12019599117MANAGEMENT FEES - INTERCOMPANY65000100</v>
      </c>
      <c r="K1271" s="163">
        <f t="shared" si="41"/>
        <v>440199.86</v>
      </c>
    </row>
    <row r="1272" spans="1:11" ht="14.5">
      <c r="A1272" s="468">
        <v>12019799</v>
      </c>
      <c r="B1272" s="468">
        <v>5910</v>
      </c>
      <c r="C1272" s="468"/>
      <c r="D1272" s="468" t="s">
        <v>351</v>
      </c>
      <c r="E1272" s="468">
        <v>-412.35</v>
      </c>
      <c r="F1272" s="468">
        <v>76240000</v>
      </c>
      <c r="G1272" s="468"/>
      <c r="H1272" s="468"/>
      <c r="I1272" s="468"/>
      <c r="J1272" s="445" t="str">
        <f t="shared" si="40"/>
        <v>12019799INTEREST INCOME - THIRD PARTY76240000</v>
      </c>
      <c r="K1272" s="163">
        <f t="shared" si="41"/>
        <v>-412.35</v>
      </c>
    </row>
    <row r="1273" spans="1:11" ht="14.5">
      <c r="A1273">
        <v>12019799</v>
      </c>
      <c r="B1273">
        <v>6020</v>
      </c>
      <c r="C1273">
        <v>117</v>
      </c>
      <c r="D1273" t="s">
        <v>352</v>
      </c>
      <c r="E1273">
        <v>48750.02</v>
      </c>
      <c r="F1273">
        <v>66250000</v>
      </c>
      <c r="J1273" s="445" t="str">
        <f t="shared" si="40"/>
        <v>12019799117INTEREST EXPENSE- INTERCOMPANY66250000</v>
      </c>
      <c r="K1273" s="163">
        <f t="shared" si="41"/>
        <v>48750.02</v>
      </c>
    </row>
    <row r="1274" spans="1:11" ht="14.5">
      <c r="A1274">
        <v>12019199</v>
      </c>
      <c r="B1274">
        <v>6030</v>
      </c>
      <c r="D1274" t="s">
        <v>353</v>
      </c>
      <c r="E1274">
        <v>29338.62</v>
      </c>
      <c r="F1274">
        <v>66150000</v>
      </c>
      <c r="J1274" s="445" t="str">
        <f t="shared" si="40"/>
        <v>12019199INTEREST EXP - OPERATING LEASE66150000</v>
      </c>
      <c r="K1274" s="163">
        <f t="shared" si="41"/>
        <v>29338.62</v>
      </c>
    </row>
    <row r="1275" spans="1:11" ht="14.5">
      <c r="J1275" s="445" t="str">
        <f t="shared" si="40"/>
        <v/>
      </c>
      <c r="K1275" s="163">
        <f t="shared" si="41"/>
        <v>0</v>
      </c>
    </row>
    <row r="1276" spans="1:11" ht="14.5">
      <c r="J1276" s="445" t="str">
        <f t="shared" si="40"/>
        <v/>
      </c>
      <c r="K1276" s="163">
        <f t="shared" si="41"/>
        <v>0</v>
      </c>
    </row>
    <row r="1277" spans="1:11" ht="14.5">
      <c r="J1277" s="445" t="str">
        <f t="shared" si="40"/>
        <v/>
      </c>
      <c r="K1277" s="163">
        <f t="shared" si="41"/>
        <v>0</v>
      </c>
    </row>
    <row r="1278" spans="1:11" ht="14.5">
      <c r="J1278" s="445" t="str">
        <f t="shared" si="40"/>
        <v/>
      </c>
      <c r="K1278" s="163">
        <f t="shared" si="41"/>
        <v>0</v>
      </c>
    </row>
    <row r="1279" spans="1:11" ht="14.5">
      <c r="J1279" s="445" t="str">
        <f t="shared" si="40"/>
        <v/>
      </c>
      <c r="K1279" s="163">
        <f t="shared" si="41"/>
        <v>0</v>
      </c>
    </row>
    <row r="1280" spans="1:11" ht="14.5">
      <c r="J1280" s="445" t="str">
        <f t="shared" si="40"/>
        <v/>
      </c>
      <c r="K1280" s="163">
        <f t="shared" si="41"/>
        <v>0</v>
      </c>
    </row>
    <row r="1281" spans="10:11" ht="14.5">
      <c r="J1281" s="445" t="str">
        <f t="shared" si="40"/>
        <v/>
      </c>
      <c r="K1281" s="163">
        <f t="shared" si="41"/>
        <v>0</v>
      </c>
    </row>
    <row r="1282" spans="10:11" ht="14.5">
      <c r="J1282" s="445" t="str">
        <f t="shared" si="40"/>
        <v/>
      </c>
      <c r="K1282" s="163">
        <f t="shared" si="41"/>
        <v>0</v>
      </c>
    </row>
    <row r="1283" spans="10:11" ht="14.5">
      <c r="J1283" s="445" t="str">
        <f t="shared" si="40"/>
        <v/>
      </c>
      <c r="K1283" s="163">
        <f t="shared" si="41"/>
        <v>0</v>
      </c>
    </row>
    <row r="1284" spans="10:11" ht="14.5">
      <c r="J1284" s="445" t="str">
        <f t="shared" si="40"/>
        <v/>
      </c>
      <c r="K1284" s="163">
        <f t="shared" si="41"/>
        <v>0</v>
      </c>
    </row>
    <row r="1285" spans="10:11" ht="14.5">
      <c r="J1285" s="445" t="str">
        <f t="shared" si="40"/>
        <v/>
      </c>
      <c r="K1285" s="163">
        <f t="shared" si="41"/>
        <v>0</v>
      </c>
    </row>
    <row r="1286" spans="10:11" ht="14.5">
      <c r="J1286" s="445" t="str">
        <f t="shared" si="40"/>
        <v/>
      </c>
      <c r="K1286" s="163">
        <f t="shared" si="41"/>
        <v>0</v>
      </c>
    </row>
    <row r="1287" spans="10:11" ht="14.5">
      <c r="J1287" s="445" t="str">
        <f t="shared" si="40"/>
        <v/>
      </c>
      <c r="K1287" s="163">
        <f t="shared" si="41"/>
        <v>0</v>
      </c>
    </row>
    <row r="1288" spans="10:11" ht="14.5">
      <c r="J1288" s="445" t="str">
        <f t="shared" si="40"/>
        <v/>
      </c>
      <c r="K1288" s="163">
        <f t="shared" si="41"/>
        <v>0</v>
      </c>
    </row>
    <row r="1289" spans="10:11" ht="14.5">
      <c r="J1289" s="445" t="str">
        <f t="shared" si="40"/>
        <v/>
      </c>
      <c r="K1289" s="163">
        <f t="shared" si="41"/>
        <v>0</v>
      </c>
    </row>
    <row r="1290" spans="10:11" ht="14.5">
      <c r="J1290" s="445" t="str">
        <f t="shared" si="40"/>
        <v/>
      </c>
      <c r="K1290" s="163">
        <f t="shared" si="41"/>
        <v>0</v>
      </c>
    </row>
    <row r="1291" spans="10:11" ht="14.5">
      <c r="J1291" s="445" t="str">
        <f t="shared" si="40"/>
        <v/>
      </c>
      <c r="K1291" s="163">
        <f t="shared" si="41"/>
        <v>0</v>
      </c>
    </row>
    <row r="1292" spans="10:11" ht="14.5">
      <c r="J1292" s="445" t="str">
        <f t="shared" si="40"/>
        <v/>
      </c>
      <c r="K1292" s="163">
        <f t="shared" si="41"/>
        <v>0</v>
      </c>
    </row>
    <row r="1293" spans="10:11" ht="14.5">
      <c r="J1293" s="445" t="str">
        <f t="shared" si="40"/>
        <v/>
      </c>
      <c r="K1293" s="163">
        <f t="shared" si="41"/>
        <v>0</v>
      </c>
    </row>
    <row r="1294" spans="10:11" ht="14.5">
      <c r="J1294" s="445" t="str">
        <f t="shared" si="40"/>
        <v/>
      </c>
      <c r="K1294" s="163">
        <f t="shared" si="41"/>
        <v>0</v>
      </c>
    </row>
    <row r="1295" spans="10:11" ht="14.5">
      <c r="J1295" s="445" t="str">
        <f t="shared" si="40"/>
        <v/>
      </c>
      <c r="K1295" s="163">
        <f t="shared" si="41"/>
        <v>0</v>
      </c>
    </row>
    <row r="1296" spans="10:11" ht="14.5">
      <c r="J1296" s="445" t="str">
        <f t="shared" si="40"/>
        <v/>
      </c>
      <c r="K1296" s="163">
        <f t="shared" si="41"/>
        <v>0</v>
      </c>
    </row>
    <row r="1297" spans="10:11" ht="14.5">
      <c r="J1297" s="445" t="str">
        <f t="shared" si="40"/>
        <v/>
      </c>
      <c r="K1297" s="163">
        <f t="shared" si="41"/>
        <v>0</v>
      </c>
    </row>
    <row r="1298" spans="10:11" ht="14.5">
      <c r="J1298" s="445" t="str">
        <f t="shared" si="40"/>
        <v/>
      </c>
      <c r="K1298" s="163">
        <f t="shared" si="41"/>
        <v>0</v>
      </c>
    </row>
    <row r="1299" spans="10:11" ht="14.5">
      <c r="J1299" s="445" t="str">
        <f t="shared" si="40"/>
        <v/>
      </c>
      <c r="K1299" s="163">
        <f t="shared" si="41"/>
        <v>0</v>
      </c>
    </row>
    <row r="1300" spans="10:11" ht="14.5">
      <c r="J1300" s="445" t="str">
        <f t="shared" ref="J1300:J1354" si="42">A1300&amp;C1300&amp;D1300&amp;F1300</f>
        <v/>
      </c>
      <c r="K1300" s="163">
        <f t="shared" ref="K1300:K1354" si="43">E1300</f>
        <v>0</v>
      </c>
    </row>
    <row r="1301" spans="10:11" ht="14.5">
      <c r="J1301" s="445" t="str">
        <f t="shared" si="42"/>
        <v/>
      </c>
      <c r="K1301" s="163">
        <f t="shared" si="43"/>
        <v>0</v>
      </c>
    </row>
    <row r="1302" spans="10:11" ht="14.5">
      <c r="J1302" s="445" t="str">
        <f t="shared" si="42"/>
        <v/>
      </c>
      <c r="K1302" s="163">
        <f t="shared" si="43"/>
        <v>0</v>
      </c>
    </row>
    <row r="1303" spans="10:11" ht="14.5">
      <c r="J1303" s="445" t="str">
        <f t="shared" si="42"/>
        <v/>
      </c>
      <c r="K1303" s="163">
        <f t="shared" si="43"/>
        <v>0</v>
      </c>
    </row>
    <row r="1304" spans="10:11" ht="14.5">
      <c r="J1304" s="445" t="str">
        <f t="shared" si="42"/>
        <v/>
      </c>
      <c r="K1304" s="163">
        <f t="shared" si="43"/>
        <v>0</v>
      </c>
    </row>
    <row r="1305" spans="10:11" ht="14.5">
      <c r="J1305" s="445" t="str">
        <f t="shared" si="42"/>
        <v/>
      </c>
      <c r="K1305" s="163">
        <f t="shared" si="43"/>
        <v>0</v>
      </c>
    </row>
    <row r="1306" spans="10:11" ht="14.5">
      <c r="J1306" s="445" t="str">
        <f t="shared" si="42"/>
        <v/>
      </c>
      <c r="K1306" s="163">
        <f t="shared" si="43"/>
        <v>0</v>
      </c>
    </row>
    <row r="1307" spans="10:11" ht="14.5">
      <c r="J1307" s="445" t="str">
        <f t="shared" si="42"/>
        <v/>
      </c>
      <c r="K1307" s="163">
        <f t="shared" si="43"/>
        <v>0</v>
      </c>
    </row>
    <row r="1308" spans="10:11" ht="14.5">
      <c r="J1308" s="445" t="str">
        <f t="shared" si="42"/>
        <v/>
      </c>
      <c r="K1308" s="163">
        <f t="shared" si="43"/>
        <v>0</v>
      </c>
    </row>
    <row r="1309" spans="10:11" ht="14.5">
      <c r="J1309" s="445" t="str">
        <f t="shared" si="42"/>
        <v/>
      </c>
      <c r="K1309" s="163">
        <f t="shared" si="43"/>
        <v>0</v>
      </c>
    </row>
    <row r="1310" spans="10:11" ht="14.5">
      <c r="J1310" s="445" t="str">
        <f t="shared" si="42"/>
        <v/>
      </c>
      <c r="K1310" s="163">
        <f t="shared" si="43"/>
        <v>0</v>
      </c>
    </row>
    <row r="1311" spans="10:11" ht="14.5">
      <c r="J1311" s="445" t="str">
        <f t="shared" si="42"/>
        <v/>
      </c>
      <c r="K1311" s="163">
        <f t="shared" si="43"/>
        <v>0</v>
      </c>
    </row>
    <row r="1312" spans="10:11" ht="14.5">
      <c r="J1312" s="445" t="str">
        <f t="shared" si="42"/>
        <v/>
      </c>
      <c r="K1312" s="163">
        <f t="shared" si="43"/>
        <v>0</v>
      </c>
    </row>
    <row r="1313" spans="10:11" ht="14.5">
      <c r="J1313" s="445" t="str">
        <f t="shared" si="42"/>
        <v/>
      </c>
      <c r="K1313" s="163">
        <f t="shared" si="43"/>
        <v>0</v>
      </c>
    </row>
    <row r="1314" spans="10:11" ht="14.5">
      <c r="J1314" s="445" t="str">
        <f t="shared" si="42"/>
        <v/>
      </c>
      <c r="K1314" s="163">
        <f t="shared" si="43"/>
        <v>0</v>
      </c>
    </row>
    <row r="1315" spans="10:11" ht="14.5">
      <c r="J1315" s="445" t="str">
        <f t="shared" si="42"/>
        <v/>
      </c>
      <c r="K1315" s="163">
        <f t="shared" si="43"/>
        <v>0</v>
      </c>
    </row>
    <row r="1316" spans="10:11" ht="14.5">
      <c r="J1316" s="445" t="str">
        <f t="shared" si="42"/>
        <v/>
      </c>
      <c r="K1316" s="163">
        <f t="shared" si="43"/>
        <v>0</v>
      </c>
    </row>
    <row r="1317" spans="10:11" ht="14.5">
      <c r="J1317" s="445" t="str">
        <f t="shared" si="42"/>
        <v/>
      </c>
      <c r="K1317" s="163">
        <f t="shared" si="43"/>
        <v>0</v>
      </c>
    </row>
    <row r="1318" spans="10:11" ht="14.5">
      <c r="J1318" s="445" t="str">
        <f t="shared" si="42"/>
        <v/>
      </c>
      <c r="K1318" s="163">
        <f t="shared" si="43"/>
        <v>0</v>
      </c>
    </row>
    <row r="1319" spans="10:11" ht="14.5">
      <c r="J1319" s="445" t="str">
        <f t="shared" si="42"/>
        <v/>
      </c>
      <c r="K1319" s="163">
        <f t="shared" si="43"/>
        <v>0</v>
      </c>
    </row>
    <row r="1320" spans="10:11" ht="14.5">
      <c r="J1320" s="445" t="str">
        <f t="shared" si="42"/>
        <v/>
      </c>
      <c r="K1320" s="163">
        <f t="shared" si="43"/>
        <v>0</v>
      </c>
    </row>
    <row r="1321" spans="10:11" ht="14.5">
      <c r="J1321" s="445" t="str">
        <f t="shared" si="42"/>
        <v/>
      </c>
      <c r="K1321" s="163">
        <f t="shared" si="43"/>
        <v>0</v>
      </c>
    </row>
    <row r="1322" spans="10:11" ht="14.5">
      <c r="J1322" s="445" t="str">
        <f t="shared" si="42"/>
        <v/>
      </c>
      <c r="K1322" s="163">
        <f t="shared" si="43"/>
        <v>0</v>
      </c>
    </row>
    <row r="1323" spans="10:11" ht="14.5">
      <c r="J1323" s="445" t="str">
        <f t="shared" si="42"/>
        <v/>
      </c>
      <c r="K1323" s="163">
        <f t="shared" si="43"/>
        <v>0</v>
      </c>
    </row>
    <row r="1324" spans="10:11" ht="14.5">
      <c r="J1324" s="445" t="str">
        <f t="shared" si="42"/>
        <v/>
      </c>
      <c r="K1324" s="163">
        <f t="shared" si="43"/>
        <v>0</v>
      </c>
    </row>
    <row r="1325" spans="10:11" ht="14.5">
      <c r="J1325" s="445" t="str">
        <f t="shared" si="42"/>
        <v/>
      </c>
      <c r="K1325" s="163">
        <f t="shared" si="43"/>
        <v>0</v>
      </c>
    </row>
    <row r="1326" spans="10:11" ht="14.5">
      <c r="J1326" s="445" t="str">
        <f t="shared" si="42"/>
        <v/>
      </c>
      <c r="K1326" s="163">
        <f t="shared" si="43"/>
        <v>0</v>
      </c>
    </row>
    <row r="1327" spans="10:11" ht="14.5">
      <c r="J1327" s="445" t="str">
        <f t="shared" si="42"/>
        <v/>
      </c>
      <c r="K1327" s="163">
        <f t="shared" si="43"/>
        <v>0</v>
      </c>
    </row>
    <row r="1328" spans="10:11" ht="14.5">
      <c r="J1328" s="445" t="str">
        <f t="shared" si="42"/>
        <v/>
      </c>
      <c r="K1328" s="163">
        <f t="shared" si="43"/>
        <v>0</v>
      </c>
    </row>
    <row r="1329" spans="10:11" ht="14.5">
      <c r="J1329" s="445" t="str">
        <f t="shared" si="42"/>
        <v/>
      </c>
      <c r="K1329" s="163">
        <f t="shared" si="43"/>
        <v>0</v>
      </c>
    </row>
    <row r="1330" spans="10:11" ht="14.5">
      <c r="J1330" s="445" t="str">
        <f t="shared" si="42"/>
        <v/>
      </c>
      <c r="K1330" s="163">
        <f t="shared" si="43"/>
        <v>0</v>
      </c>
    </row>
    <row r="1331" spans="10:11" ht="14.5">
      <c r="J1331" s="445" t="str">
        <f t="shared" si="42"/>
        <v/>
      </c>
      <c r="K1331" s="163">
        <f t="shared" si="43"/>
        <v>0</v>
      </c>
    </row>
    <row r="1332" spans="10:11" ht="14.5">
      <c r="J1332" s="445" t="str">
        <f t="shared" si="42"/>
        <v/>
      </c>
      <c r="K1332" s="163">
        <f t="shared" si="43"/>
        <v>0</v>
      </c>
    </row>
    <row r="1333" spans="10:11" ht="14.5">
      <c r="J1333" s="445" t="str">
        <f t="shared" si="42"/>
        <v/>
      </c>
      <c r="K1333" s="163">
        <f t="shared" si="43"/>
        <v>0</v>
      </c>
    </row>
    <row r="1334" spans="10:11" ht="14.5">
      <c r="J1334" s="445" t="str">
        <f t="shared" si="42"/>
        <v/>
      </c>
      <c r="K1334" s="163">
        <f t="shared" si="43"/>
        <v>0</v>
      </c>
    </row>
    <row r="1335" spans="10:11" ht="14.5">
      <c r="J1335" s="445" t="str">
        <f t="shared" si="42"/>
        <v/>
      </c>
      <c r="K1335" s="163">
        <f t="shared" si="43"/>
        <v>0</v>
      </c>
    </row>
    <row r="1336" spans="10:11" ht="14.5">
      <c r="J1336" s="445" t="str">
        <f t="shared" si="42"/>
        <v/>
      </c>
      <c r="K1336" s="163">
        <f t="shared" si="43"/>
        <v>0</v>
      </c>
    </row>
    <row r="1337" spans="10:11" ht="14.5">
      <c r="J1337" s="445" t="str">
        <f t="shared" si="42"/>
        <v/>
      </c>
      <c r="K1337" s="163">
        <f t="shared" si="43"/>
        <v>0</v>
      </c>
    </row>
    <row r="1338" spans="10:11" ht="14.5">
      <c r="J1338" s="445" t="str">
        <f t="shared" si="42"/>
        <v/>
      </c>
      <c r="K1338" s="163">
        <f t="shared" si="43"/>
        <v>0</v>
      </c>
    </row>
    <row r="1339" spans="10:11" ht="14.5">
      <c r="J1339" s="445" t="str">
        <f t="shared" si="42"/>
        <v/>
      </c>
      <c r="K1339" s="163">
        <f t="shared" si="43"/>
        <v>0</v>
      </c>
    </row>
    <row r="1340" spans="10:11" ht="14.5">
      <c r="J1340" s="445" t="str">
        <f t="shared" si="42"/>
        <v/>
      </c>
      <c r="K1340" s="163">
        <f t="shared" si="43"/>
        <v>0</v>
      </c>
    </row>
    <row r="1341" spans="10:11" ht="14.5">
      <c r="J1341" s="445" t="str">
        <f t="shared" si="42"/>
        <v/>
      </c>
      <c r="K1341" s="163">
        <f t="shared" si="43"/>
        <v>0</v>
      </c>
    </row>
    <row r="1342" spans="10:11" ht="14.5">
      <c r="J1342" s="445" t="str">
        <f t="shared" si="42"/>
        <v/>
      </c>
      <c r="K1342" s="163">
        <f t="shared" si="43"/>
        <v>0</v>
      </c>
    </row>
    <row r="1343" spans="10:11" ht="14.5">
      <c r="J1343" s="445" t="str">
        <f t="shared" si="42"/>
        <v/>
      </c>
      <c r="K1343" s="163">
        <f t="shared" si="43"/>
        <v>0</v>
      </c>
    </row>
    <row r="1344" spans="10:11" ht="14.5">
      <c r="J1344" s="445" t="str">
        <f t="shared" si="42"/>
        <v/>
      </c>
      <c r="K1344" s="163">
        <f t="shared" si="43"/>
        <v>0</v>
      </c>
    </row>
    <row r="1345" spans="10:11" ht="14.5">
      <c r="J1345" s="445" t="str">
        <f t="shared" si="42"/>
        <v/>
      </c>
      <c r="K1345" s="163">
        <f t="shared" si="43"/>
        <v>0</v>
      </c>
    </row>
    <row r="1346" spans="10:11" ht="14.5">
      <c r="J1346" s="445" t="str">
        <f t="shared" si="42"/>
        <v/>
      </c>
      <c r="K1346" s="163">
        <f t="shared" si="43"/>
        <v>0</v>
      </c>
    </row>
    <row r="1347" spans="10:11" ht="14.5">
      <c r="J1347" s="445" t="str">
        <f t="shared" si="42"/>
        <v/>
      </c>
      <c r="K1347" s="163">
        <f t="shared" si="43"/>
        <v>0</v>
      </c>
    </row>
    <row r="1348" spans="10:11" ht="14.5">
      <c r="J1348" s="445" t="str">
        <f t="shared" si="42"/>
        <v/>
      </c>
      <c r="K1348" s="163">
        <f t="shared" si="43"/>
        <v>0</v>
      </c>
    </row>
    <row r="1349" spans="10:11" ht="14.5">
      <c r="J1349" s="445" t="str">
        <f t="shared" si="42"/>
        <v/>
      </c>
      <c r="K1349" s="163">
        <f t="shared" si="43"/>
        <v>0</v>
      </c>
    </row>
    <row r="1350" spans="10:11" ht="14.5">
      <c r="J1350" s="445" t="str">
        <f t="shared" si="42"/>
        <v/>
      </c>
      <c r="K1350" s="163">
        <f t="shared" si="43"/>
        <v>0</v>
      </c>
    </row>
    <row r="1351" spans="10:11" ht="14.5">
      <c r="J1351" s="445" t="str">
        <f t="shared" si="42"/>
        <v/>
      </c>
      <c r="K1351" s="163">
        <f t="shared" si="43"/>
        <v>0</v>
      </c>
    </row>
    <row r="1352" spans="10:11" ht="14.5">
      <c r="J1352" s="445" t="str">
        <f t="shared" si="42"/>
        <v/>
      </c>
      <c r="K1352" s="163">
        <f t="shared" si="43"/>
        <v>0</v>
      </c>
    </row>
    <row r="1353" spans="10:11" ht="14.5">
      <c r="J1353" s="445" t="str">
        <f t="shared" si="42"/>
        <v/>
      </c>
      <c r="K1353" s="163">
        <f t="shared" si="43"/>
        <v>0</v>
      </c>
    </row>
    <row r="1354" spans="10:11" ht="14.5">
      <c r="J1354" s="445" t="str">
        <f t="shared" si="42"/>
        <v/>
      </c>
      <c r="K1354" s="163">
        <f t="shared" si="43"/>
        <v>0</v>
      </c>
    </row>
  </sheetData>
  <autoFilter ref="A3:K1354"/>
  <conditionalFormatting sqref="J1:J1048576">
    <cfRule type="duplicateValues" dxfId="0" priority="1"/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W2263"/>
  <sheetViews>
    <sheetView zoomScale="80" zoomScaleNormal="80" zoomScaleSheetLayoutView="70" workbookViewId="0">
      <pane ySplit="3" topLeftCell="A4" activePane="bottomLeft" state="frozen"/>
      <selection activeCell="Q25" sqref="Q25"/>
      <selection pane="bottomLeft" activeCell="N19" sqref="N19"/>
    </sheetView>
  </sheetViews>
  <sheetFormatPr defaultColWidth="9.1796875" defaultRowHeight="12.5"/>
  <cols>
    <col min="1" max="1" width="9.1796875" style="427"/>
    <col min="2" max="2" width="10.453125" style="427" customWidth="1"/>
    <col min="3" max="3" width="19.54296875" style="427" customWidth="1"/>
    <col min="4" max="4" width="15.54296875" style="427" customWidth="1"/>
    <col min="5" max="5" width="33.54296875" style="427" customWidth="1"/>
    <col min="6" max="6" width="17.1796875" style="428" customWidth="1"/>
    <col min="7" max="7" width="15.81640625" style="398" customWidth="1"/>
    <col min="8" max="8" width="1.26953125" style="427" customWidth="1"/>
    <col min="9" max="9" width="16.54296875" style="427" customWidth="1"/>
    <col min="10" max="10" width="15.1796875" style="428" customWidth="1"/>
    <col min="11" max="11" width="14" style="427" customWidth="1"/>
    <col min="12" max="12" width="16.1796875" style="427" customWidth="1"/>
    <col min="13" max="13" width="5.54296875" style="427" customWidth="1"/>
    <col min="14" max="14" width="11" style="427" customWidth="1"/>
    <col min="15" max="15" width="14.453125" style="427" customWidth="1"/>
    <col min="16" max="16" width="13.54296875" style="427" customWidth="1"/>
    <col min="17" max="17" width="36.81640625" style="427" customWidth="1"/>
    <col min="18" max="18" width="10.54296875" style="427" customWidth="1"/>
    <col min="19" max="19" width="15.54296875" style="427" customWidth="1"/>
    <col min="20" max="20" width="15.1796875" style="427" bestFit="1" customWidth="1"/>
    <col min="21" max="21" width="37.54296875" style="427" customWidth="1"/>
    <col min="22" max="22" width="13.54296875" style="427" customWidth="1"/>
    <col min="23" max="23" width="10.54296875" style="427" customWidth="1"/>
    <col min="24" max="16384" width="9.1796875" style="427"/>
  </cols>
  <sheetData>
    <row r="1" spans="1:23" s="426" customFormat="1" ht="14.5">
      <c r="B1" s="429"/>
      <c r="C1" s="429"/>
      <c r="D1" s="429" t="s">
        <v>1</v>
      </c>
      <c r="E1" s="429"/>
      <c r="F1" s="430"/>
      <c r="G1" s="465"/>
      <c r="H1" s="432"/>
      <c r="I1" s="437">
        <f>'Retained Earnings-2931&amp;2931.100'!$G$6</f>
        <v>44835</v>
      </c>
      <c r="J1" s="435"/>
      <c r="K1" s="433"/>
      <c r="L1" s="433"/>
      <c r="M1" s="433"/>
      <c r="N1" s="433"/>
      <c r="O1" s="433"/>
      <c r="P1" s="433"/>
      <c r="Q1" s="433"/>
      <c r="S1" s="433"/>
    </row>
    <row r="2" spans="1:23" s="426" customFormat="1" ht="14.5">
      <c r="B2" s="429"/>
      <c r="C2" s="429"/>
      <c r="D2" s="429" t="s">
        <v>2</v>
      </c>
      <c r="E2" s="429"/>
      <c r="F2" s="430"/>
      <c r="G2" s="431"/>
      <c r="J2" s="438"/>
      <c r="K2" s="429"/>
      <c r="L2" s="433"/>
      <c r="M2" s="433"/>
      <c r="N2" s="433"/>
      <c r="O2" s="433"/>
      <c r="P2" s="433"/>
      <c r="Q2" s="433"/>
      <c r="R2" s="433"/>
      <c r="S2" s="433"/>
    </row>
    <row r="3" spans="1:23" s="426" customFormat="1" ht="20.149999999999999" customHeight="1">
      <c r="A3" s="426" t="s">
        <v>354</v>
      </c>
      <c r="B3" s="429" t="s">
        <v>3</v>
      </c>
      <c r="C3" s="429" t="s">
        <v>4</v>
      </c>
      <c r="D3" s="429" t="s">
        <v>5</v>
      </c>
      <c r="E3" s="429" t="s">
        <v>6</v>
      </c>
      <c r="F3" s="430" t="s">
        <v>7</v>
      </c>
      <c r="G3" s="431" t="s">
        <v>8</v>
      </c>
      <c r="I3" s="439" t="s">
        <v>355</v>
      </c>
      <c r="J3" s="430" t="s">
        <v>356</v>
      </c>
      <c r="K3" s="429"/>
      <c r="L3" s="429" t="s">
        <v>357</v>
      </c>
      <c r="M3" s="433"/>
      <c r="N3" s="433"/>
      <c r="O3" s="433"/>
      <c r="P3" s="433"/>
      <c r="Q3" s="433"/>
      <c r="R3" s="433"/>
      <c r="S3" s="433"/>
    </row>
    <row r="4" spans="1:23" ht="14.5">
      <c r="A4" s="427" t="str">
        <f>IF(C4&lt;2000,"Asset",IF(AND(C4&gt;=2000,C4&lt;2900),"Liability",IF(AND(C4&gt;=2900,C4&lt;3000),"Equity","P&amp;L")))</f>
        <v>Asset</v>
      </c>
      <c r="B4" s="433">
        <v>112</v>
      </c>
      <c r="C4" s="433">
        <v>1020</v>
      </c>
      <c r="D4" s="433">
        <v>100</v>
      </c>
      <c r="E4" s="433" t="s">
        <v>9</v>
      </c>
      <c r="F4" s="434">
        <f>IFERROR((VLOOKUP(B4&amp;D4&amp;E4&amp;G4,'TB Dump'!J:K,2,FALSE)),0)</f>
        <v>370371.69</v>
      </c>
      <c r="G4" s="435">
        <v>510000</v>
      </c>
      <c r="H4" s="433"/>
      <c r="I4" s="434">
        <f>'Cash at Bank-1020.100'!C14</f>
        <v>370371.69</v>
      </c>
      <c r="J4" s="434">
        <f>F4-I4</f>
        <v>0</v>
      </c>
      <c r="K4" s="433"/>
      <c r="L4" s="433"/>
      <c r="M4" s="433"/>
      <c r="N4" s="433"/>
      <c r="O4" s="433"/>
      <c r="P4" s="433"/>
      <c r="Q4" s="433"/>
      <c r="R4" s="433"/>
      <c r="S4" s="433"/>
      <c r="T4" s="433"/>
      <c r="U4" s="433"/>
      <c r="V4" s="433"/>
      <c r="W4" s="433"/>
    </row>
    <row r="5" spans="1:23" ht="15" customHeight="1">
      <c r="A5" s="427" t="str">
        <f t="shared" ref="A5:A12" si="0">IF(C5&lt;2000,"Asset",IF(AND(C5&gt;=2000,C5&lt;2900),"Liability",IF(AND(C5&gt;=2900,C5&lt;3000),"Equity","P&amp;L")))</f>
        <v>Asset</v>
      </c>
      <c r="B5" s="433">
        <v>112</v>
      </c>
      <c r="C5" s="433">
        <v>1030</v>
      </c>
      <c r="D5" s="433">
        <v>110</v>
      </c>
      <c r="E5" s="433" t="s">
        <v>10</v>
      </c>
      <c r="F5" s="434">
        <f>IFERROR((VLOOKUP(B5&amp;D5&amp;E5&amp;G5,'TB Dump'!J:K,2,FALSE)),0)</f>
        <v>174817.61</v>
      </c>
      <c r="G5" s="435">
        <v>501000</v>
      </c>
      <c r="H5" s="433"/>
      <c r="I5" s="434">
        <f>'Rental Bond-1030.110'!C15</f>
        <v>174817.61</v>
      </c>
      <c r="J5" s="434">
        <f t="shared" ref="J5:J14" si="1">F5-I5</f>
        <v>0</v>
      </c>
      <c r="K5" s="433"/>
      <c r="L5" s="433"/>
      <c r="M5" s="433"/>
      <c r="N5" s="433"/>
      <c r="O5" s="433"/>
      <c r="P5" s="433"/>
      <c r="Q5" s="433"/>
      <c r="R5" s="433"/>
      <c r="S5" s="433"/>
      <c r="T5" s="433"/>
      <c r="U5" s="433"/>
      <c r="V5" s="433"/>
      <c r="W5" s="433"/>
    </row>
    <row r="6" spans="1:23" ht="15" customHeight="1">
      <c r="A6" s="427" t="str">
        <f t="shared" si="0"/>
        <v>Asset</v>
      </c>
      <c r="B6" s="433">
        <v>112</v>
      </c>
      <c r="C6" s="433">
        <v>1050</v>
      </c>
      <c r="D6" s="433">
        <v>300</v>
      </c>
      <c r="E6" s="433" t="s">
        <v>358</v>
      </c>
      <c r="F6" s="434">
        <f>IFERROR((VLOOKUP(B6&amp;D6&amp;E6&amp;G6,'TB Dump'!J:K,2,FALSE)),0)</f>
        <v>-16.350000000000001</v>
      </c>
      <c r="G6" s="435">
        <v>410000</v>
      </c>
      <c r="H6" s="434">
        <f>'Logged Receipts-1050.300'!B18</f>
        <v>0</v>
      </c>
      <c r="I6" s="434">
        <f>'Logged Receipts-1050.300'!C18</f>
        <v>-16.350000000000001</v>
      </c>
      <c r="J6" s="434">
        <f t="shared" si="1"/>
        <v>0</v>
      </c>
      <c r="K6" s="433"/>
      <c r="L6" s="433"/>
      <c r="M6" s="433"/>
      <c r="N6" s="433"/>
      <c r="O6" s="433"/>
      <c r="P6" s="433"/>
      <c r="Q6" s="433"/>
      <c r="R6" s="433"/>
      <c r="S6" s="433"/>
      <c r="T6" s="466"/>
      <c r="U6" s="433"/>
      <c r="V6" s="434"/>
      <c r="W6" s="433"/>
    </row>
    <row r="7" spans="1:23" ht="14.25" customHeight="1">
      <c r="A7" s="427" t="str">
        <f t="shared" si="0"/>
        <v>Asset</v>
      </c>
      <c r="B7" s="433">
        <v>112</v>
      </c>
      <c r="C7" s="433">
        <v>1050</v>
      </c>
      <c r="D7" s="433"/>
      <c r="E7" s="433" t="s">
        <v>11</v>
      </c>
      <c r="F7" s="434">
        <f>IFERROR((VLOOKUP(B7&amp;D7&amp;E7&amp;G7,'TB Dump'!J:K,2,FALSE)),0)</f>
        <v>3843724.34</v>
      </c>
      <c r="G7" s="435">
        <v>410000</v>
      </c>
      <c r="H7" s="433"/>
      <c r="I7" s="434">
        <f>'AR Control-1050'!C31-'AR Control-1050'!C27</f>
        <v>3906916.24</v>
      </c>
      <c r="J7" s="434">
        <f t="shared" si="1"/>
        <v>-63191.900000000373</v>
      </c>
      <c r="K7" s="433"/>
      <c r="L7" s="433"/>
      <c r="M7" s="433"/>
      <c r="N7" s="433"/>
      <c r="O7" s="433"/>
      <c r="P7" s="433"/>
      <c r="Q7" s="433"/>
      <c r="R7" s="433"/>
      <c r="S7" s="433"/>
      <c r="T7" s="466"/>
      <c r="U7" s="433"/>
      <c r="V7" s="434"/>
      <c r="W7" s="433"/>
    </row>
    <row r="8" spans="1:23" ht="14.5">
      <c r="A8" s="427" t="str">
        <f t="shared" si="0"/>
        <v>Asset</v>
      </c>
      <c r="B8" s="433">
        <v>112</v>
      </c>
      <c r="C8" s="433">
        <v>1060</v>
      </c>
      <c r="D8" s="433"/>
      <c r="E8" s="433" t="s">
        <v>12</v>
      </c>
      <c r="F8" s="434">
        <f>IFERROR((VLOOKUP(B8&amp;D8&amp;E8&amp;G8,'TB Dump'!J:K,2,FALSE)),0)</f>
        <v>79282.77</v>
      </c>
      <c r="G8" s="435">
        <v>418000</v>
      </c>
      <c r="H8" s="433"/>
      <c r="I8" s="434">
        <f>'Inv to Issue-1060'!C23</f>
        <v>79282.77</v>
      </c>
      <c r="J8" s="434">
        <f t="shared" si="1"/>
        <v>0</v>
      </c>
      <c r="K8" s="433"/>
      <c r="L8" s="433"/>
      <c r="M8" s="433"/>
      <c r="N8" s="433"/>
      <c r="O8" s="433"/>
      <c r="P8" s="433"/>
      <c r="Q8" s="433"/>
      <c r="R8" s="433"/>
      <c r="S8" s="433"/>
      <c r="T8" s="466"/>
      <c r="U8" s="433"/>
      <c r="V8" s="433"/>
      <c r="W8" s="433"/>
    </row>
    <row r="9" spans="1:23" ht="14.5">
      <c r="A9" s="427" t="str">
        <f t="shared" si="0"/>
        <v>Asset</v>
      </c>
      <c r="B9" s="433">
        <v>112</v>
      </c>
      <c r="C9" s="433">
        <v>1070</v>
      </c>
      <c r="D9" s="433"/>
      <c r="E9" s="433" t="s">
        <v>13</v>
      </c>
      <c r="F9" s="434">
        <f>IFERROR((VLOOKUP(B9&amp;D9&amp;E9&amp;G9,'TB Dump'!J:K,2,FALSE)),0)</f>
        <v>-26804.55</v>
      </c>
      <c r="G9" s="435">
        <v>419120</v>
      </c>
      <c r="H9" s="433"/>
      <c r="I9" s="434">
        <f>'Credit Notes to Issue-1070'!D59</f>
        <v>-53431.34</v>
      </c>
      <c r="J9" s="434">
        <f t="shared" si="1"/>
        <v>26626.789999999997</v>
      </c>
      <c r="K9" s="433"/>
      <c r="L9" s="433"/>
      <c r="M9" s="433"/>
      <c r="N9" s="433"/>
      <c r="O9" s="433"/>
      <c r="P9" s="433"/>
      <c r="Q9" s="433"/>
      <c r="R9" s="433"/>
      <c r="S9" s="433"/>
      <c r="T9" s="466"/>
      <c r="U9" s="433"/>
      <c r="V9" s="433"/>
      <c r="W9" s="433"/>
    </row>
    <row r="10" spans="1:23" ht="16.5" customHeight="1">
      <c r="A10" s="427" t="str">
        <f t="shared" si="0"/>
        <v>Asset</v>
      </c>
      <c r="B10" s="433">
        <v>112</v>
      </c>
      <c r="C10" s="433">
        <v>1080</v>
      </c>
      <c r="D10" s="433"/>
      <c r="E10" s="433" t="s">
        <v>14</v>
      </c>
      <c r="F10" s="434">
        <f>IFERROR((VLOOKUP(B10&amp;D10&amp;E10&amp;G10,'TB Dump'!J:K,2,FALSE)),0)</f>
        <v>-23800.79</v>
      </c>
      <c r="G10" s="435">
        <v>491000</v>
      </c>
      <c r="H10" s="433"/>
      <c r="I10" s="434">
        <f>'Provision for Bad Debts-1080'!C16</f>
        <v>-23800.79</v>
      </c>
      <c r="J10" s="434">
        <f t="shared" si="1"/>
        <v>0</v>
      </c>
      <c r="K10" s="433"/>
      <c r="L10" s="433"/>
      <c r="M10" s="433"/>
      <c r="N10" s="433"/>
      <c r="O10" s="433"/>
      <c r="P10" s="433"/>
      <c r="Q10" s="433"/>
      <c r="R10" s="433"/>
      <c r="S10" s="433"/>
      <c r="T10" s="466"/>
      <c r="U10" s="433"/>
      <c r="V10" s="433"/>
      <c r="W10" s="433"/>
    </row>
    <row r="11" spans="1:23" ht="15" customHeight="1">
      <c r="A11" s="427" t="str">
        <f t="shared" si="0"/>
        <v>Asset</v>
      </c>
      <c r="B11" s="433">
        <v>112</v>
      </c>
      <c r="C11" s="433">
        <v>1100</v>
      </c>
      <c r="D11" s="433">
        <v>154</v>
      </c>
      <c r="E11" s="433" t="s">
        <v>15</v>
      </c>
      <c r="F11" s="434">
        <f>IFERROR((VLOOKUP(B11&amp;D11&amp;E11&amp;G11,'TB Dump'!J:K,2,FALSE)),0)</f>
        <v>0</v>
      </c>
      <c r="G11" s="435">
        <v>411000</v>
      </c>
      <c r="H11" s="433"/>
      <c r="I11" s="434">
        <f>'AR Control-1050'!C15</f>
        <v>0</v>
      </c>
      <c r="J11" s="434">
        <f t="shared" si="1"/>
        <v>0</v>
      </c>
      <c r="K11" s="433"/>
      <c r="L11" s="433"/>
      <c r="M11" s="433"/>
      <c r="N11" s="433"/>
      <c r="O11" s="433"/>
      <c r="P11" s="433"/>
      <c r="Q11" s="433"/>
      <c r="R11" s="433"/>
      <c r="S11" s="433"/>
      <c r="T11" s="466"/>
      <c r="U11" s="433"/>
      <c r="V11" s="433"/>
      <c r="W11" s="433"/>
    </row>
    <row r="12" spans="1:23" ht="15" customHeight="1">
      <c r="A12" s="427" t="str">
        <f t="shared" si="0"/>
        <v>Asset</v>
      </c>
      <c r="B12" s="433">
        <v>112</v>
      </c>
      <c r="C12" s="433">
        <v>1100</v>
      </c>
      <c r="D12" s="433">
        <v>103</v>
      </c>
      <c r="E12" s="436" t="s">
        <v>17</v>
      </c>
      <c r="F12" s="434">
        <f>IFERROR((VLOOKUP(B12&amp;D12&amp;E12&amp;G12,'TB Dump'!J:K,2,FALSE)),0)</f>
        <v>-129.38999999999999</v>
      </c>
      <c r="G12" s="435">
        <v>411000</v>
      </c>
      <c r="H12" s="433"/>
      <c r="I12" s="434">
        <f>'AR Control-1050'!C23</f>
        <v>0</v>
      </c>
      <c r="J12" s="434">
        <f t="shared" si="1"/>
        <v>-129.38999999999999</v>
      </c>
      <c r="K12" s="433"/>
      <c r="L12" s="433"/>
      <c r="M12" s="433"/>
      <c r="N12" s="433"/>
      <c r="O12" s="433"/>
      <c r="P12" s="433"/>
      <c r="Q12" s="433"/>
      <c r="R12" s="433"/>
      <c r="S12" s="433"/>
      <c r="T12" s="466"/>
      <c r="U12" s="433"/>
      <c r="V12" s="433"/>
      <c r="W12" s="433"/>
    </row>
    <row r="13" spans="1:23" ht="14.5">
      <c r="A13" s="427" t="str">
        <f t="shared" ref="A13:A44" si="2">IF(C14&lt;2000,"Asset",IF(AND(C14&gt;=2000,C14&lt;2900),"Liability",IF(AND(C14&gt;=2900,C14&lt;3000),"Equity","P&amp;L")))</f>
        <v>Asset</v>
      </c>
      <c r="B13" s="433">
        <v>112</v>
      </c>
      <c r="C13" s="433">
        <v>1100</v>
      </c>
      <c r="D13" s="433">
        <v>192</v>
      </c>
      <c r="E13" s="436" t="s">
        <v>843</v>
      </c>
      <c r="F13" s="434">
        <f>IFERROR((VLOOKUP(B13&amp;D13&amp;E13&amp;G13,'TB Dump'!J:K,2,FALSE)),0)</f>
        <v>2448.13</v>
      </c>
      <c r="G13" s="435">
        <v>411000</v>
      </c>
      <c r="H13" s="433"/>
      <c r="I13" s="434">
        <f>'AR Control-1050'!C20</f>
        <v>0</v>
      </c>
      <c r="J13" s="434">
        <f t="shared" si="1"/>
        <v>2448.13</v>
      </c>
      <c r="K13" s="433"/>
      <c r="L13" s="433"/>
      <c r="M13" s="433"/>
      <c r="N13" s="433"/>
      <c r="O13" s="433"/>
      <c r="P13" s="433"/>
      <c r="Q13" s="433"/>
      <c r="R13" s="433"/>
      <c r="S13" s="433"/>
      <c r="T13" s="466"/>
      <c r="U13" s="433"/>
      <c r="V13" s="433"/>
      <c r="W13" s="433"/>
    </row>
    <row r="14" spans="1:23" ht="15" customHeight="1">
      <c r="A14" s="427" t="str">
        <f t="shared" si="2"/>
        <v>Asset</v>
      </c>
      <c r="B14" s="433">
        <v>112</v>
      </c>
      <c r="C14" s="433">
        <v>1100</v>
      </c>
      <c r="D14" s="433">
        <v>171</v>
      </c>
      <c r="E14" s="433" t="s">
        <v>16</v>
      </c>
      <c r="F14" s="434">
        <f>IFERROR((VLOOKUP(B13&amp;D14&amp;E14&amp;G14,'TB Dump'!J:K,2,FALSE)),0)</f>
        <v>100</v>
      </c>
      <c r="G14" s="435">
        <v>411000</v>
      </c>
      <c r="H14" s="433"/>
      <c r="I14" s="434">
        <f>'AR Control-1050'!C19</f>
        <v>0</v>
      </c>
      <c r="J14" s="434">
        <f t="shared" si="1"/>
        <v>100</v>
      </c>
      <c r="K14" s="433"/>
      <c r="L14" s="433"/>
      <c r="M14" s="433"/>
      <c r="N14" s="433"/>
      <c r="O14" s="433"/>
      <c r="P14" s="433"/>
      <c r="Q14" s="433"/>
      <c r="R14" s="433"/>
      <c r="S14" s="433"/>
      <c r="T14" s="466"/>
      <c r="U14" s="433"/>
      <c r="V14" s="433"/>
      <c r="W14" s="433"/>
    </row>
    <row r="15" spans="1:23" ht="15" customHeight="1">
      <c r="A15" s="427" t="str">
        <f t="shared" si="2"/>
        <v>Asset</v>
      </c>
      <c r="B15" s="433">
        <v>112</v>
      </c>
      <c r="C15" s="433">
        <v>1100</v>
      </c>
      <c r="D15" s="433">
        <v>104</v>
      </c>
      <c r="E15" s="433" t="s">
        <v>52</v>
      </c>
      <c r="F15" s="434">
        <f>IFERROR((VLOOKUP(B14&amp;D15&amp;E15&amp;G15,'TB Dump'!J:K,2,FALSE)),0)</f>
        <v>0</v>
      </c>
      <c r="G15" s="435">
        <v>411000</v>
      </c>
      <c r="H15" s="433"/>
      <c r="I15" s="434">
        <f>'AR Control-1050'!C9</f>
        <v>0</v>
      </c>
      <c r="J15" s="434"/>
      <c r="K15" s="433"/>
      <c r="L15" s="433"/>
      <c r="M15" s="433"/>
      <c r="N15" s="433"/>
      <c r="O15" s="433"/>
      <c r="P15" s="433"/>
      <c r="Q15" s="433"/>
      <c r="R15" s="433"/>
      <c r="S15" s="433"/>
      <c r="T15" s="466"/>
      <c r="U15" s="433"/>
      <c r="V15" s="434"/>
      <c r="W15" s="433"/>
    </row>
    <row r="16" spans="1:23" ht="15" customHeight="1">
      <c r="A16" s="427" t="str">
        <f t="shared" si="2"/>
        <v>Asset</v>
      </c>
      <c r="B16" s="433">
        <v>112</v>
      </c>
      <c r="C16" s="433">
        <v>1100</v>
      </c>
      <c r="D16" s="433">
        <v>109</v>
      </c>
      <c r="E16" s="433" t="s">
        <v>18</v>
      </c>
      <c r="F16" s="434">
        <f>IFERROR((VLOOKUP(B15&amp;D16&amp;E16&amp;G16,'TB Dump'!J:K,2,FALSE)),0)</f>
        <v>0</v>
      </c>
      <c r="G16" s="435">
        <v>411000</v>
      </c>
      <c r="H16" s="433"/>
      <c r="I16" s="434">
        <f>'AR Control-1050'!C21</f>
        <v>0</v>
      </c>
      <c r="J16" s="434">
        <f t="shared" ref="J16:J47" si="3">F16-I16</f>
        <v>0</v>
      </c>
      <c r="K16" s="433"/>
      <c r="L16" s="433"/>
      <c r="M16" s="433"/>
      <c r="N16" s="433"/>
      <c r="O16" s="433"/>
      <c r="P16" s="433"/>
      <c r="Q16" s="433"/>
      <c r="R16" s="433"/>
      <c r="S16" s="433"/>
      <c r="T16" s="466"/>
      <c r="U16" s="433"/>
      <c r="V16" s="434"/>
      <c r="W16" s="433"/>
    </row>
    <row r="17" spans="1:23" ht="15" customHeight="1">
      <c r="A17" s="427" t="str">
        <f t="shared" si="2"/>
        <v>Asset</v>
      </c>
      <c r="B17" s="433">
        <v>112</v>
      </c>
      <c r="C17" s="433">
        <v>1100</v>
      </c>
      <c r="D17" s="433">
        <v>113</v>
      </c>
      <c r="E17" s="433" t="s">
        <v>19</v>
      </c>
      <c r="F17" s="434">
        <f>IFERROR((VLOOKUP(B16&amp;D17&amp;E17&amp;G17,'TB Dump'!J:K,2,FALSE)),0)</f>
        <v>-4122.13</v>
      </c>
      <c r="G17" s="435">
        <v>411000</v>
      </c>
      <c r="H17" s="433"/>
      <c r="I17" s="434">
        <f>'AR Control-1050'!C10</f>
        <v>0</v>
      </c>
      <c r="J17" s="434">
        <f t="shared" si="3"/>
        <v>-4122.13</v>
      </c>
      <c r="K17" s="433"/>
      <c r="L17" s="433"/>
      <c r="M17" s="433"/>
      <c r="N17" s="433"/>
      <c r="O17" s="433"/>
      <c r="P17" s="433"/>
      <c r="Q17" s="433"/>
      <c r="R17" s="433"/>
      <c r="S17" s="433"/>
      <c r="T17" s="466"/>
      <c r="U17" s="433"/>
      <c r="V17" s="433"/>
      <c r="W17" s="433"/>
    </row>
    <row r="18" spans="1:23" ht="15" customHeight="1">
      <c r="A18" s="427" t="str">
        <f t="shared" si="2"/>
        <v>Asset</v>
      </c>
      <c r="B18" s="433">
        <v>112</v>
      </c>
      <c r="C18" s="433">
        <v>1100</v>
      </c>
      <c r="D18" s="433">
        <v>117</v>
      </c>
      <c r="E18" s="433" t="s">
        <v>20</v>
      </c>
      <c r="F18" s="434">
        <f>IFERROR((VLOOKUP(B17&amp;D18&amp;E18&amp;G18,'TB Dump'!J:K,2,FALSE)),0)</f>
        <v>47306.39</v>
      </c>
      <c r="G18" s="435">
        <v>411000</v>
      </c>
      <c r="H18" s="433"/>
      <c r="I18" s="434">
        <f>'AR Control-1050'!C11</f>
        <v>0</v>
      </c>
      <c r="J18" s="434">
        <f t="shared" si="3"/>
        <v>47306.39</v>
      </c>
      <c r="K18" s="433"/>
      <c r="L18" s="433"/>
      <c r="M18" s="433"/>
      <c r="N18" s="433"/>
      <c r="O18" s="433"/>
      <c r="P18" s="433"/>
      <c r="Q18" s="433"/>
      <c r="R18" s="433"/>
      <c r="S18" s="433"/>
      <c r="T18" s="466"/>
      <c r="U18" s="433"/>
      <c r="V18" s="433"/>
      <c r="W18" s="433"/>
    </row>
    <row r="19" spans="1:23" ht="15" customHeight="1">
      <c r="A19" s="427" t="str">
        <f t="shared" si="2"/>
        <v>Asset</v>
      </c>
      <c r="B19" s="433">
        <v>112</v>
      </c>
      <c r="C19" s="433">
        <v>1100</v>
      </c>
      <c r="D19" s="433">
        <v>136</v>
      </c>
      <c r="E19" s="433" t="s">
        <v>21</v>
      </c>
      <c r="F19" s="434">
        <f>IFERROR((VLOOKUP(B18&amp;D19&amp;E19&amp;G19,'TB Dump'!J:K,2,FALSE)),0)</f>
        <v>17589</v>
      </c>
      <c r="G19" s="435">
        <v>411000</v>
      </c>
      <c r="H19" s="433"/>
      <c r="I19" s="434">
        <f>'AR Control-1050'!C13</f>
        <v>0</v>
      </c>
      <c r="J19" s="434">
        <f t="shared" si="3"/>
        <v>17589</v>
      </c>
      <c r="K19" s="433"/>
      <c r="L19" s="433"/>
      <c r="M19" s="433"/>
      <c r="N19" s="433"/>
      <c r="O19" s="433"/>
      <c r="P19" s="433"/>
      <c r="Q19" s="433"/>
      <c r="R19" s="433"/>
      <c r="S19" s="433"/>
      <c r="T19" s="466"/>
      <c r="U19" s="433"/>
      <c r="V19" s="433"/>
      <c r="W19" s="433"/>
    </row>
    <row r="20" spans="1:23" ht="15" customHeight="1">
      <c r="A20" s="427" t="str">
        <f t="shared" si="2"/>
        <v>Asset</v>
      </c>
      <c r="B20" s="433">
        <v>112</v>
      </c>
      <c r="C20" s="433">
        <v>1140</v>
      </c>
      <c r="D20" s="433"/>
      <c r="E20" s="433" t="s">
        <v>22</v>
      </c>
      <c r="F20" s="434">
        <f>IFERROR((VLOOKUP(B19&amp;D20&amp;E20&amp;G20,'TB Dump'!J:K,2,FALSE)),0)</f>
        <v>136.94</v>
      </c>
      <c r="G20" s="435">
        <v>464000</v>
      </c>
      <c r="H20" s="433"/>
      <c r="I20" s="434">
        <f>'Accrued Revenue-1140'!C17</f>
        <v>136.94</v>
      </c>
      <c r="J20" s="434">
        <f t="shared" si="3"/>
        <v>0</v>
      </c>
      <c r="K20" s="433"/>
      <c r="L20" s="433"/>
      <c r="M20" s="433"/>
      <c r="N20" s="433"/>
      <c r="O20" s="433"/>
      <c r="P20" s="433"/>
      <c r="Q20" s="433"/>
      <c r="R20" s="433"/>
      <c r="S20" s="433"/>
      <c r="T20" s="466"/>
      <c r="U20" s="433"/>
      <c r="V20" s="433"/>
      <c r="W20" s="433"/>
    </row>
    <row r="21" spans="1:23" ht="15" customHeight="1">
      <c r="A21" s="427" t="str">
        <f t="shared" si="2"/>
        <v>Asset</v>
      </c>
      <c r="B21" s="433">
        <v>112</v>
      </c>
      <c r="C21" s="433">
        <v>1190</v>
      </c>
      <c r="D21" s="433">
        <v>200</v>
      </c>
      <c r="E21" s="433" t="s">
        <v>23</v>
      </c>
      <c r="F21" s="434">
        <f>IFERROR((VLOOKUP(B20&amp;D21&amp;E21&amp;G21,'TB Dump'!J:K,2,FALSE)),0)</f>
        <v>1580.5</v>
      </c>
      <c r="G21" s="435" t="s">
        <v>24</v>
      </c>
      <c r="H21" s="433"/>
      <c r="I21" s="434">
        <f>'Netting Suspense-1190.200'!C37</f>
        <v>1580.5</v>
      </c>
      <c r="J21" s="434">
        <f t="shared" si="3"/>
        <v>0</v>
      </c>
      <c r="K21" s="433"/>
      <c r="L21" s="433"/>
      <c r="M21" s="433"/>
      <c r="N21" s="433"/>
      <c r="O21" s="433"/>
      <c r="P21" s="433"/>
      <c r="Q21" s="433"/>
      <c r="R21" s="433"/>
      <c r="S21" s="433"/>
      <c r="T21" s="466"/>
      <c r="U21" s="433"/>
      <c r="V21" s="433"/>
      <c r="W21" s="433"/>
    </row>
    <row r="22" spans="1:23" ht="15" customHeight="1">
      <c r="A22" s="427" t="str">
        <f t="shared" si="2"/>
        <v>Asset</v>
      </c>
      <c r="B22" s="433">
        <v>112</v>
      </c>
      <c r="C22" s="433">
        <v>1220</v>
      </c>
      <c r="D22" s="433"/>
      <c r="E22" s="433" t="s">
        <v>25</v>
      </c>
      <c r="F22" s="434">
        <f>IFERROR((VLOOKUP(B21&amp;D22&amp;E22&amp;G22,'TB Dump'!J:K,2,FALSE)),0)</f>
        <v>598715.79</v>
      </c>
      <c r="G22" s="435">
        <v>350000</v>
      </c>
      <c r="H22" s="433"/>
      <c r="I22" s="434">
        <f>'Stock-1220'!D29</f>
        <v>598715.74378196022</v>
      </c>
      <c r="J22" s="434">
        <f t="shared" si="3"/>
        <v>4.6218039817176759E-2</v>
      </c>
      <c r="K22" s="433"/>
      <c r="L22" s="433"/>
      <c r="M22" s="433"/>
      <c r="N22" s="433"/>
      <c r="O22" s="433"/>
      <c r="P22" s="433"/>
      <c r="Q22" s="433"/>
      <c r="R22" s="433"/>
      <c r="S22" s="433"/>
      <c r="T22" s="466"/>
      <c r="U22" s="433"/>
      <c r="V22" s="433"/>
      <c r="W22" s="433"/>
    </row>
    <row r="23" spans="1:23" ht="15" customHeight="1">
      <c r="A23" s="427" t="str">
        <f t="shared" si="2"/>
        <v>Asset</v>
      </c>
      <c r="B23" s="433">
        <v>112</v>
      </c>
      <c r="C23" s="433">
        <v>1250</v>
      </c>
      <c r="D23" s="433"/>
      <c r="E23" s="433" t="s">
        <v>26</v>
      </c>
      <c r="F23" s="434">
        <f>IFERROR((VLOOKUP(B22&amp;D23&amp;E23&amp;G23,'TB Dump'!J:K,2,FALSE)),0)</f>
        <v>169936.3</v>
      </c>
      <c r="G23" s="435">
        <v>486000</v>
      </c>
      <c r="H23" s="433"/>
      <c r="I23" s="434">
        <f>'Prepaid Expense-1250'!C14</f>
        <v>169936.26172727274</v>
      </c>
      <c r="J23" s="434">
        <f t="shared" si="3"/>
        <v>3.8272727251751348E-2</v>
      </c>
      <c r="K23" s="433"/>
      <c r="L23" s="433"/>
      <c r="M23" s="433"/>
      <c r="N23" s="433"/>
      <c r="O23" s="433"/>
      <c r="P23" s="433"/>
      <c r="Q23" s="433"/>
      <c r="R23" s="433"/>
      <c r="S23" s="433"/>
      <c r="T23" s="466"/>
      <c r="U23" s="433"/>
      <c r="V23" s="433"/>
      <c r="W23" s="433"/>
    </row>
    <row r="24" spans="1:23" ht="15" customHeight="1">
      <c r="A24" s="427" t="str">
        <f t="shared" si="2"/>
        <v>Asset</v>
      </c>
      <c r="B24" s="433">
        <v>112</v>
      </c>
      <c r="C24" s="433">
        <v>1270</v>
      </c>
      <c r="D24" s="433"/>
      <c r="E24" s="433" t="s">
        <v>27</v>
      </c>
      <c r="F24" s="434">
        <f>IFERROR((VLOOKUP(B23&amp;D24&amp;E24&amp;G24,'TB Dump'!J:K,2,FALSE)),0)</f>
        <v>9953.82</v>
      </c>
      <c r="G24" s="435">
        <v>330000</v>
      </c>
      <c r="H24" s="433"/>
      <c r="I24" s="434">
        <f>'WIP-1270'!C18</f>
        <v>9953.5590150000025</v>
      </c>
      <c r="J24" s="434">
        <f t="shared" si="3"/>
        <v>0.26098499999716296</v>
      </c>
      <c r="K24" s="433"/>
      <c r="L24" s="433"/>
      <c r="M24" s="433"/>
      <c r="N24" s="433"/>
      <c r="O24" s="433"/>
      <c r="P24" s="433"/>
      <c r="Q24" s="433"/>
      <c r="R24" s="433"/>
      <c r="S24" s="433"/>
      <c r="T24" s="466"/>
      <c r="U24" s="433"/>
      <c r="V24" s="433"/>
      <c r="W24" s="433"/>
    </row>
    <row r="25" spans="1:23" ht="15" customHeight="1">
      <c r="A25" s="427" t="str">
        <f t="shared" si="2"/>
        <v>Asset</v>
      </c>
      <c r="B25" s="433">
        <v>112</v>
      </c>
      <c r="C25" s="433">
        <v>1290</v>
      </c>
      <c r="D25" s="433"/>
      <c r="E25" s="433" t="s">
        <v>28</v>
      </c>
      <c r="F25" s="434">
        <f>IFERROR((VLOOKUP(B24&amp;D25&amp;E25&amp;G25,'TB Dump'!J:K,2,FALSE)),0)</f>
        <v>2811315.67</v>
      </c>
      <c r="G25" s="435">
        <v>449000</v>
      </c>
      <c r="H25" s="433"/>
      <c r="I25" s="434">
        <f>'Def Tax Asset Current-1290'!C16</f>
        <v>2811315.6719999998</v>
      </c>
      <c r="J25" s="434">
        <f t="shared" si="3"/>
        <v>-1.999999862164259E-3</v>
      </c>
      <c r="K25" s="433"/>
      <c r="L25" s="433"/>
      <c r="M25" s="433"/>
      <c r="N25" s="433"/>
      <c r="O25" s="433"/>
      <c r="P25" s="433"/>
      <c r="Q25" s="433"/>
      <c r="R25" s="433"/>
      <c r="S25" s="433"/>
      <c r="T25" s="466"/>
      <c r="U25" s="433"/>
      <c r="V25" s="433"/>
      <c r="W25" s="433"/>
    </row>
    <row r="26" spans="1:23" ht="15" customHeight="1">
      <c r="A26" s="427" t="str">
        <f t="shared" si="2"/>
        <v>Asset</v>
      </c>
      <c r="B26" s="433">
        <v>112</v>
      </c>
      <c r="C26" s="433">
        <v>1370</v>
      </c>
      <c r="D26" s="433"/>
      <c r="E26" s="433" t="s">
        <v>29</v>
      </c>
      <c r="F26" s="434">
        <f>IFERROR((VLOOKUP(B25&amp;D26&amp;E26&amp;G26,'TB Dump'!J:K,2,FALSE)),0)</f>
        <v>3485920.43</v>
      </c>
      <c r="G26" s="435">
        <v>212000</v>
      </c>
      <c r="H26" s="433"/>
      <c r="I26" s="434">
        <f>'LE-1370&amp;1520'!C11</f>
        <v>3485920.43</v>
      </c>
      <c r="J26" s="434">
        <f t="shared" si="3"/>
        <v>0</v>
      </c>
      <c r="K26" s="433"/>
      <c r="L26" s="433"/>
      <c r="M26" s="433"/>
      <c r="N26" s="433"/>
      <c r="O26" s="433"/>
      <c r="P26" s="433"/>
      <c r="Q26" s="433"/>
      <c r="R26" s="433"/>
      <c r="S26" s="433"/>
      <c r="T26" s="466"/>
      <c r="U26" s="433"/>
      <c r="V26" s="433"/>
      <c r="W26" s="433"/>
    </row>
    <row r="27" spans="1:23" ht="15" customHeight="1">
      <c r="A27" s="427" t="str">
        <f t="shared" si="2"/>
        <v>Asset</v>
      </c>
      <c r="B27" s="433">
        <v>112</v>
      </c>
      <c r="C27" s="433">
        <v>1400</v>
      </c>
      <c r="D27" s="433"/>
      <c r="E27" s="433" t="s">
        <v>30</v>
      </c>
      <c r="F27" s="434">
        <f>IFERROR((VLOOKUP(B26&amp;D27&amp;E27&amp;G27,'TB Dump'!J:K,2,FALSE)),0)</f>
        <v>7799</v>
      </c>
      <c r="G27" s="435">
        <v>216000</v>
      </c>
      <c r="H27" s="433"/>
      <c r="I27" s="434">
        <f>'MV-1400&amp;1470'!C11</f>
        <v>7799</v>
      </c>
      <c r="J27" s="434">
        <f t="shared" si="3"/>
        <v>0</v>
      </c>
      <c r="K27" s="433"/>
      <c r="L27" s="433"/>
      <c r="M27" s="433"/>
      <c r="N27" s="433"/>
      <c r="O27" s="433"/>
      <c r="P27" s="433"/>
      <c r="Q27" s="433"/>
      <c r="R27" s="433"/>
      <c r="S27" s="433"/>
      <c r="T27" s="466"/>
      <c r="U27" s="433"/>
      <c r="V27" s="433"/>
      <c r="W27" s="433"/>
    </row>
    <row r="28" spans="1:23" ht="15" customHeight="1">
      <c r="A28" s="427" t="str">
        <f t="shared" si="2"/>
        <v>Asset</v>
      </c>
      <c r="B28" s="433">
        <v>112</v>
      </c>
      <c r="C28" s="433">
        <v>1410</v>
      </c>
      <c r="D28" s="433"/>
      <c r="E28" s="433" t="s">
        <v>31</v>
      </c>
      <c r="F28" s="434">
        <f>IFERROR((VLOOKUP(B27&amp;D28&amp;E28&amp;G28,'TB Dump'!J:K,2,FALSE)),0)</f>
        <v>1286672.73</v>
      </c>
      <c r="G28" s="435">
        <v>217000</v>
      </c>
      <c r="H28" s="433"/>
      <c r="I28" s="434">
        <f>'CHware-1410&amp;1480'!C11</f>
        <v>1286672.7299999997</v>
      </c>
      <c r="J28" s="434">
        <f t="shared" si="3"/>
        <v>0</v>
      </c>
      <c r="K28" s="433"/>
      <c r="L28" s="433"/>
      <c r="M28" s="433"/>
      <c r="N28" s="433"/>
      <c r="O28" s="433"/>
      <c r="P28" s="433"/>
      <c r="Q28" s="433"/>
      <c r="R28" s="433"/>
      <c r="S28" s="433"/>
      <c r="T28" s="466"/>
      <c r="U28" s="433"/>
      <c r="V28" s="433"/>
      <c r="W28" s="433"/>
    </row>
    <row r="29" spans="1:23" ht="14.5">
      <c r="A29" s="427" t="str">
        <f t="shared" si="2"/>
        <v>Asset</v>
      </c>
      <c r="B29" s="433">
        <v>112</v>
      </c>
      <c r="C29" s="433">
        <v>1420</v>
      </c>
      <c r="D29" s="433"/>
      <c r="E29" s="433" t="s">
        <v>32</v>
      </c>
      <c r="F29" s="434">
        <f>IFERROR((VLOOKUP(B28&amp;D29&amp;E29&amp;G29,'TB Dump'!J:K,2,FALSE)),0)</f>
        <v>1560618.6</v>
      </c>
      <c r="G29" s="435">
        <v>206000</v>
      </c>
      <c r="H29" s="433"/>
      <c r="I29" s="434" t="e">
        <f>'CSware-1420&amp;1490'!#REF!</f>
        <v>#REF!</v>
      </c>
      <c r="J29" s="434" t="e">
        <f t="shared" si="3"/>
        <v>#REF!</v>
      </c>
      <c r="K29" s="433"/>
      <c r="L29" s="433"/>
      <c r="M29" s="433"/>
      <c r="N29" s="433"/>
      <c r="O29" s="433"/>
      <c r="P29" s="433"/>
      <c r="Q29" s="433"/>
      <c r="R29" s="433"/>
      <c r="S29" s="433"/>
      <c r="T29" s="466"/>
      <c r="U29" s="433"/>
      <c r="V29" s="433"/>
      <c r="W29" s="433"/>
    </row>
    <row r="30" spans="1:23" ht="15" customHeight="1">
      <c r="A30" s="427" t="str">
        <f t="shared" si="2"/>
        <v>Asset</v>
      </c>
      <c r="B30" s="433">
        <v>112</v>
      </c>
      <c r="C30" s="433">
        <v>1430</v>
      </c>
      <c r="D30" s="433"/>
      <c r="E30" s="433" t="s">
        <v>33</v>
      </c>
      <c r="F30" s="434">
        <f>IFERROR((VLOOKUP(B29&amp;D30&amp;E30&amp;G30,'TB Dump'!J:K,2,FALSE)),0)</f>
        <v>5309608.78</v>
      </c>
      <c r="G30" s="435">
        <v>215000</v>
      </c>
      <c r="H30" s="433"/>
      <c r="I30" s="434">
        <f>'P&amp;E-1430&amp;1500'!C11</f>
        <v>5309609.75</v>
      </c>
      <c r="J30" s="434">
        <f t="shared" si="3"/>
        <v>-0.96999999973922968</v>
      </c>
      <c r="K30" s="433"/>
      <c r="L30" s="433"/>
      <c r="M30" s="433"/>
      <c r="N30" s="433"/>
      <c r="O30" s="433"/>
      <c r="P30" s="433"/>
      <c r="Q30" s="433"/>
      <c r="R30" s="433"/>
      <c r="S30" s="433"/>
      <c r="T30" s="466"/>
      <c r="U30" s="433"/>
      <c r="V30" s="433"/>
      <c r="W30" s="433"/>
    </row>
    <row r="31" spans="1:23" ht="15" customHeight="1">
      <c r="A31" s="427" t="str">
        <f t="shared" si="2"/>
        <v>Asset</v>
      </c>
      <c r="B31" s="433">
        <v>112</v>
      </c>
      <c r="C31" s="433">
        <v>1450</v>
      </c>
      <c r="D31" s="433"/>
      <c r="E31" s="433" t="s">
        <v>34</v>
      </c>
      <c r="F31" s="434">
        <f>IFERROR((VLOOKUP(B30&amp;D31&amp;E31&amp;G31,'TB Dump'!J:K,2,FALSE)),0)</f>
        <v>386408.27</v>
      </c>
      <c r="G31" s="435">
        <v>218000</v>
      </c>
      <c r="H31" s="433"/>
      <c r="I31" s="434" t="e">
        <f>'F&amp;F-1450&amp;1510'!#REF!</f>
        <v>#REF!</v>
      </c>
      <c r="J31" s="434" t="e">
        <f t="shared" si="3"/>
        <v>#REF!</v>
      </c>
      <c r="K31" s="433"/>
      <c r="L31" s="433"/>
      <c r="M31" s="433"/>
      <c r="N31" s="433"/>
      <c r="O31" s="433"/>
      <c r="P31" s="433"/>
      <c r="Q31" s="433"/>
      <c r="R31" s="433"/>
      <c r="S31" s="433"/>
      <c r="T31" s="466"/>
      <c r="U31" s="433"/>
      <c r="V31" s="433"/>
      <c r="W31" s="433"/>
    </row>
    <row r="32" spans="1:23" ht="15" customHeight="1">
      <c r="A32" s="427" t="str">
        <f t="shared" si="2"/>
        <v>Asset</v>
      </c>
      <c r="B32" s="433">
        <v>112</v>
      </c>
      <c r="C32" s="433">
        <v>1470</v>
      </c>
      <c r="D32" s="433"/>
      <c r="E32" s="433" t="s">
        <v>35</v>
      </c>
      <c r="F32" s="434">
        <f>IFERROR((VLOOKUP(B31&amp;D32&amp;E32&amp;G32,'TB Dump'!J:K,2,FALSE)),0)</f>
        <v>-7799</v>
      </c>
      <c r="G32" s="435">
        <v>281600</v>
      </c>
      <c r="H32" s="433"/>
      <c r="I32" s="434">
        <f>'MV-1400&amp;1470'!C22</f>
        <v>-7799</v>
      </c>
      <c r="J32" s="434">
        <f t="shared" si="3"/>
        <v>0</v>
      </c>
      <c r="K32" s="433"/>
      <c r="L32" s="433"/>
      <c r="M32" s="433"/>
      <c r="N32" s="433"/>
      <c r="O32" s="433"/>
      <c r="P32" s="433"/>
      <c r="Q32" s="433"/>
      <c r="R32" s="433"/>
      <c r="S32" s="433"/>
      <c r="T32" s="466"/>
      <c r="U32" s="433"/>
      <c r="V32" s="433"/>
      <c r="W32" s="433"/>
    </row>
    <row r="33" spans="1:23" ht="15" customHeight="1">
      <c r="A33" s="427" t="str">
        <f t="shared" si="2"/>
        <v>Asset</v>
      </c>
      <c r="B33" s="433">
        <v>112</v>
      </c>
      <c r="C33" s="433">
        <v>1480</v>
      </c>
      <c r="D33" s="433"/>
      <c r="E33" s="433" t="s">
        <v>36</v>
      </c>
      <c r="F33" s="434">
        <f>IFERROR((VLOOKUP(B32&amp;D33&amp;E33&amp;G33,'TB Dump'!J:K,2,FALSE)),0)</f>
        <v>-1224555.71</v>
      </c>
      <c r="G33" s="435">
        <v>281700</v>
      </c>
      <c r="H33" s="433"/>
      <c r="I33" s="434">
        <f>'CHware-1410&amp;1480'!C22</f>
        <v>-1224555.71</v>
      </c>
      <c r="J33" s="434">
        <f t="shared" si="3"/>
        <v>0</v>
      </c>
      <c r="K33" s="433"/>
      <c r="L33" s="433"/>
      <c r="M33" s="433"/>
      <c r="N33" s="433"/>
      <c r="O33" s="433"/>
      <c r="P33" s="433"/>
      <c r="Q33" s="433"/>
      <c r="R33" s="433"/>
      <c r="S33" s="433"/>
      <c r="T33" s="466"/>
      <c r="U33" s="433"/>
      <c r="V33" s="433"/>
      <c r="W33" s="433"/>
    </row>
    <row r="34" spans="1:23" ht="15" customHeight="1">
      <c r="A34" s="427" t="str">
        <f t="shared" si="2"/>
        <v>Asset</v>
      </c>
      <c r="B34" s="433">
        <v>112</v>
      </c>
      <c r="C34" s="433">
        <v>1490</v>
      </c>
      <c r="D34" s="433"/>
      <c r="E34" s="433" t="s">
        <v>37</v>
      </c>
      <c r="F34" s="434">
        <f>IFERROR((VLOOKUP(B33&amp;D34&amp;E34&amp;G34,'TB Dump'!J:K,2,FALSE)),0)</f>
        <v>-1551261.06</v>
      </c>
      <c r="G34" s="435">
        <v>280600</v>
      </c>
      <c r="H34" s="433"/>
      <c r="I34" s="434">
        <f>'CSware-1420&amp;1490'!C22</f>
        <v>-1551261.06</v>
      </c>
      <c r="J34" s="434">
        <f t="shared" si="3"/>
        <v>0</v>
      </c>
      <c r="K34" s="433"/>
      <c r="L34" s="433"/>
      <c r="M34" s="433"/>
      <c r="N34" s="433"/>
      <c r="O34" s="433"/>
      <c r="P34" s="433"/>
      <c r="Q34" s="433"/>
      <c r="R34" s="433"/>
      <c r="S34" s="433"/>
      <c r="T34" s="466"/>
      <c r="U34" s="433"/>
      <c r="V34" s="433"/>
      <c r="W34" s="433"/>
    </row>
    <row r="35" spans="1:23" ht="15" customHeight="1">
      <c r="A35" s="427" t="str">
        <f t="shared" si="2"/>
        <v>Asset</v>
      </c>
      <c r="B35" s="433">
        <v>112</v>
      </c>
      <c r="C35" s="433">
        <v>1500</v>
      </c>
      <c r="D35" s="433"/>
      <c r="E35" s="433" t="s">
        <v>38</v>
      </c>
      <c r="F35" s="434">
        <f>IFERROR((VLOOKUP(B34&amp;D35&amp;E35&amp;G35,'TB Dump'!J:K,2,FALSE)),0)</f>
        <v>-4456056.8499999996</v>
      </c>
      <c r="G35" s="435">
        <v>281500</v>
      </c>
      <c r="H35" s="433"/>
      <c r="I35" s="434">
        <f>'P&amp;E-1430&amp;1500'!C22</f>
        <v>-4456056.8499999996</v>
      </c>
      <c r="J35" s="434">
        <f t="shared" si="3"/>
        <v>0</v>
      </c>
      <c r="K35" s="433"/>
      <c r="L35" s="433"/>
      <c r="M35" s="433"/>
      <c r="N35" s="433"/>
      <c r="O35" s="433"/>
      <c r="P35" s="433"/>
      <c r="Q35" s="433"/>
      <c r="R35" s="433"/>
      <c r="S35" s="433"/>
      <c r="T35" s="466"/>
      <c r="U35" s="433"/>
      <c r="V35" s="433"/>
      <c r="W35" s="433"/>
    </row>
    <row r="36" spans="1:23" ht="15" customHeight="1">
      <c r="A36" s="427" t="str">
        <f t="shared" si="2"/>
        <v>Asset</v>
      </c>
      <c r="B36" s="433">
        <v>112</v>
      </c>
      <c r="C36" s="433">
        <v>1510</v>
      </c>
      <c r="D36" s="433"/>
      <c r="E36" s="433" t="s">
        <v>39</v>
      </c>
      <c r="F36" s="434">
        <f>IFERROR((VLOOKUP(B35&amp;D36&amp;E36&amp;G36,'TB Dump'!J:K,2,FALSE)),0)</f>
        <v>-379891.91</v>
      </c>
      <c r="G36" s="435">
        <v>281800</v>
      </c>
      <c r="H36" s="433"/>
      <c r="I36" s="434">
        <f>'F&amp;F-1450&amp;1510'!C22</f>
        <v>-379891.91</v>
      </c>
      <c r="J36" s="434">
        <f t="shared" si="3"/>
        <v>0</v>
      </c>
      <c r="K36" s="433"/>
      <c r="L36" s="433"/>
      <c r="M36" s="433"/>
      <c r="N36" s="433"/>
      <c r="O36" s="433"/>
      <c r="P36" s="433"/>
      <c r="Q36" s="433"/>
      <c r="R36" s="433"/>
      <c r="S36" s="433"/>
      <c r="T36" s="466"/>
      <c r="U36" s="433"/>
      <c r="V36" s="433"/>
      <c r="W36" s="433"/>
    </row>
    <row r="37" spans="1:23" ht="15" customHeight="1">
      <c r="A37" s="427" t="str">
        <f t="shared" si="2"/>
        <v>Asset</v>
      </c>
      <c r="B37" s="433">
        <v>112</v>
      </c>
      <c r="C37" s="433">
        <v>1520</v>
      </c>
      <c r="D37" s="433"/>
      <c r="E37" s="433" t="s">
        <v>40</v>
      </c>
      <c r="F37" s="434">
        <f>IFERROR((VLOOKUP(B36&amp;D37&amp;E37&amp;G37,'TB Dump'!J:K,2,FALSE)),0)</f>
        <v>-2817240.59</v>
      </c>
      <c r="G37" s="435">
        <v>281200</v>
      </c>
      <c r="H37" s="433"/>
      <c r="I37" s="434">
        <f>'LE-1370&amp;1520'!C22</f>
        <v>-2817240.59</v>
      </c>
      <c r="J37" s="434">
        <f t="shared" si="3"/>
        <v>0</v>
      </c>
      <c r="K37" s="433"/>
      <c r="L37" s="433"/>
      <c r="M37" s="433"/>
      <c r="N37" s="433"/>
      <c r="O37" s="433"/>
      <c r="P37" s="433"/>
      <c r="Q37" s="433"/>
      <c r="R37" s="433"/>
      <c r="S37" s="433"/>
      <c r="T37" s="466"/>
      <c r="U37" s="433"/>
      <c r="V37" s="433"/>
      <c r="W37" s="433"/>
    </row>
    <row r="38" spans="1:23" ht="15" customHeight="1">
      <c r="A38" s="427" t="str">
        <f t="shared" si="2"/>
        <v>Asset</v>
      </c>
      <c r="B38" s="433">
        <v>112</v>
      </c>
      <c r="C38" s="433">
        <v>1770</v>
      </c>
      <c r="D38" s="433"/>
      <c r="E38" s="433" t="s">
        <v>41</v>
      </c>
      <c r="F38" s="434">
        <f>IFERROR((VLOOKUP(B37&amp;D38&amp;E38&amp;G38,'TB Dump'!J:K,2,FALSE)),0)</f>
        <v>640171.71</v>
      </c>
      <c r="G38" s="435">
        <v>449000</v>
      </c>
      <c r="H38" s="433"/>
      <c r="I38" s="434">
        <f>'Deferred Tax Assets-1770'!C11</f>
        <v>640171.70641874953</v>
      </c>
      <c r="J38" s="434">
        <f t="shared" si="3"/>
        <v>3.5812504356727004E-3</v>
      </c>
      <c r="K38" s="433"/>
      <c r="L38" s="433"/>
      <c r="M38" s="433"/>
      <c r="N38" s="433"/>
      <c r="O38" s="433"/>
      <c r="P38" s="433"/>
      <c r="Q38" s="433"/>
      <c r="R38" s="433"/>
      <c r="S38" s="433"/>
      <c r="T38" s="466"/>
      <c r="U38" s="433"/>
      <c r="V38" s="433"/>
      <c r="W38" s="433"/>
    </row>
    <row r="39" spans="1:23" ht="15" customHeight="1">
      <c r="A39" s="427" t="str">
        <f t="shared" si="2"/>
        <v>Asset</v>
      </c>
      <c r="B39" s="433">
        <v>112</v>
      </c>
      <c r="C39" s="433">
        <v>1850</v>
      </c>
      <c r="D39" s="433"/>
      <c r="E39" s="433" t="s">
        <v>42</v>
      </c>
      <c r="F39" s="434">
        <f>IFERROR((VLOOKUP(B38&amp;D39&amp;E39&amp;G39,'TB Dump'!J:K,2,FALSE)),0)</f>
        <v>7515834.21</v>
      </c>
      <c r="G39" s="435">
        <v>210510</v>
      </c>
      <c r="H39" s="433"/>
      <c r="I39" s="434">
        <f>'Right-Of-Use Building-1850&amp;1853'!B15</f>
        <v>7515834.6878683995</v>
      </c>
      <c r="J39" s="434">
        <f t="shared" si="3"/>
        <v>-0.47786839958280325</v>
      </c>
      <c r="K39" s="433"/>
      <c r="L39" s="433"/>
      <c r="M39" s="433"/>
      <c r="N39" s="433"/>
      <c r="O39" s="433"/>
      <c r="P39" s="433"/>
      <c r="Q39" s="433"/>
      <c r="R39" s="433"/>
      <c r="S39" s="433"/>
      <c r="T39" s="466"/>
      <c r="U39" s="433"/>
      <c r="V39" s="433"/>
      <c r="W39" s="433"/>
    </row>
    <row r="40" spans="1:23" ht="15" customHeight="1">
      <c r="A40" s="427" t="str">
        <f t="shared" si="2"/>
        <v>Asset</v>
      </c>
      <c r="B40" s="433">
        <v>112</v>
      </c>
      <c r="C40" s="433">
        <v>1851</v>
      </c>
      <c r="D40" s="433"/>
      <c r="E40" s="433" t="s">
        <v>43</v>
      </c>
      <c r="F40" s="434">
        <f>IFERROR((VLOOKUP(B39&amp;D40&amp;E40&amp;G40,'TB Dump'!J:K,2,FALSE)),0)</f>
        <v>163573.54999999999</v>
      </c>
      <c r="G40" s="435">
        <v>210520</v>
      </c>
      <c r="H40" s="433"/>
      <c r="I40" s="434">
        <f>'Right Of Use Auto-1851&amp;1854'!B15</f>
        <v>163574.59986827101</v>
      </c>
      <c r="J40" s="434">
        <f t="shared" si="3"/>
        <v>-1.0498682710167486</v>
      </c>
      <c r="K40" s="433"/>
      <c r="L40" s="433"/>
      <c r="M40" s="433"/>
      <c r="N40" s="433"/>
      <c r="O40" s="433"/>
      <c r="P40" s="433"/>
      <c r="Q40" s="433"/>
      <c r="R40" s="433"/>
      <c r="S40" s="433"/>
      <c r="T40" s="466"/>
      <c r="U40" s="433"/>
      <c r="V40" s="433"/>
      <c r="W40" s="433"/>
    </row>
    <row r="41" spans="1:23" ht="15" customHeight="1">
      <c r="A41" s="427" t="str">
        <f t="shared" si="2"/>
        <v>Asset</v>
      </c>
      <c r="B41" s="433">
        <v>112</v>
      </c>
      <c r="C41" s="433">
        <v>1852</v>
      </c>
      <c r="D41" s="433"/>
      <c r="E41" s="433" t="s">
        <v>44</v>
      </c>
      <c r="F41" s="434">
        <f>IFERROR((VLOOKUP(B40&amp;D41&amp;E41&amp;G41,'TB Dump'!J:K,2,FALSE)),0)</f>
        <v>82557.440000000002</v>
      </c>
      <c r="G41" s="435">
        <v>210530</v>
      </c>
      <c r="H41" s="433"/>
      <c r="I41" s="434">
        <f>'Right-Of-Use Equip-1852&amp;1855'!B15</f>
        <v>82557.226958250903</v>
      </c>
      <c r="J41" s="434">
        <f t="shared" si="3"/>
        <v>0.21304174909892026</v>
      </c>
      <c r="K41" s="433"/>
      <c r="L41" s="433"/>
      <c r="M41" s="433"/>
      <c r="N41" s="433"/>
      <c r="O41" s="433"/>
      <c r="P41" s="433"/>
      <c r="Q41" s="433"/>
      <c r="R41" s="433"/>
      <c r="S41" s="433"/>
      <c r="T41" s="466"/>
      <c r="U41" s="433"/>
      <c r="V41" s="433"/>
      <c r="W41" s="433"/>
    </row>
    <row r="42" spans="1:23" ht="15" customHeight="1">
      <c r="A42" s="427" t="str">
        <f t="shared" si="2"/>
        <v>Asset</v>
      </c>
      <c r="B42" s="433">
        <v>112</v>
      </c>
      <c r="C42" s="433">
        <v>1853</v>
      </c>
      <c r="D42" s="433"/>
      <c r="E42" s="433" t="s">
        <v>45</v>
      </c>
      <c r="F42" s="434">
        <f>IFERROR((VLOOKUP(B41&amp;D42&amp;E42&amp;G42,'TB Dump'!J:K,2,FALSE)),0)</f>
        <v>-5349873.8099999996</v>
      </c>
      <c r="G42" s="435">
        <v>281051</v>
      </c>
      <c r="H42" s="433"/>
      <c r="I42" s="434">
        <f>'Right-Of-Use Building-1850&amp;1853'!B32</f>
        <v>-5349873.0358021194</v>
      </c>
      <c r="J42" s="434">
        <f t="shared" si="3"/>
        <v>-0.77419788017868996</v>
      </c>
      <c r="K42" s="433"/>
      <c r="L42" s="433"/>
      <c r="M42" s="433"/>
      <c r="N42" s="433"/>
      <c r="O42" s="433"/>
      <c r="P42" s="433"/>
      <c r="Q42" s="433"/>
      <c r="R42" s="433"/>
      <c r="S42" s="433"/>
      <c r="T42" s="466"/>
      <c r="U42" s="433"/>
      <c r="V42" s="433"/>
      <c r="W42" s="433"/>
    </row>
    <row r="43" spans="1:23" ht="15" customHeight="1">
      <c r="A43" s="427" t="str">
        <f t="shared" si="2"/>
        <v>Asset</v>
      </c>
      <c r="B43" s="433">
        <v>112</v>
      </c>
      <c r="C43" s="433">
        <v>1854</v>
      </c>
      <c r="D43" s="433"/>
      <c r="E43" s="433" t="s">
        <v>46</v>
      </c>
      <c r="F43" s="434">
        <f>IFERROR((VLOOKUP(B42&amp;D43&amp;E43&amp;G43,'TB Dump'!J:K,2,FALSE)),0)</f>
        <v>-100296.04</v>
      </c>
      <c r="G43" s="435">
        <v>281052</v>
      </c>
      <c r="H43" s="433"/>
      <c r="I43" s="434">
        <f>'Right Of Use Auto-1851&amp;1854'!B32</f>
        <v>-100293.720914606</v>
      </c>
      <c r="J43" s="434">
        <f t="shared" si="3"/>
        <v>-2.3190853939886438</v>
      </c>
      <c r="K43" s="433"/>
      <c r="L43" s="433"/>
      <c r="M43" s="433"/>
      <c r="N43" s="433"/>
      <c r="O43" s="433"/>
      <c r="P43" s="433"/>
      <c r="Q43" s="433"/>
      <c r="R43" s="433"/>
      <c r="S43" s="433"/>
      <c r="T43" s="466"/>
      <c r="U43" s="433"/>
      <c r="V43" s="433"/>
      <c r="W43" s="433"/>
    </row>
    <row r="44" spans="1:23" ht="15" customHeight="1">
      <c r="A44" s="427" t="str">
        <f t="shared" si="2"/>
        <v>Liability</v>
      </c>
      <c r="B44" s="433">
        <v>112</v>
      </c>
      <c r="C44" s="433">
        <v>1855</v>
      </c>
      <c r="D44" s="433"/>
      <c r="E44" s="433" t="s">
        <v>47</v>
      </c>
      <c r="F44" s="434">
        <f>IFERROR((VLOOKUP(B43&amp;D44&amp;E44&amp;G44,'TB Dump'!J:K,2,FALSE)),0)</f>
        <v>-76785.06</v>
      </c>
      <c r="G44" s="435">
        <v>281053</v>
      </c>
      <c r="H44" s="433"/>
      <c r="I44" s="434">
        <f>'Right-Of-Use Equip-1852&amp;1855'!B32</f>
        <v>-76783.863948981103</v>
      </c>
      <c r="J44" s="434">
        <f t="shared" si="3"/>
        <v>-1.19605101889465</v>
      </c>
      <c r="K44" s="433"/>
      <c r="L44" s="433"/>
      <c r="M44" s="433"/>
      <c r="N44" s="433"/>
      <c r="O44" s="433"/>
      <c r="P44" s="433"/>
      <c r="Q44" s="433"/>
      <c r="R44" s="433"/>
      <c r="S44" s="433"/>
      <c r="T44" s="466"/>
      <c r="U44" s="433"/>
      <c r="V44" s="433"/>
      <c r="W44" s="433"/>
    </row>
    <row r="45" spans="1:23" ht="14.5">
      <c r="A45" s="427" t="str">
        <f t="shared" ref="A45:A76" si="4">IF(C46&lt;2000,"Asset",IF(AND(C46&gt;=2000,C46&lt;2900),"Liability",IF(AND(C46&gt;=2900,C46&lt;3000),"Equity","P&amp;L")))</f>
        <v>Liability</v>
      </c>
      <c r="B45" s="433">
        <v>112</v>
      </c>
      <c r="C45" s="433">
        <v>2020</v>
      </c>
      <c r="D45" s="433"/>
      <c r="E45" s="433" t="s">
        <v>48</v>
      </c>
      <c r="F45" s="434">
        <f>IFERROR((VLOOKUP(B44&amp;D45&amp;E45&amp;G45,'TB Dump'!J:K,2,FALSE)),0)</f>
        <v>-911315.94</v>
      </c>
      <c r="G45" s="435">
        <v>401000</v>
      </c>
      <c r="H45" s="433"/>
      <c r="I45" s="434">
        <f>'Creditor Control-2020'!C37-SUM('Creditor Control-2020'!C15:C32,'Creditor Control-2020'!C11:C13)</f>
        <v>-1765626.34</v>
      </c>
      <c r="J45" s="434">
        <f t="shared" si="3"/>
        <v>854310.40000000014</v>
      </c>
      <c r="K45" s="433"/>
      <c r="L45" s="433"/>
      <c r="M45" s="433"/>
      <c r="N45" s="433"/>
      <c r="O45" s="433"/>
      <c r="P45" s="433"/>
      <c r="Q45" s="433"/>
      <c r="R45" s="433"/>
      <c r="S45" s="433"/>
      <c r="T45" s="466"/>
      <c r="U45" s="433"/>
      <c r="V45" s="433"/>
      <c r="W45" s="433"/>
    </row>
    <row r="46" spans="1:23" ht="14.25" customHeight="1">
      <c r="A46" s="427" t="str">
        <f t="shared" si="4"/>
        <v>Liability</v>
      </c>
      <c r="B46" s="433">
        <v>112</v>
      </c>
      <c r="C46" s="433">
        <v>2040</v>
      </c>
      <c r="D46" s="433">
        <v>100</v>
      </c>
      <c r="E46" s="433" t="s">
        <v>49</v>
      </c>
      <c r="F46" s="434">
        <f>IFERROR((VLOOKUP(B45&amp;D46&amp;E46&amp;G46,'TB Dump'!J:K,2,FALSE)),0)</f>
        <v>-910267.33</v>
      </c>
      <c r="G46" s="435">
        <v>408000</v>
      </c>
      <c r="H46" s="433"/>
      <c r="I46" s="434">
        <f>'Accrued Trade Payables-2040.100'!C12</f>
        <v>-910267.32751818199</v>
      </c>
      <c r="J46" s="434">
        <f t="shared" si="3"/>
        <v>-2.4818179663270712E-3</v>
      </c>
      <c r="K46" s="433"/>
      <c r="L46" s="467"/>
      <c r="M46" s="433"/>
      <c r="N46" s="433"/>
      <c r="O46" s="433"/>
      <c r="P46" s="433"/>
      <c r="Q46" s="433"/>
      <c r="R46" s="433"/>
      <c r="S46" s="433"/>
      <c r="T46" s="466"/>
      <c r="U46" s="433"/>
      <c r="V46" s="433"/>
      <c r="W46" s="433"/>
    </row>
    <row r="47" spans="1:23" ht="15" customHeight="1">
      <c r="A47" s="427" t="str">
        <f t="shared" si="4"/>
        <v>Liability</v>
      </c>
      <c r="B47" s="433">
        <v>112</v>
      </c>
      <c r="C47" s="433">
        <v>2040</v>
      </c>
      <c r="D47" s="433">
        <v>200</v>
      </c>
      <c r="E47" s="433" t="s">
        <v>50</v>
      </c>
      <c r="F47" s="434">
        <f>IFERROR((VLOOKUP(B46&amp;D47&amp;E47&amp;G47,'TB Dump'!J:K,2,FALSE)),0)</f>
        <v>-49360</v>
      </c>
      <c r="G47" s="435">
        <v>408000</v>
      </c>
      <c r="H47" s="433"/>
      <c r="I47" s="434">
        <f>'Prov for Audit Fees-2040.200'!C30</f>
        <v>690</v>
      </c>
      <c r="J47" s="434">
        <f t="shared" si="3"/>
        <v>-50050</v>
      </c>
      <c r="K47" s="433"/>
      <c r="L47" s="433"/>
      <c r="M47" s="433"/>
      <c r="N47" s="433"/>
      <c r="O47" s="433"/>
      <c r="P47" s="433"/>
      <c r="Q47" s="433"/>
      <c r="R47" s="433"/>
      <c r="S47" s="433"/>
      <c r="T47" s="466"/>
      <c r="U47" s="433"/>
      <c r="V47" s="433"/>
      <c r="W47" s="433"/>
    </row>
    <row r="48" spans="1:23" ht="15" customHeight="1">
      <c r="A48" s="427" t="str">
        <f t="shared" si="4"/>
        <v>Liability</v>
      </c>
      <c r="B48" s="433">
        <v>112</v>
      </c>
      <c r="C48" s="433">
        <v>2055</v>
      </c>
      <c r="D48" s="433"/>
      <c r="E48" s="433" t="s">
        <v>51</v>
      </c>
      <c r="F48" s="434">
        <f>IFERROR((VLOOKUP(B47&amp;D48&amp;E48&amp;G48,'TB Dump'!J:K,2,FALSE)),0)</f>
        <v>-347678.52</v>
      </c>
      <c r="G48" s="435">
        <v>408000</v>
      </c>
      <c r="H48" s="433"/>
      <c r="I48" s="434">
        <f>'GRNV-2055'!C12</f>
        <v>-347678.43999999977</v>
      </c>
      <c r="J48" s="434">
        <f t="shared" ref="J48:J84" si="5">F48-I48</f>
        <v>-8.0000000249128789E-2</v>
      </c>
      <c r="K48" s="433"/>
      <c r="L48" s="433"/>
      <c r="M48" s="433"/>
      <c r="N48" s="433"/>
      <c r="O48" s="433"/>
      <c r="P48" s="433"/>
      <c r="Q48" s="433"/>
      <c r="R48" s="433"/>
      <c r="S48" s="433"/>
      <c r="T48" s="466"/>
      <c r="U48" s="433"/>
      <c r="V48" s="433"/>
      <c r="W48" s="433"/>
    </row>
    <row r="49" spans="1:23" ht="15" customHeight="1">
      <c r="A49" s="427" t="str">
        <f t="shared" si="4"/>
        <v>Liability</v>
      </c>
      <c r="B49" s="433">
        <v>112</v>
      </c>
      <c r="C49" s="433">
        <v>2070</v>
      </c>
      <c r="D49" s="433">
        <v>190</v>
      </c>
      <c r="E49" s="433" t="s">
        <v>359</v>
      </c>
      <c r="F49" s="434">
        <f>IFERROR((VLOOKUP(B48&amp;D49&amp;E49&amp;G49,'TB Dump'!J:K,2,FALSE)),0)</f>
        <v>0</v>
      </c>
      <c r="G49" s="435">
        <v>402000</v>
      </c>
      <c r="H49" s="433"/>
      <c r="I49" s="434">
        <f>'Creditor Control-2020'!C32</f>
        <v>0</v>
      </c>
      <c r="J49" s="434">
        <f t="shared" si="5"/>
        <v>0</v>
      </c>
      <c r="K49" s="433"/>
      <c r="L49" s="433"/>
      <c r="M49" s="433"/>
      <c r="N49" s="433"/>
      <c r="O49" s="433"/>
      <c r="P49" s="433"/>
      <c r="Q49" s="433"/>
      <c r="R49" s="433"/>
      <c r="S49" s="433"/>
      <c r="T49" s="466"/>
      <c r="U49" s="433"/>
      <c r="V49" s="433"/>
      <c r="W49" s="433"/>
    </row>
    <row r="50" spans="1:23" ht="15" customHeight="1">
      <c r="A50" s="427" t="str">
        <f t="shared" si="4"/>
        <v>Liability</v>
      </c>
      <c r="B50" s="433">
        <v>112</v>
      </c>
      <c r="C50" s="433">
        <v>2070</v>
      </c>
      <c r="D50" s="433">
        <v>186</v>
      </c>
      <c r="E50" s="433" t="s">
        <v>166</v>
      </c>
      <c r="F50" s="434">
        <f>IFERROR((VLOOKUP(B49&amp;D50&amp;E50&amp;G50,'TB Dump'!J:K,2,FALSE)),0)</f>
        <v>0</v>
      </c>
      <c r="G50" s="435">
        <v>402000</v>
      </c>
      <c r="H50" s="433"/>
      <c r="I50" s="434">
        <f>'Creditor Control-2020'!C29</f>
        <v>0</v>
      </c>
      <c r="J50" s="434">
        <f t="shared" si="5"/>
        <v>0</v>
      </c>
      <c r="K50" s="433"/>
      <c r="L50" s="433"/>
      <c r="M50" s="433"/>
      <c r="N50" s="433"/>
      <c r="O50" s="433"/>
      <c r="P50" s="433"/>
      <c r="Q50" s="433"/>
      <c r="R50" s="433"/>
      <c r="S50" s="433"/>
      <c r="T50" s="466"/>
      <c r="U50" s="433"/>
      <c r="V50" s="433"/>
      <c r="W50" s="433"/>
    </row>
    <row r="51" spans="1:23" ht="17.25" customHeight="1">
      <c r="A51" s="427" t="str">
        <f t="shared" si="4"/>
        <v>Liability</v>
      </c>
      <c r="B51" s="433">
        <v>112</v>
      </c>
      <c r="C51" s="433">
        <v>2070</v>
      </c>
      <c r="D51" s="433">
        <v>104</v>
      </c>
      <c r="E51" s="433" t="s">
        <v>52</v>
      </c>
      <c r="F51" s="434">
        <f>IFERROR((VLOOKUP(B50&amp;D51&amp;E51&amp;G51,'TB Dump'!J:K,2,FALSE)),0)</f>
        <v>-283.92</v>
      </c>
      <c r="G51" s="435">
        <v>402000</v>
      </c>
      <c r="H51" s="433"/>
      <c r="I51" s="434">
        <f>'Creditor Control-2020'!C15</f>
        <v>0</v>
      </c>
      <c r="J51" s="434">
        <f t="shared" si="5"/>
        <v>-283.92</v>
      </c>
      <c r="K51" s="433"/>
      <c r="L51" s="433"/>
      <c r="M51" s="433"/>
      <c r="N51" s="433"/>
      <c r="O51" s="433"/>
      <c r="P51" s="433"/>
      <c r="Q51" s="433"/>
      <c r="R51" s="433"/>
      <c r="S51" s="433"/>
      <c r="T51" s="466"/>
      <c r="U51" s="433"/>
      <c r="V51" s="434"/>
      <c r="W51" s="433"/>
    </row>
    <row r="52" spans="1:23" ht="15" customHeight="1">
      <c r="A52" s="427" t="str">
        <f t="shared" si="4"/>
        <v>Liability</v>
      </c>
      <c r="B52" s="433">
        <v>112</v>
      </c>
      <c r="C52" s="433">
        <v>2070</v>
      </c>
      <c r="D52" s="433">
        <v>111</v>
      </c>
      <c r="E52" s="433" t="s">
        <v>168</v>
      </c>
      <c r="F52" s="434">
        <f>IFERROR((VLOOKUP(B51&amp;D52&amp;E52&amp;G52,'TB Dump'!J:K,2,FALSE)),0)</f>
        <v>0</v>
      </c>
      <c r="G52" s="435">
        <v>402000</v>
      </c>
      <c r="H52" s="433"/>
      <c r="I52" s="434">
        <f>'Creditor Control-2020'!C17</f>
        <v>0</v>
      </c>
      <c r="J52" s="434">
        <f t="shared" si="5"/>
        <v>0</v>
      </c>
      <c r="K52" s="433"/>
      <c r="L52" s="433"/>
      <c r="M52" s="433"/>
      <c r="N52" s="433"/>
      <c r="O52" s="433"/>
      <c r="P52" s="433"/>
      <c r="Q52" s="433"/>
      <c r="R52" s="433"/>
      <c r="S52" s="433"/>
      <c r="T52" s="466"/>
      <c r="U52" s="433"/>
      <c r="V52" s="433"/>
      <c r="W52" s="433"/>
    </row>
    <row r="53" spans="1:23" ht="15.75" customHeight="1">
      <c r="A53" s="427" t="str">
        <f t="shared" si="4"/>
        <v>Liability</v>
      </c>
      <c r="B53" s="433">
        <v>112</v>
      </c>
      <c r="C53" s="433">
        <v>2070</v>
      </c>
      <c r="D53" s="433">
        <v>113</v>
      </c>
      <c r="E53" s="433" t="s">
        <v>19</v>
      </c>
      <c r="F53" s="434">
        <f>IFERROR((VLOOKUP(B52&amp;D53&amp;E53&amp;G53,'TB Dump'!J:K,2,FALSE)),0)</f>
        <v>-12586.16</v>
      </c>
      <c r="G53" s="435">
        <v>402000</v>
      </c>
      <c r="H53" s="433"/>
      <c r="I53" s="434">
        <f>'Creditor Control-2020'!C18</f>
        <v>0</v>
      </c>
      <c r="J53" s="434">
        <f t="shared" si="5"/>
        <v>-12586.16</v>
      </c>
      <c r="K53" s="433"/>
      <c r="L53" s="433"/>
      <c r="M53" s="433"/>
      <c r="N53" s="433"/>
      <c r="O53" s="433"/>
      <c r="P53" s="433"/>
      <c r="Q53" s="433"/>
      <c r="R53" s="433"/>
      <c r="S53" s="433"/>
      <c r="T53" s="466"/>
      <c r="U53" s="433"/>
      <c r="V53" s="433"/>
      <c r="W53" s="433"/>
    </row>
    <row r="54" spans="1:23" ht="14.5">
      <c r="A54" s="427" t="str">
        <f t="shared" si="4"/>
        <v>Liability</v>
      </c>
      <c r="B54" s="433">
        <v>112</v>
      </c>
      <c r="C54" s="433">
        <v>2070</v>
      </c>
      <c r="D54" s="433">
        <v>117</v>
      </c>
      <c r="E54" s="433" t="s">
        <v>20</v>
      </c>
      <c r="F54" s="434">
        <f>IFERROR((VLOOKUP(B53&amp;D54&amp;E54&amp;G54,'TB Dump'!J:K,2,FALSE)),0)</f>
        <v>-835877.97</v>
      </c>
      <c r="G54" s="435">
        <v>402000</v>
      </c>
      <c r="H54" s="433"/>
      <c r="I54" s="434">
        <f>'Creditor Control-2020'!C19</f>
        <v>0</v>
      </c>
      <c r="J54" s="434">
        <f t="shared" si="5"/>
        <v>-835877.97</v>
      </c>
      <c r="K54" s="433"/>
      <c r="L54" s="433"/>
      <c r="M54" s="433"/>
      <c r="N54" s="433"/>
      <c r="O54" s="433"/>
      <c r="P54" s="433"/>
      <c r="Q54" s="433"/>
      <c r="R54" s="433"/>
      <c r="S54" s="433"/>
      <c r="T54" s="466"/>
      <c r="U54" s="433"/>
      <c r="V54" s="433"/>
      <c r="W54" s="433"/>
    </row>
    <row r="55" spans="1:23" ht="15" customHeight="1">
      <c r="A55" s="427" t="str">
        <f t="shared" si="4"/>
        <v>Liability</v>
      </c>
      <c r="B55" s="433">
        <v>112</v>
      </c>
      <c r="C55" s="433">
        <v>2070</v>
      </c>
      <c r="D55" s="433">
        <v>136</v>
      </c>
      <c r="E55" s="433" t="s">
        <v>21</v>
      </c>
      <c r="F55" s="434">
        <f>IFERROR((VLOOKUP(B54&amp;D55&amp;E55&amp;G55,'TB Dump'!J:K,2,FALSE)),0)</f>
        <v>0</v>
      </c>
      <c r="G55" s="435">
        <v>402000</v>
      </c>
      <c r="H55" s="433"/>
      <c r="I55" s="434">
        <f>'Creditor Control-2020'!C20</f>
        <v>0</v>
      </c>
      <c r="J55" s="434">
        <f t="shared" si="5"/>
        <v>0</v>
      </c>
      <c r="K55" s="433"/>
      <c r="L55" s="433"/>
      <c r="M55" s="433"/>
      <c r="N55" s="433"/>
      <c r="O55" s="433"/>
      <c r="P55" s="433"/>
      <c r="Q55" s="433"/>
      <c r="R55" s="433"/>
      <c r="S55" s="433"/>
      <c r="T55" s="466"/>
      <c r="U55" s="433"/>
      <c r="V55" s="433"/>
      <c r="W55" s="433"/>
    </row>
    <row r="56" spans="1:23" ht="14.5">
      <c r="A56" s="427" t="str">
        <f t="shared" si="4"/>
        <v>Liability</v>
      </c>
      <c r="B56" s="433">
        <v>112</v>
      </c>
      <c r="C56" s="433">
        <v>2070</v>
      </c>
      <c r="D56" s="433">
        <v>152</v>
      </c>
      <c r="E56" s="433" t="s">
        <v>53</v>
      </c>
      <c r="F56" s="434">
        <f>IFERROR((VLOOKUP(B55&amp;D56&amp;E56&amp;G56,'TB Dump'!J:K,2,FALSE)),0)</f>
        <v>-1615.52</v>
      </c>
      <c r="G56" s="435">
        <v>402000</v>
      </c>
      <c r="H56" s="433"/>
      <c r="I56" s="434">
        <f>'Creditor Control-2020'!C23</f>
        <v>0</v>
      </c>
      <c r="J56" s="434">
        <f t="shared" si="5"/>
        <v>-1615.52</v>
      </c>
      <c r="K56" s="433"/>
      <c r="L56" s="433"/>
      <c r="M56" s="433"/>
      <c r="N56" s="433"/>
      <c r="O56" s="433"/>
      <c r="P56" s="433"/>
      <c r="Q56" s="433"/>
      <c r="R56" s="433"/>
      <c r="S56" s="433"/>
      <c r="T56" s="466"/>
      <c r="U56" s="433"/>
      <c r="V56" s="433"/>
      <c r="W56" s="433"/>
    </row>
    <row r="57" spans="1:23" ht="15" customHeight="1">
      <c r="A57" s="427" t="str">
        <f t="shared" si="4"/>
        <v>Liability</v>
      </c>
      <c r="B57" s="433">
        <v>112</v>
      </c>
      <c r="C57" s="433">
        <v>2070</v>
      </c>
      <c r="D57" s="433">
        <v>154</v>
      </c>
      <c r="E57" s="433" t="s">
        <v>15</v>
      </c>
      <c r="F57" s="434">
        <f>IFERROR((VLOOKUP(B56&amp;D57&amp;E57&amp;G57,'TB Dump'!J:K,2,FALSE)),0)</f>
        <v>0</v>
      </c>
      <c r="G57" s="435">
        <v>402000</v>
      </c>
      <c r="H57" s="433"/>
      <c r="I57" s="434">
        <f>'Creditor Control-2020'!C24</f>
        <v>0</v>
      </c>
      <c r="J57" s="434">
        <f t="shared" si="5"/>
        <v>0</v>
      </c>
      <c r="L57" s="433"/>
      <c r="M57" s="433"/>
      <c r="N57" s="433"/>
      <c r="O57" s="433"/>
      <c r="P57" s="433"/>
      <c r="Q57" s="433"/>
      <c r="R57" s="433"/>
      <c r="S57" s="433"/>
      <c r="T57" s="466"/>
      <c r="U57" s="433"/>
      <c r="V57" s="433"/>
      <c r="W57" s="433"/>
    </row>
    <row r="58" spans="1:23" ht="14.5">
      <c r="A58" s="427" t="str">
        <f t="shared" si="4"/>
        <v>Liability</v>
      </c>
      <c r="B58" s="433">
        <v>112</v>
      </c>
      <c r="C58" s="433">
        <v>2070</v>
      </c>
      <c r="D58" s="433">
        <v>171</v>
      </c>
      <c r="E58" s="433" t="s">
        <v>54</v>
      </c>
      <c r="F58" s="434">
        <f>IFERROR((VLOOKUP(B57&amp;D58&amp;E58&amp;G58,'TB Dump'!J:K,2,FALSE)),0)</f>
        <v>-3946.84</v>
      </c>
      <c r="G58" s="435">
        <v>402000</v>
      </c>
      <c r="H58" s="433"/>
      <c r="I58" s="434">
        <f>'Creditor Control-2020'!C31</f>
        <v>0</v>
      </c>
      <c r="J58" s="434">
        <f t="shared" si="5"/>
        <v>-3946.84</v>
      </c>
      <c r="K58" s="433"/>
      <c r="L58" s="433"/>
      <c r="M58" s="433"/>
      <c r="N58" s="433"/>
      <c r="O58" s="433"/>
      <c r="P58" s="433"/>
      <c r="Q58" s="433"/>
      <c r="R58" s="433"/>
      <c r="S58" s="433"/>
      <c r="T58" s="466"/>
      <c r="U58" s="433"/>
      <c r="V58" s="433"/>
      <c r="W58" s="433"/>
    </row>
    <row r="59" spans="1:23" ht="15" customHeight="1">
      <c r="A59" s="427" t="str">
        <f t="shared" si="4"/>
        <v>Liability</v>
      </c>
      <c r="B59" s="433">
        <v>112</v>
      </c>
      <c r="C59" s="433">
        <v>2070</v>
      </c>
      <c r="D59" s="433">
        <v>177</v>
      </c>
      <c r="E59" s="433" t="s">
        <v>55</v>
      </c>
      <c r="F59" s="434">
        <f>IFERROR((VLOOKUP(B58&amp;D59&amp;E59&amp;G59,'TB Dump'!J:K,2,FALSE)),0)</f>
        <v>0</v>
      </c>
      <c r="G59" s="435">
        <v>402000</v>
      </c>
      <c r="H59" s="433"/>
      <c r="I59" s="434">
        <f>'Creditor Control-2020'!C30</f>
        <v>0</v>
      </c>
      <c r="J59" s="434">
        <f t="shared" si="5"/>
        <v>0</v>
      </c>
      <c r="K59" s="433"/>
      <c r="L59" s="433"/>
      <c r="M59" s="433"/>
      <c r="N59" s="433"/>
      <c r="O59" s="433"/>
      <c r="P59" s="433"/>
      <c r="Q59" s="433"/>
      <c r="R59" s="433"/>
      <c r="S59" s="433"/>
      <c r="T59" s="466"/>
      <c r="U59" s="433"/>
      <c r="V59" s="433"/>
      <c r="W59" s="433"/>
    </row>
    <row r="60" spans="1:23" ht="15" customHeight="1">
      <c r="A60" s="427" t="str">
        <f t="shared" si="4"/>
        <v>Liability</v>
      </c>
      <c r="B60" s="433">
        <v>112</v>
      </c>
      <c r="C60" s="433">
        <v>2070</v>
      </c>
      <c r="D60" s="433">
        <v>180</v>
      </c>
      <c r="E60" s="433" t="s">
        <v>56</v>
      </c>
      <c r="F60" s="434">
        <f>IFERROR((VLOOKUP(B59&amp;D60&amp;E60&amp;G60,'TB Dump'!J:K,2,FALSE)),0)</f>
        <v>0</v>
      </c>
      <c r="G60" s="435">
        <v>402000</v>
      </c>
      <c r="H60" s="433"/>
      <c r="I60" s="434">
        <f>'Creditor Control-2020'!C28</f>
        <v>0</v>
      </c>
      <c r="J60" s="434">
        <f t="shared" si="5"/>
        <v>0</v>
      </c>
      <c r="K60" s="433"/>
      <c r="L60" s="433"/>
      <c r="M60" s="433"/>
      <c r="N60" s="433"/>
      <c r="O60" s="433"/>
      <c r="P60" s="433"/>
      <c r="Q60" s="433"/>
      <c r="R60" s="433"/>
      <c r="S60" s="433"/>
      <c r="T60" s="466"/>
      <c r="U60" s="433"/>
      <c r="V60" s="433"/>
      <c r="W60" s="433"/>
    </row>
    <row r="61" spans="1:23" ht="15" customHeight="1">
      <c r="A61" s="427" t="str">
        <f t="shared" si="4"/>
        <v>Liability</v>
      </c>
      <c r="B61" s="433">
        <v>112</v>
      </c>
      <c r="C61" s="433">
        <v>2115</v>
      </c>
      <c r="D61" s="433"/>
      <c r="E61" s="433" t="s">
        <v>57</v>
      </c>
      <c r="F61" s="434">
        <f>IFERROR((VLOOKUP(B60&amp;D61&amp;E61&amp;G61,'TB Dump'!J:K,2,FALSE)),0)</f>
        <v>-684966.68</v>
      </c>
      <c r="G61" s="435" t="s">
        <v>58</v>
      </c>
      <c r="H61" s="433"/>
      <c r="I61" s="434">
        <f>'NOTE PAYABLE ST - OP LEASE-2115'!B14</f>
        <v>-684966.43491354864</v>
      </c>
      <c r="J61" s="434">
        <f t="shared" si="5"/>
        <v>-0.24508645141031593</v>
      </c>
      <c r="K61" s="433"/>
      <c r="L61" s="433"/>
      <c r="M61" s="433"/>
      <c r="N61" s="433"/>
      <c r="O61" s="433"/>
      <c r="P61" s="433"/>
      <c r="Q61" s="433"/>
      <c r="R61" s="433"/>
      <c r="S61" s="433"/>
      <c r="T61" s="466"/>
      <c r="U61" s="433"/>
      <c r="V61" s="433"/>
      <c r="W61" s="433"/>
    </row>
    <row r="62" spans="1:23" ht="15" customHeight="1">
      <c r="A62" s="427" t="str">
        <f t="shared" si="4"/>
        <v>Liability</v>
      </c>
      <c r="B62" s="433">
        <v>112</v>
      </c>
      <c r="C62" s="433">
        <v>2150</v>
      </c>
      <c r="D62" s="433"/>
      <c r="E62" s="433" t="s">
        <v>59</v>
      </c>
      <c r="F62" s="434">
        <f>IFERROR((VLOOKUP(B61&amp;D62&amp;E62&amp;G62,'TB Dump'!J:K,2,FALSE)),0)</f>
        <v>-93090</v>
      </c>
      <c r="G62" s="435" t="s">
        <v>60</v>
      </c>
      <c r="H62" s="433"/>
      <c r="I62" s="434">
        <f>'PAYG clg-2150'!C15</f>
        <v>-93090</v>
      </c>
      <c r="J62" s="434">
        <f t="shared" si="5"/>
        <v>0</v>
      </c>
      <c r="K62" s="433"/>
      <c r="L62" s="433"/>
      <c r="M62" s="433"/>
      <c r="N62" s="433"/>
      <c r="O62" s="433"/>
      <c r="P62" s="433"/>
      <c r="Q62" s="433"/>
      <c r="R62" s="433"/>
      <c r="S62" s="433"/>
      <c r="T62" s="466"/>
      <c r="U62" s="433"/>
      <c r="V62" s="433"/>
      <c r="W62" s="433"/>
    </row>
    <row r="63" spans="1:23" ht="15" customHeight="1">
      <c r="A63" s="427" t="str">
        <f t="shared" si="4"/>
        <v>Liability</v>
      </c>
      <c r="B63" s="433">
        <v>112</v>
      </c>
      <c r="C63" s="433">
        <v>2160</v>
      </c>
      <c r="D63" s="433"/>
      <c r="E63" s="433" t="s">
        <v>61</v>
      </c>
      <c r="F63" s="434">
        <f>IFERROR((VLOOKUP(B62&amp;D63&amp;E63&amp;G63,'TB Dump'!J:K,2,FALSE)),0)</f>
        <v>-127198.52</v>
      </c>
      <c r="G63" s="435" t="s">
        <v>62</v>
      </c>
      <c r="H63" s="433"/>
      <c r="I63" s="434">
        <f>'Accrued Payroll-2160'!C30</f>
        <v>-127198.52</v>
      </c>
      <c r="J63" s="434">
        <f t="shared" si="5"/>
        <v>0</v>
      </c>
      <c r="K63" s="433"/>
      <c r="L63" s="433"/>
      <c r="M63" s="433"/>
      <c r="N63" s="433"/>
      <c r="O63" s="433"/>
      <c r="P63" s="433"/>
      <c r="Q63" s="433"/>
      <c r="R63" s="433"/>
      <c r="S63" s="433"/>
      <c r="T63" s="466"/>
      <c r="U63" s="433"/>
      <c r="V63" s="433"/>
      <c r="W63" s="433"/>
    </row>
    <row r="64" spans="1:23" ht="15.75" customHeight="1">
      <c r="A64" s="427" t="str">
        <f t="shared" si="4"/>
        <v>Liability</v>
      </c>
      <c r="B64" s="433">
        <v>112</v>
      </c>
      <c r="C64" s="433">
        <v>2160</v>
      </c>
      <c r="D64" s="433">
        <v>100</v>
      </c>
      <c r="E64" s="433" t="s">
        <v>63</v>
      </c>
      <c r="F64" s="434">
        <f>IFERROR((VLOOKUP(B63&amp;D64&amp;E64&amp;G64,'TB Dump'!J:K,2,FALSE)),0)</f>
        <v>0</v>
      </c>
      <c r="G64" s="435" t="s">
        <v>62</v>
      </c>
      <c r="H64" s="433"/>
      <c r="I64" s="434">
        <f>'Payroll Clearing-2160.100'!C20</f>
        <v>0</v>
      </c>
      <c r="J64" s="434">
        <f t="shared" si="5"/>
        <v>0</v>
      </c>
      <c r="K64" s="433"/>
      <c r="L64" s="433"/>
      <c r="M64" s="433"/>
      <c r="N64" s="433"/>
      <c r="O64" s="433"/>
      <c r="P64" s="433"/>
      <c r="Q64" s="433"/>
      <c r="R64" s="433"/>
      <c r="S64" s="433"/>
      <c r="T64" s="466"/>
      <c r="U64" s="433"/>
      <c r="V64" s="433"/>
      <c r="W64" s="433"/>
    </row>
    <row r="65" spans="1:23" ht="15" customHeight="1">
      <c r="A65" s="427" t="str">
        <f t="shared" si="4"/>
        <v>Liability</v>
      </c>
      <c r="B65" s="433">
        <v>112</v>
      </c>
      <c r="C65" s="433">
        <v>2160</v>
      </c>
      <c r="D65" s="433">
        <v>200</v>
      </c>
      <c r="E65" s="433" t="s">
        <v>64</v>
      </c>
      <c r="F65" s="434">
        <f>IFERROR((VLOOKUP(B64&amp;D65&amp;E65&amp;G65,'TB Dump'!J:K,2,FALSE)),0)</f>
        <v>-247152.2</v>
      </c>
      <c r="G65" s="435" t="s">
        <v>62</v>
      </c>
      <c r="H65" s="433"/>
      <c r="I65" s="434">
        <f>'Super Clearing-2160.200'!C14</f>
        <v>-247152.19999999998</v>
      </c>
      <c r="J65" s="434">
        <f t="shared" si="5"/>
        <v>0</v>
      </c>
      <c r="K65" s="433"/>
      <c r="L65" s="433"/>
      <c r="M65" s="433"/>
      <c r="N65" s="433"/>
      <c r="O65" s="433"/>
      <c r="P65" s="433"/>
      <c r="Q65" s="433"/>
      <c r="R65" s="433"/>
      <c r="S65" s="433"/>
      <c r="T65" s="466"/>
      <c r="U65" s="433"/>
      <c r="V65" s="433"/>
      <c r="W65" s="433"/>
    </row>
    <row r="66" spans="1:23" ht="15" customHeight="1">
      <c r="A66" s="427" t="str">
        <f t="shared" si="4"/>
        <v>Liability</v>
      </c>
      <c r="B66" s="433">
        <v>112</v>
      </c>
      <c r="C66" s="433">
        <v>2170</v>
      </c>
      <c r="D66" s="433"/>
      <c r="E66" s="433" t="s">
        <v>65</v>
      </c>
      <c r="F66" s="434">
        <f>IFERROR((VLOOKUP(B65&amp;D66&amp;E66&amp;G66,'TB Dump'!J:K,2,FALSE)),0)</f>
        <v>-49668.62</v>
      </c>
      <c r="G66" s="435" t="s">
        <v>66</v>
      </c>
      <c r="H66" s="433"/>
      <c r="I66" s="434">
        <f>'Accrued Payroll Taxes-2170'!C12</f>
        <v>-49668.389999999992</v>
      </c>
      <c r="J66" s="434">
        <f t="shared" si="5"/>
        <v>-0.23000000001047738</v>
      </c>
      <c r="K66" s="433"/>
      <c r="L66" s="433"/>
      <c r="M66" s="433"/>
      <c r="N66" s="433"/>
      <c r="O66" s="433"/>
      <c r="P66" s="433"/>
      <c r="Q66" s="433"/>
      <c r="R66" s="433"/>
      <c r="S66" s="433"/>
      <c r="T66" s="466"/>
      <c r="U66" s="433"/>
      <c r="V66" s="433"/>
      <c r="W66" s="433"/>
    </row>
    <row r="67" spans="1:23" ht="15" customHeight="1">
      <c r="A67" s="427" t="str">
        <f t="shared" si="4"/>
        <v>Liability</v>
      </c>
      <c r="B67" s="433">
        <v>112</v>
      </c>
      <c r="C67" s="433">
        <v>2170</v>
      </c>
      <c r="D67" s="433">
        <v>100</v>
      </c>
      <c r="E67" s="433" t="s">
        <v>67</v>
      </c>
      <c r="F67" s="434">
        <f>IFERROR((VLOOKUP(B66&amp;D67&amp;E67&amp;G67,'TB Dump'!J:K,2,FALSE)),0)</f>
        <v>-2725</v>
      </c>
      <c r="G67" s="435" t="s">
        <v>66</v>
      </c>
      <c r="H67" s="433"/>
      <c r="I67" s="434">
        <f>'Accrued FBT-2170.100'!C30</f>
        <v>-2725</v>
      </c>
      <c r="J67" s="434">
        <f t="shared" si="5"/>
        <v>0</v>
      </c>
      <c r="K67" s="433"/>
      <c r="L67" s="433"/>
      <c r="M67" s="433"/>
      <c r="N67" s="433"/>
      <c r="O67" s="433"/>
      <c r="P67" s="433"/>
      <c r="Q67" s="433"/>
      <c r="R67" s="433"/>
      <c r="S67" s="433"/>
      <c r="T67" s="466"/>
      <c r="U67" s="433"/>
      <c r="V67" s="433"/>
      <c r="W67" s="433"/>
    </row>
    <row r="68" spans="1:23" ht="15" customHeight="1">
      <c r="A68" s="427" t="str">
        <f t="shared" si="4"/>
        <v>Liability</v>
      </c>
      <c r="B68" s="433">
        <v>112</v>
      </c>
      <c r="C68" s="433">
        <v>2180</v>
      </c>
      <c r="D68" s="433">
        <v>100</v>
      </c>
      <c r="E68" s="433" t="s">
        <v>68</v>
      </c>
      <c r="F68" s="434">
        <f>IFERROR((VLOOKUP(B67&amp;D68&amp;E68&amp;G68,'TB Dump'!J:K,2,FALSE)),0)</f>
        <v>-715276.45</v>
      </c>
      <c r="G68" s="435" t="s">
        <v>69</v>
      </c>
      <c r="H68" s="433"/>
      <c r="I68" s="434">
        <f>'AL&amp;Loading-2180.100&amp;2180.200'!B12+'AL&amp;Loading-2180.100&amp;2180.200'!B13</f>
        <v>-715276.45</v>
      </c>
      <c r="J68" s="434">
        <f t="shared" si="5"/>
        <v>0</v>
      </c>
      <c r="K68" s="433"/>
      <c r="L68" s="433"/>
      <c r="M68" s="433"/>
      <c r="N68" s="433"/>
      <c r="O68" s="433"/>
      <c r="P68" s="433"/>
      <c r="Q68" s="433"/>
      <c r="R68" s="433"/>
      <c r="S68" s="433"/>
      <c r="T68" s="466"/>
      <c r="U68" s="433"/>
      <c r="V68" s="433"/>
      <c r="W68" s="433"/>
    </row>
    <row r="69" spans="1:23" ht="15" customHeight="1">
      <c r="A69" s="427" t="str">
        <f t="shared" si="4"/>
        <v>Liability</v>
      </c>
      <c r="B69" s="433">
        <v>112</v>
      </c>
      <c r="C69" s="433">
        <v>2180</v>
      </c>
      <c r="D69" s="433">
        <v>200</v>
      </c>
      <c r="E69" s="433" t="s">
        <v>70</v>
      </c>
      <c r="F69" s="434">
        <f>IFERROR((VLOOKUP(B68&amp;D69&amp;E69&amp;G69,'TB Dump'!J:K,2,FALSE)),0)</f>
        <v>-88303.84</v>
      </c>
      <c r="G69" s="435" t="s">
        <v>69</v>
      </c>
      <c r="H69" s="433"/>
      <c r="I69" s="434">
        <f>'AL&amp;Loading-2180.100&amp;2180.200'!B30</f>
        <v>-88303.84</v>
      </c>
      <c r="J69" s="434">
        <f t="shared" si="5"/>
        <v>0</v>
      </c>
      <c r="K69" s="433"/>
      <c r="L69" s="433"/>
      <c r="M69" s="433"/>
      <c r="N69" s="433"/>
      <c r="O69" s="433"/>
      <c r="P69" s="433"/>
      <c r="Q69" s="433"/>
      <c r="R69" s="433"/>
      <c r="S69" s="433"/>
      <c r="T69" s="466"/>
      <c r="U69" s="433"/>
      <c r="V69" s="433"/>
      <c r="W69" s="433"/>
    </row>
    <row r="70" spans="1:23" ht="15" customHeight="1">
      <c r="A70" s="427" t="str">
        <f t="shared" si="4"/>
        <v>Liability</v>
      </c>
      <c r="B70" s="433">
        <v>112</v>
      </c>
      <c r="C70" s="433">
        <v>2180</v>
      </c>
      <c r="D70" s="433">
        <v>300</v>
      </c>
      <c r="E70" s="433" t="s">
        <v>71</v>
      </c>
      <c r="F70" s="434">
        <f>IFERROR((VLOOKUP(B69&amp;D70&amp;E70&amp;G70,'TB Dump'!J:K,2,FALSE)),0)</f>
        <v>-487725.03</v>
      </c>
      <c r="G70" s="435" t="s">
        <v>69</v>
      </c>
      <c r="H70" s="433"/>
      <c r="I70" s="434">
        <f>'LSL-2180.300&amp;2180.400'!B12</f>
        <v>-487725.03</v>
      </c>
      <c r="J70" s="434">
        <f t="shared" si="5"/>
        <v>0</v>
      </c>
      <c r="K70" s="433"/>
      <c r="L70" s="433"/>
      <c r="M70" s="433"/>
      <c r="N70" s="433"/>
      <c r="O70" s="433"/>
      <c r="P70" s="433"/>
      <c r="Q70" s="433"/>
      <c r="R70" s="433"/>
      <c r="S70" s="433"/>
      <c r="T70" s="466"/>
      <c r="U70" s="433"/>
      <c r="V70" s="433"/>
      <c r="W70" s="433"/>
    </row>
    <row r="71" spans="1:23" ht="15" customHeight="1">
      <c r="A71" s="427" t="str">
        <f t="shared" si="4"/>
        <v>Liability</v>
      </c>
      <c r="B71" s="433">
        <v>112</v>
      </c>
      <c r="C71" s="433">
        <v>2180</v>
      </c>
      <c r="D71" s="433">
        <v>400</v>
      </c>
      <c r="E71" s="433" t="s">
        <v>72</v>
      </c>
      <c r="F71" s="434">
        <f>IFERROR((VLOOKUP(B70&amp;D71&amp;E71&amp;G71,'TB Dump'!J:K,2,FALSE)),0)</f>
        <v>-140154.12</v>
      </c>
      <c r="G71" s="435" t="s">
        <v>69</v>
      </c>
      <c r="H71" s="433"/>
      <c r="I71" s="434">
        <f>'LSL-2180.300&amp;2180.400'!B30</f>
        <v>-140154.12</v>
      </c>
      <c r="J71" s="434">
        <f t="shared" si="5"/>
        <v>0</v>
      </c>
      <c r="K71" s="433"/>
      <c r="L71" s="433"/>
      <c r="M71" s="433"/>
      <c r="N71" s="433"/>
      <c r="O71" s="433"/>
      <c r="P71" s="433"/>
      <c r="Q71" s="433"/>
      <c r="R71" s="433"/>
      <c r="S71" s="433"/>
      <c r="T71" s="466"/>
      <c r="U71" s="433"/>
      <c r="V71" s="433"/>
      <c r="W71" s="433"/>
    </row>
    <row r="72" spans="1:23" ht="15" customHeight="1">
      <c r="A72" s="427" t="str">
        <f t="shared" si="4"/>
        <v>Liability</v>
      </c>
      <c r="B72" s="433">
        <v>112</v>
      </c>
      <c r="C72" s="433">
        <v>2190</v>
      </c>
      <c r="D72" s="433">
        <v>100</v>
      </c>
      <c r="E72" s="433" t="s">
        <v>73</v>
      </c>
      <c r="F72" s="434">
        <f>IFERROR((VLOOKUP(B71&amp;D72&amp;E72&amp;G72,'TB Dump'!J:K,2,FALSE)),0)</f>
        <v>0</v>
      </c>
      <c r="G72" s="435" t="s">
        <v>74</v>
      </c>
      <c r="H72" s="433"/>
      <c r="I72" s="434">
        <f>'Bonus Provision-2190.100'!E28</f>
        <v>0</v>
      </c>
      <c r="J72" s="434">
        <f t="shared" si="5"/>
        <v>0</v>
      </c>
      <c r="K72" s="433"/>
      <c r="L72" s="433"/>
      <c r="M72" s="433"/>
      <c r="N72" s="433"/>
      <c r="O72" s="433"/>
      <c r="P72" s="433"/>
      <c r="Q72" s="433"/>
      <c r="R72" s="433"/>
      <c r="S72" s="433"/>
      <c r="T72" s="466"/>
      <c r="U72" s="433"/>
      <c r="V72" s="433"/>
      <c r="W72" s="433"/>
    </row>
    <row r="73" spans="1:23" ht="15" customHeight="1">
      <c r="A73" s="427" t="str">
        <f t="shared" si="4"/>
        <v>Liability</v>
      </c>
      <c r="B73" s="433">
        <v>112</v>
      </c>
      <c r="C73" s="433">
        <v>2210</v>
      </c>
      <c r="D73" s="433"/>
      <c r="E73" s="433" t="s">
        <v>360</v>
      </c>
      <c r="F73" s="434">
        <f>IFERROR((VLOOKUP(B72&amp;D73&amp;E73&amp;G73,'TB Dump'!J:K,2,FALSE)),0)</f>
        <v>0</v>
      </c>
      <c r="G73" s="435" t="s">
        <v>77</v>
      </c>
      <c r="H73" s="433"/>
      <c r="I73" s="434">
        <f>'Income Tax Prov-2210'!C31</f>
        <v>0</v>
      </c>
      <c r="J73" s="434">
        <f t="shared" si="5"/>
        <v>0</v>
      </c>
      <c r="K73" s="433"/>
      <c r="L73" s="433"/>
      <c r="M73" s="433"/>
      <c r="N73" s="433"/>
      <c r="O73" s="433"/>
      <c r="P73" s="433"/>
      <c r="Q73" s="433"/>
      <c r="R73" s="433"/>
      <c r="S73" s="433"/>
      <c r="T73" s="466"/>
      <c r="U73" s="433"/>
      <c r="V73" s="434"/>
      <c r="W73" s="433"/>
    </row>
    <row r="74" spans="1:23" ht="15" customHeight="1">
      <c r="A74" s="427" t="str">
        <f t="shared" si="4"/>
        <v>Liability</v>
      </c>
      <c r="B74" s="433">
        <v>112</v>
      </c>
      <c r="C74" s="433">
        <v>2220</v>
      </c>
      <c r="D74" s="433" t="s">
        <v>75</v>
      </c>
      <c r="E74" s="433" t="s">
        <v>76</v>
      </c>
      <c r="F74" s="434">
        <f>IFERROR((VLOOKUP(B73&amp;D74&amp;E74&amp;G74,'TB Dump'!J:K,2,FALSE)),0)</f>
        <v>-25543955.75</v>
      </c>
      <c r="G74" s="435" t="s">
        <v>77</v>
      </c>
      <c r="H74" s="433"/>
      <c r="I74" s="434">
        <f>'GST Clg-2220'!C11+'GST Clg-2220'!$C$21</f>
        <v>-25543955.75</v>
      </c>
      <c r="J74" s="434">
        <f t="shared" si="5"/>
        <v>0</v>
      </c>
      <c r="K74" s="433"/>
      <c r="L74" s="433"/>
      <c r="M74" s="433"/>
      <c r="N74" s="433"/>
      <c r="O74" s="433"/>
      <c r="P74" s="433"/>
      <c r="Q74" s="433"/>
      <c r="R74" s="433"/>
      <c r="S74" s="433"/>
      <c r="T74" s="466"/>
      <c r="U74" s="433"/>
      <c r="V74" s="433"/>
      <c r="W74" s="433"/>
    </row>
    <row r="75" spans="1:23" ht="15" customHeight="1">
      <c r="A75" s="427" t="str">
        <f t="shared" si="4"/>
        <v>Liability</v>
      </c>
      <c r="B75" s="433">
        <v>112</v>
      </c>
      <c r="C75" s="433">
        <v>2220</v>
      </c>
      <c r="D75" s="433" t="s">
        <v>78</v>
      </c>
      <c r="E75" s="433" t="s">
        <v>79</v>
      </c>
      <c r="F75" s="434">
        <f>IFERROR((VLOOKUP(B74&amp;D75&amp;E75&amp;G75,'TB Dump'!J:K,2,FALSE)),0)</f>
        <v>14476837.83</v>
      </c>
      <c r="G75" s="435" t="s">
        <v>77</v>
      </c>
      <c r="H75" s="433"/>
      <c r="I75" s="434">
        <f>'GST Clg-2220'!C9+'GST Clg-2220'!$C$21</f>
        <v>14476837.83</v>
      </c>
      <c r="J75" s="434">
        <f t="shared" si="5"/>
        <v>0</v>
      </c>
      <c r="K75" s="433"/>
      <c r="L75" s="433"/>
      <c r="M75" s="433"/>
      <c r="N75" s="433"/>
      <c r="O75" s="433"/>
      <c r="P75" s="433"/>
      <c r="Q75" s="433"/>
      <c r="R75" s="433"/>
      <c r="S75" s="433"/>
      <c r="T75" s="466"/>
      <c r="U75" s="433"/>
      <c r="V75" s="433"/>
      <c r="W75" s="433"/>
    </row>
    <row r="76" spans="1:23" ht="15" customHeight="1">
      <c r="A76" s="427" t="str">
        <f t="shared" si="4"/>
        <v>Liability</v>
      </c>
      <c r="B76" s="433">
        <v>112</v>
      </c>
      <c r="C76" s="433">
        <v>2220</v>
      </c>
      <c r="D76" s="433" t="s">
        <v>80</v>
      </c>
      <c r="E76" s="433" t="s">
        <v>81</v>
      </c>
      <c r="F76" s="434">
        <f>IFERROR((VLOOKUP(B75&amp;D76&amp;E76&amp;G76,'TB Dump'!J:K,2,FALSE)),0)</f>
        <v>11015395.07</v>
      </c>
      <c r="G76" s="435" t="s">
        <v>77</v>
      </c>
      <c r="H76" s="433"/>
      <c r="I76" s="434">
        <f>'GST Clg-2220'!C10+'GST Clg-2220'!$C$21</f>
        <v>11015395.07</v>
      </c>
      <c r="J76" s="434">
        <f t="shared" si="5"/>
        <v>0</v>
      </c>
      <c r="K76" s="433"/>
      <c r="L76" s="433"/>
      <c r="M76" s="433"/>
      <c r="N76" s="433"/>
      <c r="O76" s="433"/>
      <c r="P76" s="433"/>
      <c r="Q76" s="433"/>
      <c r="R76" s="433"/>
      <c r="S76" s="433"/>
      <c r="T76" s="466"/>
      <c r="U76" s="433"/>
      <c r="V76" s="433"/>
      <c r="W76" s="433"/>
    </row>
    <row r="77" spans="1:23" ht="15" customHeight="1">
      <c r="A77" s="427" t="str">
        <f t="shared" ref="A77:A83" si="6">IF(C78&lt;2000,"Asset",IF(AND(C78&gt;=2000,C78&lt;2900),"Liability",IF(AND(C78&gt;=2900,C78&lt;3000),"Equity","P&amp;L")))</f>
        <v>Liability</v>
      </c>
      <c r="B77" s="433">
        <v>112</v>
      </c>
      <c r="C77" s="433">
        <v>2260</v>
      </c>
      <c r="D77" s="433"/>
      <c r="E77" s="433" t="s">
        <v>361</v>
      </c>
      <c r="F77" s="434">
        <f>IFERROR((VLOOKUP(B76&amp;D77&amp;E77&amp;G77,'TB Dump'!J:K,2,FALSE)),0)</f>
        <v>0</v>
      </c>
      <c r="G77" s="435" t="s">
        <v>844</v>
      </c>
      <c r="H77" s="433"/>
      <c r="I77" s="434">
        <f>'PROVISION FOR LITIGATION -2260'!C22</f>
        <v>0</v>
      </c>
      <c r="J77" s="434">
        <f t="shared" si="5"/>
        <v>0</v>
      </c>
      <c r="K77" s="433"/>
      <c r="L77" s="433"/>
      <c r="M77" s="433"/>
      <c r="N77" s="433"/>
      <c r="O77" s="433"/>
      <c r="P77" s="433"/>
      <c r="Q77" s="433"/>
      <c r="R77" s="433"/>
      <c r="S77" s="433"/>
      <c r="T77" s="466"/>
      <c r="U77" s="433"/>
      <c r="V77" s="434"/>
      <c r="W77" s="433"/>
    </row>
    <row r="78" spans="1:23" ht="14.5">
      <c r="A78" s="427" t="str">
        <f t="shared" si="6"/>
        <v>Liability</v>
      </c>
      <c r="B78" s="433">
        <v>112</v>
      </c>
      <c r="C78" s="433">
        <v>2310</v>
      </c>
      <c r="D78" s="433"/>
      <c r="E78" s="433" t="s">
        <v>82</v>
      </c>
      <c r="F78" s="434">
        <f>IFERROR((VLOOKUP(B77&amp;D78&amp;E78&amp;G78,'TB Dump'!J:K,2,FALSE)),0)</f>
        <v>0.1</v>
      </c>
      <c r="G78" s="435">
        <v>487000</v>
      </c>
      <c r="H78" s="433"/>
      <c r="I78" s="434">
        <f>'Deferred Income-2310'!C22</f>
        <v>0</v>
      </c>
      <c r="J78" s="434">
        <f t="shared" si="5"/>
        <v>0.1</v>
      </c>
      <c r="K78" s="433"/>
      <c r="L78" s="433"/>
      <c r="M78" s="433"/>
      <c r="N78" s="433"/>
      <c r="O78" s="433"/>
      <c r="P78" s="433"/>
      <c r="Q78" s="433"/>
      <c r="R78" s="433"/>
      <c r="S78" s="433"/>
      <c r="T78" s="466"/>
      <c r="U78" s="433"/>
      <c r="V78" s="433"/>
      <c r="W78" s="433"/>
    </row>
    <row r="79" spans="1:23" ht="15" customHeight="1">
      <c r="A79" s="427" t="str">
        <f t="shared" si="6"/>
        <v>Liability</v>
      </c>
      <c r="B79" s="433">
        <v>112</v>
      </c>
      <c r="C79" s="433">
        <v>2330</v>
      </c>
      <c r="D79" s="433"/>
      <c r="E79" s="433" t="s">
        <v>83</v>
      </c>
      <c r="F79" s="434">
        <f>IFERROR((VLOOKUP(B78&amp;D79&amp;E79&amp;G79,'TB Dump'!J:K,2,FALSE)),0)</f>
        <v>-2316883.27</v>
      </c>
      <c r="G79" s="435">
        <v>159000</v>
      </c>
      <c r="H79" s="433"/>
      <c r="I79" s="434">
        <f>'Deferred Tax Liability-2330'!C11</f>
        <v>-2316883.2714</v>
      </c>
      <c r="J79" s="434">
        <f t="shared" si="5"/>
        <v>1.39999995008111E-3</v>
      </c>
      <c r="K79" s="433"/>
      <c r="L79" s="433"/>
      <c r="M79" s="433"/>
      <c r="N79" s="433"/>
      <c r="O79" s="433"/>
      <c r="P79" s="433"/>
      <c r="Q79" s="433"/>
      <c r="R79" s="433"/>
      <c r="S79" s="433"/>
      <c r="T79" s="466"/>
      <c r="U79" s="433"/>
      <c r="V79" s="433"/>
      <c r="W79" s="433"/>
    </row>
    <row r="80" spans="1:23" ht="15" customHeight="1">
      <c r="A80" s="427" t="str">
        <f t="shared" si="6"/>
        <v>Liability</v>
      </c>
      <c r="B80" s="433">
        <v>112</v>
      </c>
      <c r="C80" s="433">
        <v>2421</v>
      </c>
      <c r="D80" s="433"/>
      <c r="E80" s="433" t="s">
        <v>84</v>
      </c>
      <c r="F80" s="434">
        <f>IFERROR((VLOOKUP(B79&amp;D80&amp;E80&amp;G80,'TB Dump'!J:K,2,FALSE)),0)</f>
        <v>-1722457.49</v>
      </c>
      <c r="G80" s="435" t="s">
        <v>85</v>
      </c>
      <c r="H80" s="433"/>
      <c r="I80" s="434">
        <f>'EXT PAYABLE LT-OP LEASE-2421'!C11</f>
        <v>-1722458.8869564701</v>
      </c>
      <c r="J80" s="434">
        <f t="shared" si="5"/>
        <v>1.3969564700964838</v>
      </c>
      <c r="K80" s="433"/>
      <c r="L80" s="433"/>
      <c r="M80" s="433"/>
      <c r="N80" s="433"/>
      <c r="O80" s="433"/>
      <c r="P80" s="433"/>
      <c r="Q80" s="433"/>
      <c r="R80" s="433"/>
      <c r="S80" s="433"/>
      <c r="T80" s="466"/>
      <c r="U80" s="433"/>
      <c r="V80" s="433"/>
      <c r="W80" s="433"/>
    </row>
    <row r="81" spans="1:23" ht="14.25" customHeight="1">
      <c r="A81" s="427" t="str">
        <f t="shared" si="6"/>
        <v>Equity</v>
      </c>
      <c r="B81" s="433">
        <v>112</v>
      </c>
      <c r="C81" s="433">
        <v>2480</v>
      </c>
      <c r="D81" s="433"/>
      <c r="E81" s="433" t="s">
        <v>86</v>
      </c>
      <c r="F81" s="434">
        <f>IFERROR((VLOOKUP(B80&amp;D81&amp;E81&amp;G81,'TB Dump'!J:K,2,FALSE)),0)</f>
        <v>-3100000</v>
      </c>
      <c r="G81" s="435">
        <v>174000</v>
      </c>
      <c r="H81" s="433"/>
      <c r="I81" s="434">
        <f>'Group Loan-2480'!C25</f>
        <v>-3100000</v>
      </c>
      <c r="J81" s="434">
        <f t="shared" si="5"/>
        <v>0</v>
      </c>
      <c r="K81" s="433"/>
      <c r="L81" s="433"/>
      <c r="M81" s="433"/>
      <c r="N81" s="433"/>
      <c r="O81" s="433"/>
      <c r="P81" s="433"/>
      <c r="Q81" s="433"/>
      <c r="R81" s="433"/>
      <c r="S81" s="433"/>
      <c r="T81" s="466"/>
      <c r="U81" s="433"/>
      <c r="V81" s="433"/>
      <c r="W81" s="433"/>
    </row>
    <row r="82" spans="1:23" ht="15" customHeight="1">
      <c r="A82" s="427" t="str">
        <f t="shared" si="6"/>
        <v>Equity</v>
      </c>
      <c r="B82" s="433">
        <v>112</v>
      </c>
      <c r="C82" s="433">
        <v>2911</v>
      </c>
      <c r="D82" s="433"/>
      <c r="E82" s="433" t="s">
        <v>87</v>
      </c>
      <c r="F82" s="434">
        <f>IFERROR((VLOOKUP(B81&amp;D82&amp;E82&amp;G82,'TB Dump'!J:K,2,FALSE)),0)</f>
        <v>-4054883.8</v>
      </c>
      <c r="G82" s="435">
        <v>101000</v>
      </c>
      <c r="H82" s="433"/>
      <c r="I82" s="434">
        <f>'Paid Up Capital-2911'!C13</f>
        <v>-4054883.8</v>
      </c>
      <c r="J82" s="434">
        <f t="shared" si="5"/>
        <v>0</v>
      </c>
      <c r="K82" s="433"/>
      <c r="L82" s="433"/>
      <c r="M82" s="433"/>
      <c r="N82" s="433"/>
      <c r="O82" s="433"/>
      <c r="P82" s="433"/>
      <c r="Q82" s="433"/>
      <c r="R82" s="433"/>
      <c r="S82" s="433"/>
      <c r="T82" s="466"/>
      <c r="U82" s="433"/>
      <c r="V82" s="433"/>
      <c r="W82" s="433"/>
    </row>
    <row r="83" spans="1:23" ht="15" customHeight="1">
      <c r="A83" s="427" t="str">
        <f t="shared" si="6"/>
        <v>Equity</v>
      </c>
      <c r="B83" s="433">
        <v>112</v>
      </c>
      <c r="C83" s="433">
        <v>2931</v>
      </c>
      <c r="D83" s="433"/>
      <c r="E83" s="433" t="s">
        <v>88</v>
      </c>
      <c r="F83" s="434">
        <f>IFERROR((VLOOKUP(B82&amp;D83&amp;E83&amp;G83,'TB Dump'!J:K,2,FALSE)),0)</f>
        <v>-1494785.1</v>
      </c>
      <c r="G83" s="435">
        <v>106100</v>
      </c>
      <c r="H83" s="433"/>
      <c r="I83" s="434">
        <f>'Retained Earnings-2931&amp;2931.100'!C9</f>
        <v>-1494785.1</v>
      </c>
      <c r="J83" s="434">
        <f t="shared" si="5"/>
        <v>0</v>
      </c>
      <c r="K83" s="433"/>
      <c r="L83" s="433"/>
      <c r="M83" s="433"/>
      <c r="N83" s="433"/>
      <c r="O83" s="433"/>
      <c r="P83" s="433"/>
      <c r="Q83" s="433"/>
      <c r="R83" s="433"/>
      <c r="S83" s="433"/>
      <c r="T83" s="466"/>
      <c r="U83" s="433"/>
      <c r="V83" s="433"/>
      <c r="W83" s="433"/>
    </row>
    <row r="84" spans="1:23" ht="14.5">
      <c r="B84" s="433"/>
      <c r="C84" s="433">
        <v>2931</v>
      </c>
      <c r="D84" s="433">
        <v>100</v>
      </c>
      <c r="E84" s="433" t="s">
        <v>89</v>
      </c>
      <c r="F84" s="434">
        <f>IFERROR((VLOOKUP(B83&amp;D84&amp;E84&amp;G84,'TB Dump'!J:K,2,FALSE)),0)</f>
        <v>3863449.07</v>
      </c>
      <c r="G84" s="435">
        <v>106100</v>
      </c>
      <c r="H84" s="433"/>
      <c r="I84" s="434">
        <f>'Retained Earnings-2931&amp;2931.100'!C25</f>
        <v>3863449.0700000003</v>
      </c>
      <c r="J84" s="434">
        <f t="shared" si="5"/>
        <v>0</v>
      </c>
      <c r="K84" s="433"/>
      <c r="L84" s="433"/>
      <c r="M84" s="433"/>
      <c r="N84" s="433"/>
      <c r="O84" s="433"/>
      <c r="P84" s="433"/>
      <c r="Q84" s="433"/>
      <c r="R84" s="433"/>
      <c r="S84" s="433"/>
      <c r="T84" s="466"/>
      <c r="U84" s="433"/>
      <c r="V84" s="433"/>
      <c r="W84" s="433"/>
    </row>
    <row r="85" spans="1:23" ht="14.25" customHeight="1">
      <c r="B85" s="433"/>
      <c r="C85" s="433"/>
      <c r="D85" s="433"/>
      <c r="E85" s="433"/>
      <c r="F85" s="434"/>
      <c r="G85" s="435"/>
      <c r="H85" s="433"/>
      <c r="I85" s="434"/>
      <c r="J85" s="434"/>
      <c r="K85" s="433"/>
      <c r="L85" s="433"/>
      <c r="M85" s="433"/>
      <c r="N85" s="433"/>
      <c r="O85" s="433"/>
      <c r="P85" s="433"/>
      <c r="Q85" s="433"/>
      <c r="R85" s="433"/>
      <c r="S85" s="433"/>
      <c r="T85" s="466"/>
      <c r="U85" s="433"/>
      <c r="V85" s="433"/>
      <c r="W85" s="433"/>
    </row>
    <row r="86" spans="1:23" ht="15" customHeight="1">
      <c r="B86" s="433"/>
      <c r="C86" s="433"/>
      <c r="D86" s="433"/>
      <c r="E86" s="433"/>
      <c r="F86" s="434"/>
      <c r="G86" s="435"/>
      <c r="H86" s="433"/>
      <c r="I86" s="434"/>
      <c r="J86" s="434"/>
      <c r="K86" s="433"/>
      <c r="L86" s="433"/>
      <c r="M86" s="433"/>
      <c r="N86" s="433"/>
      <c r="O86" s="433"/>
      <c r="P86" s="433"/>
      <c r="Q86" s="433"/>
      <c r="R86" s="433"/>
      <c r="S86" s="433"/>
      <c r="T86" s="466"/>
      <c r="U86" s="433"/>
      <c r="V86" s="433"/>
      <c r="W86" s="433"/>
    </row>
    <row r="87" spans="1:23" ht="17.149999999999999" customHeight="1">
      <c r="B87" s="433"/>
      <c r="C87" s="433"/>
      <c r="D87" s="433"/>
      <c r="E87" s="440" t="s">
        <v>362</v>
      </c>
      <c r="F87" s="441">
        <f>SUM(F4:F86)</f>
        <v>-2038665.5699999933</v>
      </c>
      <c r="G87" s="435"/>
      <c r="H87" s="433"/>
      <c r="I87" s="434"/>
      <c r="J87" s="434"/>
      <c r="K87" s="433"/>
      <c r="L87" s="433"/>
      <c r="M87" s="433"/>
      <c r="N87" s="433"/>
      <c r="O87" s="433"/>
      <c r="P87" s="433"/>
      <c r="Q87" s="433"/>
      <c r="R87" s="433"/>
      <c r="S87" s="433"/>
      <c r="T87" s="466"/>
      <c r="U87" s="433"/>
      <c r="V87" s="433"/>
      <c r="W87" s="433"/>
    </row>
    <row r="88" spans="1:23" ht="14.5">
      <c r="B88" s="433"/>
      <c r="C88" s="433"/>
      <c r="D88" s="433"/>
      <c r="E88" s="433"/>
      <c r="F88" s="434"/>
      <c r="G88" s="435"/>
      <c r="H88" s="433"/>
      <c r="I88" s="434"/>
      <c r="J88" s="434"/>
      <c r="K88" s="433"/>
      <c r="L88" s="433"/>
      <c r="M88" s="433"/>
      <c r="N88" s="433"/>
      <c r="O88" s="433"/>
      <c r="P88" s="433"/>
      <c r="Q88" s="433"/>
      <c r="R88" s="433"/>
      <c r="S88" s="433"/>
      <c r="T88" s="466"/>
      <c r="U88" s="433"/>
      <c r="V88" s="433"/>
      <c r="W88" s="433"/>
    </row>
    <row r="89" spans="1:23" ht="15" customHeight="1">
      <c r="B89" s="433"/>
      <c r="C89" s="433"/>
      <c r="D89" s="433"/>
      <c r="E89" s="433" t="s">
        <v>363</v>
      </c>
      <c r="F89" s="434">
        <f>SUMIF('TB Dump'!A:A,'Trial Balance'!E90,'TB Dump'!E:E)-F87</f>
        <v>0</v>
      </c>
      <c r="G89" s="435"/>
      <c r="H89" s="433"/>
      <c r="I89" s="434"/>
      <c r="J89" s="434"/>
      <c r="K89" s="433"/>
      <c r="L89" s="433"/>
      <c r="M89" s="433"/>
      <c r="N89" s="433"/>
      <c r="O89" s="433"/>
      <c r="P89" s="433"/>
      <c r="Q89" s="433"/>
      <c r="R89" s="433"/>
      <c r="S89" s="433"/>
      <c r="T89" s="466"/>
      <c r="U89" s="433"/>
      <c r="V89" s="433"/>
      <c r="W89" s="433"/>
    </row>
    <row r="90" spans="1:23" ht="15" customHeight="1">
      <c r="B90" s="433"/>
      <c r="C90" s="433"/>
      <c r="D90" s="433"/>
      <c r="E90" s="442">
        <v>112</v>
      </c>
      <c r="F90" s="434"/>
      <c r="G90" s="435"/>
      <c r="H90" s="433"/>
      <c r="I90" s="434"/>
      <c r="J90" s="434"/>
      <c r="K90" s="433"/>
      <c r="L90" s="433"/>
      <c r="M90" s="433"/>
      <c r="N90" s="433"/>
      <c r="O90" s="433"/>
      <c r="P90" s="433"/>
      <c r="Q90" s="433"/>
      <c r="R90" s="433"/>
      <c r="S90" s="433"/>
      <c r="T90" s="466"/>
      <c r="U90" s="433"/>
      <c r="V90" s="433"/>
      <c r="W90" s="433"/>
    </row>
    <row r="91" spans="1:23" ht="15" customHeight="1">
      <c r="B91" s="433"/>
      <c r="C91" s="433"/>
      <c r="D91" s="433"/>
      <c r="E91" s="433"/>
      <c r="F91" s="434"/>
      <c r="G91" s="435"/>
      <c r="H91" s="433"/>
      <c r="I91" s="434"/>
      <c r="J91" s="434"/>
      <c r="K91" s="433"/>
      <c r="L91" s="433"/>
      <c r="M91" s="433"/>
      <c r="N91" s="433"/>
      <c r="O91" s="433"/>
      <c r="P91" s="433"/>
      <c r="Q91" s="433"/>
      <c r="R91" s="433"/>
      <c r="S91" s="433"/>
      <c r="T91" s="466"/>
      <c r="U91" s="433"/>
      <c r="V91" s="433"/>
      <c r="W91" s="433"/>
    </row>
    <row r="92" spans="1:23" ht="15" customHeight="1">
      <c r="B92" s="433"/>
      <c r="C92" s="433"/>
      <c r="D92" s="433"/>
      <c r="E92" s="433"/>
      <c r="F92" s="434"/>
      <c r="G92" s="435"/>
      <c r="H92" s="433"/>
      <c r="I92" s="434"/>
      <c r="J92" s="434"/>
      <c r="K92" s="433"/>
      <c r="L92" s="433"/>
      <c r="M92" s="433"/>
      <c r="N92" s="433"/>
      <c r="O92" s="433"/>
      <c r="P92" s="433"/>
      <c r="Q92" s="433"/>
      <c r="R92" s="433"/>
      <c r="S92" s="433"/>
      <c r="T92" s="466"/>
      <c r="U92" s="433"/>
      <c r="V92" s="433"/>
      <c r="W92" s="433"/>
    </row>
    <row r="93" spans="1:23" ht="15" customHeight="1">
      <c r="B93" s="433"/>
      <c r="C93" s="433"/>
      <c r="D93" s="433"/>
      <c r="E93" s="433"/>
      <c r="F93" s="434"/>
      <c r="G93" s="435"/>
      <c r="H93" s="433"/>
      <c r="I93" s="434"/>
      <c r="J93" s="434"/>
      <c r="K93" s="433"/>
      <c r="L93" s="433"/>
      <c r="M93" s="433"/>
      <c r="N93" s="433"/>
      <c r="O93" s="433"/>
      <c r="P93" s="433"/>
      <c r="Q93" s="433"/>
      <c r="R93" s="433"/>
      <c r="S93" s="433"/>
      <c r="T93" s="466"/>
      <c r="U93" s="433"/>
      <c r="V93" s="433"/>
      <c r="W93" s="433"/>
    </row>
    <row r="94" spans="1:23" ht="15" customHeight="1">
      <c r="B94" s="433"/>
      <c r="C94" s="433"/>
      <c r="D94" s="433"/>
      <c r="E94" s="433"/>
      <c r="F94" s="434"/>
      <c r="G94" s="435"/>
      <c r="H94" s="433"/>
      <c r="I94" s="434"/>
      <c r="J94" s="434"/>
      <c r="K94" s="433"/>
      <c r="L94" s="433"/>
      <c r="M94" s="433"/>
      <c r="N94" s="433"/>
      <c r="O94" s="433"/>
      <c r="P94" s="433"/>
      <c r="Q94" s="433"/>
      <c r="R94" s="433"/>
      <c r="S94" s="433"/>
      <c r="T94" s="466"/>
      <c r="U94" s="433"/>
      <c r="V94" s="433"/>
      <c r="W94" s="433"/>
    </row>
    <row r="95" spans="1:23" ht="15" customHeight="1">
      <c r="B95" s="433"/>
      <c r="C95" s="433"/>
      <c r="D95" s="433"/>
      <c r="E95" s="433"/>
      <c r="F95" s="434"/>
      <c r="G95" s="435"/>
      <c r="H95" s="433"/>
      <c r="I95" s="434"/>
      <c r="J95" s="434"/>
      <c r="K95" s="433"/>
      <c r="L95" s="433"/>
      <c r="M95" s="433"/>
      <c r="N95" s="433"/>
      <c r="O95" s="433"/>
      <c r="P95" s="433"/>
      <c r="Q95" s="433"/>
      <c r="R95" s="433"/>
      <c r="S95" s="433"/>
      <c r="T95" s="466"/>
      <c r="U95" s="433"/>
      <c r="V95" s="433"/>
      <c r="W95" s="433"/>
    </row>
    <row r="96" spans="1:23" ht="15" customHeight="1">
      <c r="B96" s="433"/>
      <c r="C96" s="433"/>
      <c r="D96" s="433"/>
      <c r="E96" s="433"/>
      <c r="F96" s="434"/>
      <c r="G96" s="435"/>
      <c r="H96" s="433"/>
      <c r="I96" s="434"/>
      <c r="J96" s="434"/>
      <c r="K96" s="433"/>
      <c r="L96" s="433"/>
      <c r="M96" s="433"/>
      <c r="N96" s="433"/>
      <c r="O96" s="433"/>
      <c r="P96" s="433"/>
      <c r="Q96" s="433"/>
      <c r="R96" s="433"/>
      <c r="S96" s="433"/>
      <c r="T96" s="466"/>
      <c r="U96" s="433"/>
      <c r="V96" s="433"/>
      <c r="W96" s="433"/>
    </row>
    <row r="97" spans="2:23" ht="15" customHeight="1">
      <c r="B97" s="433"/>
      <c r="C97" s="433"/>
      <c r="D97" s="433"/>
      <c r="E97" s="433"/>
      <c r="F97" s="434"/>
      <c r="G97" s="435"/>
      <c r="H97" s="433"/>
      <c r="I97" s="434"/>
      <c r="J97" s="434"/>
      <c r="K97" s="433"/>
      <c r="L97" s="433"/>
      <c r="M97" s="433"/>
      <c r="N97" s="433"/>
      <c r="O97" s="433"/>
      <c r="P97" s="433"/>
      <c r="Q97" s="433"/>
      <c r="R97" s="433"/>
      <c r="S97" s="433"/>
      <c r="T97" s="466"/>
      <c r="U97" s="433"/>
      <c r="V97" s="433"/>
      <c r="W97" s="433"/>
    </row>
    <row r="98" spans="2:23" ht="15" customHeight="1">
      <c r="B98" s="433"/>
      <c r="C98" s="433"/>
      <c r="D98" s="433"/>
      <c r="E98" s="433"/>
      <c r="F98" s="434"/>
      <c r="G98" s="435"/>
      <c r="H98" s="433"/>
      <c r="I98" s="434"/>
      <c r="J98" s="434"/>
      <c r="K98" s="433"/>
      <c r="L98" s="433"/>
      <c r="M98" s="433"/>
      <c r="N98" s="433"/>
      <c r="O98" s="433"/>
      <c r="P98" s="433"/>
      <c r="Q98" s="433"/>
      <c r="R98" s="433"/>
      <c r="S98" s="433"/>
      <c r="T98" s="466"/>
      <c r="U98" s="433"/>
      <c r="V98" s="433"/>
      <c r="W98" s="433"/>
    </row>
    <row r="99" spans="2:23" ht="15" customHeight="1">
      <c r="B99" s="433"/>
      <c r="C99" s="433"/>
      <c r="D99" s="433"/>
      <c r="E99" s="433"/>
      <c r="F99" s="434"/>
      <c r="G99" s="435"/>
      <c r="H99" s="433"/>
      <c r="I99" s="434"/>
      <c r="J99" s="434"/>
      <c r="K99" s="433"/>
      <c r="L99" s="433"/>
      <c r="M99" s="433"/>
      <c r="N99" s="433"/>
      <c r="O99" s="433"/>
      <c r="P99" s="433"/>
      <c r="Q99" s="433"/>
      <c r="R99" s="433"/>
      <c r="S99" s="433"/>
      <c r="T99" s="466"/>
      <c r="U99" s="433"/>
      <c r="V99" s="433"/>
      <c r="W99" s="433"/>
    </row>
    <row r="100" spans="2:23" ht="15" customHeight="1">
      <c r="B100" s="433"/>
      <c r="C100" s="433"/>
      <c r="D100" s="433"/>
      <c r="E100" s="433"/>
      <c r="F100" s="434"/>
      <c r="G100" s="435"/>
      <c r="H100" s="433"/>
      <c r="I100" s="434"/>
      <c r="J100" s="434"/>
      <c r="K100" s="433"/>
      <c r="L100" s="433"/>
      <c r="M100" s="433"/>
      <c r="N100" s="433"/>
      <c r="O100" s="433"/>
      <c r="P100" s="433"/>
      <c r="Q100" s="433"/>
      <c r="R100" s="433"/>
      <c r="S100" s="433"/>
      <c r="T100" s="466"/>
      <c r="U100" s="433"/>
      <c r="V100" s="433"/>
      <c r="W100" s="433"/>
    </row>
    <row r="101" spans="2:23" ht="15" customHeight="1">
      <c r="B101" s="433"/>
      <c r="C101" s="433"/>
      <c r="D101" s="433"/>
      <c r="E101" s="433"/>
      <c r="F101" s="434"/>
      <c r="G101" s="435"/>
      <c r="H101" s="433"/>
      <c r="I101" s="434"/>
      <c r="J101" s="434"/>
      <c r="K101" s="433"/>
      <c r="L101" s="433"/>
      <c r="M101" s="433"/>
      <c r="N101" s="433"/>
      <c r="O101" s="433"/>
      <c r="P101" s="433"/>
      <c r="Q101" s="433"/>
      <c r="R101" s="433"/>
      <c r="S101" s="433"/>
      <c r="T101" s="466"/>
      <c r="U101" s="433"/>
      <c r="V101" s="433"/>
      <c r="W101" s="433"/>
    </row>
    <row r="102" spans="2:23" ht="15" customHeight="1">
      <c r="B102" s="433"/>
      <c r="C102" s="433"/>
      <c r="D102" s="433"/>
      <c r="E102" s="433"/>
      <c r="F102" s="434"/>
      <c r="G102" s="435"/>
      <c r="H102" s="433"/>
      <c r="I102" s="434"/>
      <c r="J102" s="434"/>
      <c r="K102" s="433"/>
      <c r="L102" s="433"/>
      <c r="M102" s="433"/>
      <c r="N102" s="433"/>
      <c r="O102" s="433"/>
      <c r="P102" s="433"/>
      <c r="Q102" s="433"/>
      <c r="R102" s="433"/>
      <c r="S102" s="433"/>
      <c r="T102" s="466"/>
      <c r="U102" s="433"/>
      <c r="V102" s="433"/>
      <c r="W102" s="433"/>
    </row>
    <row r="103" spans="2:23" ht="15" customHeight="1">
      <c r="B103" s="433"/>
      <c r="C103" s="433"/>
      <c r="D103" s="433"/>
      <c r="E103" s="433"/>
      <c r="F103" s="434"/>
      <c r="G103" s="435"/>
      <c r="H103" s="433"/>
      <c r="I103" s="434"/>
      <c r="J103" s="434"/>
      <c r="K103" s="433"/>
      <c r="L103" s="433"/>
      <c r="M103" s="433"/>
      <c r="N103" s="433"/>
      <c r="O103" s="433"/>
      <c r="P103" s="433"/>
      <c r="Q103" s="433"/>
      <c r="R103" s="433"/>
      <c r="S103" s="433"/>
      <c r="T103" s="466"/>
      <c r="U103" s="433"/>
      <c r="V103" s="433"/>
      <c r="W103" s="433"/>
    </row>
    <row r="104" spans="2:23" ht="15" customHeight="1">
      <c r="B104" s="433"/>
      <c r="C104" s="433"/>
      <c r="D104" s="433"/>
      <c r="E104" s="433"/>
      <c r="F104" s="434"/>
      <c r="G104" s="435"/>
      <c r="H104" s="433"/>
      <c r="I104" s="434"/>
      <c r="J104" s="434"/>
      <c r="K104" s="433"/>
      <c r="L104" s="433"/>
      <c r="M104" s="433"/>
      <c r="N104" s="433"/>
      <c r="O104" s="433"/>
      <c r="P104" s="433"/>
      <c r="Q104" s="433"/>
      <c r="R104" s="433"/>
      <c r="S104" s="433"/>
      <c r="T104" s="466"/>
      <c r="U104" s="433"/>
      <c r="V104" s="433"/>
      <c r="W104" s="433"/>
    </row>
    <row r="105" spans="2:23" ht="15" customHeight="1">
      <c r="B105" s="433"/>
      <c r="C105" s="433"/>
      <c r="D105" s="433"/>
      <c r="E105" s="433"/>
      <c r="F105" s="434"/>
      <c r="G105" s="435"/>
      <c r="H105" s="433"/>
      <c r="I105" s="434"/>
      <c r="J105" s="434"/>
      <c r="K105" s="433"/>
      <c r="L105" s="433"/>
      <c r="M105" s="433"/>
      <c r="N105" s="433"/>
      <c r="O105" s="433"/>
      <c r="P105" s="433"/>
      <c r="Q105" s="433"/>
      <c r="R105" s="433"/>
      <c r="S105" s="433"/>
      <c r="T105" s="466"/>
      <c r="U105" s="433"/>
      <c r="V105" s="433"/>
      <c r="W105" s="433"/>
    </row>
    <row r="106" spans="2:23" ht="15" customHeight="1">
      <c r="B106" s="433"/>
      <c r="C106" s="433"/>
      <c r="D106" s="433"/>
      <c r="E106" s="433"/>
      <c r="F106" s="434"/>
      <c r="G106" s="435"/>
      <c r="H106" s="433"/>
      <c r="I106" s="434"/>
      <c r="J106" s="434"/>
      <c r="K106" s="433"/>
      <c r="L106" s="433"/>
      <c r="M106" s="433"/>
      <c r="N106" s="433"/>
      <c r="O106" s="433"/>
      <c r="P106" s="433"/>
      <c r="Q106" s="433"/>
      <c r="R106" s="433"/>
      <c r="S106" s="433"/>
      <c r="T106" s="466"/>
      <c r="U106" s="433"/>
      <c r="V106" s="433"/>
      <c r="W106" s="433"/>
    </row>
    <row r="107" spans="2:23" ht="15" customHeight="1">
      <c r="B107" s="433"/>
      <c r="C107" s="433"/>
      <c r="D107" s="433"/>
      <c r="E107" s="433"/>
      <c r="F107" s="434"/>
      <c r="G107" s="435"/>
      <c r="H107" s="433"/>
      <c r="I107" s="434"/>
      <c r="J107" s="434"/>
      <c r="K107" s="433"/>
      <c r="L107" s="433"/>
      <c r="M107" s="433"/>
      <c r="N107" s="433"/>
      <c r="O107" s="433"/>
      <c r="P107" s="433"/>
      <c r="Q107" s="433"/>
      <c r="R107" s="433"/>
      <c r="S107" s="433"/>
      <c r="T107" s="466"/>
      <c r="U107" s="433"/>
      <c r="V107" s="433"/>
      <c r="W107" s="433"/>
    </row>
    <row r="108" spans="2:23" ht="15" customHeight="1">
      <c r="B108" s="433"/>
      <c r="C108" s="433"/>
      <c r="D108" s="433"/>
      <c r="E108" s="433"/>
      <c r="F108" s="434"/>
      <c r="G108" s="435"/>
      <c r="H108" s="433"/>
      <c r="I108" s="434"/>
      <c r="J108" s="434"/>
      <c r="K108" s="433"/>
      <c r="L108" s="433"/>
      <c r="M108" s="433"/>
      <c r="N108" s="433"/>
      <c r="O108" s="433"/>
      <c r="P108" s="433"/>
      <c r="Q108" s="433"/>
      <c r="R108" s="433"/>
      <c r="S108" s="433"/>
      <c r="T108" s="466"/>
      <c r="U108" s="433"/>
      <c r="V108" s="433"/>
      <c r="W108" s="433"/>
    </row>
    <row r="109" spans="2:23" ht="15" customHeight="1">
      <c r="B109" s="433"/>
      <c r="C109" s="433"/>
      <c r="D109" s="433"/>
      <c r="E109" s="433"/>
      <c r="F109" s="434"/>
      <c r="G109" s="435"/>
      <c r="H109" s="433"/>
      <c r="I109" s="434"/>
      <c r="J109" s="434"/>
      <c r="K109" s="433"/>
      <c r="L109" s="433"/>
      <c r="M109" s="433"/>
      <c r="N109" s="433"/>
      <c r="O109" s="433"/>
      <c r="P109" s="433"/>
      <c r="Q109" s="433"/>
      <c r="R109" s="433"/>
      <c r="S109" s="433"/>
      <c r="T109" s="466"/>
      <c r="U109" s="433"/>
      <c r="V109" s="433"/>
      <c r="W109" s="433"/>
    </row>
    <row r="110" spans="2:23" ht="15" customHeight="1">
      <c r="B110" s="433"/>
      <c r="C110" s="433"/>
      <c r="D110" s="433"/>
      <c r="E110" s="433"/>
      <c r="F110" s="434"/>
      <c r="G110" s="435"/>
      <c r="H110" s="433"/>
      <c r="I110" s="434"/>
      <c r="J110" s="434"/>
      <c r="K110" s="433"/>
      <c r="L110" s="433"/>
      <c r="M110" s="433"/>
      <c r="N110" s="433"/>
      <c r="O110" s="433"/>
      <c r="P110" s="433"/>
      <c r="Q110" s="433"/>
      <c r="R110" s="433"/>
      <c r="S110" s="433"/>
      <c r="T110" s="466"/>
      <c r="U110" s="433"/>
      <c r="V110" s="433"/>
      <c r="W110" s="433"/>
    </row>
    <row r="111" spans="2:23" ht="15" customHeight="1">
      <c r="B111" s="433"/>
      <c r="C111" s="433"/>
      <c r="D111" s="433"/>
      <c r="E111" s="433"/>
      <c r="F111" s="434"/>
      <c r="G111" s="435"/>
      <c r="H111" s="433"/>
      <c r="I111" s="434"/>
      <c r="J111" s="434"/>
      <c r="K111" s="433"/>
      <c r="L111" s="433"/>
      <c r="M111" s="433"/>
      <c r="N111" s="433"/>
      <c r="O111" s="433"/>
      <c r="P111" s="433"/>
      <c r="Q111" s="433"/>
      <c r="R111" s="433"/>
      <c r="S111" s="433"/>
      <c r="T111" s="466"/>
      <c r="U111" s="433"/>
      <c r="V111" s="433"/>
      <c r="W111" s="433"/>
    </row>
    <row r="112" spans="2:23" ht="15" customHeight="1">
      <c r="B112" s="433"/>
      <c r="C112" s="433"/>
      <c r="D112" s="433"/>
      <c r="E112" s="433"/>
      <c r="F112" s="434"/>
      <c r="G112" s="435"/>
      <c r="H112" s="433"/>
      <c r="I112" s="434"/>
      <c r="J112" s="434"/>
      <c r="K112" s="433"/>
      <c r="L112" s="433"/>
      <c r="M112" s="433"/>
      <c r="N112" s="433"/>
      <c r="O112" s="433"/>
      <c r="P112" s="433"/>
      <c r="Q112" s="433"/>
      <c r="R112" s="433"/>
      <c r="S112" s="433"/>
      <c r="T112" s="466"/>
      <c r="U112" s="433"/>
      <c r="V112" s="433"/>
      <c r="W112" s="433"/>
    </row>
    <row r="113" spans="2:23" ht="14.5">
      <c r="B113" s="433"/>
      <c r="C113" s="433"/>
      <c r="D113" s="433"/>
      <c r="E113" s="433"/>
      <c r="F113" s="434"/>
      <c r="G113" s="435"/>
      <c r="H113" s="433"/>
      <c r="I113" s="434"/>
      <c r="J113" s="434"/>
      <c r="K113" s="433"/>
      <c r="L113" s="433"/>
      <c r="M113" s="433"/>
      <c r="N113" s="433"/>
      <c r="O113" s="433"/>
      <c r="P113" s="433"/>
      <c r="Q113" s="433"/>
      <c r="R113" s="433"/>
      <c r="S113" s="433"/>
      <c r="T113" s="466"/>
      <c r="U113" s="433"/>
      <c r="V113" s="433"/>
      <c r="W113" s="433"/>
    </row>
    <row r="114" spans="2:23" ht="15" customHeight="1">
      <c r="B114" s="433"/>
      <c r="C114" s="433"/>
      <c r="D114" s="433"/>
      <c r="E114" s="433"/>
      <c r="F114" s="434"/>
      <c r="G114" s="435"/>
      <c r="H114" s="433"/>
      <c r="I114" s="434"/>
      <c r="J114" s="434"/>
      <c r="K114" s="433"/>
      <c r="L114" s="433"/>
      <c r="M114" s="433"/>
      <c r="N114" s="433"/>
      <c r="O114" s="433"/>
      <c r="P114" s="433"/>
      <c r="Q114" s="433"/>
      <c r="R114" s="433"/>
      <c r="S114" s="433"/>
      <c r="T114" s="466"/>
      <c r="U114" s="433"/>
      <c r="V114" s="433"/>
      <c r="W114" s="433"/>
    </row>
    <row r="115" spans="2:23" ht="15" customHeight="1">
      <c r="B115" s="433"/>
      <c r="C115" s="433"/>
      <c r="D115" s="433"/>
      <c r="E115" s="433"/>
      <c r="F115" s="434"/>
      <c r="G115" s="435"/>
      <c r="H115" s="433"/>
      <c r="I115" s="434"/>
      <c r="J115" s="434"/>
      <c r="K115" s="433"/>
      <c r="L115" s="433"/>
      <c r="M115" s="433"/>
      <c r="N115" s="433"/>
      <c r="O115" s="433"/>
      <c r="P115" s="433"/>
      <c r="Q115" s="433"/>
      <c r="R115" s="433"/>
      <c r="S115" s="433"/>
      <c r="T115" s="466"/>
      <c r="U115" s="433"/>
      <c r="V115" s="433"/>
      <c r="W115" s="433"/>
    </row>
    <row r="116" spans="2:23" ht="15" customHeight="1">
      <c r="B116" s="433"/>
      <c r="C116" s="433"/>
      <c r="D116" s="433"/>
      <c r="E116" s="433"/>
      <c r="F116" s="434"/>
      <c r="G116" s="435"/>
      <c r="H116" s="433"/>
      <c r="I116" s="434"/>
      <c r="J116" s="434"/>
      <c r="K116" s="433"/>
      <c r="L116" s="433"/>
      <c r="M116" s="433"/>
      <c r="N116" s="433"/>
      <c r="O116" s="433"/>
      <c r="P116" s="433"/>
      <c r="Q116" s="433"/>
      <c r="R116" s="433"/>
      <c r="S116" s="433"/>
      <c r="T116" s="466"/>
      <c r="U116" s="433"/>
      <c r="V116" s="433"/>
      <c r="W116" s="433"/>
    </row>
    <row r="117" spans="2:23" ht="15" customHeight="1">
      <c r="B117" s="433"/>
      <c r="C117" s="433"/>
      <c r="D117" s="433"/>
      <c r="E117" s="433"/>
      <c r="F117" s="434"/>
      <c r="G117" s="435"/>
      <c r="H117" s="433"/>
      <c r="I117" s="434"/>
      <c r="J117" s="434"/>
      <c r="K117" s="433"/>
      <c r="L117" s="433"/>
      <c r="M117" s="433"/>
      <c r="N117" s="433"/>
      <c r="O117" s="433"/>
      <c r="P117" s="433"/>
      <c r="Q117" s="433"/>
      <c r="R117" s="433"/>
      <c r="S117" s="433"/>
      <c r="T117" s="466"/>
      <c r="U117" s="433"/>
      <c r="V117" s="433"/>
      <c r="W117" s="433"/>
    </row>
    <row r="118" spans="2:23" ht="15" customHeight="1">
      <c r="B118" s="433"/>
      <c r="C118" s="433"/>
      <c r="D118" s="433"/>
      <c r="E118" s="433"/>
      <c r="F118" s="434"/>
      <c r="G118" s="435"/>
      <c r="H118" s="433"/>
      <c r="I118" s="434"/>
      <c r="J118" s="434"/>
      <c r="K118" s="433"/>
      <c r="L118" s="433"/>
      <c r="M118" s="433"/>
      <c r="N118" s="433"/>
      <c r="O118" s="433"/>
      <c r="P118" s="433"/>
      <c r="Q118" s="433"/>
      <c r="R118" s="433"/>
      <c r="S118" s="433"/>
      <c r="T118" s="466"/>
      <c r="U118" s="433"/>
      <c r="V118" s="433"/>
      <c r="W118" s="433"/>
    </row>
    <row r="119" spans="2:23" ht="15" customHeight="1">
      <c r="B119" s="433"/>
      <c r="C119" s="433"/>
      <c r="D119" s="433"/>
      <c r="E119" s="433"/>
      <c r="F119" s="434"/>
      <c r="G119" s="435"/>
      <c r="H119" s="433"/>
      <c r="I119" s="434"/>
      <c r="J119" s="434"/>
      <c r="K119" s="433"/>
      <c r="L119" s="433"/>
      <c r="M119" s="433"/>
      <c r="N119" s="433"/>
      <c r="O119" s="433"/>
      <c r="P119" s="433"/>
      <c r="Q119" s="433"/>
      <c r="R119" s="433"/>
      <c r="S119" s="433"/>
      <c r="T119" s="466"/>
      <c r="U119" s="433"/>
      <c r="V119" s="433"/>
      <c r="W119" s="433"/>
    </row>
    <row r="120" spans="2:23" ht="15" customHeight="1">
      <c r="B120" s="433"/>
      <c r="C120" s="433"/>
      <c r="D120" s="433"/>
      <c r="E120" s="433"/>
      <c r="F120" s="434"/>
      <c r="G120" s="435"/>
      <c r="H120" s="433"/>
      <c r="I120" s="434"/>
      <c r="J120" s="434"/>
      <c r="K120" s="433"/>
      <c r="L120" s="433"/>
      <c r="M120" s="433"/>
      <c r="N120" s="433"/>
      <c r="O120" s="433"/>
      <c r="P120" s="433"/>
      <c r="Q120" s="433"/>
      <c r="R120" s="433"/>
      <c r="S120" s="433"/>
      <c r="T120" s="466"/>
      <c r="U120" s="433"/>
      <c r="V120" s="433"/>
      <c r="W120" s="433"/>
    </row>
    <row r="121" spans="2:23" ht="15" customHeight="1">
      <c r="B121" s="433"/>
      <c r="C121" s="433"/>
      <c r="D121" s="433"/>
      <c r="E121" s="433"/>
      <c r="F121" s="434"/>
      <c r="G121" s="435"/>
      <c r="H121" s="433"/>
      <c r="I121" s="434"/>
      <c r="J121" s="434"/>
      <c r="K121" s="433"/>
      <c r="L121" s="433"/>
      <c r="M121" s="433"/>
      <c r="N121" s="433"/>
      <c r="O121" s="433"/>
      <c r="P121" s="433"/>
      <c r="Q121" s="433"/>
      <c r="R121" s="433"/>
      <c r="S121" s="433"/>
      <c r="T121" s="466"/>
      <c r="U121" s="433"/>
      <c r="V121" s="433"/>
      <c r="W121" s="433"/>
    </row>
    <row r="122" spans="2:23" ht="15" customHeight="1">
      <c r="B122" s="433"/>
      <c r="C122" s="433"/>
      <c r="D122" s="433"/>
      <c r="E122" s="433"/>
      <c r="F122" s="434"/>
      <c r="G122" s="435"/>
      <c r="H122" s="433"/>
      <c r="I122" s="434"/>
      <c r="J122" s="434"/>
      <c r="K122" s="433"/>
      <c r="L122" s="433"/>
      <c r="M122" s="433"/>
      <c r="N122" s="433"/>
      <c r="O122" s="433"/>
      <c r="P122" s="433"/>
      <c r="Q122" s="433"/>
      <c r="R122" s="433"/>
      <c r="S122" s="433"/>
      <c r="T122" s="466"/>
      <c r="U122" s="433"/>
      <c r="V122" s="433"/>
      <c r="W122" s="433"/>
    </row>
    <row r="123" spans="2:23" ht="15" customHeight="1">
      <c r="B123" s="433"/>
      <c r="C123" s="433"/>
      <c r="D123" s="433"/>
      <c r="E123" s="433"/>
      <c r="F123" s="434"/>
      <c r="G123" s="435"/>
      <c r="H123" s="433"/>
      <c r="I123" s="434"/>
      <c r="J123" s="434"/>
      <c r="K123" s="433"/>
      <c r="L123" s="433"/>
      <c r="M123" s="433"/>
      <c r="N123" s="433"/>
      <c r="O123" s="433"/>
      <c r="P123" s="433"/>
      <c r="Q123" s="433"/>
      <c r="R123" s="433"/>
      <c r="S123" s="433"/>
      <c r="T123" s="466"/>
      <c r="U123" s="433"/>
      <c r="V123" s="433"/>
      <c r="W123" s="433"/>
    </row>
    <row r="124" spans="2:23" ht="15" customHeight="1">
      <c r="B124" s="433"/>
      <c r="C124" s="433"/>
      <c r="D124" s="433"/>
      <c r="E124" s="433"/>
      <c r="F124" s="434"/>
      <c r="G124" s="435"/>
      <c r="H124" s="433"/>
      <c r="I124" s="434"/>
      <c r="J124" s="434"/>
      <c r="K124" s="433"/>
      <c r="L124" s="433"/>
      <c r="M124" s="433"/>
      <c r="N124" s="433"/>
      <c r="O124" s="433"/>
      <c r="P124" s="433"/>
      <c r="Q124" s="433"/>
      <c r="R124" s="433"/>
      <c r="S124" s="433"/>
      <c r="T124" s="466"/>
      <c r="U124" s="433"/>
      <c r="V124" s="433"/>
      <c r="W124" s="433"/>
    </row>
    <row r="125" spans="2:23" ht="15" customHeight="1">
      <c r="B125" s="433"/>
      <c r="C125" s="433"/>
      <c r="D125" s="433"/>
      <c r="E125" s="433"/>
      <c r="F125" s="434"/>
      <c r="G125" s="435"/>
      <c r="H125" s="433"/>
      <c r="I125" s="434"/>
      <c r="J125" s="434"/>
      <c r="K125" s="433"/>
      <c r="L125" s="433"/>
      <c r="M125" s="433"/>
      <c r="N125" s="433"/>
      <c r="O125" s="433"/>
      <c r="P125" s="433"/>
      <c r="Q125" s="433"/>
      <c r="R125" s="433"/>
      <c r="S125" s="433"/>
      <c r="T125" s="466"/>
      <c r="U125" s="433"/>
      <c r="V125" s="433"/>
      <c r="W125" s="433"/>
    </row>
    <row r="126" spans="2:23" ht="15" customHeight="1">
      <c r="B126" s="433"/>
      <c r="C126" s="433"/>
      <c r="D126" s="433"/>
      <c r="E126" s="433"/>
      <c r="F126" s="434"/>
      <c r="G126" s="435"/>
      <c r="H126" s="433"/>
      <c r="I126" s="434"/>
      <c r="J126" s="434"/>
      <c r="K126" s="433"/>
      <c r="L126" s="433"/>
      <c r="M126" s="433"/>
      <c r="N126" s="433"/>
      <c r="O126" s="433"/>
      <c r="P126" s="433"/>
      <c r="Q126" s="433"/>
      <c r="R126" s="433"/>
      <c r="S126" s="433"/>
      <c r="T126" s="466"/>
      <c r="U126" s="433"/>
      <c r="V126" s="433"/>
      <c r="W126" s="433"/>
    </row>
    <row r="127" spans="2:23" ht="15" customHeight="1">
      <c r="B127" s="433"/>
      <c r="C127" s="433"/>
      <c r="D127" s="433"/>
      <c r="E127" s="433"/>
      <c r="F127" s="434"/>
      <c r="G127" s="435"/>
      <c r="H127" s="433"/>
      <c r="I127" s="434"/>
      <c r="J127" s="434"/>
      <c r="K127" s="433"/>
      <c r="L127" s="433"/>
      <c r="M127" s="433"/>
      <c r="N127" s="433"/>
      <c r="O127" s="433"/>
      <c r="P127" s="433"/>
      <c r="Q127" s="433"/>
      <c r="R127" s="433"/>
      <c r="S127" s="433"/>
      <c r="T127" s="466"/>
      <c r="U127" s="433"/>
      <c r="V127" s="433"/>
      <c r="W127" s="433"/>
    </row>
    <row r="128" spans="2:23" ht="15" customHeight="1">
      <c r="B128" s="433"/>
      <c r="C128" s="433"/>
      <c r="D128" s="433"/>
      <c r="E128" s="433"/>
      <c r="F128" s="434"/>
      <c r="G128" s="435"/>
      <c r="H128" s="433"/>
      <c r="I128" s="434"/>
      <c r="J128" s="434"/>
      <c r="K128" s="433"/>
      <c r="L128" s="433"/>
      <c r="M128" s="433"/>
      <c r="N128" s="433"/>
      <c r="O128" s="433"/>
      <c r="P128" s="433"/>
      <c r="Q128" s="433"/>
      <c r="R128" s="433"/>
      <c r="S128" s="433"/>
      <c r="T128" s="466"/>
      <c r="U128" s="433"/>
      <c r="V128" s="433"/>
      <c r="W128" s="433"/>
    </row>
    <row r="129" spans="2:23" ht="15" customHeight="1">
      <c r="B129" s="433"/>
      <c r="C129" s="433"/>
      <c r="D129" s="433"/>
      <c r="E129" s="433"/>
      <c r="F129" s="434"/>
      <c r="G129" s="435"/>
      <c r="H129" s="433"/>
      <c r="I129" s="434"/>
      <c r="J129" s="434"/>
      <c r="K129" s="433"/>
      <c r="L129" s="433"/>
      <c r="M129" s="433"/>
      <c r="N129" s="433"/>
      <c r="O129" s="433"/>
      <c r="P129" s="433"/>
      <c r="Q129" s="433"/>
      <c r="R129" s="433"/>
      <c r="S129" s="433"/>
      <c r="T129" s="466"/>
      <c r="U129" s="433"/>
      <c r="V129" s="433"/>
      <c r="W129" s="433"/>
    </row>
    <row r="130" spans="2:23" ht="15" customHeight="1">
      <c r="B130" s="433"/>
      <c r="C130" s="433"/>
      <c r="D130" s="433"/>
      <c r="E130" s="433"/>
      <c r="F130" s="434"/>
      <c r="G130" s="435"/>
      <c r="H130" s="433"/>
      <c r="I130" s="434"/>
      <c r="J130" s="434"/>
      <c r="K130" s="433"/>
      <c r="L130" s="433"/>
      <c r="M130" s="433"/>
      <c r="N130" s="433"/>
      <c r="O130" s="433"/>
      <c r="P130" s="433"/>
      <c r="Q130" s="433"/>
      <c r="R130" s="433"/>
      <c r="S130" s="433"/>
      <c r="T130" s="466"/>
      <c r="U130" s="433"/>
      <c r="V130" s="433"/>
      <c r="W130" s="433"/>
    </row>
    <row r="131" spans="2:23" ht="15" customHeight="1">
      <c r="B131" s="433"/>
      <c r="C131" s="433"/>
      <c r="D131" s="433"/>
      <c r="E131" s="433"/>
      <c r="F131" s="434"/>
      <c r="G131" s="435"/>
      <c r="H131" s="433"/>
      <c r="I131" s="434"/>
      <c r="J131" s="434"/>
      <c r="K131" s="433"/>
      <c r="L131" s="433"/>
      <c r="M131" s="433"/>
      <c r="N131" s="433"/>
      <c r="O131" s="433"/>
      <c r="P131" s="433"/>
      <c r="Q131" s="433"/>
      <c r="R131" s="433"/>
      <c r="S131" s="433"/>
      <c r="T131" s="466"/>
      <c r="U131" s="433"/>
      <c r="V131" s="433"/>
      <c r="W131" s="433"/>
    </row>
    <row r="132" spans="2:23" ht="15" customHeight="1">
      <c r="B132" s="433"/>
      <c r="C132" s="433"/>
      <c r="D132" s="433"/>
      <c r="E132" s="433"/>
      <c r="F132" s="434"/>
      <c r="G132" s="435"/>
      <c r="H132" s="433"/>
      <c r="I132" s="434"/>
      <c r="J132" s="434"/>
      <c r="K132" s="433"/>
      <c r="L132" s="433"/>
      <c r="M132" s="433"/>
      <c r="N132" s="433"/>
      <c r="O132" s="433"/>
      <c r="P132" s="433"/>
      <c r="Q132" s="433"/>
      <c r="R132" s="433"/>
      <c r="S132" s="433"/>
      <c r="T132" s="466"/>
      <c r="U132" s="433"/>
      <c r="V132" s="433"/>
      <c r="W132" s="433"/>
    </row>
    <row r="133" spans="2:23" ht="15" customHeight="1">
      <c r="B133" s="433"/>
      <c r="C133" s="433"/>
      <c r="D133" s="433"/>
      <c r="E133" s="433"/>
      <c r="F133" s="434"/>
      <c r="G133" s="435"/>
      <c r="H133" s="433"/>
      <c r="I133" s="434"/>
      <c r="J133" s="434"/>
      <c r="K133" s="433"/>
      <c r="L133" s="433"/>
      <c r="M133" s="433"/>
      <c r="N133" s="433"/>
      <c r="O133" s="433"/>
      <c r="P133" s="433"/>
      <c r="Q133" s="433"/>
      <c r="R133" s="433"/>
      <c r="S133" s="433"/>
      <c r="T133" s="466"/>
      <c r="U133" s="433"/>
      <c r="V133" s="433"/>
      <c r="W133" s="433"/>
    </row>
    <row r="134" spans="2:23" ht="15" customHeight="1">
      <c r="B134" s="433"/>
      <c r="C134" s="433"/>
      <c r="D134" s="433"/>
      <c r="E134" s="433"/>
      <c r="F134" s="434"/>
      <c r="G134" s="435"/>
      <c r="H134" s="433"/>
      <c r="I134" s="434"/>
      <c r="J134" s="434"/>
      <c r="K134" s="433"/>
      <c r="L134" s="433"/>
      <c r="M134" s="433"/>
      <c r="N134" s="433"/>
      <c r="O134" s="433"/>
      <c r="P134" s="433"/>
      <c r="Q134" s="433"/>
      <c r="R134" s="433"/>
      <c r="S134" s="433"/>
      <c r="T134" s="466"/>
      <c r="U134" s="433"/>
      <c r="V134" s="433"/>
      <c r="W134" s="433"/>
    </row>
    <row r="135" spans="2:23" ht="15" customHeight="1">
      <c r="B135" s="433"/>
      <c r="C135" s="433"/>
      <c r="D135" s="433"/>
      <c r="E135" s="433"/>
      <c r="F135" s="434"/>
      <c r="G135" s="435"/>
      <c r="H135" s="433"/>
      <c r="I135" s="434"/>
      <c r="J135" s="434"/>
      <c r="K135" s="433"/>
      <c r="L135" s="433"/>
      <c r="M135" s="433"/>
      <c r="N135" s="433"/>
      <c r="O135" s="433"/>
      <c r="P135" s="433"/>
      <c r="Q135" s="433"/>
      <c r="R135" s="433"/>
      <c r="S135" s="433"/>
      <c r="T135" s="466"/>
      <c r="U135" s="433"/>
      <c r="V135" s="433"/>
      <c r="W135" s="433"/>
    </row>
    <row r="136" spans="2:23" ht="15" customHeight="1">
      <c r="B136" s="433"/>
      <c r="C136" s="433"/>
      <c r="D136" s="433"/>
      <c r="E136" s="433"/>
      <c r="F136" s="434"/>
      <c r="G136" s="435"/>
      <c r="H136" s="433"/>
      <c r="I136" s="434"/>
      <c r="J136" s="434"/>
      <c r="K136" s="433"/>
      <c r="L136" s="433"/>
      <c r="M136" s="433"/>
      <c r="N136" s="433"/>
      <c r="O136" s="433"/>
      <c r="P136" s="433"/>
      <c r="Q136" s="433"/>
      <c r="R136" s="433"/>
      <c r="S136" s="433"/>
      <c r="T136" s="466"/>
      <c r="U136" s="433"/>
      <c r="V136" s="433"/>
      <c r="W136" s="433"/>
    </row>
    <row r="137" spans="2:23" ht="15" customHeight="1">
      <c r="B137" s="433"/>
      <c r="C137" s="433"/>
      <c r="D137" s="433"/>
      <c r="E137" s="433"/>
      <c r="F137" s="434"/>
      <c r="G137" s="435"/>
      <c r="H137" s="433"/>
      <c r="I137" s="434"/>
      <c r="J137" s="434"/>
      <c r="K137" s="433"/>
      <c r="L137" s="433"/>
      <c r="M137" s="433"/>
      <c r="N137" s="433"/>
      <c r="O137" s="433"/>
      <c r="P137" s="433"/>
      <c r="Q137" s="433"/>
      <c r="R137" s="433"/>
      <c r="S137" s="433"/>
      <c r="T137" s="466"/>
      <c r="U137" s="433"/>
      <c r="V137" s="433"/>
      <c r="W137" s="433"/>
    </row>
    <row r="138" spans="2:23" ht="15" customHeight="1">
      <c r="B138" s="433"/>
      <c r="C138" s="433"/>
      <c r="D138" s="433"/>
      <c r="E138" s="433"/>
      <c r="F138" s="434"/>
      <c r="G138" s="435"/>
      <c r="H138" s="433"/>
      <c r="I138" s="434"/>
      <c r="J138" s="434"/>
      <c r="K138" s="433"/>
      <c r="L138" s="433"/>
      <c r="M138" s="433"/>
      <c r="N138" s="433"/>
      <c r="O138" s="433"/>
      <c r="P138" s="433"/>
      <c r="Q138" s="433"/>
      <c r="R138" s="433"/>
      <c r="S138" s="433"/>
      <c r="T138" s="466"/>
      <c r="U138" s="433"/>
      <c r="V138" s="433"/>
      <c r="W138" s="433"/>
    </row>
    <row r="139" spans="2:23" ht="15" customHeight="1">
      <c r="B139" s="433"/>
      <c r="C139" s="433"/>
      <c r="D139" s="433"/>
      <c r="E139" s="433"/>
      <c r="F139" s="434"/>
      <c r="G139" s="435"/>
      <c r="H139" s="433"/>
      <c r="I139" s="434"/>
      <c r="J139" s="434"/>
      <c r="K139" s="433"/>
      <c r="L139" s="433"/>
      <c r="M139" s="433"/>
      <c r="N139" s="433"/>
      <c r="O139" s="433"/>
      <c r="P139" s="433"/>
      <c r="Q139" s="433"/>
      <c r="R139" s="433"/>
      <c r="S139" s="433"/>
      <c r="T139" s="466"/>
      <c r="U139" s="433"/>
      <c r="V139" s="433"/>
      <c r="W139" s="433"/>
    </row>
    <row r="140" spans="2:23" ht="15" customHeight="1">
      <c r="B140" s="433"/>
      <c r="C140" s="433"/>
      <c r="D140" s="433"/>
      <c r="E140" s="433"/>
      <c r="F140" s="434"/>
      <c r="G140" s="435"/>
      <c r="H140" s="433"/>
      <c r="I140" s="434"/>
      <c r="J140" s="434"/>
      <c r="K140" s="433"/>
      <c r="L140" s="433"/>
      <c r="M140" s="433"/>
      <c r="N140" s="433"/>
      <c r="O140" s="433"/>
      <c r="P140" s="433"/>
      <c r="Q140" s="433"/>
      <c r="R140" s="433"/>
      <c r="S140" s="433"/>
      <c r="T140" s="466"/>
      <c r="U140" s="433"/>
      <c r="V140" s="433"/>
      <c r="W140" s="433"/>
    </row>
    <row r="141" spans="2:23" ht="15" customHeight="1">
      <c r="B141" s="433"/>
      <c r="C141" s="433"/>
      <c r="D141" s="433"/>
      <c r="E141" s="433"/>
      <c r="F141" s="434"/>
      <c r="G141" s="435"/>
      <c r="H141" s="433"/>
      <c r="I141" s="434"/>
      <c r="J141" s="434"/>
      <c r="K141" s="433"/>
      <c r="L141" s="433"/>
      <c r="M141" s="433"/>
      <c r="N141" s="433"/>
      <c r="O141" s="433"/>
      <c r="P141" s="433"/>
      <c r="Q141" s="433"/>
      <c r="R141" s="433"/>
      <c r="S141" s="433"/>
      <c r="T141" s="466"/>
      <c r="U141" s="433"/>
      <c r="V141" s="433"/>
      <c r="W141" s="433"/>
    </row>
    <row r="142" spans="2:23" ht="15" customHeight="1">
      <c r="B142" s="433"/>
      <c r="C142" s="433"/>
      <c r="D142" s="433"/>
      <c r="E142" s="433"/>
      <c r="F142" s="434"/>
      <c r="G142" s="435"/>
      <c r="H142" s="433"/>
      <c r="I142" s="434"/>
      <c r="J142" s="434"/>
      <c r="K142" s="433"/>
      <c r="L142" s="433"/>
      <c r="M142" s="433"/>
      <c r="N142" s="433"/>
      <c r="O142" s="433"/>
      <c r="P142" s="433"/>
      <c r="Q142" s="433"/>
      <c r="R142" s="433"/>
      <c r="S142" s="433"/>
      <c r="T142" s="466"/>
      <c r="U142" s="433"/>
      <c r="V142" s="433"/>
      <c r="W142" s="433"/>
    </row>
    <row r="143" spans="2:23" ht="15" customHeight="1">
      <c r="B143" s="433"/>
      <c r="C143" s="433"/>
      <c r="D143" s="433"/>
      <c r="E143" s="433"/>
      <c r="F143" s="434"/>
      <c r="G143" s="435"/>
      <c r="H143" s="433"/>
      <c r="I143" s="434"/>
      <c r="J143" s="434"/>
      <c r="K143" s="433"/>
      <c r="L143" s="433"/>
      <c r="M143" s="433"/>
      <c r="N143" s="433"/>
      <c r="O143" s="433"/>
      <c r="P143" s="433"/>
      <c r="Q143" s="433"/>
      <c r="R143" s="433"/>
      <c r="S143" s="433"/>
      <c r="T143" s="466"/>
      <c r="U143" s="433"/>
      <c r="V143" s="433"/>
      <c r="W143" s="433"/>
    </row>
    <row r="144" spans="2:23" ht="15" customHeight="1">
      <c r="B144" s="433"/>
      <c r="C144" s="433"/>
      <c r="D144" s="433"/>
      <c r="E144" s="433"/>
      <c r="F144" s="434"/>
      <c r="G144" s="435"/>
      <c r="H144" s="433"/>
      <c r="I144" s="434"/>
      <c r="J144" s="434"/>
      <c r="K144" s="433"/>
      <c r="L144" s="433"/>
      <c r="M144" s="433"/>
      <c r="N144" s="433"/>
      <c r="O144" s="433"/>
      <c r="P144" s="433"/>
      <c r="Q144" s="433"/>
      <c r="R144" s="433"/>
      <c r="S144" s="433"/>
      <c r="T144" s="466"/>
      <c r="U144" s="433"/>
      <c r="V144" s="433"/>
      <c r="W144" s="433"/>
    </row>
    <row r="145" spans="2:23" ht="15" customHeight="1">
      <c r="B145" s="433"/>
      <c r="C145" s="433"/>
      <c r="D145" s="433"/>
      <c r="E145" s="433"/>
      <c r="F145" s="434"/>
      <c r="G145" s="435"/>
      <c r="H145" s="433"/>
      <c r="I145" s="434"/>
      <c r="J145" s="434"/>
      <c r="K145" s="433"/>
      <c r="L145" s="433"/>
      <c r="M145" s="433"/>
      <c r="N145" s="433"/>
      <c r="O145" s="433"/>
      <c r="P145" s="433"/>
      <c r="Q145" s="433"/>
      <c r="R145" s="433"/>
      <c r="S145" s="433"/>
      <c r="T145" s="466"/>
      <c r="U145" s="433"/>
      <c r="V145" s="433"/>
      <c r="W145" s="433"/>
    </row>
    <row r="146" spans="2:23" ht="15" customHeight="1">
      <c r="B146" s="433"/>
      <c r="C146" s="433"/>
      <c r="D146" s="433"/>
      <c r="E146" s="433"/>
      <c r="F146" s="434"/>
      <c r="G146" s="435"/>
      <c r="H146" s="433"/>
      <c r="I146" s="434"/>
      <c r="J146" s="434"/>
      <c r="K146" s="433"/>
      <c r="L146" s="433"/>
      <c r="M146" s="433"/>
      <c r="N146" s="433"/>
      <c r="O146" s="433"/>
      <c r="P146" s="433"/>
      <c r="Q146" s="433"/>
      <c r="R146" s="433"/>
      <c r="S146" s="433"/>
      <c r="T146" s="466"/>
      <c r="U146" s="433"/>
      <c r="V146" s="433"/>
      <c r="W146" s="433"/>
    </row>
    <row r="147" spans="2:23" ht="15" customHeight="1">
      <c r="B147" s="433"/>
      <c r="C147" s="433"/>
      <c r="D147" s="433"/>
      <c r="E147" s="433"/>
      <c r="F147" s="434"/>
      <c r="G147" s="435"/>
      <c r="H147" s="433"/>
      <c r="I147" s="434"/>
      <c r="J147" s="434"/>
      <c r="K147" s="433"/>
      <c r="L147" s="433"/>
      <c r="M147" s="433"/>
      <c r="N147" s="433"/>
      <c r="O147" s="433"/>
      <c r="P147" s="433"/>
      <c r="Q147" s="433"/>
      <c r="R147" s="433"/>
      <c r="S147" s="433"/>
      <c r="T147" s="466"/>
      <c r="U147" s="433"/>
      <c r="V147" s="433"/>
      <c r="W147" s="433"/>
    </row>
    <row r="148" spans="2:23" ht="15" customHeight="1">
      <c r="B148" s="433"/>
      <c r="C148" s="433"/>
      <c r="D148" s="433"/>
      <c r="E148" s="433"/>
      <c r="F148" s="434"/>
      <c r="G148" s="435"/>
      <c r="H148" s="433"/>
      <c r="I148" s="434"/>
      <c r="J148" s="434"/>
      <c r="K148" s="433"/>
      <c r="L148" s="433"/>
      <c r="M148" s="433"/>
      <c r="N148" s="433"/>
      <c r="O148" s="433"/>
      <c r="P148" s="433"/>
      <c r="Q148" s="433"/>
      <c r="R148" s="433"/>
      <c r="S148" s="433"/>
      <c r="T148" s="466"/>
      <c r="U148" s="433"/>
      <c r="V148" s="433"/>
      <c r="W148" s="433"/>
    </row>
    <row r="149" spans="2:23" ht="15" customHeight="1">
      <c r="B149" s="433"/>
      <c r="C149" s="433"/>
      <c r="D149" s="433"/>
      <c r="E149" s="433"/>
      <c r="F149" s="434"/>
      <c r="G149" s="435"/>
      <c r="H149" s="433"/>
      <c r="I149" s="434"/>
      <c r="J149" s="434"/>
      <c r="K149" s="433"/>
      <c r="L149" s="433"/>
      <c r="M149" s="433"/>
      <c r="N149" s="433"/>
      <c r="O149" s="433"/>
      <c r="P149" s="433"/>
      <c r="Q149" s="433"/>
      <c r="R149" s="433"/>
      <c r="S149" s="433"/>
      <c r="T149" s="466"/>
      <c r="U149" s="433"/>
      <c r="V149" s="433"/>
      <c r="W149" s="433"/>
    </row>
    <row r="150" spans="2:23" ht="15" customHeight="1">
      <c r="B150" s="433"/>
      <c r="C150" s="433"/>
      <c r="D150" s="433"/>
      <c r="E150" s="433"/>
      <c r="F150" s="434"/>
      <c r="G150" s="435"/>
      <c r="H150" s="433"/>
      <c r="I150" s="434"/>
      <c r="J150" s="434"/>
      <c r="K150" s="433"/>
      <c r="L150" s="433"/>
      <c r="M150" s="433"/>
      <c r="N150" s="433"/>
      <c r="O150" s="433"/>
      <c r="P150" s="433"/>
      <c r="Q150" s="433"/>
      <c r="R150" s="433"/>
      <c r="S150" s="433"/>
      <c r="T150" s="466"/>
      <c r="U150" s="433"/>
      <c r="V150" s="433"/>
      <c r="W150" s="433"/>
    </row>
    <row r="151" spans="2:23" ht="15" customHeight="1">
      <c r="B151" s="433"/>
      <c r="C151" s="433"/>
      <c r="D151" s="433"/>
      <c r="E151" s="433"/>
      <c r="F151" s="434"/>
      <c r="G151" s="435"/>
      <c r="H151" s="433"/>
      <c r="I151" s="434"/>
      <c r="J151" s="434"/>
      <c r="K151" s="433"/>
      <c r="L151" s="433"/>
      <c r="M151" s="433"/>
      <c r="N151" s="433"/>
      <c r="O151" s="433"/>
      <c r="P151" s="433"/>
      <c r="Q151" s="433"/>
      <c r="R151" s="433"/>
      <c r="S151" s="433"/>
      <c r="T151" s="466"/>
      <c r="U151" s="433"/>
      <c r="V151" s="433"/>
      <c r="W151" s="433"/>
    </row>
    <row r="152" spans="2:23" ht="15" customHeight="1">
      <c r="B152" s="433"/>
      <c r="C152" s="433"/>
      <c r="D152" s="433"/>
      <c r="E152" s="433"/>
      <c r="F152" s="434"/>
      <c r="G152" s="435"/>
      <c r="H152" s="433"/>
      <c r="I152" s="434"/>
      <c r="J152" s="434"/>
      <c r="K152" s="433"/>
      <c r="L152" s="433"/>
      <c r="M152" s="433"/>
      <c r="N152" s="433"/>
      <c r="O152" s="433"/>
      <c r="P152" s="433"/>
      <c r="Q152" s="433"/>
      <c r="R152" s="433"/>
      <c r="S152" s="433"/>
      <c r="T152" s="466"/>
      <c r="U152" s="433"/>
      <c r="V152" s="433"/>
      <c r="W152" s="433"/>
    </row>
    <row r="153" spans="2:23" ht="15" customHeight="1">
      <c r="B153" s="433"/>
      <c r="C153" s="433"/>
      <c r="D153" s="433"/>
      <c r="E153" s="433"/>
      <c r="F153" s="434"/>
      <c r="G153" s="435"/>
      <c r="H153" s="433"/>
      <c r="I153" s="434"/>
      <c r="J153" s="434"/>
      <c r="K153" s="433"/>
      <c r="L153" s="433"/>
      <c r="M153" s="433"/>
      <c r="N153" s="433"/>
      <c r="O153" s="433"/>
      <c r="P153" s="433"/>
      <c r="Q153" s="433"/>
      <c r="R153" s="433"/>
      <c r="S153" s="433"/>
      <c r="T153" s="466"/>
      <c r="U153" s="433"/>
      <c r="V153" s="433"/>
      <c r="W153" s="433"/>
    </row>
    <row r="154" spans="2:23" ht="15" customHeight="1">
      <c r="B154" s="433"/>
      <c r="C154" s="433"/>
      <c r="D154" s="433"/>
      <c r="E154" s="433"/>
      <c r="F154" s="434"/>
      <c r="G154" s="435"/>
      <c r="H154" s="433"/>
      <c r="I154" s="434"/>
      <c r="J154" s="434"/>
      <c r="K154" s="433"/>
      <c r="L154" s="433"/>
      <c r="M154" s="433"/>
      <c r="N154" s="433"/>
      <c r="O154" s="433"/>
      <c r="P154" s="433"/>
      <c r="Q154" s="433"/>
      <c r="R154" s="433"/>
      <c r="S154" s="433"/>
      <c r="T154" s="466"/>
      <c r="U154" s="433"/>
      <c r="V154" s="433"/>
      <c r="W154" s="433"/>
    </row>
    <row r="155" spans="2:23" ht="15" customHeight="1">
      <c r="B155" s="433"/>
      <c r="C155" s="433"/>
      <c r="D155" s="433"/>
      <c r="E155" s="433"/>
      <c r="F155" s="434"/>
      <c r="G155" s="435"/>
      <c r="H155" s="433"/>
      <c r="I155" s="434"/>
      <c r="J155" s="434"/>
      <c r="K155" s="433"/>
      <c r="L155" s="433"/>
      <c r="M155" s="433"/>
      <c r="N155" s="433"/>
      <c r="O155" s="433"/>
      <c r="P155" s="433"/>
      <c r="Q155" s="433"/>
      <c r="R155" s="433"/>
      <c r="S155" s="433"/>
      <c r="T155" s="466"/>
      <c r="U155" s="433"/>
      <c r="V155" s="433"/>
      <c r="W155" s="433"/>
    </row>
    <row r="156" spans="2:23" ht="15" customHeight="1">
      <c r="B156" s="433"/>
      <c r="C156" s="433"/>
      <c r="D156" s="433"/>
      <c r="E156" s="433"/>
      <c r="F156" s="434"/>
      <c r="G156" s="435"/>
      <c r="H156" s="433"/>
      <c r="I156" s="434"/>
      <c r="J156" s="434"/>
      <c r="K156" s="433"/>
      <c r="L156" s="433"/>
      <c r="M156" s="433"/>
      <c r="N156" s="433"/>
      <c r="O156" s="433"/>
      <c r="P156" s="433"/>
      <c r="Q156" s="433"/>
      <c r="R156" s="433"/>
      <c r="S156" s="433"/>
      <c r="T156" s="466"/>
      <c r="U156" s="433"/>
      <c r="V156" s="433"/>
      <c r="W156" s="433"/>
    </row>
    <row r="157" spans="2:23" ht="15" customHeight="1">
      <c r="B157" s="433"/>
      <c r="C157" s="433"/>
      <c r="D157" s="433"/>
      <c r="E157" s="433"/>
      <c r="F157" s="434"/>
      <c r="G157" s="435"/>
      <c r="H157" s="433"/>
      <c r="I157" s="434"/>
      <c r="J157" s="434"/>
      <c r="K157" s="433"/>
      <c r="L157" s="433"/>
      <c r="M157" s="433"/>
      <c r="N157" s="433"/>
      <c r="O157" s="433"/>
      <c r="P157" s="433"/>
      <c r="Q157" s="433"/>
      <c r="R157" s="433"/>
      <c r="S157" s="433"/>
      <c r="T157" s="466"/>
      <c r="U157" s="433"/>
      <c r="V157" s="433"/>
      <c r="W157" s="433"/>
    </row>
    <row r="158" spans="2:23" ht="15" customHeight="1">
      <c r="B158" s="433"/>
      <c r="C158" s="433"/>
      <c r="D158" s="433"/>
      <c r="E158" s="433"/>
      <c r="F158" s="434"/>
      <c r="G158" s="435"/>
      <c r="H158" s="433"/>
      <c r="I158" s="434"/>
      <c r="J158" s="434"/>
      <c r="K158" s="433"/>
      <c r="L158" s="433"/>
      <c r="M158" s="433"/>
      <c r="N158" s="433"/>
      <c r="O158" s="433"/>
      <c r="P158" s="433"/>
      <c r="Q158" s="433"/>
      <c r="R158" s="433"/>
      <c r="S158" s="433"/>
      <c r="T158" s="466"/>
      <c r="U158" s="433"/>
      <c r="V158" s="433"/>
      <c r="W158" s="433"/>
    </row>
    <row r="159" spans="2:23" ht="15" customHeight="1">
      <c r="B159" s="433"/>
      <c r="C159" s="433"/>
      <c r="D159" s="433"/>
      <c r="E159" s="433"/>
      <c r="F159" s="434"/>
      <c r="G159" s="435"/>
      <c r="H159" s="433"/>
      <c r="I159" s="434"/>
      <c r="J159" s="434"/>
      <c r="K159" s="433"/>
      <c r="L159" s="433"/>
      <c r="M159" s="433"/>
      <c r="N159" s="433"/>
      <c r="O159" s="433"/>
      <c r="P159" s="433"/>
      <c r="Q159" s="433"/>
      <c r="R159" s="433"/>
      <c r="S159" s="433"/>
      <c r="T159" s="466"/>
      <c r="U159" s="433"/>
      <c r="V159" s="433"/>
      <c r="W159" s="433"/>
    </row>
    <row r="160" spans="2:23" ht="15" customHeight="1">
      <c r="B160" s="433"/>
      <c r="C160" s="433"/>
      <c r="D160" s="433"/>
      <c r="E160" s="433"/>
      <c r="F160" s="434"/>
      <c r="G160" s="435"/>
      <c r="H160" s="433"/>
      <c r="I160" s="434"/>
      <c r="J160" s="434"/>
      <c r="K160" s="433"/>
      <c r="L160" s="433"/>
      <c r="M160" s="433"/>
      <c r="N160" s="433"/>
      <c r="O160" s="433"/>
      <c r="P160" s="433"/>
      <c r="Q160" s="433"/>
      <c r="R160" s="433"/>
      <c r="S160" s="433"/>
      <c r="T160" s="466"/>
      <c r="U160" s="433"/>
      <c r="V160" s="433"/>
      <c r="W160" s="433"/>
    </row>
    <row r="161" spans="2:23" ht="15" customHeight="1">
      <c r="B161" s="433"/>
      <c r="C161" s="433"/>
      <c r="D161" s="433"/>
      <c r="E161" s="433"/>
      <c r="F161" s="434"/>
      <c r="G161" s="435"/>
      <c r="H161" s="433"/>
      <c r="I161" s="434"/>
      <c r="J161" s="434"/>
      <c r="K161" s="433"/>
      <c r="L161" s="433"/>
      <c r="M161" s="433"/>
      <c r="N161" s="433"/>
      <c r="O161" s="433"/>
      <c r="P161" s="433"/>
      <c r="Q161" s="433"/>
      <c r="R161" s="433"/>
      <c r="S161" s="433"/>
      <c r="T161" s="466"/>
      <c r="U161" s="433"/>
      <c r="V161" s="433"/>
      <c r="W161" s="433"/>
    </row>
    <row r="162" spans="2:23" ht="15" customHeight="1">
      <c r="B162" s="433"/>
      <c r="C162" s="433"/>
      <c r="D162" s="433"/>
      <c r="E162" s="433"/>
      <c r="F162" s="434"/>
      <c r="G162" s="435"/>
      <c r="H162" s="433"/>
      <c r="I162" s="434"/>
      <c r="J162" s="434"/>
      <c r="K162" s="433"/>
      <c r="L162" s="433"/>
      <c r="M162" s="433"/>
      <c r="N162" s="433"/>
      <c r="O162" s="433"/>
      <c r="P162" s="433"/>
      <c r="Q162" s="433"/>
      <c r="R162" s="433"/>
      <c r="S162" s="433"/>
      <c r="T162" s="466"/>
      <c r="U162" s="433"/>
      <c r="V162" s="433"/>
      <c r="W162" s="433"/>
    </row>
    <row r="163" spans="2:23" ht="15" customHeight="1">
      <c r="B163" s="433"/>
      <c r="C163" s="433"/>
      <c r="D163" s="433"/>
      <c r="E163" s="433"/>
      <c r="F163" s="434"/>
      <c r="G163" s="435"/>
      <c r="H163" s="433"/>
      <c r="I163" s="434"/>
      <c r="J163" s="434"/>
      <c r="K163" s="433"/>
      <c r="L163" s="433"/>
      <c r="M163" s="433"/>
      <c r="N163" s="433"/>
      <c r="O163" s="433"/>
      <c r="P163" s="433"/>
      <c r="Q163" s="433"/>
      <c r="R163" s="433"/>
      <c r="S163" s="433"/>
      <c r="T163" s="466"/>
      <c r="U163" s="433"/>
      <c r="V163" s="433"/>
      <c r="W163" s="433"/>
    </row>
    <row r="164" spans="2:23" ht="15" customHeight="1">
      <c r="B164" s="433"/>
      <c r="C164" s="433"/>
      <c r="D164" s="433"/>
      <c r="E164" s="433"/>
      <c r="F164" s="434"/>
      <c r="G164" s="435"/>
      <c r="H164" s="433"/>
      <c r="I164" s="434"/>
      <c r="J164" s="434"/>
      <c r="K164" s="433"/>
      <c r="L164" s="433"/>
      <c r="M164" s="433"/>
      <c r="N164" s="433"/>
      <c r="O164" s="433"/>
      <c r="P164" s="433"/>
      <c r="Q164" s="433"/>
      <c r="R164" s="433"/>
      <c r="S164" s="433"/>
      <c r="T164" s="466"/>
      <c r="U164" s="433"/>
      <c r="V164" s="433"/>
      <c r="W164" s="433"/>
    </row>
    <row r="165" spans="2:23" ht="15" customHeight="1">
      <c r="B165" s="433"/>
      <c r="C165" s="433"/>
      <c r="D165" s="433"/>
      <c r="E165" s="433"/>
      <c r="F165" s="434"/>
      <c r="G165" s="435"/>
      <c r="H165" s="433"/>
      <c r="I165" s="434"/>
      <c r="J165" s="434"/>
      <c r="K165" s="433"/>
      <c r="L165" s="433"/>
      <c r="M165" s="433"/>
      <c r="N165" s="433"/>
      <c r="O165" s="433"/>
      <c r="P165" s="433"/>
      <c r="Q165" s="433"/>
      <c r="R165" s="433"/>
      <c r="S165" s="433"/>
      <c r="T165" s="466"/>
      <c r="U165" s="433"/>
      <c r="V165" s="433"/>
      <c r="W165" s="433"/>
    </row>
    <row r="166" spans="2:23" ht="15" customHeight="1">
      <c r="B166" s="433"/>
      <c r="C166" s="433"/>
      <c r="D166" s="433"/>
      <c r="E166" s="433"/>
      <c r="F166" s="434"/>
      <c r="G166" s="435"/>
      <c r="H166" s="433"/>
      <c r="I166" s="434"/>
      <c r="J166" s="434"/>
      <c r="K166" s="433"/>
      <c r="L166" s="433"/>
      <c r="M166" s="433"/>
      <c r="N166" s="433"/>
      <c r="O166" s="433"/>
      <c r="P166" s="433"/>
      <c r="Q166" s="433"/>
      <c r="R166" s="433"/>
      <c r="S166" s="433"/>
      <c r="T166" s="466"/>
      <c r="U166" s="433"/>
      <c r="V166" s="433"/>
      <c r="W166" s="433"/>
    </row>
    <row r="167" spans="2:23" ht="15" customHeight="1">
      <c r="B167" s="433"/>
      <c r="C167" s="433"/>
      <c r="D167" s="433"/>
      <c r="E167" s="433"/>
      <c r="F167" s="434"/>
      <c r="G167" s="435"/>
      <c r="H167" s="433"/>
      <c r="I167" s="434"/>
      <c r="J167" s="434"/>
      <c r="K167" s="433"/>
      <c r="L167" s="433"/>
      <c r="M167" s="433"/>
      <c r="N167" s="433"/>
      <c r="O167" s="433"/>
      <c r="P167" s="433"/>
      <c r="Q167" s="433"/>
      <c r="R167" s="433"/>
      <c r="S167" s="433"/>
      <c r="T167" s="466"/>
      <c r="U167" s="433"/>
      <c r="V167" s="433"/>
      <c r="W167" s="433"/>
    </row>
    <row r="168" spans="2:23" ht="15" customHeight="1">
      <c r="B168" s="433"/>
      <c r="C168" s="433"/>
      <c r="D168" s="433"/>
      <c r="E168" s="433"/>
      <c r="F168" s="434"/>
      <c r="G168" s="435"/>
      <c r="H168" s="433"/>
      <c r="I168" s="434"/>
      <c r="J168" s="434"/>
      <c r="K168" s="433"/>
      <c r="L168" s="433"/>
      <c r="M168" s="433"/>
      <c r="N168" s="433"/>
      <c r="O168" s="433"/>
      <c r="P168" s="433"/>
      <c r="Q168" s="433"/>
      <c r="R168" s="433"/>
      <c r="S168" s="433"/>
      <c r="T168" s="466"/>
      <c r="U168" s="433"/>
      <c r="V168" s="433"/>
      <c r="W168" s="433"/>
    </row>
    <row r="169" spans="2:23" ht="15" customHeight="1">
      <c r="B169" s="433"/>
      <c r="C169" s="433"/>
      <c r="D169" s="433"/>
      <c r="E169" s="433"/>
      <c r="F169" s="434"/>
      <c r="G169" s="435"/>
      <c r="H169" s="433"/>
      <c r="I169" s="434"/>
      <c r="J169" s="434"/>
      <c r="K169" s="433"/>
      <c r="L169" s="433"/>
      <c r="M169" s="433"/>
      <c r="N169" s="433"/>
      <c r="O169" s="433"/>
      <c r="P169" s="433"/>
      <c r="Q169" s="433"/>
      <c r="R169" s="433"/>
      <c r="S169" s="433"/>
      <c r="T169" s="466"/>
      <c r="U169" s="433"/>
      <c r="V169" s="433"/>
      <c r="W169" s="433"/>
    </row>
    <row r="170" spans="2:23" ht="15" customHeight="1">
      <c r="B170" s="433"/>
      <c r="C170" s="433"/>
      <c r="D170" s="433"/>
      <c r="E170" s="433"/>
      <c r="F170" s="434"/>
      <c r="G170" s="435"/>
      <c r="H170" s="433"/>
      <c r="I170" s="434"/>
      <c r="J170" s="434"/>
      <c r="K170" s="433"/>
      <c r="L170" s="433"/>
      <c r="M170" s="433"/>
      <c r="N170" s="433"/>
      <c r="O170" s="433"/>
      <c r="P170" s="433"/>
      <c r="Q170" s="433"/>
      <c r="R170" s="433"/>
      <c r="S170" s="433"/>
      <c r="T170" s="466"/>
      <c r="U170" s="433"/>
      <c r="V170" s="433"/>
      <c r="W170" s="433"/>
    </row>
    <row r="171" spans="2:23" ht="15" customHeight="1">
      <c r="B171" s="433"/>
      <c r="C171" s="433"/>
      <c r="D171" s="433"/>
      <c r="E171" s="433"/>
      <c r="F171" s="434"/>
      <c r="G171" s="435"/>
      <c r="H171" s="433"/>
      <c r="I171" s="434"/>
      <c r="J171" s="434"/>
      <c r="K171" s="433"/>
      <c r="L171" s="433"/>
      <c r="M171" s="433"/>
      <c r="N171" s="433"/>
      <c r="O171" s="433"/>
      <c r="P171" s="433"/>
      <c r="Q171" s="433"/>
      <c r="R171" s="433"/>
      <c r="S171" s="433"/>
      <c r="T171" s="466"/>
      <c r="U171" s="433"/>
      <c r="V171" s="433"/>
      <c r="W171" s="433"/>
    </row>
    <row r="172" spans="2:23" ht="15" customHeight="1">
      <c r="B172" s="433"/>
      <c r="C172" s="433"/>
      <c r="D172" s="433"/>
      <c r="E172" s="433"/>
      <c r="F172" s="434"/>
      <c r="G172" s="435"/>
      <c r="H172" s="433"/>
      <c r="I172" s="434"/>
      <c r="J172" s="434"/>
      <c r="K172" s="433"/>
      <c r="L172" s="433"/>
      <c r="M172" s="433"/>
      <c r="N172" s="433"/>
      <c r="O172" s="433"/>
      <c r="P172" s="433"/>
      <c r="Q172" s="433"/>
      <c r="R172" s="433"/>
      <c r="S172" s="433"/>
      <c r="T172" s="466"/>
      <c r="U172" s="433"/>
      <c r="V172" s="433"/>
      <c r="W172" s="433"/>
    </row>
    <row r="173" spans="2:23" ht="15" customHeight="1">
      <c r="B173" s="433"/>
      <c r="C173" s="433"/>
      <c r="D173" s="433"/>
      <c r="E173" s="433"/>
      <c r="F173" s="434"/>
      <c r="G173" s="435"/>
      <c r="H173" s="433"/>
      <c r="I173" s="434"/>
      <c r="J173" s="434"/>
      <c r="K173" s="433"/>
      <c r="L173" s="433"/>
      <c r="M173" s="433"/>
      <c r="N173" s="433"/>
      <c r="O173" s="433"/>
      <c r="P173" s="433"/>
      <c r="Q173" s="433"/>
      <c r="R173" s="433"/>
      <c r="S173" s="433"/>
      <c r="T173" s="466"/>
      <c r="U173" s="433"/>
      <c r="V173" s="433"/>
      <c r="W173" s="433"/>
    </row>
    <row r="174" spans="2:23" ht="15" customHeight="1">
      <c r="B174" s="433"/>
      <c r="C174" s="433"/>
      <c r="D174" s="433"/>
      <c r="E174" s="433"/>
      <c r="F174" s="434"/>
      <c r="G174" s="435"/>
      <c r="H174" s="433"/>
      <c r="I174" s="434"/>
      <c r="J174" s="434"/>
      <c r="K174" s="433"/>
      <c r="L174" s="433"/>
      <c r="M174" s="433"/>
      <c r="N174" s="433"/>
      <c r="O174" s="433"/>
      <c r="P174" s="433"/>
      <c r="Q174" s="433"/>
      <c r="R174" s="433"/>
      <c r="S174" s="433"/>
      <c r="T174" s="466"/>
      <c r="U174" s="433"/>
      <c r="V174" s="433"/>
      <c r="W174" s="433"/>
    </row>
    <row r="175" spans="2:23" ht="15" customHeight="1">
      <c r="B175" s="433"/>
      <c r="C175" s="433"/>
      <c r="D175" s="433"/>
      <c r="E175" s="433"/>
      <c r="F175" s="434"/>
      <c r="G175" s="435"/>
      <c r="H175" s="433"/>
      <c r="I175" s="434"/>
      <c r="J175" s="434"/>
      <c r="K175" s="433"/>
      <c r="L175" s="433"/>
      <c r="M175" s="433"/>
      <c r="N175" s="433"/>
      <c r="O175" s="433"/>
      <c r="P175" s="433"/>
      <c r="Q175" s="433"/>
      <c r="R175" s="433"/>
      <c r="S175" s="433"/>
      <c r="T175" s="466"/>
      <c r="U175" s="433"/>
      <c r="V175" s="433"/>
      <c r="W175" s="433"/>
    </row>
    <row r="176" spans="2:23" ht="15" customHeight="1">
      <c r="B176" s="433"/>
      <c r="C176" s="433"/>
      <c r="D176" s="433"/>
      <c r="E176" s="433"/>
      <c r="F176" s="434"/>
      <c r="G176" s="435"/>
      <c r="H176" s="433"/>
      <c r="I176" s="434"/>
      <c r="J176" s="434"/>
      <c r="K176" s="433"/>
      <c r="L176" s="433"/>
      <c r="M176" s="433"/>
      <c r="N176" s="433"/>
      <c r="O176" s="433"/>
      <c r="P176" s="433"/>
      <c r="Q176" s="433"/>
      <c r="R176" s="433"/>
      <c r="S176" s="433"/>
      <c r="T176" s="466"/>
      <c r="U176" s="433"/>
      <c r="V176" s="433"/>
      <c r="W176" s="433"/>
    </row>
    <row r="177" spans="2:23" ht="15" customHeight="1">
      <c r="B177" s="433"/>
      <c r="C177" s="433"/>
      <c r="D177" s="433"/>
      <c r="E177" s="433"/>
      <c r="F177" s="434"/>
      <c r="G177" s="435"/>
      <c r="H177" s="433"/>
      <c r="I177" s="434"/>
      <c r="J177" s="434"/>
      <c r="K177" s="433"/>
      <c r="L177" s="433"/>
      <c r="M177" s="433"/>
      <c r="N177" s="433"/>
      <c r="O177" s="433"/>
      <c r="P177" s="433"/>
      <c r="Q177" s="433"/>
      <c r="R177" s="433"/>
      <c r="S177" s="433"/>
      <c r="T177" s="466"/>
      <c r="U177" s="433"/>
      <c r="V177" s="433"/>
      <c r="W177" s="433"/>
    </row>
    <row r="178" spans="2:23" ht="15" customHeight="1">
      <c r="B178" s="433"/>
      <c r="C178" s="433"/>
      <c r="D178" s="433"/>
      <c r="E178" s="433"/>
      <c r="F178" s="434"/>
      <c r="G178" s="435"/>
      <c r="H178" s="433"/>
      <c r="I178" s="434"/>
      <c r="J178" s="434"/>
      <c r="K178" s="433"/>
      <c r="L178" s="433"/>
      <c r="M178" s="433"/>
      <c r="N178" s="433"/>
      <c r="O178" s="433"/>
      <c r="P178" s="433"/>
      <c r="Q178" s="433"/>
      <c r="R178" s="433"/>
      <c r="S178" s="433"/>
      <c r="T178" s="466"/>
      <c r="U178" s="433"/>
      <c r="V178" s="433"/>
      <c r="W178" s="433"/>
    </row>
    <row r="179" spans="2:23" ht="15" customHeight="1">
      <c r="B179" s="433"/>
      <c r="C179" s="433"/>
      <c r="D179" s="433"/>
      <c r="E179" s="433"/>
      <c r="F179" s="434"/>
      <c r="G179" s="435"/>
      <c r="H179" s="433"/>
      <c r="I179" s="434"/>
      <c r="J179" s="434"/>
      <c r="K179" s="433"/>
      <c r="L179" s="433"/>
      <c r="M179" s="433"/>
      <c r="N179" s="433"/>
      <c r="O179" s="433"/>
      <c r="P179" s="433"/>
      <c r="Q179" s="433"/>
      <c r="R179" s="433"/>
      <c r="S179" s="433"/>
      <c r="T179" s="466"/>
      <c r="U179" s="433"/>
      <c r="V179" s="433"/>
      <c r="W179" s="433"/>
    </row>
    <row r="180" spans="2:23" ht="15" customHeight="1">
      <c r="B180" s="433"/>
      <c r="C180" s="433"/>
      <c r="D180" s="433"/>
      <c r="E180" s="433"/>
      <c r="F180" s="434"/>
      <c r="G180" s="435"/>
      <c r="H180" s="433"/>
      <c r="I180" s="434"/>
      <c r="J180" s="434"/>
      <c r="K180" s="433"/>
      <c r="L180" s="433"/>
      <c r="M180" s="433"/>
      <c r="N180" s="433"/>
      <c r="O180" s="433"/>
      <c r="P180" s="433"/>
      <c r="Q180" s="433"/>
      <c r="R180" s="433"/>
      <c r="S180" s="433"/>
      <c r="T180" s="466"/>
      <c r="U180" s="433"/>
      <c r="V180" s="433"/>
      <c r="W180" s="433"/>
    </row>
    <row r="181" spans="2:23" ht="15" customHeight="1">
      <c r="B181" s="433"/>
      <c r="C181" s="433"/>
      <c r="D181" s="433"/>
      <c r="E181" s="433"/>
      <c r="F181" s="434"/>
      <c r="G181" s="435"/>
      <c r="H181" s="433"/>
      <c r="I181" s="434"/>
      <c r="J181" s="434"/>
      <c r="K181" s="433"/>
      <c r="L181" s="433"/>
      <c r="M181" s="433"/>
      <c r="N181" s="433"/>
      <c r="O181" s="433"/>
      <c r="P181" s="433"/>
      <c r="Q181" s="433"/>
      <c r="R181" s="433"/>
      <c r="S181" s="433"/>
      <c r="T181" s="466"/>
      <c r="U181" s="433"/>
      <c r="V181" s="433"/>
      <c r="W181" s="433"/>
    </row>
    <row r="182" spans="2:23" ht="15" customHeight="1">
      <c r="B182" s="433"/>
      <c r="C182" s="433"/>
      <c r="D182" s="433"/>
      <c r="E182" s="433"/>
      <c r="F182" s="434"/>
      <c r="G182" s="435"/>
      <c r="H182" s="433"/>
      <c r="I182" s="434"/>
      <c r="J182" s="434"/>
      <c r="K182" s="433"/>
      <c r="L182" s="433"/>
      <c r="M182" s="433"/>
      <c r="N182" s="433"/>
      <c r="O182" s="433"/>
      <c r="P182" s="433"/>
      <c r="Q182" s="433"/>
      <c r="R182" s="433"/>
      <c r="S182" s="433"/>
      <c r="T182" s="466"/>
      <c r="U182" s="433"/>
      <c r="V182" s="433"/>
      <c r="W182" s="433"/>
    </row>
    <row r="183" spans="2:23" ht="15" customHeight="1">
      <c r="B183" s="433"/>
      <c r="C183" s="433"/>
      <c r="D183" s="433"/>
      <c r="E183" s="433"/>
      <c r="F183" s="434"/>
      <c r="G183" s="435"/>
      <c r="H183" s="433"/>
      <c r="I183" s="434"/>
      <c r="J183" s="434"/>
      <c r="K183" s="433"/>
      <c r="L183" s="433"/>
      <c r="M183" s="433"/>
      <c r="N183" s="433"/>
      <c r="O183" s="433"/>
      <c r="P183" s="433"/>
      <c r="Q183" s="433"/>
      <c r="R183" s="433"/>
      <c r="S183" s="433"/>
      <c r="T183" s="466"/>
      <c r="U183" s="433"/>
      <c r="V183" s="433"/>
      <c r="W183" s="433"/>
    </row>
    <row r="184" spans="2:23" ht="15" customHeight="1">
      <c r="B184" s="433"/>
      <c r="C184" s="433"/>
      <c r="D184" s="433"/>
      <c r="E184" s="433"/>
      <c r="F184" s="434"/>
      <c r="G184" s="435"/>
      <c r="H184" s="433"/>
      <c r="I184" s="434"/>
      <c r="J184" s="434"/>
      <c r="K184" s="433"/>
      <c r="L184" s="433"/>
      <c r="M184" s="433"/>
      <c r="N184" s="433"/>
      <c r="O184" s="433"/>
      <c r="P184" s="433"/>
      <c r="Q184" s="433"/>
      <c r="R184" s="433"/>
      <c r="S184" s="433"/>
      <c r="T184" s="466"/>
      <c r="U184" s="433"/>
      <c r="V184" s="433"/>
      <c r="W184" s="433"/>
    </row>
    <row r="185" spans="2:23" ht="15" customHeight="1">
      <c r="B185" s="433"/>
      <c r="C185" s="433"/>
      <c r="D185" s="433"/>
      <c r="E185" s="433"/>
      <c r="F185" s="434"/>
      <c r="G185" s="435"/>
      <c r="H185" s="433"/>
      <c r="I185" s="434"/>
      <c r="J185" s="434"/>
      <c r="K185" s="433"/>
      <c r="L185" s="433"/>
      <c r="M185" s="433"/>
      <c r="N185" s="433"/>
      <c r="O185" s="433"/>
      <c r="P185" s="433"/>
      <c r="Q185" s="433"/>
      <c r="R185" s="433"/>
      <c r="S185" s="433"/>
      <c r="T185" s="466"/>
      <c r="U185" s="433"/>
      <c r="V185" s="433"/>
      <c r="W185" s="433"/>
    </row>
    <row r="186" spans="2:23" ht="15" customHeight="1">
      <c r="B186" s="433"/>
      <c r="C186" s="433"/>
      <c r="D186" s="433"/>
      <c r="E186" s="433"/>
      <c r="F186" s="434"/>
      <c r="G186" s="435"/>
      <c r="H186" s="433"/>
      <c r="I186" s="434"/>
      <c r="J186" s="434"/>
      <c r="K186" s="433"/>
      <c r="L186" s="433"/>
      <c r="M186" s="433"/>
      <c r="N186" s="433"/>
      <c r="O186" s="433"/>
      <c r="P186" s="433"/>
      <c r="Q186" s="433"/>
      <c r="R186" s="433"/>
      <c r="S186" s="433"/>
      <c r="T186" s="466"/>
      <c r="U186" s="433"/>
      <c r="V186" s="433"/>
      <c r="W186" s="433"/>
    </row>
    <row r="187" spans="2:23" ht="15" customHeight="1">
      <c r="B187" s="433"/>
      <c r="C187" s="433"/>
      <c r="D187" s="433"/>
      <c r="E187" s="433"/>
      <c r="F187" s="434"/>
      <c r="G187" s="435"/>
      <c r="H187" s="433"/>
      <c r="I187" s="434"/>
      <c r="J187" s="434"/>
      <c r="K187" s="433"/>
      <c r="L187" s="433"/>
      <c r="M187" s="433"/>
      <c r="N187" s="433"/>
      <c r="O187" s="433"/>
      <c r="P187" s="433"/>
      <c r="Q187" s="433"/>
      <c r="R187" s="433"/>
      <c r="S187" s="433"/>
      <c r="T187" s="466"/>
      <c r="U187" s="433"/>
      <c r="V187" s="433"/>
      <c r="W187" s="433"/>
    </row>
    <row r="188" spans="2:23" ht="15" customHeight="1">
      <c r="B188" s="433"/>
      <c r="C188" s="433"/>
      <c r="D188" s="433"/>
      <c r="E188" s="433"/>
      <c r="F188" s="434"/>
      <c r="G188" s="435"/>
      <c r="H188" s="433"/>
      <c r="I188" s="434"/>
      <c r="J188" s="434"/>
      <c r="K188" s="433"/>
      <c r="L188" s="433"/>
      <c r="M188" s="433"/>
      <c r="N188" s="433"/>
      <c r="O188" s="433"/>
      <c r="P188" s="433"/>
      <c r="Q188" s="433"/>
      <c r="R188" s="433"/>
      <c r="S188" s="433"/>
      <c r="T188" s="466"/>
      <c r="U188" s="433"/>
      <c r="V188" s="433"/>
      <c r="W188" s="433"/>
    </row>
    <row r="189" spans="2:23" ht="15" customHeight="1">
      <c r="B189" s="433"/>
      <c r="C189" s="433"/>
      <c r="D189" s="433"/>
      <c r="E189" s="433"/>
      <c r="F189" s="434"/>
      <c r="G189" s="435"/>
      <c r="H189" s="433"/>
      <c r="I189" s="434"/>
      <c r="J189" s="434"/>
      <c r="K189" s="433"/>
      <c r="L189" s="433"/>
      <c r="M189" s="433"/>
      <c r="N189" s="433"/>
      <c r="O189" s="433"/>
      <c r="P189" s="433"/>
      <c r="Q189" s="433"/>
      <c r="R189" s="433"/>
      <c r="S189" s="433"/>
      <c r="T189" s="466"/>
      <c r="U189" s="433"/>
      <c r="V189" s="433"/>
      <c r="W189" s="433"/>
    </row>
    <row r="190" spans="2:23" ht="15" customHeight="1">
      <c r="B190" s="433"/>
      <c r="C190" s="433"/>
      <c r="D190" s="433"/>
      <c r="E190" s="433"/>
      <c r="F190" s="434"/>
      <c r="G190" s="435"/>
      <c r="H190" s="433"/>
      <c r="I190" s="434"/>
      <c r="J190" s="434"/>
      <c r="K190" s="433"/>
      <c r="L190" s="433"/>
      <c r="M190" s="433"/>
      <c r="N190" s="433"/>
      <c r="O190" s="433"/>
      <c r="P190" s="433"/>
      <c r="Q190" s="433"/>
      <c r="R190" s="433"/>
      <c r="S190" s="433"/>
      <c r="T190" s="466"/>
      <c r="U190" s="433"/>
      <c r="V190" s="433"/>
      <c r="W190" s="433"/>
    </row>
    <row r="191" spans="2:23" ht="15" customHeight="1">
      <c r="B191" s="433"/>
      <c r="C191" s="433"/>
      <c r="D191" s="433"/>
      <c r="E191" s="433"/>
      <c r="F191" s="434"/>
      <c r="G191" s="435"/>
      <c r="H191" s="433"/>
      <c r="I191" s="434"/>
      <c r="J191" s="434"/>
      <c r="K191" s="433"/>
      <c r="L191" s="433"/>
      <c r="M191" s="433"/>
      <c r="N191" s="433"/>
      <c r="O191" s="433"/>
      <c r="P191" s="433"/>
      <c r="Q191" s="433"/>
      <c r="R191" s="433"/>
      <c r="S191" s="433"/>
      <c r="T191" s="466"/>
      <c r="U191" s="433"/>
      <c r="V191" s="433"/>
      <c r="W191" s="433"/>
    </row>
    <row r="192" spans="2:23" ht="15" customHeight="1">
      <c r="B192" s="433"/>
      <c r="C192" s="433"/>
      <c r="D192" s="433"/>
      <c r="E192" s="433"/>
      <c r="F192" s="434"/>
      <c r="G192" s="435"/>
      <c r="H192" s="433"/>
      <c r="I192" s="434"/>
      <c r="J192" s="434"/>
      <c r="K192" s="433"/>
      <c r="L192" s="433"/>
      <c r="M192" s="433"/>
      <c r="N192" s="433"/>
      <c r="O192" s="433"/>
      <c r="P192" s="433"/>
      <c r="Q192" s="433"/>
      <c r="R192" s="433"/>
      <c r="S192" s="433"/>
      <c r="T192" s="466"/>
      <c r="U192" s="433"/>
      <c r="V192" s="433"/>
      <c r="W192" s="433"/>
    </row>
    <row r="193" spans="2:23" ht="15" customHeight="1">
      <c r="B193" s="433"/>
      <c r="C193" s="433"/>
      <c r="D193" s="433"/>
      <c r="E193" s="433"/>
      <c r="F193" s="434"/>
      <c r="G193" s="435"/>
      <c r="H193" s="433"/>
      <c r="I193" s="434"/>
      <c r="J193" s="434"/>
      <c r="K193" s="433"/>
      <c r="L193" s="433"/>
      <c r="M193" s="433"/>
      <c r="N193" s="433"/>
      <c r="O193" s="433"/>
      <c r="P193" s="433"/>
      <c r="Q193" s="433"/>
      <c r="R193" s="433"/>
      <c r="S193" s="433"/>
      <c r="T193" s="466"/>
      <c r="U193" s="433"/>
      <c r="V193" s="433"/>
      <c r="W193" s="433"/>
    </row>
    <row r="194" spans="2:23" ht="15" customHeight="1">
      <c r="B194" s="433"/>
      <c r="C194" s="433"/>
      <c r="D194" s="433"/>
      <c r="E194" s="433"/>
      <c r="F194" s="434"/>
      <c r="G194" s="435"/>
      <c r="H194" s="433"/>
      <c r="I194" s="434"/>
      <c r="J194" s="434"/>
      <c r="K194" s="433"/>
      <c r="L194" s="433"/>
      <c r="M194" s="433"/>
      <c r="N194" s="433"/>
      <c r="O194" s="433"/>
      <c r="P194" s="433"/>
      <c r="Q194" s="433"/>
      <c r="R194" s="433"/>
      <c r="S194" s="433"/>
      <c r="T194" s="466"/>
      <c r="U194" s="433"/>
      <c r="V194" s="433"/>
      <c r="W194" s="433"/>
    </row>
    <row r="195" spans="2:23" ht="15" customHeight="1">
      <c r="B195" s="433"/>
      <c r="C195" s="433"/>
      <c r="D195" s="433"/>
      <c r="E195" s="433"/>
      <c r="F195" s="434"/>
      <c r="G195" s="435"/>
      <c r="H195" s="433"/>
      <c r="I195" s="434"/>
      <c r="J195" s="434"/>
      <c r="K195" s="433"/>
      <c r="L195" s="433"/>
      <c r="M195" s="433"/>
      <c r="N195" s="433"/>
      <c r="O195" s="433"/>
      <c r="P195" s="433"/>
      <c r="Q195" s="433"/>
      <c r="R195" s="433"/>
      <c r="S195" s="433"/>
      <c r="T195" s="466"/>
      <c r="U195" s="433"/>
      <c r="V195" s="433"/>
      <c r="W195" s="433"/>
    </row>
    <row r="196" spans="2:23" ht="15" customHeight="1">
      <c r="B196" s="433"/>
      <c r="C196" s="433"/>
      <c r="D196" s="433"/>
      <c r="E196" s="433"/>
      <c r="F196" s="434"/>
      <c r="G196" s="435"/>
      <c r="H196" s="433"/>
      <c r="I196" s="434"/>
      <c r="J196" s="434"/>
      <c r="K196" s="433"/>
      <c r="L196" s="433"/>
      <c r="M196" s="433"/>
      <c r="N196" s="433"/>
      <c r="O196" s="433"/>
      <c r="P196" s="433"/>
      <c r="Q196" s="433"/>
      <c r="R196" s="433"/>
      <c r="S196" s="433"/>
      <c r="T196" s="466"/>
      <c r="U196" s="433"/>
      <c r="V196" s="433"/>
      <c r="W196" s="433"/>
    </row>
    <row r="197" spans="2:23" ht="15" customHeight="1">
      <c r="B197" s="433"/>
      <c r="C197" s="433"/>
      <c r="D197" s="433"/>
      <c r="E197" s="433"/>
      <c r="F197" s="434"/>
      <c r="G197" s="435"/>
      <c r="H197" s="433"/>
      <c r="I197" s="434"/>
      <c r="J197" s="434"/>
      <c r="K197" s="433"/>
      <c r="L197" s="433"/>
      <c r="M197" s="433"/>
      <c r="N197" s="433"/>
      <c r="O197" s="433"/>
      <c r="P197" s="433"/>
      <c r="Q197" s="433"/>
      <c r="R197" s="433"/>
      <c r="S197" s="433"/>
      <c r="T197" s="466"/>
      <c r="U197" s="433"/>
      <c r="V197" s="433"/>
      <c r="W197" s="433"/>
    </row>
    <row r="198" spans="2:23" ht="15" customHeight="1">
      <c r="B198" s="433"/>
      <c r="C198" s="433"/>
      <c r="D198" s="433"/>
      <c r="E198" s="433"/>
      <c r="F198" s="434"/>
      <c r="G198" s="435"/>
      <c r="H198" s="433"/>
      <c r="I198" s="434"/>
      <c r="J198" s="434"/>
      <c r="K198" s="433"/>
      <c r="L198" s="433"/>
      <c r="M198" s="433"/>
      <c r="N198" s="433"/>
      <c r="O198" s="433"/>
      <c r="P198" s="433"/>
      <c r="Q198" s="433"/>
      <c r="R198" s="433"/>
      <c r="S198" s="433"/>
      <c r="T198" s="466"/>
      <c r="U198" s="433"/>
      <c r="V198" s="433"/>
      <c r="W198" s="433"/>
    </row>
    <row r="199" spans="2:23" ht="15" customHeight="1">
      <c r="B199" s="433"/>
      <c r="C199" s="433"/>
      <c r="D199" s="433"/>
      <c r="E199" s="433"/>
      <c r="F199" s="434"/>
      <c r="G199" s="435"/>
      <c r="H199" s="433"/>
      <c r="I199" s="434"/>
      <c r="J199" s="434"/>
      <c r="K199" s="433"/>
      <c r="L199" s="433"/>
      <c r="M199" s="433"/>
      <c r="N199" s="433"/>
      <c r="O199" s="433"/>
      <c r="P199" s="433"/>
      <c r="Q199" s="433"/>
      <c r="R199" s="433"/>
      <c r="S199" s="433"/>
      <c r="T199" s="466"/>
      <c r="U199" s="433"/>
      <c r="V199" s="433"/>
      <c r="W199" s="433"/>
    </row>
    <row r="200" spans="2:23" ht="15" customHeight="1">
      <c r="B200" s="433"/>
      <c r="C200" s="433"/>
      <c r="D200" s="433"/>
      <c r="E200" s="433"/>
      <c r="F200" s="434"/>
      <c r="G200" s="435"/>
      <c r="H200" s="433"/>
      <c r="I200" s="434"/>
      <c r="J200" s="434"/>
      <c r="K200" s="433"/>
      <c r="L200" s="433"/>
      <c r="M200" s="433"/>
      <c r="N200" s="433"/>
      <c r="O200" s="433"/>
      <c r="P200" s="433"/>
      <c r="Q200" s="433"/>
      <c r="R200" s="433"/>
      <c r="S200" s="433"/>
      <c r="T200" s="466"/>
      <c r="U200" s="433"/>
      <c r="V200" s="433"/>
      <c r="W200" s="433"/>
    </row>
    <row r="201" spans="2:23" ht="15" customHeight="1">
      <c r="B201" s="433"/>
      <c r="C201" s="433"/>
      <c r="D201" s="433"/>
      <c r="E201" s="433"/>
      <c r="F201" s="434"/>
      <c r="G201" s="435"/>
      <c r="H201" s="433"/>
      <c r="I201" s="434"/>
      <c r="J201" s="434"/>
      <c r="K201" s="433"/>
      <c r="L201" s="433"/>
      <c r="M201" s="433"/>
      <c r="N201" s="433"/>
      <c r="O201" s="433"/>
      <c r="P201" s="433"/>
      <c r="Q201" s="433"/>
      <c r="R201" s="433"/>
      <c r="S201" s="433"/>
      <c r="T201" s="466"/>
      <c r="U201" s="433"/>
      <c r="V201" s="433"/>
      <c r="W201" s="433"/>
    </row>
    <row r="202" spans="2:23" ht="15" customHeight="1">
      <c r="B202" s="433"/>
      <c r="C202" s="433"/>
      <c r="D202" s="433"/>
      <c r="E202" s="433"/>
      <c r="F202" s="434"/>
      <c r="G202" s="435"/>
      <c r="H202" s="433"/>
      <c r="I202" s="434"/>
      <c r="J202" s="434"/>
      <c r="K202" s="433"/>
      <c r="L202" s="433"/>
      <c r="M202" s="433"/>
      <c r="N202" s="433"/>
      <c r="O202" s="433"/>
      <c r="P202" s="433"/>
      <c r="Q202" s="433"/>
      <c r="R202" s="433"/>
      <c r="S202" s="433"/>
      <c r="T202" s="466"/>
      <c r="U202" s="433"/>
      <c r="V202" s="433"/>
      <c r="W202" s="433"/>
    </row>
    <row r="203" spans="2:23" ht="15" customHeight="1">
      <c r="B203" s="433"/>
      <c r="C203" s="433"/>
      <c r="D203" s="433"/>
      <c r="E203" s="433"/>
      <c r="F203" s="434"/>
      <c r="G203" s="435"/>
      <c r="H203" s="433"/>
      <c r="I203" s="434"/>
      <c r="J203" s="434"/>
      <c r="K203" s="433"/>
      <c r="L203" s="433"/>
      <c r="M203" s="433"/>
      <c r="N203" s="433"/>
      <c r="O203" s="433"/>
      <c r="P203" s="433"/>
      <c r="Q203" s="433"/>
      <c r="R203" s="433"/>
      <c r="S203" s="433"/>
      <c r="T203" s="466"/>
      <c r="U203" s="433"/>
      <c r="V203" s="433"/>
      <c r="W203" s="433"/>
    </row>
    <row r="204" spans="2:23" ht="15" customHeight="1">
      <c r="B204" s="433"/>
      <c r="C204" s="433"/>
      <c r="D204" s="433"/>
      <c r="E204" s="433"/>
      <c r="F204" s="434"/>
      <c r="G204" s="435"/>
      <c r="H204" s="433"/>
      <c r="I204" s="434"/>
      <c r="J204" s="434"/>
      <c r="K204" s="433"/>
      <c r="L204" s="433"/>
      <c r="M204" s="433"/>
      <c r="N204" s="433"/>
      <c r="O204" s="433"/>
      <c r="P204" s="433"/>
      <c r="Q204" s="433"/>
      <c r="R204" s="433"/>
      <c r="S204" s="433"/>
      <c r="T204" s="466"/>
      <c r="U204" s="433"/>
      <c r="V204" s="433"/>
      <c r="W204" s="433"/>
    </row>
    <row r="205" spans="2:23" ht="15" customHeight="1">
      <c r="B205" s="433"/>
      <c r="C205" s="433"/>
      <c r="D205" s="433"/>
      <c r="E205" s="433"/>
      <c r="F205" s="434"/>
      <c r="G205" s="435"/>
      <c r="H205" s="433"/>
      <c r="I205" s="434"/>
      <c r="J205" s="434"/>
      <c r="K205" s="433"/>
      <c r="L205" s="433"/>
      <c r="M205" s="433"/>
      <c r="N205" s="433"/>
      <c r="O205" s="433"/>
      <c r="P205" s="433"/>
      <c r="Q205" s="433"/>
      <c r="R205" s="433"/>
      <c r="S205" s="433"/>
      <c r="T205" s="466"/>
      <c r="U205" s="433"/>
      <c r="V205" s="433"/>
      <c r="W205" s="433"/>
    </row>
    <row r="206" spans="2:23" ht="15" customHeight="1">
      <c r="B206" s="433"/>
      <c r="C206" s="433"/>
      <c r="D206" s="433"/>
      <c r="E206" s="433"/>
      <c r="F206" s="434"/>
      <c r="G206" s="435"/>
      <c r="H206" s="433"/>
      <c r="I206" s="434"/>
      <c r="J206" s="434"/>
      <c r="K206" s="433"/>
      <c r="L206" s="433"/>
      <c r="M206" s="433"/>
      <c r="N206" s="433"/>
      <c r="O206" s="433"/>
      <c r="P206" s="433"/>
      <c r="Q206" s="433"/>
      <c r="R206" s="433"/>
      <c r="S206" s="433"/>
      <c r="T206" s="466"/>
      <c r="U206" s="433"/>
      <c r="V206" s="433"/>
      <c r="W206" s="433"/>
    </row>
    <row r="207" spans="2:23" ht="15" customHeight="1">
      <c r="B207" s="433"/>
      <c r="C207" s="433"/>
      <c r="D207" s="433"/>
      <c r="E207" s="433"/>
      <c r="F207" s="434"/>
      <c r="G207" s="435"/>
      <c r="H207" s="433"/>
      <c r="I207" s="434"/>
      <c r="J207" s="434"/>
      <c r="K207" s="433"/>
      <c r="L207" s="433"/>
      <c r="M207" s="433"/>
      <c r="N207" s="433"/>
      <c r="O207" s="433"/>
      <c r="P207" s="433"/>
      <c r="Q207" s="433"/>
      <c r="R207" s="433"/>
      <c r="S207" s="433"/>
      <c r="T207" s="466"/>
      <c r="U207" s="433"/>
      <c r="V207" s="433"/>
      <c r="W207" s="433"/>
    </row>
    <row r="208" spans="2:23" ht="15" customHeight="1">
      <c r="B208" s="433"/>
      <c r="C208" s="433"/>
      <c r="D208" s="433"/>
      <c r="E208" s="433"/>
      <c r="F208" s="434"/>
      <c r="G208" s="435"/>
      <c r="H208" s="433"/>
      <c r="I208" s="434"/>
      <c r="J208" s="434"/>
      <c r="K208" s="433"/>
      <c r="L208" s="433"/>
      <c r="M208" s="433"/>
      <c r="N208" s="433"/>
      <c r="O208" s="433"/>
      <c r="P208" s="433"/>
      <c r="Q208" s="433"/>
      <c r="R208" s="433"/>
      <c r="S208" s="433"/>
      <c r="T208" s="466"/>
      <c r="U208" s="433"/>
      <c r="V208" s="433"/>
      <c r="W208" s="433"/>
    </row>
    <row r="209" spans="2:23" ht="15" customHeight="1">
      <c r="B209" s="433"/>
      <c r="C209" s="433"/>
      <c r="D209" s="433"/>
      <c r="E209" s="433"/>
      <c r="F209" s="434"/>
      <c r="G209" s="435"/>
      <c r="H209" s="433"/>
      <c r="I209" s="434"/>
      <c r="J209" s="434"/>
      <c r="K209" s="433"/>
      <c r="L209" s="433"/>
      <c r="M209" s="433"/>
      <c r="N209" s="433"/>
      <c r="O209" s="433"/>
      <c r="P209" s="433"/>
      <c r="Q209" s="433"/>
      <c r="R209" s="433"/>
      <c r="S209" s="433"/>
      <c r="T209" s="466"/>
      <c r="U209" s="433"/>
      <c r="V209" s="433"/>
      <c r="W209" s="433"/>
    </row>
    <row r="210" spans="2:23" ht="15" customHeight="1">
      <c r="B210" s="433"/>
      <c r="C210" s="433"/>
      <c r="D210" s="433"/>
      <c r="E210" s="433"/>
      <c r="F210" s="434"/>
      <c r="G210" s="435"/>
      <c r="H210" s="433"/>
      <c r="I210" s="434"/>
      <c r="J210" s="434"/>
      <c r="K210" s="433"/>
      <c r="L210" s="433"/>
      <c r="M210" s="433"/>
      <c r="N210" s="433"/>
      <c r="O210" s="433"/>
      <c r="P210" s="433"/>
      <c r="Q210" s="433"/>
      <c r="R210" s="433"/>
      <c r="S210" s="433"/>
      <c r="T210" s="466"/>
      <c r="U210" s="433"/>
      <c r="V210" s="433"/>
      <c r="W210" s="433"/>
    </row>
    <row r="211" spans="2:23" ht="15" customHeight="1">
      <c r="B211" s="433"/>
      <c r="C211" s="433"/>
      <c r="D211" s="433"/>
      <c r="E211" s="433"/>
      <c r="F211" s="434"/>
      <c r="G211" s="435"/>
      <c r="H211" s="433"/>
      <c r="I211" s="434"/>
      <c r="J211" s="434"/>
      <c r="K211" s="433"/>
      <c r="L211" s="433"/>
      <c r="M211" s="433"/>
      <c r="N211" s="433"/>
      <c r="O211" s="433"/>
      <c r="P211" s="433"/>
      <c r="Q211" s="433"/>
      <c r="R211" s="433"/>
      <c r="S211" s="433"/>
      <c r="T211" s="466"/>
      <c r="U211" s="433"/>
      <c r="V211" s="433"/>
      <c r="W211" s="433"/>
    </row>
    <row r="212" spans="2:23" ht="15" customHeight="1">
      <c r="B212" s="433"/>
      <c r="C212" s="433"/>
      <c r="D212" s="433"/>
      <c r="E212" s="433"/>
      <c r="F212" s="434"/>
      <c r="G212" s="435"/>
      <c r="H212" s="433"/>
      <c r="I212" s="434"/>
      <c r="J212" s="434"/>
      <c r="K212" s="433"/>
      <c r="L212" s="433"/>
      <c r="M212" s="433"/>
      <c r="N212" s="433"/>
      <c r="O212" s="433"/>
      <c r="P212" s="433"/>
      <c r="Q212" s="433"/>
      <c r="R212" s="433"/>
      <c r="S212" s="433"/>
      <c r="T212" s="466"/>
      <c r="U212" s="433"/>
      <c r="V212" s="433"/>
      <c r="W212" s="433"/>
    </row>
    <row r="213" spans="2:23" ht="15" customHeight="1">
      <c r="B213" s="433"/>
      <c r="C213" s="433"/>
      <c r="D213" s="433"/>
      <c r="E213" s="433"/>
      <c r="F213" s="434"/>
      <c r="G213" s="435"/>
      <c r="H213" s="433"/>
      <c r="I213" s="434"/>
      <c r="J213" s="434"/>
      <c r="K213" s="433"/>
      <c r="L213" s="433"/>
      <c r="M213" s="433"/>
      <c r="N213" s="433"/>
      <c r="O213" s="433"/>
      <c r="P213" s="433"/>
      <c r="Q213" s="433"/>
      <c r="R213" s="433"/>
      <c r="S213" s="433"/>
      <c r="T213" s="466"/>
      <c r="U213" s="433"/>
      <c r="V213" s="433"/>
      <c r="W213" s="433"/>
    </row>
    <row r="214" spans="2:23" ht="15" customHeight="1">
      <c r="B214" s="433"/>
      <c r="C214" s="433"/>
      <c r="D214" s="433"/>
      <c r="E214" s="433"/>
      <c r="F214" s="434"/>
      <c r="G214" s="435"/>
      <c r="H214" s="433"/>
      <c r="I214" s="434"/>
      <c r="J214" s="434"/>
      <c r="K214" s="433"/>
      <c r="L214" s="433"/>
      <c r="M214" s="433"/>
      <c r="N214" s="433"/>
      <c r="O214" s="433"/>
      <c r="P214" s="433"/>
      <c r="Q214" s="433"/>
      <c r="R214" s="433"/>
      <c r="S214" s="433"/>
      <c r="T214" s="466"/>
      <c r="U214" s="433"/>
      <c r="V214" s="433"/>
      <c r="W214" s="433"/>
    </row>
    <row r="215" spans="2:23" ht="15" customHeight="1">
      <c r="B215" s="433"/>
      <c r="C215" s="433"/>
      <c r="D215" s="433"/>
      <c r="E215" s="433"/>
      <c r="F215" s="434"/>
      <c r="G215" s="435"/>
      <c r="H215" s="433"/>
      <c r="I215" s="434"/>
      <c r="J215" s="434"/>
      <c r="K215" s="433"/>
      <c r="L215" s="433"/>
      <c r="M215" s="433"/>
      <c r="N215" s="433"/>
      <c r="O215" s="433"/>
      <c r="P215" s="433"/>
      <c r="Q215" s="433"/>
      <c r="R215" s="433"/>
      <c r="S215" s="433"/>
      <c r="T215" s="466"/>
      <c r="U215" s="433"/>
      <c r="V215" s="433"/>
      <c r="W215" s="433"/>
    </row>
    <row r="216" spans="2:23" ht="15" customHeight="1">
      <c r="B216" s="433"/>
      <c r="C216" s="433"/>
      <c r="D216" s="433"/>
      <c r="E216" s="433"/>
      <c r="F216" s="434"/>
      <c r="G216" s="435"/>
      <c r="H216" s="433"/>
      <c r="I216" s="434"/>
      <c r="J216" s="434"/>
      <c r="K216" s="433"/>
      <c r="L216" s="433"/>
      <c r="M216" s="433"/>
      <c r="N216" s="433"/>
      <c r="O216" s="433"/>
      <c r="P216" s="433"/>
      <c r="Q216" s="433"/>
      <c r="R216" s="433"/>
      <c r="S216" s="433"/>
      <c r="T216" s="466"/>
      <c r="U216" s="433"/>
      <c r="V216" s="433"/>
      <c r="W216" s="433"/>
    </row>
    <row r="217" spans="2:23" ht="15" customHeight="1">
      <c r="B217" s="433"/>
      <c r="C217" s="433"/>
      <c r="D217" s="433"/>
      <c r="E217" s="433"/>
      <c r="F217" s="434"/>
      <c r="G217" s="435"/>
      <c r="H217" s="433"/>
      <c r="I217" s="434"/>
      <c r="J217" s="434"/>
      <c r="K217" s="433"/>
      <c r="L217" s="433"/>
      <c r="M217" s="433"/>
      <c r="N217" s="433"/>
      <c r="O217" s="433"/>
      <c r="P217" s="433"/>
      <c r="Q217" s="433"/>
      <c r="R217" s="433"/>
      <c r="S217" s="433"/>
      <c r="T217" s="466"/>
      <c r="U217" s="433"/>
      <c r="V217" s="433"/>
      <c r="W217" s="433"/>
    </row>
    <row r="218" spans="2:23" ht="15" customHeight="1">
      <c r="B218" s="433"/>
      <c r="C218" s="433"/>
      <c r="D218" s="433"/>
      <c r="E218" s="433"/>
      <c r="F218" s="434"/>
      <c r="G218" s="435"/>
      <c r="H218" s="433"/>
      <c r="I218" s="434"/>
      <c r="J218" s="434"/>
      <c r="K218" s="433"/>
      <c r="L218" s="433"/>
      <c r="M218" s="433"/>
      <c r="N218" s="433"/>
      <c r="O218" s="433"/>
      <c r="P218" s="433"/>
      <c r="Q218" s="433"/>
      <c r="R218" s="433"/>
      <c r="S218" s="433"/>
      <c r="T218" s="466"/>
      <c r="U218" s="433"/>
      <c r="V218" s="433"/>
      <c r="W218" s="433"/>
    </row>
    <row r="219" spans="2:23" ht="15" customHeight="1">
      <c r="B219" s="433"/>
      <c r="C219" s="433"/>
      <c r="D219" s="433"/>
      <c r="E219" s="433"/>
      <c r="F219" s="434"/>
      <c r="G219" s="435"/>
      <c r="H219" s="433"/>
      <c r="I219" s="434"/>
      <c r="J219" s="434"/>
      <c r="K219" s="433"/>
      <c r="L219" s="433"/>
      <c r="M219" s="433"/>
      <c r="N219" s="433"/>
      <c r="O219" s="433"/>
      <c r="P219" s="433"/>
      <c r="Q219" s="433"/>
      <c r="R219" s="433"/>
      <c r="S219" s="433"/>
      <c r="T219" s="466"/>
      <c r="U219" s="433"/>
      <c r="V219" s="433"/>
      <c r="W219" s="433"/>
    </row>
    <row r="220" spans="2:23" ht="15" customHeight="1">
      <c r="B220" s="433"/>
      <c r="C220" s="433"/>
      <c r="D220" s="433"/>
      <c r="E220" s="433"/>
      <c r="F220" s="434"/>
      <c r="G220" s="435"/>
      <c r="H220" s="433"/>
      <c r="I220" s="434"/>
      <c r="J220" s="434"/>
      <c r="K220" s="433"/>
      <c r="L220" s="433"/>
      <c r="M220" s="433"/>
      <c r="N220" s="433"/>
      <c r="O220" s="433"/>
      <c r="P220" s="433"/>
      <c r="Q220" s="433"/>
      <c r="R220" s="433"/>
      <c r="S220" s="433"/>
      <c r="T220" s="466"/>
      <c r="U220" s="433"/>
      <c r="V220" s="433"/>
      <c r="W220" s="433"/>
    </row>
    <row r="221" spans="2:23" ht="15" customHeight="1">
      <c r="B221" s="433"/>
      <c r="C221" s="433"/>
      <c r="D221" s="433"/>
      <c r="E221" s="433"/>
      <c r="F221" s="434"/>
      <c r="G221" s="435"/>
      <c r="H221" s="433"/>
      <c r="I221" s="434"/>
      <c r="J221" s="434"/>
      <c r="K221" s="433"/>
      <c r="L221" s="433"/>
      <c r="M221" s="433"/>
      <c r="N221" s="433"/>
      <c r="O221" s="433"/>
      <c r="P221" s="433"/>
      <c r="Q221" s="433"/>
      <c r="R221" s="433"/>
      <c r="S221" s="433"/>
      <c r="T221" s="466"/>
      <c r="U221" s="433"/>
      <c r="V221" s="433"/>
      <c r="W221" s="433"/>
    </row>
    <row r="222" spans="2:23" ht="15" customHeight="1">
      <c r="B222" s="433"/>
      <c r="C222" s="433"/>
      <c r="D222" s="433"/>
      <c r="E222" s="433"/>
      <c r="F222" s="434"/>
      <c r="G222" s="435"/>
      <c r="H222" s="433"/>
      <c r="I222" s="434"/>
      <c r="J222" s="434"/>
      <c r="K222" s="433"/>
      <c r="L222" s="433"/>
      <c r="M222" s="433"/>
      <c r="N222" s="433"/>
      <c r="O222" s="433"/>
      <c r="P222" s="433"/>
      <c r="Q222" s="433"/>
      <c r="R222" s="433"/>
      <c r="S222" s="433"/>
      <c r="T222" s="466"/>
      <c r="U222" s="433"/>
      <c r="V222" s="433"/>
      <c r="W222" s="433"/>
    </row>
    <row r="223" spans="2:23" ht="15" customHeight="1">
      <c r="B223" s="433"/>
      <c r="C223" s="433"/>
      <c r="D223" s="433"/>
      <c r="E223" s="433"/>
      <c r="F223" s="434"/>
      <c r="G223" s="435"/>
      <c r="H223" s="433"/>
      <c r="I223" s="434"/>
      <c r="J223" s="434"/>
      <c r="K223" s="433"/>
      <c r="L223" s="433"/>
      <c r="M223" s="433"/>
      <c r="N223" s="433"/>
      <c r="O223" s="433"/>
      <c r="P223" s="433"/>
      <c r="Q223" s="433"/>
      <c r="R223" s="433"/>
      <c r="S223" s="433"/>
      <c r="T223" s="466"/>
      <c r="U223" s="433"/>
      <c r="V223" s="433"/>
      <c r="W223" s="433"/>
    </row>
    <row r="224" spans="2:23" ht="15" customHeight="1">
      <c r="B224" s="433"/>
      <c r="C224" s="433"/>
      <c r="D224" s="433"/>
      <c r="E224" s="433"/>
      <c r="F224" s="434"/>
      <c r="G224" s="435"/>
      <c r="H224" s="433"/>
      <c r="I224" s="434"/>
      <c r="J224" s="434"/>
      <c r="K224" s="433"/>
      <c r="L224" s="433"/>
      <c r="M224" s="433"/>
      <c r="N224" s="433"/>
      <c r="O224" s="433"/>
      <c r="P224" s="433"/>
      <c r="Q224" s="433"/>
      <c r="R224" s="433"/>
      <c r="S224" s="433"/>
      <c r="T224" s="466"/>
      <c r="U224" s="433"/>
      <c r="V224" s="433"/>
      <c r="W224" s="433"/>
    </row>
    <row r="225" spans="2:23" ht="15" customHeight="1">
      <c r="B225" s="433"/>
      <c r="C225" s="433"/>
      <c r="D225" s="433"/>
      <c r="E225" s="433"/>
      <c r="F225" s="434"/>
      <c r="G225" s="435"/>
      <c r="H225" s="433"/>
      <c r="I225" s="434"/>
      <c r="J225" s="434"/>
      <c r="K225" s="433"/>
      <c r="L225" s="433"/>
      <c r="M225" s="433"/>
      <c r="N225" s="433"/>
      <c r="O225" s="433"/>
      <c r="P225" s="433"/>
      <c r="Q225" s="433"/>
      <c r="R225" s="433"/>
      <c r="S225" s="433"/>
      <c r="T225" s="466"/>
      <c r="U225" s="433"/>
      <c r="V225" s="433"/>
      <c r="W225" s="433"/>
    </row>
    <row r="226" spans="2:23" ht="15" customHeight="1">
      <c r="B226" s="433"/>
      <c r="C226" s="433"/>
      <c r="D226" s="433"/>
      <c r="E226" s="433"/>
      <c r="F226" s="434"/>
      <c r="G226" s="435"/>
      <c r="H226" s="433"/>
      <c r="I226" s="434"/>
      <c r="J226" s="434"/>
      <c r="K226" s="433"/>
      <c r="L226" s="433"/>
      <c r="M226" s="433"/>
      <c r="N226" s="433"/>
      <c r="O226" s="433"/>
      <c r="P226" s="433"/>
      <c r="Q226" s="433"/>
      <c r="R226" s="433"/>
      <c r="S226" s="433"/>
      <c r="T226" s="466"/>
      <c r="U226" s="433"/>
      <c r="V226" s="433"/>
      <c r="W226" s="433"/>
    </row>
    <row r="227" spans="2:23" ht="15" customHeight="1">
      <c r="B227" s="433"/>
      <c r="C227" s="433"/>
      <c r="D227" s="433"/>
      <c r="E227" s="433"/>
      <c r="F227" s="434"/>
      <c r="G227" s="435"/>
      <c r="H227" s="433"/>
      <c r="I227" s="434"/>
      <c r="J227" s="434"/>
      <c r="K227" s="433"/>
      <c r="L227" s="433"/>
      <c r="M227" s="433"/>
      <c r="N227" s="433"/>
      <c r="O227" s="433"/>
      <c r="P227" s="433"/>
      <c r="Q227" s="433"/>
      <c r="R227" s="433"/>
      <c r="S227" s="433"/>
      <c r="T227" s="466"/>
      <c r="U227" s="433"/>
      <c r="V227" s="433"/>
      <c r="W227" s="433"/>
    </row>
    <row r="228" spans="2:23" ht="15" customHeight="1">
      <c r="B228" s="433"/>
      <c r="C228" s="433"/>
      <c r="D228" s="433"/>
      <c r="E228" s="433"/>
      <c r="F228" s="434"/>
      <c r="G228" s="435"/>
      <c r="H228" s="433"/>
      <c r="I228" s="434"/>
      <c r="J228" s="434"/>
      <c r="K228" s="433"/>
      <c r="L228" s="433"/>
      <c r="M228" s="433"/>
      <c r="N228" s="433"/>
      <c r="O228" s="433"/>
      <c r="P228" s="433"/>
      <c r="Q228" s="433"/>
      <c r="R228" s="433"/>
      <c r="S228" s="433"/>
      <c r="T228" s="466"/>
      <c r="U228" s="433"/>
      <c r="V228" s="433"/>
      <c r="W228" s="433"/>
    </row>
    <row r="229" spans="2:23" ht="15" customHeight="1">
      <c r="B229" s="433"/>
      <c r="C229" s="433"/>
      <c r="D229" s="433"/>
      <c r="E229" s="433"/>
      <c r="F229" s="434"/>
      <c r="G229" s="435"/>
      <c r="H229" s="433"/>
      <c r="I229" s="434"/>
      <c r="J229" s="434"/>
      <c r="K229" s="433"/>
      <c r="L229" s="433"/>
      <c r="M229" s="433"/>
      <c r="N229" s="433"/>
      <c r="O229" s="433"/>
      <c r="P229" s="433"/>
      <c r="Q229" s="433"/>
      <c r="R229" s="433"/>
      <c r="S229" s="433"/>
      <c r="T229" s="466"/>
      <c r="U229" s="433"/>
      <c r="V229" s="433"/>
      <c r="W229" s="433"/>
    </row>
    <row r="230" spans="2:23" ht="15" customHeight="1">
      <c r="B230" s="433"/>
      <c r="C230" s="433"/>
      <c r="D230" s="433"/>
      <c r="E230" s="433"/>
      <c r="F230" s="434"/>
      <c r="G230" s="435"/>
      <c r="H230" s="433"/>
      <c r="I230" s="434"/>
      <c r="J230" s="434"/>
      <c r="K230" s="433"/>
      <c r="L230" s="433"/>
      <c r="M230" s="433"/>
      <c r="N230" s="433"/>
      <c r="O230" s="433"/>
      <c r="P230" s="433"/>
      <c r="Q230" s="433"/>
      <c r="R230" s="433"/>
      <c r="S230" s="433"/>
      <c r="T230" s="466"/>
      <c r="U230" s="433"/>
      <c r="V230" s="433"/>
      <c r="W230" s="433"/>
    </row>
    <row r="231" spans="2:23" ht="15" customHeight="1">
      <c r="B231" s="433"/>
      <c r="C231" s="433"/>
      <c r="D231" s="433"/>
      <c r="E231" s="433"/>
      <c r="F231" s="434"/>
      <c r="G231" s="435"/>
      <c r="H231" s="433"/>
      <c r="I231" s="434"/>
      <c r="J231" s="434"/>
      <c r="K231" s="433"/>
      <c r="L231" s="433"/>
      <c r="M231" s="433"/>
      <c r="N231" s="433"/>
      <c r="O231" s="433"/>
      <c r="P231" s="433"/>
      <c r="Q231" s="433"/>
      <c r="R231" s="433"/>
      <c r="S231" s="433"/>
      <c r="T231" s="466"/>
      <c r="U231" s="433"/>
      <c r="V231" s="433"/>
      <c r="W231" s="433"/>
    </row>
    <row r="232" spans="2:23" ht="15" customHeight="1">
      <c r="B232" s="433"/>
      <c r="C232" s="433"/>
      <c r="D232" s="433"/>
      <c r="E232" s="433"/>
      <c r="F232" s="434"/>
      <c r="G232" s="435"/>
      <c r="H232" s="433"/>
      <c r="I232" s="434"/>
      <c r="J232" s="434"/>
      <c r="K232" s="433"/>
      <c r="L232" s="433"/>
      <c r="M232" s="433"/>
      <c r="N232" s="433"/>
      <c r="O232" s="433"/>
      <c r="P232" s="433"/>
      <c r="Q232" s="433"/>
      <c r="R232" s="433"/>
      <c r="S232" s="433"/>
      <c r="T232" s="466"/>
      <c r="U232" s="433"/>
      <c r="V232" s="433"/>
      <c r="W232" s="433"/>
    </row>
    <row r="233" spans="2:23" ht="15" customHeight="1">
      <c r="B233" s="433"/>
      <c r="C233" s="433"/>
      <c r="D233" s="433"/>
      <c r="E233" s="433"/>
      <c r="F233" s="434"/>
      <c r="G233" s="435"/>
      <c r="H233" s="433"/>
      <c r="I233" s="434"/>
      <c r="J233" s="434"/>
      <c r="K233" s="433"/>
      <c r="L233" s="433"/>
      <c r="M233" s="433"/>
      <c r="N233" s="433"/>
      <c r="O233" s="433"/>
      <c r="P233" s="433"/>
      <c r="Q233" s="433"/>
      <c r="R233" s="433"/>
      <c r="S233" s="433"/>
      <c r="T233" s="466"/>
      <c r="U233" s="433"/>
      <c r="V233" s="433"/>
      <c r="W233" s="433"/>
    </row>
    <row r="234" spans="2:23" ht="15" customHeight="1">
      <c r="B234" s="433"/>
      <c r="C234" s="433"/>
      <c r="D234" s="433"/>
      <c r="E234" s="433"/>
      <c r="F234" s="434"/>
      <c r="G234" s="435"/>
      <c r="H234" s="433"/>
      <c r="I234" s="434"/>
      <c r="J234" s="434"/>
      <c r="K234" s="433"/>
      <c r="L234" s="433"/>
      <c r="M234" s="433"/>
      <c r="N234" s="433"/>
      <c r="O234" s="433"/>
      <c r="P234" s="433"/>
      <c r="Q234" s="433"/>
      <c r="R234" s="433"/>
      <c r="S234" s="433"/>
      <c r="T234" s="466"/>
      <c r="U234" s="433"/>
      <c r="V234" s="433"/>
      <c r="W234" s="433"/>
    </row>
    <row r="235" spans="2:23" ht="15" customHeight="1">
      <c r="B235" s="433"/>
      <c r="C235" s="433"/>
      <c r="D235" s="433"/>
      <c r="E235" s="433"/>
      <c r="F235" s="434"/>
      <c r="G235" s="435"/>
      <c r="H235" s="433"/>
      <c r="I235" s="434"/>
      <c r="J235" s="434"/>
      <c r="K235" s="433"/>
      <c r="L235" s="433"/>
      <c r="M235" s="433"/>
      <c r="N235" s="433"/>
      <c r="O235" s="433"/>
      <c r="P235" s="433"/>
      <c r="Q235" s="433"/>
      <c r="R235" s="433"/>
      <c r="S235" s="433"/>
      <c r="T235" s="466"/>
      <c r="U235" s="433"/>
      <c r="V235" s="433"/>
      <c r="W235" s="433"/>
    </row>
    <row r="236" spans="2:23" ht="15" customHeight="1">
      <c r="B236" s="433"/>
      <c r="C236" s="433"/>
      <c r="D236" s="433"/>
      <c r="E236" s="433"/>
      <c r="F236" s="434"/>
      <c r="G236" s="435"/>
      <c r="H236" s="433"/>
      <c r="I236" s="434"/>
      <c r="J236" s="434"/>
      <c r="K236" s="433"/>
      <c r="L236" s="433"/>
      <c r="M236" s="433"/>
      <c r="N236" s="433"/>
      <c r="O236" s="433"/>
      <c r="P236" s="433"/>
      <c r="Q236" s="433"/>
      <c r="R236" s="433"/>
      <c r="S236" s="433"/>
      <c r="T236" s="466"/>
      <c r="U236" s="433"/>
      <c r="V236" s="433"/>
      <c r="W236" s="433"/>
    </row>
    <row r="237" spans="2:23" ht="15" customHeight="1">
      <c r="B237" s="433"/>
      <c r="C237" s="433"/>
      <c r="D237" s="433"/>
      <c r="E237" s="433"/>
      <c r="F237" s="434"/>
      <c r="G237" s="435"/>
      <c r="H237" s="433"/>
      <c r="I237" s="434"/>
      <c r="J237" s="434"/>
      <c r="K237" s="433"/>
      <c r="L237" s="433"/>
      <c r="M237" s="433"/>
      <c r="N237" s="433"/>
      <c r="O237" s="433"/>
      <c r="P237" s="433"/>
      <c r="Q237" s="433"/>
      <c r="R237" s="433"/>
      <c r="S237" s="433"/>
      <c r="T237" s="466"/>
      <c r="U237" s="433"/>
      <c r="V237" s="433"/>
      <c r="W237" s="433"/>
    </row>
    <row r="238" spans="2:23" ht="15" customHeight="1">
      <c r="B238" s="433"/>
      <c r="C238" s="433"/>
      <c r="D238" s="433"/>
      <c r="E238" s="433"/>
      <c r="F238" s="434"/>
      <c r="G238" s="435"/>
      <c r="H238" s="433"/>
      <c r="I238" s="434"/>
      <c r="J238" s="434"/>
      <c r="K238" s="433"/>
      <c r="L238" s="433"/>
      <c r="M238" s="433"/>
      <c r="N238" s="433"/>
      <c r="O238" s="433"/>
      <c r="P238" s="433"/>
      <c r="Q238" s="433"/>
      <c r="R238" s="433"/>
      <c r="S238" s="433"/>
      <c r="T238" s="466"/>
      <c r="U238" s="433"/>
      <c r="V238" s="433"/>
      <c r="W238" s="433"/>
    </row>
    <row r="239" spans="2:23" ht="15" customHeight="1">
      <c r="B239" s="433"/>
      <c r="C239" s="433"/>
      <c r="D239" s="433"/>
      <c r="E239" s="433"/>
      <c r="F239" s="434"/>
      <c r="G239" s="435"/>
      <c r="H239" s="433"/>
      <c r="I239" s="434"/>
      <c r="J239" s="434"/>
      <c r="K239" s="433"/>
      <c r="L239" s="433"/>
      <c r="M239" s="433"/>
      <c r="N239" s="433"/>
      <c r="O239" s="433"/>
      <c r="P239" s="433"/>
      <c r="Q239" s="433"/>
      <c r="R239" s="433"/>
      <c r="S239" s="433"/>
      <c r="T239" s="466"/>
      <c r="U239" s="433"/>
      <c r="V239" s="433"/>
      <c r="W239" s="433"/>
    </row>
    <row r="240" spans="2:23" ht="15" customHeight="1">
      <c r="B240" s="433"/>
      <c r="C240" s="433"/>
      <c r="D240" s="433"/>
      <c r="E240" s="433"/>
      <c r="F240" s="434"/>
      <c r="G240" s="435"/>
      <c r="H240" s="433"/>
      <c r="I240" s="434"/>
      <c r="J240" s="434"/>
      <c r="K240" s="433"/>
      <c r="L240" s="433"/>
      <c r="M240" s="433"/>
      <c r="N240" s="433"/>
      <c r="O240" s="433"/>
      <c r="P240" s="433"/>
      <c r="Q240" s="433"/>
      <c r="R240" s="433"/>
      <c r="S240" s="433"/>
      <c r="T240" s="466"/>
      <c r="U240" s="433"/>
      <c r="V240" s="433"/>
      <c r="W240" s="433"/>
    </row>
    <row r="241" spans="2:23" ht="15" customHeight="1">
      <c r="B241" s="433"/>
      <c r="C241" s="433"/>
      <c r="D241" s="433"/>
      <c r="E241" s="433"/>
      <c r="F241" s="434"/>
      <c r="G241" s="435"/>
      <c r="H241" s="433"/>
      <c r="I241" s="434"/>
      <c r="J241" s="434"/>
      <c r="K241" s="433"/>
      <c r="L241" s="433"/>
      <c r="M241" s="433"/>
      <c r="N241" s="433"/>
      <c r="O241" s="433"/>
      <c r="P241" s="433"/>
      <c r="Q241" s="433"/>
      <c r="R241" s="433"/>
      <c r="S241" s="433"/>
      <c r="T241" s="466"/>
      <c r="U241" s="433"/>
      <c r="V241" s="433"/>
      <c r="W241" s="433"/>
    </row>
    <row r="242" spans="2:23" ht="15" customHeight="1">
      <c r="B242" s="433"/>
      <c r="C242" s="433"/>
      <c r="D242" s="433"/>
      <c r="E242" s="433"/>
      <c r="F242" s="434"/>
      <c r="G242" s="435"/>
      <c r="H242" s="433"/>
      <c r="I242" s="434"/>
      <c r="J242" s="434"/>
      <c r="K242" s="433"/>
      <c r="L242" s="433"/>
      <c r="M242" s="433"/>
      <c r="N242" s="433"/>
      <c r="O242" s="433"/>
      <c r="P242" s="433"/>
      <c r="Q242" s="433"/>
      <c r="R242" s="433"/>
      <c r="S242" s="433"/>
      <c r="T242" s="466"/>
      <c r="U242" s="433"/>
      <c r="V242" s="433"/>
      <c r="W242" s="433"/>
    </row>
    <row r="243" spans="2:23" ht="15" customHeight="1">
      <c r="B243" s="433"/>
      <c r="C243" s="433"/>
      <c r="D243" s="433"/>
      <c r="E243" s="433"/>
      <c r="F243" s="434"/>
      <c r="G243" s="435"/>
      <c r="H243" s="433"/>
      <c r="I243" s="434"/>
      <c r="J243" s="434"/>
      <c r="K243" s="433"/>
      <c r="L243" s="433"/>
      <c r="M243" s="433"/>
      <c r="N243" s="433"/>
      <c r="O243" s="433"/>
      <c r="P243" s="433"/>
      <c r="Q243" s="433"/>
      <c r="R243" s="433"/>
      <c r="S243" s="433"/>
      <c r="T243" s="466"/>
      <c r="U243" s="433"/>
      <c r="V243" s="433"/>
      <c r="W243" s="433"/>
    </row>
    <row r="244" spans="2:23" ht="15" customHeight="1">
      <c r="B244" s="433"/>
      <c r="C244" s="433"/>
      <c r="D244" s="433"/>
      <c r="E244" s="433"/>
      <c r="F244" s="434"/>
      <c r="G244" s="435"/>
      <c r="H244" s="433"/>
      <c r="I244" s="434"/>
      <c r="J244" s="434"/>
      <c r="K244" s="433"/>
      <c r="L244" s="433"/>
      <c r="M244" s="433"/>
      <c r="N244" s="433"/>
      <c r="O244" s="433"/>
      <c r="P244" s="433"/>
      <c r="Q244" s="433"/>
      <c r="R244" s="433"/>
      <c r="S244" s="433"/>
      <c r="T244" s="466"/>
      <c r="U244" s="433"/>
      <c r="V244" s="433"/>
      <c r="W244" s="433"/>
    </row>
    <row r="245" spans="2:23" ht="15" customHeight="1">
      <c r="B245" s="433"/>
      <c r="C245" s="433"/>
      <c r="D245" s="433"/>
      <c r="E245" s="433"/>
      <c r="F245" s="434"/>
      <c r="G245" s="435"/>
      <c r="H245" s="433"/>
      <c r="I245" s="434"/>
      <c r="J245" s="434"/>
      <c r="K245" s="433"/>
      <c r="L245" s="433"/>
      <c r="M245" s="433"/>
      <c r="N245" s="433"/>
      <c r="O245" s="433"/>
      <c r="P245" s="433"/>
      <c r="Q245" s="433"/>
      <c r="R245" s="433"/>
      <c r="S245" s="433"/>
      <c r="T245" s="466"/>
      <c r="U245" s="433"/>
      <c r="V245" s="433"/>
      <c r="W245" s="433"/>
    </row>
    <row r="246" spans="2:23" ht="15" customHeight="1">
      <c r="B246" s="433"/>
      <c r="C246" s="433"/>
      <c r="D246" s="433"/>
      <c r="E246" s="433"/>
      <c r="F246" s="434"/>
      <c r="G246" s="435"/>
      <c r="H246" s="433"/>
      <c r="I246" s="434"/>
      <c r="J246" s="434"/>
      <c r="K246" s="433"/>
      <c r="L246" s="433"/>
      <c r="M246" s="433"/>
      <c r="N246" s="433"/>
      <c r="O246" s="433"/>
      <c r="P246" s="433"/>
      <c r="Q246" s="433"/>
      <c r="R246" s="433"/>
      <c r="S246" s="433"/>
      <c r="T246" s="466"/>
      <c r="U246" s="433"/>
      <c r="V246" s="433"/>
      <c r="W246" s="433"/>
    </row>
    <row r="247" spans="2:23" ht="15" customHeight="1">
      <c r="B247" s="433"/>
      <c r="C247" s="433"/>
      <c r="D247" s="433"/>
      <c r="E247" s="433"/>
      <c r="F247" s="434"/>
      <c r="G247" s="435"/>
      <c r="H247" s="433"/>
      <c r="I247" s="434"/>
      <c r="J247" s="434"/>
      <c r="K247" s="433"/>
      <c r="L247" s="433"/>
      <c r="M247" s="433"/>
      <c r="N247" s="433"/>
      <c r="O247" s="433"/>
      <c r="P247" s="433"/>
      <c r="Q247" s="433"/>
      <c r="R247" s="433"/>
      <c r="S247" s="433"/>
      <c r="T247" s="466"/>
      <c r="U247" s="433"/>
      <c r="V247" s="433"/>
      <c r="W247" s="433"/>
    </row>
    <row r="248" spans="2:23" ht="15" customHeight="1">
      <c r="B248" s="433"/>
      <c r="C248" s="433"/>
      <c r="D248" s="433"/>
      <c r="E248" s="433"/>
      <c r="F248" s="434"/>
      <c r="G248" s="435"/>
      <c r="H248" s="433"/>
      <c r="I248" s="434"/>
      <c r="J248" s="434"/>
      <c r="K248" s="433"/>
      <c r="L248" s="433"/>
      <c r="M248" s="433"/>
      <c r="N248" s="433"/>
      <c r="O248" s="433"/>
      <c r="P248" s="433"/>
      <c r="Q248" s="433"/>
      <c r="R248" s="433"/>
      <c r="S248" s="433"/>
      <c r="T248" s="466"/>
      <c r="U248" s="433"/>
      <c r="V248" s="433"/>
      <c r="W248" s="433"/>
    </row>
    <row r="249" spans="2:23" ht="15" customHeight="1">
      <c r="B249" s="433"/>
      <c r="C249" s="433"/>
      <c r="D249" s="433"/>
      <c r="E249" s="433"/>
      <c r="F249" s="434"/>
      <c r="G249" s="435"/>
      <c r="H249" s="433"/>
      <c r="I249" s="434"/>
      <c r="J249" s="434"/>
      <c r="K249" s="433"/>
      <c r="L249" s="433"/>
      <c r="M249" s="433"/>
      <c r="N249" s="433"/>
      <c r="O249" s="433"/>
      <c r="P249" s="433"/>
      <c r="Q249" s="433"/>
      <c r="R249" s="433"/>
      <c r="S249" s="433"/>
      <c r="T249" s="466"/>
      <c r="U249" s="433"/>
      <c r="V249" s="433"/>
      <c r="W249" s="433"/>
    </row>
    <row r="250" spans="2:23" ht="15" customHeight="1">
      <c r="B250" s="433"/>
      <c r="C250" s="433"/>
      <c r="D250" s="433"/>
      <c r="E250" s="433"/>
      <c r="F250" s="434"/>
      <c r="G250" s="435"/>
      <c r="H250" s="433"/>
      <c r="I250" s="434"/>
      <c r="J250" s="434"/>
      <c r="K250" s="433"/>
      <c r="L250" s="433"/>
      <c r="M250" s="433"/>
      <c r="N250" s="433"/>
      <c r="O250" s="433"/>
      <c r="P250" s="433"/>
      <c r="Q250" s="433"/>
      <c r="R250" s="433"/>
      <c r="S250" s="433"/>
      <c r="T250" s="466"/>
      <c r="U250" s="433"/>
      <c r="V250" s="433"/>
      <c r="W250" s="433"/>
    </row>
    <row r="251" spans="2:23" ht="15" customHeight="1">
      <c r="B251" s="433"/>
      <c r="C251" s="433"/>
      <c r="D251" s="433"/>
      <c r="E251" s="433"/>
      <c r="F251" s="434"/>
      <c r="G251" s="435"/>
      <c r="H251" s="433"/>
      <c r="I251" s="434"/>
      <c r="J251" s="434"/>
      <c r="K251" s="433"/>
      <c r="L251" s="433"/>
      <c r="M251" s="433"/>
      <c r="N251" s="433"/>
      <c r="O251" s="433"/>
      <c r="P251" s="433"/>
      <c r="Q251" s="433"/>
      <c r="R251" s="433"/>
      <c r="S251" s="433"/>
      <c r="T251" s="466"/>
      <c r="U251" s="433"/>
      <c r="V251" s="433"/>
      <c r="W251" s="433"/>
    </row>
    <row r="252" spans="2:23" ht="15" customHeight="1">
      <c r="B252" s="433"/>
      <c r="C252" s="433"/>
      <c r="D252" s="433"/>
      <c r="E252" s="433"/>
      <c r="F252" s="434"/>
      <c r="G252" s="435"/>
      <c r="H252" s="433"/>
      <c r="I252" s="434"/>
      <c r="J252" s="434"/>
      <c r="K252" s="433"/>
      <c r="L252" s="433"/>
      <c r="M252" s="433"/>
      <c r="N252" s="433"/>
      <c r="O252" s="433"/>
      <c r="P252" s="433"/>
      <c r="Q252" s="433"/>
      <c r="R252" s="433"/>
      <c r="S252" s="433"/>
      <c r="T252" s="466"/>
      <c r="U252" s="433"/>
      <c r="V252" s="433"/>
      <c r="W252" s="433"/>
    </row>
    <row r="253" spans="2:23" ht="15" customHeight="1">
      <c r="B253" s="433"/>
      <c r="C253" s="433"/>
      <c r="D253" s="433"/>
      <c r="E253" s="433"/>
      <c r="F253" s="434"/>
      <c r="G253" s="435"/>
      <c r="H253" s="433"/>
      <c r="I253" s="434"/>
      <c r="J253" s="434"/>
      <c r="K253" s="433"/>
      <c r="L253" s="433"/>
      <c r="M253" s="433"/>
      <c r="N253" s="433"/>
      <c r="O253" s="433"/>
      <c r="P253" s="433"/>
      <c r="Q253" s="433"/>
      <c r="R253" s="433"/>
      <c r="S253" s="433"/>
      <c r="T253" s="466"/>
      <c r="U253" s="433"/>
      <c r="V253" s="433"/>
      <c r="W253" s="433"/>
    </row>
    <row r="254" spans="2:23" ht="15" customHeight="1">
      <c r="B254" s="433"/>
      <c r="C254" s="433"/>
      <c r="D254" s="433"/>
      <c r="E254" s="433"/>
      <c r="F254" s="434"/>
      <c r="G254" s="435"/>
      <c r="H254" s="433"/>
      <c r="I254" s="434"/>
      <c r="J254" s="434"/>
      <c r="K254" s="433"/>
      <c r="L254" s="433"/>
      <c r="M254" s="433"/>
      <c r="N254" s="433"/>
      <c r="O254" s="433"/>
      <c r="P254" s="433"/>
      <c r="Q254" s="433"/>
      <c r="R254" s="433"/>
      <c r="S254" s="433"/>
      <c r="T254" s="466"/>
      <c r="U254" s="433"/>
      <c r="V254" s="433"/>
      <c r="W254" s="433"/>
    </row>
    <row r="255" spans="2:23" ht="15" customHeight="1">
      <c r="B255" s="433"/>
      <c r="C255" s="433"/>
      <c r="D255" s="433"/>
      <c r="E255" s="433"/>
      <c r="F255" s="434"/>
      <c r="G255" s="435"/>
      <c r="H255" s="433"/>
      <c r="I255" s="434"/>
      <c r="J255" s="434"/>
      <c r="K255" s="433"/>
      <c r="L255" s="433"/>
      <c r="M255" s="433"/>
      <c r="N255" s="433"/>
      <c r="O255" s="433"/>
      <c r="P255" s="433"/>
      <c r="Q255" s="433"/>
      <c r="R255" s="433"/>
      <c r="S255" s="433"/>
      <c r="T255" s="466"/>
      <c r="U255" s="433"/>
      <c r="V255" s="433"/>
      <c r="W255" s="433"/>
    </row>
    <row r="256" spans="2:23" ht="15" customHeight="1">
      <c r="B256" s="433"/>
      <c r="C256" s="433"/>
      <c r="D256" s="433"/>
      <c r="E256" s="433"/>
      <c r="F256" s="434"/>
      <c r="G256" s="435"/>
      <c r="H256" s="433"/>
      <c r="I256" s="434"/>
      <c r="J256" s="434"/>
      <c r="K256" s="433"/>
      <c r="L256" s="433"/>
      <c r="M256" s="433"/>
      <c r="N256" s="433"/>
      <c r="O256" s="433"/>
      <c r="P256" s="433"/>
      <c r="Q256" s="433"/>
      <c r="R256" s="433"/>
      <c r="S256" s="433"/>
      <c r="T256" s="466"/>
      <c r="U256" s="433"/>
      <c r="V256" s="433"/>
      <c r="W256" s="433"/>
    </row>
    <row r="257" spans="2:23" ht="15" customHeight="1">
      <c r="B257" s="433"/>
      <c r="C257" s="433"/>
      <c r="D257" s="433"/>
      <c r="E257" s="433"/>
      <c r="F257" s="434"/>
      <c r="G257" s="435"/>
      <c r="H257" s="433"/>
      <c r="I257" s="434"/>
      <c r="J257" s="434"/>
      <c r="K257" s="433"/>
      <c r="L257" s="433"/>
      <c r="M257" s="433"/>
      <c r="N257" s="433"/>
      <c r="O257" s="433"/>
      <c r="P257" s="433"/>
      <c r="Q257" s="433"/>
      <c r="R257" s="433"/>
      <c r="S257" s="433"/>
      <c r="T257" s="466"/>
      <c r="U257" s="433"/>
      <c r="V257" s="433"/>
      <c r="W257" s="433"/>
    </row>
    <row r="258" spans="2:23" ht="15" customHeight="1">
      <c r="B258" s="433"/>
      <c r="C258" s="433"/>
      <c r="D258" s="433"/>
      <c r="E258" s="433"/>
      <c r="F258" s="434"/>
      <c r="G258" s="435"/>
      <c r="H258" s="433"/>
      <c r="I258" s="434"/>
      <c r="J258" s="434"/>
      <c r="K258" s="433"/>
      <c r="L258" s="433"/>
      <c r="M258" s="433"/>
      <c r="N258" s="433"/>
      <c r="O258" s="433"/>
      <c r="P258" s="433"/>
      <c r="Q258" s="433"/>
      <c r="R258" s="433"/>
      <c r="S258" s="433"/>
      <c r="T258" s="466"/>
      <c r="U258" s="433"/>
      <c r="V258" s="433"/>
      <c r="W258" s="433"/>
    </row>
    <row r="259" spans="2:23" ht="15" customHeight="1">
      <c r="B259" s="433"/>
      <c r="C259" s="433"/>
      <c r="D259" s="433"/>
      <c r="E259" s="433"/>
      <c r="F259" s="434"/>
      <c r="G259" s="435"/>
      <c r="H259" s="433"/>
      <c r="I259" s="434"/>
      <c r="J259" s="434"/>
      <c r="K259" s="433"/>
      <c r="L259" s="433"/>
      <c r="M259" s="433"/>
      <c r="N259" s="433"/>
      <c r="O259" s="433"/>
      <c r="P259" s="433"/>
      <c r="Q259" s="433"/>
      <c r="R259" s="433"/>
      <c r="S259" s="433"/>
      <c r="T259" s="466"/>
      <c r="U259" s="433"/>
      <c r="V259" s="433"/>
      <c r="W259" s="433"/>
    </row>
    <row r="260" spans="2:23" ht="15" customHeight="1">
      <c r="B260" s="433"/>
      <c r="C260" s="433"/>
      <c r="D260" s="433"/>
      <c r="E260" s="433"/>
      <c r="F260" s="434"/>
      <c r="G260" s="435"/>
      <c r="H260" s="433"/>
      <c r="I260" s="434"/>
      <c r="J260" s="434"/>
      <c r="K260" s="433"/>
      <c r="L260" s="433"/>
      <c r="M260" s="433"/>
      <c r="N260" s="433"/>
      <c r="O260" s="433"/>
      <c r="P260" s="433"/>
      <c r="Q260" s="433"/>
      <c r="R260" s="433"/>
      <c r="S260" s="433"/>
      <c r="T260" s="466"/>
      <c r="U260" s="433"/>
      <c r="V260" s="433"/>
      <c r="W260" s="433"/>
    </row>
    <row r="261" spans="2:23" ht="15" customHeight="1">
      <c r="B261" s="433"/>
      <c r="C261" s="433"/>
      <c r="D261" s="433"/>
      <c r="E261" s="433"/>
      <c r="F261" s="434"/>
      <c r="G261" s="435"/>
      <c r="H261" s="433"/>
      <c r="I261" s="434"/>
      <c r="J261" s="434"/>
      <c r="K261" s="433"/>
      <c r="L261" s="433"/>
      <c r="M261" s="433"/>
      <c r="N261" s="433"/>
      <c r="O261" s="433"/>
      <c r="P261" s="433"/>
      <c r="Q261" s="433"/>
      <c r="R261" s="433"/>
      <c r="S261" s="433"/>
      <c r="T261" s="466"/>
      <c r="U261" s="433"/>
      <c r="V261" s="433"/>
      <c r="W261" s="433"/>
    </row>
    <row r="262" spans="2:23" ht="15" customHeight="1">
      <c r="B262" s="433"/>
      <c r="C262" s="433"/>
      <c r="D262" s="433"/>
      <c r="E262" s="433"/>
      <c r="F262" s="434"/>
      <c r="G262" s="435"/>
      <c r="H262" s="433"/>
      <c r="I262" s="434"/>
      <c r="J262" s="434"/>
      <c r="K262" s="433"/>
      <c r="L262" s="433"/>
      <c r="M262" s="433"/>
      <c r="N262" s="433"/>
      <c r="O262" s="433"/>
      <c r="P262" s="433"/>
      <c r="Q262" s="433"/>
      <c r="R262" s="433"/>
      <c r="S262" s="433"/>
      <c r="T262" s="466"/>
      <c r="U262" s="433"/>
      <c r="V262" s="433"/>
      <c r="W262" s="433"/>
    </row>
    <row r="263" spans="2:23" ht="15" customHeight="1">
      <c r="B263" s="433"/>
      <c r="C263" s="433"/>
      <c r="D263" s="433"/>
      <c r="E263" s="433"/>
      <c r="F263" s="434"/>
      <c r="G263" s="435"/>
      <c r="H263" s="433"/>
      <c r="I263" s="434"/>
      <c r="J263" s="434"/>
      <c r="K263" s="433"/>
      <c r="L263" s="433"/>
      <c r="M263" s="433"/>
      <c r="N263" s="433"/>
      <c r="O263" s="433"/>
      <c r="P263" s="433"/>
      <c r="Q263" s="433"/>
      <c r="R263" s="433"/>
      <c r="S263" s="433"/>
      <c r="T263" s="466"/>
      <c r="U263" s="433"/>
      <c r="V263" s="433"/>
      <c r="W263" s="433"/>
    </row>
    <row r="264" spans="2:23" ht="15" customHeight="1">
      <c r="B264" s="433"/>
      <c r="C264" s="433"/>
      <c r="D264" s="433"/>
      <c r="E264" s="433"/>
      <c r="F264" s="434"/>
      <c r="G264" s="435"/>
      <c r="H264" s="433"/>
      <c r="I264" s="434"/>
      <c r="J264" s="434"/>
      <c r="K264" s="433"/>
      <c r="L264" s="433"/>
      <c r="M264" s="433"/>
      <c r="N264" s="433"/>
      <c r="O264" s="433"/>
      <c r="P264" s="433"/>
      <c r="Q264" s="433"/>
      <c r="R264" s="433"/>
      <c r="S264" s="433"/>
      <c r="T264" s="466"/>
      <c r="U264" s="433"/>
      <c r="V264" s="433"/>
      <c r="W264" s="433"/>
    </row>
    <row r="265" spans="2:23" ht="15" customHeight="1">
      <c r="B265" s="433"/>
      <c r="C265" s="433"/>
      <c r="D265" s="433"/>
      <c r="E265" s="433"/>
      <c r="F265" s="434"/>
      <c r="G265" s="435"/>
      <c r="H265" s="433"/>
      <c r="I265" s="434"/>
      <c r="J265" s="434"/>
      <c r="K265" s="433"/>
      <c r="L265" s="433"/>
      <c r="M265" s="433"/>
      <c r="N265" s="433"/>
      <c r="O265" s="433"/>
      <c r="P265" s="433"/>
      <c r="Q265" s="433"/>
      <c r="R265" s="433"/>
      <c r="S265" s="433"/>
      <c r="T265" s="466"/>
      <c r="U265" s="433"/>
      <c r="V265" s="433"/>
      <c r="W265" s="433"/>
    </row>
    <row r="266" spans="2:23" ht="15" customHeight="1">
      <c r="B266" s="433"/>
      <c r="C266" s="433"/>
      <c r="D266" s="433"/>
      <c r="E266" s="433"/>
      <c r="F266" s="434"/>
      <c r="G266" s="435"/>
      <c r="H266" s="433"/>
      <c r="I266" s="434"/>
      <c r="J266" s="434"/>
      <c r="K266" s="433"/>
      <c r="L266" s="433"/>
      <c r="M266" s="433"/>
      <c r="N266" s="433"/>
      <c r="O266" s="433"/>
      <c r="P266" s="433"/>
      <c r="Q266" s="433"/>
      <c r="R266" s="433"/>
      <c r="S266" s="433"/>
      <c r="T266" s="466"/>
      <c r="U266" s="433"/>
      <c r="V266" s="433"/>
      <c r="W266" s="433"/>
    </row>
    <row r="267" spans="2:23" ht="15" customHeight="1">
      <c r="B267" s="433"/>
      <c r="C267" s="433"/>
      <c r="D267" s="433"/>
      <c r="E267" s="433"/>
      <c r="F267" s="434"/>
      <c r="G267" s="435"/>
      <c r="H267" s="433"/>
      <c r="I267" s="434"/>
      <c r="J267" s="434"/>
      <c r="K267" s="433"/>
      <c r="L267" s="433"/>
      <c r="M267" s="433"/>
      <c r="N267" s="433"/>
      <c r="O267" s="433"/>
      <c r="P267" s="433"/>
      <c r="Q267" s="433"/>
      <c r="R267" s="433"/>
      <c r="S267" s="433"/>
      <c r="T267" s="466"/>
      <c r="U267" s="433"/>
      <c r="V267" s="433"/>
      <c r="W267" s="433"/>
    </row>
    <row r="268" spans="2:23" ht="15" customHeight="1">
      <c r="B268" s="433"/>
      <c r="C268" s="433"/>
      <c r="D268" s="433"/>
      <c r="E268" s="433"/>
      <c r="F268" s="434"/>
      <c r="G268" s="435"/>
      <c r="H268" s="433"/>
      <c r="I268" s="434"/>
      <c r="J268" s="434"/>
      <c r="K268" s="433"/>
      <c r="L268" s="433"/>
      <c r="M268" s="433"/>
      <c r="N268" s="433"/>
      <c r="O268" s="433"/>
      <c r="P268" s="433"/>
      <c r="Q268" s="433"/>
      <c r="R268" s="433"/>
      <c r="S268" s="433"/>
      <c r="T268" s="466"/>
      <c r="U268" s="433"/>
      <c r="V268" s="433"/>
      <c r="W268" s="433"/>
    </row>
    <row r="269" spans="2:23" ht="15" customHeight="1">
      <c r="B269" s="433"/>
      <c r="C269" s="433"/>
      <c r="D269" s="433"/>
      <c r="E269" s="433"/>
      <c r="F269" s="434"/>
      <c r="G269" s="435"/>
      <c r="H269" s="433"/>
      <c r="I269" s="434"/>
      <c r="J269" s="434"/>
      <c r="K269" s="433"/>
      <c r="L269" s="433"/>
      <c r="M269" s="433"/>
      <c r="N269" s="433"/>
      <c r="O269" s="433"/>
      <c r="P269" s="433"/>
      <c r="Q269" s="433"/>
      <c r="R269" s="433"/>
      <c r="S269" s="433"/>
      <c r="T269" s="466"/>
      <c r="U269" s="433"/>
      <c r="V269" s="433"/>
      <c r="W269" s="433"/>
    </row>
    <row r="270" spans="2:23" ht="15" customHeight="1">
      <c r="B270" s="433"/>
      <c r="C270" s="433"/>
      <c r="D270" s="433"/>
      <c r="E270" s="433"/>
      <c r="F270" s="434"/>
      <c r="G270" s="435"/>
      <c r="H270" s="433"/>
      <c r="I270" s="434"/>
      <c r="J270" s="434"/>
      <c r="K270" s="433"/>
      <c r="L270" s="433"/>
      <c r="M270" s="433"/>
      <c r="N270" s="433"/>
      <c r="O270" s="433"/>
      <c r="P270" s="433"/>
      <c r="Q270" s="433"/>
      <c r="R270" s="433"/>
      <c r="S270" s="433"/>
      <c r="T270" s="466"/>
      <c r="U270" s="433"/>
      <c r="V270" s="433"/>
      <c r="W270" s="433"/>
    </row>
    <row r="271" spans="2:23" ht="15" customHeight="1">
      <c r="B271" s="433"/>
      <c r="C271" s="433"/>
      <c r="D271" s="433"/>
      <c r="E271" s="433"/>
      <c r="F271" s="434"/>
      <c r="G271" s="435"/>
      <c r="H271" s="433"/>
      <c r="I271" s="434"/>
      <c r="J271" s="434"/>
      <c r="K271" s="433"/>
      <c r="L271" s="433"/>
      <c r="M271" s="433"/>
      <c r="N271" s="433"/>
      <c r="O271" s="433"/>
      <c r="P271" s="433"/>
      <c r="Q271" s="433"/>
      <c r="R271" s="433"/>
      <c r="S271" s="433"/>
      <c r="T271" s="466"/>
      <c r="U271" s="433"/>
      <c r="V271" s="433"/>
      <c r="W271" s="433"/>
    </row>
    <row r="272" spans="2:23" ht="15" customHeight="1">
      <c r="B272" s="433"/>
      <c r="C272" s="433"/>
      <c r="D272" s="433"/>
      <c r="E272" s="433"/>
      <c r="F272" s="434"/>
      <c r="G272" s="435"/>
      <c r="H272" s="433"/>
      <c r="I272" s="434"/>
      <c r="J272" s="434"/>
      <c r="K272" s="433"/>
      <c r="L272" s="433"/>
      <c r="M272" s="433"/>
      <c r="N272" s="433"/>
      <c r="O272" s="433"/>
      <c r="P272" s="433"/>
      <c r="Q272" s="433"/>
      <c r="R272" s="433"/>
      <c r="S272" s="433"/>
      <c r="T272" s="466"/>
      <c r="U272" s="433"/>
      <c r="V272" s="433"/>
      <c r="W272" s="433"/>
    </row>
    <row r="273" spans="2:23" ht="15" customHeight="1">
      <c r="B273" s="433"/>
      <c r="C273" s="433"/>
      <c r="D273" s="433"/>
      <c r="E273" s="433"/>
      <c r="F273" s="434"/>
      <c r="G273" s="435"/>
      <c r="H273" s="433"/>
      <c r="I273" s="434"/>
      <c r="J273" s="434"/>
      <c r="K273" s="433"/>
      <c r="L273" s="433"/>
      <c r="M273" s="433"/>
      <c r="N273" s="433"/>
      <c r="O273" s="433"/>
      <c r="P273" s="433"/>
      <c r="Q273" s="433"/>
      <c r="R273" s="433"/>
      <c r="S273" s="433"/>
      <c r="T273" s="466"/>
      <c r="U273" s="433"/>
      <c r="V273" s="433"/>
      <c r="W273" s="433"/>
    </row>
    <row r="274" spans="2:23" ht="15" customHeight="1">
      <c r="B274" s="433"/>
      <c r="C274" s="433"/>
      <c r="D274" s="433"/>
      <c r="E274" s="433"/>
      <c r="F274" s="434"/>
      <c r="G274" s="435"/>
      <c r="H274" s="433"/>
      <c r="I274" s="434"/>
      <c r="J274" s="434"/>
      <c r="K274" s="433"/>
      <c r="L274" s="433"/>
      <c r="M274" s="433"/>
      <c r="N274" s="433"/>
      <c r="O274" s="433"/>
      <c r="P274" s="433"/>
      <c r="Q274" s="433"/>
      <c r="R274" s="433"/>
      <c r="S274" s="433"/>
      <c r="T274" s="466"/>
      <c r="U274" s="433"/>
      <c r="V274" s="433"/>
      <c r="W274" s="433"/>
    </row>
    <row r="275" spans="2:23" ht="15" customHeight="1">
      <c r="B275" s="433"/>
      <c r="C275" s="433"/>
      <c r="D275" s="433"/>
      <c r="E275" s="433"/>
      <c r="F275" s="434"/>
      <c r="G275" s="435"/>
      <c r="H275" s="433"/>
      <c r="I275" s="434"/>
      <c r="J275" s="434"/>
      <c r="K275" s="433"/>
      <c r="L275" s="433"/>
      <c r="M275" s="433"/>
      <c r="N275" s="433"/>
      <c r="O275" s="433"/>
      <c r="P275" s="433"/>
      <c r="Q275" s="433"/>
      <c r="R275" s="433"/>
      <c r="S275" s="433"/>
      <c r="T275" s="466"/>
      <c r="U275" s="433"/>
      <c r="V275" s="433"/>
      <c r="W275" s="433"/>
    </row>
    <row r="276" spans="2:23" ht="15" customHeight="1">
      <c r="B276" s="433"/>
      <c r="C276" s="433"/>
      <c r="D276" s="433"/>
      <c r="E276" s="433"/>
      <c r="F276" s="434"/>
      <c r="G276" s="435"/>
      <c r="H276" s="433"/>
      <c r="I276" s="434"/>
      <c r="J276" s="434"/>
      <c r="K276" s="433"/>
      <c r="L276" s="433"/>
      <c r="M276" s="433"/>
      <c r="N276" s="433"/>
      <c r="O276" s="433"/>
      <c r="P276" s="433"/>
      <c r="Q276" s="433"/>
      <c r="R276" s="433"/>
      <c r="S276" s="433"/>
      <c r="T276" s="466"/>
      <c r="U276" s="433"/>
      <c r="V276" s="433"/>
      <c r="W276" s="433"/>
    </row>
    <row r="277" spans="2:23" ht="15" customHeight="1">
      <c r="B277" s="433"/>
      <c r="C277" s="433"/>
      <c r="D277" s="433"/>
      <c r="E277" s="433"/>
      <c r="F277" s="434"/>
      <c r="G277" s="435"/>
      <c r="H277" s="433"/>
      <c r="I277" s="434"/>
      <c r="J277" s="434"/>
      <c r="K277" s="433"/>
      <c r="L277" s="433"/>
      <c r="M277" s="433"/>
      <c r="N277" s="433"/>
      <c r="O277" s="433"/>
      <c r="P277" s="433"/>
      <c r="Q277" s="433"/>
      <c r="R277" s="433"/>
      <c r="S277" s="433"/>
      <c r="T277" s="466"/>
      <c r="U277" s="433"/>
      <c r="V277" s="433"/>
      <c r="W277" s="433"/>
    </row>
    <row r="278" spans="2:23" ht="15" customHeight="1">
      <c r="B278" s="433"/>
      <c r="C278" s="433"/>
      <c r="D278" s="433"/>
      <c r="E278" s="433"/>
      <c r="F278" s="434"/>
      <c r="G278" s="435"/>
      <c r="H278" s="433"/>
      <c r="I278" s="434"/>
      <c r="J278" s="434"/>
      <c r="K278" s="433"/>
      <c r="L278" s="433"/>
      <c r="M278" s="433"/>
      <c r="N278" s="433"/>
      <c r="O278" s="433"/>
      <c r="P278" s="433"/>
      <c r="Q278" s="433"/>
      <c r="R278" s="433"/>
      <c r="S278" s="433"/>
      <c r="T278" s="466"/>
      <c r="U278" s="433"/>
      <c r="V278" s="433"/>
      <c r="W278" s="433"/>
    </row>
    <row r="279" spans="2:23" ht="15" customHeight="1">
      <c r="B279" s="433"/>
      <c r="C279" s="433"/>
      <c r="D279" s="433"/>
      <c r="E279" s="433"/>
      <c r="F279" s="434"/>
      <c r="G279" s="435"/>
      <c r="H279" s="433"/>
      <c r="I279" s="434"/>
      <c r="J279" s="434"/>
      <c r="K279" s="433"/>
      <c r="L279" s="433"/>
      <c r="M279" s="433"/>
      <c r="N279" s="433"/>
      <c r="O279" s="433"/>
      <c r="P279" s="433"/>
      <c r="Q279" s="433"/>
      <c r="R279" s="433"/>
      <c r="S279" s="433"/>
      <c r="T279" s="466"/>
      <c r="U279" s="433"/>
      <c r="V279" s="433"/>
      <c r="W279" s="433"/>
    </row>
    <row r="280" spans="2:23" ht="15" customHeight="1">
      <c r="B280" s="433"/>
      <c r="C280" s="433"/>
      <c r="D280" s="433"/>
      <c r="E280" s="433"/>
      <c r="F280" s="434"/>
      <c r="G280" s="435"/>
      <c r="H280" s="433"/>
      <c r="I280" s="434"/>
      <c r="J280" s="434"/>
      <c r="K280" s="433"/>
      <c r="L280" s="433"/>
      <c r="M280" s="433"/>
      <c r="N280" s="433"/>
      <c r="O280" s="433"/>
      <c r="P280" s="433"/>
      <c r="Q280" s="433"/>
      <c r="R280" s="433"/>
      <c r="S280" s="433"/>
      <c r="T280" s="466"/>
      <c r="U280" s="433"/>
      <c r="V280" s="433"/>
      <c r="W280" s="433"/>
    </row>
    <row r="281" spans="2:23" ht="15" customHeight="1">
      <c r="B281" s="433"/>
      <c r="C281" s="433"/>
      <c r="D281" s="433"/>
      <c r="E281" s="433"/>
      <c r="F281" s="434"/>
      <c r="G281" s="435"/>
      <c r="H281" s="433"/>
      <c r="I281" s="434"/>
      <c r="J281" s="434"/>
      <c r="K281" s="433"/>
      <c r="L281" s="433"/>
      <c r="M281" s="433"/>
      <c r="N281" s="433"/>
      <c r="O281" s="433"/>
      <c r="P281" s="433"/>
      <c r="Q281" s="433"/>
      <c r="R281" s="433"/>
      <c r="S281" s="433"/>
      <c r="T281" s="466"/>
      <c r="U281" s="433"/>
      <c r="V281" s="433"/>
      <c r="W281" s="433"/>
    </row>
    <row r="282" spans="2:23" ht="15" customHeight="1">
      <c r="B282" s="433"/>
      <c r="C282" s="433"/>
      <c r="D282" s="433"/>
      <c r="E282" s="433"/>
      <c r="F282" s="434"/>
      <c r="G282" s="435"/>
      <c r="H282" s="433"/>
      <c r="I282" s="434"/>
      <c r="J282" s="434"/>
      <c r="K282" s="433"/>
      <c r="L282" s="433"/>
      <c r="M282" s="433"/>
      <c r="N282" s="433"/>
      <c r="O282" s="433"/>
      <c r="P282" s="433"/>
      <c r="Q282" s="433"/>
      <c r="R282" s="433"/>
      <c r="S282" s="433"/>
      <c r="T282" s="466"/>
      <c r="U282" s="433"/>
      <c r="V282" s="433"/>
      <c r="W282" s="433"/>
    </row>
    <row r="283" spans="2:23" ht="15" customHeight="1">
      <c r="B283" s="433"/>
      <c r="C283" s="433"/>
      <c r="D283" s="433"/>
      <c r="E283" s="433"/>
      <c r="F283" s="434"/>
      <c r="G283" s="435"/>
      <c r="H283" s="433"/>
      <c r="I283" s="434"/>
      <c r="J283" s="434"/>
      <c r="K283" s="433"/>
      <c r="L283" s="433"/>
      <c r="M283" s="433"/>
      <c r="N283" s="433"/>
      <c r="O283" s="433"/>
      <c r="P283" s="433"/>
      <c r="Q283" s="433"/>
      <c r="R283" s="433"/>
      <c r="S283" s="433"/>
      <c r="T283" s="466"/>
      <c r="U283" s="433"/>
      <c r="V283" s="433"/>
      <c r="W283" s="433"/>
    </row>
    <row r="284" spans="2:23" ht="15" customHeight="1">
      <c r="B284" s="433"/>
      <c r="C284" s="433"/>
      <c r="D284" s="433"/>
      <c r="E284" s="433"/>
      <c r="F284" s="434"/>
      <c r="G284" s="435"/>
      <c r="H284" s="433"/>
      <c r="I284" s="434"/>
      <c r="J284" s="434"/>
      <c r="K284" s="433"/>
      <c r="L284" s="433"/>
      <c r="M284" s="433"/>
      <c r="N284" s="433"/>
      <c r="O284" s="433"/>
      <c r="P284" s="433"/>
      <c r="Q284" s="433"/>
      <c r="R284" s="433"/>
      <c r="S284" s="433"/>
      <c r="T284" s="466"/>
      <c r="U284" s="433"/>
      <c r="V284" s="433"/>
      <c r="W284" s="433"/>
    </row>
    <row r="285" spans="2:23" ht="15" customHeight="1">
      <c r="B285" s="433"/>
      <c r="C285" s="433"/>
      <c r="D285" s="433"/>
      <c r="E285" s="433"/>
      <c r="F285" s="434"/>
      <c r="G285" s="435"/>
      <c r="H285" s="433"/>
      <c r="I285" s="434"/>
      <c r="J285" s="434"/>
      <c r="K285" s="433"/>
      <c r="L285" s="433"/>
      <c r="M285" s="433"/>
      <c r="N285" s="433"/>
      <c r="O285" s="433"/>
      <c r="P285" s="433"/>
      <c r="Q285" s="433"/>
      <c r="R285" s="433"/>
      <c r="S285" s="433"/>
      <c r="T285" s="466"/>
      <c r="U285" s="433"/>
      <c r="V285" s="433"/>
      <c r="W285" s="433"/>
    </row>
    <row r="286" spans="2:23" ht="15" customHeight="1">
      <c r="B286" s="433"/>
      <c r="C286" s="433"/>
      <c r="D286" s="433"/>
      <c r="E286" s="433"/>
      <c r="F286" s="434"/>
      <c r="G286" s="435"/>
      <c r="H286" s="433"/>
      <c r="I286" s="434"/>
      <c r="J286" s="434"/>
      <c r="K286" s="433"/>
      <c r="L286" s="433"/>
      <c r="M286" s="433"/>
      <c r="N286" s="433"/>
      <c r="O286" s="433"/>
      <c r="P286" s="433"/>
      <c r="Q286" s="433"/>
      <c r="R286" s="433"/>
      <c r="S286" s="433"/>
      <c r="T286" s="466"/>
      <c r="U286" s="433"/>
      <c r="V286" s="433"/>
      <c r="W286" s="433"/>
    </row>
    <row r="287" spans="2:23" ht="15" customHeight="1">
      <c r="B287" s="433"/>
      <c r="C287" s="433"/>
      <c r="D287" s="433"/>
      <c r="E287" s="433"/>
      <c r="F287" s="434"/>
      <c r="G287" s="435"/>
      <c r="H287" s="433"/>
      <c r="I287" s="434"/>
      <c r="J287" s="434"/>
      <c r="K287" s="433"/>
      <c r="L287" s="433"/>
      <c r="M287" s="433"/>
      <c r="N287" s="433"/>
      <c r="O287" s="433"/>
      <c r="P287" s="433"/>
      <c r="Q287" s="433"/>
      <c r="R287" s="433"/>
      <c r="S287" s="433"/>
      <c r="T287" s="466"/>
      <c r="U287" s="433"/>
      <c r="V287" s="433"/>
      <c r="W287" s="433"/>
    </row>
    <row r="288" spans="2:23" ht="15" customHeight="1">
      <c r="B288" s="433"/>
      <c r="C288" s="433"/>
      <c r="D288" s="433"/>
      <c r="E288" s="433"/>
      <c r="F288" s="434"/>
      <c r="G288" s="435"/>
      <c r="H288" s="433"/>
      <c r="I288" s="434"/>
      <c r="J288" s="434"/>
      <c r="K288" s="433"/>
      <c r="L288" s="433"/>
      <c r="M288" s="433"/>
      <c r="N288" s="433"/>
      <c r="O288" s="433"/>
      <c r="P288" s="433"/>
      <c r="Q288" s="433"/>
      <c r="R288" s="433"/>
      <c r="S288" s="433"/>
      <c r="T288" s="466"/>
      <c r="U288" s="433"/>
      <c r="V288" s="433"/>
      <c r="W288" s="433"/>
    </row>
    <row r="289" spans="2:23" ht="15" customHeight="1">
      <c r="B289" s="433"/>
      <c r="C289" s="433"/>
      <c r="D289" s="433"/>
      <c r="E289" s="433"/>
      <c r="F289" s="434"/>
      <c r="G289" s="435"/>
      <c r="H289" s="433"/>
      <c r="I289" s="434"/>
      <c r="J289" s="434"/>
      <c r="K289" s="433"/>
      <c r="L289" s="433"/>
      <c r="M289" s="433"/>
      <c r="N289" s="433"/>
      <c r="O289" s="433"/>
      <c r="P289" s="433"/>
      <c r="Q289" s="433"/>
      <c r="R289" s="433"/>
      <c r="S289" s="433"/>
      <c r="T289" s="466"/>
      <c r="U289" s="433"/>
      <c r="V289" s="433"/>
      <c r="W289" s="433"/>
    </row>
    <row r="290" spans="2:23" ht="15" customHeight="1">
      <c r="B290" s="433"/>
      <c r="C290" s="433"/>
      <c r="D290" s="433"/>
      <c r="E290" s="433"/>
      <c r="F290" s="434"/>
      <c r="G290" s="435"/>
      <c r="H290" s="433"/>
      <c r="I290" s="434"/>
      <c r="J290" s="434"/>
      <c r="K290" s="433"/>
      <c r="L290" s="433"/>
      <c r="M290" s="433"/>
      <c r="N290" s="433"/>
      <c r="O290" s="433"/>
      <c r="P290" s="433"/>
      <c r="Q290" s="433"/>
      <c r="R290" s="433"/>
      <c r="S290" s="433"/>
      <c r="T290" s="466"/>
      <c r="U290" s="433"/>
      <c r="V290" s="433"/>
      <c r="W290" s="433"/>
    </row>
    <row r="291" spans="2:23" ht="15" customHeight="1">
      <c r="B291" s="433"/>
      <c r="C291" s="433"/>
      <c r="D291" s="433"/>
      <c r="E291" s="433"/>
      <c r="F291" s="434"/>
      <c r="G291" s="435"/>
      <c r="H291" s="433"/>
      <c r="I291" s="434"/>
      <c r="J291" s="434"/>
      <c r="K291" s="433"/>
      <c r="L291" s="433"/>
      <c r="M291" s="433"/>
      <c r="N291" s="433"/>
      <c r="O291" s="433"/>
      <c r="P291" s="433"/>
      <c r="Q291" s="433"/>
      <c r="R291" s="433"/>
      <c r="S291" s="433"/>
      <c r="T291" s="466"/>
      <c r="U291" s="433"/>
      <c r="V291" s="433"/>
      <c r="W291" s="433"/>
    </row>
    <row r="292" spans="2:23" ht="15" customHeight="1">
      <c r="B292" s="433"/>
      <c r="C292" s="433"/>
      <c r="D292" s="433"/>
      <c r="E292" s="433"/>
      <c r="F292" s="434"/>
      <c r="G292" s="435"/>
      <c r="H292" s="433"/>
      <c r="I292" s="434"/>
      <c r="J292" s="434"/>
      <c r="K292" s="433"/>
      <c r="L292" s="433"/>
      <c r="M292" s="433"/>
      <c r="N292" s="433"/>
      <c r="O292" s="433"/>
      <c r="P292" s="433"/>
      <c r="Q292" s="433"/>
      <c r="R292" s="433"/>
      <c r="S292" s="433"/>
      <c r="T292" s="466"/>
      <c r="U292" s="433"/>
      <c r="V292" s="433"/>
      <c r="W292" s="433"/>
    </row>
    <row r="293" spans="2:23" ht="15" customHeight="1">
      <c r="B293" s="433"/>
      <c r="C293" s="433"/>
      <c r="D293" s="433"/>
      <c r="E293" s="433"/>
      <c r="F293" s="434"/>
      <c r="G293" s="435"/>
      <c r="H293" s="433"/>
      <c r="I293" s="434"/>
      <c r="J293" s="434"/>
      <c r="K293" s="433"/>
      <c r="L293" s="433"/>
      <c r="M293" s="433"/>
      <c r="N293" s="433"/>
      <c r="O293" s="433"/>
      <c r="P293" s="433"/>
      <c r="Q293" s="433"/>
      <c r="R293" s="433"/>
      <c r="S293" s="433"/>
      <c r="T293" s="466"/>
      <c r="U293" s="433"/>
      <c r="V293" s="433"/>
      <c r="W293" s="433"/>
    </row>
    <row r="294" spans="2:23" ht="15" customHeight="1">
      <c r="B294" s="433"/>
      <c r="C294" s="433"/>
      <c r="D294" s="433"/>
      <c r="E294" s="433"/>
      <c r="F294" s="434"/>
      <c r="G294" s="435"/>
      <c r="H294" s="433"/>
      <c r="I294" s="434"/>
      <c r="J294" s="434"/>
      <c r="K294" s="433"/>
      <c r="L294" s="433"/>
      <c r="M294" s="433"/>
      <c r="N294" s="433"/>
      <c r="O294" s="433"/>
      <c r="P294" s="433"/>
      <c r="Q294" s="433"/>
      <c r="R294" s="433"/>
      <c r="S294" s="433"/>
      <c r="T294" s="466"/>
      <c r="U294" s="433"/>
      <c r="V294" s="433"/>
      <c r="W294" s="433"/>
    </row>
    <row r="295" spans="2:23" ht="15" customHeight="1">
      <c r="B295" s="433"/>
      <c r="C295" s="433"/>
      <c r="D295" s="433"/>
      <c r="E295" s="433"/>
      <c r="F295" s="434"/>
      <c r="G295" s="435"/>
      <c r="H295" s="433"/>
      <c r="I295" s="434"/>
      <c r="J295" s="434"/>
      <c r="K295" s="433"/>
      <c r="L295" s="433"/>
      <c r="M295" s="433"/>
      <c r="N295" s="433"/>
      <c r="O295" s="433"/>
      <c r="P295" s="433"/>
      <c r="Q295" s="433"/>
      <c r="R295" s="433"/>
      <c r="S295" s="433"/>
      <c r="T295" s="466"/>
      <c r="U295" s="433"/>
      <c r="V295" s="433"/>
      <c r="W295" s="433"/>
    </row>
    <row r="296" spans="2:23" ht="15" customHeight="1">
      <c r="B296" s="433"/>
      <c r="C296" s="433"/>
      <c r="D296" s="433"/>
      <c r="E296" s="433"/>
      <c r="F296" s="434"/>
      <c r="G296" s="435"/>
      <c r="H296" s="433"/>
      <c r="I296" s="434"/>
      <c r="J296" s="434"/>
      <c r="K296" s="433"/>
      <c r="L296" s="433"/>
      <c r="M296" s="433"/>
      <c r="N296" s="433"/>
      <c r="O296" s="433"/>
      <c r="P296" s="433"/>
      <c r="Q296" s="433"/>
      <c r="R296" s="433"/>
      <c r="S296" s="433"/>
      <c r="T296" s="466"/>
      <c r="U296" s="433"/>
      <c r="V296" s="433"/>
      <c r="W296" s="433"/>
    </row>
    <row r="297" spans="2:23" ht="15" customHeight="1">
      <c r="B297" s="433"/>
      <c r="C297" s="433"/>
      <c r="D297" s="433"/>
      <c r="E297" s="433"/>
      <c r="F297" s="434"/>
      <c r="G297" s="435"/>
      <c r="H297" s="433"/>
      <c r="I297" s="434"/>
      <c r="J297" s="434"/>
      <c r="K297" s="433"/>
      <c r="L297" s="433"/>
      <c r="M297" s="433"/>
      <c r="N297" s="433"/>
      <c r="O297" s="433"/>
      <c r="P297" s="433"/>
      <c r="Q297" s="433"/>
      <c r="R297" s="433"/>
      <c r="S297" s="433"/>
      <c r="T297" s="466"/>
      <c r="U297" s="433"/>
      <c r="V297" s="433"/>
      <c r="W297" s="433"/>
    </row>
    <row r="298" spans="2:23" ht="15" customHeight="1">
      <c r="B298" s="433"/>
      <c r="C298" s="433"/>
      <c r="D298" s="433"/>
      <c r="E298" s="433"/>
      <c r="F298" s="434"/>
      <c r="G298" s="435"/>
      <c r="H298" s="433"/>
      <c r="I298" s="434"/>
      <c r="J298" s="434"/>
      <c r="K298" s="433"/>
      <c r="L298" s="433"/>
      <c r="M298" s="433"/>
      <c r="N298" s="433"/>
      <c r="O298" s="433"/>
      <c r="P298" s="433"/>
      <c r="Q298" s="433"/>
      <c r="R298" s="433"/>
      <c r="S298" s="433"/>
      <c r="T298" s="466"/>
      <c r="U298" s="433"/>
      <c r="V298" s="433"/>
      <c r="W298" s="433"/>
    </row>
    <row r="299" spans="2:23" ht="15" customHeight="1">
      <c r="B299" s="433"/>
      <c r="C299" s="433"/>
      <c r="D299" s="433"/>
      <c r="E299" s="433"/>
      <c r="F299" s="434"/>
      <c r="G299" s="435"/>
      <c r="H299" s="433"/>
      <c r="I299" s="434"/>
      <c r="J299" s="434"/>
      <c r="K299" s="433"/>
      <c r="L299" s="433"/>
      <c r="M299" s="433"/>
      <c r="N299" s="433"/>
      <c r="O299" s="433"/>
      <c r="P299" s="433"/>
      <c r="Q299" s="433"/>
      <c r="R299" s="433"/>
      <c r="S299" s="433"/>
      <c r="T299" s="466"/>
      <c r="U299" s="433"/>
      <c r="V299" s="433"/>
      <c r="W299" s="433"/>
    </row>
    <row r="300" spans="2:23" ht="15" customHeight="1">
      <c r="B300" s="433"/>
      <c r="C300" s="433"/>
      <c r="D300" s="433"/>
      <c r="E300" s="433"/>
      <c r="F300" s="434"/>
      <c r="G300" s="435"/>
      <c r="H300" s="433"/>
      <c r="I300" s="434"/>
      <c r="J300" s="434"/>
      <c r="K300" s="433"/>
      <c r="L300" s="433"/>
      <c r="M300" s="433"/>
      <c r="N300" s="433"/>
      <c r="O300" s="433"/>
      <c r="P300" s="433"/>
      <c r="Q300" s="433"/>
      <c r="R300" s="433"/>
      <c r="S300" s="433"/>
      <c r="T300" s="466"/>
      <c r="U300" s="433"/>
      <c r="V300" s="433"/>
      <c r="W300" s="433"/>
    </row>
    <row r="301" spans="2:23" ht="15" customHeight="1">
      <c r="B301" s="433"/>
      <c r="C301" s="433"/>
      <c r="D301" s="433"/>
      <c r="E301" s="433"/>
      <c r="F301" s="434"/>
      <c r="G301" s="435"/>
      <c r="H301" s="433"/>
      <c r="I301" s="434"/>
      <c r="J301" s="434"/>
      <c r="K301" s="433"/>
      <c r="L301" s="433"/>
      <c r="M301" s="433"/>
      <c r="N301" s="433"/>
      <c r="O301" s="433"/>
      <c r="P301" s="433"/>
      <c r="Q301" s="433"/>
      <c r="R301" s="433"/>
      <c r="S301" s="433"/>
      <c r="T301" s="466"/>
      <c r="U301" s="433"/>
      <c r="V301" s="433"/>
      <c r="W301" s="433"/>
    </row>
    <row r="302" spans="2:23" ht="15" customHeight="1">
      <c r="B302" s="433"/>
      <c r="C302" s="433"/>
      <c r="D302" s="433"/>
      <c r="E302" s="433"/>
      <c r="F302" s="434"/>
      <c r="G302" s="435"/>
      <c r="H302" s="433"/>
      <c r="I302" s="434"/>
      <c r="J302" s="434"/>
      <c r="K302" s="433"/>
      <c r="L302" s="433"/>
      <c r="M302" s="433"/>
      <c r="N302" s="433"/>
      <c r="O302" s="433"/>
      <c r="P302" s="433"/>
      <c r="Q302" s="433"/>
      <c r="R302" s="433"/>
      <c r="S302" s="433"/>
      <c r="T302" s="466"/>
      <c r="U302" s="433"/>
      <c r="V302" s="433"/>
      <c r="W302" s="433"/>
    </row>
    <row r="303" spans="2:23" ht="15" customHeight="1">
      <c r="B303" s="433"/>
      <c r="C303" s="433"/>
      <c r="D303" s="433"/>
      <c r="E303" s="433"/>
      <c r="F303" s="434"/>
      <c r="G303" s="435"/>
      <c r="H303" s="433"/>
      <c r="I303" s="434"/>
      <c r="J303" s="434"/>
      <c r="K303" s="433"/>
      <c r="L303" s="433"/>
      <c r="M303" s="433"/>
      <c r="N303" s="433"/>
      <c r="O303" s="433"/>
      <c r="P303" s="433"/>
      <c r="Q303" s="433"/>
      <c r="R303" s="433"/>
      <c r="S303" s="433"/>
      <c r="T303" s="466"/>
      <c r="U303" s="433"/>
      <c r="V303" s="433"/>
      <c r="W303" s="433"/>
    </row>
    <row r="304" spans="2:23" ht="15" customHeight="1">
      <c r="B304" s="433"/>
      <c r="C304" s="433"/>
      <c r="D304" s="433"/>
      <c r="E304" s="433"/>
      <c r="F304" s="434"/>
      <c r="G304" s="435"/>
      <c r="H304" s="433"/>
      <c r="I304" s="434"/>
      <c r="J304" s="434"/>
      <c r="K304" s="433"/>
      <c r="L304" s="433"/>
      <c r="M304" s="433"/>
      <c r="N304" s="433"/>
      <c r="O304" s="433"/>
      <c r="P304" s="433"/>
      <c r="Q304" s="433"/>
      <c r="R304" s="433"/>
      <c r="S304" s="433"/>
      <c r="T304" s="466"/>
      <c r="U304" s="433"/>
      <c r="V304" s="433"/>
      <c r="W304" s="433"/>
    </row>
    <row r="305" spans="2:23" ht="15" customHeight="1">
      <c r="B305" s="433"/>
      <c r="C305" s="433"/>
      <c r="D305" s="433"/>
      <c r="E305" s="433"/>
      <c r="F305" s="434"/>
      <c r="G305" s="435"/>
      <c r="H305" s="433"/>
      <c r="I305" s="434"/>
      <c r="J305" s="434"/>
      <c r="K305" s="433"/>
      <c r="L305" s="433"/>
      <c r="M305" s="433"/>
      <c r="N305" s="433"/>
      <c r="O305" s="433"/>
      <c r="P305" s="433"/>
      <c r="Q305" s="433"/>
      <c r="R305" s="433"/>
      <c r="S305" s="433"/>
      <c r="T305" s="466"/>
      <c r="U305" s="433"/>
      <c r="V305" s="433"/>
      <c r="W305" s="433"/>
    </row>
    <row r="306" spans="2:23" ht="15" customHeight="1">
      <c r="B306" s="433"/>
      <c r="C306" s="433"/>
      <c r="D306" s="433"/>
      <c r="E306" s="433"/>
      <c r="F306" s="434"/>
      <c r="G306" s="435"/>
      <c r="H306" s="433"/>
      <c r="I306" s="434"/>
      <c r="J306" s="434"/>
      <c r="K306" s="433"/>
      <c r="L306" s="433"/>
      <c r="M306" s="433"/>
      <c r="N306" s="433"/>
      <c r="O306" s="433"/>
      <c r="P306" s="433"/>
      <c r="Q306" s="433"/>
      <c r="R306" s="433"/>
      <c r="S306" s="433"/>
      <c r="T306" s="466"/>
      <c r="U306" s="433"/>
      <c r="V306" s="433"/>
      <c r="W306" s="433"/>
    </row>
    <row r="307" spans="2:23" ht="15" customHeight="1">
      <c r="B307" s="433"/>
      <c r="C307" s="433"/>
      <c r="D307" s="433"/>
      <c r="E307" s="433"/>
      <c r="F307" s="434"/>
      <c r="G307" s="435"/>
      <c r="H307" s="433"/>
      <c r="I307" s="434"/>
      <c r="J307" s="434"/>
      <c r="K307" s="433"/>
      <c r="L307" s="433"/>
      <c r="M307" s="433"/>
      <c r="N307" s="433"/>
      <c r="O307" s="433"/>
      <c r="P307" s="433"/>
      <c r="Q307" s="433"/>
      <c r="R307" s="433"/>
      <c r="S307" s="433"/>
      <c r="T307" s="466"/>
      <c r="U307" s="433"/>
      <c r="V307" s="433"/>
      <c r="W307" s="433"/>
    </row>
    <row r="308" spans="2:23" ht="15" customHeight="1">
      <c r="B308" s="433"/>
      <c r="C308" s="433"/>
      <c r="D308" s="433"/>
      <c r="E308" s="433"/>
      <c r="F308" s="434"/>
      <c r="G308" s="435"/>
      <c r="H308" s="433"/>
      <c r="I308" s="434"/>
      <c r="J308" s="434"/>
      <c r="K308" s="433"/>
      <c r="L308" s="433"/>
      <c r="M308" s="433"/>
      <c r="N308" s="433"/>
      <c r="O308" s="433"/>
      <c r="P308" s="433"/>
      <c r="Q308" s="433"/>
      <c r="R308" s="433"/>
      <c r="S308" s="433"/>
      <c r="T308" s="466"/>
      <c r="U308" s="433"/>
      <c r="V308" s="433"/>
      <c r="W308" s="433"/>
    </row>
    <row r="309" spans="2:23" ht="15" customHeight="1">
      <c r="B309" s="433"/>
      <c r="C309" s="433"/>
      <c r="D309" s="433"/>
      <c r="E309" s="433"/>
      <c r="F309" s="434"/>
      <c r="G309" s="435"/>
      <c r="H309" s="433"/>
      <c r="I309" s="434"/>
      <c r="J309" s="434"/>
      <c r="K309" s="433"/>
      <c r="L309" s="433"/>
      <c r="M309" s="433"/>
      <c r="N309" s="433"/>
      <c r="O309" s="433"/>
      <c r="P309" s="433"/>
      <c r="Q309" s="433"/>
      <c r="R309" s="433"/>
      <c r="S309" s="433"/>
      <c r="T309" s="466"/>
      <c r="U309" s="433"/>
      <c r="V309" s="433"/>
      <c r="W309" s="433"/>
    </row>
    <row r="310" spans="2:23" ht="15" customHeight="1">
      <c r="B310" s="433"/>
      <c r="C310" s="433"/>
      <c r="D310" s="433"/>
      <c r="E310" s="433"/>
      <c r="F310" s="434"/>
      <c r="G310" s="435"/>
      <c r="H310" s="433"/>
      <c r="I310" s="434"/>
      <c r="J310" s="434"/>
      <c r="K310" s="433"/>
      <c r="L310" s="433"/>
      <c r="M310" s="433"/>
      <c r="N310" s="433"/>
      <c r="O310" s="433"/>
      <c r="P310" s="433"/>
      <c r="Q310" s="433"/>
      <c r="R310" s="433"/>
      <c r="S310" s="433"/>
      <c r="T310" s="466"/>
      <c r="U310" s="433"/>
      <c r="V310" s="433"/>
      <c r="W310" s="433"/>
    </row>
    <row r="311" spans="2:23" ht="15" customHeight="1">
      <c r="B311" s="433"/>
      <c r="C311" s="433"/>
      <c r="D311" s="433"/>
      <c r="E311" s="433"/>
      <c r="F311" s="434"/>
      <c r="G311" s="435"/>
      <c r="H311" s="433"/>
      <c r="I311" s="434"/>
      <c r="J311" s="434"/>
      <c r="K311" s="433"/>
      <c r="L311" s="433"/>
      <c r="M311" s="433"/>
      <c r="N311" s="433"/>
      <c r="O311" s="433"/>
      <c r="P311" s="433"/>
      <c r="Q311" s="433"/>
      <c r="R311" s="433"/>
      <c r="S311" s="433"/>
      <c r="T311" s="466"/>
      <c r="U311" s="433"/>
      <c r="V311" s="433"/>
      <c r="W311" s="433"/>
    </row>
    <row r="312" spans="2:23" ht="15" customHeight="1">
      <c r="B312" s="433"/>
      <c r="C312" s="433"/>
      <c r="D312" s="433"/>
      <c r="E312" s="433"/>
      <c r="F312" s="434"/>
      <c r="G312" s="435"/>
      <c r="H312" s="433"/>
      <c r="I312" s="434"/>
      <c r="J312" s="434"/>
      <c r="K312" s="433"/>
      <c r="L312" s="433"/>
      <c r="M312" s="433"/>
      <c r="N312" s="433"/>
      <c r="O312" s="433"/>
      <c r="P312" s="433"/>
      <c r="Q312" s="433"/>
      <c r="R312" s="433"/>
      <c r="S312" s="433"/>
      <c r="T312" s="466"/>
      <c r="U312" s="433"/>
      <c r="V312" s="433"/>
      <c r="W312" s="433"/>
    </row>
    <row r="313" spans="2:23" ht="15" customHeight="1">
      <c r="B313" s="433"/>
      <c r="C313" s="433"/>
      <c r="D313" s="433"/>
      <c r="E313" s="433"/>
      <c r="F313" s="434"/>
      <c r="G313" s="435"/>
      <c r="H313" s="433"/>
      <c r="I313" s="434"/>
      <c r="J313" s="434"/>
      <c r="K313" s="433"/>
      <c r="L313" s="433"/>
      <c r="M313" s="433"/>
      <c r="N313" s="433"/>
      <c r="O313" s="433"/>
      <c r="P313" s="433"/>
      <c r="Q313" s="433"/>
      <c r="R313" s="433"/>
      <c r="S313" s="433"/>
      <c r="T313" s="466"/>
      <c r="U313" s="433"/>
      <c r="V313" s="433"/>
      <c r="W313" s="433"/>
    </row>
    <row r="314" spans="2:23" ht="15" customHeight="1">
      <c r="B314" s="433"/>
      <c r="C314" s="433"/>
      <c r="D314" s="433"/>
      <c r="E314" s="433"/>
      <c r="F314" s="434"/>
      <c r="G314" s="435"/>
      <c r="H314" s="433"/>
      <c r="I314" s="434"/>
      <c r="J314" s="434"/>
      <c r="K314" s="433"/>
      <c r="L314" s="433"/>
      <c r="M314" s="433"/>
      <c r="N314" s="433"/>
      <c r="O314" s="433"/>
      <c r="P314" s="433"/>
      <c r="Q314" s="433"/>
      <c r="R314" s="433"/>
      <c r="S314" s="433"/>
      <c r="T314" s="466"/>
      <c r="U314" s="433"/>
      <c r="V314" s="433"/>
      <c r="W314" s="433"/>
    </row>
    <row r="315" spans="2:23" ht="15" customHeight="1">
      <c r="B315" s="433"/>
      <c r="C315" s="433"/>
      <c r="D315" s="433"/>
      <c r="E315" s="433"/>
      <c r="F315" s="434"/>
      <c r="G315" s="435"/>
      <c r="H315" s="433"/>
      <c r="I315" s="434"/>
      <c r="J315" s="434"/>
      <c r="K315" s="433"/>
      <c r="L315" s="433"/>
      <c r="M315" s="433"/>
      <c r="N315" s="433"/>
      <c r="O315" s="433"/>
      <c r="P315" s="433"/>
      <c r="Q315" s="433"/>
      <c r="R315" s="433"/>
      <c r="S315" s="433"/>
      <c r="T315" s="466"/>
      <c r="U315" s="433"/>
      <c r="V315" s="433"/>
      <c r="W315" s="433"/>
    </row>
    <row r="316" spans="2:23" ht="15" customHeight="1">
      <c r="B316" s="433"/>
      <c r="C316" s="433"/>
      <c r="D316" s="433"/>
      <c r="E316" s="433"/>
      <c r="F316" s="434"/>
      <c r="G316" s="435"/>
      <c r="H316" s="433"/>
      <c r="I316" s="434"/>
      <c r="J316" s="434"/>
      <c r="K316" s="433"/>
      <c r="L316" s="433"/>
      <c r="M316" s="433"/>
      <c r="N316" s="433"/>
      <c r="O316" s="433"/>
      <c r="P316" s="433"/>
      <c r="Q316" s="433"/>
      <c r="R316" s="433"/>
      <c r="S316" s="433"/>
      <c r="T316" s="466"/>
      <c r="U316" s="433"/>
      <c r="V316" s="433"/>
      <c r="W316" s="433"/>
    </row>
    <row r="317" spans="2:23" ht="15" customHeight="1">
      <c r="B317" s="433"/>
      <c r="C317" s="433"/>
      <c r="D317" s="433"/>
      <c r="E317" s="433"/>
      <c r="F317" s="434"/>
      <c r="G317" s="435"/>
      <c r="H317" s="433"/>
      <c r="I317" s="434"/>
      <c r="J317" s="434"/>
      <c r="K317" s="433"/>
      <c r="L317" s="433"/>
      <c r="M317" s="433"/>
      <c r="N317" s="433"/>
      <c r="O317" s="433"/>
      <c r="P317" s="433"/>
      <c r="Q317" s="433"/>
      <c r="R317" s="433"/>
      <c r="S317" s="433"/>
      <c r="T317" s="466"/>
      <c r="U317" s="433"/>
      <c r="V317" s="433"/>
      <c r="W317" s="433"/>
    </row>
    <row r="318" spans="2:23" ht="15" customHeight="1">
      <c r="B318" s="433"/>
      <c r="C318" s="433"/>
      <c r="D318" s="433"/>
      <c r="E318" s="433"/>
      <c r="F318" s="434"/>
      <c r="G318" s="435"/>
      <c r="H318" s="433"/>
      <c r="I318" s="434"/>
      <c r="J318" s="434"/>
      <c r="K318" s="433"/>
      <c r="L318" s="433"/>
      <c r="M318" s="433"/>
      <c r="N318" s="433"/>
      <c r="O318" s="433"/>
      <c r="P318" s="433"/>
      <c r="Q318" s="433"/>
      <c r="R318" s="433"/>
      <c r="S318" s="433"/>
      <c r="T318" s="466"/>
      <c r="U318" s="433"/>
      <c r="V318" s="433"/>
      <c r="W318" s="433"/>
    </row>
    <row r="319" spans="2:23" ht="15" customHeight="1">
      <c r="B319" s="433"/>
      <c r="C319" s="433"/>
      <c r="D319" s="433"/>
      <c r="E319" s="433"/>
      <c r="F319" s="434"/>
      <c r="G319" s="435"/>
      <c r="H319" s="433"/>
      <c r="I319" s="434"/>
      <c r="J319" s="434"/>
      <c r="K319" s="433"/>
      <c r="L319" s="433"/>
      <c r="M319" s="433"/>
      <c r="N319" s="433"/>
      <c r="O319" s="433"/>
      <c r="P319" s="433"/>
      <c r="Q319" s="433"/>
      <c r="R319" s="433"/>
      <c r="S319" s="433"/>
      <c r="T319" s="466"/>
      <c r="U319" s="433"/>
      <c r="V319" s="433"/>
      <c r="W319" s="433"/>
    </row>
    <row r="320" spans="2:23" ht="15" customHeight="1">
      <c r="B320" s="433"/>
      <c r="C320" s="433"/>
      <c r="D320" s="433"/>
      <c r="E320" s="433"/>
      <c r="F320" s="434"/>
      <c r="G320" s="435"/>
      <c r="H320" s="433"/>
      <c r="I320" s="434"/>
      <c r="J320" s="434"/>
      <c r="K320" s="433"/>
      <c r="L320" s="433"/>
      <c r="M320" s="433"/>
      <c r="N320" s="433"/>
      <c r="O320" s="433"/>
      <c r="P320" s="433"/>
      <c r="Q320" s="433"/>
      <c r="R320" s="433"/>
      <c r="S320" s="433"/>
      <c r="T320" s="466"/>
      <c r="U320" s="433"/>
      <c r="V320" s="433"/>
      <c r="W320" s="433"/>
    </row>
    <row r="321" spans="2:23" ht="15" customHeight="1">
      <c r="B321" s="433"/>
      <c r="C321" s="433"/>
      <c r="D321" s="433"/>
      <c r="E321" s="433"/>
      <c r="F321" s="434"/>
      <c r="G321" s="435"/>
      <c r="H321" s="433"/>
      <c r="I321" s="434"/>
      <c r="J321" s="434"/>
      <c r="K321" s="433"/>
      <c r="L321" s="433"/>
      <c r="M321" s="433"/>
      <c r="N321" s="433"/>
      <c r="O321" s="433"/>
      <c r="P321" s="433"/>
      <c r="Q321" s="433"/>
      <c r="R321" s="433"/>
      <c r="S321" s="433"/>
      <c r="T321" s="466"/>
      <c r="U321" s="433"/>
      <c r="V321" s="433"/>
      <c r="W321" s="433"/>
    </row>
    <row r="322" spans="2:23" ht="15" customHeight="1">
      <c r="B322" s="433"/>
      <c r="C322" s="433"/>
      <c r="D322" s="433"/>
      <c r="E322" s="433"/>
      <c r="F322" s="434"/>
      <c r="G322" s="435"/>
      <c r="H322" s="433"/>
      <c r="I322" s="434"/>
      <c r="J322" s="434"/>
      <c r="K322" s="433"/>
      <c r="L322" s="433"/>
      <c r="M322" s="433"/>
      <c r="N322" s="433"/>
      <c r="O322" s="433"/>
      <c r="P322" s="433"/>
      <c r="Q322" s="433"/>
      <c r="R322" s="433"/>
      <c r="S322" s="433"/>
      <c r="T322" s="466"/>
      <c r="U322" s="433"/>
      <c r="V322" s="433"/>
      <c r="W322" s="433"/>
    </row>
    <row r="323" spans="2:23" ht="15" customHeight="1">
      <c r="B323" s="433"/>
      <c r="C323" s="433"/>
      <c r="D323" s="433"/>
      <c r="E323" s="433"/>
      <c r="F323" s="434"/>
      <c r="G323" s="435"/>
      <c r="H323" s="433"/>
      <c r="I323" s="434"/>
      <c r="J323" s="434"/>
      <c r="K323" s="433"/>
      <c r="L323" s="433"/>
      <c r="M323" s="433"/>
      <c r="N323" s="433"/>
      <c r="O323" s="433"/>
      <c r="P323" s="433"/>
      <c r="Q323" s="433"/>
      <c r="R323" s="433"/>
      <c r="S323" s="433"/>
      <c r="T323" s="466"/>
      <c r="U323" s="433"/>
      <c r="V323" s="433"/>
      <c r="W323" s="433"/>
    </row>
    <row r="324" spans="2:23" ht="15" customHeight="1">
      <c r="B324" s="433"/>
      <c r="C324" s="433"/>
      <c r="D324" s="433"/>
      <c r="E324" s="433"/>
      <c r="F324" s="434"/>
      <c r="G324" s="435"/>
      <c r="H324" s="433"/>
      <c r="I324" s="434"/>
      <c r="J324" s="434"/>
      <c r="K324" s="433"/>
      <c r="L324" s="433"/>
      <c r="M324" s="433"/>
      <c r="N324" s="433"/>
      <c r="O324" s="433"/>
      <c r="P324" s="433"/>
      <c r="Q324" s="433"/>
      <c r="R324" s="433"/>
      <c r="S324" s="433"/>
      <c r="T324" s="466"/>
      <c r="U324" s="433"/>
      <c r="V324" s="433"/>
      <c r="W324" s="433"/>
    </row>
    <row r="325" spans="2:23" ht="15" customHeight="1">
      <c r="B325" s="433"/>
      <c r="C325" s="433"/>
      <c r="D325" s="433"/>
      <c r="E325" s="433"/>
      <c r="F325" s="434"/>
      <c r="G325" s="435"/>
      <c r="H325" s="433"/>
      <c r="I325" s="434"/>
      <c r="J325" s="434"/>
      <c r="K325" s="433"/>
      <c r="L325" s="433"/>
      <c r="M325" s="433"/>
      <c r="N325" s="433"/>
      <c r="O325" s="433"/>
      <c r="P325" s="433"/>
      <c r="Q325" s="433"/>
      <c r="R325" s="433"/>
      <c r="S325" s="433"/>
      <c r="T325" s="466"/>
      <c r="U325" s="433"/>
      <c r="V325" s="433"/>
      <c r="W325" s="433"/>
    </row>
    <row r="326" spans="2:23" ht="15" customHeight="1">
      <c r="B326" s="433"/>
      <c r="C326" s="433"/>
      <c r="D326" s="433"/>
      <c r="E326" s="433"/>
      <c r="F326" s="434"/>
      <c r="G326" s="435"/>
      <c r="H326" s="433"/>
      <c r="I326" s="434"/>
      <c r="J326" s="434"/>
      <c r="K326" s="433"/>
      <c r="L326" s="433"/>
      <c r="M326" s="433"/>
      <c r="N326" s="433"/>
      <c r="O326" s="433"/>
      <c r="P326" s="433"/>
      <c r="Q326" s="433"/>
      <c r="R326" s="433"/>
      <c r="S326" s="433"/>
      <c r="T326" s="466"/>
      <c r="U326" s="433"/>
      <c r="V326" s="433"/>
      <c r="W326" s="433"/>
    </row>
    <row r="327" spans="2:23" ht="15" customHeight="1">
      <c r="B327" s="433"/>
      <c r="C327" s="433"/>
      <c r="D327" s="433"/>
      <c r="E327" s="433"/>
      <c r="F327" s="434"/>
      <c r="G327" s="435"/>
      <c r="H327" s="433"/>
      <c r="I327" s="434"/>
      <c r="J327" s="434"/>
      <c r="K327" s="433"/>
      <c r="L327" s="433"/>
      <c r="M327" s="433"/>
      <c r="N327" s="433"/>
      <c r="O327" s="433"/>
      <c r="P327" s="433"/>
      <c r="Q327" s="433"/>
      <c r="R327" s="433"/>
      <c r="S327" s="433"/>
      <c r="T327" s="466"/>
      <c r="U327" s="433"/>
      <c r="V327" s="433"/>
      <c r="W327" s="433"/>
    </row>
    <row r="328" spans="2:23" ht="15" customHeight="1">
      <c r="B328" s="433"/>
      <c r="C328" s="433"/>
      <c r="D328" s="433"/>
      <c r="E328" s="433"/>
      <c r="F328" s="434"/>
      <c r="G328" s="435"/>
      <c r="H328" s="433"/>
      <c r="I328" s="434"/>
      <c r="J328" s="434"/>
      <c r="K328" s="433"/>
      <c r="L328" s="433"/>
      <c r="M328" s="433"/>
      <c r="N328" s="433"/>
      <c r="O328" s="433"/>
      <c r="P328" s="433"/>
      <c r="Q328" s="433"/>
      <c r="R328" s="433"/>
      <c r="S328" s="433"/>
      <c r="T328" s="466"/>
      <c r="U328" s="433"/>
      <c r="V328" s="433"/>
      <c r="W328" s="433"/>
    </row>
    <row r="329" spans="2:23" ht="15" customHeight="1">
      <c r="B329" s="433"/>
      <c r="C329" s="433"/>
      <c r="D329" s="433"/>
      <c r="E329" s="433"/>
      <c r="F329" s="434"/>
      <c r="G329" s="435"/>
      <c r="H329" s="433"/>
      <c r="I329" s="434"/>
      <c r="J329" s="434"/>
      <c r="K329" s="433"/>
      <c r="L329" s="433"/>
      <c r="M329" s="433"/>
      <c r="N329" s="433"/>
      <c r="O329" s="433"/>
      <c r="P329" s="433"/>
      <c r="Q329" s="433"/>
      <c r="R329" s="433"/>
      <c r="S329" s="433"/>
      <c r="T329" s="466"/>
      <c r="U329" s="433"/>
      <c r="V329" s="433"/>
      <c r="W329" s="433"/>
    </row>
    <row r="330" spans="2:23" ht="15" customHeight="1">
      <c r="B330" s="433"/>
      <c r="C330" s="433"/>
      <c r="D330" s="433"/>
      <c r="E330" s="433"/>
      <c r="F330" s="434"/>
      <c r="G330" s="435"/>
      <c r="H330" s="433"/>
      <c r="I330" s="434"/>
      <c r="J330" s="434"/>
      <c r="K330" s="433"/>
      <c r="L330" s="433"/>
      <c r="M330" s="433"/>
      <c r="N330" s="433"/>
      <c r="O330" s="433"/>
      <c r="P330" s="433"/>
      <c r="Q330" s="433"/>
      <c r="R330" s="433"/>
      <c r="S330" s="433"/>
      <c r="T330" s="466"/>
      <c r="U330" s="433"/>
      <c r="V330" s="433"/>
      <c r="W330" s="433"/>
    </row>
    <row r="331" spans="2:23" ht="15" customHeight="1">
      <c r="B331" s="433"/>
      <c r="C331" s="433"/>
      <c r="D331" s="433"/>
      <c r="E331" s="433"/>
      <c r="F331" s="434"/>
      <c r="G331" s="435"/>
      <c r="H331" s="433"/>
      <c r="I331" s="434"/>
      <c r="J331" s="434"/>
      <c r="K331" s="433"/>
      <c r="L331" s="433"/>
      <c r="M331" s="433"/>
      <c r="N331" s="433"/>
      <c r="O331" s="433"/>
      <c r="P331" s="433"/>
      <c r="Q331" s="433"/>
      <c r="R331" s="433"/>
      <c r="S331" s="433"/>
      <c r="T331" s="466"/>
      <c r="U331" s="433"/>
      <c r="V331" s="433"/>
      <c r="W331" s="433"/>
    </row>
    <row r="332" spans="2:23" ht="15" customHeight="1">
      <c r="B332" s="433"/>
      <c r="C332" s="433"/>
      <c r="D332" s="433"/>
      <c r="E332" s="433"/>
      <c r="F332" s="434"/>
      <c r="G332" s="435"/>
      <c r="H332" s="433"/>
      <c r="I332" s="434"/>
      <c r="J332" s="434"/>
      <c r="K332" s="433"/>
      <c r="L332" s="433"/>
      <c r="M332" s="433"/>
      <c r="N332" s="433"/>
      <c r="O332" s="433"/>
      <c r="P332" s="433"/>
      <c r="Q332" s="433"/>
      <c r="R332" s="433"/>
      <c r="S332" s="433"/>
      <c r="T332" s="466"/>
      <c r="U332" s="433"/>
      <c r="V332" s="433"/>
      <c r="W332" s="433"/>
    </row>
    <row r="333" spans="2:23" ht="15" customHeight="1">
      <c r="B333" s="433"/>
      <c r="C333" s="433"/>
      <c r="D333" s="433"/>
      <c r="E333" s="433"/>
      <c r="F333" s="434"/>
      <c r="G333" s="435"/>
      <c r="H333" s="433"/>
      <c r="I333" s="434"/>
      <c r="J333" s="434"/>
      <c r="K333" s="433"/>
      <c r="L333" s="433"/>
      <c r="M333" s="433"/>
      <c r="N333" s="433"/>
      <c r="O333" s="433"/>
      <c r="P333" s="433"/>
      <c r="Q333" s="433"/>
      <c r="R333" s="433"/>
      <c r="S333" s="433"/>
      <c r="T333" s="466"/>
      <c r="U333" s="433"/>
      <c r="V333" s="433"/>
      <c r="W333" s="433"/>
    </row>
    <row r="334" spans="2:23" ht="15" customHeight="1">
      <c r="B334" s="433"/>
      <c r="C334" s="433"/>
      <c r="D334" s="433"/>
      <c r="E334" s="433"/>
      <c r="F334" s="434"/>
      <c r="G334" s="435"/>
      <c r="H334" s="433"/>
      <c r="I334" s="434"/>
      <c r="J334" s="434"/>
      <c r="K334" s="433"/>
      <c r="L334" s="433"/>
      <c r="M334" s="433"/>
      <c r="N334" s="433"/>
      <c r="O334" s="433"/>
      <c r="P334" s="433"/>
      <c r="Q334" s="433"/>
      <c r="R334" s="433"/>
      <c r="S334" s="433"/>
      <c r="T334" s="466"/>
      <c r="U334" s="433"/>
      <c r="V334" s="433"/>
      <c r="W334" s="433"/>
    </row>
    <row r="335" spans="2:23" ht="15" customHeight="1">
      <c r="B335" s="433"/>
      <c r="C335" s="433"/>
      <c r="D335" s="433"/>
      <c r="E335" s="433"/>
      <c r="F335" s="434"/>
      <c r="G335" s="435"/>
      <c r="H335" s="433"/>
      <c r="I335" s="434"/>
      <c r="J335" s="434"/>
      <c r="K335" s="433"/>
      <c r="L335" s="433"/>
      <c r="M335" s="433"/>
      <c r="N335" s="433"/>
      <c r="O335" s="433"/>
      <c r="P335" s="433"/>
      <c r="Q335" s="433"/>
      <c r="R335" s="433"/>
      <c r="S335" s="433"/>
      <c r="T335" s="466"/>
      <c r="U335" s="433"/>
      <c r="V335" s="433"/>
      <c r="W335" s="433"/>
    </row>
    <row r="336" spans="2:23" ht="15" customHeight="1">
      <c r="B336" s="433"/>
      <c r="C336" s="433"/>
      <c r="D336" s="433"/>
      <c r="E336" s="433"/>
      <c r="F336" s="434"/>
      <c r="G336" s="435"/>
      <c r="H336" s="433"/>
      <c r="I336" s="434"/>
      <c r="J336" s="434"/>
      <c r="K336" s="433"/>
      <c r="L336" s="433"/>
      <c r="M336" s="433"/>
      <c r="N336" s="433"/>
      <c r="O336" s="433"/>
      <c r="P336" s="433"/>
      <c r="Q336" s="433"/>
      <c r="R336" s="433"/>
      <c r="S336" s="433"/>
      <c r="T336" s="466"/>
      <c r="U336" s="433"/>
      <c r="V336" s="433"/>
      <c r="W336" s="433"/>
    </row>
    <row r="337" spans="2:23" ht="15" customHeight="1">
      <c r="B337" s="433"/>
      <c r="C337" s="433"/>
      <c r="D337" s="433"/>
      <c r="E337" s="433"/>
      <c r="F337" s="434"/>
      <c r="G337" s="435"/>
      <c r="H337" s="433"/>
      <c r="I337" s="434"/>
      <c r="J337" s="434"/>
      <c r="K337" s="433"/>
      <c r="L337" s="433"/>
      <c r="M337" s="433"/>
      <c r="N337" s="433"/>
      <c r="O337" s="433"/>
      <c r="P337" s="433"/>
      <c r="Q337" s="433"/>
      <c r="R337" s="433"/>
      <c r="S337" s="433"/>
      <c r="T337" s="466"/>
      <c r="U337" s="433"/>
      <c r="V337" s="433"/>
      <c r="W337" s="433"/>
    </row>
    <row r="338" spans="2:23" ht="15" customHeight="1">
      <c r="B338" s="433"/>
      <c r="C338" s="433"/>
      <c r="D338" s="433"/>
      <c r="E338" s="433"/>
      <c r="F338" s="434"/>
      <c r="G338" s="435"/>
      <c r="H338" s="433"/>
      <c r="I338" s="434"/>
      <c r="J338" s="434"/>
      <c r="K338" s="433"/>
      <c r="L338" s="433"/>
      <c r="M338" s="433"/>
      <c r="N338" s="433"/>
      <c r="O338" s="433"/>
      <c r="P338" s="433"/>
      <c r="Q338" s="433"/>
      <c r="R338" s="433"/>
      <c r="S338" s="433"/>
      <c r="T338" s="466"/>
      <c r="U338" s="433"/>
      <c r="V338" s="433"/>
      <c r="W338" s="433"/>
    </row>
    <row r="339" spans="2:23" ht="15" customHeight="1">
      <c r="B339" s="433"/>
      <c r="C339" s="433"/>
      <c r="D339" s="433"/>
      <c r="E339" s="433"/>
      <c r="F339" s="434"/>
      <c r="G339" s="435"/>
      <c r="H339" s="433"/>
      <c r="I339" s="434"/>
      <c r="J339" s="434"/>
      <c r="K339" s="433"/>
      <c r="L339" s="433"/>
      <c r="M339" s="433"/>
      <c r="N339" s="433"/>
      <c r="O339" s="433"/>
      <c r="P339" s="433"/>
      <c r="Q339" s="433"/>
      <c r="R339" s="433"/>
      <c r="S339" s="433"/>
      <c r="T339" s="466"/>
      <c r="U339" s="433"/>
      <c r="V339" s="433"/>
      <c r="W339" s="433"/>
    </row>
    <row r="340" spans="2:23" ht="15" customHeight="1">
      <c r="B340" s="433"/>
      <c r="C340" s="433"/>
      <c r="D340" s="433"/>
      <c r="E340" s="433"/>
      <c r="F340" s="434"/>
      <c r="G340" s="435"/>
      <c r="H340" s="433"/>
      <c r="I340" s="434"/>
      <c r="J340" s="434"/>
      <c r="K340" s="433"/>
      <c r="L340" s="433"/>
      <c r="M340" s="433"/>
      <c r="N340" s="433"/>
      <c r="O340" s="433"/>
      <c r="P340" s="433"/>
      <c r="Q340" s="433"/>
      <c r="R340" s="433"/>
      <c r="S340" s="433"/>
      <c r="T340" s="466"/>
      <c r="U340" s="433"/>
      <c r="V340" s="433"/>
      <c r="W340" s="433"/>
    </row>
    <row r="341" spans="2:23" ht="15" customHeight="1">
      <c r="B341" s="433"/>
      <c r="C341" s="433"/>
      <c r="D341" s="433"/>
      <c r="E341" s="433"/>
      <c r="F341" s="434"/>
      <c r="G341" s="435"/>
      <c r="H341" s="433"/>
      <c r="I341" s="434"/>
      <c r="J341" s="434"/>
      <c r="K341" s="433"/>
      <c r="L341" s="433"/>
      <c r="M341" s="433"/>
      <c r="N341" s="433"/>
      <c r="O341" s="433"/>
      <c r="P341" s="433"/>
      <c r="Q341" s="433"/>
      <c r="R341" s="433"/>
      <c r="S341" s="433"/>
      <c r="T341" s="466"/>
      <c r="U341" s="433"/>
      <c r="V341" s="433"/>
      <c r="W341" s="433"/>
    </row>
    <row r="342" spans="2:23" ht="15" customHeight="1">
      <c r="B342" s="433"/>
      <c r="C342" s="433"/>
      <c r="D342" s="433"/>
      <c r="E342" s="433"/>
      <c r="F342" s="434"/>
      <c r="G342" s="435"/>
      <c r="H342" s="433"/>
      <c r="I342" s="434"/>
      <c r="J342" s="434"/>
      <c r="K342" s="433"/>
      <c r="L342" s="433"/>
      <c r="M342" s="433"/>
      <c r="N342" s="433"/>
      <c r="O342" s="433"/>
      <c r="P342" s="433"/>
      <c r="Q342" s="433"/>
      <c r="R342" s="433"/>
      <c r="S342" s="433"/>
      <c r="T342" s="466"/>
      <c r="U342" s="433"/>
      <c r="V342" s="433"/>
      <c r="W342" s="433"/>
    </row>
    <row r="343" spans="2:23" ht="15" customHeight="1">
      <c r="B343" s="433"/>
      <c r="C343" s="433"/>
      <c r="D343" s="433"/>
      <c r="E343" s="433"/>
      <c r="F343" s="434"/>
      <c r="G343" s="435"/>
      <c r="H343" s="433"/>
      <c r="I343" s="434"/>
      <c r="J343" s="434"/>
      <c r="K343" s="433"/>
      <c r="L343" s="433"/>
      <c r="M343" s="433"/>
      <c r="N343" s="433"/>
      <c r="O343" s="433"/>
      <c r="P343" s="433"/>
      <c r="Q343" s="433"/>
      <c r="R343" s="433"/>
      <c r="S343" s="433"/>
      <c r="T343" s="466"/>
      <c r="U343" s="433"/>
      <c r="V343" s="433"/>
      <c r="W343" s="433"/>
    </row>
    <row r="344" spans="2:23" ht="15" customHeight="1">
      <c r="B344" s="433"/>
      <c r="C344" s="433"/>
      <c r="D344" s="433"/>
      <c r="E344" s="433"/>
      <c r="F344" s="434"/>
      <c r="G344" s="435"/>
      <c r="H344" s="433"/>
      <c r="I344" s="434"/>
      <c r="J344" s="434"/>
      <c r="K344" s="433"/>
      <c r="L344" s="433"/>
      <c r="M344" s="433"/>
      <c r="N344" s="433"/>
      <c r="O344" s="433"/>
      <c r="P344" s="433"/>
      <c r="Q344" s="433"/>
      <c r="R344" s="433"/>
      <c r="S344" s="433"/>
      <c r="T344" s="466"/>
      <c r="U344" s="433"/>
      <c r="V344" s="433"/>
      <c r="W344" s="433"/>
    </row>
    <row r="345" spans="2:23" ht="15" customHeight="1">
      <c r="B345" s="433"/>
      <c r="C345" s="433"/>
      <c r="D345" s="433"/>
      <c r="E345" s="433"/>
      <c r="F345" s="434"/>
      <c r="G345" s="435"/>
      <c r="H345" s="433"/>
      <c r="I345" s="434"/>
      <c r="J345" s="434"/>
      <c r="K345" s="433"/>
      <c r="L345" s="433"/>
      <c r="M345" s="433"/>
      <c r="N345" s="433"/>
      <c r="O345" s="433"/>
      <c r="P345" s="433"/>
      <c r="Q345" s="433"/>
      <c r="R345" s="433"/>
      <c r="S345" s="433"/>
      <c r="T345" s="466"/>
      <c r="U345" s="433"/>
      <c r="V345" s="433"/>
      <c r="W345" s="433"/>
    </row>
    <row r="346" spans="2:23" ht="15" customHeight="1">
      <c r="B346" s="433"/>
      <c r="C346" s="433"/>
      <c r="D346" s="433"/>
      <c r="E346" s="433"/>
      <c r="F346" s="434"/>
      <c r="G346" s="435"/>
      <c r="H346" s="433"/>
      <c r="I346" s="434"/>
      <c r="J346" s="434"/>
      <c r="K346" s="433"/>
      <c r="L346" s="433"/>
      <c r="M346" s="433"/>
      <c r="N346" s="433"/>
      <c r="O346" s="433"/>
      <c r="P346" s="433"/>
      <c r="Q346" s="433"/>
      <c r="R346" s="433"/>
      <c r="S346" s="433"/>
      <c r="T346" s="466"/>
      <c r="U346" s="433"/>
      <c r="V346" s="433"/>
      <c r="W346" s="433"/>
    </row>
    <row r="347" spans="2:23" ht="15" customHeight="1">
      <c r="B347" s="433"/>
      <c r="C347" s="433"/>
      <c r="D347" s="433"/>
      <c r="E347" s="433"/>
      <c r="F347" s="434"/>
      <c r="G347" s="435"/>
      <c r="H347" s="433"/>
      <c r="I347" s="434"/>
      <c r="J347" s="434"/>
      <c r="K347" s="433"/>
      <c r="L347" s="433"/>
      <c r="M347" s="433"/>
      <c r="N347" s="433"/>
      <c r="O347" s="433"/>
      <c r="P347" s="433"/>
      <c r="Q347" s="433"/>
      <c r="R347" s="433"/>
      <c r="S347" s="433"/>
      <c r="T347" s="466"/>
      <c r="U347" s="433"/>
      <c r="V347" s="433"/>
      <c r="W347" s="433"/>
    </row>
    <row r="348" spans="2:23" ht="15" customHeight="1">
      <c r="B348" s="433"/>
      <c r="C348" s="433"/>
      <c r="D348" s="433"/>
      <c r="E348" s="433"/>
      <c r="F348" s="434"/>
      <c r="G348" s="435"/>
      <c r="H348" s="433"/>
      <c r="I348" s="434"/>
      <c r="J348" s="434"/>
      <c r="K348" s="433"/>
      <c r="L348" s="433"/>
      <c r="M348" s="433"/>
      <c r="N348" s="433"/>
      <c r="O348" s="433"/>
      <c r="P348" s="433"/>
      <c r="Q348" s="433"/>
      <c r="R348" s="433"/>
      <c r="S348" s="433"/>
      <c r="T348" s="466"/>
      <c r="U348" s="433"/>
      <c r="V348" s="433"/>
      <c r="W348" s="433"/>
    </row>
    <row r="349" spans="2:23" ht="15" customHeight="1">
      <c r="B349" s="433"/>
      <c r="C349" s="433"/>
      <c r="D349" s="433"/>
      <c r="E349" s="433"/>
      <c r="F349" s="434"/>
      <c r="G349" s="435"/>
      <c r="H349" s="433"/>
      <c r="I349" s="434"/>
      <c r="J349" s="434"/>
      <c r="K349" s="433"/>
      <c r="L349" s="433"/>
      <c r="M349" s="433"/>
      <c r="N349" s="433"/>
      <c r="O349" s="433"/>
      <c r="P349" s="433"/>
      <c r="Q349" s="433"/>
      <c r="R349" s="433"/>
      <c r="S349" s="433"/>
      <c r="T349" s="466"/>
      <c r="U349" s="433"/>
      <c r="V349" s="433"/>
      <c r="W349" s="433"/>
    </row>
    <row r="350" spans="2:23" ht="15" customHeight="1">
      <c r="B350" s="433"/>
      <c r="C350" s="433"/>
      <c r="D350" s="433"/>
      <c r="E350" s="433"/>
      <c r="F350" s="434"/>
      <c r="G350" s="435"/>
      <c r="H350" s="433"/>
      <c r="I350" s="434"/>
      <c r="J350" s="434"/>
      <c r="K350" s="433"/>
      <c r="L350" s="433"/>
      <c r="M350" s="433"/>
      <c r="N350" s="433"/>
      <c r="O350" s="433"/>
      <c r="P350" s="433"/>
      <c r="Q350" s="433"/>
      <c r="R350" s="433"/>
      <c r="S350" s="433"/>
      <c r="T350" s="466"/>
      <c r="U350" s="433"/>
      <c r="V350" s="433"/>
      <c r="W350" s="433"/>
    </row>
    <row r="351" spans="2:23" ht="15" customHeight="1">
      <c r="B351" s="433"/>
      <c r="C351" s="433"/>
      <c r="D351" s="433"/>
      <c r="E351" s="433"/>
      <c r="F351" s="434"/>
      <c r="G351" s="435"/>
      <c r="H351" s="433"/>
      <c r="I351" s="434"/>
      <c r="J351" s="434"/>
      <c r="K351" s="433"/>
      <c r="L351" s="433"/>
      <c r="M351" s="433"/>
      <c r="N351" s="433"/>
      <c r="O351" s="433"/>
      <c r="P351" s="433"/>
      <c r="Q351" s="433"/>
      <c r="R351" s="433"/>
      <c r="S351" s="433"/>
      <c r="T351" s="466"/>
      <c r="U351" s="433"/>
      <c r="V351" s="433"/>
      <c r="W351" s="433"/>
    </row>
    <row r="352" spans="2:23" ht="15" customHeight="1">
      <c r="B352" s="433"/>
      <c r="C352" s="433"/>
      <c r="D352" s="433"/>
      <c r="E352" s="433"/>
      <c r="F352" s="434"/>
      <c r="G352" s="435"/>
      <c r="H352" s="433"/>
      <c r="I352" s="434"/>
      <c r="J352" s="434"/>
      <c r="K352" s="433"/>
      <c r="L352" s="433"/>
      <c r="M352" s="433"/>
      <c r="N352" s="433"/>
      <c r="O352" s="433"/>
      <c r="P352" s="433"/>
      <c r="Q352" s="433"/>
      <c r="R352" s="433"/>
      <c r="S352" s="433"/>
      <c r="T352" s="466"/>
      <c r="U352" s="433"/>
      <c r="V352" s="433"/>
      <c r="W352" s="433"/>
    </row>
    <row r="353" spans="2:23" ht="15" customHeight="1">
      <c r="B353" s="433"/>
      <c r="C353" s="433"/>
      <c r="D353" s="433"/>
      <c r="E353" s="433"/>
      <c r="F353" s="434"/>
      <c r="G353" s="435"/>
      <c r="H353" s="433"/>
      <c r="I353" s="434"/>
      <c r="J353" s="434"/>
      <c r="K353" s="433"/>
      <c r="L353" s="433"/>
      <c r="M353" s="433"/>
      <c r="N353" s="433"/>
      <c r="O353" s="433"/>
      <c r="P353" s="433"/>
      <c r="Q353" s="433"/>
      <c r="R353" s="433"/>
      <c r="S353" s="433"/>
      <c r="T353" s="466"/>
      <c r="U353" s="433"/>
      <c r="V353" s="433"/>
      <c r="W353" s="433"/>
    </row>
    <row r="354" spans="2:23" ht="15" customHeight="1">
      <c r="B354" s="433"/>
      <c r="C354" s="433"/>
      <c r="D354" s="433"/>
      <c r="E354" s="433"/>
      <c r="F354" s="434"/>
      <c r="G354" s="435"/>
      <c r="H354" s="433"/>
      <c r="I354" s="434"/>
      <c r="J354" s="434"/>
      <c r="K354" s="433"/>
      <c r="L354" s="433"/>
      <c r="M354" s="433"/>
      <c r="N354" s="433"/>
      <c r="O354" s="433"/>
      <c r="P354" s="433"/>
      <c r="Q354" s="433"/>
      <c r="R354" s="433"/>
      <c r="S354" s="433"/>
      <c r="T354" s="466"/>
      <c r="U354" s="433"/>
      <c r="V354" s="433"/>
      <c r="W354" s="433"/>
    </row>
    <row r="355" spans="2:23" ht="15" customHeight="1">
      <c r="B355" s="433"/>
      <c r="C355" s="433"/>
      <c r="D355" s="433"/>
      <c r="E355" s="433"/>
      <c r="F355" s="434"/>
      <c r="G355" s="435"/>
      <c r="H355" s="433"/>
      <c r="I355" s="434"/>
      <c r="J355" s="434"/>
      <c r="K355" s="433"/>
      <c r="L355" s="433"/>
      <c r="M355" s="433"/>
      <c r="N355" s="433"/>
      <c r="O355" s="433"/>
      <c r="P355" s="433"/>
      <c r="Q355" s="433"/>
      <c r="R355" s="433"/>
      <c r="S355" s="433"/>
      <c r="T355" s="466"/>
      <c r="U355" s="433"/>
      <c r="V355" s="433"/>
      <c r="W355" s="433"/>
    </row>
    <row r="356" spans="2:23" ht="15" customHeight="1">
      <c r="B356" s="433"/>
      <c r="C356" s="433"/>
      <c r="D356" s="433"/>
      <c r="E356" s="433"/>
      <c r="F356" s="434"/>
      <c r="G356" s="435"/>
      <c r="H356" s="433"/>
      <c r="I356" s="434"/>
      <c r="J356" s="434"/>
      <c r="K356" s="433"/>
      <c r="L356" s="433"/>
      <c r="M356" s="433"/>
      <c r="N356" s="433"/>
      <c r="O356" s="433"/>
      <c r="P356" s="433"/>
      <c r="Q356" s="433"/>
      <c r="R356" s="433"/>
      <c r="S356" s="433"/>
      <c r="T356" s="466"/>
      <c r="U356" s="433"/>
      <c r="V356" s="433"/>
      <c r="W356" s="433"/>
    </row>
    <row r="357" spans="2:23" ht="15" customHeight="1">
      <c r="B357" s="433"/>
      <c r="C357" s="433"/>
      <c r="D357" s="433"/>
      <c r="E357" s="433"/>
      <c r="F357" s="434"/>
      <c r="G357" s="435"/>
      <c r="H357" s="433"/>
      <c r="I357" s="434"/>
      <c r="J357" s="434"/>
      <c r="K357" s="433"/>
      <c r="L357" s="433"/>
      <c r="M357" s="433"/>
      <c r="N357" s="433"/>
      <c r="O357" s="433"/>
      <c r="P357" s="433"/>
      <c r="Q357" s="433"/>
      <c r="R357" s="433"/>
      <c r="S357" s="433"/>
      <c r="T357" s="466"/>
      <c r="U357" s="433"/>
      <c r="V357" s="433"/>
      <c r="W357" s="433"/>
    </row>
    <row r="358" spans="2:23" ht="15" customHeight="1">
      <c r="B358" s="433"/>
      <c r="C358" s="433"/>
      <c r="D358" s="433"/>
      <c r="E358" s="433"/>
      <c r="F358" s="434"/>
      <c r="G358" s="435"/>
      <c r="H358" s="433"/>
      <c r="I358" s="434"/>
      <c r="J358" s="434"/>
      <c r="K358" s="433"/>
      <c r="L358" s="433"/>
      <c r="M358" s="433"/>
      <c r="N358" s="433"/>
      <c r="O358" s="433"/>
      <c r="P358" s="433"/>
      <c r="Q358" s="433"/>
      <c r="R358" s="433"/>
      <c r="S358" s="433"/>
      <c r="T358" s="466"/>
      <c r="U358" s="433"/>
      <c r="V358" s="433"/>
      <c r="W358" s="433"/>
    </row>
    <row r="359" spans="2:23" ht="15" customHeight="1">
      <c r="B359" s="433"/>
      <c r="C359" s="433"/>
      <c r="D359" s="433"/>
      <c r="E359" s="433"/>
      <c r="F359" s="434"/>
      <c r="G359" s="435"/>
      <c r="H359" s="433"/>
      <c r="I359" s="434"/>
      <c r="J359" s="434"/>
      <c r="K359" s="433"/>
      <c r="L359" s="433"/>
      <c r="M359" s="433"/>
      <c r="N359" s="433"/>
      <c r="O359" s="433"/>
      <c r="P359" s="433"/>
      <c r="Q359" s="433"/>
      <c r="R359" s="433"/>
      <c r="S359" s="433"/>
      <c r="T359" s="466"/>
      <c r="U359" s="433"/>
      <c r="V359" s="433"/>
      <c r="W359" s="433"/>
    </row>
    <row r="360" spans="2:23" ht="15" customHeight="1">
      <c r="B360" s="433"/>
      <c r="C360" s="433"/>
      <c r="D360" s="433"/>
      <c r="E360" s="433"/>
      <c r="F360" s="434"/>
      <c r="G360" s="435"/>
      <c r="H360" s="433"/>
      <c r="I360" s="434"/>
      <c r="J360" s="434"/>
      <c r="K360" s="433"/>
      <c r="L360" s="433"/>
      <c r="M360" s="433"/>
      <c r="N360" s="433"/>
      <c r="O360" s="433"/>
      <c r="P360" s="433"/>
      <c r="Q360" s="433"/>
      <c r="R360" s="433"/>
      <c r="S360" s="433"/>
      <c r="T360" s="466"/>
      <c r="U360" s="433"/>
      <c r="V360" s="433"/>
      <c r="W360" s="433"/>
    </row>
    <row r="361" spans="2:23" ht="15" customHeight="1">
      <c r="B361" s="433"/>
      <c r="C361" s="433"/>
      <c r="D361" s="433"/>
      <c r="E361" s="433"/>
      <c r="F361" s="434"/>
      <c r="G361" s="435"/>
      <c r="H361" s="433"/>
      <c r="I361" s="434"/>
      <c r="J361" s="434"/>
      <c r="K361" s="433"/>
      <c r="L361" s="433"/>
      <c r="M361" s="433"/>
      <c r="N361" s="433"/>
      <c r="O361" s="433"/>
      <c r="P361" s="433"/>
      <c r="Q361" s="433"/>
      <c r="R361" s="433"/>
      <c r="S361" s="433"/>
      <c r="T361" s="466"/>
      <c r="U361" s="433"/>
      <c r="V361" s="433"/>
      <c r="W361" s="433"/>
    </row>
    <row r="362" spans="2:23" ht="15" customHeight="1">
      <c r="B362" s="433"/>
      <c r="C362" s="433"/>
      <c r="D362" s="433"/>
      <c r="E362" s="433"/>
      <c r="F362" s="434"/>
      <c r="G362" s="435"/>
      <c r="H362" s="433"/>
      <c r="I362" s="434"/>
      <c r="J362" s="434"/>
      <c r="K362" s="433"/>
      <c r="L362" s="433"/>
      <c r="M362" s="433"/>
      <c r="N362" s="433"/>
      <c r="O362" s="433"/>
      <c r="P362" s="433"/>
      <c r="Q362" s="433"/>
      <c r="R362" s="433"/>
      <c r="S362" s="433"/>
      <c r="T362" s="466"/>
      <c r="U362" s="433"/>
      <c r="V362" s="433"/>
      <c r="W362" s="433"/>
    </row>
    <row r="363" spans="2:23" ht="15" customHeight="1">
      <c r="B363" s="433"/>
      <c r="C363" s="433"/>
      <c r="D363" s="433"/>
      <c r="E363" s="433"/>
      <c r="F363" s="434"/>
      <c r="G363" s="435"/>
      <c r="H363" s="433"/>
      <c r="I363" s="434"/>
      <c r="J363" s="434"/>
      <c r="K363" s="433"/>
      <c r="L363" s="433"/>
      <c r="M363" s="433"/>
      <c r="N363" s="433"/>
      <c r="O363" s="433"/>
      <c r="P363" s="433"/>
      <c r="Q363" s="433"/>
      <c r="R363" s="433"/>
      <c r="S363" s="433"/>
      <c r="T363" s="466"/>
      <c r="U363" s="433"/>
      <c r="V363" s="433"/>
      <c r="W363" s="433"/>
    </row>
    <row r="364" spans="2:23" ht="15" customHeight="1">
      <c r="B364" s="433"/>
      <c r="C364" s="433"/>
      <c r="D364" s="433"/>
      <c r="E364" s="433"/>
      <c r="F364" s="434"/>
      <c r="G364" s="435"/>
      <c r="H364" s="433"/>
      <c r="I364" s="434"/>
      <c r="J364" s="434"/>
      <c r="K364" s="433"/>
      <c r="L364" s="433"/>
      <c r="M364" s="433"/>
      <c r="N364" s="433"/>
      <c r="O364" s="433"/>
      <c r="P364" s="433"/>
      <c r="Q364" s="433"/>
      <c r="R364" s="433"/>
      <c r="S364" s="433"/>
      <c r="T364" s="466"/>
      <c r="U364" s="433"/>
      <c r="V364" s="433"/>
      <c r="W364" s="433"/>
    </row>
    <row r="365" spans="2:23" ht="15" customHeight="1">
      <c r="B365" s="433"/>
      <c r="C365" s="433"/>
      <c r="D365" s="433"/>
      <c r="E365" s="433"/>
      <c r="F365" s="434"/>
      <c r="G365" s="435"/>
      <c r="H365" s="433"/>
      <c r="I365" s="434"/>
      <c r="J365" s="434"/>
      <c r="K365" s="433"/>
      <c r="L365" s="433"/>
      <c r="M365" s="433"/>
      <c r="N365" s="433"/>
      <c r="O365" s="433"/>
      <c r="P365" s="433"/>
      <c r="Q365" s="433"/>
      <c r="R365" s="433"/>
      <c r="S365" s="433"/>
      <c r="T365" s="466"/>
      <c r="U365" s="433"/>
      <c r="V365" s="433"/>
      <c r="W365" s="433"/>
    </row>
    <row r="366" spans="2:23" ht="15" customHeight="1">
      <c r="B366" s="433"/>
      <c r="C366" s="433"/>
      <c r="D366" s="433"/>
      <c r="E366" s="433"/>
      <c r="F366" s="434"/>
      <c r="G366" s="435"/>
      <c r="H366" s="433"/>
      <c r="I366" s="434"/>
      <c r="J366" s="434"/>
      <c r="K366" s="433"/>
      <c r="L366" s="433"/>
      <c r="M366" s="433"/>
      <c r="N366" s="433"/>
      <c r="O366" s="433"/>
      <c r="P366" s="433"/>
      <c r="Q366" s="433"/>
      <c r="R366" s="433"/>
      <c r="S366" s="433"/>
      <c r="T366" s="466"/>
      <c r="U366" s="433"/>
      <c r="V366" s="433"/>
      <c r="W366" s="433"/>
    </row>
    <row r="367" spans="2:23" ht="15" customHeight="1">
      <c r="B367" s="433"/>
      <c r="C367" s="433"/>
      <c r="D367" s="433"/>
      <c r="E367" s="433"/>
      <c r="F367" s="434"/>
      <c r="G367" s="435"/>
      <c r="H367" s="433"/>
      <c r="I367" s="434"/>
      <c r="J367" s="434"/>
      <c r="K367" s="433"/>
      <c r="L367" s="433"/>
      <c r="M367" s="433"/>
      <c r="N367" s="433"/>
      <c r="O367" s="433"/>
      <c r="P367" s="433"/>
      <c r="Q367" s="433"/>
      <c r="R367" s="433"/>
      <c r="S367" s="433"/>
      <c r="T367" s="466"/>
      <c r="U367" s="433"/>
      <c r="V367" s="433"/>
      <c r="W367" s="433"/>
    </row>
    <row r="368" spans="2:23" ht="15" customHeight="1">
      <c r="B368" s="433"/>
      <c r="C368" s="433"/>
      <c r="D368" s="433"/>
      <c r="E368" s="433"/>
      <c r="F368" s="434"/>
      <c r="G368" s="435"/>
      <c r="H368" s="433"/>
      <c r="I368" s="434"/>
      <c r="J368" s="434"/>
      <c r="K368" s="433"/>
      <c r="L368" s="433"/>
      <c r="M368" s="433"/>
      <c r="N368" s="433"/>
      <c r="O368" s="433"/>
      <c r="P368" s="433"/>
      <c r="Q368" s="433"/>
      <c r="R368" s="433"/>
      <c r="S368" s="433"/>
      <c r="T368" s="466"/>
      <c r="U368" s="433"/>
      <c r="V368" s="433"/>
      <c r="W368" s="433"/>
    </row>
    <row r="369" spans="2:23" ht="15" customHeight="1">
      <c r="B369" s="433"/>
      <c r="C369" s="433"/>
      <c r="D369" s="433"/>
      <c r="E369" s="433"/>
      <c r="F369" s="434"/>
      <c r="G369" s="435"/>
      <c r="H369" s="433"/>
      <c r="I369" s="434"/>
      <c r="J369" s="434"/>
      <c r="K369" s="433"/>
      <c r="L369" s="433"/>
      <c r="M369" s="433"/>
      <c r="N369" s="433"/>
      <c r="O369" s="433"/>
      <c r="P369" s="433"/>
      <c r="Q369" s="433"/>
      <c r="R369" s="433"/>
      <c r="S369" s="433"/>
      <c r="T369" s="466"/>
      <c r="U369" s="433"/>
      <c r="V369" s="433"/>
      <c r="W369" s="433"/>
    </row>
    <row r="370" spans="2:23" ht="15" customHeight="1">
      <c r="B370" s="433"/>
      <c r="C370" s="433"/>
      <c r="D370" s="433"/>
      <c r="E370" s="433"/>
      <c r="F370" s="434"/>
      <c r="G370" s="435"/>
      <c r="H370" s="433"/>
      <c r="I370" s="434"/>
      <c r="J370" s="434"/>
      <c r="K370" s="433"/>
      <c r="L370" s="433"/>
      <c r="M370" s="433"/>
      <c r="N370" s="433"/>
      <c r="O370" s="433"/>
      <c r="P370" s="433"/>
      <c r="Q370" s="433"/>
      <c r="R370" s="433"/>
      <c r="S370" s="433"/>
      <c r="T370" s="466"/>
      <c r="U370" s="433"/>
      <c r="V370" s="433"/>
      <c r="W370" s="433"/>
    </row>
    <row r="371" spans="2:23" ht="15" customHeight="1">
      <c r="B371" s="433"/>
      <c r="C371" s="433"/>
      <c r="D371" s="433"/>
      <c r="E371" s="433"/>
      <c r="F371" s="434"/>
      <c r="G371" s="435"/>
      <c r="H371" s="433"/>
      <c r="I371" s="434"/>
      <c r="J371" s="434"/>
      <c r="K371" s="433"/>
      <c r="L371" s="433"/>
      <c r="M371" s="433"/>
      <c r="N371" s="433"/>
      <c r="O371" s="433"/>
      <c r="P371" s="433"/>
      <c r="Q371" s="433"/>
      <c r="R371" s="433"/>
      <c r="S371" s="433"/>
      <c r="T371" s="466"/>
      <c r="U371" s="433"/>
      <c r="V371" s="433"/>
      <c r="W371" s="433"/>
    </row>
    <row r="372" spans="2:23" ht="15" customHeight="1">
      <c r="B372" s="433"/>
      <c r="C372" s="433"/>
      <c r="D372" s="433"/>
      <c r="E372" s="433"/>
      <c r="F372" s="434"/>
      <c r="G372" s="435"/>
      <c r="H372" s="433"/>
      <c r="I372" s="434"/>
      <c r="J372" s="434"/>
      <c r="K372" s="433"/>
      <c r="L372" s="433"/>
      <c r="M372" s="433"/>
      <c r="N372" s="433"/>
      <c r="O372" s="433"/>
      <c r="P372" s="433"/>
      <c r="Q372" s="433"/>
      <c r="R372" s="433"/>
      <c r="S372" s="433"/>
      <c r="T372" s="466"/>
      <c r="U372" s="433"/>
      <c r="V372" s="433"/>
      <c r="W372" s="433"/>
    </row>
    <row r="373" spans="2:23" ht="15" customHeight="1">
      <c r="B373" s="433"/>
      <c r="C373" s="433"/>
      <c r="D373" s="433"/>
      <c r="E373" s="433"/>
      <c r="F373" s="434"/>
      <c r="G373" s="435"/>
      <c r="H373" s="433"/>
      <c r="I373" s="434"/>
      <c r="J373" s="434"/>
      <c r="K373" s="433"/>
      <c r="L373" s="433"/>
      <c r="M373" s="433"/>
      <c r="N373" s="433"/>
      <c r="O373" s="433"/>
      <c r="P373" s="433"/>
      <c r="Q373" s="433"/>
      <c r="R373" s="433"/>
      <c r="S373" s="433"/>
      <c r="T373" s="466"/>
      <c r="U373" s="433"/>
      <c r="V373" s="433"/>
      <c r="W373" s="433"/>
    </row>
    <row r="374" spans="2:23" ht="15" customHeight="1">
      <c r="B374" s="433"/>
      <c r="C374" s="433"/>
      <c r="D374" s="433"/>
      <c r="E374" s="433"/>
      <c r="F374" s="434"/>
      <c r="G374" s="435"/>
      <c r="H374" s="433"/>
      <c r="I374" s="434"/>
      <c r="J374" s="434"/>
      <c r="K374" s="433"/>
      <c r="L374" s="433"/>
      <c r="M374" s="433"/>
      <c r="N374" s="433"/>
      <c r="O374" s="433"/>
      <c r="P374" s="433"/>
      <c r="Q374" s="433"/>
      <c r="R374" s="433"/>
      <c r="S374" s="433"/>
      <c r="T374" s="466"/>
      <c r="U374" s="433"/>
      <c r="V374" s="433"/>
      <c r="W374" s="433"/>
    </row>
    <row r="375" spans="2:23" ht="15" customHeight="1">
      <c r="B375" s="433"/>
      <c r="C375" s="433"/>
      <c r="D375" s="433"/>
      <c r="E375" s="433"/>
      <c r="F375" s="434"/>
      <c r="G375" s="435"/>
      <c r="H375" s="433"/>
      <c r="I375" s="434"/>
      <c r="J375" s="434"/>
      <c r="K375" s="433"/>
      <c r="L375" s="433"/>
      <c r="M375" s="433"/>
      <c r="N375" s="433"/>
      <c r="O375" s="433"/>
      <c r="P375" s="433"/>
      <c r="Q375" s="433"/>
      <c r="R375" s="433"/>
      <c r="S375" s="433"/>
      <c r="T375" s="466"/>
      <c r="U375" s="433"/>
      <c r="V375" s="433"/>
      <c r="W375" s="433"/>
    </row>
    <row r="376" spans="2:23" ht="15" customHeight="1">
      <c r="B376" s="433"/>
      <c r="C376" s="433"/>
      <c r="D376" s="433"/>
      <c r="E376" s="433"/>
      <c r="F376" s="434"/>
      <c r="G376" s="435"/>
      <c r="H376" s="433"/>
      <c r="I376" s="434"/>
      <c r="J376" s="434"/>
      <c r="K376" s="433"/>
      <c r="L376" s="433"/>
      <c r="M376" s="433"/>
      <c r="N376" s="433"/>
      <c r="O376" s="433"/>
      <c r="P376" s="433"/>
      <c r="Q376" s="433"/>
      <c r="R376" s="433"/>
      <c r="S376" s="433"/>
      <c r="T376" s="466"/>
      <c r="U376" s="433"/>
      <c r="V376" s="433"/>
      <c r="W376" s="433"/>
    </row>
    <row r="377" spans="2:23" ht="15" customHeight="1">
      <c r="B377" s="433"/>
      <c r="C377" s="433"/>
      <c r="D377" s="433"/>
      <c r="E377" s="433"/>
      <c r="F377" s="434"/>
      <c r="G377" s="435"/>
      <c r="H377" s="433"/>
      <c r="I377" s="434"/>
      <c r="J377" s="434"/>
      <c r="K377" s="433"/>
      <c r="L377" s="433"/>
      <c r="M377" s="433"/>
      <c r="N377" s="433"/>
      <c r="O377" s="433"/>
      <c r="P377" s="433"/>
      <c r="Q377" s="433"/>
      <c r="R377" s="433"/>
      <c r="S377" s="433"/>
      <c r="T377" s="466"/>
      <c r="U377" s="433"/>
      <c r="V377" s="433"/>
      <c r="W377" s="433"/>
    </row>
    <row r="378" spans="2:23" ht="15" customHeight="1">
      <c r="B378" s="433"/>
      <c r="C378" s="433"/>
      <c r="D378" s="433"/>
      <c r="E378" s="433"/>
      <c r="F378" s="434"/>
      <c r="G378" s="435"/>
      <c r="H378" s="433"/>
      <c r="I378" s="434"/>
      <c r="J378" s="434"/>
      <c r="K378" s="433"/>
      <c r="L378" s="433"/>
      <c r="M378" s="433"/>
      <c r="N378" s="433"/>
      <c r="O378" s="433"/>
      <c r="P378" s="433"/>
      <c r="Q378" s="433"/>
      <c r="R378" s="433"/>
      <c r="S378" s="433"/>
      <c r="T378" s="466"/>
      <c r="U378" s="433"/>
      <c r="V378" s="433"/>
      <c r="W378" s="433"/>
    </row>
    <row r="379" spans="2:23" ht="15" customHeight="1">
      <c r="B379" s="433"/>
      <c r="C379" s="433"/>
      <c r="D379" s="433"/>
      <c r="E379" s="433"/>
      <c r="F379" s="434"/>
      <c r="G379" s="435"/>
      <c r="H379" s="433"/>
      <c r="I379" s="434"/>
      <c r="J379" s="434"/>
      <c r="K379" s="433"/>
      <c r="L379" s="433"/>
      <c r="M379" s="433"/>
      <c r="N379" s="433"/>
      <c r="O379" s="433"/>
      <c r="P379" s="433"/>
      <c r="Q379" s="433"/>
      <c r="R379" s="433"/>
      <c r="S379" s="433"/>
      <c r="T379" s="466"/>
      <c r="U379" s="433"/>
      <c r="V379" s="433"/>
      <c r="W379" s="433"/>
    </row>
    <row r="380" spans="2:23" ht="15" customHeight="1">
      <c r="B380" s="433"/>
      <c r="C380" s="433"/>
      <c r="D380" s="433"/>
      <c r="E380" s="433"/>
      <c r="F380" s="434"/>
      <c r="G380" s="435"/>
      <c r="H380" s="433"/>
      <c r="I380" s="434"/>
      <c r="J380" s="434"/>
      <c r="K380" s="433"/>
      <c r="L380" s="433"/>
      <c r="M380" s="433"/>
      <c r="N380" s="433"/>
      <c r="O380" s="433"/>
      <c r="P380" s="433"/>
      <c r="Q380" s="433"/>
      <c r="R380" s="433"/>
      <c r="S380" s="433"/>
      <c r="T380" s="466"/>
      <c r="U380" s="433"/>
      <c r="V380" s="433"/>
      <c r="W380" s="433"/>
    </row>
    <row r="381" spans="2:23" ht="15" customHeight="1">
      <c r="B381" s="433"/>
      <c r="C381" s="433"/>
      <c r="D381" s="433"/>
      <c r="E381" s="433"/>
      <c r="F381" s="434"/>
      <c r="G381" s="435"/>
      <c r="H381" s="433"/>
      <c r="I381" s="434"/>
      <c r="J381" s="434"/>
      <c r="K381" s="433"/>
      <c r="L381" s="433"/>
      <c r="M381" s="433"/>
      <c r="N381" s="433"/>
      <c r="O381" s="433"/>
      <c r="P381" s="433"/>
      <c r="Q381" s="433"/>
      <c r="R381" s="433"/>
      <c r="S381" s="433"/>
      <c r="T381" s="466"/>
      <c r="U381" s="433"/>
      <c r="V381" s="433"/>
      <c r="W381" s="433"/>
    </row>
    <row r="382" spans="2:23" ht="15" customHeight="1">
      <c r="B382" s="433"/>
      <c r="C382" s="433"/>
      <c r="D382" s="433"/>
      <c r="E382" s="433"/>
      <c r="F382" s="434"/>
      <c r="G382" s="435"/>
      <c r="H382" s="433"/>
      <c r="I382" s="434"/>
      <c r="J382" s="434"/>
      <c r="K382" s="433"/>
      <c r="L382" s="433"/>
      <c r="M382" s="433"/>
      <c r="N382" s="433"/>
      <c r="O382" s="433"/>
      <c r="P382" s="433"/>
      <c r="Q382" s="433"/>
      <c r="R382" s="433"/>
      <c r="S382" s="433"/>
      <c r="T382" s="466"/>
      <c r="U382" s="433"/>
      <c r="V382" s="433"/>
      <c r="W382" s="433"/>
    </row>
    <row r="383" spans="2:23" ht="15" customHeight="1">
      <c r="B383" s="433"/>
      <c r="C383" s="433"/>
      <c r="D383" s="433"/>
      <c r="E383" s="433"/>
      <c r="F383" s="434"/>
      <c r="G383" s="435"/>
      <c r="H383" s="433"/>
      <c r="I383" s="434"/>
      <c r="J383" s="434"/>
      <c r="K383" s="433"/>
      <c r="L383" s="433"/>
      <c r="M383" s="433"/>
      <c r="N383" s="433"/>
      <c r="O383" s="433"/>
      <c r="P383" s="433"/>
      <c r="Q383" s="433"/>
      <c r="R383" s="433"/>
      <c r="S383" s="433"/>
      <c r="T383" s="466"/>
      <c r="U383" s="433"/>
      <c r="V383" s="433"/>
      <c r="W383" s="433"/>
    </row>
    <row r="384" spans="2:23" ht="15" customHeight="1">
      <c r="B384" s="433"/>
      <c r="C384" s="433"/>
      <c r="D384" s="433"/>
      <c r="E384" s="433"/>
      <c r="F384" s="434"/>
      <c r="G384" s="435"/>
      <c r="H384" s="433"/>
      <c r="I384" s="434"/>
      <c r="J384" s="434"/>
      <c r="K384" s="433"/>
      <c r="L384" s="433"/>
      <c r="M384" s="433"/>
      <c r="N384" s="433"/>
      <c r="O384" s="433"/>
      <c r="P384" s="433"/>
      <c r="Q384" s="433"/>
      <c r="R384" s="433"/>
      <c r="S384" s="433"/>
      <c r="T384" s="466"/>
      <c r="U384" s="433"/>
      <c r="V384" s="433"/>
      <c r="W384" s="433"/>
    </row>
    <row r="385" spans="2:23" ht="15" customHeight="1">
      <c r="B385" s="433"/>
      <c r="C385" s="433"/>
      <c r="D385" s="433"/>
      <c r="E385" s="433"/>
      <c r="F385" s="434"/>
      <c r="G385" s="435"/>
      <c r="H385" s="433"/>
      <c r="I385" s="434"/>
      <c r="J385" s="434"/>
      <c r="K385" s="433"/>
      <c r="L385" s="433"/>
      <c r="M385" s="433"/>
      <c r="N385" s="433"/>
      <c r="O385" s="433"/>
      <c r="P385" s="433"/>
      <c r="Q385" s="433"/>
      <c r="R385" s="433"/>
      <c r="S385" s="433"/>
      <c r="T385" s="466"/>
      <c r="U385" s="433"/>
      <c r="V385" s="433"/>
      <c r="W385" s="433"/>
    </row>
    <row r="386" spans="2:23" ht="15" customHeight="1">
      <c r="B386" s="433"/>
      <c r="C386" s="433"/>
      <c r="D386" s="433"/>
      <c r="E386" s="433"/>
      <c r="F386" s="434"/>
      <c r="G386" s="435"/>
      <c r="H386" s="433"/>
      <c r="I386" s="434"/>
      <c r="J386" s="434"/>
      <c r="K386" s="433"/>
      <c r="L386" s="433"/>
      <c r="M386" s="433"/>
      <c r="N386" s="433"/>
      <c r="O386" s="433"/>
      <c r="P386" s="433"/>
      <c r="Q386" s="433"/>
      <c r="R386" s="433"/>
      <c r="S386" s="433"/>
      <c r="T386" s="466"/>
      <c r="U386" s="433"/>
      <c r="V386" s="433"/>
      <c r="W386" s="433"/>
    </row>
    <row r="387" spans="2:23" ht="15" customHeight="1">
      <c r="B387" s="433"/>
      <c r="C387" s="433"/>
      <c r="D387" s="433"/>
      <c r="E387" s="433"/>
      <c r="F387" s="434"/>
      <c r="G387" s="435"/>
      <c r="H387" s="433"/>
      <c r="I387" s="434"/>
      <c r="J387" s="434"/>
      <c r="K387" s="433"/>
      <c r="L387" s="433"/>
      <c r="M387" s="433"/>
      <c r="N387" s="433"/>
      <c r="O387" s="433"/>
      <c r="P387" s="433"/>
      <c r="Q387" s="433"/>
      <c r="R387" s="433"/>
      <c r="S387" s="433"/>
      <c r="T387" s="466"/>
      <c r="U387" s="433"/>
      <c r="V387" s="433"/>
      <c r="W387" s="433"/>
    </row>
    <row r="388" spans="2:23" ht="15" customHeight="1">
      <c r="B388" s="433"/>
      <c r="C388" s="433"/>
      <c r="D388" s="433"/>
      <c r="E388" s="433"/>
      <c r="F388" s="434"/>
      <c r="G388" s="435"/>
      <c r="H388" s="433"/>
      <c r="I388" s="434"/>
      <c r="J388" s="434"/>
      <c r="K388" s="433"/>
      <c r="L388" s="433"/>
      <c r="M388" s="433"/>
      <c r="N388" s="433"/>
      <c r="O388" s="433"/>
      <c r="P388" s="433"/>
      <c r="Q388" s="433"/>
      <c r="R388" s="433"/>
      <c r="S388" s="433"/>
      <c r="T388" s="466"/>
      <c r="U388" s="433"/>
      <c r="V388" s="433"/>
      <c r="W388" s="433"/>
    </row>
    <row r="389" spans="2:23" ht="15" customHeight="1">
      <c r="B389" s="433"/>
      <c r="C389" s="433"/>
      <c r="D389" s="433"/>
      <c r="E389" s="433"/>
      <c r="F389" s="434"/>
      <c r="G389" s="435"/>
      <c r="H389" s="433"/>
      <c r="I389" s="434"/>
      <c r="J389" s="434"/>
      <c r="K389" s="433"/>
      <c r="L389" s="433"/>
      <c r="M389" s="433"/>
      <c r="N389" s="433"/>
      <c r="O389" s="433"/>
      <c r="P389" s="433"/>
      <c r="Q389" s="433"/>
      <c r="R389" s="433"/>
      <c r="S389" s="433"/>
      <c r="T389" s="466"/>
      <c r="U389" s="433"/>
      <c r="V389" s="433"/>
      <c r="W389" s="433"/>
    </row>
    <row r="390" spans="2:23" ht="15" customHeight="1">
      <c r="B390" s="433"/>
      <c r="C390" s="433"/>
      <c r="D390" s="433"/>
      <c r="E390" s="433"/>
      <c r="F390" s="434"/>
      <c r="G390" s="435"/>
      <c r="H390" s="433"/>
      <c r="I390" s="434"/>
      <c r="J390" s="434"/>
      <c r="K390" s="433"/>
      <c r="L390" s="433"/>
      <c r="M390" s="433"/>
      <c r="N390" s="433"/>
      <c r="O390" s="433"/>
      <c r="P390" s="433"/>
      <c r="Q390" s="433"/>
      <c r="R390" s="433"/>
      <c r="S390" s="433"/>
      <c r="T390" s="466"/>
      <c r="U390" s="433"/>
      <c r="V390" s="433"/>
      <c r="W390" s="433"/>
    </row>
    <row r="391" spans="2:23" ht="15" customHeight="1">
      <c r="B391" s="433"/>
      <c r="C391" s="433"/>
      <c r="D391" s="433"/>
      <c r="E391" s="433"/>
      <c r="F391" s="434"/>
      <c r="G391" s="435"/>
      <c r="H391" s="433"/>
      <c r="I391" s="434"/>
      <c r="J391" s="434"/>
      <c r="K391" s="433"/>
      <c r="L391" s="433"/>
      <c r="M391" s="433"/>
      <c r="N391" s="433"/>
      <c r="O391" s="433"/>
      <c r="P391" s="433"/>
      <c r="Q391" s="433"/>
      <c r="R391" s="433"/>
      <c r="S391" s="433"/>
      <c r="T391" s="466"/>
      <c r="U391" s="433"/>
      <c r="V391" s="433"/>
      <c r="W391" s="433"/>
    </row>
    <row r="392" spans="2:23" ht="15" customHeight="1">
      <c r="B392" s="433"/>
      <c r="C392" s="433"/>
      <c r="D392" s="433"/>
      <c r="E392" s="433"/>
      <c r="F392" s="434"/>
      <c r="G392" s="435"/>
      <c r="H392" s="433"/>
      <c r="I392" s="434"/>
      <c r="J392" s="434"/>
      <c r="K392" s="433"/>
      <c r="L392" s="433"/>
      <c r="M392" s="433"/>
      <c r="N392" s="433"/>
      <c r="O392" s="433"/>
      <c r="P392" s="433"/>
      <c r="Q392" s="433"/>
      <c r="R392" s="433"/>
      <c r="S392" s="433"/>
      <c r="T392" s="466"/>
      <c r="U392" s="433"/>
      <c r="V392" s="433"/>
      <c r="W392" s="433"/>
    </row>
    <row r="393" spans="2:23" ht="15" customHeight="1">
      <c r="B393" s="433"/>
      <c r="C393" s="433"/>
      <c r="D393" s="433"/>
      <c r="E393" s="433"/>
      <c r="F393" s="434"/>
      <c r="G393" s="435"/>
      <c r="H393" s="433"/>
      <c r="I393" s="434"/>
      <c r="J393" s="434"/>
      <c r="K393" s="433"/>
      <c r="L393" s="433"/>
      <c r="M393" s="433"/>
      <c r="N393" s="433"/>
      <c r="O393" s="433"/>
      <c r="P393" s="433"/>
      <c r="Q393" s="433"/>
      <c r="R393" s="433"/>
      <c r="S393" s="433"/>
      <c r="T393" s="466"/>
      <c r="U393" s="433"/>
      <c r="V393" s="433"/>
      <c r="W393" s="433"/>
    </row>
    <row r="394" spans="2:23" ht="15" customHeight="1">
      <c r="B394" s="433"/>
      <c r="C394" s="433"/>
      <c r="D394" s="433"/>
      <c r="E394" s="433"/>
      <c r="F394" s="434"/>
      <c r="G394" s="435"/>
      <c r="H394" s="433"/>
      <c r="I394" s="434"/>
      <c r="J394" s="434"/>
      <c r="K394" s="433"/>
      <c r="L394" s="433"/>
      <c r="M394" s="433"/>
      <c r="N394" s="433"/>
      <c r="O394" s="433"/>
      <c r="P394" s="433"/>
      <c r="Q394" s="433"/>
      <c r="R394" s="433"/>
      <c r="S394" s="433"/>
      <c r="T394" s="466"/>
      <c r="U394" s="433"/>
      <c r="V394" s="433"/>
      <c r="W394" s="433"/>
    </row>
    <row r="395" spans="2:23" ht="15" customHeight="1">
      <c r="B395" s="433"/>
      <c r="C395" s="433"/>
      <c r="D395" s="433"/>
      <c r="E395" s="433"/>
      <c r="F395" s="434"/>
      <c r="G395" s="435"/>
      <c r="H395" s="433"/>
      <c r="I395" s="434"/>
      <c r="J395" s="434"/>
      <c r="K395" s="433"/>
      <c r="L395" s="433"/>
      <c r="M395" s="433"/>
      <c r="N395" s="433"/>
      <c r="O395" s="433"/>
      <c r="P395" s="433"/>
      <c r="Q395" s="433"/>
      <c r="R395" s="433"/>
      <c r="S395" s="433"/>
      <c r="T395" s="466"/>
      <c r="U395" s="433"/>
      <c r="V395" s="433"/>
      <c r="W395" s="433"/>
    </row>
    <row r="396" spans="2:23" ht="15" customHeight="1">
      <c r="B396" s="433"/>
      <c r="C396" s="433"/>
      <c r="D396" s="433"/>
      <c r="E396" s="433"/>
      <c r="F396" s="434"/>
      <c r="G396" s="435"/>
      <c r="H396" s="433"/>
      <c r="I396" s="434"/>
      <c r="J396" s="434"/>
      <c r="K396" s="433"/>
      <c r="L396" s="433"/>
      <c r="M396" s="433"/>
      <c r="N396" s="433"/>
      <c r="O396" s="433"/>
      <c r="P396" s="433"/>
      <c r="Q396" s="433"/>
      <c r="R396" s="433"/>
      <c r="S396" s="433"/>
      <c r="T396" s="466"/>
      <c r="U396" s="433"/>
      <c r="V396" s="433"/>
      <c r="W396" s="433"/>
    </row>
    <row r="397" spans="2:23" ht="15" customHeight="1">
      <c r="B397" s="433"/>
      <c r="C397" s="433"/>
      <c r="D397" s="433"/>
      <c r="E397" s="433"/>
      <c r="F397" s="434"/>
      <c r="G397" s="435"/>
      <c r="H397" s="433"/>
      <c r="I397" s="434"/>
      <c r="J397" s="434"/>
      <c r="K397" s="433"/>
      <c r="L397" s="433"/>
      <c r="M397" s="433"/>
      <c r="N397" s="433"/>
      <c r="O397" s="433"/>
      <c r="P397" s="433"/>
      <c r="Q397" s="433"/>
      <c r="R397" s="433"/>
      <c r="S397" s="433"/>
      <c r="T397" s="466"/>
      <c r="U397" s="433"/>
      <c r="V397" s="433"/>
      <c r="W397" s="433"/>
    </row>
    <row r="398" spans="2:23" ht="15" customHeight="1">
      <c r="B398" s="433"/>
      <c r="C398" s="433"/>
      <c r="D398" s="433"/>
      <c r="E398" s="433"/>
      <c r="F398" s="434"/>
      <c r="G398" s="435"/>
      <c r="H398" s="433"/>
      <c r="I398" s="434"/>
      <c r="J398" s="434"/>
      <c r="K398" s="433"/>
      <c r="L398" s="433"/>
      <c r="M398" s="433"/>
      <c r="N398" s="433"/>
      <c r="O398" s="433"/>
      <c r="P398" s="433"/>
      <c r="Q398" s="433"/>
      <c r="R398" s="433"/>
      <c r="S398" s="433"/>
      <c r="T398" s="466"/>
      <c r="U398" s="433"/>
      <c r="V398" s="433"/>
      <c r="W398" s="433"/>
    </row>
    <row r="399" spans="2:23" ht="15" customHeight="1">
      <c r="B399" s="433"/>
      <c r="C399" s="433"/>
      <c r="D399" s="433"/>
      <c r="E399" s="433"/>
      <c r="F399" s="434"/>
      <c r="G399" s="435"/>
      <c r="H399" s="433"/>
      <c r="I399" s="434"/>
      <c r="J399" s="434"/>
      <c r="K399" s="433"/>
      <c r="L399" s="433"/>
      <c r="M399" s="433"/>
      <c r="N399" s="433"/>
      <c r="O399" s="433"/>
      <c r="P399" s="433"/>
      <c r="Q399" s="433"/>
      <c r="R399" s="433"/>
      <c r="S399" s="433"/>
      <c r="T399" s="466"/>
      <c r="U399" s="433"/>
      <c r="V399" s="433"/>
      <c r="W399" s="433"/>
    </row>
    <row r="400" spans="2:23" ht="15" customHeight="1">
      <c r="B400" s="433"/>
      <c r="C400" s="433"/>
      <c r="D400" s="433"/>
      <c r="E400" s="433"/>
      <c r="F400" s="434"/>
      <c r="G400" s="435"/>
      <c r="H400" s="433"/>
      <c r="I400" s="434"/>
      <c r="J400" s="434"/>
      <c r="K400" s="433"/>
      <c r="L400" s="433"/>
      <c r="M400" s="433"/>
      <c r="N400" s="433"/>
      <c r="O400" s="433"/>
      <c r="P400" s="433"/>
      <c r="Q400" s="433"/>
      <c r="R400" s="433"/>
      <c r="S400" s="433"/>
      <c r="T400" s="466"/>
      <c r="U400" s="433"/>
      <c r="V400" s="433"/>
      <c r="W400" s="433"/>
    </row>
    <row r="401" spans="2:23" ht="15" customHeight="1">
      <c r="B401" s="433"/>
      <c r="C401" s="433"/>
      <c r="D401" s="433"/>
      <c r="E401" s="433"/>
      <c r="F401" s="434"/>
      <c r="G401" s="435"/>
      <c r="H401" s="433"/>
      <c r="I401" s="434"/>
      <c r="J401" s="434"/>
      <c r="K401" s="433"/>
      <c r="L401" s="433"/>
      <c r="M401" s="433"/>
      <c r="N401" s="433"/>
      <c r="O401" s="433"/>
      <c r="P401" s="433"/>
      <c r="Q401" s="433"/>
      <c r="R401" s="433"/>
      <c r="S401" s="433"/>
      <c r="T401" s="466"/>
      <c r="U401" s="433"/>
      <c r="V401" s="433"/>
      <c r="W401" s="433"/>
    </row>
    <row r="402" spans="2:23" ht="15" customHeight="1">
      <c r="B402" s="433"/>
      <c r="C402" s="433"/>
      <c r="D402" s="433"/>
      <c r="E402" s="433"/>
      <c r="F402" s="434"/>
      <c r="G402" s="435"/>
      <c r="H402" s="433"/>
      <c r="I402" s="434"/>
      <c r="J402" s="434"/>
      <c r="K402" s="433"/>
      <c r="L402" s="433"/>
      <c r="M402" s="433"/>
      <c r="N402" s="433"/>
      <c r="O402" s="433"/>
      <c r="P402" s="433"/>
      <c r="Q402" s="433"/>
      <c r="R402" s="433"/>
      <c r="S402" s="433"/>
      <c r="T402" s="466"/>
      <c r="U402" s="433"/>
      <c r="V402" s="433"/>
      <c r="W402" s="433"/>
    </row>
    <row r="403" spans="2:23" ht="15" customHeight="1">
      <c r="B403" s="433"/>
      <c r="C403" s="433"/>
      <c r="D403" s="433"/>
      <c r="E403" s="433"/>
      <c r="F403" s="434"/>
      <c r="G403" s="435"/>
      <c r="H403" s="433"/>
      <c r="I403" s="434"/>
      <c r="J403" s="434"/>
      <c r="K403" s="433"/>
      <c r="L403" s="433"/>
      <c r="M403" s="433"/>
      <c r="N403" s="433"/>
      <c r="O403" s="433"/>
      <c r="P403" s="433"/>
      <c r="Q403" s="433"/>
      <c r="R403" s="433"/>
      <c r="S403" s="433"/>
      <c r="T403" s="466"/>
      <c r="U403" s="433"/>
      <c r="V403" s="433"/>
      <c r="W403" s="433"/>
    </row>
    <row r="404" spans="2:23" ht="15" customHeight="1">
      <c r="B404" s="433"/>
      <c r="C404" s="433"/>
      <c r="D404" s="433"/>
      <c r="E404" s="433"/>
      <c r="F404" s="434"/>
      <c r="G404" s="435"/>
      <c r="H404" s="433"/>
      <c r="I404" s="434"/>
      <c r="J404" s="434"/>
      <c r="K404" s="433"/>
      <c r="L404" s="433"/>
      <c r="M404" s="433"/>
      <c r="N404" s="433"/>
      <c r="O404" s="433"/>
      <c r="P404" s="433"/>
      <c r="Q404" s="433"/>
      <c r="R404" s="433"/>
      <c r="S404" s="433"/>
      <c r="T404" s="466"/>
      <c r="U404" s="433"/>
      <c r="V404" s="433"/>
      <c r="W404" s="433"/>
    </row>
    <row r="405" spans="2:23" ht="15" customHeight="1">
      <c r="B405" s="433"/>
      <c r="C405" s="433"/>
      <c r="D405" s="433"/>
      <c r="E405" s="433"/>
      <c r="F405" s="434"/>
      <c r="G405" s="435"/>
      <c r="H405" s="433"/>
      <c r="I405" s="434"/>
      <c r="J405" s="434"/>
      <c r="K405" s="433"/>
      <c r="L405" s="433"/>
      <c r="M405" s="433"/>
      <c r="N405" s="433"/>
      <c r="O405" s="433"/>
      <c r="P405" s="433"/>
      <c r="Q405" s="433"/>
      <c r="R405" s="433"/>
      <c r="S405" s="433"/>
      <c r="T405" s="466"/>
      <c r="U405" s="433"/>
      <c r="V405" s="433"/>
      <c r="W405" s="433"/>
    </row>
    <row r="406" spans="2:23" ht="15" customHeight="1">
      <c r="B406" s="433"/>
      <c r="C406" s="433"/>
      <c r="D406" s="433"/>
      <c r="E406" s="433"/>
      <c r="F406" s="434"/>
      <c r="G406" s="435"/>
      <c r="H406" s="433"/>
      <c r="I406" s="434"/>
      <c r="J406" s="434"/>
      <c r="K406" s="433"/>
      <c r="L406" s="433"/>
      <c r="M406" s="433"/>
      <c r="N406" s="433"/>
      <c r="O406" s="433"/>
      <c r="P406" s="433"/>
      <c r="Q406" s="433"/>
      <c r="R406" s="433"/>
      <c r="S406" s="433"/>
      <c r="T406" s="466"/>
      <c r="U406" s="433"/>
      <c r="V406" s="433"/>
      <c r="W406" s="433"/>
    </row>
    <row r="407" spans="2:23" ht="15" customHeight="1">
      <c r="B407" s="433"/>
      <c r="C407" s="433"/>
      <c r="D407" s="433"/>
      <c r="E407" s="433"/>
      <c r="F407" s="434"/>
      <c r="G407" s="435"/>
      <c r="H407" s="433"/>
      <c r="I407" s="434"/>
      <c r="J407" s="434"/>
      <c r="K407" s="433"/>
      <c r="L407" s="433"/>
      <c r="M407" s="433"/>
      <c r="N407" s="433"/>
      <c r="O407" s="433"/>
      <c r="P407" s="433"/>
      <c r="Q407" s="433"/>
      <c r="R407" s="433"/>
      <c r="S407" s="433"/>
      <c r="T407" s="466"/>
      <c r="U407" s="433"/>
      <c r="V407" s="433"/>
      <c r="W407" s="433"/>
    </row>
    <row r="408" spans="2:23" ht="15" customHeight="1">
      <c r="B408" s="433"/>
      <c r="C408" s="433"/>
      <c r="D408" s="433"/>
      <c r="E408" s="433"/>
      <c r="F408" s="434"/>
      <c r="G408" s="435"/>
      <c r="H408" s="433"/>
      <c r="I408" s="434"/>
      <c r="J408" s="434"/>
      <c r="K408" s="433"/>
      <c r="L408" s="433"/>
      <c r="M408" s="433"/>
      <c r="N408" s="433"/>
      <c r="O408" s="433"/>
      <c r="P408" s="433"/>
      <c r="Q408" s="433"/>
      <c r="R408" s="433"/>
      <c r="S408" s="433"/>
      <c r="T408" s="466"/>
      <c r="U408" s="433"/>
      <c r="V408" s="433"/>
      <c r="W408" s="433"/>
    </row>
    <row r="409" spans="2:23" ht="15" customHeight="1">
      <c r="B409" s="433"/>
      <c r="C409" s="433"/>
      <c r="D409" s="433"/>
      <c r="E409" s="433"/>
      <c r="F409" s="434"/>
      <c r="G409" s="435"/>
      <c r="H409" s="433"/>
      <c r="I409" s="434"/>
      <c r="J409" s="434"/>
      <c r="K409" s="433"/>
      <c r="L409" s="433"/>
      <c r="M409" s="433"/>
      <c r="N409" s="433"/>
      <c r="O409" s="433"/>
      <c r="P409" s="433"/>
      <c r="Q409" s="433"/>
      <c r="R409" s="433"/>
      <c r="S409" s="433"/>
      <c r="T409" s="466"/>
      <c r="U409" s="433"/>
      <c r="V409" s="433"/>
      <c r="W409" s="433"/>
    </row>
    <row r="410" spans="2:23" ht="15" customHeight="1">
      <c r="B410" s="433"/>
      <c r="C410" s="433"/>
      <c r="D410" s="433"/>
      <c r="E410" s="433"/>
      <c r="F410" s="434"/>
      <c r="G410" s="435"/>
      <c r="H410" s="433"/>
      <c r="I410" s="434"/>
      <c r="J410" s="434"/>
      <c r="K410" s="433"/>
      <c r="L410" s="433"/>
      <c r="M410" s="433"/>
      <c r="N410" s="433"/>
      <c r="O410" s="433"/>
      <c r="P410" s="433"/>
      <c r="Q410" s="433"/>
      <c r="R410" s="433"/>
      <c r="S410" s="433"/>
      <c r="T410" s="466"/>
      <c r="U410" s="433"/>
      <c r="V410" s="433"/>
      <c r="W410" s="433"/>
    </row>
    <row r="411" spans="2:23" ht="15" customHeight="1">
      <c r="B411" s="433"/>
      <c r="C411" s="433"/>
      <c r="D411" s="433"/>
      <c r="E411" s="433"/>
      <c r="F411" s="434"/>
      <c r="G411" s="435"/>
      <c r="H411" s="433"/>
      <c r="I411" s="434"/>
      <c r="J411" s="434"/>
      <c r="K411" s="433"/>
      <c r="L411" s="433"/>
      <c r="M411" s="433"/>
      <c r="N411" s="433"/>
      <c r="O411" s="433"/>
      <c r="P411" s="433"/>
      <c r="Q411" s="433"/>
      <c r="R411" s="433"/>
      <c r="S411" s="433"/>
      <c r="T411" s="466"/>
      <c r="U411" s="433"/>
      <c r="V411" s="433"/>
      <c r="W411" s="433"/>
    </row>
    <row r="412" spans="2:23" ht="15" customHeight="1">
      <c r="B412" s="433"/>
      <c r="C412" s="433"/>
      <c r="D412" s="433"/>
      <c r="E412" s="433"/>
      <c r="F412" s="434"/>
      <c r="G412" s="435"/>
      <c r="H412" s="433"/>
      <c r="I412" s="434"/>
      <c r="J412" s="434"/>
      <c r="K412" s="433"/>
      <c r="L412" s="433"/>
      <c r="M412" s="433"/>
      <c r="N412" s="433"/>
      <c r="O412" s="433"/>
      <c r="P412" s="433"/>
      <c r="Q412" s="433"/>
      <c r="R412" s="433"/>
      <c r="S412" s="433"/>
      <c r="T412" s="466"/>
      <c r="U412" s="433"/>
      <c r="V412" s="433"/>
      <c r="W412" s="433"/>
    </row>
    <row r="413" spans="2:23" ht="15" customHeight="1">
      <c r="B413" s="433"/>
      <c r="C413" s="433"/>
      <c r="D413" s="433"/>
      <c r="E413" s="433"/>
      <c r="F413" s="434"/>
      <c r="G413" s="435"/>
      <c r="H413" s="433"/>
      <c r="I413" s="434"/>
      <c r="J413" s="434"/>
      <c r="K413" s="433"/>
      <c r="L413" s="433"/>
      <c r="M413" s="433"/>
      <c r="N413" s="433"/>
      <c r="O413" s="433"/>
      <c r="P413" s="433"/>
      <c r="Q413" s="433"/>
      <c r="R413" s="433"/>
      <c r="S413" s="433"/>
      <c r="T413" s="466"/>
      <c r="U413" s="433"/>
      <c r="V413" s="433"/>
      <c r="W413" s="433"/>
    </row>
    <row r="414" spans="2:23" ht="15" customHeight="1">
      <c r="B414" s="433"/>
      <c r="C414" s="433"/>
      <c r="D414" s="433"/>
      <c r="E414" s="433"/>
      <c r="F414" s="434"/>
      <c r="G414" s="435"/>
      <c r="H414" s="433"/>
      <c r="I414" s="434"/>
      <c r="J414" s="434"/>
      <c r="K414" s="433"/>
      <c r="L414" s="433"/>
      <c r="M414" s="433"/>
      <c r="N414" s="433"/>
      <c r="O414" s="433"/>
      <c r="P414" s="433"/>
      <c r="Q414" s="433"/>
      <c r="R414" s="433"/>
      <c r="S414" s="433"/>
      <c r="T414" s="466"/>
      <c r="U414" s="433"/>
      <c r="V414" s="433"/>
      <c r="W414" s="433"/>
    </row>
    <row r="415" spans="2:23" ht="15" customHeight="1">
      <c r="B415" s="433"/>
      <c r="C415" s="433"/>
      <c r="D415" s="433"/>
      <c r="E415" s="433"/>
      <c r="F415" s="434"/>
      <c r="G415" s="435"/>
      <c r="H415" s="433"/>
      <c r="I415" s="434"/>
      <c r="J415" s="434"/>
      <c r="K415" s="433"/>
      <c r="L415" s="433"/>
      <c r="M415" s="433"/>
      <c r="N415" s="433"/>
      <c r="O415" s="433"/>
      <c r="P415" s="433"/>
      <c r="Q415" s="433"/>
      <c r="R415" s="433"/>
      <c r="S415" s="433"/>
      <c r="T415" s="466"/>
      <c r="U415" s="433"/>
      <c r="V415" s="433"/>
      <c r="W415" s="433"/>
    </row>
    <row r="416" spans="2:23" ht="15" customHeight="1">
      <c r="B416" s="433"/>
      <c r="C416" s="433"/>
      <c r="D416" s="433"/>
      <c r="E416" s="433"/>
      <c r="F416" s="434"/>
      <c r="G416" s="435"/>
      <c r="H416" s="433"/>
      <c r="I416" s="434"/>
      <c r="J416" s="434"/>
      <c r="K416" s="433"/>
      <c r="L416" s="433"/>
      <c r="M416" s="433"/>
      <c r="N416" s="433"/>
      <c r="O416" s="433"/>
      <c r="P416" s="433"/>
      <c r="Q416" s="433"/>
      <c r="R416" s="433"/>
      <c r="S416" s="433"/>
      <c r="T416" s="466"/>
      <c r="U416" s="433"/>
      <c r="V416" s="433"/>
      <c r="W416" s="433"/>
    </row>
    <row r="417" spans="2:23" ht="15" customHeight="1">
      <c r="B417" s="433"/>
      <c r="C417" s="433"/>
      <c r="D417" s="433"/>
      <c r="E417" s="433"/>
      <c r="F417" s="434"/>
      <c r="G417" s="435"/>
      <c r="H417" s="433"/>
      <c r="I417" s="434"/>
      <c r="J417" s="434"/>
      <c r="K417" s="433"/>
      <c r="L417" s="433"/>
      <c r="M417" s="433"/>
      <c r="N417" s="433"/>
      <c r="O417" s="433"/>
      <c r="P417" s="433"/>
      <c r="Q417" s="433"/>
      <c r="R417" s="433"/>
      <c r="S417" s="433"/>
      <c r="T417" s="466"/>
      <c r="U417" s="433"/>
      <c r="V417" s="433"/>
      <c r="W417" s="433"/>
    </row>
    <row r="418" spans="2:23" ht="15" customHeight="1">
      <c r="B418" s="433"/>
      <c r="C418" s="433"/>
      <c r="D418" s="433"/>
      <c r="E418" s="433"/>
      <c r="F418" s="434"/>
      <c r="G418" s="435"/>
      <c r="H418" s="433"/>
      <c r="I418" s="434"/>
      <c r="J418" s="434"/>
      <c r="K418" s="433"/>
      <c r="L418" s="433"/>
      <c r="M418" s="433"/>
      <c r="N418" s="433"/>
      <c r="O418" s="433"/>
      <c r="P418" s="433"/>
      <c r="Q418" s="433"/>
      <c r="R418" s="433"/>
      <c r="S418" s="433"/>
      <c r="T418" s="466"/>
      <c r="U418" s="433"/>
      <c r="V418" s="433"/>
      <c r="W418" s="433"/>
    </row>
    <row r="419" spans="2:23" ht="15" customHeight="1">
      <c r="B419" s="433"/>
      <c r="C419" s="433"/>
      <c r="D419" s="433"/>
      <c r="E419" s="433"/>
      <c r="F419" s="434"/>
      <c r="G419" s="435"/>
      <c r="H419" s="433"/>
      <c r="I419" s="434"/>
      <c r="J419" s="434"/>
      <c r="K419" s="433"/>
      <c r="L419" s="433"/>
      <c r="M419" s="433"/>
      <c r="N419" s="433"/>
      <c r="O419" s="433"/>
      <c r="P419" s="433"/>
      <c r="Q419" s="433"/>
      <c r="R419" s="433"/>
      <c r="S419" s="433"/>
      <c r="T419" s="466"/>
      <c r="U419" s="433"/>
      <c r="V419" s="433"/>
      <c r="W419" s="433"/>
    </row>
    <row r="420" spans="2:23" ht="15" customHeight="1">
      <c r="B420" s="433"/>
      <c r="C420" s="433"/>
      <c r="D420" s="433"/>
      <c r="E420" s="433"/>
      <c r="F420" s="434"/>
      <c r="G420" s="435"/>
      <c r="H420" s="433"/>
      <c r="I420" s="434"/>
      <c r="J420" s="434"/>
      <c r="K420" s="433"/>
      <c r="L420" s="433"/>
      <c r="M420" s="433"/>
      <c r="N420" s="433"/>
      <c r="O420" s="433"/>
      <c r="P420" s="433"/>
      <c r="Q420" s="433"/>
      <c r="R420" s="433"/>
      <c r="S420" s="433"/>
      <c r="T420" s="466"/>
      <c r="U420" s="433"/>
      <c r="V420" s="433"/>
      <c r="W420" s="433"/>
    </row>
    <row r="421" spans="2:23" ht="15" customHeight="1">
      <c r="B421" s="433"/>
      <c r="C421" s="433"/>
      <c r="D421" s="433"/>
      <c r="E421" s="433"/>
      <c r="F421" s="434"/>
      <c r="G421" s="435"/>
      <c r="H421" s="433"/>
      <c r="I421" s="434"/>
      <c r="J421" s="434"/>
      <c r="K421" s="433"/>
      <c r="L421" s="433"/>
      <c r="M421" s="433"/>
      <c r="N421" s="433"/>
      <c r="O421" s="433"/>
      <c r="P421" s="433"/>
      <c r="Q421" s="433"/>
      <c r="R421" s="433"/>
      <c r="S421" s="433"/>
      <c r="T421" s="466"/>
      <c r="U421" s="433"/>
      <c r="V421" s="433"/>
      <c r="W421" s="433"/>
    </row>
    <row r="422" spans="2:23" ht="15" customHeight="1">
      <c r="B422" s="433"/>
      <c r="C422" s="433"/>
      <c r="D422" s="433"/>
      <c r="E422" s="433"/>
      <c r="F422" s="434"/>
      <c r="G422" s="435"/>
      <c r="H422" s="433"/>
      <c r="I422" s="434"/>
      <c r="J422" s="434"/>
      <c r="K422" s="433"/>
      <c r="L422" s="433"/>
      <c r="M422" s="433"/>
      <c r="N422" s="433"/>
      <c r="O422" s="433"/>
      <c r="P422" s="433"/>
      <c r="Q422" s="433"/>
      <c r="R422" s="433"/>
      <c r="S422" s="433"/>
      <c r="T422" s="466"/>
      <c r="U422" s="433"/>
      <c r="V422" s="433"/>
      <c r="W422" s="433"/>
    </row>
    <row r="423" spans="2:23" ht="15" customHeight="1">
      <c r="B423" s="433"/>
      <c r="C423" s="433"/>
      <c r="D423" s="433"/>
      <c r="E423" s="433"/>
      <c r="F423" s="434"/>
      <c r="G423" s="435"/>
      <c r="H423" s="433"/>
      <c r="I423" s="434"/>
      <c r="J423" s="434"/>
      <c r="K423" s="433"/>
      <c r="L423" s="433"/>
      <c r="M423" s="433"/>
      <c r="N423" s="433"/>
      <c r="O423" s="433"/>
      <c r="P423" s="433"/>
      <c r="Q423" s="433"/>
      <c r="R423" s="433"/>
      <c r="S423" s="433"/>
      <c r="T423" s="466"/>
      <c r="U423" s="433"/>
      <c r="V423" s="433"/>
      <c r="W423" s="433"/>
    </row>
    <row r="424" spans="2:23" ht="15" customHeight="1">
      <c r="B424" s="433"/>
      <c r="C424" s="433"/>
      <c r="D424" s="433"/>
      <c r="E424" s="433"/>
      <c r="F424" s="434"/>
      <c r="G424" s="435"/>
      <c r="H424" s="433"/>
      <c r="I424" s="434"/>
      <c r="J424" s="434"/>
      <c r="K424" s="433"/>
      <c r="L424" s="433"/>
      <c r="M424" s="433"/>
      <c r="N424" s="433"/>
      <c r="O424" s="433"/>
      <c r="P424" s="433"/>
      <c r="Q424" s="433"/>
      <c r="R424" s="433"/>
      <c r="S424" s="433"/>
      <c r="T424" s="466"/>
      <c r="U424" s="433"/>
      <c r="V424" s="433"/>
      <c r="W424" s="433"/>
    </row>
    <row r="425" spans="2:23" ht="15" customHeight="1">
      <c r="B425" s="433"/>
      <c r="C425" s="433"/>
      <c r="D425" s="433"/>
      <c r="E425" s="433"/>
      <c r="F425" s="434"/>
      <c r="G425" s="435"/>
      <c r="H425" s="433"/>
      <c r="I425" s="434"/>
      <c r="J425" s="434"/>
      <c r="K425" s="433"/>
      <c r="L425" s="433"/>
      <c r="M425" s="433"/>
      <c r="N425" s="433"/>
      <c r="O425" s="433"/>
      <c r="P425" s="433"/>
      <c r="Q425" s="433"/>
      <c r="R425" s="433"/>
      <c r="S425" s="433"/>
      <c r="T425" s="466"/>
      <c r="U425" s="433"/>
      <c r="V425" s="433"/>
      <c r="W425" s="433"/>
    </row>
    <row r="426" spans="2:23" ht="15" customHeight="1">
      <c r="B426" s="433"/>
      <c r="C426" s="433"/>
      <c r="D426" s="433"/>
      <c r="E426" s="433"/>
      <c r="F426" s="434"/>
      <c r="G426" s="435"/>
      <c r="H426" s="433"/>
      <c r="I426" s="434"/>
      <c r="J426" s="434"/>
      <c r="K426" s="433"/>
      <c r="L426" s="433"/>
      <c r="M426" s="433"/>
      <c r="N426" s="433"/>
      <c r="O426" s="433"/>
      <c r="P426" s="433"/>
      <c r="Q426" s="433"/>
      <c r="R426" s="433"/>
      <c r="S426" s="433"/>
      <c r="T426" s="466"/>
      <c r="U426" s="433"/>
      <c r="V426" s="433"/>
      <c r="W426" s="433"/>
    </row>
    <row r="427" spans="2:23" ht="15" customHeight="1">
      <c r="B427" s="433"/>
      <c r="C427" s="433"/>
      <c r="D427" s="433"/>
      <c r="E427" s="433"/>
      <c r="F427" s="434"/>
      <c r="G427" s="435"/>
      <c r="H427" s="433"/>
      <c r="I427" s="434"/>
      <c r="J427" s="434"/>
      <c r="K427" s="433"/>
      <c r="L427" s="433"/>
      <c r="M427" s="433"/>
      <c r="N427" s="433"/>
      <c r="O427" s="433"/>
      <c r="P427" s="433"/>
      <c r="Q427" s="433"/>
      <c r="R427" s="433"/>
      <c r="S427" s="433"/>
      <c r="T427" s="466"/>
      <c r="U427" s="433"/>
      <c r="V427" s="433"/>
      <c r="W427" s="433"/>
    </row>
    <row r="428" spans="2:23" ht="15" customHeight="1">
      <c r="B428" s="433"/>
      <c r="C428" s="433"/>
      <c r="D428" s="433"/>
      <c r="E428" s="433"/>
      <c r="F428" s="434"/>
      <c r="G428" s="435"/>
      <c r="H428" s="433"/>
      <c r="I428" s="434"/>
      <c r="J428" s="434"/>
      <c r="K428" s="433"/>
      <c r="L428" s="433"/>
      <c r="M428" s="433"/>
      <c r="N428" s="433"/>
      <c r="O428" s="433"/>
      <c r="P428" s="433"/>
      <c r="Q428" s="433"/>
      <c r="R428" s="433"/>
      <c r="S428" s="433"/>
      <c r="T428" s="466"/>
      <c r="U428" s="433"/>
      <c r="V428" s="433"/>
      <c r="W428" s="433"/>
    </row>
    <row r="429" spans="2:23" ht="15" customHeight="1">
      <c r="B429" s="433"/>
      <c r="C429" s="433"/>
      <c r="D429" s="433"/>
      <c r="E429" s="433"/>
      <c r="F429" s="434"/>
      <c r="G429" s="435"/>
      <c r="H429" s="433"/>
      <c r="I429" s="434"/>
      <c r="J429" s="434"/>
      <c r="K429" s="433"/>
      <c r="L429" s="433"/>
      <c r="M429" s="433"/>
      <c r="N429" s="433"/>
      <c r="O429" s="433"/>
      <c r="P429" s="433"/>
      <c r="Q429" s="433"/>
      <c r="R429" s="433"/>
      <c r="S429" s="433"/>
      <c r="T429" s="466"/>
      <c r="U429" s="433"/>
      <c r="V429" s="433"/>
      <c r="W429" s="433"/>
    </row>
    <row r="430" spans="2:23" ht="15" customHeight="1">
      <c r="B430" s="433"/>
      <c r="C430" s="433"/>
      <c r="D430" s="433"/>
      <c r="E430" s="433"/>
      <c r="F430" s="434"/>
      <c r="G430" s="435"/>
      <c r="H430" s="433"/>
      <c r="I430" s="434"/>
      <c r="J430" s="434"/>
      <c r="K430" s="433"/>
      <c r="L430" s="433"/>
      <c r="M430" s="433"/>
      <c r="N430" s="433"/>
      <c r="O430" s="433"/>
      <c r="P430" s="433"/>
      <c r="Q430" s="433"/>
      <c r="R430" s="433"/>
      <c r="S430" s="433"/>
      <c r="T430" s="466"/>
      <c r="U430" s="433"/>
      <c r="V430" s="433"/>
      <c r="W430" s="433"/>
    </row>
    <row r="431" spans="2:23" ht="15" customHeight="1">
      <c r="B431" s="433"/>
      <c r="C431" s="433"/>
      <c r="D431" s="433"/>
      <c r="E431" s="433"/>
      <c r="F431" s="434"/>
      <c r="G431" s="435"/>
      <c r="H431" s="433"/>
      <c r="I431" s="434"/>
      <c r="J431" s="434"/>
      <c r="K431" s="433"/>
      <c r="L431" s="433"/>
      <c r="M431" s="433"/>
      <c r="N431" s="433"/>
      <c r="O431" s="433"/>
      <c r="P431" s="433"/>
      <c r="Q431" s="433"/>
      <c r="R431" s="433"/>
      <c r="S431" s="433"/>
      <c r="T431" s="466"/>
      <c r="U431" s="433"/>
      <c r="V431" s="433"/>
      <c r="W431" s="433"/>
    </row>
    <row r="432" spans="2:23" ht="15" customHeight="1">
      <c r="B432" s="433"/>
      <c r="C432" s="433"/>
      <c r="D432" s="433"/>
      <c r="E432" s="433"/>
      <c r="F432" s="434"/>
      <c r="G432" s="435"/>
      <c r="H432" s="433"/>
      <c r="I432" s="434"/>
      <c r="J432" s="434"/>
      <c r="K432" s="433"/>
      <c r="L432" s="433"/>
      <c r="M432" s="433"/>
      <c r="N432" s="433"/>
      <c r="O432" s="433"/>
      <c r="P432" s="433"/>
      <c r="Q432" s="433"/>
      <c r="R432" s="433"/>
      <c r="S432" s="433"/>
      <c r="T432" s="466"/>
      <c r="U432" s="433"/>
      <c r="V432" s="433"/>
      <c r="W432" s="433"/>
    </row>
    <row r="433" spans="2:23" ht="15" customHeight="1">
      <c r="B433" s="433"/>
      <c r="C433" s="433"/>
      <c r="D433" s="433"/>
      <c r="E433" s="433"/>
      <c r="F433" s="434"/>
      <c r="G433" s="435"/>
      <c r="H433" s="433"/>
      <c r="I433" s="434"/>
      <c r="J433" s="434"/>
      <c r="K433" s="433"/>
      <c r="L433" s="433"/>
      <c r="M433" s="433"/>
      <c r="N433" s="433"/>
      <c r="O433" s="433"/>
      <c r="P433" s="433"/>
      <c r="Q433" s="433"/>
      <c r="R433" s="433"/>
      <c r="S433" s="433"/>
      <c r="T433" s="466"/>
      <c r="U433" s="433"/>
      <c r="V433" s="433"/>
      <c r="W433" s="433"/>
    </row>
    <row r="434" spans="2:23" ht="15" customHeight="1">
      <c r="B434" s="433"/>
      <c r="C434" s="433"/>
      <c r="D434" s="433"/>
      <c r="E434" s="433"/>
      <c r="F434" s="434"/>
      <c r="G434" s="435"/>
      <c r="H434" s="433"/>
      <c r="I434" s="434"/>
      <c r="J434" s="434"/>
      <c r="K434" s="433"/>
      <c r="L434" s="433"/>
      <c r="M434" s="433"/>
      <c r="N434" s="433"/>
      <c r="O434" s="433"/>
      <c r="P434" s="433"/>
      <c r="Q434" s="433"/>
      <c r="R434" s="433"/>
      <c r="S434" s="433"/>
      <c r="T434" s="466"/>
      <c r="U434" s="433"/>
      <c r="V434" s="433"/>
      <c r="W434" s="433"/>
    </row>
    <row r="435" spans="2:23" ht="15" customHeight="1">
      <c r="B435" s="433"/>
      <c r="C435" s="433"/>
      <c r="D435" s="433"/>
      <c r="E435" s="433"/>
      <c r="F435" s="434"/>
      <c r="G435" s="435"/>
      <c r="H435" s="433"/>
      <c r="I435" s="434"/>
      <c r="J435" s="434"/>
      <c r="K435" s="433"/>
      <c r="L435" s="433"/>
      <c r="M435" s="433"/>
      <c r="N435" s="433"/>
      <c r="O435" s="433"/>
      <c r="P435" s="433"/>
      <c r="Q435" s="433"/>
      <c r="R435" s="433"/>
      <c r="S435" s="433"/>
      <c r="T435" s="466"/>
      <c r="U435" s="433"/>
      <c r="V435" s="433"/>
      <c r="W435" s="433"/>
    </row>
    <row r="436" spans="2:23" ht="15" customHeight="1">
      <c r="B436" s="433"/>
      <c r="C436" s="433"/>
      <c r="D436" s="433"/>
      <c r="E436" s="433"/>
      <c r="F436" s="434"/>
      <c r="G436" s="435"/>
      <c r="H436" s="433"/>
      <c r="I436" s="434"/>
      <c r="J436" s="434"/>
      <c r="K436" s="433"/>
      <c r="L436" s="433"/>
      <c r="M436" s="433"/>
      <c r="N436" s="433"/>
      <c r="O436" s="433"/>
      <c r="P436" s="433"/>
      <c r="Q436" s="433"/>
      <c r="R436" s="433"/>
      <c r="S436" s="433"/>
      <c r="T436" s="466"/>
      <c r="U436" s="433"/>
      <c r="V436" s="433"/>
      <c r="W436" s="433"/>
    </row>
    <row r="437" spans="2:23" ht="15" customHeight="1">
      <c r="B437" s="433"/>
      <c r="C437" s="433"/>
      <c r="D437" s="433"/>
      <c r="E437" s="433"/>
      <c r="F437" s="434"/>
      <c r="G437" s="435"/>
      <c r="H437" s="433"/>
      <c r="I437" s="434"/>
      <c r="J437" s="434"/>
      <c r="K437" s="433"/>
      <c r="L437" s="433"/>
      <c r="M437" s="433"/>
      <c r="N437" s="433"/>
      <c r="O437" s="433"/>
      <c r="P437" s="433"/>
      <c r="Q437" s="433"/>
      <c r="R437" s="433"/>
      <c r="S437" s="433"/>
      <c r="T437" s="466"/>
      <c r="U437" s="433"/>
      <c r="V437" s="433"/>
      <c r="W437" s="433"/>
    </row>
    <row r="438" spans="2:23" ht="15" customHeight="1">
      <c r="B438" s="433"/>
      <c r="C438" s="433"/>
      <c r="D438" s="433"/>
      <c r="E438" s="433"/>
      <c r="F438" s="434"/>
      <c r="G438" s="435"/>
      <c r="H438" s="433"/>
      <c r="I438" s="434"/>
      <c r="J438" s="434"/>
      <c r="K438" s="433"/>
      <c r="L438" s="433"/>
      <c r="M438" s="433"/>
      <c r="N438" s="433"/>
      <c r="O438" s="433"/>
      <c r="P438" s="433"/>
      <c r="Q438" s="433"/>
      <c r="R438" s="433"/>
      <c r="S438" s="433"/>
      <c r="T438" s="466"/>
      <c r="U438" s="433"/>
      <c r="V438" s="433"/>
      <c r="W438" s="433"/>
    </row>
    <row r="439" spans="2:23" ht="15" customHeight="1">
      <c r="B439" s="433"/>
      <c r="C439" s="433"/>
      <c r="D439" s="433"/>
      <c r="E439" s="433"/>
      <c r="F439" s="434"/>
      <c r="G439" s="435"/>
      <c r="H439" s="433"/>
      <c r="I439" s="434"/>
      <c r="J439" s="434"/>
      <c r="K439" s="433"/>
      <c r="L439" s="433"/>
      <c r="M439" s="433"/>
      <c r="N439" s="433"/>
      <c r="O439" s="433"/>
      <c r="P439" s="433"/>
      <c r="Q439" s="433"/>
      <c r="R439" s="433"/>
      <c r="S439" s="433"/>
      <c r="T439" s="466"/>
      <c r="U439" s="433"/>
      <c r="V439" s="433"/>
      <c r="W439" s="433"/>
    </row>
    <row r="440" spans="2:23" ht="15" customHeight="1">
      <c r="B440" s="433"/>
      <c r="C440" s="433"/>
      <c r="D440" s="433"/>
      <c r="E440" s="433"/>
      <c r="F440" s="434"/>
      <c r="G440" s="435"/>
      <c r="H440" s="433"/>
      <c r="I440" s="434"/>
      <c r="J440" s="434"/>
      <c r="K440" s="433"/>
      <c r="L440" s="433"/>
      <c r="M440" s="433"/>
      <c r="N440" s="433"/>
      <c r="O440" s="433"/>
      <c r="P440" s="433"/>
      <c r="Q440" s="433"/>
      <c r="R440" s="433"/>
      <c r="S440" s="433"/>
      <c r="T440" s="466"/>
      <c r="U440" s="433"/>
      <c r="V440" s="433"/>
      <c r="W440" s="433"/>
    </row>
    <row r="441" spans="2:23" ht="15" customHeight="1">
      <c r="B441" s="433"/>
      <c r="C441" s="433"/>
      <c r="D441" s="433"/>
      <c r="E441" s="433"/>
      <c r="F441" s="434"/>
      <c r="G441" s="435"/>
      <c r="H441" s="433"/>
      <c r="I441" s="434"/>
      <c r="J441" s="434"/>
      <c r="K441" s="433"/>
      <c r="L441" s="433"/>
      <c r="M441" s="433"/>
      <c r="N441" s="433"/>
      <c r="O441" s="433"/>
      <c r="P441" s="433"/>
      <c r="Q441" s="433"/>
      <c r="R441" s="433"/>
      <c r="S441" s="433"/>
      <c r="T441" s="466"/>
      <c r="U441" s="433"/>
      <c r="V441" s="433"/>
      <c r="W441" s="433"/>
    </row>
    <row r="442" spans="2:23" ht="15" customHeight="1">
      <c r="B442" s="433"/>
      <c r="C442" s="433"/>
      <c r="D442" s="433"/>
      <c r="E442" s="433"/>
      <c r="F442" s="434"/>
      <c r="G442" s="435"/>
      <c r="H442" s="433"/>
      <c r="I442" s="434"/>
      <c r="J442" s="434"/>
      <c r="K442" s="433"/>
      <c r="L442" s="433"/>
      <c r="M442" s="433"/>
      <c r="N442" s="433"/>
      <c r="O442" s="433"/>
      <c r="P442" s="433"/>
      <c r="Q442" s="433"/>
      <c r="R442" s="433"/>
      <c r="S442" s="433"/>
      <c r="T442" s="466"/>
      <c r="U442" s="433"/>
      <c r="V442" s="433"/>
      <c r="W442" s="433"/>
    </row>
    <row r="443" spans="2:23" ht="15" customHeight="1">
      <c r="B443" s="433"/>
      <c r="C443" s="433"/>
      <c r="D443" s="433"/>
      <c r="E443" s="433"/>
      <c r="F443" s="434"/>
      <c r="G443" s="435"/>
      <c r="H443" s="433"/>
      <c r="I443" s="434"/>
      <c r="J443" s="434"/>
      <c r="K443" s="433"/>
      <c r="L443" s="433"/>
      <c r="M443" s="433"/>
      <c r="N443" s="433"/>
      <c r="O443" s="433"/>
      <c r="P443" s="433"/>
      <c r="Q443" s="433"/>
      <c r="R443" s="433"/>
      <c r="S443" s="433"/>
      <c r="T443" s="466"/>
      <c r="U443" s="433"/>
      <c r="V443" s="433"/>
      <c r="W443" s="433"/>
    </row>
    <row r="444" spans="2:23" ht="15" customHeight="1">
      <c r="B444" s="433"/>
      <c r="C444" s="433"/>
      <c r="D444" s="433"/>
      <c r="E444" s="433"/>
      <c r="F444" s="434"/>
      <c r="G444" s="435"/>
      <c r="H444" s="433"/>
      <c r="I444" s="434"/>
      <c r="J444" s="434"/>
      <c r="K444" s="433"/>
      <c r="L444" s="433"/>
      <c r="M444" s="433"/>
      <c r="N444" s="433"/>
      <c r="O444" s="433"/>
      <c r="P444" s="433"/>
      <c r="Q444" s="433"/>
      <c r="R444" s="433"/>
      <c r="S444" s="433"/>
      <c r="T444" s="466"/>
      <c r="U444" s="433"/>
      <c r="V444" s="433"/>
      <c r="W444" s="433"/>
    </row>
    <row r="445" spans="2:23" ht="15" customHeight="1">
      <c r="B445" s="433"/>
      <c r="C445" s="433"/>
      <c r="D445" s="433"/>
      <c r="E445" s="433"/>
      <c r="F445" s="434"/>
      <c r="G445" s="435"/>
      <c r="H445" s="433"/>
      <c r="I445" s="434"/>
      <c r="J445" s="434"/>
      <c r="K445" s="433"/>
      <c r="L445" s="433"/>
      <c r="M445" s="433"/>
      <c r="N445" s="433"/>
      <c r="O445" s="433"/>
      <c r="P445" s="433"/>
      <c r="Q445" s="433"/>
      <c r="R445" s="433"/>
      <c r="S445" s="433"/>
      <c r="T445" s="466"/>
      <c r="U445" s="433"/>
      <c r="V445" s="433"/>
      <c r="W445" s="433"/>
    </row>
    <row r="446" spans="2:23" ht="15" customHeight="1">
      <c r="B446" s="433"/>
      <c r="C446" s="433"/>
      <c r="D446" s="433"/>
      <c r="E446" s="433"/>
      <c r="F446" s="434"/>
      <c r="G446" s="435"/>
      <c r="H446" s="433"/>
      <c r="I446" s="434"/>
      <c r="J446" s="434"/>
      <c r="K446" s="433"/>
      <c r="L446" s="433"/>
      <c r="M446" s="433"/>
      <c r="N446" s="433"/>
      <c r="O446" s="433"/>
      <c r="P446" s="433"/>
      <c r="Q446" s="433"/>
      <c r="R446" s="433"/>
      <c r="S446" s="433"/>
      <c r="T446" s="466"/>
      <c r="U446" s="433"/>
      <c r="V446" s="433"/>
      <c r="W446" s="433"/>
    </row>
    <row r="447" spans="2:23" ht="15" customHeight="1">
      <c r="B447" s="433"/>
      <c r="C447" s="433"/>
      <c r="D447" s="433"/>
      <c r="E447" s="433"/>
      <c r="F447" s="434"/>
      <c r="G447" s="435"/>
      <c r="H447" s="433"/>
      <c r="I447" s="434"/>
      <c r="J447" s="434"/>
      <c r="K447" s="433"/>
      <c r="L447" s="433"/>
      <c r="M447" s="433"/>
      <c r="N447" s="433"/>
      <c r="O447" s="433"/>
      <c r="P447" s="433"/>
      <c r="Q447" s="433"/>
      <c r="R447" s="433"/>
      <c r="S447" s="433"/>
      <c r="T447" s="466"/>
      <c r="U447" s="433"/>
      <c r="V447" s="433"/>
      <c r="W447" s="433"/>
    </row>
    <row r="448" spans="2:23" ht="15" customHeight="1">
      <c r="B448" s="433"/>
      <c r="C448" s="433"/>
      <c r="D448" s="433"/>
      <c r="E448" s="433"/>
      <c r="F448" s="434"/>
      <c r="G448" s="435"/>
      <c r="H448" s="433"/>
      <c r="I448" s="434"/>
      <c r="J448" s="434"/>
      <c r="K448" s="433"/>
      <c r="L448" s="433"/>
      <c r="M448" s="433"/>
      <c r="N448" s="433"/>
      <c r="O448" s="433"/>
      <c r="P448" s="433"/>
      <c r="Q448" s="433"/>
      <c r="R448" s="433"/>
      <c r="S448" s="433"/>
      <c r="T448" s="466"/>
      <c r="U448" s="433"/>
      <c r="V448" s="433"/>
      <c r="W448" s="433"/>
    </row>
    <row r="449" spans="2:23" ht="15" customHeight="1">
      <c r="B449" s="433"/>
      <c r="C449" s="433"/>
      <c r="D449" s="433"/>
      <c r="E449" s="433"/>
      <c r="F449" s="434"/>
      <c r="G449" s="435"/>
      <c r="H449" s="433"/>
      <c r="I449" s="434"/>
      <c r="J449" s="434"/>
      <c r="K449" s="433"/>
      <c r="L449" s="433"/>
      <c r="M449" s="433"/>
      <c r="N449" s="433"/>
      <c r="O449" s="433"/>
      <c r="P449" s="433"/>
      <c r="Q449" s="433"/>
      <c r="R449" s="433"/>
      <c r="S449" s="433"/>
      <c r="T449" s="466"/>
      <c r="U449" s="433"/>
      <c r="V449" s="433"/>
      <c r="W449" s="433"/>
    </row>
    <row r="450" spans="2:23" ht="15" customHeight="1">
      <c r="B450" s="433"/>
      <c r="C450" s="433"/>
      <c r="D450" s="433"/>
      <c r="E450" s="433"/>
      <c r="F450" s="434"/>
      <c r="G450" s="435"/>
      <c r="H450" s="433"/>
      <c r="I450" s="434"/>
      <c r="J450" s="434"/>
      <c r="K450" s="433"/>
      <c r="L450" s="433"/>
      <c r="M450" s="433"/>
      <c r="N450" s="433"/>
      <c r="O450" s="433"/>
      <c r="P450" s="433"/>
      <c r="Q450" s="433"/>
      <c r="R450" s="433"/>
      <c r="S450" s="433"/>
      <c r="T450" s="466"/>
      <c r="U450" s="433"/>
      <c r="V450" s="433"/>
      <c r="W450" s="433"/>
    </row>
    <row r="451" spans="2:23" ht="15" customHeight="1">
      <c r="B451" s="433"/>
      <c r="C451" s="433"/>
      <c r="D451" s="433"/>
      <c r="E451" s="433"/>
      <c r="F451" s="434"/>
      <c r="G451" s="435"/>
      <c r="H451" s="433"/>
      <c r="I451" s="434"/>
      <c r="J451" s="434"/>
      <c r="K451" s="433"/>
      <c r="L451" s="433"/>
      <c r="M451" s="433"/>
      <c r="N451" s="433"/>
      <c r="O451" s="433"/>
      <c r="P451" s="433"/>
      <c r="Q451" s="433"/>
      <c r="R451" s="433"/>
      <c r="S451" s="433"/>
      <c r="T451" s="466"/>
      <c r="U451" s="433"/>
      <c r="V451" s="433"/>
      <c r="W451" s="433"/>
    </row>
    <row r="452" spans="2:23" ht="15" customHeight="1">
      <c r="B452" s="433"/>
      <c r="C452" s="433"/>
      <c r="D452" s="433"/>
      <c r="E452" s="433"/>
      <c r="F452" s="434"/>
      <c r="G452" s="435"/>
      <c r="H452" s="433"/>
      <c r="I452" s="434"/>
      <c r="J452" s="434"/>
      <c r="K452" s="433"/>
      <c r="L452" s="433"/>
      <c r="M452" s="433"/>
      <c r="N452" s="433"/>
      <c r="O452" s="433"/>
      <c r="P452" s="433"/>
      <c r="Q452" s="433"/>
      <c r="R452" s="433"/>
      <c r="S452" s="433"/>
      <c r="T452" s="466"/>
      <c r="U452" s="433"/>
      <c r="V452" s="433"/>
      <c r="W452" s="433"/>
    </row>
    <row r="453" spans="2:23" ht="15" customHeight="1">
      <c r="B453" s="433"/>
      <c r="C453" s="433"/>
      <c r="D453" s="433"/>
      <c r="E453" s="433"/>
      <c r="F453" s="434"/>
      <c r="G453" s="435"/>
      <c r="H453" s="433"/>
      <c r="I453" s="434"/>
      <c r="J453" s="434"/>
      <c r="K453" s="433"/>
      <c r="L453" s="433"/>
      <c r="M453" s="433"/>
      <c r="N453" s="433"/>
      <c r="O453" s="433"/>
      <c r="P453" s="433"/>
      <c r="Q453" s="433"/>
      <c r="R453" s="433"/>
      <c r="S453" s="433"/>
      <c r="T453" s="466"/>
      <c r="U453" s="433"/>
      <c r="V453" s="433"/>
      <c r="W453" s="433"/>
    </row>
    <row r="454" spans="2:23" ht="15" customHeight="1">
      <c r="B454" s="433"/>
      <c r="C454" s="433"/>
      <c r="D454" s="433"/>
      <c r="E454" s="433"/>
      <c r="F454" s="434"/>
      <c r="G454" s="435"/>
      <c r="H454" s="433"/>
      <c r="I454" s="434"/>
      <c r="J454" s="434"/>
      <c r="K454" s="433"/>
      <c r="L454" s="433"/>
      <c r="M454" s="433"/>
      <c r="N454" s="433"/>
      <c r="O454" s="433"/>
      <c r="P454" s="433"/>
      <c r="Q454" s="433"/>
      <c r="R454" s="433"/>
      <c r="S454" s="433"/>
      <c r="T454" s="466"/>
      <c r="U454" s="433"/>
      <c r="V454" s="433"/>
      <c r="W454" s="433"/>
    </row>
    <row r="455" spans="2:23" ht="15" customHeight="1">
      <c r="B455" s="433"/>
      <c r="C455" s="433"/>
      <c r="D455" s="433"/>
      <c r="E455" s="433"/>
      <c r="F455" s="434"/>
      <c r="G455" s="435"/>
      <c r="H455" s="433"/>
      <c r="I455" s="434"/>
      <c r="J455" s="434"/>
      <c r="K455" s="433"/>
      <c r="L455" s="433"/>
      <c r="M455" s="433"/>
      <c r="N455" s="433"/>
      <c r="O455" s="433"/>
      <c r="P455" s="433"/>
      <c r="Q455" s="433"/>
      <c r="R455" s="433"/>
      <c r="S455" s="433"/>
      <c r="T455" s="466"/>
      <c r="U455" s="433"/>
      <c r="V455" s="433"/>
      <c r="W455" s="433"/>
    </row>
    <row r="456" spans="2:23" ht="15" customHeight="1">
      <c r="B456" s="433"/>
      <c r="C456" s="433"/>
      <c r="D456" s="433"/>
      <c r="E456" s="433"/>
      <c r="F456" s="434"/>
      <c r="G456" s="435"/>
      <c r="H456" s="433"/>
      <c r="I456" s="434"/>
      <c r="J456" s="434"/>
      <c r="K456" s="433"/>
      <c r="L456" s="433"/>
      <c r="M456" s="433"/>
      <c r="N456" s="433"/>
      <c r="O456" s="433"/>
      <c r="P456" s="433"/>
      <c r="Q456" s="433"/>
      <c r="R456" s="433"/>
      <c r="S456" s="433"/>
      <c r="T456" s="466"/>
      <c r="U456" s="433"/>
      <c r="V456" s="433"/>
      <c r="W456" s="433"/>
    </row>
    <row r="457" spans="2:23" ht="15" customHeight="1">
      <c r="B457" s="433"/>
      <c r="C457" s="433"/>
      <c r="D457" s="433"/>
      <c r="E457" s="433"/>
      <c r="F457" s="434"/>
      <c r="G457" s="435"/>
      <c r="H457" s="433"/>
      <c r="I457" s="434"/>
      <c r="J457" s="434"/>
      <c r="K457" s="433"/>
      <c r="L457" s="433"/>
      <c r="M457" s="433"/>
      <c r="N457" s="433"/>
      <c r="O457" s="433"/>
      <c r="P457" s="433"/>
      <c r="Q457" s="433"/>
      <c r="R457" s="433"/>
      <c r="S457" s="433"/>
      <c r="T457" s="466"/>
      <c r="U457" s="433"/>
      <c r="V457" s="433"/>
      <c r="W457" s="433"/>
    </row>
    <row r="458" spans="2:23" ht="15" customHeight="1">
      <c r="B458" s="433"/>
      <c r="C458" s="433"/>
      <c r="D458" s="433"/>
      <c r="E458" s="433"/>
      <c r="F458" s="434"/>
      <c r="G458" s="435"/>
      <c r="H458" s="433"/>
      <c r="I458" s="434"/>
      <c r="J458" s="434"/>
      <c r="K458" s="433"/>
      <c r="L458" s="433"/>
      <c r="M458" s="433"/>
      <c r="N458" s="433"/>
      <c r="O458" s="433"/>
      <c r="P458" s="433"/>
      <c r="Q458" s="433"/>
      <c r="R458" s="433"/>
      <c r="S458" s="433"/>
      <c r="T458" s="466"/>
      <c r="U458" s="433"/>
      <c r="V458" s="433"/>
      <c r="W458" s="433"/>
    </row>
    <row r="459" spans="2:23" ht="15" customHeight="1">
      <c r="B459" s="433"/>
      <c r="C459" s="433"/>
      <c r="D459" s="433"/>
      <c r="E459" s="433"/>
      <c r="F459" s="434"/>
      <c r="G459" s="435"/>
      <c r="H459" s="433"/>
      <c r="I459" s="434"/>
      <c r="J459" s="434"/>
      <c r="K459" s="433"/>
      <c r="L459" s="433"/>
      <c r="M459" s="433"/>
      <c r="N459" s="433"/>
      <c r="O459" s="433"/>
      <c r="P459" s="433"/>
      <c r="Q459" s="433"/>
      <c r="R459" s="433"/>
      <c r="S459" s="433"/>
      <c r="T459" s="466"/>
      <c r="U459" s="433"/>
      <c r="V459" s="433"/>
      <c r="W459" s="433"/>
    </row>
    <row r="460" spans="2:23" ht="15" customHeight="1">
      <c r="B460" s="433"/>
      <c r="C460" s="433"/>
      <c r="D460" s="433"/>
      <c r="E460" s="433"/>
      <c r="F460" s="434"/>
      <c r="G460" s="435"/>
      <c r="H460" s="433"/>
      <c r="I460" s="434"/>
      <c r="J460" s="434"/>
      <c r="K460" s="433"/>
      <c r="L460" s="433"/>
      <c r="M460" s="433"/>
      <c r="N460" s="433"/>
      <c r="O460" s="433"/>
      <c r="P460" s="433"/>
      <c r="Q460" s="433"/>
      <c r="R460" s="433"/>
      <c r="S460" s="433"/>
      <c r="T460" s="466"/>
      <c r="U460" s="433"/>
      <c r="V460" s="433"/>
      <c r="W460" s="433"/>
    </row>
    <row r="461" spans="2:23" ht="15" customHeight="1">
      <c r="B461" s="433"/>
      <c r="C461" s="433"/>
      <c r="D461" s="433"/>
      <c r="E461" s="433"/>
      <c r="F461" s="434"/>
      <c r="G461" s="435"/>
      <c r="H461" s="433"/>
      <c r="I461" s="434"/>
      <c r="J461" s="434"/>
      <c r="K461" s="433"/>
      <c r="L461" s="433"/>
      <c r="M461" s="433"/>
      <c r="N461" s="433"/>
      <c r="O461" s="433"/>
      <c r="P461" s="433"/>
      <c r="Q461" s="433"/>
      <c r="R461" s="433"/>
      <c r="S461" s="433"/>
      <c r="T461" s="466"/>
      <c r="U461" s="433"/>
      <c r="V461" s="433"/>
      <c r="W461" s="433"/>
    </row>
    <row r="462" spans="2:23" ht="15" customHeight="1">
      <c r="B462" s="433"/>
      <c r="C462" s="433"/>
      <c r="D462" s="433"/>
      <c r="E462" s="433"/>
      <c r="F462" s="434"/>
      <c r="G462" s="435"/>
      <c r="H462" s="433"/>
      <c r="I462" s="434"/>
      <c r="J462" s="434"/>
      <c r="K462" s="433"/>
      <c r="L462" s="433"/>
      <c r="M462" s="433"/>
      <c r="N462" s="433"/>
      <c r="O462" s="433"/>
      <c r="P462" s="433"/>
      <c r="Q462" s="433"/>
      <c r="R462" s="433"/>
      <c r="S462" s="433"/>
      <c r="T462" s="466"/>
      <c r="U462" s="433"/>
      <c r="V462" s="433"/>
      <c r="W462" s="433"/>
    </row>
    <row r="463" spans="2:23" ht="15" customHeight="1">
      <c r="B463" s="433"/>
      <c r="C463" s="433"/>
      <c r="D463" s="433"/>
      <c r="E463" s="433"/>
      <c r="F463" s="434"/>
      <c r="G463" s="435"/>
      <c r="H463" s="433"/>
      <c r="I463" s="434"/>
      <c r="J463" s="434"/>
      <c r="K463" s="433"/>
      <c r="L463" s="433"/>
      <c r="M463" s="433"/>
      <c r="N463" s="433"/>
      <c r="O463" s="433"/>
      <c r="P463" s="433"/>
      <c r="Q463" s="433"/>
      <c r="R463" s="433"/>
      <c r="S463" s="433"/>
      <c r="T463" s="466"/>
      <c r="U463" s="433"/>
      <c r="V463" s="433"/>
      <c r="W463" s="433"/>
    </row>
    <row r="464" spans="2:23" ht="15" customHeight="1">
      <c r="B464" s="433"/>
      <c r="C464" s="433"/>
      <c r="D464" s="433"/>
      <c r="E464" s="433"/>
      <c r="F464" s="434"/>
      <c r="G464" s="435"/>
      <c r="H464" s="433"/>
      <c r="I464" s="434"/>
      <c r="J464" s="434"/>
      <c r="K464" s="433"/>
      <c r="L464" s="433"/>
      <c r="M464" s="433"/>
      <c r="N464" s="433"/>
      <c r="O464" s="433"/>
      <c r="P464" s="433"/>
      <c r="Q464" s="433"/>
      <c r="R464" s="433"/>
      <c r="S464" s="433"/>
      <c r="T464" s="466"/>
      <c r="U464" s="433"/>
      <c r="V464" s="433"/>
      <c r="W464" s="433"/>
    </row>
    <row r="465" spans="2:23" ht="15" customHeight="1">
      <c r="B465" s="433"/>
      <c r="C465" s="433"/>
      <c r="D465" s="433"/>
      <c r="E465" s="433"/>
      <c r="F465" s="434"/>
      <c r="G465" s="435"/>
      <c r="H465" s="433"/>
      <c r="I465" s="434"/>
      <c r="J465" s="434"/>
      <c r="K465" s="433"/>
      <c r="L465" s="433"/>
      <c r="M465" s="433"/>
      <c r="N465" s="433"/>
      <c r="O465" s="433"/>
      <c r="P465" s="433"/>
      <c r="Q465" s="433"/>
      <c r="R465" s="433"/>
      <c r="S465" s="433"/>
      <c r="T465" s="466"/>
      <c r="U465" s="433"/>
      <c r="V465" s="433"/>
      <c r="W465" s="433"/>
    </row>
    <row r="466" spans="2:23" ht="15" customHeight="1">
      <c r="B466" s="433"/>
      <c r="C466" s="433"/>
      <c r="D466" s="433"/>
      <c r="E466" s="433"/>
      <c r="F466" s="434"/>
      <c r="G466" s="435"/>
      <c r="H466" s="433"/>
      <c r="I466" s="434"/>
      <c r="J466" s="434"/>
      <c r="K466" s="433"/>
      <c r="L466" s="433"/>
      <c r="M466" s="433"/>
      <c r="N466" s="433"/>
      <c r="O466" s="433"/>
      <c r="P466" s="433"/>
      <c r="Q466" s="433"/>
      <c r="R466" s="433"/>
      <c r="S466" s="433"/>
      <c r="T466" s="466"/>
      <c r="U466" s="433"/>
      <c r="V466" s="433"/>
      <c r="W466" s="433"/>
    </row>
    <row r="467" spans="2:23" ht="15" customHeight="1">
      <c r="B467" s="433"/>
      <c r="C467" s="433"/>
      <c r="D467" s="433"/>
      <c r="E467" s="433"/>
      <c r="F467" s="434"/>
      <c r="G467" s="435"/>
      <c r="H467" s="433"/>
      <c r="I467" s="434"/>
      <c r="J467" s="434"/>
      <c r="K467" s="433"/>
      <c r="L467" s="433"/>
      <c r="M467" s="433"/>
      <c r="N467" s="433"/>
      <c r="O467" s="433"/>
      <c r="P467" s="433"/>
      <c r="Q467" s="433"/>
      <c r="R467" s="433"/>
      <c r="S467" s="433"/>
      <c r="T467" s="466"/>
      <c r="U467" s="433"/>
      <c r="V467" s="433"/>
      <c r="W467" s="433"/>
    </row>
    <row r="468" spans="2:23" ht="15" customHeight="1">
      <c r="B468" s="433"/>
      <c r="C468" s="433"/>
      <c r="D468" s="433"/>
      <c r="E468" s="433"/>
      <c r="F468" s="434"/>
      <c r="G468" s="435"/>
      <c r="H468" s="433"/>
      <c r="I468" s="434"/>
      <c r="J468" s="434"/>
      <c r="K468" s="433"/>
      <c r="L468" s="433"/>
      <c r="M468" s="433"/>
      <c r="N468" s="433"/>
      <c r="O468" s="433"/>
      <c r="P468" s="433"/>
      <c r="Q468" s="433"/>
      <c r="R468" s="433"/>
      <c r="S468" s="433"/>
      <c r="T468" s="466"/>
      <c r="U468" s="433"/>
      <c r="V468" s="433"/>
      <c r="W468" s="433"/>
    </row>
    <row r="469" spans="2:23" ht="15" customHeight="1">
      <c r="B469" s="433"/>
      <c r="C469" s="433"/>
      <c r="D469" s="433"/>
      <c r="E469" s="433"/>
      <c r="F469" s="434"/>
      <c r="G469" s="435"/>
      <c r="H469" s="433"/>
      <c r="I469" s="434"/>
      <c r="J469" s="434"/>
      <c r="K469" s="433"/>
      <c r="L469" s="433"/>
      <c r="M469" s="433"/>
      <c r="N469" s="433"/>
      <c r="O469" s="433"/>
      <c r="P469" s="433"/>
      <c r="Q469" s="433"/>
      <c r="R469" s="433"/>
      <c r="S469" s="433"/>
      <c r="T469" s="466"/>
      <c r="U469" s="433"/>
      <c r="V469" s="433"/>
      <c r="W469" s="433"/>
    </row>
    <row r="470" spans="2:23" ht="15" customHeight="1">
      <c r="B470" s="433"/>
      <c r="C470" s="433"/>
      <c r="D470" s="433"/>
      <c r="E470" s="433"/>
      <c r="F470" s="434"/>
      <c r="G470" s="435"/>
      <c r="H470" s="433"/>
      <c r="I470" s="434"/>
      <c r="J470" s="434"/>
      <c r="K470" s="433"/>
      <c r="L470" s="433"/>
      <c r="M470" s="433"/>
      <c r="N470" s="433"/>
      <c r="O470" s="433"/>
      <c r="P470" s="433"/>
      <c r="Q470" s="433"/>
      <c r="R470" s="433"/>
      <c r="S470" s="433"/>
      <c r="T470" s="466"/>
      <c r="U470" s="433"/>
      <c r="V470" s="433"/>
      <c r="W470" s="433"/>
    </row>
    <row r="471" spans="2:23" ht="15" customHeight="1">
      <c r="B471" s="433"/>
      <c r="C471" s="433"/>
      <c r="D471" s="433"/>
      <c r="E471" s="433"/>
      <c r="F471" s="434"/>
      <c r="G471" s="435"/>
      <c r="H471" s="433"/>
      <c r="I471" s="434"/>
      <c r="J471" s="434"/>
      <c r="K471" s="433"/>
      <c r="L471" s="433"/>
      <c r="M471" s="433"/>
      <c r="N471" s="433"/>
      <c r="O471" s="433"/>
      <c r="P471" s="433"/>
      <c r="Q471" s="433"/>
      <c r="R471" s="433"/>
      <c r="S471" s="433"/>
      <c r="T471" s="466"/>
      <c r="U471" s="433"/>
      <c r="V471" s="433"/>
      <c r="W471" s="433"/>
    </row>
    <row r="472" spans="2:23" ht="15" customHeight="1">
      <c r="B472" s="433"/>
      <c r="C472" s="433"/>
      <c r="D472" s="433"/>
      <c r="E472" s="433"/>
      <c r="F472" s="434"/>
      <c r="G472" s="435"/>
      <c r="H472" s="433"/>
      <c r="I472" s="434"/>
      <c r="J472" s="434"/>
      <c r="K472" s="433"/>
      <c r="L472" s="433"/>
      <c r="M472" s="433"/>
      <c r="N472" s="433"/>
      <c r="O472" s="433"/>
      <c r="P472" s="433"/>
      <c r="Q472" s="433"/>
      <c r="R472" s="433"/>
      <c r="S472" s="433"/>
      <c r="T472" s="466"/>
      <c r="U472" s="433"/>
      <c r="V472" s="433"/>
      <c r="W472" s="433"/>
    </row>
    <row r="473" spans="2:23" ht="15" customHeight="1">
      <c r="B473" s="433"/>
      <c r="C473" s="433"/>
      <c r="D473" s="433"/>
      <c r="E473" s="433"/>
      <c r="F473" s="434"/>
      <c r="G473" s="435"/>
      <c r="H473" s="433"/>
      <c r="I473" s="434"/>
      <c r="J473" s="434"/>
      <c r="K473" s="433"/>
      <c r="L473" s="433"/>
      <c r="M473" s="433"/>
      <c r="N473" s="433"/>
      <c r="O473" s="433"/>
      <c r="P473" s="433"/>
      <c r="Q473" s="433"/>
      <c r="R473" s="433"/>
      <c r="S473" s="433"/>
      <c r="T473" s="466"/>
      <c r="U473" s="433"/>
      <c r="V473" s="433"/>
      <c r="W473" s="433"/>
    </row>
    <row r="474" spans="2:23" ht="15" customHeight="1">
      <c r="B474" s="433"/>
      <c r="C474" s="433"/>
      <c r="D474" s="433"/>
      <c r="E474" s="433"/>
      <c r="F474" s="434"/>
      <c r="G474" s="435"/>
      <c r="H474" s="433"/>
      <c r="I474" s="434"/>
      <c r="J474" s="434"/>
      <c r="K474" s="433"/>
      <c r="L474" s="433"/>
      <c r="M474" s="433"/>
      <c r="N474" s="433"/>
      <c r="O474" s="433"/>
      <c r="P474" s="433"/>
      <c r="Q474" s="433"/>
      <c r="R474" s="433"/>
      <c r="S474" s="433"/>
      <c r="T474" s="466"/>
      <c r="U474" s="433"/>
      <c r="V474" s="433"/>
      <c r="W474" s="433"/>
    </row>
    <row r="475" spans="2:23" ht="15" customHeight="1">
      <c r="B475" s="433"/>
      <c r="C475" s="433"/>
      <c r="D475" s="433"/>
      <c r="E475" s="433"/>
      <c r="F475" s="434"/>
      <c r="G475" s="435"/>
      <c r="H475" s="433"/>
      <c r="I475" s="434"/>
      <c r="J475" s="434"/>
      <c r="K475" s="433"/>
      <c r="L475" s="433"/>
      <c r="M475" s="433"/>
      <c r="N475" s="433"/>
      <c r="O475" s="433"/>
      <c r="P475" s="433"/>
      <c r="Q475" s="433"/>
      <c r="R475" s="433"/>
      <c r="S475" s="433"/>
      <c r="T475" s="466"/>
      <c r="U475" s="433"/>
      <c r="V475" s="433"/>
      <c r="W475" s="433"/>
    </row>
    <row r="476" spans="2:23" ht="15" customHeight="1">
      <c r="B476" s="433"/>
      <c r="C476" s="433"/>
      <c r="D476" s="433"/>
      <c r="E476" s="433"/>
      <c r="F476" s="434"/>
      <c r="G476" s="435"/>
      <c r="H476" s="433"/>
      <c r="I476" s="434"/>
      <c r="J476" s="434"/>
      <c r="K476" s="433"/>
      <c r="L476" s="433"/>
      <c r="M476" s="433"/>
      <c r="N476" s="433"/>
      <c r="O476" s="433"/>
      <c r="P476" s="433"/>
      <c r="Q476" s="433"/>
      <c r="R476" s="433"/>
      <c r="S476" s="433"/>
      <c r="T476" s="466"/>
      <c r="U476" s="433"/>
      <c r="V476" s="433"/>
      <c r="W476" s="433"/>
    </row>
    <row r="477" spans="2:23" ht="15" customHeight="1">
      <c r="B477" s="433"/>
      <c r="C477" s="433"/>
      <c r="D477" s="433"/>
      <c r="E477" s="433"/>
      <c r="F477" s="434"/>
      <c r="G477" s="435"/>
      <c r="H477" s="433"/>
      <c r="I477" s="434"/>
      <c r="J477" s="434"/>
      <c r="K477" s="433"/>
      <c r="L477" s="433"/>
      <c r="M477" s="433"/>
      <c r="N477" s="433"/>
      <c r="O477" s="433"/>
      <c r="P477" s="433"/>
      <c r="Q477" s="433"/>
      <c r="R477" s="433"/>
      <c r="S477" s="433"/>
      <c r="T477" s="466"/>
      <c r="U477" s="433"/>
      <c r="V477" s="433"/>
      <c r="W477" s="433"/>
    </row>
    <row r="478" spans="2:23" ht="15" customHeight="1">
      <c r="B478" s="433"/>
      <c r="C478" s="433"/>
      <c r="D478" s="433"/>
      <c r="E478" s="433"/>
      <c r="F478" s="434"/>
      <c r="G478" s="435"/>
      <c r="H478" s="433"/>
      <c r="I478" s="434"/>
      <c r="J478" s="434"/>
      <c r="K478" s="433"/>
      <c r="L478" s="433"/>
      <c r="M478" s="433"/>
      <c r="N478" s="433"/>
      <c r="O478" s="433"/>
      <c r="P478" s="433"/>
      <c r="Q478" s="433"/>
      <c r="R478" s="433"/>
      <c r="S478" s="433"/>
      <c r="T478" s="466"/>
      <c r="U478" s="433"/>
      <c r="V478" s="433"/>
      <c r="W478" s="433"/>
    </row>
    <row r="479" spans="2:23" ht="15" customHeight="1">
      <c r="B479" s="433"/>
      <c r="C479" s="433"/>
      <c r="D479" s="433"/>
      <c r="E479" s="433"/>
      <c r="F479" s="434"/>
      <c r="G479" s="435"/>
      <c r="H479" s="433"/>
      <c r="I479" s="434"/>
      <c r="J479" s="434"/>
      <c r="K479" s="433"/>
      <c r="L479" s="433"/>
      <c r="M479" s="433"/>
      <c r="N479" s="433"/>
      <c r="O479" s="433"/>
      <c r="P479" s="433"/>
      <c r="Q479" s="433"/>
      <c r="R479" s="433"/>
      <c r="S479" s="433"/>
      <c r="T479" s="466"/>
      <c r="U479" s="433"/>
      <c r="V479" s="433"/>
      <c r="W479" s="433"/>
    </row>
    <row r="480" spans="2:23" ht="15" customHeight="1">
      <c r="B480" s="433"/>
      <c r="C480" s="433"/>
      <c r="D480" s="433"/>
      <c r="E480" s="433"/>
      <c r="F480" s="434"/>
      <c r="G480" s="435"/>
      <c r="H480" s="433"/>
      <c r="I480" s="434"/>
      <c r="J480" s="434"/>
      <c r="K480" s="433"/>
      <c r="L480" s="433"/>
      <c r="M480" s="433"/>
      <c r="N480" s="433"/>
      <c r="O480" s="433"/>
      <c r="P480" s="433"/>
      <c r="Q480" s="433"/>
      <c r="R480" s="433"/>
      <c r="S480" s="433"/>
      <c r="T480" s="466"/>
      <c r="U480" s="433"/>
      <c r="V480" s="433"/>
      <c r="W480" s="433"/>
    </row>
    <row r="481" spans="2:23" ht="15" customHeight="1">
      <c r="B481" s="433"/>
      <c r="C481" s="433"/>
      <c r="D481" s="433"/>
      <c r="E481" s="433"/>
      <c r="F481" s="434"/>
      <c r="G481" s="435"/>
      <c r="H481" s="433"/>
      <c r="I481" s="434"/>
      <c r="J481" s="434"/>
      <c r="K481" s="433"/>
      <c r="L481" s="433"/>
      <c r="M481" s="433"/>
      <c r="N481" s="433"/>
      <c r="O481" s="433"/>
      <c r="P481" s="433"/>
      <c r="Q481" s="433"/>
      <c r="R481" s="433"/>
      <c r="S481" s="433"/>
      <c r="T481" s="466"/>
      <c r="U481" s="433"/>
      <c r="V481" s="433"/>
      <c r="W481" s="433"/>
    </row>
    <row r="482" spans="2:23" ht="15" customHeight="1">
      <c r="B482" s="433"/>
      <c r="C482" s="433"/>
      <c r="D482" s="433"/>
      <c r="E482" s="433"/>
      <c r="F482" s="434"/>
      <c r="G482" s="435"/>
      <c r="H482" s="433"/>
      <c r="I482" s="434"/>
      <c r="J482" s="434"/>
      <c r="K482" s="433"/>
      <c r="L482" s="433"/>
      <c r="M482" s="433"/>
      <c r="N482" s="433"/>
      <c r="O482" s="433"/>
      <c r="P482" s="433"/>
      <c r="Q482" s="433"/>
      <c r="R482" s="433"/>
      <c r="S482" s="433"/>
      <c r="T482" s="466"/>
      <c r="U482" s="433"/>
      <c r="V482" s="433"/>
      <c r="W482" s="433"/>
    </row>
    <row r="483" spans="2:23" ht="15" customHeight="1">
      <c r="B483" s="433"/>
      <c r="C483" s="433"/>
      <c r="D483" s="433"/>
      <c r="E483" s="433"/>
      <c r="F483" s="434"/>
      <c r="G483" s="435"/>
      <c r="H483" s="433"/>
      <c r="I483" s="434"/>
      <c r="J483" s="434"/>
      <c r="K483" s="433"/>
      <c r="L483" s="433"/>
      <c r="M483" s="433"/>
      <c r="N483" s="433"/>
      <c r="O483" s="433"/>
      <c r="P483" s="433"/>
      <c r="Q483" s="433"/>
      <c r="R483" s="433"/>
      <c r="S483" s="433"/>
      <c r="T483" s="466"/>
      <c r="U483" s="433"/>
      <c r="V483" s="433"/>
      <c r="W483" s="433"/>
    </row>
    <row r="484" spans="2:23" ht="15" customHeight="1">
      <c r="B484" s="433"/>
      <c r="C484" s="433"/>
      <c r="D484" s="433"/>
      <c r="E484" s="433"/>
      <c r="F484" s="434"/>
      <c r="G484" s="435"/>
      <c r="H484" s="433"/>
      <c r="I484" s="434"/>
      <c r="J484" s="434"/>
      <c r="K484" s="433"/>
      <c r="L484" s="433"/>
      <c r="M484" s="433"/>
      <c r="N484" s="433"/>
      <c r="O484" s="433"/>
      <c r="P484" s="433"/>
      <c r="Q484" s="433"/>
      <c r="R484" s="433"/>
      <c r="S484" s="433"/>
      <c r="T484" s="466"/>
      <c r="U484" s="433"/>
      <c r="V484" s="433"/>
      <c r="W484" s="433"/>
    </row>
    <row r="485" spans="2:23" ht="15" customHeight="1">
      <c r="B485" s="433"/>
      <c r="C485" s="433"/>
      <c r="D485" s="433"/>
      <c r="E485" s="433"/>
      <c r="F485" s="434"/>
      <c r="G485" s="435"/>
      <c r="H485" s="433"/>
      <c r="I485" s="434"/>
      <c r="J485" s="434"/>
      <c r="K485" s="433"/>
      <c r="L485" s="433"/>
      <c r="M485" s="433"/>
      <c r="N485" s="433"/>
      <c r="O485" s="433"/>
      <c r="P485" s="433"/>
      <c r="Q485" s="433"/>
      <c r="R485" s="433"/>
      <c r="S485" s="433"/>
      <c r="T485" s="466"/>
      <c r="U485" s="433"/>
      <c r="V485" s="433"/>
      <c r="W485" s="433"/>
    </row>
    <row r="486" spans="2:23" ht="15" customHeight="1">
      <c r="B486" s="433"/>
      <c r="C486" s="433"/>
      <c r="D486" s="433"/>
      <c r="E486" s="433"/>
      <c r="F486" s="434"/>
      <c r="G486" s="435"/>
      <c r="H486" s="433"/>
      <c r="I486" s="434"/>
      <c r="J486" s="434"/>
      <c r="K486" s="433"/>
      <c r="L486" s="433"/>
      <c r="M486" s="433"/>
      <c r="N486" s="433"/>
      <c r="O486" s="433"/>
      <c r="P486" s="433"/>
      <c r="Q486" s="433"/>
      <c r="R486" s="433"/>
      <c r="S486" s="433"/>
      <c r="T486" s="466"/>
      <c r="U486" s="433"/>
      <c r="V486" s="433"/>
      <c r="W486" s="433"/>
    </row>
    <row r="487" spans="2:23" ht="15" customHeight="1">
      <c r="B487" s="433"/>
      <c r="C487" s="433"/>
      <c r="D487" s="433"/>
      <c r="E487" s="433"/>
      <c r="F487" s="434"/>
      <c r="G487" s="435"/>
      <c r="H487" s="433"/>
      <c r="I487" s="434"/>
      <c r="J487" s="434"/>
      <c r="K487" s="433"/>
      <c r="L487" s="433"/>
      <c r="M487" s="433"/>
      <c r="N487" s="433"/>
      <c r="O487" s="433"/>
      <c r="P487" s="433"/>
      <c r="Q487" s="433"/>
      <c r="R487" s="433"/>
      <c r="S487" s="433"/>
      <c r="T487" s="466"/>
      <c r="U487" s="433"/>
      <c r="V487" s="433"/>
      <c r="W487" s="433"/>
    </row>
    <row r="488" spans="2:23" ht="15" customHeight="1">
      <c r="B488" s="433"/>
      <c r="C488" s="433"/>
      <c r="D488" s="433"/>
      <c r="E488" s="433"/>
      <c r="F488" s="434"/>
      <c r="G488" s="435"/>
      <c r="H488" s="433"/>
      <c r="I488" s="434"/>
      <c r="J488" s="434"/>
      <c r="K488" s="433"/>
      <c r="L488" s="433"/>
      <c r="M488" s="433"/>
      <c r="N488" s="433"/>
      <c r="O488" s="433"/>
      <c r="P488" s="433"/>
      <c r="Q488" s="433"/>
      <c r="R488" s="433"/>
      <c r="S488" s="433"/>
      <c r="T488" s="466"/>
      <c r="U488" s="433"/>
      <c r="V488" s="433"/>
      <c r="W488" s="433"/>
    </row>
    <row r="489" spans="2:23" ht="15" customHeight="1">
      <c r="B489" s="433"/>
      <c r="C489" s="433"/>
      <c r="D489" s="433"/>
      <c r="E489" s="433"/>
      <c r="F489" s="434"/>
      <c r="G489" s="435"/>
      <c r="H489" s="433"/>
      <c r="I489" s="434"/>
      <c r="J489" s="434"/>
      <c r="K489" s="433"/>
      <c r="L489" s="433"/>
      <c r="M489" s="433"/>
      <c r="N489" s="433"/>
      <c r="O489" s="433"/>
      <c r="P489" s="433"/>
      <c r="Q489" s="433"/>
      <c r="R489" s="433"/>
      <c r="S489" s="433"/>
      <c r="T489" s="466"/>
      <c r="U489" s="433"/>
      <c r="V489" s="433"/>
      <c r="W489" s="433"/>
    </row>
    <row r="490" spans="2:23" ht="15" customHeight="1">
      <c r="B490" s="433"/>
      <c r="C490" s="433"/>
      <c r="D490" s="433"/>
      <c r="E490" s="433"/>
      <c r="F490" s="434"/>
      <c r="G490" s="435"/>
      <c r="H490" s="433"/>
      <c r="I490" s="434"/>
      <c r="J490" s="434"/>
      <c r="K490" s="433"/>
      <c r="L490" s="433"/>
      <c r="M490" s="433"/>
      <c r="N490" s="433"/>
      <c r="O490" s="433"/>
      <c r="P490" s="433"/>
      <c r="Q490" s="433"/>
      <c r="R490" s="433"/>
      <c r="S490" s="433"/>
      <c r="T490" s="466"/>
      <c r="U490" s="433"/>
      <c r="V490" s="433"/>
      <c r="W490" s="433"/>
    </row>
    <row r="491" spans="2:23" ht="15" customHeight="1">
      <c r="B491" s="433"/>
      <c r="C491" s="433"/>
      <c r="D491" s="433"/>
      <c r="E491" s="433"/>
      <c r="F491" s="434"/>
      <c r="G491" s="435"/>
      <c r="H491" s="433"/>
      <c r="I491" s="434"/>
      <c r="J491" s="434"/>
      <c r="K491" s="433"/>
      <c r="L491" s="433"/>
      <c r="M491" s="433"/>
      <c r="N491" s="433"/>
      <c r="O491" s="433"/>
      <c r="P491" s="433"/>
      <c r="Q491" s="433"/>
      <c r="R491" s="433"/>
      <c r="S491" s="433"/>
      <c r="T491" s="466"/>
      <c r="U491" s="433"/>
      <c r="V491" s="433"/>
      <c r="W491" s="433"/>
    </row>
    <row r="492" spans="2:23" ht="15" customHeight="1">
      <c r="B492" s="433"/>
      <c r="C492" s="433"/>
      <c r="D492" s="433"/>
      <c r="E492" s="433"/>
      <c r="F492" s="434"/>
      <c r="G492" s="435"/>
      <c r="H492" s="433"/>
      <c r="I492" s="434"/>
      <c r="J492" s="434"/>
      <c r="K492" s="433"/>
      <c r="L492" s="433"/>
      <c r="M492" s="433"/>
      <c r="N492" s="433"/>
      <c r="O492" s="433"/>
      <c r="P492" s="433"/>
      <c r="Q492" s="433"/>
      <c r="R492" s="433"/>
      <c r="S492" s="433"/>
      <c r="T492" s="466"/>
      <c r="U492" s="433"/>
      <c r="V492" s="433"/>
      <c r="W492" s="433"/>
    </row>
    <row r="493" spans="2:23" ht="15" customHeight="1">
      <c r="B493" s="433"/>
      <c r="C493" s="433"/>
      <c r="D493" s="433"/>
      <c r="E493" s="433"/>
      <c r="F493" s="434"/>
      <c r="G493" s="435"/>
      <c r="H493" s="433"/>
      <c r="I493" s="434"/>
      <c r="J493" s="434"/>
      <c r="K493" s="433"/>
      <c r="L493" s="433"/>
      <c r="M493" s="433"/>
      <c r="N493" s="433"/>
      <c r="O493" s="433"/>
      <c r="P493" s="433"/>
      <c r="Q493" s="433"/>
      <c r="R493" s="433"/>
      <c r="S493" s="433"/>
      <c r="T493" s="466"/>
      <c r="U493" s="433"/>
      <c r="V493" s="433"/>
      <c r="W493" s="433"/>
    </row>
    <row r="494" spans="2:23" ht="15" customHeight="1">
      <c r="B494" s="433"/>
      <c r="C494" s="433"/>
      <c r="D494" s="433"/>
      <c r="E494" s="433"/>
      <c r="F494" s="434"/>
      <c r="G494" s="435"/>
      <c r="H494" s="433"/>
      <c r="I494" s="434"/>
      <c r="J494" s="434"/>
      <c r="K494" s="433"/>
      <c r="L494" s="433"/>
      <c r="M494" s="433"/>
      <c r="N494" s="433"/>
      <c r="O494" s="433"/>
      <c r="P494" s="433"/>
      <c r="Q494" s="433"/>
      <c r="R494" s="433"/>
      <c r="S494" s="433"/>
      <c r="T494" s="466"/>
      <c r="U494" s="433"/>
      <c r="V494" s="433"/>
      <c r="W494" s="433"/>
    </row>
    <row r="495" spans="2:23" ht="15" customHeight="1">
      <c r="B495" s="433"/>
      <c r="C495" s="433"/>
      <c r="D495" s="433"/>
      <c r="E495" s="433"/>
      <c r="F495" s="434"/>
      <c r="G495" s="435"/>
      <c r="H495" s="433"/>
      <c r="I495" s="434"/>
      <c r="J495" s="434"/>
      <c r="K495" s="433"/>
      <c r="L495" s="433"/>
      <c r="M495" s="433"/>
      <c r="N495" s="433"/>
      <c r="O495" s="433"/>
      <c r="P495" s="433"/>
      <c r="Q495" s="433"/>
      <c r="R495" s="433"/>
      <c r="S495" s="433"/>
      <c r="T495" s="466"/>
      <c r="U495" s="433"/>
      <c r="V495" s="433"/>
      <c r="W495" s="433"/>
    </row>
    <row r="496" spans="2:23" ht="15" customHeight="1">
      <c r="B496" s="433"/>
      <c r="C496" s="433"/>
      <c r="D496" s="433"/>
      <c r="E496" s="433"/>
      <c r="F496" s="434"/>
      <c r="G496" s="435"/>
      <c r="H496" s="433"/>
      <c r="I496" s="434"/>
      <c r="J496" s="434"/>
      <c r="K496" s="433"/>
      <c r="L496" s="433"/>
      <c r="M496" s="433"/>
      <c r="N496" s="433"/>
      <c r="O496" s="433"/>
      <c r="P496" s="433"/>
      <c r="Q496" s="433"/>
      <c r="R496" s="433"/>
      <c r="S496" s="433"/>
      <c r="T496" s="466"/>
      <c r="U496" s="433"/>
      <c r="V496" s="433"/>
      <c r="W496" s="433"/>
    </row>
    <row r="497" spans="2:23" ht="15" customHeight="1">
      <c r="B497" s="433"/>
      <c r="C497" s="433"/>
      <c r="D497" s="433"/>
      <c r="E497" s="433"/>
      <c r="F497" s="434"/>
      <c r="G497" s="435"/>
      <c r="H497" s="433"/>
      <c r="I497" s="434"/>
      <c r="J497" s="434"/>
      <c r="K497" s="433"/>
      <c r="L497" s="433"/>
      <c r="M497" s="433"/>
      <c r="N497" s="433"/>
      <c r="O497" s="433"/>
      <c r="P497" s="433"/>
      <c r="Q497" s="433"/>
      <c r="R497" s="433"/>
      <c r="S497" s="433"/>
      <c r="T497" s="466"/>
      <c r="U497" s="433"/>
      <c r="V497" s="433"/>
      <c r="W497" s="433"/>
    </row>
    <row r="498" spans="2:23" ht="15" customHeight="1">
      <c r="B498" s="433"/>
      <c r="C498" s="433"/>
      <c r="D498" s="433"/>
      <c r="E498" s="433"/>
      <c r="F498" s="434"/>
      <c r="G498" s="435"/>
      <c r="H498" s="433"/>
      <c r="I498" s="434"/>
      <c r="J498" s="434"/>
      <c r="K498" s="433"/>
      <c r="L498" s="433"/>
      <c r="M498" s="433"/>
      <c r="N498" s="433"/>
      <c r="O498" s="433"/>
      <c r="P498" s="433"/>
      <c r="Q498" s="433"/>
      <c r="R498" s="433"/>
      <c r="S498" s="433"/>
      <c r="T498" s="466"/>
      <c r="U498" s="433"/>
      <c r="V498" s="433"/>
      <c r="W498" s="433"/>
    </row>
    <row r="499" spans="2:23" ht="15" customHeight="1">
      <c r="B499" s="433"/>
      <c r="C499" s="433"/>
      <c r="D499" s="433"/>
      <c r="E499" s="433"/>
      <c r="F499" s="434"/>
      <c r="G499" s="435"/>
      <c r="H499" s="433"/>
      <c r="I499" s="434"/>
      <c r="J499" s="434"/>
      <c r="K499" s="433"/>
      <c r="L499" s="433"/>
      <c r="M499" s="433"/>
      <c r="N499" s="433"/>
      <c r="O499" s="433"/>
      <c r="P499" s="433"/>
      <c r="Q499" s="433"/>
      <c r="R499" s="433"/>
      <c r="S499" s="433"/>
      <c r="T499" s="466"/>
      <c r="U499" s="433"/>
      <c r="V499" s="433"/>
      <c r="W499" s="433"/>
    </row>
    <row r="500" spans="2:23" ht="15" customHeight="1">
      <c r="B500" s="433"/>
      <c r="C500" s="433"/>
      <c r="D500" s="433"/>
      <c r="E500" s="433"/>
      <c r="F500" s="434"/>
      <c r="G500" s="435"/>
      <c r="H500" s="433"/>
      <c r="I500" s="434"/>
      <c r="J500" s="434"/>
      <c r="K500" s="433"/>
      <c r="L500" s="433"/>
      <c r="M500" s="433"/>
      <c r="N500" s="433"/>
      <c r="O500" s="433"/>
      <c r="P500" s="433"/>
      <c r="Q500" s="433"/>
      <c r="R500" s="433"/>
      <c r="S500" s="433"/>
      <c r="T500" s="466"/>
      <c r="U500" s="433"/>
      <c r="V500" s="433"/>
      <c r="W500" s="433"/>
    </row>
    <row r="501" spans="2:23" ht="15" customHeight="1">
      <c r="B501" s="433"/>
      <c r="C501" s="433"/>
      <c r="D501" s="433"/>
      <c r="E501" s="433"/>
      <c r="F501" s="434"/>
      <c r="G501" s="435"/>
      <c r="H501" s="433"/>
      <c r="I501" s="434"/>
      <c r="J501" s="434"/>
      <c r="K501" s="433"/>
      <c r="L501" s="433"/>
      <c r="M501" s="433"/>
      <c r="N501" s="433"/>
      <c r="O501" s="433"/>
      <c r="P501" s="433"/>
      <c r="Q501" s="433"/>
      <c r="R501" s="433"/>
      <c r="S501" s="433"/>
      <c r="T501" s="466"/>
      <c r="U501" s="433"/>
      <c r="V501" s="433"/>
      <c r="W501" s="433"/>
    </row>
    <row r="502" spans="2:23" ht="15" customHeight="1">
      <c r="B502" s="433"/>
      <c r="C502" s="433"/>
      <c r="D502" s="433"/>
      <c r="E502" s="433"/>
      <c r="F502" s="434"/>
      <c r="G502" s="435"/>
      <c r="H502" s="433"/>
      <c r="I502" s="434"/>
      <c r="J502" s="434"/>
      <c r="K502" s="433"/>
      <c r="L502" s="433"/>
      <c r="M502" s="433"/>
      <c r="N502" s="433"/>
      <c r="O502" s="433"/>
      <c r="P502" s="433"/>
      <c r="Q502" s="433"/>
      <c r="R502" s="433"/>
      <c r="S502" s="433"/>
      <c r="T502" s="466"/>
      <c r="U502" s="433"/>
      <c r="V502" s="433"/>
      <c r="W502" s="433"/>
    </row>
    <row r="503" spans="2:23" ht="15" customHeight="1">
      <c r="B503" s="433"/>
      <c r="C503" s="433"/>
      <c r="D503" s="433"/>
      <c r="E503" s="433"/>
      <c r="F503" s="434"/>
      <c r="G503" s="435"/>
      <c r="H503" s="433"/>
      <c r="I503" s="434"/>
      <c r="J503" s="434"/>
      <c r="K503" s="433"/>
      <c r="L503" s="433"/>
      <c r="M503" s="433"/>
      <c r="N503" s="433"/>
      <c r="O503" s="433"/>
      <c r="P503" s="433"/>
      <c r="Q503" s="433"/>
      <c r="R503" s="433"/>
      <c r="S503" s="433"/>
      <c r="T503" s="466"/>
      <c r="U503" s="433"/>
      <c r="V503" s="433"/>
      <c r="W503" s="433"/>
    </row>
    <row r="504" spans="2:23" ht="15" customHeight="1">
      <c r="B504" s="433"/>
      <c r="C504" s="433"/>
      <c r="D504" s="433"/>
      <c r="E504" s="433"/>
      <c r="F504" s="434"/>
      <c r="G504" s="435"/>
      <c r="H504" s="433"/>
      <c r="I504" s="434"/>
      <c r="J504" s="434"/>
      <c r="K504" s="433"/>
      <c r="L504" s="433"/>
      <c r="M504" s="433"/>
      <c r="N504" s="433"/>
      <c r="O504" s="433"/>
      <c r="P504" s="433"/>
      <c r="Q504" s="433"/>
      <c r="R504" s="433"/>
      <c r="S504" s="433"/>
      <c r="T504" s="466"/>
      <c r="U504" s="433"/>
      <c r="V504" s="433"/>
      <c r="W504" s="433"/>
    </row>
    <row r="505" spans="2:23" ht="15" customHeight="1">
      <c r="B505" s="433"/>
      <c r="C505" s="433"/>
      <c r="D505" s="433"/>
      <c r="E505" s="433"/>
      <c r="F505" s="434"/>
      <c r="G505" s="435"/>
      <c r="H505" s="433"/>
      <c r="I505" s="434"/>
      <c r="J505" s="434"/>
      <c r="K505" s="433"/>
      <c r="L505" s="433"/>
      <c r="M505" s="433"/>
      <c r="N505" s="433"/>
      <c r="O505" s="433"/>
      <c r="P505" s="433"/>
      <c r="Q505" s="433"/>
      <c r="R505" s="433"/>
      <c r="S505" s="433"/>
      <c r="T505" s="466"/>
      <c r="U505" s="433"/>
      <c r="V505" s="433"/>
      <c r="W505" s="433"/>
    </row>
    <row r="506" spans="2:23" ht="15" customHeight="1">
      <c r="B506" s="433"/>
      <c r="C506" s="433"/>
      <c r="D506" s="433"/>
      <c r="E506" s="433"/>
      <c r="F506" s="434"/>
      <c r="G506" s="435"/>
      <c r="H506" s="433"/>
      <c r="I506" s="434"/>
      <c r="J506" s="434"/>
      <c r="K506" s="433"/>
      <c r="L506" s="433"/>
      <c r="M506" s="433"/>
      <c r="N506" s="433"/>
      <c r="O506" s="433"/>
      <c r="P506" s="433"/>
      <c r="Q506" s="433"/>
      <c r="R506" s="433"/>
      <c r="S506" s="433"/>
      <c r="T506" s="466"/>
      <c r="U506" s="433"/>
      <c r="V506" s="433"/>
      <c r="W506" s="433"/>
    </row>
    <row r="507" spans="2:23" ht="15" customHeight="1">
      <c r="B507" s="433"/>
      <c r="C507" s="433"/>
      <c r="D507" s="433"/>
      <c r="E507" s="433"/>
      <c r="F507" s="434"/>
      <c r="G507" s="435"/>
      <c r="H507" s="433"/>
      <c r="I507" s="434"/>
      <c r="J507" s="434"/>
      <c r="K507" s="433"/>
      <c r="L507" s="433"/>
      <c r="M507" s="433"/>
      <c r="N507" s="433"/>
      <c r="O507" s="433"/>
      <c r="P507" s="433"/>
      <c r="Q507" s="433"/>
      <c r="R507" s="433"/>
      <c r="S507" s="433"/>
      <c r="T507" s="466"/>
      <c r="U507" s="433"/>
      <c r="V507" s="433"/>
      <c r="W507" s="433"/>
    </row>
    <row r="508" spans="2:23" ht="15" customHeight="1">
      <c r="B508" s="433"/>
      <c r="C508" s="433"/>
      <c r="D508" s="433"/>
      <c r="E508" s="433"/>
      <c r="F508" s="434"/>
      <c r="G508" s="435"/>
      <c r="H508" s="433"/>
      <c r="I508" s="434"/>
      <c r="J508" s="434"/>
      <c r="K508" s="433"/>
      <c r="L508" s="433"/>
      <c r="M508" s="433"/>
      <c r="N508" s="433"/>
      <c r="O508" s="433"/>
      <c r="P508" s="433"/>
      <c r="Q508" s="433"/>
      <c r="R508" s="433"/>
      <c r="S508" s="433"/>
      <c r="T508" s="466"/>
      <c r="U508" s="433"/>
      <c r="V508" s="433"/>
      <c r="W508" s="433"/>
    </row>
    <row r="509" spans="2:23" ht="15" customHeight="1">
      <c r="B509" s="433"/>
      <c r="C509" s="433"/>
      <c r="D509" s="433"/>
      <c r="E509" s="433"/>
      <c r="F509" s="434"/>
      <c r="G509" s="435"/>
      <c r="H509" s="433"/>
      <c r="I509" s="434"/>
      <c r="J509" s="434"/>
      <c r="K509" s="433"/>
      <c r="L509" s="433"/>
      <c r="M509" s="433"/>
      <c r="N509" s="433"/>
      <c r="O509" s="433"/>
      <c r="P509" s="433"/>
      <c r="Q509" s="433"/>
      <c r="R509" s="433"/>
      <c r="S509" s="433"/>
      <c r="T509" s="466"/>
      <c r="U509" s="433"/>
      <c r="V509" s="433"/>
      <c r="W509" s="433"/>
    </row>
    <row r="510" spans="2:23" ht="15" customHeight="1">
      <c r="B510" s="433"/>
      <c r="C510" s="433"/>
      <c r="D510" s="433"/>
      <c r="E510" s="433"/>
      <c r="F510" s="434"/>
      <c r="G510" s="435"/>
      <c r="H510" s="433"/>
      <c r="I510" s="434"/>
      <c r="J510" s="434"/>
      <c r="K510" s="433"/>
      <c r="L510" s="433"/>
      <c r="M510" s="433"/>
      <c r="N510" s="433"/>
      <c r="O510" s="433"/>
      <c r="P510" s="433"/>
      <c r="Q510" s="433"/>
      <c r="R510" s="433"/>
      <c r="S510" s="433"/>
      <c r="T510" s="466"/>
      <c r="U510" s="433"/>
      <c r="V510" s="433"/>
      <c r="W510" s="433"/>
    </row>
    <row r="511" spans="2:23" ht="15" customHeight="1">
      <c r="B511" s="433"/>
      <c r="C511" s="433"/>
      <c r="D511" s="433"/>
      <c r="E511" s="433"/>
      <c r="F511" s="434"/>
      <c r="G511" s="435"/>
      <c r="H511" s="433"/>
      <c r="I511" s="434"/>
      <c r="J511" s="434"/>
      <c r="K511" s="433"/>
      <c r="L511" s="433"/>
      <c r="M511" s="433"/>
      <c r="N511" s="433"/>
      <c r="O511" s="433"/>
      <c r="P511" s="433"/>
      <c r="Q511" s="433"/>
      <c r="R511" s="433"/>
      <c r="S511" s="433"/>
      <c r="T511" s="466"/>
      <c r="U511" s="433"/>
      <c r="V511" s="433"/>
      <c r="W511" s="433"/>
    </row>
    <row r="512" spans="2:23" ht="15" customHeight="1">
      <c r="B512" s="433"/>
      <c r="C512" s="433"/>
      <c r="D512" s="433"/>
      <c r="E512" s="433"/>
      <c r="F512" s="434"/>
      <c r="G512" s="435"/>
      <c r="H512" s="433"/>
      <c r="I512" s="434"/>
      <c r="J512" s="434"/>
      <c r="K512" s="433"/>
      <c r="L512" s="433"/>
      <c r="M512" s="433"/>
      <c r="N512" s="433"/>
      <c r="O512" s="433"/>
      <c r="P512" s="433"/>
      <c r="Q512" s="433"/>
      <c r="R512" s="433"/>
      <c r="S512" s="433"/>
      <c r="T512" s="466"/>
      <c r="U512" s="433"/>
      <c r="V512" s="433"/>
      <c r="W512" s="433"/>
    </row>
    <row r="513" spans="2:23" ht="15" customHeight="1">
      <c r="B513" s="433"/>
      <c r="C513" s="433"/>
      <c r="D513" s="433"/>
      <c r="E513" s="433"/>
      <c r="F513" s="434"/>
      <c r="G513" s="435"/>
      <c r="H513" s="433"/>
      <c r="I513" s="434"/>
      <c r="J513" s="434"/>
      <c r="K513" s="433"/>
      <c r="L513" s="433"/>
      <c r="M513" s="433"/>
      <c r="N513" s="433"/>
      <c r="O513" s="433"/>
      <c r="P513" s="433"/>
      <c r="Q513" s="433"/>
      <c r="R513" s="433"/>
      <c r="S513" s="433"/>
      <c r="T513" s="466"/>
      <c r="U513" s="433"/>
      <c r="V513" s="433"/>
      <c r="W513" s="433"/>
    </row>
    <row r="514" spans="2:23" ht="15" customHeight="1">
      <c r="B514" s="433"/>
      <c r="C514" s="433"/>
      <c r="D514" s="433"/>
      <c r="E514" s="433"/>
      <c r="F514" s="434"/>
      <c r="G514" s="435"/>
      <c r="H514" s="433"/>
      <c r="I514" s="434"/>
      <c r="J514" s="434"/>
      <c r="K514" s="433"/>
      <c r="L514" s="433"/>
      <c r="M514" s="433"/>
      <c r="N514" s="433"/>
      <c r="O514" s="433"/>
      <c r="P514" s="433"/>
      <c r="Q514" s="433"/>
      <c r="R514" s="433"/>
      <c r="S514" s="433"/>
      <c r="T514" s="466"/>
      <c r="U514" s="433"/>
      <c r="V514" s="433"/>
      <c r="W514" s="433"/>
    </row>
    <row r="515" spans="2:23" ht="15" customHeight="1">
      <c r="B515" s="433"/>
      <c r="C515" s="433"/>
      <c r="D515" s="433"/>
      <c r="E515" s="433"/>
      <c r="F515" s="434"/>
      <c r="G515" s="435"/>
      <c r="H515" s="433"/>
      <c r="I515" s="434"/>
      <c r="J515" s="434"/>
      <c r="K515" s="433"/>
      <c r="L515" s="433"/>
      <c r="M515" s="433"/>
      <c r="N515" s="433"/>
      <c r="O515" s="433"/>
      <c r="P515" s="433"/>
      <c r="Q515" s="433"/>
      <c r="R515" s="433"/>
      <c r="S515" s="433"/>
      <c r="T515" s="466"/>
      <c r="U515" s="433"/>
      <c r="V515" s="433"/>
      <c r="W515" s="433"/>
    </row>
    <row r="516" spans="2:23" ht="15" customHeight="1">
      <c r="B516" s="433"/>
      <c r="C516" s="433"/>
      <c r="D516" s="433"/>
      <c r="E516" s="433"/>
      <c r="F516" s="434"/>
      <c r="G516" s="435"/>
      <c r="H516" s="433"/>
      <c r="I516" s="434"/>
      <c r="J516" s="434"/>
      <c r="K516" s="433"/>
      <c r="L516" s="433"/>
      <c r="M516" s="433"/>
      <c r="N516" s="433"/>
      <c r="O516" s="433"/>
      <c r="P516" s="433"/>
      <c r="Q516" s="433"/>
      <c r="R516" s="433"/>
      <c r="S516" s="433"/>
      <c r="T516" s="466"/>
      <c r="U516" s="433"/>
      <c r="V516" s="433"/>
      <c r="W516" s="433"/>
    </row>
    <row r="517" spans="2:23" ht="15" customHeight="1">
      <c r="B517" s="433"/>
      <c r="C517" s="433"/>
      <c r="D517" s="433"/>
      <c r="E517" s="433"/>
      <c r="F517" s="434"/>
      <c r="G517" s="435"/>
      <c r="H517" s="433"/>
      <c r="I517" s="434"/>
      <c r="J517" s="434"/>
      <c r="K517" s="433"/>
      <c r="L517" s="433"/>
      <c r="M517" s="433"/>
      <c r="N517" s="433"/>
      <c r="O517" s="433"/>
      <c r="P517" s="433"/>
      <c r="Q517" s="433"/>
      <c r="R517" s="433"/>
      <c r="S517" s="433"/>
      <c r="T517" s="466"/>
      <c r="U517" s="433"/>
      <c r="V517" s="433"/>
      <c r="W517" s="433"/>
    </row>
    <row r="518" spans="2:23" ht="15" customHeight="1">
      <c r="B518" s="433"/>
      <c r="C518" s="433"/>
      <c r="D518" s="433"/>
      <c r="E518" s="433"/>
      <c r="F518" s="434"/>
      <c r="G518" s="435"/>
      <c r="H518" s="433"/>
      <c r="I518" s="434"/>
      <c r="J518" s="434"/>
      <c r="K518" s="433"/>
      <c r="L518" s="433"/>
      <c r="M518" s="433"/>
      <c r="N518" s="433"/>
      <c r="O518" s="433"/>
      <c r="P518" s="433"/>
      <c r="Q518" s="433"/>
      <c r="R518" s="433"/>
      <c r="S518" s="433"/>
      <c r="T518" s="466"/>
      <c r="U518" s="433"/>
      <c r="V518" s="433"/>
      <c r="W518" s="433"/>
    </row>
    <row r="519" spans="2:23" ht="15" customHeight="1">
      <c r="B519" s="433"/>
      <c r="C519" s="433"/>
      <c r="D519" s="433"/>
      <c r="E519" s="433"/>
      <c r="F519" s="434"/>
      <c r="G519" s="435"/>
      <c r="H519" s="433"/>
      <c r="I519" s="434"/>
      <c r="J519" s="434"/>
      <c r="K519" s="433"/>
      <c r="L519" s="433"/>
      <c r="M519" s="433"/>
      <c r="N519" s="433"/>
      <c r="O519" s="433"/>
      <c r="P519" s="433"/>
      <c r="Q519" s="433"/>
      <c r="R519" s="433"/>
      <c r="S519" s="433"/>
      <c r="T519" s="466"/>
      <c r="U519" s="433"/>
      <c r="V519" s="433"/>
      <c r="W519" s="433"/>
    </row>
    <row r="520" spans="2:23" ht="15" customHeight="1">
      <c r="B520" s="433"/>
      <c r="C520" s="433"/>
      <c r="D520" s="433"/>
      <c r="E520" s="433"/>
      <c r="F520" s="434"/>
      <c r="G520" s="435"/>
      <c r="H520" s="433"/>
      <c r="I520" s="434"/>
      <c r="J520" s="434"/>
      <c r="K520" s="433"/>
      <c r="L520" s="433"/>
      <c r="M520" s="433"/>
      <c r="N520" s="433"/>
      <c r="O520" s="433"/>
      <c r="P520" s="433"/>
      <c r="Q520" s="433"/>
      <c r="R520" s="433"/>
      <c r="S520" s="433"/>
      <c r="T520" s="466"/>
      <c r="U520" s="433"/>
      <c r="V520" s="433"/>
      <c r="W520" s="433"/>
    </row>
    <row r="521" spans="2:23" ht="15" customHeight="1">
      <c r="B521" s="433"/>
      <c r="C521" s="433"/>
      <c r="D521" s="433"/>
      <c r="E521" s="433"/>
      <c r="F521" s="434"/>
      <c r="G521" s="435"/>
      <c r="H521" s="433"/>
      <c r="I521" s="434"/>
      <c r="J521" s="434"/>
      <c r="K521" s="433"/>
      <c r="L521" s="433"/>
      <c r="M521" s="433"/>
      <c r="N521" s="433"/>
      <c r="O521" s="433"/>
      <c r="P521" s="433"/>
      <c r="Q521" s="433"/>
      <c r="R521" s="433"/>
      <c r="S521" s="433"/>
      <c r="T521" s="466"/>
      <c r="U521" s="433"/>
      <c r="V521" s="433"/>
      <c r="W521" s="433"/>
    </row>
    <row r="522" spans="2:23" ht="15" customHeight="1">
      <c r="B522" s="433"/>
      <c r="C522" s="433"/>
      <c r="D522" s="433"/>
      <c r="E522" s="433"/>
      <c r="F522" s="434"/>
      <c r="G522" s="435"/>
      <c r="H522" s="433"/>
      <c r="I522" s="434"/>
      <c r="J522" s="434"/>
      <c r="K522" s="433"/>
      <c r="L522" s="433"/>
      <c r="M522" s="433"/>
      <c r="N522" s="433"/>
      <c r="O522" s="433"/>
      <c r="P522" s="433"/>
      <c r="Q522" s="433"/>
      <c r="R522" s="433"/>
      <c r="S522" s="433"/>
      <c r="T522" s="466"/>
      <c r="U522" s="433"/>
      <c r="V522" s="433"/>
      <c r="W522" s="433"/>
    </row>
    <row r="523" spans="2:23" ht="15" customHeight="1">
      <c r="B523" s="433"/>
      <c r="C523" s="433"/>
      <c r="D523" s="433"/>
      <c r="E523" s="433"/>
      <c r="F523" s="434"/>
      <c r="G523" s="435"/>
      <c r="H523" s="433"/>
      <c r="I523" s="434"/>
      <c r="J523" s="434"/>
      <c r="K523" s="433"/>
      <c r="L523" s="433"/>
      <c r="M523" s="433"/>
      <c r="N523" s="433"/>
      <c r="O523" s="433"/>
      <c r="P523" s="433"/>
      <c r="Q523" s="433"/>
      <c r="R523" s="433"/>
      <c r="S523" s="433"/>
      <c r="T523" s="466"/>
      <c r="U523" s="433"/>
      <c r="V523" s="433"/>
      <c r="W523" s="433"/>
    </row>
    <row r="524" spans="2:23" ht="15" customHeight="1">
      <c r="B524" s="433"/>
      <c r="C524" s="433"/>
      <c r="D524" s="433"/>
      <c r="E524" s="433"/>
      <c r="F524" s="434"/>
      <c r="G524" s="435"/>
      <c r="H524" s="433"/>
      <c r="I524" s="434"/>
      <c r="J524" s="434"/>
      <c r="K524" s="433"/>
      <c r="L524" s="433"/>
      <c r="M524" s="433"/>
      <c r="N524" s="433"/>
      <c r="O524" s="433"/>
      <c r="P524" s="433"/>
      <c r="Q524" s="433"/>
      <c r="R524" s="433"/>
      <c r="S524" s="433"/>
      <c r="T524" s="466"/>
      <c r="U524" s="433"/>
      <c r="V524" s="433"/>
      <c r="W524" s="433"/>
    </row>
    <row r="525" spans="2:23" ht="15" customHeight="1">
      <c r="B525" s="433"/>
      <c r="C525" s="433"/>
      <c r="D525" s="433"/>
      <c r="E525" s="433"/>
      <c r="F525" s="434"/>
      <c r="G525" s="435"/>
      <c r="H525" s="433"/>
      <c r="I525" s="434"/>
      <c r="J525" s="434"/>
      <c r="K525" s="433"/>
      <c r="L525" s="433"/>
      <c r="M525" s="433"/>
      <c r="N525" s="433"/>
      <c r="O525" s="433"/>
      <c r="P525" s="433"/>
      <c r="Q525" s="433"/>
      <c r="R525" s="433"/>
      <c r="S525" s="433"/>
      <c r="T525" s="466"/>
      <c r="U525" s="433"/>
      <c r="V525" s="433"/>
      <c r="W525" s="433"/>
    </row>
    <row r="526" spans="2:23" ht="15" customHeight="1">
      <c r="B526" s="433"/>
      <c r="C526" s="433"/>
      <c r="D526" s="433"/>
      <c r="E526" s="433"/>
      <c r="F526" s="434"/>
      <c r="G526" s="435"/>
      <c r="H526" s="433"/>
      <c r="I526" s="434"/>
      <c r="J526" s="434"/>
      <c r="K526" s="433"/>
      <c r="L526" s="433"/>
      <c r="M526" s="433"/>
      <c r="N526" s="433"/>
      <c r="O526" s="433"/>
      <c r="P526" s="433"/>
      <c r="Q526" s="433"/>
      <c r="R526" s="433"/>
      <c r="S526" s="433"/>
      <c r="T526" s="466"/>
      <c r="U526" s="433"/>
      <c r="V526" s="433"/>
      <c r="W526" s="433"/>
    </row>
    <row r="527" spans="2:23" ht="15" customHeight="1">
      <c r="B527" s="433"/>
      <c r="C527" s="433"/>
      <c r="D527" s="433"/>
      <c r="E527" s="433"/>
      <c r="F527" s="434"/>
      <c r="G527" s="435"/>
      <c r="H527" s="433"/>
      <c r="I527" s="434"/>
      <c r="J527" s="434"/>
      <c r="K527" s="433"/>
      <c r="L527" s="433"/>
      <c r="M527" s="433"/>
      <c r="N527" s="433"/>
      <c r="O527" s="433"/>
      <c r="P527" s="433"/>
      <c r="Q527" s="433"/>
      <c r="R527" s="433"/>
      <c r="S527" s="433"/>
      <c r="T527" s="466"/>
      <c r="U527" s="433"/>
      <c r="V527" s="433"/>
      <c r="W527" s="433"/>
    </row>
    <row r="528" spans="2:23" ht="15" customHeight="1">
      <c r="B528" s="433"/>
      <c r="C528" s="433"/>
      <c r="D528" s="433"/>
      <c r="E528" s="433"/>
      <c r="F528" s="434"/>
      <c r="G528" s="435"/>
      <c r="H528" s="433"/>
      <c r="I528" s="434"/>
      <c r="J528" s="434"/>
      <c r="K528" s="433"/>
      <c r="L528" s="433"/>
      <c r="M528" s="433"/>
      <c r="N528" s="433"/>
      <c r="O528" s="433"/>
      <c r="P528" s="433"/>
      <c r="Q528" s="433"/>
      <c r="R528" s="433"/>
      <c r="S528" s="433"/>
      <c r="T528" s="466"/>
      <c r="U528" s="433"/>
      <c r="V528" s="433"/>
      <c r="W528" s="433"/>
    </row>
    <row r="529" spans="2:23" ht="15" customHeight="1">
      <c r="B529" s="433"/>
      <c r="C529" s="433"/>
      <c r="D529" s="433"/>
      <c r="E529" s="433"/>
      <c r="F529" s="434"/>
      <c r="G529" s="435"/>
      <c r="H529" s="433"/>
      <c r="I529" s="434"/>
      <c r="J529" s="434"/>
      <c r="K529" s="433"/>
      <c r="L529" s="433"/>
      <c r="M529" s="433"/>
      <c r="N529" s="433"/>
      <c r="O529" s="433"/>
      <c r="P529" s="433"/>
      <c r="Q529" s="433"/>
      <c r="R529" s="433"/>
      <c r="S529" s="433"/>
      <c r="T529" s="466"/>
      <c r="U529" s="433"/>
      <c r="V529" s="433"/>
      <c r="W529" s="433"/>
    </row>
    <row r="530" spans="2:23" ht="15" customHeight="1">
      <c r="B530" s="433"/>
      <c r="C530" s="433"/>
      <c r="D530" s="433"/>
      <c r="E530" s="433"/>
      <c r="F530" s="434"/>
      <c r="G530" s="435"/>
      <c r="H530" s="433"/>
      <c r="I530" s="434"/>
      <c r="J530" s="434"/>
      <c r="K530" s="433"/>
      <c r="L530" s="433"/>
      <c r="M530" s="433"/>
      <c r="N530" s="433"/>
      <c r="O530" s="433"/>
      <c r="P530" s="433"/>
      <c r="Q530" s="433"/>
      <c r="R530" s="433"/>
      <c r="S530" s="433"/>
      <c r="T530" s="466"/>
      <c r="U530" s="433"/>
      <c r="V530" s="433"/>
      <c r="W530" s="433"/>
    </row>
    <row r="531" spans="2:23" ht="15" customHeight="1">
      <c r="B531" s="433"/>
      <c r="C531" s="433"/>
      <c r="D531" s="433"/>
      <c r="E531" s="433"/>
      <c r="F531" s="434"/>
      <c r="G531" s="435"/>
      <c r="H531" s="433"/>
      <c r="I531" s="434"/>
      <c r="J531" s="434"/>
      <c r="K531" s="433"/>
      <c r="L531" s="433"/>
      <c r="M531" s="433"/>
      <c r="N531" s="433"/>
      <c r="O531" s="433"/>
      <c r="P531" s="433"/>
      <c r="Q531" s="433"/>
      <c r="R531" s="433"/>
      <c r="S531" s="433"/>
      <c r="T531" s="466"/>
      <c r="U531" s="433"/>
      <c r="V531" s="433"/>
      <c r="W531" s="433"/>
    </row>
    <row r="532" spans="2:23" ht="15" customHeight="1">
      <c r="B532" s="433"/>
      <c r="C532" s="433"/>
      <c r="D532" s="433"/>
      <c r="E532" s="433"/>
      <c r="F532" s="434"/>
      <c r="G532" s="435"/>
      <c r="H532" s="433"/>
      <c r="I532" s="434"/>
      <c r="J532" s="434"/>
      <c r="K532" s="433"/>
      <c r="L532" s="433"/>
      <c r="M532" s="433"/>
      <c r="N532" s="433"/>
      <c r="O532" s="433"/>
      <c r="P532" s="433"/>
      <c r="Q532" s="433"/>
      <c r="R532" s="433"/>
      <c r="S532" s="433"/>
      <c r="T532" s="466"/>
      <c r="U532" s="433"/>
      <c r="V532" s="433"/>
      <c r="W532" s="433"/>
    </row>
    <row r="533" spans="2:23" ht="15" customHeight="1">
      <c r="B533" s="433"/>
      <c r="C533" s="433"/>
      <c r="D533" s="433"/>
      <c r="E533" s="433"/>
      <c r="F533" s="434"/>
      <c r="G533" s="435"/>
      <c r="H533" s="433"/>
      <c r="I533" s="434"/>
      <c r="J533" s="434"/>
      <c r="K533" s="433"/>
      <c r="L533" s="433"/>
      <c r="M533" s="433"/>
      <c r="N533" s="433"/>
      <c r="O533" s="433"/>
      <c r="P533" s="433"/>
      <c r="Q533" s="433"/>
      <c r="R533" s="433"/>
      <c r="S533" s="433"/>
      <c r="T533" s="466"/>
      <c r="U533" s="433"/>
      <c r="V533" s="433"/>
      <c r="W533" s="433"/>
    </row>
    <row r="534" spans="2:23" ht="15" customHeight="1">
      <c r="B534" s="433"/>
      <c r="C534" s="433"/>
      <c r="D534" s="433"/>
      <c r="E534" s="433"/>
      <c r="F534" s="434"/>
      <c r="G534" s="435"/>
      <c r="H534" s="433"/>
      <c r="I534" s="434"/>
      <c r="J534" s="434"/>
      <c r="K534" s="433"/>
      <c r="L534" s="433"/>
      <c r="M534" s="433"/>
      <c r="N534" s="433"/>
      <c r="O534" s="433"/>
      <c r="P534" s="433"/>
      <c r="Q534" s="433"/>
      <c r="R534" s="433"/>
      <c r="S534" s="433"/>
      <c r="T534" s="466"/>
      <c r="U534" s="433"/>
      <c r="V534" s="433"/>
      <c r="W534" s="433"/>
    </row>
    <row r="535" spans="2:23" ht="15" customHeight="1">
      <c r="B535" s="433"/>
      <c r="C535" s="433"/>
      <c r="D535" s="433"/>
      <c r="E535" s="433"/>
      <c r="F535" s="434"/>
      <c r="G535" s="435"/>
      <c r="H535" s="433"/>
      <c r="I535" s="434"/>
      <c r="J535" s="434"/>
      <c r="K535" s="433"/>
      <c r="L535" s="433"/>
      <c r="M535" s="433"/>
      <c r="N535" s="433"/>
      <c r="O535" s="433"/>
      <c r="P535" s="433"/>
      <c r="Q535" s="433"/>
      <c r="R535" s="433"/>
      <c r="S535" s="433"/>
      <c r="T535" s="466"/>
      <c r="U535" s="433"/>
      <c r="V535" s="433"/>
      <c r="W535" s="433"/>
    </row>
    <row r="536" spans="2:23" ht="15" customHeight="1">
      <c r="B536" s="433"/>
      <c r="C536" s="433"/>
      <c r="D536" s="433"/>
      <c r="E536" s="433"/>
      <c r="F536" s="434"/>
      <c r="G536" s="435"/>
      <c r="H536" s="433"/>
      <c r="I536" s="434"/>
      <c r="J536" s="434"/>
      <c r="K536" s="433"/>
      <c r="L536" s="433"/>
      <c r="M536" s="433"/>
      <c r="N536" s="433"/>
      <c r="O536" s="433"/>
      <c r="P536" s="433"/>
      <c r="Q536" s="433"/>
      <c r="R536" s="433"/>
      <c r="S536" s="433"/>
      <c r="T536" s="466"/>
      <c r="U536" s="433"/>
      <c r="V536" s="433"/>
      <c r="W536" s="433"/>
    </row>
    <row r="537" spans="2:23" ht="15" customHeight="1">
      <c r="B537" s="433"/>
      <c r="C537" s="433"/>
      <c r="D537" s="433"/>
      <c r="E537" s="433"/>
      <c r="F537" s="434"/>
      <c r="G537" s="435"/>
      <c r="H537" s="433"/>
      <c r="I537" s="434"/>
      <c r="J537" s="434"/>
      <c r="K537" s="433"/>
      <c r="L537" s="433"/>
      <c r="M537" s="433"/>
      <c r="N537" s="433"/>
      <c r="O537" s="433"/>
      <c r="P537" s="433"/>
      <c r="Q537" s="433"/>
      <c r="R537" s="433"/>
      <c r="S537" s="433"/>
      <c r="T537" s="466"/>
      <c r="U537" s="433"/>
      <c r="V537" s="433"/>
      <c r="W537" s="433"/>
    </row>
    <row r="538" spans="2:23" ht="15" customHeight="1">
      <c r="B538" s="433"/>
      <c r="C538" s="433"/>
      <c r="D538" s="433"/>
      <c r="E538" s="433"/>
      <c r="F538" s="434"/>
      <c r="G538" s="435"/>
      <c r="H538" s="433"/>
      <c r="I538" s="434"/>
      <c r="J538" s="434"/>
      <c r="K538" s="433"/>
      <c r="L538" s="433"/>
      <c r="M538" s="433"/>
      <c r="N538" s="433"/>
      <c r="O538" s="433"/>
      <c r="P538" s="433"/>
      <c r="Q538" s="433"/>
      <c r="R538" s="433"/>
      <c r="S538" s="433"/>
      <c r="T538" s="466"/>
      <c r="U538" s="433"/>
      <c r="V538" s="433"/>
      <c r="W538" s="433"/>
    </row>
    <row r="539" spans="2:23" ht="15" customHeight="1">
      <c r="B539" s="433"/>
      <c r="C539" s="433"/>
      <c r="D539" s="433"/>
      <c r="E539" s="433"/>
      <c r="F539" s="434"/>
      <c r="G539" s="435"/>
      <c r="H539" s="433"/>
      <c r="I539" s="434"/>
      <c r="J539" s="434"/>
      <c r="K539" s="433"/>
      <c r="L539" s="433"/>
      <c r="M539" s="433"/>
      <c r="N539" s="433"/>
      <c r="O539" s="433"/>
      <c r="P539" s="433"/>
      <c r="Q539" s="433"/>
      <c r="R539" s="433"/>
      <c r="S539" s="433"/>
      <c r="T539" s="466"/>
      <c r="U539" s="433"/>
      <c r="V539" s="433"/>
      <c r="W539" s="433"/>
    </row>
    <row r="540" spans="2:23" ht="15" customHeight="1">
      <c r="B540" s="433"/>
      <c r="C540" s="433"/>
      <c r="D540" s="433"/>
      <c r="E540" s="433"/>
      <c r="F540" s="434"/>
      <c r="G540" s="435"/>
      <c r="H540" s="433"/>
      <c r="I540" s="434"/>
      <c r="J540" s="434"/>
      <c r="K540" s="433"/>
      <c r="L540" s="433"/>
      <c r="M540" s="433"/>
      <c r="N540" s="433"/>
      <c r="O540" s="433"/>
      <c r="P540" s="433"/>
      <c r="Q540" s="433"/>
      <c r="R540" s="433"/>
      <c r="S540" s="433"/>
      <c r="T540" s="466"/>
      <c r="U540" s="433"/>
      <c r="V540" s="433"/>
      <c r="W540" s="433"/>
    </row>
    <row r="541" spans="2:23" ht="15" customHeight="1">
      <c r="B541" s="433"/>
      <c r="C541" s="433"/>
      <c r="D541" s="433"/>
      <c r="E541" s="433"/>
      <c r="F541" s="434"/>
      <c r="G541" s="435"/>
      <c r="H541" s="433"/>
      <c r="I541" s="434"/>
      <c r="J541" s="434"/>
      <c r="K541" s="433"/>
      <c r="L541" s="433"/>
      <c r="M541" s="433"/>
      <c r="N541" s="433"/>
      <c r="O541" s="433"/>
      <c r="P541" s="433"/>
      <c r="Q541" s="433"/>
      <c r="R541" s="433"/>
      <c r="S541" s="433"/>
      <c r="T541" s="466"/>
      <c r="U541" s="433"/>
      <c r="V541" s="433"/>
      <c r="W541" s="433"/>
    </row>
    <row r="542" spans="2:23" ht="15" customHeight="1">
      <c r="B542" s="433"/>
      <c r="C542" s="433"/>
      <c r="D542" s="433"/>
      <c r="E542" s="433"/>
      <c r="F542" s="434"/>
      <c r="G542" s="435"/>
      <c r="H542" s="433"/>
      <c r="I542" s="434"/>
      <c r="J542" s="434"/>
      <c r="K542" s="433"/>
      <c r="L542" s="433"/>
      <c r="M542" s="433"/>
      <c r="N542" s="433"/>
      <c r="O542" s="433"/>
      <c r="P542" s="433"/>
      <c r="Q542" s="433"/>
      <c r="R542" s="433"/>
      <c r="S542" s="433"/>
      <c r="T542" s="466"/>
      <c r="U542" s="433"/>
      <c r="V542" s="433"/>
      <c r="W542" s="433"/>
    </row>
    <row r="543" spans="2:23" ht="15" customHeight="1">
      <c r="B543" s="433"/>
      <c r="C543" s="433"/>
      <c r="D543" s="433"/>
      <c r="E543" s="433"/>
      <c r="F543" s="434"/>
      <c r="G543" s="435"/>
      <c r="H543" s="433"/>
      <c r="I543" s="434"/>
      <c r="J543" s="434"/>
      <c r="K543" s="433"/>
      <c r="L543" s="433"/>
      <c r="M543" s="433"/>
      <c r="N543" s="433"/>
      <c r="O543" s="433"/>
      <c r="P543" s="433"/>
      <c r="Q543" s="433"/>
      <c r="R543" s="433"/>
      <c r="S543" s="433"/>
      <c r="T543" s="466"/>
      <c r="U543" s="433"/>
      <c r="V543" s="433"/>
      <c r="W543" s="433"/>
    </row>
    <row r="544" spans="2:23" ht="15" customHeight="1">
      <c r="B544" s="433"/>
      <c r="C544" s="433"/>
      <c r="D544" s="433"/>
      <c r="E544" s="433"/>
      <c r="F544" s="434"/>
      <c r="G544" s="435"/>
      <c r="H544" s="433"/>
      <c r="I544" s="434"/>
      <c r="J544" s="434"/>
      <c r="K544" s="433"/>
      <c r="L544" s="433"/>
      <c r="M544" s="433"/>
      <c r="N544" s="433"/>
      <c r="O544" s="433"/>
      <c r="P544" s="433"/>
      <c r="Q544" s="433"/>
      <c r="R544" s="433"/>
      <c r="S544" s="433"/>
      <c r="T544" s="466"/>
      <c r="U544" s="433"/>
      <c r="V544" s="433"/>
      <c r="W544" s="433"/>
    </row>
    <row r="545" spans="2:23" ht="15" customHeight="1">
      <c r="B545" s="433"/>
      <c r="C545" s="433"/>
      <c r="D545" s="433"/>
      <c r="E545" s="433"/>
      <c r="F545" s="434"/>
      <c r="G545" s="435"/>
      <c r="H545" s="433"/>
      <c r="I545" s="434"/>
      <c r="J545" s="434"/>
      <c r="K545" s="433"/>
      <c r="L545" s="433"/>
      <c r="M545" s="433"/>
      <c r="N545" s="433"/>
      <c r="O545" s="433"/>
      <c r="P545" s="433"/>
      <c r="Q545" s="433"/>
      <c r="R545" s="433"/>
      <c r="S545" s="433"/>
      <c r="T545" s="466"/>
      <c r="U545" s="433"/>
      <c r="V545" s="433"/>
      <c r="W545" s="433"/>
    </row>
    <row r="546" spans="2:23" ht="15" customHeight="1">
      <c r="B546" s="433"/>
      <c r="C546" s="433"/>
      <c r="D546" s="433"/>
      <c r="E546" s="433"/>
      <c r="F546" s="434"/>
      <c r="G546" s="435"/>
      <c r="H546" s="433"/>
      <c r="I546" s="434"/>
      <c r="J546" s="434"/>
      <c r="K546" s="433"/>
      <c r="L546" s="433"/>
      <c r="M546" s="433"/>
      <c r="N546" s="433"/>
      <c r="O546" s="433"/>
      <c r="P546" s="433"/>
      <c r="Q546" s="433"/>
      <c r="R546" s="433"/>
      <c r="S546" s="433"/>
      <c r="T546" s="466"/>
      <c r="U546" s="433"/>
      <c r="V546" s="433"/>
      <c r="W546" s="433"/>
    </row>
    <row r="547" spans="2:23" ht="15" customHeight="1">
      <c r="B547" s="433"/>
      <c r="C547" s="433"/>
      <c r="D547" s="433"/>
      <c r="E547" s="433"/>
      <c r="F547" s="434"/>
      <c r="G547" s="435"/>
      <c r="H547" s="433"/>
      <c r="I547" s="434"/>
      <c r="J547" s="434"/>
      <c r="K547" s="433"/>
      <c r="L547" s="433"/>
      <c r="M547" s="433"/>
      <c r="N547" s="433"/>
      <c r="O547" s="433"/>
      <c r="P547" s="433"/>
      <c r="Q547" s="433"/>
      <c r="R547" s="433"/>
      <c r="S547" s="433"/>
      <c r="T547" s="466"/>
      <c r="U547" s="433"/>
      <c r="V547" s="433"/>
      <c r="W547" s="433"/>
    </row>
    <row r="548" spans="2:23" ht="15" customHeight="1">
      <c r="B548" s="433"/>
      <c r="C548" s="433"/>
      <c r="D548" s="433"/>
      <c r="E548" s="433"/>
      <c r="F548" s="434"/>
      <c r="G548" s="435"/>
      <c r="H548" s="433"/>
      <c r="I548" s="434"/>
      <c r="J548" s="434"/>
      <c r="K548" s="433"/>
      <c r="L548" s="433"/>
      <c r="M548" s="433"/>
      <c r="N548" s="433"/>
      <c r="O548" s="433"/>
      <c r="P548" s="433"/>
      <c r="Q548" s="433"/>
      <c r="R548" s="433"/>
      <c r="S548" s="433"/>
      <c r="T548" s="466"/>
      <c r="U548" s="433"/>
      <c r="V548" s="433"/>
      <c r="W548" s="433"/>
    </row>
    <row r="549" spans="2:23" ht="15" customHeight="1">
      <c r="B549" s="433"/>
      <c r="C549" s="433"/>
      <c r="D549" s="433"/>
      <c r="E549" s="433"/>
      <c r="F549" s="434"/>
      <c r="G549" s="435"/>
      <c r="H549" s="433"/>
      <c r="I549" s="434"/>
      <c r="J549" s="434"/>
      <c r="K549" s="433"/>
      <c r="L549" s="433"/>
      <c r="M549" s="433"/>
      <c r="N549" s="433"/>
      <c r="O549" s="433"/>
      <c r="P549" s="433"/>
      <c r="Q549" s="433"/>
      <c r="R549" s="433"/>
      <c r="S549" s="433"/>
      <c r="T549" s="466"/>
      <c r="U549" s="433"/>
      <c r="V549" s="433"/>
      <c r="W549" s="433"/>
    </row>
    <row r="550" spans="2:23" ht="15" customHeight="1">
      <c r="B550" s="433"/>
      <c r="C550" s="433"/>
      <c r="D550" s="433"/>
      <c r="E550" s="433"/>
      <c r="F550" s="434"/>
      <c r="G550" s="435"/>
      <c r="H550" s="433"/>
      <c r="I550" s="434"/>
      <c r="J550" s="434"/>
      <c r="K550" s="433"/>
      <c r="L550" s="433"/>
      <c r="M550" s="433"/>
      <c r="N550" s="433"/>
      <c r="O550" s="433"/>
      <c r="P550" s="433"/>
      <c r="Q550" s="433"/>
      <c r="R550" s="433"/>
      <c r="S550" s="433"/>
      <c r="T550" s="466"/>
      <c r="U550" s="433"/>
      <c r="V550" s="433"/>
      <c r="W550" s="433"/>
    </row>
    <row r="551" spans="2:23" ht="15" customHeight="1">
      <c r="B551" s="433"/>
      <c r="C551" s="433"/>
      <c r="D551" s="433"/>
      <c r="E551" s="433"/>
      <c r="F551" s="434"/>
      <c r="G551" s="435"/>
      <c r="H551" s="433"/>
      <c r="I551" s="434"/>
      <c r="J551" s="434"/>
      <c r="K551" s="433"/>
      <c r="L551" s="433"/>
      <c r="M551" s="433"/>
      <c r="N551" s="433"/>
      <c r="O551" s="433"/>
      <c r="P551" s="433"/>
      <c r="Q551" s="433"/>
      <c r="R551" s="433"/>
      <c r="S551" s="433"/>
      <c r="T551" s="466"/>
      <c r="U551" s="433"/>
      <c r="V551" s="433"/>
      <c r="W551" s="433"/>
    </row>
    <row r="552" spans="2:23" ht="15" customHeight="1">
      <c r="B552" s="433"/>
      <c r="C552" s="433"/>
      <c r="D552" s="433"/>
      <c r="E552" s="433"/>
      <c r="F552" s="434"/>
      <c r="G552" s="435"/>
      <c r="H552" s="433"/>
      <c r="I552" s="434"/>
      <c r="J552" s="434"/>
      <c r="K552" s="433"/>
      <c r="L552" s="433"/>
      <c r="M552" s="433"/>
      <c r="N552" s="433"/>
      <c r="O552" s="433"/>
      <c r="P552" s="433"/>
      <c r="Q552" s="433"/>
      <c r="R552" s="433"/>
      <c r="S552" s="433"/>
      <c r="T552" s="466"/>
      <c r="U552" s="433"/>
      <c r="V552" s="433"/>
      <c r="W552" s="433"/>
    </row>
    <row r="553" spans="2:23" ht="15" customHeight="1">
      <c r="B553" s="433"/>
      <c r="C553" s="433"/>
      <c r="D553" s="433"/>
      <c r="E553" s="433"/>
      <c r="F553" s="434"/>
      <c r="G553" s="435"/>
      <c r="H553" s="433"/>
      <c r="I553" s="434"/>
      <c r="J553" s="434"/>
      <c r="K553" s="433"/>
      <c r="L553" s="433"/>
      <c r="M553" s="433"/>
      <c r="N553" s="433"/>
      <c r="O553" s="433"/>
      <c r="P553" s="433"/>
      <c r="Q553" s="433"/>
      <c r="R553" s="433"/>
      <c r="S553" s="433"/>
      <c r="T553" s="466"/>
      <c r="U553" s="433"/>
      <c r="V553" s="433"/>
      <c r="W553" s="433"/>
    </row>
    <row r="554" spans="2:23" ht="15" customHeight="1">
      <c r="B554" s="433"/>
      <c r="C554" s="433"/>
      <c r="D554" s="433"/>
      <c r="E554" s="433"/>
      <c r="F554" s="434"/>
      <c r="G554" s="435"/>
      <c r="H554" s="433"/>
      <c r="I554" s="434"/>
      <c r="J554" s="434"/>
      <c r="K554" s="433"/>
      <c r="L554" s="433"/>
      <c r="M554" s="433"/>
      <c r="N554" s="433"/>
      <c r="O554" s="433"/>
      <c r="P554" s="433"/>
      <c r="Q554" s="433"/>
      <c r="R554" s="433"/>
      <c r="S554" s="433"/>
      <c r="T554" s="466"/>
      <c r="U554" s="433"/>
      <c r="V554" s="433"/>
      <c r="W554" s="433"/>
    </row>
    <row r="555" spans="2:23" ht="15" customHeight="1">
      <c r="B555" s="433"/>
      <c r="C555" s="433"/>
      <c r="D555" s="433"/>
      <c r="E555" s="433"/>
      <c r="F555" s="434"/>
      <c r="G555" s="435"/>
      <c r="H555" s="433"/>
      <c r="I555" s="434"/>
      <c r="J555" s="434"/>
      <c r="K555" s="433"/>
      <c r="L555" s="433"/>
      <c r="M555" s="433"/>
      <c r="N555" s="433"/>
      <c r="O555" s="433"/>
      <c r="P555" s="433"/>
      <c r="Q555" s="433"/>
      <c r="R555" s="433"/>
      <c r="S555" s="433"/>
      <c r="T555" s="466"/>
      <c r="U555" s="433"/>
      <c r="V555" s="433"/>
      <c r="W555" s="433"/>
    </row>
    <row r="556" spans="2:23" ht="15" customHeight="1">
      <c r="B556" s="433"/>
      <c r="C556" s="433"/>
      <c r="D556" s="433"/>
      <c r="E556" s="433"/>
      <c r="F556" s="434"/>
      <c r="G556" s="435"/>
      <c r="H556" s="433"/>
      <c r="I556" s="434"/>
      <c r="J556" s="434"/>
      <c r="K556" s="433"/>
      <c r="L556" s="433"/>
      <c r="M556" s="433"/>
      <c r="N556" s="433"/>
      <c r="O556" s="433"/>
      <c r="P556" s="433"/>
      <c r="Q556" s="433"/>
      <c r="R556" s="433"/>
      <c r="S556" s="433"/>
      <c r="T556" s="466"/>
      <c r="U556" s="433"/>
      <c r="V556" s="433"/>
      <c r="W556" s="433"/>
    </row>
    <row r="557" spans="2:23" ht="15" customHeight="1">
      <c r="B557" s="433"/>
      <c r="C557" s="433"/>
      <c r="D557" s="433"/>
      <c r="E557" s="433"/>
      <c r="F557" s="434"/>
      <c r="G557" s="435"/>
      <c r="H557" s="433"/>
      <c r="I557" s="434"/>
      <c r="J557" s="434"/>
      <c r="K557" s="433"/>
      <c r="L557" s="433"/>
      <c r="M557" s="433"/>
      <c r="N557" s="433"/>
      <c r="O557" s="433"/>
      <c r="P557" s="433"/>
      <c r="Q557" s="433"/>
      <c r="R557" s="433"/>
      <c r="S557" s="433"/>
      <c r="T557" s="466"/>
      <c r="U557" s="433"/>
      <c r="V557" s="433"/>
      <c r="W557" s="433"/>
    </row>
    <row r="558" spans="2:23" ht="15" customHeight="1">
      <c r="B558" s="433"/>
      <c r="C558" s="433"/>
      <c r="D558" s="433"/>
      <c r="E558" s="433"/>
      <c r="F558" s="434"/>
      <c r="G558" s="435"/>
      <c r="H558" s="433"/>
      <c r="I558" s="434"/>
      <c r="J558" s="434"/>
      <c r="K558" s="433"/>
      <c r="L558" s="433"/>
      <c r="M558" s="433"/>
      <c r="N558" s="433"/>
      <c r="O558" s="433"/>
      <c r="P558" s="433"/>
      <c r="Q558" s="433"/>
      <c r="R558" s="433"/>
      <c r="S558" s="433"/>
      <c r="T558" s="466"/>
      <c r="U558" s="433"/>
      <c r="V558" s="433"/>
      <c r="W558" s="433"/>
    </row>
    <row r="559" spans="2:23" ht="15" customHeight="1">
      <c r="B559" s="433"/>
      <c r="C559" s="433"/>
      <c r="D559" s="433"/>
      <c r="E559" s="433"/>
      <c r="F559" s="434"/>
      <c r="G559" s="435"/>
      <c r="H559" s="433"/>
      <c r="I559" s="434"/>
      <c r="J559" s="434"/>
      <c r="K559" s="433"/>
      <c r="L559" s="433"/>
      <c r="M559" s="433"/>
      <c r="N559" s="433"/>
      <c r="O559" s="433"/>
      <c r="P559" s="433"/>
      <c r="Q559" s="433"/>
      <c r="R559" s="433"/>
      <c r="S559" s="433"/>
      <c r="T559" s="466"/>
      <c r="U559" s="433"/>
      <c r="V559" s="433"/>
      <c r="W559" s="433"/>
    </row>
    <row r="560" spans="2:23" ht="15" customHeight="1">
      <c r="B560" s="433"/>
      <c r="C560" s="433"/>
      <c r="D560" s="433"/>
      <c r="E560" s="433"/>
      <c r="F560" s="434"/>
      <c r="G560" s="435"/>
      <c r="H560" s="433"/>
      <c r="I560" s="434"/>
      <c r="J560" s="434"/>
      <c r="K560" s="433"/>
      <c r="L560" s="433"/>
      <c r="M560" s="433"/>
      <c r="N560" s="433"/>
      <c r="O560" s="433"/>
      <c r="P560" s="433"/>
      <c r="Q560" s="433"/>
      <c r="R560" s="433"/>
      <c r="S560" s="433"/>
      <c r="T560" s="466"/>
      <c r="U560" s="433"/>
      <c r="V560" s="433"/>
      <c r="W560" s="433"/>
    </row>
    <row r="561" spans="2:23" ht="15" customHeight="1">
      <c r="B561" s="433"/>
      <c r="C561" s="433"/>
      <c r="D561" s="433"/>
      <c r="E561" s="433"/>
      <c r="F561" s="434"/>
      <c r="G561" s="435"/>
      <c r="H561" s="433"/>
      <c r="I561" s="434"/>
      <c r="J561" s="434"/>
      <c r="K561" s="433"/>
      <c r="L561" s="433"/>
      <c r="M561" s="433"/>
      <c r="N561" s="433"/>
      <c r="O561" s="433"/>
      <c r="P561" s="433"/>
      <c r="Q561" s="433"/>
      <c r="R561" s="433"/>
      <c r="S561" s="433"/>
      <c r="T561" s="466"/>
      <c r="U561" s="433"/>
      <c r="V561" s="433"/>
      <c r="W561" s="433"/>
    </row>
    <row r="562" spans="2:23" ht="15" customHeight="1">
      <c r="B562" s="433"/>
      <c r="C562" s="433"/>
      <c r="D562" s="433"/>
      <c r="E562" s="433"/>
      <c r="F562" s="434"/>
      <c r="G562" s="435"/>
      <c r="H562" s="433"/>
      <c r="I562" s="434"/>
      <c r="J562" s="434"/>
      <c r="K562" s="433"/>
      <c r="L562" s="433"/>
      <c r="M562" s="433"/>
      <c r="N562" s="433"/>
      <c r="O562" s="433"/>
      <c r="P562" s="433"/>
      <c r="Q562" s="433"/>
      <c r="R562" s="433"/>
      <c r="S562" s="433"/>
      <c r="T562" s="466"/>
      <c r="U562" s="433"/>
      <c r="V562" s="433"/>
      <c r="W562" s="433"/>
    </row>
    <row r="563" spans="2:23" ht="15" customHeight="1">
      <c r="B563" s="433"/>
      <c r="C563" s="433"/>
      <c r="D563" s="433"/>
      <c r="E563" s="433"/>
      <c r="F563" s="434"/>
      <c r="G563" s="435"/>
      <c r="H563" s="433"/>
      <c r="I563" s="434"/>
      <c r="J563" s="434"/>
      <c r="K563" s="433"/>
      <c r="L563" s="433"/>
      <c r="M563" s="433"/>
      <c r="N563" s="433"/>
      <c r="O563" s="433"/>
      <c r="P563" s="433"/>
      <c r="Q563" s="433"/>
      <c r="R563" s="433"/>
      <c r="S563" s="433"/>
      <c r="T563" s="466"/>
      <c r="U563" s="433"/>
      <c r="V563" s="433"/>
      <c r="W563" s="433"/>
    </row>
    <row r="564" spans="2:23" ht="15" customHeight="1">
      <c r="B564" s="433"/>
      <c r="C564" s="433"/>
      <c r="D564" s="433"/>
      <c r="E564" s="433"/>
      <c r="F564" s="434"/>
      <c r="G564" s="435"/>
      <c r="H564" s="433"/>
      <c r="I564" s="434"/>
      <c r="J564" s="434"/>
      <c r="K564" s="433"/>
      <c r="L564" s="433"/>
      <c r="M564" s="433"/>
      <c r="N564" s="433"/>
      <c r="O564" s="433"/>
      <c r="P564" s="433"/>
      <c r="Q564" s="433"/>
      <c r="R564" s="433"/>
      <c r="S564" s="433"/>
      <c r="T564" s="466"/>
      <c r="U564" s="433"/>
      <c r="V564" s="433"/>
      <c r="W564" s="433"/>
    </row>
    <row r="565" spans="2:23" ht="15" customHeight="1">
      <c r="B565" s="433"/>
      <c r="C565" s="433"/>
      <c r="D565" s="433"/>
      <c r="E565" s="433"/>
      <c r="F565" s="434"/>
      <c r="G565" s="435"/>
      <c r="H565" s="433"/>
      <c r="I565" s="434"/>
      <c r="J565" s="434"/>
      <c r="K565" s="433"/>
      <c r="L565" s="433"/>
      <c r="M565" s="433"/>
      <c r="N565" s="433"/>
      <c r="O565" s="433"/>
      <c r="P565" s="433"/>
      <c r="Q565" s="433"/>
      <c r="R565" s="433"/>
      <c r="S565" s="433"/>
      <c r="T565" s="466"/>
      <c r="U565" s="433"/>
      <c r="V565" s="433"/>
      <c r="W565" s="433"/>
    </row>
    <row r="566" spans="2:23" ht="15" customHeight="1">
      <c r="B566" s="433"/>
      <c r="C566" s="433"/>
      <c r="D566" s="433"/>
      <c r="E566" s="433"/>
      <c r="F566" s="434"/>
      <c r="G566" s="435"/>
      <c r="H566" s="433"/>
      <c r="J566" s="434"/>
      <c r="K566" s="433"/>
      <c r="L566" s="433"/>
      <c r="M566" s="433"/>
      <c r="N566" s="433"/>
      <c r="O566" s="433"/>
      <c r="P566" s="433"/>
      <c r="Q566" s="433"/>
      <c r="R566" s="433"/>
      <c r="S566" s="433"/>
      <c r="T566" s="466"/>
      <c r="U566" s="433"/>
      <c r="V566" s="433"/>
      <c r="W566" s="433"/>
    </row>
    <row r="567" spans="2:23" ht="15" customHeight="1">
      <c r="B567" s="433"/>
      <c r="C567" s="433"/>
      <c r="D567" s="433"/>
      <c r="E567" s="433"/>
      <c r="F567" s="434"/>
      <c r="G567" s="435"/>
      <c r="H567" s="433"/>
      <c r="J567" s="434"/>
      <c r="K567" s="433"/>
      <c r="L567" s="433"/>
      <c r="M567" s="433"/>
      <c r="N567" s="433"/>
      <c r="O567" s="433"/>
      <c r="P567" s="433"/>
      <c r="Q567" s="433"/>
      <c r="R567" s="433"/>
      <c r="S567" s="433"/>
      <c r="T567" s="466"/>
      <c r="U567" s="433"/>
      <c r="V567" s="433"/>
      <c r="W567" s="433"/>
    </row>
    <row r="568" spans="2:23" ht="15" customHeight="1">
      <c r="B568" s="433"/>
      <c r="C568" s="433"/>
      <c r="D568" s="433"/>
      <c r="E568" s="433"/>
      <c r="F568" s="434"/>
      <c r="G568" s="435"/>
      <c r="H568" s="433"/>
      <c r="J568" s="434"/>
      <c r="K568" s="433"/>
      <c r="L568" s="433"/>
      <c r="M568" s="433"/>
      <c r="N568" s="433"/>
      <c r="O568" s="433"/>
      <c r="P568" s="433"/>
      <c r="Q568" s="433"/>
      <c r="R568" s="433"/>
      <c r="S568" s="433"/>
      <c r="T568" s="466"/>
      <c r="U568" s="433"/>
      <c r="V568" s="433"/>
      <c r="W568" s="433"/>
    </row>
    <row r="569" spans="2:23" ht="15" customHeight="1">
      <c r="B569" s="433"/>
      <c r="C569" s="433"/>
      <c r="D569" s="433"/>
      <c r="E569" s="433"/>
      <c r="F569" s="434"/>
      <c r="G569" s="435"/>
      <c r="H569" s="433"/>
      <c r="J569" s="434"/>
      <c r="K569" s="433"/>
      <c r="L569" s="433"/>
      <c r="M569" s="433"/>
      <c r="N569" s="433"/>
      <c r="O569" s="433"/>
      <c r="P569" s="433"/>
      <c r="Q569" s="433"/>
      <c r="R569" s="433"/>
      <c r="S569" s="433"/>
      <c r="T569" s="466"/>
      <c r="U569" s="433"/>
      <c r="V569" s="433"/>
      <c r="W569" s="433"/>
    </row>
    <row r="570" spans="2:23" ht="15" customHeight="1">
      <c r="B570" s="433"/>
      <c r="C570" s="433"/>
      <c r="D570" s="433"/>
      <c r="E570" s="433"/>
      <c r="F570" s="434"/>
      <c r="G570" s="435"/>
      <c r="H570" s="433"/>
      <c r="J570" s="434"/>
      <c r="K570" s="433"/>
      <c r="L570" s="433"/>
      <c r="M570" s="433"/>
      <c r="N570" s="433"/>
      <c r="O570" s="433"/>
      <c r="P570" s="433"/>
      <c r="Q570" s="433"/>
      <c r="R570" s="433"/>
      <c r="S570" s="433"/>
      <c r="T570" s="466"/>
      <c r="U570" s="433"/>
      <c r="V570" s="433"/>
      <c r="W570" s="433"/>
    </row>
    <row r="571" spans="2:23" ht="15" customHeight="1">
      <c r="B571" s="433"/>
      <c r="C571" s="433"/>
      <c r="D571" s="433"/>
      <c r="E571" s="433"/>
      <c r="F571" s="434"/>
      <c r="G571" s="435"/>
      <c r="H571" s="433"/>
      <c r="J571" s="434"/>
      <c r="K571" s="433"/>
      <c r="L571" s="433"/>
      <c r="M571" s="433"/>
      <c r="N571" s="433"/>
      <c r="O571" s="433"/>
      <c r="P571" s="433"/>
      <c r="Q571" s="433"/>
      <c r="R571" s="433"/>
      <c r="S571" s="433"/>
      <c r="T571" s="466"/>
      <c r="U571" s="433"/>
      <c r="V571" s="433"/>
      <c r="W571" s="433"/>
    </row>
    <row r="572" spans="2:23" ht="15" customHeight="1">
      <c r="B572" s="433"/>
      <c r="C572" s="433"/>
      <c r="D572" s="433"/>
      <c r="E572" s="433"/>
      <c r="F572" s="434"/>
      <c r="G572" s="435"/>
      <c r="H572" s="433"/>
      <c r="J572" s="434"/>
      <c r="K572" s="433"/>
      <c r="L572" s="433"/>
      <c r="M572" s="433"/>
      <c r="N572" s="433"/>
      <c r="O572" s="433"/>
      <c r="P572" s="433"/>
      <c r="Q572" s="433"/>
      <c r="R572" s="433"/>
      <c r="S572" s="433"/>
      <c r="T572" s="466"/>
      <c r="U572" s="433"/>
      <c r="V572" s="433"/>
      <c r="W572" s="433"/>
    </row>
    <row r="573" spans="2:23" ht="15" customHeight="1">
      <c r="B573" s="433"/>
      <c r="C573" s="433"/>
      <c r="D573" s="433"/>
      <c r="E573" s="433"/>
      <c r="F573" s="434"/>
      <c r="G573" s="435"/>
      <c r="H573" s="433"/>
      <c r="J573" s="434"/>
      <c r="K573" s="433"/>
      <c r="L573" s="433"/>
      <c r="M573" s="433"/>
      <c r="N573" s="433"/>
      <c r="O573" s="433"/>
      <c r="P573" s="433"/>
      <c r="Q573" s="433"/>
      <c r="R573" s="433"/>
      <c r="S573" s="433"/>
      <c r="T573" s="466"/>
      <c r="U573" s="433"/>
      <c r="V573" s="433"/>
      <c r="W573" s="433"/>
    </row>
    <row r="574" spans="2:23" ht="15" customHeight="1">
      <c r="B574" s="433"/>
      <c r="C574" s="433"/>
      <c r="D574" s="433"/>
      <c r="E574" s="433"/>
      <c r="F574" s="434"/>
      <c r="G574" s="435"/>
      <c r="H574" s="433"/>
      <c r="J574" s="434"/>
      <c r="K574" s="433"/>
      <c r="L574" s="433"/>
      <c r="M574" s="433"/>
      <c r="N574" s="433"/>
      <c r="O574" s="433"/>
      <c r="P574" s="433"/>
      <c r="Q574" s="433"/>
      <c r="R574" s="433"/>
      <c r="S574" s="433"/>
      <c r="T574" s="466"/>
      <c r="U574" s="433"/>
      <c r="V574" s="433"/>
      <c r="W574" s="433"/>
    </row>
    <row r="575" spans="2:23" ht="15" customHeight="1">
      <c r="B575" s="433"/>
      <c r="C575" s="433"/>
      <c r="D575" s="433"/>
      <c r="E575" s="433"/>
      <c r="F575" s="434"/>
      <c r="G575" s="435"/>
      <c r="H575" s="433"/>
      <c r="J575" s="434"/>
      <c r="K575" s="433"/>
      <c r="L575" s="433"/>
      <c r="M575" s="433"/>
      <c r="N575" s="433"/>
      <c r="O575" s="433"/>
      <c r="P575" s="433"/>
      <c r="Q575" s="433"/>
      <c r="R575" s="433"/>
      <c r="S575" s="433"/>
      <c r="T575" s="466"/>
      <c r="U575" s="433"/>
      <c r="V575" s="433"/>
      <c r="W575" s="433"/>
    </row>
    <row r="576" spans="2:23" ht="15" customHeight="1">
      <c r="B576" s="433"/>
      <c r="C576" s="433"/>
      <c r="D576" s="433"/>
      <c r="E576" s="433"/>
      <c r="F576" s="434"/>
      <c r="G576" s="435"/>
      <c r="H576" s="433"/>
      <c r="J576" s="434"/>
      <c r="K576" s="433"/>
      <c r="L576" s="433"/>
      <c r="M576" s="433"/>
      <c r="N576" s="433"/>
      <c r="O576" s="433"/>
      <c r="P576" s="433"/>
      <c r="Q576" s="433"/>
      <c r="R576" s="433"/>
      <c r="S576" s="433"/>
      <c r="T576" s="466"/>
      <c r="U576" s="433"/>
      <c r="V576" s="433"/>
      <c r="W576" s="433"/>
    </row>
    <row r="577" spans="2:23" ht="15" customHeight="1">
      <c r="B577" s="433"/>
      <c r="C577" s="433"/>
      <c r="D577" s="433"/>
      <c r="E577" s="433"/>
      <c r="F577" s="434"/>
      <c r="G577" s="435"/>
      <c r="H577" s="433"/>
      <c r="J577" s="434"/>
      <c r="K577" s="433"/>
      <c r="L577" s="433"/>
      <c r="M577" s="433"/>
      <c r="N577" s="433"/>
      <c r="O577" s="433"/>
      <c r="P577" s="433"/>
      <c r="Q577" s="433"/>
      <c r="R577" s="433"/>
      <c r="S577" s="433"/>
      <c r="T577" s="466"/>
      <c r="U577" s="433"/>
      <c r="V577" s="433"/>
      <c r="W577" s="433"/>
    </row>
    <row r="578" spans="2:23" ht="15" customHeight="1">
      <c r="B578" s="433"/>
      <c r="C578" s="433"/>
      <c r="D578" s="433"/>
      <c r="E578" s="433"/>
      <c r="F578" s="434"/>
      <c r="G578" s="435"/>
      <c r="H578" s="433"/>
      <c r="J578" s="434"/>
      <c r="K578" s="433"/>
      <c r="L578" s="433"/>
      <c r="M578" s="433"/>
      <c r="N578" s="433"/>
      <c r="O578" s="433"/>
      <c r="P578" s="433"/>
      <c r="Q578" s="433"/>
      <c r="R578" s="433"/>
      <c r="S578" s="433"/>
      <c r="T578" s="466"/>
      <c r="U578" s="433"/>
      <c r="V578" s="433"/>
      <c r="W578" s="433"/>
    </row>
    <row r="579" spans="2:23" ht="15" customHeight="1">
      <c r="B579" s="433"/>
      <c r="C579" s="433"/>
      <c r="D579" s="433"/>
      <c r="E579" s="433"/>
      <c r="F579" s="434"/>
      <c r="G579" s="435"/>
      <c r="H579" s="433"/>
      <c r="J579" s="434"/>
      <c r="K579" s="433"/>
      <c r="L579" s="433"/>
      <c r="M579" s="433"/>
      <c r="N579" s="433"/>
      <c r="O579" s="433"/>
      <c r="P579" s="433"/>
      <c r="Q579" s="433"/>
      <c r="R579" s="433"/>
      <c r="S579" s="433"/>
      <c r="T579" s="466"/>
      <c r="U579" s="433"/>
      <c r="V579" s="433"/>
      <c r="W579" s="433"/>
    </row>
    <row r="580" spans="2:23" ht="15" customHeight="1">
      <c r="B580" s="433"/>
      <c r="C580" s="433"/>
      <c r="D580" s="433"/>
      <c r="E580" s="433"/>
      <c r="F580" s="434"/>
      <c r="G580" s="435"/>
      <c r="H580" s="433"/>
      <c r="J580" s="434"/>
      <c r="K580" s="433"/>
      <c r="L580" s="433"/>
      <c r="M580" s="433"/>
      <c r="N580" s="433"/>
      <c r="O580" s="433"/>
      <c r="P580" s="433"/>
      <c r="Q580" s="433"/>
      <c r="R580" s="433"/>
      <c r="S580" s="433"/>
      <c r="T580" s="466"/>
      <c r="U580" s="433"/>
      <c r="V580" s="433"/>
      <c r="W580" s="433"/>
    </row>
    <row r="581" spans="2:23" ht="15" customHeight="1">
      <c r="B581" s="433"/>
      <c r="C581" s="433"/>
      <c r="D581" s="433"/>
      <c r="E581" s="433"/>
      <c r="F581" s="434"/>
      <c r="G581" s="435"/>
      <c r="H581" s="433"/>
      <c r="J581" s="434"/>
      <c r="K581" s="433"/>
      <c r="L581" s="433"/>
      <c r="M581" s="433"/>
      <c r="N581" s="433"/>
      <c r="O581" s="433"/>
      <c r="P581" s="433"/>
      <c r="Q581" s="433"/>
      <c r="R581" s="433"/>
      <c r="S581" s="433"/>
      <c r="T581" s="466"/>
      <c r="U581" s="433"/>
      <c r="V581" s="433"/>
      <c r="W581" s="433"/>
    </row>
    <row r="582" spans="2:23" ht="15" customHeight="1">
      <c r="B582" s="433"/>
      <c r="C582" s="433"/>
      <c r="D582" s="433"/>
      <c r="E582" s="433"/>
      <c r="F582" s="434"/>
      <c r="G582" s="435"/>
      <c r="H582" s="433"/>
      <c r="J582" s="434"/>
      <c r="K582" s="433"/>
      <c r="L582" s="433"/>
      <c r="M582" s="433"/>
      <c r="N582" s="433"/>
      <c r="O582" s="433"/>
      <c r="P582" s="433"/>
      <c r="Q582" s="433"/>
      <c r="R582" s="433"/>
      <c r="S582" s="433"/>
      <c r="T582" s="466"/>
      <c r="U582" s="433"/>
      <c r="V582" s="433"/>
      <c r="W582" s="433"/>
    </row>
    <row r="583" spans="2:23" ht="15" customHeight="1">
      <c r="B583" s="433"/>
      <c r="C583" s="433"/>
      <c r="D583" s="433"/>
      <c r="E583" s="433"/>
      <c r="F583" s="434"/>
      <c r="G583" s="435"/>
      <c r="H583" s="433"/>
      <c r="J583" s="434"/>
      <c r="K583" s="433"/>
      <c r="L583" s="433"/>
      <c r="M583" s="433"/>
      <c r="N583" s="433"/>
      <c r="O583" s="433"/>
      <c r="P583" s="433"/>
      <c r="Q583" s="433"/>
      <c r="R583" s="433"/>
      <c r="S583" s="433"/>
      <c r="T583" s="466"/>
      <c r="U583" s="433"/>
      <c r="V583" s="433"/>
      <c r="W583" s="433"/>
    </row>
    <row r="584" spans="2:23" ht="15" customHeight="1">
      <c r="B584" s="433"/>
      <c r="C584" s="433"/>
      <c r="D584" s="433"/>
      <c r="E584" s="433"/>
      <c r="F584" s="434"/>
      <c r="G584" s="435"/>
      <c r="H584" s="433"/>
      <c r="J584" s="434"/>
      <c r="K584" s="433"/>
      <c r="L584" s="433"/>
      <c r="M584" s="433"/>
      <c r="N584" s="433"/>
      <c r="O584" s="433"/>
      <c r="P584" s="433"/>
      <c r="Q584" s="433"/>
      <c r="R584" s="433"/>
      <c r="S584" s="433"/>
      <c r="T584" s="466"/>
      <c r="U584" s="433"/>
      <c r="V584" s="433"/>
      <c r="W584" s="433"/>
    </row>
    <row r="585" spans="2:23" ht="15" customHeight="1">
      <c r="B585" s="433"/>
      <c r="C585" s="433"/>
      <c r="D585" s="433"/>
      <c r="E585" s="433"/>
      <c r="F585" s="434"/>
      <c r="G585" s="435"/>
      <c r="H585" s="433"/>
      <c r="J585" s="434"/>
      <c r="K585" s="433"/>
      <c r="L585" s="433"/>
      <c r="M585" s="433"/>
      <c r="N585" s="433"/>
      <c r="O585" s="433"/>
      <c r="P585" s="433"/>
      <c r="Q585" s="433"/>
      <c r="R585" s="433"/>
      <c r="S585" s="433"/>
      <c r="T585" s="466"/>
      <c r="U585" s="433"/>
      <c r="V585" s="433"/>
      <c r="W585" s="433"/>
    </row>
    <row r="586" spans="2:23" ht="15" customHeight="1">
      <c r="B586" s="433"/>
      <c r="C586" s="433"/>
      <c r="D586" s="433"/>
      <c r="E586" s="433"/>
      <c r="F586" s="434"/>
      <c r="G586" s="435"/>
      <c r="H586" s="433"/>
      <c r="J586" s="434"/>
      <c r="K586" s="433"/>
      <c r="L586" s="433"/>
      <c r="M586" s="433"/>
      <c r="N586" s="433"/>
      <c r="O586" s="433"/>
      <c r="P586" s="433"/>
      <c r="Q586" s="433"/>
      <c r="R586" s="433"/>
      <c r="S586" s="433"/>
      <c r="T586" s="466"/>
      <c r="U586" s="433"/>
      <c r="V586" s="433"/>
      <c r="W586" s="433"/>
    </row>
    <row r="587" spans="2:23" ht="15" customHeight="1">
      <c r="B587" s="433"/>
      <c r="C587" s="433"/>
      <c r="D587" s="433"/>
      <c r="E587" s="433"/>
      <c r="F587" s="434"/>
      <c r="G587" s="435"/>
      <c r="H587" s="433"/>
      <c r="J587" s="434"/>
      <c r="K587" s="433"/>
      <c r="L587" s="433"/>
      <c r="M587" s="433"/>
      <c r="N587" s="433"/>
      <c r="O587" s="433"/>
      <c r="P587" s="433"/>
      <c r="Q587" s="433"/>
      <c r="R587" s="433"/>
      <c r="S587" s="433"/>
      <c r="T587" s="466"/>
      <c r="U587" s="433"/>
      <c r="V587" s="433"/>
      <c r="W587" s="433"/>
    </row>
    <row r="588" spans="2:23" ht="15" customHeight="1">
      <c r="B588" s="433"/>
      <c r="C588" s="433"/>
      <c r="D588" s="433"/>
      <c r="E588" s="433"/>
      <c r="F588" s="434"/>
      <c r="G588" s="435"/>
      <c r="H588" s="433"/>
      <c r="J588" s="434"/>
      <c r="K588" s="433"/>
      <c r="L588" s="433"/>
      <c r="M588" s="433"/>
      <c r="N588" s="433"/>
      <c r="O588" s="433"/>
      <c r="P588" s="433"/>
      <c r="Q588" s="433"/>
      <c r="R588" s="433"/>
      <c r="S588" s="433"/>
      <c r="T588" s="466"/>
      <c r="U588" s="433"/>
      <c r="V588" s="433"/>
      <c r="W588" s="433"/>
    </row>
    <row r="589" spans="2:23" ht="15" customHeight="1">
      <c r="B589" s="433"/>
      <c r="C589" s="433"/>
      <c r="D589" s="433"/>
      <c r="E589" s="433"/>
      <c r="F589" s="434"/>
      <c r="G589" s="435"/>
      <c r="H589" s="433"/>
      <c r="J589" s="434"/>
      <c r="K589" s="433"/>
      <c r="L589" s="433"/>
      <c r="M589" s="433"/>
      <c r="N589" s="433"/>
      <c r="O589" s="433"/>
      <c r="P589" s="433"/>
      <c r="Q589" s="433"/>
      <c r="R589" s="433"/>
      <c r="S589" s="433"/>
      <c r="T589" s="466"/>
      <c r="U589" s="433"/>
      <c r="V589" s="433"/>
      <c r="W589" s="433"/>
    </row>
    <row r="590" spans="2:23" ht="15" customHeight="1">
      <c r="B590" s="433"/>
      <c r="C590" s="433"/>
      <c r="D590" s="433"/>
      <c r="E590" s="433"/>
      <c r="F590" s="434"/>
      <c r="G590" s="435"/>
      <c r="H590" s="433"/>
      <c r="J590" s="434"/>
      <c r="K590" s="433"/>
      <c r="L590" s="433"/>
      <c r="M590" s="433"/>
      <c r="N590" s="433"/>
      <c r="O590" s="433"/>
      <c r="P590" s="433"/>
      <c r="Q590" s="433"/>
      <c r="R590" s="433"/>
      <c r="S590" s="433"/>
      <c r="T590" s="466"/>
      <c r="U590" s="433"/>
      <c r="V590" s="433"/>
      <c r="W590" s="433"/>
    </row>
    <row r="591" spans="2:23" ht="15" customHeight="1">
      <c r="B591" s="433"/>
      <c r="C591" s="433"/>
      <c r="D591" s="433"/>
      <c r="E591" s="433"/>
      <c r="F591" s="434"/>
      <c r="G591" s="435"/>
      <c r="H591" s="433"/>
      <c r="J591" s="434"/>
      <c r="K591" s="433"/>
      <c r="L591" s="433"/>
      <c r="M591" s="433"/>
      <c r="N591" s="433"/>
      <c r="O591" s="433"/>
      <c r="P591" s="433"/>
      <c r="Q591" s="433"/>
      <c r="R591" s="433"/>
      <c r="S591" s="433"/>
      <c r="T591" s="466"/>
      <c r="U591" s="433"/>
      <c r="V591" s="433"/>
      <c r="W591" s="433"/>
    </row>
    <row r="592" spans="2:23" ht="15" customHeight="1">
      <c r="B592" s="433"/>
      <c r="C592" s="433"/>
      <c r="D592" s="433"/>
      <c r="E592" s="433"/>
      <c r="F592" s="434"/>
      <c r="G592" s="435"/>
      <c r="H592" s="433"/>
      <c r="J592" s="434"/>
      <c r="K592" s="433"/>
      <c r="L592" s="433"/>
      <c r="M592" s="433"/>
      <c r="N592" s="433"/>
      <c r="O592" s="433"/>
      <c r="P592" s="433"/>
      <c r="Q592" s="433"/>
      <c r="R592" s="433"/>
      <c r="S592" s="433"/>
      <c r="T592" s="466"/>
      <c r="U592" s="433"/>
      <c r="V592" s="433"/>
      <c r="W592" s="433"/>
    </row>
    <row r="593" spans="2:23" ht="15" customHeight="1">
      <c r="B593" s="433"/>
      <c r="C593" s="433"/>
      <c r="D593" s="433"/>
      <c r="E593" s="433"/>
      <c r="F593" s="434"/>
      <c r="G593" s="435"/>
      <c r="H593" s="433"/>
      <c r="J593" s="434"/>
      <c r="K593" s="433"/>
      <c r="L593" s="433"/>
      <c r="M593" s="433"/>
      <c r="N593" s="433"/>
      <c r="O593" s="433"/>
      <c r="P593" s="433"/>
      <c r="Q593" s="433"/>
      <c r="R593" s="433"/>
      <c r="S593" s="433"/>
      <c r="T593" s="466"/>
      <c r="U593" s="433"/>
      <c r="V593" s="433"/>
      <c r="W593" s="433"/>
    </row>
    <row r="594" spans="2:23" ht="15" customHeight="1">
      <c r="B594" s="433"/>
      <c r="C594" s="433"/>
      <c r="D594" s="433"/>
      <c r="E594" s="433"/>
      <c r="F594" s="434"/>
      <c r="G594" s="435"/>
      <c r="H594" s="433"/>
      <c r="J594" s="434"/>
      <c r="K594" s="433"/>
      <c r="L594" s="433"/>
      <c r="M594" s="433"/>
      <c r="N594" s="433"/>
      <c r="O594" s="433"/>
      <c r="P594" s="433"/>
      <c r="Q594" s="433"/>
      <c r="R594" s="433"/>
      <c r="S594" s="433"/>
      <c r="T594" s="466"/>
      <c r="U594" s="433"/>
      <c r="V594" s="433"/>
      <c r="W594" s="433"/>
    </row>
    <row r="595" spans="2:23" ht="15" customHeight="1">
      <c r="B595" s="433"/>
      <c r="C595" s="433"/>
      <c r="D595" s="433"/>
      <c r="E595" s="433"/>
      <c r="F595" s="434"/>
      <c r="G595" s="435"/>
      <c r="H595" s="433"/>
      <c r="J595" s="434"/>
      <c r="K595" s="433"/>
      <c r="L595" s="433"/>
      <c r="M595" s="433"/>
      <c r="N595" s="433"/>
      <c r="O595" s="433"/>
      <c r="P595" s="433"/>
      <c r="Q595" s="433"/>
      <c r="R595" s="433"/>
      <c r="S595" s="433"/>
      <c r="T595" s="466"/>
      <c r="U595" s="433"/>
      <c r="V595" s="433"/>
      <c r="W595" s="433"/>
    </row>
    <row r="596" spans="2:23" ht="15" customHeight="1">
      <c r="B596" s="433"/>
      <c r="C596" s="433"/>
      <c r="D596" s="433"/>
      <c r="E596" s="433"/>
      <c r="F596" s="434"/>
      <c r="G596" s="435"/>
      <c r="H596" s="433"/>
      <c r="J596" s="434"/>
      <c r="K596" s="433"/>
      <c r="L596" s="433"/>
      <c r="M596" s="433"/>
      <c r="N596" s="433"/>
      <c r="O596" s="433"/>
      <c r="P596" s="433"/>
      <c r="Q596" s="433"/>
      <c r="R596" s="433"/>
      <c r="S596" s="433"/>
      <c r="T596" s="466"/>
      <c r="U596" s="433"/>
      <c r="V596" s="433"/>
      <c r="W596" s="433"/>
    </row>
    <row r="597" spans="2:23" ht="15" customHeight="1">
      <c r="B597" s="433"/>
      <c r="C597" s="433"/>
      <c r="D597" s="433"/>
      <c r="E597" s="433"/>
      <c r="F597" s="434"/>
      <c r="G597" s="435"/>
      <c r="H597" s="433"/>
      <c r="J597" s="434"/>
      <c r="K597" s="433"/>
      <c r="L597" s="433"/>
      <c r="M597" s="433"/>
      <c r="N597" s="433"/>
      <c r="O597" s="433"/>
      <c r="P597" s="433"/>
      <c r="Q597" s="433"/>
      <c r="R597" s="433"/>
      <c r="S597" s="433"/>
      <c r="T597" s="466"/>
      <c r="U597" s="433"/>
      <c r="V597" s="433"/>
      <c r="W597" s="433"/>
    </row>
    <row r="598" spans="2:23" ht="15" customHeight="1">
      <c r="B598" s="433"/>
      <c r="C598" s="433"/>
      <c r="D598" s="433"/>
      <c r="E598" s="433"/>
      <c r="F598" s="434"/>
      <c r="G598" s="435"/>
      <c r="H598" s="433"/>
      <c r="J598" s="434"/>
      <c r="K598" s="433"/>
      <c r="L598" s="433"/>
      <c r="M598" s="433"/>
      <c r="N598" s="433"/>
      <c r="O598" s="433"/>
      <c r="P598" s="433"/>
      <c r="Q598" s="433"/>
      <c r="R598" s="433"/>
      <c r="S598" s="433"/>
      <c r="T598" s="466"/>
      <c r="U598" s="433"/>
      <c r="V598" s="433"/>
      <c r="W598" s="433"/>
    </row>
    <row r="599" spans="2:23" ht="15" customHeight="1">
      <c r="B599" s="433"/>
      <c r="C599" s="433"/>
      <c r="D599" s="433"/>
      <c r="E599" s="433"/>
      <c r="F599" s="434"/>
      <c r="G599" s="435"/>
      <c r="H599" s="433"/>
      <c r="J599" s="434"/>
      <c r="K599" s="433"/>
      <c r="L599" s="433"/>
      <c r="M599" s="433"/>
      <c r="N599" s="433"/>
      <c r="O599" s="433"/>
      <c r="P599" s="433"/>
      <c r="Q599" s="433"/>
      <c r="R599" s="433"/>
      <c r="S599" s="433"/>
      <c r="T599" s="466"/>
      <c r="U599" s="433"/>
      <c r="V599" s="433"/>
      <c r="W599" s="433"/>
    </row>
    <row r="600" spans="2:23" ht="15" customHeight="1">
      <c r="B600" s="433"/>
      <c r="C600" s="433"/>
      <c r="D600" s="433"/>
      <c r="E600" s="433"/>
      <c r="F600" s="434"/>
      <c r="G600" s="435"/>
      <c r="H600" s="433"/>
      <c r="J600" s="434"/>
      <c r="K600" s="433"/>
      <c r="L600" s="433"/>
      <c r="M600" s="433"/>
      <c r="N600" s="433"/>
      <c r="O600" s="433"/>
      <c r="P600" s="433"/>
      <c r="Q600" s="433"/>
      <c r="R600" s="433"/>
      <c r="S600" s="433"/>
      <c r="T600" s="466"/>
      <c r="U600" s="433"/>
      <c r="V600" s="433"/>
      <c r="W600" s="433"/>
    </row>
    <row r="601" spans="2:23" ht="15" customHeight="1">
      <c r="B601" s="433"/>
      <c r="C601" s="433"/>
      <c r="D601" s="433"/>
      <c r="E601" s="433"/>
      <c r="F601" s="434"/>
      <c r="G601" s="435"/>
      <c r="H601" s="433"/>
      <c r="J601" s="434"/>
      <c r="K601" s="433"/>
      <c r="L601" s="433"/>
      <c r="M601" s="433"/>
      <c r="N601" s="433"/>
      <c r="O601" s="433"/>
      <c r="P601" s="433"/>
      <c r="Q601" s="433"/>
      <c r="R601" s="433"/>
      <c r="S601" s="433"/>
      <c r="T601" s="466"/>
      <c r="U601" s="433"/>
      <c r="V601" s="433"/>
      <c r="W601" s="433"/>
    </row>
    <row r="602" spans="2:23" ht="15" customHeight="1">
      <c r="B602" s="433"/>
      <c r="C602" s="433"/>
      <c r="D602" s="433"/>
      <c r="E602" s="433"/>
      <c r="F602" s="434"/>
      <c r="G602" s="435"/>
      <c r="H602" s="433"/>
      <c r="J602" s="434"/>
      <c r="K602" s="433"/>
      <c r="L602" s="433"/>
      <c r="M602" s="433"/>
      <c r="N602" s="433"/>
      <c r="O602" s="433"/>
      <c r="P602" s="433"/>
      <c r="Q602" s="433"/>
      <c r="R602" s="433"/>
      <c r="S602" s="433"/>
      <c r="T602" s="466"/>
      <c r="U602" s="433"/>
      <c r="V602" s="433"/>
      <c r="W602" s="433"/>
    </row>
    <row r="603" spans="2:23" ht="15" customHeight="1">
      <c r="B603" s="433"/>
      <c r="C603" s="433"/>
      <c r="D603" s="433"/>
      <c r="E603" s="433"/>
      <c r="F603" s="434"/>
      <c r="G603" s="435"/>
      <c r="H603" s="433"/>
      <c r="J603" s="434"/>
      <c r="K603" s="433"/>
      <c r="L603" s="433"/>
      <c r="M603" s="433"/>
      <c r="N603" s="433"/>
      <c r="O603" s="433"/>
      <c r="P603" s="433"/>
      <c r="Q603" s="433"/>
      <c r="R603" s="433"/>
      <c r="S603" s="433"/>
      <c r="T603" s="466"/>
      <c r="U603" s="433"/>
      <c r="V603" s="433"/>
      <c r="W603" s="433"/>
    </row>
    <row r="604" spans="2:23" ht="15" customHeight="1">
      <c r="B604" s="433"/>
      <c r="C604" s="433"/>
      <c r="D604" s="433"/>
      <c r="E604" s="433"/>
      <c r="F604" s="434"/>
      <c r="G604" s="435"/>
      <c r="H604" s="433"/>
      <c r="J604" s="434"/>
      <c r="K604" s="433"/>
      <c r="L604" s="433"/>
      <c r="M604" s="433"/>
      <c r="N604" s="433"/>
      <c r="O604" s="433"/>
      <c r="P604" s="433"/>
      <c r="Q604" s="433"/>
      <c r="R604" s="433"/>
      <c r="S604" s="433"/>
      <c r="T604" s="466"/>
      <c r="U604" s="433"/>
      <c r="V604" s="433"/>
      <c r="W604" s="433"/>
    </row>
    <row r="605" spans="2:23" ht="15" customHeight="1">
      <c r="B605" s="433"/>
      <c r="C605" s="433"/>
      <c r="D605" s="433"/>
      <c r="E605" s="433"/>
      <c r="F605" s="434"/>
      <c r="G605" s="435"/>
      <c r="H605" s="433"/>
      <c r="J605" s="434"/>
      <c r="K605" s="433"/>
      <c r="L605" s="433"/>
      <c r="M605" s="433"/>
      <c r="N605" s="433"/>
      <c r="O605" s="433"/>
      <c r="P605" s="433"/>
      <c r="Q605" s="433"/>
      <c r="R605" s="433"/>
      <c r="S605" s="433"/>
      <c r="T605" s="466"/>
      <c r="U605" s="433"/>
      <c r="V605" s="433"/>
      <c r="W605" s="433"/>
    </row>
    <row r="606" spans="2:23" ht="15" customHeight="1">
      <c r="B606" s="433"/>
      <c r="C606" s="433"/>
      <c r="D606" s="433"/>
      <c r="E606" s="433"/>
      <c r="F606" s="434"/>
      <c r="G606" s="435"/>
      <c r="H606" s="433"/>
      <c r="J606" s="434"/>
      <c r="K606" s="433"/>
      <c r="L606" s="433"/>
      <c r="M606" s="433"/>
      <c r="N606" s="433"/>
      <c r="O606" s="433"/>
      <c r="P606" s="433"/>
      <c r="Q606" s="433"/>
      <c r="R606" s="433"/>
      <c r="S606" s="433"/>
      <c r="T606" s="466"/>
      <c r="U606" s="433"/>
      <c r="V606" s="433"/>
      <c r="W606" s="433"/>
    </row>
    <row r="607" spans="2:23" ht="15" customHeight="1">
      <c r="B607" s="433"/>
      <c r="C607" s="433"/>
      <c r="D607" s="433"/>
      <c r="E607" s="433"/>
      <c r="F607" s="434"/>
      <c r="G607" s="435"/>
      <c r="H607" s="433"/>
      <c r="J607" s="434"/>
      <c r="K607" s="433"/>
      <c r="L607" s="433"/>
      <c r="M607" s="433"/>
      <c r="N607" s="433"/>
      <c r="O607" s="433"/>
      <c r="P607" s="433"/>
      <c r="Q607" s="433"/>
      <c r="R607" s="433"/>
      <c r="S607" s="433"/>
      <c r="T607" s="466"/>
      <c r="U607" s="433"/>
      <c r="V607" s="433"/>
      <c r="W607" s="433"/>
    </row>
    <row r="608" spans="2:23" ht="15" customHeight="1">
      <c r="B608" s="433"/>
      <c r="C608" s="433"/>
      <c r="D608" s="433"/>
      <c r="E608" s="433"/>
      <c r="F608" s="434"/>
      <c r="G608" s="435"/>
      <c r="H608" s="433"/>
      <c r="J608" s="434"/>
      <c r="K608" s="433"/>
      <c r="L608" s="433"/>
      <c r="M608" s="433"/>
      <c r="N608" s="433"/>
      <c r="O608" s="433"/>
      <c r="P608" s="433"/>
      <c r="Q608" s="433"/>
      <c r="R608" s="433"/>
      <c r="S608" s="433"/>
      <c r="T608" s="466"/>
      <c r="U608" s="433"/>
      <c r="V608" s="433"/>
      <c r="W608" s="433"/>
    </row>
    <row r="609" spans="2:23" ht="15" customHeight="1">
      <c r="B609" s="433"/>
      <c r="C609" s="433"/>
      <c r="D609" s="433"/>
      <c r="E609" s="433"/>
      <c r="F609" s="434"/>
      <c r="G609" s="435"/>
      <c r="H609" s="433"/>
      <c r="J609" s="434"/>
      <c r="K609" s="433"/>
      <c r="L609" s="433"/>
      <c r="M609" s="433"/>
      <c r="N609" s="433"/>
      <c r="O609" s="433"/>
      <c r="P609" s="433"/>
      <c r="Q609" s="433"/>
      <c r="R609" s="433"/>
      <c r="S609" s="433"/>
      <c r="T609" s="466"/>
      <c r="U609" s="433"/>
      <c r="V609" s="433"/>
      <c r="W609" s="433"/>
    </row>
    <row r="610" spans="2:23" ht="15" customHeight="1">
      <c r="B610" s="433"/>
      <c r="C610" s="433"/>
      <c r="D610" s="433"/>
      <c r="E610" s="433"/>
      <c r="F610" s="434"/>
      <c r="G610" s="435"/>
      <c r="H610" s="433"/>
      <c r="J610" s="434"/>
      <c r="K610" s="433"/>
      <c r="L610" s="433"/>
      <c r="M610" s="433"/>
      <c r="N610" s="433"/>
      <c r="O610" s="433"/>
      <c r="P610" s="433"/>
      <c r="Q610" s="433"/>
      <c r="R610" s="433"/>
      <c r="S610" s="433"/>
      <c r="T610" s="466"/>
      <c r="U610" s="433"/>
      <c r="V610" s="433"/>
      <c r="W610" s="433"/>
    </row>
    <row r="611" spans="2:23" ht="15" customHeight="1">
      <c r="B611" s="433"/>
      <c r="C611" s="433"/>
      <c r="D611" s="433"/>
      <c r="E611" s="433"/>
      <c r="F611" s="434"/>
      <c r="G611" s="435"/>
      <c r="H611" s="433"/>
      <c r="J611" s="434"/>
      <c r="K611" s="433"/>
      <c r="L611" s="433"/>
      <c r="M611" s="433"/>
      <c r="N611" s="433"/>
      <c r="O611" s="433"/>
      <c r="P611" s="433"/>
      <c r="Q611" s="433"/>
      <c r="R611" s="433"/>
      <c r="S611" s="433"/>
      <c r="T611" s="466"/>
      <c r="U611" s="433"/>
      <c r="V611" s="433"/>
      <c r="W611" s="433"/>
    </row>
    <row r="612" spans="2:23" ht="15" customHeight="1">
      <c r="B612" s="433"/>
      <c r="C612" s="433"/>
      <c r="D612" s="433"/>
      <c r="E612" s="433"/>
      <c r="F612" s="434"/>
      <c r="G612" s="435"/>
      <c r="H612" s="433"/>
      <c r="J612" s="434"/>
      <c r="K612" s="433"/>
      <c r="L612" s="433"/>
      <c r="M612" s="433"/>
      <c r="N612" s="433"/>
      <c r="O612" s="433"/>
      <c r="P612" s="433"/>
      <c r="Q612" s="433"/>
      <c r="R612" s="433"/>
      <c r="S612" s="433"/>
      <c r="T612" s="466"/>
      <c r="U612" s="433"/>
      <c r="V612" s="433"/>
      <c r="W612" s="433"/>
    </row>
    <row r="613" spans="2:23" ht="15" customHeight="1">
      <c r="B613" s="433"/>
      <c r="C613" s="433"/>
      <c r="D613" s="433"/>
      <c r="E613" s="433"/>
      <c r="F613" s="434"/>
      <c r="G613" s="435"/>
      <c r="H613" s="433"/>
      <c r="J613" s="434"/>
      <c r="K613" s="433"/>
      <c r="L613" s="433"/>
      <c r="M613" s="433"/>
      <c r="N613" s="433"/>
      <c r="O613" s="433"/>
      <c r="P613" s="433"/>
      <c r="Q613" s="433"/>
      <c r="R613" s="433"/>
      <c r="S613" s="433"/>
      <c r="T613" s="466"/>
      <c r="U613" s="433"/>
      <c r="V613" s="433"/>
      <c r="W613" s="433"/>
    </row>
    <row r="614" spans="2:23" ht="15" customHeight="1">
      <c r="B614" s="433"/>
      <c r="C614" s="433"/>
      <c r="D614" s="433"/>
      <c r="E614" s="433"/>
      <c r="F614" s="434"/>
      <c r="G614" s="435"/>
      <c r="H614" s="433"/>
      <c r="J614" s="434"/>
      <c r="K614" s="433"/>
      <c r="L614" s="433"/>
      <c r="M614" s="433"/>
      <c r="N614" s="433"/>
      <c r="O614" s="433"/>
      <c r="P614" s="433"/>
      <c r="Q614" s="433"/>
      <c r="R614" s="433"/>
      <c r="S614" s="433"/>
      <c r="T614" s="466"/>
      <c r="U614" s="433"/>
      <c r="V614" s="433"/>
      <c r="W614" s="433"/>
    </row>
    <row r="615" spans="2:23" ht="15" customHeight="1">
      <c r="B615" s="433"/>
      <c r="C615" s="433"/>
      <c r="D615" s="433"/>
      <c r="E615" s="433"/>
      <c r="F615" s="434"/>
      <c r="G615" s="435"/>
      <c r="H615" s="433"/>
      <c r="J615" s="434"/>
      <c r="K615" s="433"/>
      <c r="L615" s="433"/>
      <c r="M615" s="433"/>
      <c r="N615" s="433"/>
      <c r="O615" s="433"/>
      <c r="P615" s="433"/>
      <c r="Q615" s="433"/>
      <c r="R615" s="433"/>
      <c r="S615" s="433"/>
      <c r="T615" s="466"/>
      <c r="U615" s="433"/>
      <c r="V615" s="433"/>
      <c r="W615" s="433"/>
    </row>
    <row r="616" spans="2:23" ht="15" customHeight="1">
      <c r="B616" s="433"/>
      <c r="C616" s="433"/>
      <c r="D616" s="433"/>
      <c r="E616" s="433"/>
      <c r="F616" s="434"/>
      <c r="G616" s="435"/>
      <c r="H616" s="433"/>
      <c r="J616" s="434"/>
      <c r="K616" s="433"/>
      <c r="L616" s="433"/>
      <c r="M616" s="433"/>
      <c r="N616" s="433"/>
      <c r="O616" s="433"/>
      <c r="P616" s="433"/>
      <c r="Q616" s="433"/>
      <c r="R616" s="433"/>
      <c r="S616" s="433"/>
      <c r="T616" s="466"/>
      <c r="U616" s="433"/>
      <c r="V616" s="433"/>
      <c r="W616" s="433"/>
    </row>
    <row r="617" spans="2:23" ht="15" customHeight="1">
      <c r="B617" s="433"/>
      <c r="C617" s="433"/>
      <c r="D617" s="433"/>
      <c r="E617" s="433"/>
      <c r="F617" s="434"/>
      <c r="G617" s="435"/>
      <c r="H617" s="433"/>
      <c r="J617" s="434"/>
      <c r="K617" s="433"/>
      <c r="L617" s="433"/>
      <c r="M617" s="433"/>
      <c r="N617" s="433"/>
      <c r="O617" s="433"/>
      <c r="P617" s="433"/>
      <c r="Q617" s="433"/>
      <c r="R617" s="433"/>
      <c r="S617" s="433"/>
      <c r="T617" s="466"/>
      <c r="U617" s="433"/>
      <c r="V617" s="433"/>
      <c r="W617" s="433"/>
    </row>
    <row r="618" spans="2:23" ht="15" customHeight="1">
      <c r="B618" s="433"/>
      <c r="C618" s="433"/>
      <c r="D618" s="433"/>
      <c r="E618" s="433"/>
      <c r="F618" s="434"/>
      <c r="G618" s="435"/>
      <c r="H618" s="433"/>
      <c r="J618" s="434"/>
      <c r="K618" s="433"/>
      <c r="L618" s="433"/>
      <c r="M618" s="433"/>
      <c r="N618" s="433"/>
      <c r="O618" s="433"/>
      <c r="P618" s="433"/>
      <c r="Q618" s="433"/>
      <c r="R618" s="433"/>
      <c r="S618" s="433"/>
      <c r="T618" s="466"/>
      <c r="U618" s="433"/>
      <c r="V618" s="433"/>
      <c r="W618" s="433"/>
    </row>
    <row r="619" spans="2:23" ht="15" customHeight="1">
      <c r="B619" s="433"/>
      <c r="C619" s="433"/>
      <c r="D619" s="433"/>
      <c r="E619" s="433"/>
      <c r="F619" s="434"/>
      <c r="G619" s="435"/>
      <c r="H619" s="433"/>
      <c r="J619" s="434"/>
      <c r="K619" s="433"/>
      <c r="L619" s="433"/>
      <c r="M619" s="433"/>
      <c r="N619" s="433"/>
      <c r="O619" s="433"/>
      <c r="P619" s="433"/>
      <c r="Q619" s="433"/>
      <c r="R619" s="433"/>
      <c r="S619" s="433"/>
      <c r="T619" s="466"/>
      <c r="U619" s="433"/>
      <c r="V619" s="433"/>
      <c r="W619" s="433"/>
    </row>
    <row r="620" spans="2:23" ht="15" customHeight="1">
      <c r="B620" s="433"/>
      <c r="C620" s="433"/>
      <c r="D620" s="433"/>
      <c r="E620" s="433"/>
      <c r="F620" s="434"/>
      <c r="G620" s="435"/>
      <c r="H620" s="433"/>
      <c r="J620" s="434"/>
      <c r="K620" s="433"/>
      <c r="L620" s="433"/>
      <c r="M620" s="433"/>
      <c r="N620" s="433"/>
      <c r="O620" s="433"/>
      <c r="P620" s="433"/>
      <c r="Q620" s="433"/>
      <c r="R620" s="433"/>
      <c r="S620" s="433"/>
      <c r="T620" s="466"/>
      <c r="U620" s="433"/>
      <c r="V620" s="433"/>
      <c r="W620" s="433"/>
    </row>
    <row r="621" spans="2:23" ht="15" customHeight="1">
      <c r="B621" s="433"/>
      <c r="C621" s="433"/>
      <c r="D621" s="433"/>
      <c r="E621" s="433"/>
      <c r="F621" s="434"/>
      <c r="G621" s="435"/>
      <c r="H621" s="433"/>
      <c r="J621" s="434"/>
      <c r="K621" s="433"/>
      <c r="L621" s="433"/>
      <c r="M621" s="433"/>
      <c r="N621" s="433"/>
      <c r="O621" s="433"/>
      <c r="P621" s="433"/>
      <c r="Q621" s="433"/>
      <c r="R621" s="433"/>
      <c r="S621" s="433"/>
      <c r="T621" s="466"/>
      <c r="U621" s="433"/>
      <c r="V621" s="433"/>
      <c r="W621" s="433"/>
    </row>
    <row r="622" spans="2:23" ht="15" customHeight="1">
      <c r="B622" s="433"/>
      <c r="C622" s="433"/>
      <c r="D622" s="433"/>
      <c r="E622" s="433"/>
      <c r="F622" s="434"/>
      <c r="G622" s="435"/>
      <c r="H622" s="433"/>
      <c r="J622" s="434"/>
      <c r="K622" s="433"/>
      <c r="L622" s="433"/>
      <c r="M622" s="433"/>
      <c r="N622" s="433"/>
      <c r="O622" s="433"/>
      <c r="P622" s="433"/>
      <c r="Q622" s="433"/>
      <c r="R622" s="433"/>
      <c r="S622" s="433"/>
      <c r="T622" s="466"/>
      <c r="U622" s="433"/>
      <c r="V622" s="433"/>
      <c r="W622" s="433"/>
    </row>
    <row r="623" spans="2:23" ht="15" customHeight="1">
      <c r="B623" s="433"/>
      <c r="C623" s="433"/>
      <c r="D623" s="433"/>
      <c r="E623" s="433"/>
      <c r="F623" s="434"/>
      <c r="G623" s="435"/>
      <c r="H623" s="433"/>
      <c r="J623" s="434"/>
      <c r="K623" s="433"/>
      <c r="L623" s="433"/>
      <c r="M623" s="433"/>
      <c r="N623" s="433"/>
      <c r="O623" s="433"/>
      <c r="P623" s="433"/>
      <c r="Q623" s="433"/>
      <c r="R623" s="433"/>
      <c r="S623" s="433"/>
      <c r="T623" s="466"/>
      <c r="U623" s="433"/>
      <c r="V623" s="433"/>
      <c r="W623" s="433"/>
    </row>
    <row r="624" spans="2:23" ht="15" customHeight="1">
      <c r="B624" s="433"/>
      <c r="C624" s="433"/>
      <c r="D624" s="433"/>
      <c r="E624" s="433"/>
      <c r="F624" s="434"/>
      <c r="G624" s="435"/>
      <c r="H624" s="433"/>
      <c r="J624" s="434"/>
      <c r="K624" s="433"/>
      <c r="L624" s="433"/>
      <c r="M624" s="433"/>
      <c r="N624" s="433"/>
      <c r="O624" s="433"/>
      <c r="P624" s="433"/>
      <c r="Q624" s="433"/>
      <c r="R624" s="433"/>
      <c r="S624" s="433"/>
      <c r="T624" s="466"/>
      <c r="U624" s="433"/>
      <c r="V624" s="433"/>
      <c r="W624" s="433"/>
    </row>
    <row r="625" spans="2:23" ht="15" customHeight="1">
      <c r="B625" s="433"/>
      <c r="C625" s="433"/>
      <c r="D625" s="433"/>
      <c r="E625" s="433"/>
      <c r="F625" s="434"/>
      <c r="G625" s="435"/>
      <c r="H625" s="433"/>
      <c r="J625" s="434"/>
      <c r="K625" s="433"/>
      <c r="L625" s="433"/>
      <c r="M625" s="433"/>
      <c r="N625" s="433"/>
      <c r="O625" s="433"/>
      <c r="P625" s="433"/>
      <c r="Q625" s="433"/>
      <c r="R625" s="433"/>
      <c r="S625" s="433"/>
      <c r="T625" s="466"/>
      <c r="U625" s="433"/>
      <c r="V625" s="433"/>
      <c r="W625" s="433"/>
    </row>
    <row r="626" spans="2:23" ht="15" customHeight="1">
      <c r="B626" s="433"/>
      <c r="C626" s="433"/>
      <c r="D626" s="433"/>
      <c r="E626" s="433"/>
      <c r="F626" s="434"/>
      <c r="G626" s="435"/>
      <c r="H626" s="433"/>
      <c r="J626" s="434"/>
      <c r="K626" s="433"/>
      <c r="L626" s="433"/>
      <c r="M626" s="433"/>
      <c r="N626" s="433"/>
      <c r="O626" s="433"/>
      <c r="P626" s="433"/>
      <c r="Q626" s="433"/>
      <c r="R626" s="433"/>
      <c r="S626" s="433"/>
      <c r="T626" s="466"/>
      <c r="U626" s="433"/>
      <c r="V626" s="433"/>
      <c r="W626" s="433"/>
    </row>
    <row r="627" spans="2:23" ht="15" customHeight="1">
      <c r="B627" s="433"/>
      <c r="C627" s="433"/>
      <c r="D627" s="433"/>
      <c r="E627" s="433"/>
      <c r="F627" s="434"/>
      <c r="G627" s="435"/>
      <c r="H627" s="433"/>
      <c r="J627" s="434"/>
      <c r="K627" s="433"/>
      <c r="L627" s="433"/>
      <c r="M627" s="433"/>
      <c r="N627" s="433"/>
      <c r="O627" s="433"/>
      <c r="P627" s="433"/>
      <c r="Q627" s="433"/>
      <c r="R627" s="433"/>
      <c r="S627" s="433"/>
      <c r="T627" s="466"/>
      <c r="U627" s="433"/>
      <c r="V627" s="433"/>
      <c r="W627" s="433"/>
    </row>
    <row r="628" spans="2:23" ht="15" customHeight="1">
      <c r="B628" s="433"/>
      <c r="C628" s="433"/>
      <c r="D628" s="433"/>
      <c r="E628" s="433"/>
      <c r="F628" s="434"/>
      <c r="G628" s="435"/>
      <c r="H628" s="433"/>
      <c r="J628" s="434"/>
      <c r="K628" s="433"/>
      <c r="L628" s="433"/>
      <c r="M628" s="433"/>
      <c r="N628" s="433"/>
      <c r="O628" s="433"/>
      <c r="P628" s="433"/>
      <c r="Q628" s="433"/>
      <c r="R628" s="433"/>
      <c r="S628" s="433"/>
      <c r="T628" s="466"/>
      <c r="U628" s="433"/>
      <c r="V628" s="433"/>
      <c r="W628" s="433"/>
    </row>
    <row r="629" spans="2:23" ht="15" customHeight="1">
      <c r="B629" s="433"/>
      <c r="C629" s="433"/>
      <c r="D629" s="433"/>
      <c r="E629" s="433"/>
      <c r="F629" s="434"/>
      <c r="G629" s="435"/>
      <c r="H629" s="433"/>
      <c r="J629" s="434"/>
      <c r="K629" s="433"/>
      <c r="L629" s="433"/>
      <c r="M629" s="433"/>
      <c r="N629" s="433"/>
      <c r="O629" s="433"/>
      <c r="P629" s="433"/>
      <c r="Q629" s="433"/>
      <c r="R629" s="433"/>
      <c r="S629" s="433"/>
      <c r="T629" s="466"/>
      <c r="U629" s="433"/>
      <c r="V629" s="433"/>
      <c r="W629" s="433"/>
    </row>
    <row r="630" spans="2:23" ht="15" customHeight="1">
      <c r="B630" s="433"/>
      <c r="C630" s="433"/>
      <c r="D630" s="433"/>
      <c r="E630" s="433"/>
      <c r="F630" s="434"/>
      <c r="G630" s="435"/>
      <c r="H630" s="433"/>
      <c r="J630" s="434"/>
      <c r="K630" s="433"/>
      <c r="L630" s="433"/>
      <c r="M630" s="433"/>
      <c r="N630" s="433"/>
      <c r="O630" s="433"/>
      <c r="P630" s="433"/>
      <c r="Q630" s="433"/>
      <c r="R630" s="433"/>
      <c r="S630" s="433"/>
      <c r="T630" s="466"/>
      <c r="U630" s="433"/>
      <c r="V630" s="433"/>
      <c r="W630" s="433"/>
    </row>
    <row r="631" spans="2:23" ht="15" customHeight="1">
      <c r="B631" s="433"/>
      <c r="C631" s="433"/>
      <c r="D631" s="433"/>
      <c r="E631" s="433"/>
      <c r="F631" s="434"/>
      <c r="G631" s="435"/>
      <c r="H631" s="433"/>
      <c r="J631" s="434"/>
      <c r="K631" s="433"/>
      <c r="L631" s="433"/>
      <c r="M631" s="433"/>
      <c r="N631" s="433"/>
      <c r="O631" s="433"/>
      <c r="P631" s="433"/>
      <c r="Q631" s="433"/>
      <c r="R631" s="433"/>
      <c r="S631" s="433"/>
      <c r="T631" s="466"/>
      <c r="U631" s="433"/>
      <c r="V631" s="433"/>
      <c r="W631" s="433"/>
    </row>
    <row r="632" spans="2:23" ht="15" customHeight="1">
      <c r="B632" s="433"/>
      <c r="C632" s="433"/>
      <c r="D632" s="433"/>
      <c r="E632" s="433"/>
      <c r="F632" s="434"/>
      <c r="G632" s="435"/>
      <c r="H632" s="433"/>
      <c r="J632" s="434"/>
      <c r="K632" s="433"/>
      <c r="L632" s="433"/>
      <c r="M632" s="433"/>
      <c r="N632" s="433"/>
      <c r="O632" s="433"/>
      <c r="P632" s="433"/>
      <c r="Q632" s="433"/>
      <c r="R632" s="433"/>
      <c r="S632" s="433"/>
      <c r="T632" s="466"/>
      <c r="U632" s="433"/>
      <c r="V632" s="433"/>
      <c r="W632" s="433"/>
    </row>
    <row r="633" spans="2:23" ht="15" customHeight="1">
      <c r="B633" s="433"/>
      <c r="C633" s="433"/>
      <c r="D633" s="433"/>
      <c r="E633" s="433"/>
      <c r="F633" s="434"/>
      <c r="G633" s="435"/>
      <c r="H633" s="433"/>
      <c r="J633" s="434"/>
      <c r="K633" s="433"/>
      <c r="L633" s="433"/>
      <c r="M633" s="433"/>
      <c r="N633" s="433"/>
      <c r="O633" s="433"/>
      <c r="P633" s="433"/>
      <c r="Q633" s="433"/>
      <c r="R633" s="433"/>
      <c r="S633" s="433"/>
      <c r="T633" s="466"/>
      <c r="U633" s="433"/>
      <c r="V633" s="433"/>
      <c r="W633" s="433"/>
    </row>
    <row r="634" spans="2:23" ht="14.5">
      <c r="B634" s="433"/>
      <c r="C634" s="433"/>
      <c r="D634" s="433"/>
      <c r="E634" s="433"/>
      <c r="F634" s="434"/>
      <c r="G634" s="435"/>
      <c r="H634" s="433"/>
      <c r="J634" s="434"/>
      <c r="K634" s="433"/>
      <c r="L634" s="433"/>
      <c r="M634" s="433"/>
      <c r="N634" s="433"/>
      <c r="O634" s="433"/>
      <c r="P634" s="433"/>
      <c r="Q634" s="433"/>
      <c r="R634" s="433"/>
      <c r="S634" s="433"/>
      <c r="T634" s="466"/>
      <c r="U634" s="433"/>
      <c r="V634" s="433"/>
      <c r="W634" s="433"/>
    </row>
    <row r="635" spans="2:23" ht="15" customHeight="1">
      <c r="B635" s="433"/>
      <c r="C635" s="433"/>
      <c r="D635" s="433"/>
      <c r="E635" s="433"/>
      <c r="F635" s="434"/>
      <c r="G635" s="435"/>
      <c r="H635" s="433"/>
      <c r="J635" s="434"/>
      <c r="K635" s="433"/>
      <c r="L635" s="433"/>
      <c r="M635" s="433"/>
      <c r="N635" s="433"/>
      <c r="O635" s="433"/>
      <c r="P635" s="433"/>
      <c r="Q635" s="433"/>
      <c r="R635" s="433"/>
      <c r="S635" s="433"/>
      <c r="T635" s="466"/>
      <c r="U635" s="433"/>
      <c r="V635" s="433"/>
      <c r="W635" s="433"/>
    </row>
    <row r="636" spans="2:23" ht="15" customHeight="1">
      <c r="B636" s="433"/>
      <c r="C636" s="433"/>
      <c r="D636" s="433"/>
      <c r="E636" s="433"/>
      <c r="F636" s="434"/>
      <c r="G636" s="435"/>
      <c r="H636" s="433"/>
      <c r="J636" s="434"/>
      <c r="K636" s="433"/>
      <c r="L636" s="433"/>
      <c r="M636" s="433"/>
      <c r="N636" s="433"/>
      <c r="O636" s="433"/>
      <c r="P636" s="433"/>
      <c r="Q636" s="433"/>
      <c r="R636" s="433"/>
      <c r="S636" s="433"/>
      <c r="T636" s="466"/>
      <c r="U636" s="433"/>
      <c r="V636" s="433"/>
      <c r="W636" s="433"/>
    </row>
    <row r="637" spans="2:23" ht="15" customHeight="1">
      <c r="B637" s="433"/>
      <c r="C637" s="433"/>
      <c r="D637" s="433"/>
      <c r="E637" s="433"/>
      <c r="F637" s="434"/>
      <c r="G637" s="435"/>
      <c r="H637" s="433"/>
      <c r="J637" s="434"/>
      <c r="K637" s="433"/>
      <c r="L637" s="433"/>
      <c r="M637" s="433"/>
      <c r="N637" s="433"/>
      <c r="O637" s="433"/>
      <c r="P637" s="433"/>
      <c r="Q637" s="433"/>
      <c r="R637" s="433"/>
      <c r="S637" s="433"/>
      <c r="T637" s="466"/>
      <c r="U637" s="433"/>
      <c r="V637" s="433"/>
      <c r="W637" s="433"/>
    </row>
    <row r="638" spans="2:23" ht="15" customHeight="1">
      <c r="B638" s="433"/>
      <c r="C638" s="433"/>
      <c r="D638" s="433"/>
      <c r="E638" s="433"/>
      <c r="F638" s="434"/>
      <c r="G638" s="435"/>
      <c r="H638" s="433"/>
      <c r="J638" s="434"/>
      <c r="K638" s="433"/>
      <c r="L638" s="433"/>
      <c r="M638" s="433"/>
      <c r="N638" s="433"/>
      <c r="O638" s="433"/>
      <c r="P638" s="433"/>
      <c r="Q638" s="433"/>
      <c r="R638" s="433"/>
      <c r="S638" s="433"/>
      <c r="T638" s="466"/>
      <c r="U638" s="433"/>
      <c r="V638" s="433"/>
      <c r="W638" s="433"/>
    </row>
    <row r="639" spans="2:23" ht="15" customHeight="1">
      <c r="B639" s="433"/>
      <c r="C639" s="433"/>
      <c r="D639" s="433"/>
      <c r="E639" s="433"/>
      <c r="F639" s="434"/>
      <c r="G639" s="435"/>
      <c r="H639" s="433"/>
      <c r="J639" s="434"/>
      <c r="K639" s="433"/>
      <c r="L639" s="433"/>
      <c r="M639" s="433"/>
      <c r="N639" s="433"/>
      <c r="O639" s="433"/>
      <c r="P639" s="433"/>
      <c r="Q639" s="433"/>
      <c r="R639" s="433"/>
      <c r="S639" s="433"/>
      <c r="T639" s="466"/>
      <c r="U639" s="433"/>
      <c r="V639" s="433"/>
      <c r="W639" s="433"/>
    </row>
    <row r="640" spans="2:23" ht="15" customHeight="1">
      <c r="B640" s="433"/>
      <c r="C640" s="433"/>
      <c r="D640" s="433"/>
      <c r="E640" s="433"/>
      <c r="F640" s="434"/>
      <c r="G640" s="435"/>
      <c r="H640" s="433"/>
      <c r="J640" s="434"/>
      <c r="K640" s="433"/>
      <c r="L640" s="433"/>
      <c r="M640" s="433"/>
      <c r="N640" s="433"/>
      <c r="O640" s="433"/>
      <c r="P640" s="433"/>
      <c r="Q640" s="433"/>
      <c r="R640" s="433"/>
      <c r="S640" s="433"/>
      <c r="T640" s="466"/>
      <c r="U640" s="433"/>
      <c r="V640" s="433"/>
      <c r="W640" s="433"/>
    </row>
    <row r="641" spans="2:23" ht="15" customHeight="1">
      <c r="B641" s="433"/>
      <c r="C641" s="433"/>
      <c r="D641" s="433"/>
      <c r="E641" s="433"/>
      <c r="F641" s="434"/>
      <c r="G641" s="435"/>
      <c r="H641" s="433"/>
      <c r="J641" s="434"/>
      <c r="K641" s="433"/>
      <c r="L641" s="433"/>
      <c r="M641" s="433"/>
      <c r="N641" s="433"/>
      <c r="O641" s="433"/>
      <c r="P641" s="433"/>
      <c r="Q641" s="433"/>
      <c r="R641" s="433"/>
      <c r="S641" s="433"/>
      <c r="T641" s="466"/>
      <c r="U641" s="433"/>
      <c r="V641" s="433"/>
      <c r="W641" s="433"/>
    </row>
    <row r="642" spans="2:23" ht="15" customHeight="1">
      <c r="B642" s="433"/>
      <c r="C642" s="433"/>
      <c r="D642" s="433"/>
      <c r="E642" s="433"/>
      <c r="F642" s="434"/>
      <c r="G642" s="435"/>
      <c r="H642" s="433"/>
      <c r="J642" s="434"/>
      <c r="K642" s="433"/>
      <c r="L642" s="433"/>
      <c r="M642" s="433"/>
      <c r="N642" s="433"/>
      <c r="O642" s="433"/>
      <c r="P642" s="433"/>
      <c r="Q642" s="433"/>
      <c r="R642" s="433"/>
      <c r="S642" s="433"/>
      <c r="T642" s="466"/>
      <c r="U642" s="433"/>
      <c r="V642" s="433"/>
      <c r="W642" s="433"/>
    </row>
    <row r="643" spans="2:23" ht="15" customHeight="1">
      <c r="B643" s="433"/>
      <c r="C643" s="433"/>
      <c r="D643" s="433"/>
      <c r="E643" s="433"/>
      <c r="F643" s="434"/>
      <c r="G643" s="435"/>
      <c r="H643" s="433"/>
      <c r="J643" s="434"/>
      <c r="K643" s="433"/>
      <c r="L643" s="433"/>
      <c r="M643" s="433"/>
      <c r="N643" s="433"/>
      <c r="O643" s="433"/>
      <c r="P643" s="433"/>
      <c r="Q643" s="433"/>
      <c r="R643" s="433"/>
      <c r="S643" s="433"/>
      <c r="T643" s="466"/>
      <c r="U643" s="433"/>
      <c r="V643" s="433"/>
      <c r="W643" s="433"/>
    </row>
    <row r="644" spans="2:23" ht="15" customHeight="1">
      <c r="B644" s="433"/>
      <c r="C644" s="433"/>
      <c r="D644" s="433"/>
      <c r="E644" s="433"/>
      <c r="F644" s="434"/>
      <c r="G644" s="435"/>
      <c r="H644" s="433"/>
      <c r="J644" s="434"/>
      <c r="K644" s="433"/>
      <c r="L644" s="433"/>
      <c r="M644" s="433"/>
      <c r="N644" s="433"/>
      <c r="O644" s="433"/>
      <c r="P644" s="433"/>
      <c r="Q644" s="433"/>
      <c r="R644" s="433"/>
      <c r="S644" s="433"/>
      <c r="T644" s="466"/>
      <c r="U644" s="433"/>
      <c r="V644" s="433"/>
      <c r="W644" s="433"/>
    </row>
    <row r="645" spans="2:23" ht="15" customHeight="1">
      <c r="B645" s="433"/>
      <c r="C645" s="433"/>
      <c r="D645" s="433"/>
      <c r="E645" s="433"/>
      <c r="F645" s="434"/>
      <c r="G645" s="435"/>
      <c r="H645" s="433"/>
      <c r="J645" s="434"/>
      <c r="K645" s="433"/>
      <c r="L645" s="433"/>
      <c r="M645" s="433"/>
      <c r="N645" s="433"/>
      <c r="O645" s="433"/>
      <c r="P645" s="433"/>
      <c r="Q645" s="433"/>
      <c r="R645" s="433"/>
      <c r="S645" s="433"/>
      <c r="T645" s="466"/>
      <c r="U645" s="433"/>
      <c r="V645" s="433"/>
      <c r="W645" s="433"/>
    </row>
    <row r="646" spans="2:23" ht="15" customHeight="1">
      <c r="B646" s="433"/>
      <c r="C646" s="433"/>
      <c r="D646" s="433"/>
      <c r="E646" s="433"/>
      <c r="F646" s="434"/>
      <c r="G646" s="435"/>
      <c r="H646" s="433"/>
      <c r="J646" s="434"/>
      <c r="K646" s="433"/>
      <c r="L646" s="433"/>
      <c r="M646" s="433"/>
      <c r="N646" s="433"/>
      <c r="O646" s="433"/>
      <c r="P646" s="433"/>
      <c r="Q646" s="433"/>
      <c r="R646" s="433"/>
      <c r="S646" s="433"/>
      <c r="T646" s="466"/>
      <c r="U646" s="433"/>
      <c r="V646" s="433"/>
      <c r="W646" s="433"/>
    </row>
    <row r="647" spans="2:23" ht="15" customHeight="1">
      <c r="B647" s="433"/>
      <c r="C647" s="433"/>
      <c r="D647" s="433"/>
      <c r="E647" s="433"/>
      <c r="F647" s="434"/>
      <c r="G647" s="435"/>
      <c r="H647" s="433"/>
      <c r="J647" s="434"/>
      <c r="K647" s="433"/>
      <c r="L647" s="433"/>
      <c r="M647" s="433"/>
      <c r="N647" s="433"/>
      <c r="O647" s="433"/>
      <c r="P647" s="433"/>
      <c r="Q647" s="433"/>
      <c r="R647" s="433"/>
      <c r="S647" s="433"/>
      <c r="T647" s="466"/>
      <c r="U647" s="433"/>
      <c r="V647" s="433"/>
      <c r="W647" s="433"/>
    </row>
    <row r="648" spans="2:23" ht="15" customHeight="1">
      <c r="B648" s="433"/>
      <c r="C648" s="433"/>
      <c r="D648" s="433"/>
      <c r="E648" s="433"/>
      <c r="F648" s="434"/>
      <c r="G648" s="435"/>
      <c r="H648" s="433"/>
      <c r="J648" s="434"/>
      <c r="K648" s="433"/>
      <c r="L648" s="433"/>
      <c r="M648" s="433"/>
      <c r="N648" s="433"/>
      <c r="O648" s="433"/>
      <c r="P648" s="433"/>
      <c r="Q648" s="433"/>
      <c r="R648" s="433"/>
      <c r="S648" s="433"/>
      <c r="T648" s="466"/>
      <c r="U648" s="433"/>
      <c r="V648" s="433"/>
      <c r="W648" s="433"/>
    </row>
    <row r="649" spans="2:23" ht="15" customHeight="1">
      <c r="B649" s="433"/>
      <c r="C649" s="433"/>
      <c r="D649" s="433"/>
      <c r="E649" s="433"/>
      <c r="F649" s="434"/>
      <c r="G649" s="435"/>
      <c r="H649" s="433"/>
      <c r="J649" s="434"/>
      <c r="K649" s="433"/>
      <c r="L649" s="433"/>
      <c r="M649" s="433"/>
      <c r="N649" s="433"/>
      <c r="O649" s="433"/>
      <c r="P649" s="433"/>
      <c r="Q649" s="433"/>
      <c r="R649" s="433"/>
      <c r="S649" s="433"/>
      <c r="T649" s="466"/>
      <c r="U649" s="433"/>
      <c r="V649" s="433"/>
      <c r="W649" s="433"/>
    </row>
    <row r="650" spans="2:23" ht="15" customHeight="1">
      <c r="B650" s="433"/>
      <c r="C650" s="433"/>
      <c r="D650" s="433"/>
      <c r="E650" s="433"/>
      <c r="F650" s="434"/>
      <c r="G650" s="435"/>
      <c r="H650" s="433"/>
      <c r="J650" s="434"/>
      <c r="K650" s="433"/>
      <c r="L650" s="433"/>
      <c r="M650" s="433"/>
      <c r="N650" s="433"/>
      <c r="O650" s="433"/>
      <c r="P650" s="433"/>
      <c r="Q650" s="433"/>
      <c r="R650" s="433"/>
      <c r="S650" s="433"/>
      <c r="T650" s="466"/>
      <c r="U650" s="433"/>
      <c r="V650" s="433"/>
      <c r="W650" s="433"/>
    </row>
    <row r="651" spans="2:23" ht="15" customHeight="1">
      <c r="B651" s="433"/>
      <c r="C651" s="433"/>
      <c r="D651" s="433"/>
      <c r="E651" s="433"/>
      <c r="F651" s="434"/>
      <c r="G651" s="435"/>
      <c r="H651" s="433"/>
      <c r="J651" s="434"/>
      <c r="K651" s="433"/>
      <c r="L651" s="433"/>
      <c r="M651" s="433"/>
      <c r="N651" s="433"/>
      <c r="O651" s="433"/>
      <c r="P651" s="433"/>
      <c r="Q651" s="433"/>
      <c r="R651" s="433"/>
      <c r="S651" s="433"/>
      <c r="T651" s="466"/>
      <c r="U651" s="433"/>
      <c r="V651" s="433"/>
      <c r="W651" s="433"/>
    </row>
    <row r="652" spans="2:23" ht="15" customHeight="1">
      <c r="B652" s="433"/>
      <c r="C652" s="433"/>
      <c r="D652" s="433"/>
      <c r="E652" s="433"/>
      <c r="F652" s="434"/>
      <c r="G652" s="435"/>
      <c r="H652" s="433"/>
      <c r="J652" s="434"/>
      <c r="K652" s="433"/>
      <c r="L652" s="433"/>
      <c r="M652" s="433"/>
      <c r="N652" s="433"/>
      <c r="O652" s="433"/>
      <c r="P652" s="433"/>
      <c r="Q652" s="433"/>
      <c r="R652" s="433"/>
      <c r="S652" s="433"/>
      <c r="T652" s="466"/>
      <c r="U652" s="433"/>
      <c r="V652" s="433"/>
      <c r="W652" s="433"/>
    </row>
    <row r="653" spans="2:23" ht="15" customHeight="1">
      <c r="B653" s="433"/>
      <c r="C653" s="433"/>
      <c r="D653" s="433"/>
      <c r="E653" s="433"/>
      <c r="F653" s="434"/>
      <c r="G653" s="435"/>
      <c r="H653" s="433"/>
      <c r="J653" s="434"/>
      <c r="K653" s="433"/>
      <c r="L653" s="433"/>
      <c r="M653" s="433"/>
      <c r="N653" s="433"/>
      <c r="O653" s="433"/>
      <c r="P653" s="433"/>
      <c r="Q653" s="433"/>
      <c r="R653" s="433"/>
      <c r="S653" s="433"/>
      <c r="T653" s="466"/>
      <c r="U653" s="433"/>
      <c r="V653" s="433"/>
      <c r="W653" s="433"/>
    </row>
    <row r="654" spans="2:23" ht="15" customHeight="1">
      <c r="B654" s="433"/>
      <c r="C654" s="433"/>
      <c r="D654" s="433"/>
      <c r="E654" s="433"/>
      <c r="F654" s="434"/>
      <c r="G654" s="435"/>
      <c r="H654" s="433"/>
      <c r="J654" s="434"/>
      <c r="K654" s="433"/>
      <c r="L654" s="433"/>
      <c r="M654" s="433"/>
      <c r="N654" s="433"/>
      <c r="O654" s="433"/>
      <c r="P654" s="433"/>
      <c r="Q654" s="433"/>
      <c r="R654" s="433"/>
      <c r="S654" s="433"/>
      <c r="T654" s="466"/>
      <c r="U654" s="433"/>
      <c r="V654" s="433"/>
      <c r="W654" s="433"/>
    </row>
    <row r="655" spans="2:23" ht="15" customHeight="1">
      <c r="B655" s="433"/>
      <c r="C655" s="433"/>
      <c r="D655" s="433"/>
      <c r="E655" s="433"/>
      <c r="F655" s="434"/>
      <c r="G655" s="435"/>
      <c r="H655" s="433"/>
      <c r="J655" s="434"/>
      <c r="K655" s="433"/>
      <c r="L655" s="433"/>
      <c r="M655" s="433"/>
      <c r="N655" s="433"/>
      <c r="O655" s="433"/>
      <c r="P655" s="433"/>
      <c r="Q655" s="433"/>
      <c r="R655" s="433"/>
      <c r="S655" s="433"/>
      <c r="T655" s="466"/>
      <c r="U655" s="433"/>
      <c r="V655" s="433"/>
      <c r="W655" s="433"/>
    </row>
    <row r="656" spans="2:23" ht="15" customHeight="1">
      <c r="B656" s="433"/>
      <c r="C656" s="433"/>
      <c r="D656" s="433"/>
      <c r="E656" s="433"/>
      <c r="F656" s="434"/>
      <c r="G656" s="435"/>
      <c r="H656" s="433"/>
      <c r="J656" s="434"/>
      <c r="K656" s="433"/>
      <c r="L656" s="433"/>
      <c r="M656" s="433"/>
      <c r="N656" s="433"/>
      <c r="O656" s="433"/>
      <c r="P656" s="433"/>
      <c r="Q656" s="433"/>
      <c r="R656" s="433"/>
      <c r="S656" s="433"/>
      <c r="T656" s="466"/>
      <c r="U656" s="433"/>
      <c r="V656" s="433"/>
      <c r="W656" s="433"/>
    </row>
    <row r="657" spans="2:23" ht="15" customHeight="1">
      <c r="B657" s="433"/>
      <c r="C657" s="433"/>
      <c r="D657" s="433"/>
      <c r="E657" s="433"/>
      <c r="F657" s="434"/>
      <c r="G657" s="435"/>
      <c r="H657" s="433"/>
      <c r="J657" s="434"/>
      <c r="K657" s="433"/>
      <c r="L657" s="433"/>
      <c r="M657" s="433"/>
      <c r="N657" s="433"/>
      <c r="O657" s="433"/>
      <c r="P657" s="433"/>
      <c r="Q657" s="433"/>
      <c r="R657" s="433"/>
      <c r="S657" s="433"/>
      <c r="T657" s="466"/>
      <c r="U657" s="433"/>
      <c r="V657" s="433"/>
      <c r="W657" s="433"/>
    </row>
    <row r="658" spans="2:23" ht="15" customHeight="1">
      <c r="B658" s="433"/>
      <c r="C658" s="433"/>
      <c r="D658" s="433"/>
      <c r="E658" s="433"/>
      <c r="F658" s="434"/>
      <c r="G658" s="435"/>
      <c r="H658" s="433"/>
      <c r="J658" s="434"/>
      <c r="K658" s="433"/>
      <c r="L658" s="433"/>
      <c r="M658" s="433"/>
      <c r="N658" s="433"/>
      <c r="O658" s="433"/>
      <c r="P658" s="433"/>
      <c r="Q658" s="433"/>
      <c r="R658" s="433"/>
      <c r="S658" s="433"/>
      <c r="T658" s="466"/>
      <c r="U658" s="433"/>
      <c r="V658" s="433"/>
      <c r="W658" s="433"/>
    </row>
    <row r="659" spans="2:23" ht="15" customHeight="1">
      <c r="B659" s="433"/>
      <c r="C659" s="433"/>
      <c r="D659" s="433"/>
      <c r="E659" s="433"/>
      <c r="F659" s="434"/>
      <c r="G659" s="435"/>
      <c r="H659" s="433"/>
      <c r="J659" s="434"/>
      <c r="K659" s="433"/>
      <c r="L659" s="433"/>
      <c r="M659" s="433"/>
      <c r="N659" s="433"/>
      <c r="O659" s="433"/>
      <c r="P659" s="433"/>
      <c r="Q659" s="433"/>
      <c r="R659" s="433"/>
      <c r="S659" s="433"/>
      <c r="T659" s="466"/>
      <c r="U659" s="433"/>
      <c r="V659" s="433"/>
      <c r="W659" s="433"/>
    </row>
    <row r="660" spans="2:23" ht="15" customHeight="1">
      <c r="B660" s="433"/>
      <c r="C660" s="433"/>
      <c r="D660" s="433"/>
      <c r="E660" s="433"/>
      <c r="F660" s="434"/>
      <c r="G660" s="435"/>
      <c r="H660" s="433"/>
      <c r="J660" s="434"/>
      <c r="K660" s="433"/>
      <c r="L660" s="433"/>
      <c r="M660" s="433"/>
      <c r="N660" s="433"/>
      <c r="O660" s="433"/>
      <c r="P660" s="433"/>
      <c r="Q660" s="433"/>
      <c r="R660" s="433"/>
      <c r="S660" s="433"/>
      <c r="T660" s="466"/>
      <c r="U660" s="433"/>
      <c r="V660" s="433"/>
      <c r="W660" s="433"/>
    </row>
    <row r="661" spans="2:23" ht="15" customHeight="1">
      <c r="B661" s="433"/>
      <c r="C661" s="433"/>
      <c r="D661" s="433"/>
      <c r="E661" s="433"/>
      <c r="F661" s="434"/>
      <c r="G661" s="435"/>
      <c r="H661" s="433"/>
      <c r="J661" s="434"/>
      <c r="K661" s="433"/>
      <c r="L661" s="433"/>
      <c r="M661" s="433"/>
      <c r="N661" s="433"/>
      <c r="O661" s="433"/>
      <c r="P661" s="433"/>
      <c r="Q661" s="433"/>
      <c r="R661" s="433"/>
      <c r="S661" s="433"/>
      <c r="T661" s="466"/>
      <c r="U661" s="433"/>
      <c r="V661" s="433"/>
      <c r="W661" s="433"/>
    </row>
    <row r="662" spans="2:23" ht="15" customHeight="1">
      <c r="B662" s="433"/>
      <c r="C662" s="433"/>
      <c r="D662" s="433"/>
      <c r="E662" s="433"/>
      <c r="F662" s="434"/>
      <c r="G662" s="435"/>
      <c r="H662" s="433"/>
      <c r="J662" s="434"/>
      <c r="K662" s="433"/>
      <c r="L662" s="433"/>
      <c r="M662" s="433"/>
      <c r="N662" s="433"/>
      <c r="O662" s="433"/>
      <c r="P662" s="433"/>
      <c r="Q662" s="433"/>
      <c r="R662" s="433"/>
      <c r="S662" s="433"/>
      <c r="T662" s="466"/>
      <c r="U662" s="433"/>
      <c r="V662" s="433"/>
      <c r="W662" s="433"/>
    </row>
    <row r="663" spans="2:23" ht="15" customHeight="1">
      <c r="B663" s="433"/>
      <c r="C663" s="433"/>
      <c r="D663" s="433"/>
      <c r="E663" s="433"/>
      <c r="F663" s="434"/>
      <c r="G663" s="435"/>
      <c r="H663" s="433"/>
      <c r="J663" s="434"/>
      <c r="K663" s="433"/>
      <c r="L663" s="433"/>
      <c r="M663" s="433"/>
      <c r="N663" s="433"/>
      <c r="O663" s="433"/>
      <c r="P663" s="433"/>
      <c r="Q663" s="433"/>
      <c r="R663" s="433"/>
      <c r="S663" s="433"/>
      <c r="T663" s="466"/>
      <c r="U663" s="433"/>
      <c r="V663" s="433"/>
      <c r="W663" s="433"/>
    </row>
    <row r="664" spans="2:23" ht="15" customHeight="1">
      <c r="B664" s="433"/>
      <c r="C664" s="433"/>
      <c r="D664" s="433"/>
      <c r="E664" s="433"/>
      <c r="F664" s="434"/>
      <c r="G664" s="435"/>
      <c r="H664" s="433"/>
      <c r="J664" s="434"/>
      <c r="K664" s="433"/>
      <c r="L664" s="433"/>
      <c r="M664" s="433"/>
      <c r="N664" s="433"/>
      <c r="O664" s="433"/>
      <c r="P664" s="433"/>
      <c r="Q664" s="433"/>
      <c r="R664" s="433"/>
      <c r="S664" s="433"/>
      <c r="T664" s="466"/>
      <c r="U664" s="433"/>
      <c r="V664" s="433"/>
      <c r="W664" s="433"/>
    </row>
    <row r="665" spans="2:23" ht="15" customHeight="1">
      <c r="B665" s="433"/>
      <c r="C665" s="433"/>
      <c r="D665" s="433"/>
      <c r="E665" s="433"/>
      <c r="F665" s="434"/>
      <c r="G665" s="435"/>
      <c r="H665" s="433"/>
      <c r="J665" s="434"/>
      <c r="K665" s="433"/>
      <c r="L665" s="433"/>
      <c r="M665" s="433"/>
      <c r="N665" s="433"/>
      <c r="O665" s="433"/>
      <c r="P665" s="433"/>
      <c r="Q665" s="433"/>
      <c r="R665" s="433"/>
      <c r="S665" s="433"/>
      <c r="T665" s="466"/>
      <c r="U665" s="433"/>
      <c r="V665" s="433"/>
      <c r="W665" s="433"/>
    </row>
    <row r="666" spans="2:23" ht="15" customHeight="1">
      <c r="B666" s="433"/>
      <c r="C666" s="433"/>
      <c r="D666" s="433"/>
      <c r="E666" s="433"/>
      <c r="F666" s="434"/>
      <c r="G666" s="435"/>
      <c r="H666" s="433"/>
      <c r="J666" s="434"/>
      <c r="K666" s="433"/>
      <c r="L666" s="433"/>
      <c r="M666" s="433"/>
      <c r="N666" s="433"/>
      <c r="O666" s="433"/>
      <c r="P666" s="433"/>
      <c r="Q666" s="433"/>
      <c r="R666" s="433"/>
      <c r="S666" s="433"/>
      <c r="T666" s="466"/>
      <c r="U666" s="433"/>
      <c r="V666" s="433"/>
      <c r="W666" s="433"/>
    </row>
    <row r="667" spans="2:23" ht="15" customHeight="1">
      <c r="B667" s="433"/>
      <c r="C667" s="433"/>
      <c r="D667" s="433"/>
      <c r="E667" s="433"/>
      <c r="F667" s="434"/>
      <c r="G667" s="435"/>
      <c r="H667" s="433"/>
      <c r="J667" s="434"/>
      <c r="K667" s="433"/>
      <c r="L667" s="433"/>
      <c r="M667" s="433"/>
      <c r="N667" s="433"/>
      <c r="O667" s="433"/>
      <c r="P667" s="433"/>
      <c r="Q667" s="433"/>
      <c r="R667" s="433"/>
      <c r="S667" s="433"/>
      <c r="T667" s="466"/>
      <c r="U667" s="433"/>
      <c r="V667" s="433"/>
      <c r="W667" s="433"/>
    </row>
    <row r="668" spans="2:23" ht="15" customHeight="1">
      <c r="B668" s="433"/>
      <c r="C668" s="433"/>
      <c r="D668" s="433"/>
      <c r="E668" s="433"/>
      <c r="F668" s="434"/>
      <c r="G668" s="435"/>
      <c r="H668" s="433"/>
      <c r="J668" s="434"/>
      <c r="K668" s="433"/>
      <c r="L668" s="433"/>
      <c r="M668" s="433"/>
      <c r="N668" s="433"/>
      <c r="O668" s="433"/>
      <c r="P668" s="433"/>
      <c r="Q668" s="433"/>
      <c r="R668" s="433"/>
      <c r="S668" s="433"/>
      <c r="T668" s="466"/>
      <c r="U668" s="433"/>
      <c r="V668" s="433"/>
      <c r="W668" s="433"/>
    </row>
    <row r="669" spans="2:23" ht="15" customHeight="1">
      <c r="B669" s="433"/>
      <c r="C669" s="433"/>
      <c r="D669" s="433"/>
      <c r="E669" s="433"/>
      <c r="F669" s="434"/>
      <c r="G669" s="435"/>
      <c r="H669" s="433"/>
      <c r="J669" s="434"/>
      <c r="K669" s="433"/>
      <c r="L669" s="433"/>
      <c r="M669" s="433"/>
      <c r="N669" s="433"/>
      <c r="O669" s="433"/>
      <c r="P669" s="433"/>
      <c r="Q669" s="433"/>
      <c r="R669" s="433"/>
      <c r="S669" s="433"/>
      <c r="T669" s="466"/>
      <c r="U669" s="433"/>
      <c r="V669" s="433"/>
      <c r="W669" s="433"/>
    </row>
    <row r="670" spans="2:23" ht="15" customHeight="1">
      <c r="B670" s="433"/>
      <c r="C670" s="433"/>
      <c r="D670" s="433"/>
      <c r="E670" s="433"/>
      <c r="F670" s="434"/>
      <c r="G670" s="435"/>
      <c r="H670" s="433"/>
      <c r="J670" s="434"/>
      <c r="K670" s="433"/>
      <c r="L670" s="433"/>
      <c r="M670" s="433"/>
      <c r="N670" s="433"/>
      <c r="O670" s="433"/>
      <c r="P670" s="433"/>
      <c r="Q670" s="433"/>
      <c r="R670" s="433"/>
      <c r="S670" s="433"/>
      <c r="T670" s="466"/>
      <c r="U670" s="433"/>
      <c r="V670" s="433"/>
      <c r="W670" s="433"/>
    </row>
    <row r="671" spans="2:23" ht="15" customHeight="1">
      <c r="B671" s="433"/>
      <c r="C671" s="433"/>
      <c r="D671" s="433"/>
      <c r="E671" s="433"/>
      <c r="F671" s="434"/>
      <c r="G671" s="435"/>
      <c r="H671" s="433"/>
      <c r="J671" s="434"/>
      <c r="K671" s="433"/>
      <c r="L671" s="433"/>
      <c r="M671" s="433"/>
      <c r="N671" s="433"/>
      <c r="O671" s="433"/>
      <c r="P671" s="433"/>
      <c r="Q671" s="433"/>
      <c r="R671" s="433"/>
      <c r="S671" s="433"/>
      <c r="T671" s="466"/>
      <c r="U671" s="433"/>
      <c r="V671" s="433"/>
      <c r="W671" s="433"/>
    </row>
    <row r="672" spans="2:23" ht="15" customHeight="1">
      <c r="B672" s="433"/>
      <c r="C672" s="433"/>
      <c r="D672" s="433"/>
      <c r="E672" s="433"/>
      <c r="F672" s="434"/>
      <c r="G672" s="435"/>
      <c r="H672" s="433"/>
      <c r="J672" s="434"/>
      <c r="K672" s="433"/>
      <c r="L672" s="433"/>
      <c r="M672" s="433"/>
      <c r="N672" s="433"/>
      <c r="O672" s="433"/>
      <c r="P672" s="433"/>
      <c r="Q672" s="433"/>
      <c r="R672" s="433"/>
      <c r="S672" s="433"/>
      <c r="T672" s="466"/>
      <c r="U672" s="433"/>
      <c r="V672" s="433"/>
      <c r="W672" s="433"/>
    </row>
    <row r="673" spans="2:23" ht="15" customHeight="1">
      <c r="B673" s="433"/>
      <c r="C673" s="433"/>
      <c r="D673" s="433"/>
      <c r="E673" s="433"/>
      <c r="F673" s="434"/>
      <c r="G673" s="435"/>
      <c r="H673" s="433"/>
      <c r="J673" s="434"/>
      <c r="K673" s="433"/>
      <c r="L673" s="433"/>
      <c r="M673" s="433"/>
      <c r="N673" s="433"/>
      <c r="O673" s="433"/>
      <c r="P673" s="433"/>
      <c r="Q673" s="433"/>
      <c r="R673" s="433"/>
      <c r="S673" s="433"/>
      <c r="T673" s="466"/>
      <c r="U673" s="433"/>
      <c r="V673" s="433"/>
      <c r="W673" s="433"/>
    </row>
    <row r="674" spans="2:23" ht="15" customHeight="1">
      <c r="B674" s="433"/>
      <c r="C674" s="433"/>
      <c r="D674" s="433"/>
      <c r="E674" s="433"/>
      <c r="F674" s="434"/>
      <c r="G674" s="435"/>
      <c r="H674" s="433"/>
      <c r="J674" s="434"/>
      <c r="K674" s="433"/>
      <c r="L674" s="433"/>
      <c r="M674" s="433"/>
      <c r="N674" s="433"/>
      <c r="O674" s="433"/>
      <c r="P674" s="433"/>
      <c r="Q674" s="433"/>
      <c r="R674" s="433"/>
      <c r="S674" s="433"/>
      <c r="T674" s="466"/>
      <c r="U674" s="433"/>
      <c r="V674" s="433"/>
      <c r="W674" s="433"/>
    </row>
    <row r="675" spans="2:23" ht="15" customHeight="1">
      <c r="B675" s="433"/>
      <c r="C675" s="433"/>
      <c r="D675" s="433"/>
      <c r="E675" s="433"/>
      <c r="F675" s="434"/>
      <c r="G675" s="435"/>
      <c r="H675" s="433"/>
      <c r="J675" s="434"/>
      <c r="K675" s="433"/>
      <c r="L675" s="433"/>
      <c r="M675" s="433"/>
      <c r="N675" s="433"/>
      <c r="O675" s="433"/>
      <c r="P675" s="433"/>
      <c r="Q675" s="433"/>
      <c r="R675" s="433"/>
      <c r="S675" s="433"/>
      <c r="T675" s="466"/>
      <c r="U675" s="433"/>
      <c r="V675" s="433"/>
      <c r="W675" s="433"/>
    </row>
    <row r="676" spans="2:23" ht="15" customHeight="1">
      <c r="B676" s="433"/>
      <c r="C676" s="433"/>
      <c r="D676" s="433"/>
      <c r="E676" s="433"/>
      <c r="F676" s="434"/>
      <c r="G676" s="435"/>
      <c r="H676" s="433"/>
      <c r="J676" s="434"/>
      <c r="K676" s="433"/>
      <c r="L676" s="433"/>
      <c r="M676" s="433"/>
      <c r="N676" s="433"/>
      <c r="O676" s="433"/>
      <c r="P676" s="433"/>
      <c r="Q676" s="433"/>
      <c r="R676" s="433"/>
      <c r="S676" s="433"/>
      <c r="T676" s="466"/>
      <c r="U676" s="433"/>
      <c r="V676" s="433"/>
      <c r="W676" s="433"/>
    </row>
    <row r="677" spans="2:23" ht="15" customHeight="1">
      <c r="B677" s="433"/>
      <c r="C677" s="433"/>
      <c r="D677" s="433"/>
      <c r="E677" s="433"/>
      <c r="F677" s="434"/>
      <c r="G677" s="435"/>
      <c r="H677" s="433"/>
      <c r="J677" s="434"/>
      <c r="K677" s="433"/>
      <c r="L677" s="433"/>
      <c r="M677" s="433"/>
      <c r="N677" s="433"/>
      <c r="O677" s="433"/>
      <c r="P677" s="433"/>
      <c r="Q677" s="433"/>
      <c r="R677" s="433"/>
      <c r="S677" s="433"/>
      <c r="T677" s="466"/>
      <c r="U677" s="433"/>
      <c r="V677" s="433"/>
      <c r="W677" s="433"/>
    </row>
    <row r="678" spans="2:23" ht="15" customHeight="1">
      <c r="B678" s="433"/>
      <c r="C678" s="433"/>
      <c r="D678" s="433"/>
      <c r="E678" s="433"/>
      <c r="F678" s="434"/>
      <c r="G678" s="435"/>
      <c r="H678" s="433"/>
      <c r="J678" s="434"/>
      <c r="K678" s="433"/>
      <c r="L678" s="433"/>
      <c r="M678" s="433"/>
      <c r="N678" s="433"/>
      <c r="O678" s="433"/>
      <c r="P678" s="433"/>
      <c r="Q678" s="433"/>
      <c r="R678" s="433"/>
      <c r="S678" s="433"/>
      <c r="T678" s="466"/>
      <c r="U678" s="433"/>
      <c r="V678" s="433"/>
      <c r="W678" s="433"/>
    </row>
    <row r="679" spans="2:23" ht="15" customHeight="1">
      <c r="B679" s="433"/>
      <c r="C679" s="433"/>
      <c r="D679" s="433"/>
      <c r="E679" s="433"/>
      <c r="F679" s="434"/>
      <c r="G679" s="435"/>
      <c r="H679" s="433"/>
      <c r="J679" s="434"/>
      <c r="K679" s="433"/>
      <c r="L679" s="433"/>
      <c r="M679" s="433"/>
      <c r="N679" s="433"/>
      <c r="O679" s="433"/>
      <c r="P679" s="433"/>
      <c r="Q679" s="433"/>
      <c r="R679" s="433"/>
      <c r="S679" s="433"/>
      <c r="T679" s="466"/>
      <c r="U679" s="433"/>
      <c r="V679" s="433"/>
      <c r="W679" s="433"/>
    </row>
    <row r="680" spans="2:23" ht="15" customHeight="1">
      <c r="B680" s="433"/>
      <c r="C680" s="433"/>
      <c r="D680" s="433"/>
      <c r="E680" s="433"/>
      <c r="F680" s="434"/>
      <c r="G680" s="435"/>
      <c r="H680" s="433"/>
      <c r="J680" s="434"/>
      <c r="K680" s="433"/>
      <c r="L680" s="433"/>
      <c r="M680" s="433"/>
      <c r="N680" s="433"/>
      <c r="O680" s="433"/>
      <c r="P680" s="433"/>
      <c r="Q680" s="433"/>
      <c r="R680" s="433"/>
      <c r="S680" s="433"/>
      <c r="T680" s="466"/>
      <c r="U680" s="433"/>
      <c r="V680" s="433"/>
      <c r="W680" s="433"/>
    </row>
    <row r="681" spans="2:23" ht="15" customHeight="1">
      <c r="B681" s="433"/>
      <c r="C681" s="433"/>
      <c r="D681" s="433"/>
      <c r="E681" s="433"/>
      <c r="F681" s="434"/>
      <c r="G681" s="435"/>
      <c r="H681" s="433"/>
      <c r="J681" s="434"/>
      <c r="K681" s="433"/>
      <c r="L681" s="433"/>
      <c r="M681" s="433"/>
      <c r="N681" s="433"/>
      <c r="O681" s="433"/>
      <c r="P681" s="433"/>
      <c r="Q681" s="433"/>
      <c r="R681" s="433"/>
      <c r="S681" s="433"/>
      <c r="T681" s="466"/>
      <c r="U681" s="433"/>
      <c r="V681" s="433"/>
      <c r="W681" s="433"/>
    </row>
    <row r="682" spans="2:23" ht="15" customHeight="1">
      <c r="B682" s="433"/>
      <c r="C682" s="433"/>
      <c r="D682" s="433"/>
      <c r="E682" s="433"/>
      <c r="F682" s="434"/>
      <c r="G682" s="435"/>
      <c r="H682" s="433"/>
      <c r="J682" s="434"/>
      <c r="K682" s="433"/>
      <c r="L682" s="433"/>
      <c r="M682" s="433"/>
      <c r="N682" s="433"/>
      <c r="O682" s="433"/>
      <c r="P682" s="433"/>
      <c r="Q682" s="433"/>
      <c r="R682" s="433"/>
      <c r="S682" s="433"/>
      <c r="T682" s="466"/>
      <c r="U682" s="433"/>
      <c r="V682" s="433"/>
      <c r="W682" s="433"/>
    </row>
    <row r="683" spans="2:23" ht="15" customHeight="1">
      <c r="B683" s="433"/>
      <c r="C683" s="433"/>
      <c r="D683" s="433"/>
      <c r="E683" s="433"/>
      <c r="F683" s="434"/>
      <c r="G683" s="435"/>
      <c r="H683" s="433"/>
      <c r="J683" s="434"/>
      <c r="K683" s="433"/>
      <c r="L683" s="433"/>
      <c r="M683" s="433"/>
      <c r="N683" s="433"/>
      <c r="O683" s="433"/>
      <c r="P683" s="433"/>
      <c r="Q683" s="433"/>
      <c r="R683" s="433"/>
      <c r="S683" s="433"/>
      <c r="T683" s="466"/>
      <c r="U683" s="433"/>
      <c r="V683" s="433"/>
      <c r="W683" s="433"/>
    </row>
    <row r="684" spans="2:23" ht="15" customHeight="1">
      <c r="B684" s="433"/>
      <c r="C684" s="433"/>
      <c r="D684" s="433"/>
      <c r="E684" s="433"/>
      <c r="F684" s="434"/>
      <c r="G684" s="435"/>
      <c r="H684" s="433"/>
      <c r="J684" s="434"/>
      <c r="K684" s="433"/>
      <c r="L684" s="433"/>
      <c r="M684" s="433"/>
      <c r="N684" s="433"/>
      <c r="O684" s="433"/>
      <c r="P684" s="433"/>
      <c r="Q684" s="433"/>
      <c r="R684" s="433"/>
      <c r="S684" s="433"/>
      <c r="T684" s="466"/>
      <c r="U684" s="433"/>
      <c r="V684" s="433"/>
      <c r="W684" s="433"/>
    </row>
    <row r="685" spans="2:23" ht="15" customHeight="1">
      <c r="B685" s="433"/>
      <c r="C685" s="433"/>
      <c r="D685" s="433"/>
      <c r="E685" s="433"/>
      <c r="F685" s="434"/>
      <c r="G685" s="435"/>
      <c r="H685" s="433"/>
      <c r="J685" s="434"/>
      <c r="K685" s="433"/>
      <c r="L685" s="433"/>
      <c r="M685" s="433"/>
      <c r="N685" s="433"/>
      <c r="O685" s="433"/>
      <c r="P685" s="433"/>
      <c r="Q685" s="433"/>
      <c r="R685" s="433"/>
      <c r="S685" s="433"/>
      <c r="T685" s="466"/>
      <c r="U685" s="433"/>
      <c r="V685" s="433"/>
      <c r="W685" s="433"/>
    </row>
    <row r="686" spans="2:23" ht="15" customHeight="1">
      <c r="B686" s="433"/>
      <c r="C686" s="433"/>
      <c r="D686" s="433"/>
      <c r="E686" s="433"/>
      <c r="F686" s="434"/>
      <c r="G686" s="435"/>
      <c r="H686" s="433"/>
      <c r="J686" s="434"/>
      <c r="K686" s="433"/>
      <c r="L686" s="433"/>
      <c r="M686" s="433"/>
      <c r="N686" s="433"/>
      <c r="O686" s="433"/>
      <c r="P686" s="433"/>
      <c r="Q686" s="433"/>
      <c r="R686" s="433"/>
      <c r="S686" s="433"/>
      <c r="T686" s="466"/>
      <c r="U686" s="433"/>
      <c r="V686" s="433"/>
      <c r="W686" s="433"/>
    </row>
    <row r="687" spans="2:23" ht="15" customHeight="1">
      <c r="B687" s="433"/>
      <c r="C687" s="433"/>
      <c r="D687" s="433"/>
      <c r="E687" s="433"/>
      <c r="F687" s="434"/>
      <c r="G687" s="435"/>
      <c r="H687" s="433"/>
      <c r="J687" s="434"/>
      <c r="K687" s="433"/>
      <c r="L687" s="433"/>
      <c r="M687" s="433"/>
      <c r="N687" s="433"/>
      <c r="O687" s="433"/>
      <c r="P687" s="433"/>
      <c r="Q687" s="433"/>
      <c r="R687" s="433"/>
      <c r="S687" s="433"/>
      <c r="T687" s="466"/>
      <c r="U687" s="433"/>
      <c r="V687" s="433"/>
      <c r="W687" s="433"/>
    </row>
    <row r="688" spans="2:23" ht="15" customHeight="1">
      <c r="B688" s="433"/>
      <c r="C688" s="433"/>
      <c r="D688" s="433"/>
      <c r="E688" s="433"/>
      <c r="F688" s="434"/>
      <c r="G688" s="435"/>
      <c r="H688" s="433"/>
      <c r="J688" s="434"/>
      <c r="K688" s="433"/>
      <c r="L688" s="433"/>
      <c r="M688" s="433"/>
      <c r="N688" s="433"/>
      <c r="O688" s="433"/>
      <c r="P688" s="433"/>
      <c r="Q688" s="433"/>
      <c r="R688" s="433"/>
      <c r="S688" s="433"/>
      <c r="T688" s="466"/>
      <c r="U688" s="433"/>
      <c r="V688" s="433"/>
      <c r="W688" s="433"/>
    </row>
    <row r="689" spans="2:23" ht="15" customHeight="1">
      <c r="B689" s="433"/>
      <c r="C689" s="433"/>
      <c r="D689" s="433"/>
      <c r="E689" s="433"/>
      <c r="F689" s="434"/>
      <c r="G689" s="435"/>
      <c r="H689" s="433"/>
      <c r="J689" s="434"/>
      <c r="K689" s="433"/>
      <c r="L689" s="433"/>
      <c r="M689" s="433"/>
      <c r="N689" s="433"/>
      <c r="O689" s="433"/>
      <c r="P689" s="433"/>
      <c r="Q689" s="433"/>
      <c r="R689" s="433"/>
      <c r="S689" s="433"/>
      <c r="T689" s="466"/>
      <c r="U689" s="433"/>
      <c r="V689" s="433"/>
      <c r="W689" s="433"/>
    </row>
    <row r="690" spans="2:23" ht="15" customHeight="1">
      <c r="B690" s="433"/>
      <c r="C690" s="433"/>
      <c r="D690" s="433"/>
      <c r="E690" s="433"/>
      <c r="F690" s="434"/>
      <c r="G690" s="435"/>
      <c r="H690" s="433"/>
      <c r="J690" s="434"/>
      <c r="K690" s="433"/>
      <c r="L690" s="433"/>
      <c r="M690" s="433"/>
      <c r="N690" s="433"/>
      <c r="O690" s="433"/>
      <c r="P690" s="433"/>
      <c r="Q690" s="433"/>
      <c r="R690" s="433"/>
      <c r="S690" s="433"/>
      <c r="T690" s="466"/>
      <c r="U690" s="433"/>
      <c r="V690" s="433"/>
      <c r="W690" s="433"/>
    </row>
    <row r="691" spans="2:23" ht="15" customHeight="1">
      <c r="B691" s="433"/>
      <c r="C691" s="433"/>
      <c r="D691" s="433"/>
      <c r="E691" s="433"/>
      <c r="F691" s="434"/>
      <c r="G691" s="435"/>
      <c r="H691" s="433"/>
      <c r="J691" s="434"/>
      <c r="K691" s="433"/>
      <c r="L691" s="433"/>
      <c r="M691" s="433"/>
      <c r="N691" s="433"/>
      <c r="O691" s="433"/>
      <c r="P691" s="433"/>
      <c r="Q691" s="433"/>
      <c r="R691" s="433"/>
      <c r="S691" s="433"/>
      <c r="T691" s="466"/>
      <c r="U691" s="433"/>
      <c r="V691" s="433"/>
      <c r="W691" s="433"/>
    </row>
    <row r="692" spans="2:23" ht="15" customHeight="1">
      <c r="B692" s="433"/>
      <c r="C692" s="433"/>
      <c r="D692" s="433"/>
      <c r="E692" s="433"/>
      <c r="F692" s="434"/>
      <c r="G692" s="435"/>
      <c r="H692" s="433"/>
      <c r="J692" s="434"/>
      <c r="K692" s="433"/>
      <c r="L692" s="433"/>
      <c r="M692" s="433"/>
      <c r="N692" s="433"/>
      <c r="O692" s="433"/>
      <c r="P692" s="433"/>
      <c r="Q692" s="433"/>
      <c r="R692" s="433"/>
      <c r="S692" s="433"/>
      <c r="T692" s="466"/>
      <c r="U692" s="433"/>
      <c r="V692" s="433"/>
      <c r="W692" s="433"/>
    </row>
    <row r="693" spans="2:23" ht="15" customHeight="1">
      <c r="B693" s="433"/>
      <c r="C693" s="433"/>
      <c r="D693" s="433"/>
      <c r="E693" s="433"/>
      <c r="F693" s="434"/>
      <c r="G693" s="435"/>
      <c r="H693" s="433"/>
      <c r="J693" s="434"/>
      <c r="K693" s="433"/>
      <c r="L693" s="433"/>
      <c r="M693" s="433"/>
      <c r="N693" s="433"/>
      <c r="O693" s="433"/>
      <c r="P693" s="433"/>
      <c r="Q693" s="433"/>
      <c r="R693" s="433"/>
      <c r="S693" s="433"/>
      <c r="T693" s="466"/>
      <c r="U693" s="433"/>
      <c r="V693" s="433"/>
      <c r="W693" s="433"/>
    </row>
    <row r="694" spans="2:23" ht="15" customHeight="1">
      <c r="B694" s="433"/>
      <c r="C694" s="433"/>
      <c r="D694" s="433"/>
      <c r="E694" s="433"/>
      <c r="F694" s="434"/>
      <c r="G694" s="435"/>
      <c r="H694" s="433"/>
      <c r="J694" s="434"/>
      <c r="K694" s="433"/>
      <c r="L694" s="433"/>
      <c r="M694" s="433"/>
      <c r="N694" s="433"/>
      <c r="O694" s="433"/>
      <c r="P694" s="433"/>
      <c r="Q694" s="433"/>
      <c r="R694" s="433"/>
      <c r="S694" s="433"/>
      <c r="T694" s="466"/>
      <c r="U694" s="433"/>
      <c r="V694" s="433"/>
      <c r="W694" s="433"/>
    </row>
    <row r="695" spans="2:23" ht="15" customHeight="1">
      <c r="B695" s="433"/>
      <c r="C695" s="433"/>
      <c r="D695" s="433"/>
      <c r="E695" s="433"/>
      <c r="F695" s="434"/>
      <c r="G695" s="435"/>
      <c r="H695" s="433"/>
      <c r="J695" s="434"/>
      <c r="K695" s="433"/>
      <c r="L695" s="433"/>
      <c r="M695" s="433"/>
      <c r="N695" s="433"/>
      <c r="O695" s="433"/>
      <c r="P695" s="433"/>
      <c r="Q695" s="433"/>
      <c r="R695" s="433"/>
      <c r="S695" s="433"/>
      <c r="T695" s="466"/>
      <c r="U695" s="433"/>
      <c r="V695" s="433"/>
      <c r="W695" s="433"/>
    </row>
    <row r="696" spans="2:23" ht="15" customHeight="1">
      <c r="B696" s="433"/>
      <c r="C696" s="433"/>
      <c r="D696" s="433"/>
      <c r="E696" s="433"/>
      <c r="F696" s="434"/>
      <c r="G696" s="435"/>
      <c r="H696" s="433"/>
      <c r="J696" s="434"/>
      <c r="K696" s="433"/>
      <c r="L696" s="433"/>
      <c r="M696" s="433"/>
      <c r="N696" s="433"/>
      <c r="O696" s="433"/>
      <c r="P696" s="433"/>
      <c r="Q696" s="433"/>
      <c r="R696" s="433"/>
      <c r="S696" s="433"/>
      <c r="T696" s="466"/>
      <c r="U696" s="433"/>
      <c r="V696" s="433"/>
      <c r="W696" s="433"/>
    </row>
    <row r="697" spans="2:23" ht="15" customHeight="1">
      <c r="B697" s="433"/>
      <c r="C697" s="433"/>
      <c r="D697" s="433"/>
      <c r="E697" s="433"/>
      <c r="F697" s="434"/>
      <c r="G697" s="435"/>
      <c r="H697" s="433"/>
      <c r="J697" s="434"/>
      <c r="K697" s="433"/>
      <c r="L697" s="433"/>
      <c r="M697" s="433"/>
      <c r="N697" s="433"/>
      <c r="O697" s="433"/>
      <c r="P697" s="433"/>
      <c r="Q697" s="433"/>
      <c r="R697" s="433"/>
      <c r="S697" s="433"/>
      <c r="T697" s="466"/>
      <c r="U697" s="433"/>
      <c r="V697" s="433"/>
      <c r="W697" s="433"/>
    </row>
    <row r="698" spans="2:23" ht="15" customHeight="1">
      <c r="B698" s="433"/>
      <c r="C698" s="433"/>
      <c r="D698" s="433"/>
      <c r="E698" s="433"/>
      <c r="F698" s="434"/>
      <c r="G698" s="435"/>
      <c r="H698" s="433"/>
      <c r="J698" s="434"/>
      <c r="K698" s="433"/>
      <c r="L698" s="433"/>
      <c r="M698" s="433"/>
      <c r="N698" s="433"/>
      <c r="O698" s="433"/>
      <c r="P698" s="433"/>
      <c r="Q698" s="433"/>
      <c r="R698" s="433"/>
      <c r="S698" s="433"/>
      <c r="T698" s="466"/>
      <c r="U698" s="433"/>
      <c r="V698" s="433"/>
      <c r="W698" s="433"/>
    </row>
    <row r="699" spans="2:23" ht="15" customHeight="1">
      <c r="B699" s="433"/>
      <c r="C699" s="433"/>
      <c r="D699" s="433"/>
      <c r="E699" s="433"/>
      <c r="F699" s="434"/>
      <c r="G699" s="435"/>
      <c r="H699" s="433"/>
      <c r="J699" s="434"/>
      <c r="K699" s="433"/>
      <c r="L699" s="433"/>
      <c r="M699" s="433"/>
      <c r="N699" s="433"/>
      <c r="O699" s="433"/>
      <c r="P699" s="433"/>
      <c r="Q699" s="433"/>
      <c r="R699" s="433"/>
      <c r="S699" s="433"/>
      <c r="T699" s="466"/>
      <c r="U699" s="433"/>
      <c r="V699" s="433"/>
      <c r="W699" s="433"/>
    </row>
    <row r="700" spans="2:23" ht="15" customHeight="1">
      <c r="B700" s="433"/>
      <c r="C700" s="433"/>
      <c r="D700" s="433"/>
      <c r="E700" s="433"/>
      <c r="F700" s="434"/>
      <c r="G700" s="435"/>
      <c r="H700" s="433"/>
      <c r="J700" s="434"/>
      <c r="K700" s="433"/>
      <c r="L700" s="433"/>
      <c r="M700" s="433"/>
      <c r="N700" s="433"/>
      <c r="O700" s="433"/>
      <c r="P700" s="433"/>
      <c r="Q700" s="433"/>
      <c r="R700" s="433"/>
      <c r="S700" s="433"/>
      <c r="T700" s="466"/>
      <c r="U700" s="433"/>
      <c r="V700" s="433"/>
      <c r="W700" s="433"/>
    </row>
    <row r="701" spans="2:23" ht="15" customHeight="1">
      <c r="B701" s="433"/>
      <c r="C701" s="433"/>
      <c r="D701" s="433"/>
      <c r="E701" s="433"/>
      <c r="F701" s="434"/>
      <c r="G701" s="435"/>
      <c r="H701" s="433"/>
      <c r="J701" s="434"/>
      <c r="K701" s="433"/>
      <c r="L701" s="433"/>
      <c r="M701" s="433"/>
      <c r="N701" s="433"/>
      <c r="O701" s="433"/>
      <c r="P701" s="433"/>
      <c r="Q701" s="433"/>
      <c r="R701" s="433"/>
      <c r="S701" s="433"/>
      <c r="T701" s="466"/>
      <c r="U701" s="433"/>
      <c r="V701" s="433"/>
      <c r="W701" s="433"/>
    </row>
    <row r="702" spans="2:23" ht="15" customHeight="1">
      <c r="B702" s="433"/>
      <c r="C702" s="433"/>
      <c r="D702" s="433"/>
      <c r="E702" s="433"/>
      <c r="F702" s="434"/>
      <c r="G702" s="435"/>
      <c r="H702" s="433"/>
      <c r="J702" s="434"/>
      <c r="K702" s="433"/>
      <c r="L702" s="433"/>
      <c r="M702" s="433"/>
      <c r="N702" s="433"/>
      <c r="O702" s="433"/>
      <c r="P702" s="433"/>
      <c r="Q702" s="433"/>
      <c r="R702" s="433"/>
      <c r="S702" s="433"/>
      <c r="T702" s="466"/>
      <c r="U702" s="433"/>
      <c r="V702" s="433"/>
      <c r="W702" s="433"/>
    </row>
    <row r="703" spans="2:23" ht="15" customHeight="1">
      <c r="B703" s="433"/>
      <c r="C703" s="433"/>
      <c r="D703" s="433"/>
      <c r="E703" s="433"/>
      <c r="F703" s="434"/>
      <c r="G703" s="435"/>
      <c r="H703" s="433"/>
      <c r="J703" s="434"/>
      <c r="K703" s="433"/>
      <c r="L703" s="433"/>
      <c r="M703" s="433"/>
      <c r="N703" s="433"/>
      <c r="O703" s="433"/>
      <c r="P703" s="433"/>
      <c r="Q703" s="433"/>
      <c r="R703" s="433"/>
      <c r="S703" s="433"/>
      <c r="T703" s="466"/>
      <c r="U703" s="433"/>
      <c r="V703" s="433"/>
      <c r="W703" s="433"/>
    </row>
    <row r="704" spans="2:23" ht="15" customHeight="1">
      <c r="B704" s="433"/>
      <c r="C704" s="433"/>
      <c r="D704" s="433"/>
      <c r="E704" s="433"/>
      <c r="F704" s="434"/>
      <c r="G704" s="435"/>
      <c r="H704" s="433"/>
      <c r="J704" s="434"/>
      <c r="K704" s="433"/>
      <c r="L704" s="433"/>
      <c r="M704" s="433"/>
      <c r="N704" s="433"/>
      <c r="O704" s="433"/>
      <c r="P704" s="433"/>
      <c r="Q704" s="433"/>
      <c r="R704" s="433"/>
      <c r="S704" s="433"/>
      <c r="T704" s="466"/>
      <c r="U704" s="433"/>
      <c r="V704" s="433"/>
      <c r="W704" s="433"/>
    </row>
    <row r="705" spans="2:23" ht="15" customHeight="1">
      <c r="B705" s="433"/>
      <c r="C705" s="433"/>
      <c r="D705" s="433"/>
      <c r="E705" s="433"/>
      <c r="F705" s="434"/>
      <c r="G705" s="435"/>
      <c r="H705" s="433"/>
      <c r="J705" s="434"/>
      <c r="K705" s="433"/>
      <c r="L705" s="433"/>
      <c r="M705" s="433"/>
      <c r="N705" s="433"/>
      <c r="O705" s="433"/>
      <c r="P705" s="433"/>
      <c r="Q705" s="433"/>
      <c r="R705" s="433"/>
      <c r="S705" s="433"/>
      <c r="T705" s="466"/>
      <c r="U705" s="433"/>
      <c r="V705" s="433"/>
      <c r="W705" s="433"/>
    </row>
    <row r="706" spans="2:23" ht="15" customHeight="1">
      <c r="B706" s="433"/>
      <c r="C706" s="433"/>
      <c r="D706" s="433"/>
      <c r="E706" s="433"/>
      <c r="F706" s="434"/>
      <c r="G706" s="435"/>
      <c r="H706" s="433"/>
      <c r="J706" s="434"/>
      <c r="K706" s="433"/>
      <c r="L706" s="433"/>
      <c r="M706" s="433"/>
      <c r="N706" s="433"/>
      <c r="O706" s="433"/>
      <c r="P706" s="433"/>
      <c r="Q706" s="433"/>
      <c r="R706" s="433"/>
      <c r="S706" s="433"/>
      <c r="T706" s="466"/>
      <c r="U706" s="433"/>
      <c r="V706" s="433"/>
      <c r="W706" s="433"/>
    </row>
    <row r="707" spans="2:23" ht="15" customHeight="1">
      <c r="B707" s="433"/>
      <c r="C707" s="433"/>
      <c r="D707" s="433"/>
      <c r="E707" s="433"/>
      <c r="F707" s="434"/>
      <c r="G707" s="435"/>
      <c r="H707" s="433"/>
      <c r="J707" s="434"/>
      <c r="K707" s="433"/>
      <c r="L707" s="433"/>
      <c r="M707" s="433"/>
      <c r="N707" s="433"/>
      <c r="O707" s="433"/>
      <c r="P707" s="433"/>
      <c r="Q707" s="433"/>
      <c r="R707" s="433"/>
      <c r="S707" s="433"/>
      <c r="T707" s="466"/>
      <c r="U707" s="433"/>
      <c r="V707" s="433"/>
      <c r="W707" s="433"/>
    </row>
    <row r="708" spans="2:23" ht="15" customHeight="1">
      <c r="B708" s="433"/>
      <c r="C708" s="433"/>
      <c r="D708" s="433"/>
      <c r="E708" s="433"/>
      <c r="F708" s="434"/>
      <c r="G708" s="435"/>
      <c r="H708" s="433"/>
      <c r="J708" s="434"/>
      <c r="K708" s="433"/>
      <c r="L708" s="433"/>
      <c r="M708" s="433"/>
      <c r="N708" s="433"/>
      <c r="O708" s="433"/>
      <c r="P708" s="433"/>
      <c r="Q708" s="433"/>
      <c r="R708" s="433"/>
      <c r="S708" s="433"/>
      <c r="T708" s="466"/>
      <c r="U708" s="433"/>
      <c r="V708" s="433"/>
      <c r="W708" s="433"/>
    </row>
    <row r="709" spans="2:23" ht="15" customHeight="1">
      <c r="B709" s="433"/>
      <c r="C709" s="433"/>
      <c r="D709" s="433"/>
      <c r="E709" s="433"/>
      <c r="F709" s="434"/>
      <c r="G709" s="435"/>
      <c r="H709" s="433"/>
      <c r="J709" s="434"/>
      <c r="K709" s="433"/>
      <c r="L709" s="433"/>
      <c r="M709" s="433"/>
      <c r="N709" s="433"/>
      <c r="O709" s="433"/>
      <c r="P709" s="433"/>
      <c r="Q709" s="433"/>
      <c r="R709" s="433"/>
      <c r="S709" s="433"/>
      <c r="T709" s="466"/>
      <c r="U709" s="433"/>
      <c r="V709" s="433"/>
      <c r="W709" s="433"/>
    </row>
    <row r="710" spans="2:23" ht="15" customHeight="1">
      <c r="B710" s="433"/>
      <c r="C710" s="433"/>
      <c r="D710" s="433"/>
      <c r="E710" s="433"/>
      <c r="F710" s="434"/>
      <c r="G710" s="435"/>
      <c r="H710" s="433"/>
      <c r="J710" s="434"/>
      <c r="K710" s="433"/>
      <c r="L710" s="433"/>
      <c r="M710" s="433"/>
      <c r="N710" s="433"/>
      <c r="O710" s="433"/>
      <c r="P710" s="433"/>
      <c r="Q710" s="433"/>
      <c r="R710" s="433"/>
      <c r="S710" s="433"/>
      <c r="T710" s="466"/>
      <c r="U710" s="433"/>
      <c r="V710" s="433"/>
      <c r="W710" s="433"/>
    </row>
    <row r="711" spans="2:23" ht="15" customHeight="1">
      <c r="B711" s="433"/>
      <c r="C711" s="433"/>
      <c r="D711" s="433"/>
      <c r="E711" s="433"/>
      <c r="F711" s="434"/>
      <c r="G711" s="435"/>
      <c r="H711" s="433"/>
      <c r="J711" s="434"/>
      <c r="K711" s="433"/>
      <c r="L711" s="433"/>
      <c r="M711" s="433"/>
      <c r="N711" s="433"/>
      <c r="O711" s="433"/>
      <c r="P711" s="433"/>
      <c r="Q711" s="433"/>
      <c r="R711" s="433"/>
      <c r="S711" s="433"/>
      <c r="T711" s="466"/>
      <c r="U711" s="433"/>
      <c r="V711" s="433"/>
      <c r="W711" s="433"/>
    </row>
    <row r="712" spans="2:23" ht="15" customHeight="1">
      <c r="B712" s="433"/>
      <c r="C712" s="433"/>
      <c r="D712" s="433"/>
      <c r="E712" s="433"/>
      <c r="F712" s="434"/>
      <c r="G712" s="435"/>
      <c r="H712" s="433"/>
      <c r="J712" s="434"/>
      <c r="K712" s="433"/>
      <c r="L712" s="433"/>
      <c r="M712" s="433"/>
      <c r="N712" s="433"/>
      <c r="O712" s="433"/>
      <c r="P712" s="433"/>
      <c r="Q712" s="433"/>
      <c r="R712" s="433"/>
      <c r="S712" s="433"/>
      <c r="T712" s="466"/>
      <c r="U712" s="433"/>
      <c r="V712" s="433"/>
      <c r="W712" s="433"/>
    </row>
    <row r="713" spans="2:23" ht="15" customHeight="1">
      <c r="B713" s="433"/>
      <c r="C713" s="433"/>
      <c r="D713" s="433"/>
      <c r="E713" s="433"/>
      <c r="F713" s="434"/>
      <c r="G713" s="435"/>
      <c r="H713" s="433"/>
      <c r="J713" s="434"/>
      <c r="K713" s="433"/>
      <c r="L713" s="433"/>
      <c r="M713" s="433"/>
      <c r="N713" s="433"/>
      <c r="O713" s="433"/>
      <c r="P713" s="433"/>
      <c r="Q713" s="433"/>
      <c r="R713" s="433"/>
      <c r="S713" s="433"/>
      <c r="T713" s="466"/>
      <c r="U713" s="433"/>
      <c r="V713" s="433"/>
      <c r="W713" s="433"/>
    </row>
    <row r="714" spans="2:23" ht="15" customHeight="1">
      <c r="B714" s="433"/>
      <c r="C714" s="433"/>
      <c r="D714" s="433"/>
      <c r="E714" s="433"/>
      <c r="F714" s="434"/>
      <c r="G714" s="435"/>
      <c r="H714" s="433"/>
      <c r="J714" s="434"/>
      <c r="K714" s="433"/>
      <c r="L714" s="433"/>
      <c r="M714" s="433"/>
      <c r="N714" s="433"/>
      <c r="O714" s="433"/>
      <c r="P714" s="433"/>
      <c r="Q714" s="433"/>
      <c r="R714" s="433"/>
      <c r="S714" s="433"/>
      <c r="T714" s="466"/>
      <c r="U714" s="433"/>
      <c r="V714" s="433"/>
      <c r="W714" s="433"/>
    </row>
    <row r="715" spans="2:23" ht="15" customHeight="1">
      <c r="B715" s="433"/>
      <c r="C715" s="433"/>
      <c r="D715" s="433"/>
      <c r="E715" s="433"/>
      <c r="F715" s="434"/>
      <c r="G715" s="435"/>
      <c r="H715" s="433"/>
      <c r="J715" s="434"/>
      <c r="K715" s="433"/>
      <c r="L715" s="433"/>
      <c r="M715" s="433"/>
      <c r="N715" s="433"/>
      <c r="O715" s="433"/>
      <c r="P715" s="433"/>
      <c r="Q715" s="433"/>
      <c r="R715" s="433"/>
      <c r="S715" s="433"/>
      <c r="T715" s="466"/>
      <c r="U715" s="433"/>
      <c r="V715" s="433"/>
      <c r="W715" s="433"/>
    </row>
    <row r="716" spans="2:23" ht="15" customHeight="1">
      <c r="B716" s="433"/>
      <c r="C716" s="433"/>
      <c r="D716" s="433"/>
      <c r="E716" s="433"/>
      <c r="F716" s="434"/>
      <c r="G716" s="435"/>
      <c r="H716" s="433"/>
      <c r="J716" s="434"/>
      <c r="K716" s="433"/>
      <c r="L716" s="433"/>
      <c r="M716" s="433"/>
      <c r="N716" s="433"/>
      <c r="O716" s="433"/>
      <c r="P716" s="433"/>
      <c r="Q716" s="433"/>
      <c r="R716" s="433"/>
      <c r="S716" s="433"/>
      <c r="T716" s="466"/>
      <c r="U716" s="433"/>
      <c r="V716" s="433"/>
      <c r="W716" s="433"/>
    </row>
    <row r="717" spans="2:23" ht="15" customHeight="1">
      <c r="B717" s="433"/>
      <c r="C717" s="433"/>
      <c r="D717" s="433"/>
      <c r="E717" s="433"/>
      <c r="F717" s="434"/>
      <c r="G717" s="435"/>
      <c r="H717" s="433"/>
      <c r="J717" s="434"/>
      <c r="K717" s="433"/>
      <c r="L717" s="433"/>
      <c r="M717" s="433"/>
      <c r="N717" s="433"/>
      <c r="O717" s="433"/>
      <c r="P717" s="433"/>
      <c r="Q717" s="433"/>
      <c r="R717" s="433"/>
      <c r="S717" s="433"/>
      <c r="T717" s="466"/>
      <c r="U717" s="433"/>
      <c r="V717" s="433"/>
      <c r="W717" s="433"/>
    </row>
    <row r="718" spans="2:23" ht="15" customHeight="1">
      <c r="B718" s="433"/>
      <c r="C718" s="433"/>
      <c r="D718" s="433"/>
      <c r="E718" s="433"/>
      <c r="F718" s="434"/>
      <c r="G718" s="435"/>
      <c r="H718" s="433"/>
      <c r="J718" s="434"/>
      <c r="K718" s="433"/>
      <c r="L718" s="433"/>
      <c r="M718" s="433"/>
      <c r="N718" s="433"/>
      <c r="O718" s="433"/>
      <c r="P718" s="433"/>
      <c r="Q718" s="433"/>
      <c r="R718" s="433"/>
      <c r="S718" s="433"/>
      <c r="T718" s="466"/>
      <c r="U718" s="433"/>
      <c r="V718" s="433"/>
      <c r="W718" s="433"/>
    </row>
    <row r="719" spans="2:23" ht="15" customHeight="1">
      <c r="B719" s="433"/>
      <c r="C719" s="433"/>
      <c r="D719" s="433"/>
      <c r="E719" s="433"/>
      <c r="F719" s="434"/>
      <c r="G719" s="435"/>
      <c r="H719" s="433"/>
      <c r="J719" s="434"/>
      <c r="K719" s="433"/>
      <c r="L719" s="433"/>
      <c r="M719" s="433"/>
      <c r="N719" s="433"/>
      <c r="O719" s="433"/>
      <c r="P719" s="433"/>
      <c r="Q719" s="433"/>
      <c r="R719" s="433"/>
      <c r="S719" s="433"/>
      <c r="T719" s="466"/>
      <c r="U719" s="433"/>
      <c r="V719" s="433"/>
      <c r="W719" s="433"/>
    </row>
    <row r="720" spans="2:23" ht="15" customHeight="1">
      <c r="B720" s="433"/>
      <c r="C720" s="433"/>
      <c r="D720" s="433"/>
      <c r="E720" s="433"/>
      <c r="F720" s="434"/>
      <c r="G720" s="435"/>
      <c r="H720" s="433"/>
      <c r="J720" s="434"/>
      <c r="K720" s="433"/>
      <c r="L720" s="433"/>
      <c r="M720" s="433"/>
      <c r="N720" s="433"/>
      <c r="O720" s="433"/>
      <c r="P720" s="433"/>
      <c r="Q720" s="433"/>
      <c r="R720" s="433"/>
      <c r="S720" s="433"/>
      <c r="T720" s="466"/>
      <c r="U720" s="433"/>
      <c r="V720" s="433"/>
      <c r="W720" s="433"/>
    </row>
    <row r="721" spans="2:23" ht="15" customHeight="1">
      <c r="B721" s="433"/>
      <c r="C721" s="433"/>
      <c r="D721" s="433"/>
      <c r="E721" s="433"/>
      <c r="F721" s="434"/>
      <c r="G721" s="435"/>
      <c r="H721" s="433"/>
      <c r="J721" s="434"/>
      <c r="K721" s="433"/>
      <c r="L721" s="433"/>
      <c r="M721" s="433"/>
      <c r="N721" s="433"/>
      <c r="O721" s="433"/>
      <c r="P721" s="433"/>
      <c r="Q721" s="433"/>
      <c r="R721" s="433"/>
      <c r="S721" s="433"/>
      <c r="T721" s="466"/>
      <c r="U721" s="433"/>
      <c r="V721" s="433"/>
      <c r="W721" s="433"/>
    </row>
    <row r="722" spans="2:23" ht="15" customHeight="1">
      <c r="B722" s="433"/>
      <c r="C722" s="433"/>
      <c r="D722" s="433"/>
      <c r="E722" s="433"/>
      <c r="F722" s="434"/>
      <c r="G722" s="435"/>
      <c r="H722" s="433"/>
      <c r="J722" s="434"/>
      <c r="K722" s="433"/>
      <c r="L722" s="433"/>
      <c r="M722" s="433"/>
      <c r="N722" s="433"/>
      <c r="O722" s="433"/>
      <c r="P722" s="433"/>
      <c r="Q722" s="433"/>
      <c r="R722" s="433"/>
      <c r="S722" s="433"/>
      <c r="T722" s="466"/>
      <c r="U722" s="433"/>
      <c r="V722" s="433"/>
      <c r="W722" s="433"/>
    </row>
    <row r="723" spans="2:23" ht="15" customHeight="1">
      <c r="B723" s="433"/>
      <c r="C723" s="433"/>
      <c r="D723" s="433"/>
      <c r="E723" s="433"/>
      <c r="F723" s="434"/>
      <c r="G723" s="435"/>
      <c r="H723" s="433"/>
      <c r="J723" s="434"/>
      <c r="K723" s="433"/>
      <c r="L723" s="433"/>
      <c r="M723" s="433"/>
      <c r="N723" s="433"/>
      <c r="O723" s="433"/>
      <c r="P723" s="433"/>
      <c r="Q723" s="433"/>
      <c r="R723" s="433"/>
      <c r="S723" s="433"/>
      <c r="T723" s="466"/>
      <c r="U723" s="433"/>
      <c r="V723" s="433"/>
      <c r="W723" s="433"/>
    </row>
    <row r="724" spans="2:23" ht="15" customHeight="1">
      <c r="B724" s="433"/>
      <c r="C724" s="433"/>
      <c r="D724" s="433"/>
      <c r="E724" s="433"/>
      <c r="F724" s="434"/>
      <c r="G724" s="435"/>
      <c r="H724" s="433"/>
      <c r="J724" s="434"/>
      <c r="K724" s="433"/>
      <c r="L724" s="433"/>
      <c r="M724" s="433"/>
      <c r="N724" s="433"/>
      <c r="O724" s="433"/>
      <c r="P724" s="433"/>
      <c r="Q724" s="433"/>
      <c r="R724" s="433"/>
      <c r="S724" s="433"/>
      <c r="T724" s="466"/>
      <c r="U724" s="433"/>
      <c r="V724" s="433"/>
      <c r="W724" s="433"/>
    </row>
    <row r="725" spans="2:23" ht="15" customHeight="1">
      <c r="B725" s="433"/>
      <c r="C725" s="433"/>
      <c r="D725" s="433"/>
      <c r="E725" s="433"/>
      <c r="F725" s="434"/>
      <c r="G725" s="435"/>
      <c r="H725" s="433"/>
      <c r="J725" s="434"/>
      <c r="K725" s="433"/>
      <c r="L725" s="433"/>
      <c r="M725" s="433"/>
      <c r="N725" s="433"/>
      <c r="O725" s="433"/>
      <c r="P725" s="433"/>
      <c r="Q725" s="433"/>
      <c r="R725" s="433"/>
      <c r="S725" s="433"/>
      <c r="T725" s="466"/>
      <c r="U725" s="433"/>
      <c r="V725" s="433"/>
      <c r="W725" s="433"/>
    </row>
    <row r="726" spans="2:23" ht="15" customHeight="1">
      <c r="B726" s="433"/>
      <c r="C726" s="433"/>
      <c r="D726" s="433"/>
      <c r="E726" s="433"/>
      <c r="F726" s="434"/>
      <c r="G726" s="435"/>
      <c r="H726" s="433"/>
      <c r="J726" s="434"/>
      <c r="K726" s="433"/>
      <c r="L726" s="433"/>
      <c r="M726" s="433"/>
      <c r="N726" s="433"/>
      <c r="O726" s="433"/>
      <c r="P726" s="433"/>
      <c r="Q726" s="433"/>
      <c r="R726" s="433"/>
      <c r="S726" s="433"/>
      <c r="T726" s="466"/>
      <c r="U726" s="433"/>
      <c r="V726" s="433"/>
      <c r="W726" s="433"/>
    </row>
    <row r="727" spans="2:23" ht="15" customHeight="1">
      <c r="B727" s="433"/>
      <c r="C727" s="433"/>
      <c r="D727" s="433"/>
      <c r="E727" s="433"/>
      <c r="F727" s="434"/>
      <c r="G727" s="435"/>
      <c r="H727" s="433"/>
      <c r="J727" s="434"/>
      <c r="K727" s="433"/>
      <c r="L727" s="433"/>
      <c r="M727" s="433"/>
      <c r="N727" s="433"/>
      <c r="O727" s="433"/>
      <c r="P727" s="433"/>
      <c r="Q727" s="433"/>
      <c r="R727" s="433"/>
      <c r="S727" s="433"/>
      <c r="T727" s="466"/>
      <c r="U727" s="433"/>
      <c r="V727" s="433"/>
      <c r="W727" s="433"/>
    </row>
    <row r="728" spans="2:23" ht="15" customHeight="1">
      <c r="B728" s="433"/>
      <c r="C728" s="433"/>
      <c r="D728" s="433"/>
      <c r="E728" s="433"/>
      <c r="F728" s="434"/>
      <c r="G728" s="435"/>
      <c r="H728" s="433"/>
      <c r="J728" s="434"/>
      <c r="K728" s="433"/>
      <c r="L728" s="433"/>
      <c r="M728" s="433"/>
      <c r="N728" s="433"/>
      <c r="O728" s="433"/>
      <c r="P728" s="433"/>
      <c r="Q728" s="433"/>
      <c r="R728" s="433"/>
      <c r="S728" s="433"/>
      <c r="T728" s="466"/>
      <c r="U728" s="433"/>
      <c r="V728" s="433"/>
      <c r="W728" s="433"/>
    </row>
    <row r="729" spans="2:23" ht="15" customHeight="1">
      <c r="B729" s="433"/>
      <c r="C729" s="433"/>
      <c r="D729" s="433"/>
      <c r="E729" s="433"/>
      <c r="F729" s="434"/>
      <c r="G729" s="435"/>
      <c r="H729" s="433"/>
      <c r="J729" s="434"/>
      <c r="K729" s="433"/>
      <c r="L729" s="433"/>
      <c r="M729" s="433"/>
      <c r="N729" s="433"/>
      <c r="O729" s="433"/>
      <c r="P729" s="433"/>
      <c r="Q729" s="433"/>
      <c r="R729" s="433"/>
      <c r="S729" s="433"/>
      <c r="T729" s="466"/>
      <c r="U729" s="433"/>
      <c r="V729" s="433"/>
      <c r="W729" s="433"/>
    </row>
    <row r="730" spans="2:23" ht="15" customHeight="1">
      <c r="B730" s="433"/>
      <c r="C730" s="433"/>
      <c r="D730" s="433"/>
      <c r="E730" s="433"/>
      <c r="F730" s="434"/>
      <c r="G730" s="435"/>
      <c r="H730" s="433"/>
      <c r="J730" s="434"/>
      <c r="K730" s="433"/>
      <c r="L730" s="433"/>
      <c r="M730" s="433"/>
      <c r="N730" s="433"/>
      <c r="O730" s="433"/>
      <c r="P730" s="433"/>
      <c r="Q730" s="433"/>
      <c r="R730" s="433"/>
      <c r="S730" s="433"/>
      <c r="T730" s="466"/>
      <c r="U730" s="433"/>
      <c r="V730" s="433"/>
      <c r="W730" s="433"/>
    </row>
    <row r="731" spans="2:23" ht="15" customHeight="1">
      <c r="B731" s="433"/>
      <c r="C731" s="433"/>
      <c r="D731" s="433"/>
      <c r="E731" s="433"/>
      <c r="F731" s="434"/>
      <c r="G731" s="435"/>
      <c r="H731" s="433"/>
      <c r="J731" s="434"/>
      <c r="K731" s="433"/>
      <c r="L731" s="433"/>
      <c r="M731" s="433"/>
      <c r="N731" s="433"/>
      <c r="O731" s="433"/>
      <c r="P731" s="433"/>
      <c r="Q731" s="433"/>
      <c r="R731" s="433"/>
      <c r="S731" s="433"/>
      <c r="T731" s="466"/>
      <c r="U731" s="433"/>
      <c r="V731" s="433"/>
      <c r="W731" s="433"/>
    </row>
    <row r="732" spans="2:23" ht="15" customHeight="1">
      <c r="B732" s="433"/>
      <c r="C732" s="433"/>
      <c r="D732" s="433"/>
      <c r="E732" s="433"/>
      <c r="F732" s="434"/>
      <c r="G732" s="435"/>
      <c r="H732" s="433"/>
      <c r="J732" s="434"/>
      <c r="K732" s="433"/>
      <c r="L732" s="433"/>
      <c r="M732" s="433"/>
      <c r="N732" s="433"/>
      <c r="O732" s="433"/>
      <c r="P732" s="433"/>
      <c r="Q732" s="433"/>
      <c r="R732" s="433"/>
      <c r="S732" s="433"/>
      <c r="T732" s="466"/>
      <c r="U732" s="433"/>
      <c r="V732" s="433"/>
      <c r="W732" s="433"/>
    </row>
    <row r="733" spans="2:23" ht="15" customHeight="1">
      <c r="B733" s="433"/>
      <c r="C733" s="433"/>
      <c r="D733" s="433"/>
      <c r="E733" s="433"/>
      <c r="F733" s="434"/>
      <c r="G733" s="435"/>
      <c r="H733" s="433"/>
      <c r="J733" s="434"/>
      <c r="K733" s="433"/>
      <c r="L733" s="433"/>
      <c r="M733" s="433"/>
      <c r="N733" s="433"/>
      <c r="O733" s="433"/>
      <c r="P733" s="433"/>
      <c r="Q733" s="433"/>
      <c r="R733" s="433"/>
      <c r="S733" s="433"/>
      <c r="T733" s="466"/>
      <c r="U733" s="433"/>
      <c r="V733" s="433"/>
      <c r="W733" s="433"/>
    </row>
    <row r="734" spans="2:23" ht="15" customHeight="1">
      <c r="B734" s="433"/>
      <c r="C734" s="433"/>
      <c r="D734" s="433"/>
      <c r="E734" s="433"/>
      <c r="F734" s="434"/>
      <c r="G734" s="435"/>
      <c r="H734" s="433"/>
      <c r="J734" s="434"/>
      <c r="K734" s="433"/>
      <c r="L734" s="433"/>
      <c r="M734" s="433"/>
      <c r="N734" s="433"/>
      <c r="O734" s="433"/>
      <c r="P734" s="433"/>
      <c r="Q734" s="433"/>
      <c r="R734" s="433"/>
      <c r="S734" s="433"/>
      <c r="T734" s="466"/>
      <c r="U734" s="433"/>
      <c r="V734" s="433"/>
      <c r="W734" s="433"/>
    </row>
    <row r="735" spans="2:23" ht="15" customHeight="1">
      <c r="B735" s="433"/>
      <c r="C735" s="433"/>
      <c r="D735" s="433"/>
      <c r="E735" s="433"/>
      <c r="F735" s="434"/>
      <c r="G735" s="435"/>
      <c r="H735" s="433"/>
      <c r="J735" s="434"/>
      <c r="K735" s="433"/>
      <c r="L735" s="433"/>
      <c r="M735" s="433"/>
      <c r="N735" s="433"/>
      <c r="O735" s="433"/>
      <c r="P735" s="433"/>
      <c r="Q735" s="433"/>
      <c r="R735" s="433"/>
      <c r="S735" s="433"/>
      <c r="T735" s="466"/>
      <c r="U735" s="433"/>
      <c r="V735" s="433"/>
      <c r="W735" s="433"/>
    </row>
    <row r="736" spans="2:23" ht="15" customHeight="1">
      <c r="B736" s="433"/>
      <c r="C736" s="433"/>
      <c r="D736" s="433"/>
      <c r="E736" s="433"/>
      <c r="F736" s="434"/>
      <c r="G736" s="435"/>
      <c r="H736" s="433"/>
      <c r="J736" s="434"/>
      <c r="K736" s="433"/>
      <c r="L736" s="433"/>
      <c r="M736" s="433"/>
      <c r="N736" s="433"/>
      <c r="O736" s="433"/>
      <c r="P736" s="433"/>
      <c r="Q736" s="433"/>
      <c r="R736" s="433"/>
      <c r="S736" s="433"/>
      <c r="T736" s="466"/>
      <c r="U736" s="433"/>
      <c r="V736" s="433"/>
      <c r="W736" s="433"/>
    </row>
    <row r="737" spans="2:23" ht="15" customHeight="1">
      <c r="B737" s="433"/>
      <c r="C737" s="433"/>
      <c r="D737" s="433"/>
      <c r="E737" s="433"/>
      <c r="F737" s="434"/>
      <c r="G737" s="435"/>
      <c r="H737" s="433"/>
      <c r="J737" s="434"/>
      <c r="K737" s="433"/>
      <c r="L737" s="433"/>
      <c r="M737" s="433"/>
      <c r="N737" s="433"/>
      <c r="O737" s="433"/>
      <c r="P737" s="433"/>
      <c r="Q737" s="433"/>
      <c r="R737" s="433"/>
      <c r="S737" s="433"/>
      <c r="T737" s="466"/>
      <c r="U737" s="433"/>
      <c r="V737" s="433"/>
      <c r="W737" s="433"/>
    </row>
    <row r="738" spans="2:23" ht="15" customHeight="1">
      <c r="B738" s="433"/>
      <c r="C738" s="433"/>
      <c r="D738" s="433"/>
      <c r="E738" s="433"/>
      <c r="F738" s="434"/>
      <c r="G738" s="435"/>
      <c r="H738" s="433"/>
      <c r="J738" s="434"/>
      <c r="K738" s="433"/>
      <c r="L738" s="433"/>
      <c r="M738" s="433"/>
      <c r="N738" s="433"/>
      <c r="O738" s="433"/>
      <c r="P738" s="433"/>
      <c r="Q738" s="433"/>
      <c r="R738" s="433"/>
      <c r="S738" s="433"/>
      <c r="T738" s="466"/>
      <c r="U738" s="433"/>
      <c r="V738" s="433"/>
      <c r="W738" s="433"/>
    </row>
    <row r="739" spans="2:23" ht="15" customHeight="1">
      <c r="B739" s="433"/>
      <c r="C739" s="433"/>
      <c r="D739" s="433"/>
      <c r="E739" s="433"/>
      <c r="F739" s="434"/>
      <c r="G739" s="435"/>
      <c r="H739" s="433"/>
      <c r="J739" s="434"/>
      <c r="K739" s="433"/>
      <c r="L739" s="433"/>
      <c r="M739" s="433"/>
      <c r="N739" s="433"/>
      <c r="O739" s="433"/>
      <c r="P739" s="433"/>
      <c r="Q739" s="433"/>
      <c r="R739" s="433"/>
      <c r="S739" s="433"/>
      <c r="T739" s="466"/>
      <c r="U739" s="433"/>
      <c r="V739" s="433"/>
      <c r="W739" s="433"/>
    </row>
    <row r="740" spans="2:23" ht="15" customHeight="1">
      <c r="B740" s="433"/>
      <c r="C740" s="433"/>
      <c r="D740" s="433"/>
      <c r="E740" s="433"/>
      <c r="F740" s="434"/>
      <c r="G740" s="435"/>
      <c r="H740" s="433"/>
      <c r="J740" s="434"/>
      <c r="K740" s="433"/>
      <c r="L740" s="433"/>
      <c r="M740" s="433"/>
      <c r="N740" s="433"/>
      <c r="O740" s="433"/>
      <c r="P740" s="433"/>
      <c r="Q740" s="433"/>
      <c r="R740" s="433"/>
      <c r="S740" s="433"/>
      <c r="T740" s="466"/>
      <c r="U740" s="433"/>
      <c r="V740" s="433"/>
      <c r="W740" s="433"/>
    </row>
    <row r="741" spans="2:23" ht="15" customHeight="1">
      <c r="B741" s="433"/>
      <c r="C741" s="433"/>
      <c r="D741" s="433"/>
      <c r="E741" s="433"/>
      <c r="F741" s="434"/>
      <c r="G741" s="435"/>
      <c r="H741" s="433"/>
      <c r="J741" s="434"/>
      <c r="K741" s="433"/>
      <c r="L741" s="433"/>
      <c r="M741" s="433"/>
      <c r="N741" s="433"/>
      <c r="O741" s="433"/>
      <c r="P741" s="433"/>
      <c r="Q741" s="433"/>
      <c r="R741" s="433"/>
      <c r="S741" s="433"/>
      <c r="T741" s="466"/>
      <c r="U741" s="433"/>
      <c r="V741" s="433"/>
      <c r="W741" s="433"/>
    </row>
    <row r="742" spans="2:23" ht="15" customHeight="1">
      <c r="B742" s="433"/>
      <c r="C742" s="433"/>
      <c r="D742" s="433"/>
      <c r="E742" s="433"/>
      <c r="F742" s="434"/>
      <c r="G742" s="435"/>
      <c r="H742" s="433"/>
      <c r="J742" s="434"/>
      <c r="K742" s="433"/>
      <c r="L742" s="433"/>
      <c r="M742" s="433"/>
      <c r="N742" s="433"/>
      <c r="O742" s="433"/>
      <c r="P742" s="433"/>
      <c r="Q742" s="433"/>
      <c r="R742" s="433"/>
      <c r="S742" s="433"/>
      <c r="T742" s="466"/>
      <c r="U742" s="433"/>
      <c r="V742" s="433"/>
      <c r="W742" s="433"/>
    </row>
    <row r="743" spans="2:23" ht="15" customHeight="1">
      <c r="B743" s="433"/>
      <c r="C743" s="433"/>
      <c r="D743" s="433"/>
      <c r="E743" s="433"/>
      <c r="F743" s="434"/>
      <c r="G743" s="435"/>
      <c r="H743" s="433"/>
      <c r="J743" s="434"/>
      <c r="K743" s="433"/>
      <c r="L743" s="433"/>
      <c r="M743" s="433"/>
      <c r="N743" s="433"/>
      <c r="O743" s="433"/>
      <c r="P743" s="433"/>
      <c r="Q743" s="433"/>
      <c r="R743" s="433"/>
      <c r="S743" s="433"/>
      <c r="T743" s="466"/>
      <c r="U743" s="433"/>
      <c r="V743" s="433"/>
      <c r="W743" s="433"/>
    </row>
    <row r="744" spans="2:23" ht="15" customHeight="1">
      <c r="B744" s="433"/>
      <c r="C744" s="433"/>
      <c r="D744" s="433"/>
      <c r="E744" s="433"/>
      <c r="F744" s="434"/>
      <c r="G744" s="435"/>
      <c r="H744" s="433"/>
      <c r="J744" s="434"/>
      <c r="K744" s="433"/>
      <c r="L744" s="433"/>
      <c r="M744" s="433"/>
      <c r="N744" s="433"/>
      <c r="O744" s="433"/>
      <c r="P744" s="433"/>
      <c r="Q744" s="433"/>
      <c r="R744" s="433"/>
      <c r="S744" s="433"/>
      <c r="T744" s="466"/>
      <c r="U744" s="433"/>
      <c r="V744" s="433"/>
      <c r="W744" s="433"/>
    </row>
    <row r="745" spans="2:23" ht="15" customHeight="1">
      <c r="B745" s="433"/>
      <c r="C745" s="433"/>
      <c r="D745" s="433"/>
      <c r="E745" s="433"/>
      <c r="F745" s="434"/>
      <c r="G745" s="435"/>
      <c r="H745" s="433"/>
      <c r="J745" s="434"/>
      <c r="K745" s="433"/>
      <c r="L745" s="433"/>
      <c r="M745" s="433"/>
      <c r="N745" s="433"/>
      <c r="O745" s="433"/>
      <c r="P745" s="433"/>
      <c r="Q745" s="433"/>
      <c r="R745" s="433"/>
      <c r="S745" s="433"/>
      <c r="T745" s="466"/>
      <c r="U745" s="433"/>
      <c r="V745" s="433"/>
      <c r="W745" s="433"/>
    </row>
    <row r="746" spans="2:23" ht="15" customHeight="1">
      <c r="B746" s="433"/>
      <c r="C746" s="433"/>
      <c r="D746" s="433"/>
      <c r="E746" s="433"/>
      <c r="F746" s="434"/>
      <c r="G746" s="435"/>
      <c r="H746" s="433"/>
      <c r="J746" s="434"/>
      <c r="K746" s="433"/>
      <c r="L746" s="433"/>
      <c r="M746" s="433"/>
      <c r="N746" s="433"/>
      <c r="O746" s="433"/>
      <c r="P746" s="433"/>
      <c r="Q746" s="433"/>
      <c r="R746" s="433"/>
      <c r="S746" s="433"/>
      <c r="T746" s="466"/>
      <c r="U746" s="433"/>
      <c r="V746" s="433"/>
      <c r="W746" s="433"/>
    </row>
    <row r="747" spans="2:23" ht="15" customHeight="1">
      <c r="B747" s="433"/>
      <c r="C747" s="433"/>
      <c r="D747" s="433"/>
      <c r="E747" s="433"/>
      <c r="F747" s="434"/>
      <c r="G747" s="435"/>
      <c r="H747" s="433"/>
      <c r="J747" s="434"/>
      <c r="K747" s="433"/>
      <c r="L747" s="433"/>
      <c r="M747" s="433"/>
      <c r="N747" s="433"/>
      <c r="O747" s="433"/>
      <c r="P747" s="433"/>
      <c r="Q747" s="433"/>
      <c r="R747" s="433"/>
      <c r="S747" s="433"/>
      <c r="T747" s="466"/>
      <c r="U747" s="433"/>
      <c r="V747" s="433"/>
      <c r="W747" s="433"/>
    </row>
    <row r="748" spans="2:23" ht="15" customHeight="1">
      <c r="B748" s="433"/>
      <c r="C748" s="433"/>
      <c r="D748" s="433"/>
      <c r="E748" s="433"/>
      <c r="F748" s="434"/>
      <c r="G748" s="435"/>
      <c r="H748" s="433"/>
      <c r="J748" s="434"/>
      <c r="K748" s="433"/>
      <c r="L748" s="433"/>
      <c r="M748" s="433"/>
      <c r="N748" s="433"/>
      <c r="O748" s="433"/>
      <c r="P748" s="433"/>
      <c r="Q748" s="433"/>
      <c r="R748" s="433"/>
      <c r="S748" s="433"/>
      <c r="T748" s="466"/>
      <c r="U748" s="433"/>
      <c r="V748" s="433"/>
      <c r="W748" s="433"/>
    </row>
    <row r="749" spans="2:23" ht="15" customHeight="1">
      <c r="B749" s="433"/>
      <c r="C749" s="433"/>
      <c r="D749" s="433"/>
      <c r="E749" s="433"/>
      <c r="F749" s="434"/>
      <c r="G749" s="435"/>
      <c r="H749" s="433"/>
      <c r="J749" s="434"/>
      <c r="K749" s="433"/>
      <c r="L749" s="433"/>
      <c r="M749" s="433"/>
      <c r="N749" s="433"/>
      <c r="O749" s="433"/>
      <c r="P749" s="433"/>
      <c r="Q749" s="433"/>
      <c r="R749" s="433"/>
      <c r="S749" s="433"/>
      <c r="T749" s="466"/>
      <c r="U749" s="433"/>
      <c r="V749" s="433"/>
      <c r="W749" s="433"/>
    </row>
    <row r="750" spans="2:23" ht="15" customHeight="1">
      <c r="B750" s="433"/>
      <c r="C750" s="433"/>
      <c r="D750" s="433"/>
      <c r="E750" s="433"/>
      <c r="F750" s="434"/>
      <c r="G750" s="435"/>
      <c r="H750" s="433"/>
      <c r="J750" s="434"/>
      <c r="K750" s="433"/>
      <c r="L750" s="433"/>
      <c r="M750" s="433"/>
      <c r="N750" s="433"/>
      <c r="O750" s="433"/>
      <c r="P750" s="433"/>
      <c r="Q750" s="433"/>
      <c r="R750" s="433"/>
      <c r="S750" s="433"/>
      <c r="T750" s="466"/>
      <c r="U750" s="433"/>
      <c r="V750" s="433"/>
      <c r="W750" s="433"/>
    </row>
    <row r="751" spans="2:23" ht="15" customHeight="1">
      <c r="B751" s="433"/>
      <c r="C751" s="433"/>
      <c r="D751" s="433"/>
      <c r="E751" s="433"/>
      <c r="F751" s="434"/>
      <c r="G751" s="435"/>
      <c r="H751" s="433"/>
      <c r="J751" s="434"/>
      <c r="K751" s="433"/>
      <c r="L751" s="433"/>
      <c r="M751" s="433"/>
      <c r="N751" s="433"/>
      <c r="O751" s="433"/>
      <c r="P751" s="433"/>
      <c r="Q751" s="433"/>
      <c r="R751" s="433"/>
      <c r="S751" s="433"/>
      <c r="T751" s="466"/>
      <c r="U751" s="433"/>
      <c r="V751" s="433"/>
      <c r="W751" s="433"/>
    </row>
    <row r="752" spans="2:23" ht="15" customHeight="1">
      <c r="B752" s="433"/>
      <c r="C752" s="433"/>
      <c r="D752" s="433"/>
      <c r="E752" s="433"/>
      <c r="F752" s="434"/>
      <c r="G752" s="435"/>
      <c r="H752" s="433"/>
      <c r="J752" s="434"/>
      <c r="K752" s="433"/>
      <c r="L752" s="433"/>
      <c r="M752" s="433"/>
      <c r="N752" s="433"/>
      <c r="O752" s="433"/>
      <c r="P752" s="433"/>
      <c r="Q752" s="433"/>
      <c r="R752" s="433"/>
      <c r="S752" s="433"/>
      <c r="T752" s="466"/>
      <c r="U752" s="433"/>
      <c r="V752" s="433"/>
      <c r="W752" s="433"/>
    </row>
    <row r="753" spans="2:23" ht="15" customHeight="1">
      <c r="B753" s="433"/>
      <c r="C753" s="433"/>
      <c r="D753" s="433"/>
      <c r="E753" s="433"/>
      <c r="F753" s="434"/>
      <c r="G753" s="435"/>
      <c r="H753" s="433"/>
      <c r="J753" s="434"/>
      <c r="K753" s="433"/>
      <c r="L753" s="433"/>
      <c r="M753" s="433"/>
      <c r="N753" s="433"/>
      <c r="O753" s="433"/>
      <c r="P753" s="433"/>
      <c r="Q753" s="433"/>
      <c r="R753" s="433"/>
      <c r="S753" s="433"/>
      <c r="T753" s="466"/>
      <c r="U753" s="433"/>
      <c r="V753" s="433"/>
      <c r="W753" s="433"/>
    </row>
    <row r="754" spans="2:23" ht="15" customHeight="1">
      <c r="B754" s="433"/>
      <c r="C754" s="433"/>
      <c r="D754" s="433"/>
      <c r="E754" s="433"/>
      <c r="F754" s="434"/>
      <c r="G754" s="435"/>
      <c r="H754" s="433"/>
      <c r="J754" s="434"/>
      <c r="K754" s="433"/>
      <c r="L754" s="433"/>
      <c r="M754" s="433"/>
      <c r="N754" s="433"/>
      <c r="O754" s="433"/>
      <c r="P754" s="433"/>
      <c r="Q754" s="433"/>
      <c r="R754" s="433"/>
      <c r="S754" s="433"/>
      <c r="T754" s="466"/>
      <c r="U754" s="433"/>
      <c r="V754" s="433"/>
      <c r="W754" s="433"/>
    </row>
    <row r="755" spans="2:23" ht="15" customHeight="1">
      <c r="B755" s="433"/>
      <c r="C755" s="433"/>
      <c r="D755" s="433"/>
      <c r="E755" s="433"/>
      <c r="F755" s="434"/>
      <c r="G755" s="435"/>
      <c r="H755" s="433"/>
      <c r="J755" s="434"/>
      <c r="K755" s="433"/>
      <c r="L755" s="433"/>
      <c r="M755" s="433"/>
      <c r="N755" s="433"/>
      <c r="O755" s="433"/>
      <c r="P755" s="433"/>
      <c r="Q755" s="433"/>
      <c r="R755" s="433"/>
      <c r="S755" s="433"/>
      <c r="T755" s="466"/>
      <c r="U755" s="433"/>
      <c r="V755" s="433"/>
      <c r="W755" s="433"/>
    </row>
    <row r="756" spans="2:23" ht="15" customHeight="1">
      <c r="B756" s="433"/>
      <c r="C756" s="433"/>
      <c r="D756" s="433"/>
      <c r="E756" s="433"/>
      <c r="F756" s="434"/>
      <c r="G756" s="435"/>
      <c r="H756" s="433"/>
      <c r="J756" s="434"/>
      <c r="K756" s="433"/>
      <c r="L756" s="433"/>
      <c r="M756" s="433"/>
      <c r="N756" s="433"/>
      <c r="O756" s="433"/>
      <c r="P756" s="433"/>
      <c r="Q756" s="433"/>
      <c r="R756" s="433"/>
      <c r="S756" s="433"/>
      <c r="T756" s="466"/>
      <c r="U756" s="433"/>
      <c r="V756" s="433"/>
      <c r="W756" s="433"/>
    </row>
    <row r="757" spans="2:23" ht="15" customHeight="1">
      <c r="B757" s="433"/>
      <c r="C757" s="433"/>
      <c r="D757" s="433"/>
      <c r="E757" s="433"/>
      <c r="F757" s="434"/>
      <c r="G757" s="435"/>
      <c r="H757" s="433"/>
      <c r="J757" s="434"/>
      <c r="K757" s="433"/>
      <c r="L757" s="433"/>
      <c r="M757" s="433"/>
      <c r="N757" s="433"/>
      <c r="O757" s="433"/>
      <c r="P757" s="433"/>
      <c r="Q757" s="433"/>
      <c r="R757" s="433"/>
      <c r="S757" s="433"/>
      <c r="T757" s="466"/>
      <c r="U757" s="433"/>
      <c r="V757" s="433"/>
      <c r="W757" s="433"/>
    </row>
    <row r="758" spans="2:23" ht="15" customHeight="1">
      <c r="B758" s="433"/>
      <c r="C758" s="433"/>
      <c r="D758" s="433"/>
      <c r="E758" s="433"/>
      <c r="F758" s="434"/>
      <c r="G758" s="435"/>
      <c r="H758" s="433"/>
      <c r="J758" s="434"/>
      <c r="K758" s="433"/>
      <c r="L758" s="433"/>
      <c r="M758" s="433"/>
      <c r="N758" s="433"/>
      <c r="O758" s="433"/>
      <c r="P758" s="433"/>
      <c r="Q758" s="433"/>
      <c r="R758" s="433"/>
      <c r="S758" s="433"/>
      <c r="T758" s="466"/>
      <c r="U758" s="433"/>
      <c r="V758" s="433"/>
      <c r="W758" s="433"/>
    </row>
    <row r="759" spans="2:23" ht="15" customHeight="1">
      <c r="B759" s="433"/>
      <c r="C759" s="433"/>
      <c r="D759" s="433"/>
      <c r="E759" s="433"/>
      <c r="F759" s="434"/>
      <c r="G759" s="435"/>
      <c r="H759" s="433"/>
      <c r="J759" s="434"/>
      <c r="K759" s="433"/>
      <c r="L759" s="433"/>
      <c r="M759" s="433"/>
      <c r="N759" s="433"/>
      <c r="O759" s="433"/>
      <c r="P759" s="433"/>
      <c r="Q759" s="433"/>
      <c r="R759" s="433"/>
      <c r="S759" s="433"/>
      <c r="T759" s="466"/>
      <c r="U759" s="433"/>
      <c r="V759" s="433"/>
      <c r="W759" s="433"/>
    </row>
    <row r="760" spans="2:23" ht="15" customHeight="1">
      <c r="B760" s="433"/>
      <c r="C760" s="433"/>
      <c r="D760" s="433"/>
      <c r="E760" s="433"/>
      <c r="F760" s="434"/>
      <c r="G760" s="435"/>
      <c r="H760" s="433"/>
      <c r="J760" s="434"/>
      <c r="K760" s="433"/>
      <c r="L760" s="433"/>
      <c r="M760" s="433"/>
      <c r="N760" s="433"/>
      <c r="O760" s="433"/>
      <c r="P760" s="433"/>
      <c r="Q760" s="433"/>
      <c r="R760" s="433"/>
      <c r="S760" s="433"/>
      <c r="T760" s="466"/>
      <c r="U760" s="433"/>
      <c r="V760" s="433"/>
      <c r="W760" s="433"/>
    </row>
    <row r="761" spans="2:23" ht="15" customHeight="1">
      <c r="B761" s="433"/>
      <c r="C761" s="433"/>
      <c r="D761" s="433"/>
      <c r="E761" s="433"/>
      <c r="F761" s="434"/>
      <c r="G761" s="435"/>
      <c r="H761" s="433"/>
      <c r="J761" s="434"/>
      <c r="K761" s="433"/>
      <c r="L761" s="433"/>
      <c r="M761" s="433"/>
      <c r="N761" s="433"/>
      <c r="O761" s="433"/>
      <c r="P761" s="433"/>
      <c r="Q761" s="433"/>
      <c r="R761" s="433"/>
      <c r="S761" s="433"/>
      <c r="T761" s="466"/>
      <c r="U761" s="433"/>
      <c r="V761" s="433"/>
      <c r="W761" s="433"/>
    </row>
    <row r="762" spans="2:23" ht="15" customHeight="1">
      <c r="B762" s="433"/>
      <c r="C762" s="433"/>
      <c r="D762" s="433"/>
      <c r="E762" s="433"/>
      <c r="F762" s="434"/>
      <c r="G762" s="435"/>
      <c r="H762" s="433"/>
      <c r="J762" s="434"/>
      <c r="K762" s="433"/>
      <c r="L762" s="433"/>
      <c r="M762" s="433"/>
      <c r="N762" s="433"/>
      <c r="O762" s="433"/>
      <c r="P762" s="433"/>
      <c r="Q762" s="433"/>
      <c r="R762" s="433"/>
      <c r="S762" s="433"/>
      <c r="T762" s="466"/>
      <c r="U762" s="433"/>
      <c r="V762" s="433"/>
      <c r="W762" s="433"/>
    </row>
    <row r="763" spans="2:23" ht="15" customHeight="1">
      <c r="B763" s="433"/>
      <c r="C763" s="433"/>
      <c r="D763" s="433"/>
      <c r="E763" s="433"/>
      <c r="F763" s="434"/>
      <c r="G763" s="435"/>
      <c r="H763" s="433"/>
      <c r="J763" s="434"/>
      <c r="K763" s="433"/>
      <c r="L763" s="433"/>
      <c r="M763" s="433"/>
      <c r="N763" s="433"/>
      <c r="O763" s="433"/>
      <c r="P763" s="433"/>
      <c r="Q763" s="433"/>
      <c r="R763" s="433"/>
      <c r="S763" s="433"/>
      <c r="T763" s="466"/>
      <c r="U763" s="433"/>
      <c r="V763" s="433"/>
      <c r="W763" s="433"/>
    </row>
    <row r="764" spans="2:23" ht="15" customHeight="1">
      <c r="B764" s="433"/>
      <c r="C764" s="433"/>
      <c r="D764" s="433"/>
      <c r="E764" s="433"/>
      <c r="F764" s="434"/>
      <c r="G764" s="435"/>
      <c r="H764" s="433"/>
      <c r="J764" s="434"/>
      <c r="K764" s="433"/>
      <c r="L764" s="433"/>
      <c r="M764" s="433"/>
      <c r="N764" s="433"/>
      <c r="O764" s="433"/>
      <c r="P764" s="433"/>
      <c r="Q764" s="433"/>
      <c r="R764" s="433"/>
      <c r="S764" s="433"/>
      <c r="T764" s="466"/>
      <c r="U764" s="433"/>
      <c r="V764" s="433"/>
      <c r="W764" s="433"/>
    </row>
    <row r="765" spans="2:23" ht="15" customHeight="1">
      <c r="B765" s="433"/>
      <c r="C765" s="433"/>
      <c r="D765" s="433"/>
      <c r="E765" s="433"/>
      <c r="F765" s="434"/>
      <c r="G765" s="435"/>
      <c r="H765" s="433"/>
      <c r="J765" s="434"/>
      <c r="K765" s="433"/>
      <c r="L765" s="433"/>
      <c r="M765" s="433"/>
      <c r="N765" s="433"/>
      <c r="O765" s="433"/>
      <c r="P765" s="433"/>
      <c r="Q765" s="433"/>
      <c r="R765" s="433"/>
      <c r="S765" s="433"/>
      <c r="T765" s="466"/>
      <c r="U765" s="433"/>
      <c r="V765" s="433"/>
      <c r="W765" s="433"/>
    </row>
    <row r="766" spans="2:23" ht="15" customHeight="1">
      <c r="B766" s="433"/>
      <c r="C766" s="433"/>
      <c r="D766" s="433"/>
      <c r="E766" s="433"/>
      <c r="F766" s="434"/>
      <c r="G766" s="435"/>
      <c r="H766" s="433"/>
      <c r="J766" s="434"/>
      <c r="K766" s="433"/>
      <c r="L766" s="433"/>
      <c r="M766" s="433"/>
      <c r="N766" s="433"/>
      <c r="O766" s="433"/>
      <c r="P766" s="433"/>
      <c r="Q766" s="433"/>
      <c r="R766" s="433"/>
      <c r="S766" s="433"/>
      <c r="T766" s="466"/>
      <c r="U766" s="433"/>
      <c r="V766" s="433"/>
      <c r="W766" s="433"/>
    </row>
    <row r="767" spans="2:23" ht="15" customHeight="1">
      <c r="B767" s="433"/>
      <c r="C767" s="433"/>
      <c r="D767" s="433"/>
      <c r="E767" s="433"/>
      <c r="F767" s="434"/>
      <c r="G767" s="435"/>
      <c r="H767" s="433"/>
      <c r="J767" s="434"/>
      <c r="K767" s="433"/>
      <c r="L767" s="433"/>
      <c r="M767" s="433"/>
      <c r="N767" s="433"/>
      <c r="O767" s="433"/>
      <c r="P767" s="433"/>
      <c r="Q767" s="433"/>
      <c r="R767" s="433"/>
      <c r="S767" s="433"/>
      <c r="T767" s="466"/>
      <c r="U767" s="433"/>
      <c r="V767" s="433"/>
      <c r="W767" s="433"/>
    </row>
    <row r="768" spans="2:23" ht="15" customHeight="1">
      <c r="B768" s="433"/>
      <c r="C768" s="433"/>
      <c r="D768" s="433"/>
      <c r="E768" s="433"/>
      <c r="F768" s="434"/>
      <c r="G768" s="435"/>
      <c r="H768" s="433"/>
      <c r="J768" s="434"/>
      <c r="K768" s="433"/>
      <c r="L768" s="433"/>
      <c r="M768" s="433"/>
      <c r="N768" s="433"/>
      <c r="O768" s="433"/>
      <c r="P768" s="433"/>
      <c r="Q768" s="433"/>
      <c r="R768" s="433"/>
      <c r="S768" s="433"/>
      <c r="T768" s="466"/>
      <c r="U768" s="433"/>
      <c r="V768" s="433"/>
      <c r="W768" s="433"/>
    </row>
    <row r="769" spans="2:23" ht="15" customHeight="1">
      <c r="B769" s="433"/>
      <c r="C769" s="433"/>
      <c r="D769" s="433"/>
      <c r="E769" s="433"/>
      <c r="F769" s="434"/>
      <c r="G769" s="435"/>
      <c r="H769" s="433"/>
      <c r="J769" s="434"/>
      <c r="K769" s="433"/>
      <c r="L769" s="433"/>
      <c r="M769" s="433"/>
      <c r="N769" s="433"/>
      <c r="O769" s="433"/>
      <c r="P769" s="433"/>
      <c r="Q769" s="433"/>
      <c r="R769" s="433"/>
      <c r="S769" s="433"/>
      <c r="T769" s="466"/>
      <c r="U769" s="433"/>
      <c r="V769" s="433"/>
      <c r="W769" s="433"/>
    </row>
    <row r="770" spans="2:23" ht="15" customHeight="1">
      <c r="B770" s="433"/>
      <c r="C770" s="433"/>
      <c r="D770" s="433"/>
      <c r="E770" s="433"/>
      <c r="F770" s="434"/>
      <c r="G770" s="435"/>
      <c r="H770" s="433"/>
      <c r="J770" s="434"/>
      <c r="K770" s="433"/>
      <c r="L770" s="433"/>
      <c r="M770" s="433"/>
      <c r="N770" s="433"/>
      <c r="O770" s="433"/>
      <c r="P770" s="433"/>
      <c r="Q770" s="433"/>
      <c r="R770" s="433"/>
      <c r="S770" s="433"/>
      <c r="T770" s="466"/>
      <c r="U770" s="433"/>
      <c r="V770" s="433"/>
      <c r="W770" s="433"/>
    </row>
    <row r="771" spans="2:23" ht="15" customHeight="1">
      <c r="B771" s="433"/>
      <c r="C771" s="433"/>
      <c r="D771" s="433"/>
      <c r="E771" s="433"/>
      <c r="F771" s="434"/>
      <c r="G771" s="435"/>
      <c r="H771" s="433"/>
      <c r="J771" s="434"/>
      <c r="K771" s="433"/>
      <c r="L771" s="433"/>
      <c r="M771" s="433"/>
      <c r="N771" s="433"/>
      <c r="O771" s="433"/>
      <c r="P771" s="433"/>
      <c r="Q771" s="433"/>
      <c r="R771" s="433"/>
      <c r="S771" s="433"/>
      <c r="T771" s="466"/>
      <c r="U771" s="433"/>
      <c r="V771" s="433"/>
      <c r="W771" s="433"/>
    </row>
    <row r="772" spans="2:23" ht="15" customHeight="1">
      <c r="B772" s="433"/>
      <c r="C772" s="433"/>
      <c r="D772" s="433"/>
      <c r="E772" s="433"/>
      <c r="F772" s="434"/>
      <c r="G772" s="435"/>
      <c r="H772" s="433"/>
      <c r="J772" s="434"/>
      <c r="K772" s="433"/>
      <c r="L772" s="433"/>
      <c r="M772" s="433"/>
      <c r="N772" s="433"/>
      <c r="O772" s="433"/>
      <c r="P772" s="433"/>
      <c r="Q772" s="433"/>
      <c r="R772" s="433"/>
      <c r="S772" s="433"/>
      <c r="T772" s="466"/>
      <c r="U772" s="433"/>
      <c r="V772" s="433"/>
      <c r="W772" s="433"/>
    </row>
    <row r="773" spans="2:23" ht="15" customHeight="1">
      <c r="B773" s="433"/>
      <c r="C773" s="433"/>
      <c r="D773" s="433"/>
      <c r="E773" s="433"/>
      <c r="F773" s="434"/>
      <c r="G773" s="435"/>
      <c r="H773" s="433"/>
      <c r="J773" s="434"/>
      <c r="K773" s="433"/>
      <c r="L773" s="433"/>
      <c r="M773" s="433"/>
      <c r="N773" s="433"/>
      <c r="O773" s="433"/>
      <c r="P773" s="433"/>
      <c r="Q773" s="433"/>
      <c r="R773" s="433"/>
      <c r="S773" s="433"/>
      <c r="T773" s="466"/>
      <c r="U773" s="433"/>
      <c r="V773" s="433"/>
      <c r="W773" s="433"/>
    </row>
    <row r="774" spans="2:23" ht="15" customHeight="1">
      <c r="B774" s="433"/>
      <c r="C774" s="433"/>
      <c r="D774" s="433"/>
      <c r="E774" s="433"/>
      <c r="F774" s="434"/>
      <c r="G774" s="435"/>
      <c r="H774" s="433"/>
      <c r="J774" s="434"/>
      <c r="K774" s="433"/>
      <c r="L774" s="433"/>
      <c r="M774" s="433"/>
      <c r="N774" s="433"/>
      <c r="O774" s="433"/>
      <c r="P774" s="433"/>
      <c r="Q774" s="433"/>
      <c r="R774" s="433"/>
      <c r="S774" s="433"/>
      <c r="T774" s="466"/>
      <c r="U774" s="433"/>
      <c r="V774" s="433"/>
      <c r="W774" s="433"/>
    </row>
    <row r="775" spans="2:23" ht="15" customHeight="1">
      <c r="B775" s="433"/>
      <c r="C775" s="433"/>
      <c r="D775" s="433"/>
      <c r="E775" s="433"/>
      <c r="F775" s="434"/>
      <c r="G775" s="435"/>
      <c r="H775" s="433"/>
      <c r="J775" s="434"/>
      <c r="K775" s="433"/>
      <c r="L775" s="433"/>
      <c r="M775" s="433"/>
      <c r="N775" s="433"/>
      <c r="O775" s="433"/>
      <c r="P775" s="433"/>
      <c r="Q775" s="433"/>
      <c r="R775" s="433"/>
      <c r="S775" s="433"/>
      <c r="T775" s="466"/>
      <c r="U775" s="433"/>
      <c r="V775" s="433"/>
      <c r="W775" s="433"/>
    </row>
    <row r="776" spans="2:23" ht="15" customHeight="1">
      <c r="B776" s="433"/>
      <c r="C776" s="433"/>
      <c r="D776" s="433"/>
      <c r="E776" s="433"/>
      <c r="F776" s="434"/>
      <c r="G776" s="435"/>
      <c r="H776" s="433"/>
      <c r="J776" s="434"/>
      <c r="K776" s="433"/>
      <c r="L776" s="433"/>
      <c r="M776" s="433"/>
      <c r="N776" s="433"/>
      <c r="O776" s="433"/>
      <c r="P776" s="433"/>
      <c r="Q776" s="433"/>
      <c r="R776" s="433"/>
      <c r="S776" s="433"/>
      <c r="T776" s="466"/>
      <c r="U776" s="433"/>
      <c r="V776" s="433"/>
      <c r="W776" s="433"/>
    </row>
    <row r="777" spans="2:23" ht="15" customHeight="1">
      <c r="B777" s="433"/>
      <c r="C777" s="433"/>
      <c r="D777" s="433"/>
      <c r="E777" s="433"/>
      <c r="F777" s="434"/>
      <c r="G777" s="435"/>
      <c r="H777" s="433"/>
      <c r="J777" s="434"/>
      <c r="K777" s="433"/>
      <c r="L777" s="433"/>
      <c r="M777" s="433"/>
      <c r="N777" s="433"/>
      <c r="O777" s="433"/>
      <c r="P777" s="433"/>
      <c r="Q777" s="433"/>
      <c r="R777" s="433"/>
      <c r="S777" s="433"/>
      <c r="T777" s="466"/>
      <c r="U777" s="433"/>
      <c r="V777" s="433"/>
      <c r="W777" s="433"/>
    </row>
    <row r="778" spans="2:23" ht="15" customHeight="1">
      <c r="B778" s="433"/>
      <c r="C778" s="433"/>
      <c r="D778" s="433"/>
      <c r="E778" s="433"/>
      <c r="F778" s="434"/>
      <c r="G778" s="435"/>
      <c r="H778" s="433"/>
      <c r="J778" s="434"/>
      <c r="K778" s="433"/>
      <c r="L778" s="433"/>
      <c r="M778" s="433"/>
      <c r="N778" s="433"/>
      <c r="O778" s="433"/>
      <c r="P778" s="433"/>
      <c r="Q778" s="433"/>
      <c r="R778" s="433"/>
      <c r="S778" s="433"/>
      <c r="T778" s="466"/>
      <c r="U778" s="433"/>
      <c r="V778" s="433"/>
      <c r="W778" s="433"/>
    </row>
    <row r="779" spans="2:23" ht="15" customHeight="1">
      <c r="B779" s="433"/>
      <c r="C779" s="433"/>
      <c r="D779" s="433"/>
      <c r="E779" s="433"/>
      <c r="F779" s="434"/>
      <c r="G779" s="435"/>
      <c r="H779" s="433"/>
      <c r="J779" s="434"/>
      <c r="K779" s="433"/>
      <c r="L779" s="433"/>
      <c r="M779" s="433"/>
      <c r="N779" s="433"/>
      <c r="O779" s="433"/>
      <c r="P779" s="433"/>
      <c r="Q779" s="433"/>
      <c r="R779" s="433"/>
      <c r="S779" s="433"/>
      <c r="T779" s="466"/>
      <c r="U779" s="433"/>
      <c r="V779" s="433"/>
      <c r="W779" s="433"/>
    </row>
    <row r="780" spans="2:23" ht="15" customHeight="1">
      <c r="B780" s="433"/>
      <c r="C780" s="433"/>
      <c r="D780" s="433"/>
      <c r="E780" s="433"/>
      <c r="F780" s="434"/>
      <c r="G780" s="435"/>
      <c r="H780" s="433"/>
      <c r="J780" s="434"/>
      <c r="K780" s="433"/>
      <c r="L780" s="433"/>
      <c r="M780" s="433"/>
      <c r="N780" s="433"/>
      <c r="O780" s="433"/>
      <c r="P780" s="433"/>
      <c r="Q780" s="433"/>
      <c r="R780" s="433"/>
      <c r="S780" s="433"/>
      <c r="T780" s="466"/>
      <c r="U780" s="433"/>
      <c r="V780" s="433"/>
      <c r="W780" s="433"/>
    </row>
    <row r="781" spans="2:23" ht="15" customHeight="1">
      <c r="B781" s="433"/>
      <c r="C781" s="433"/>
      <c r="D781" s="433"/>
      <c r="E781" s="433"/>
      <c r="F781" s="434"/>
      <c r="G781" s="435"/>
      <c r="H781" s="433"/>
      <c r="J781" s="434"/>
      <c r="K781" s="433"/>
      <c r="L781" s="433"/>
      <c r="M781" s="433"/>
      <c r="N781" s="433"/>
      <c r="O781" s="433"/>
      <c r="P781" s="433"/>
      <c r="Q781" s="433"/>
      <c r="R781" s="433"/>
      <c r="S781" s="433"/>
      <c r="T781" s="466"/>
      <c r="U781" s="433"/>
      <c r="V781" s="433"/>
      <c r="W781" s="433"/>
    </row>
    <row r="782" spans="2:23" ht="15" customHeight="1">
      <c r="B782" s="433"/>
      <c r="C782" s="433"/>
      <c r="D782" s="433"/>
      <c r="E782" s="433"/>
      <c r="F782" s="434"/>
      <c r="G782" s="435"/>
      <c r="H782" s="433"/>
      <c r="J782" s="434"/>
      <c r="K782" s="433"/>
      <c r="L782" s="433"/>
      <c r="M782" s="433"/>
      <c r="N782" s="433"/>
      <c r="O782" s="433"/>
      <c r="P782" s="433"/>
      <c r="Q782" s="433"/>
      <c r="R782" s="433"/>
      <c r="S782" s="433"/>
      <c r="T782" s="466"/>
      <c r="U782" s="433"/>
      <c r="V782" s="433"/>
      <c r="W782" s="433"/>
    </row>
    <row r="783" spans="2:23" ht="15" customHeight="1">
      <c r="B783" s="433"/>
      <c r="C783" s="433"/>
      <c r="D783" s="433"/>
      <c r="E783" s="433"/>
      <c r="F783" s="434"/>
      <c r="G783" s="435"/>
      <c r="H783" s="433"/>
      <c r="J783" s="434"/>
      <c r="K783" s="433"/>
      <c r="L783" s="433"/>
      <c r="M783" s="433"/>
      <c r="N783" s="433"/>
      <c r="O783" s="433"/>
      <c r="P783" s="433"/>
      <c r="Q783" s="433"/>
      <c r="R783" s="433"/>
      <c r="S783" s="433"/>
      <c r="T783" s="466"/>
      <c r="U783" s="433"/>
      <c r="V783" s="433"/>
      <c r="W783" s="433"/>
    </row>
    <row r="784" spans="2:23" ht="15" customHeight="1">
      <c r="B784" s="433"/>
      <c r="C784" s="433"/>
      <c r="D784" s="433"/>
      <c r="E784" s="433"/>
      <c r="F784" s="434"/>
      <c r="G784" s="435"/>
      <c r="H784" s="433"/>
      <c r="J784" s="434"/>
      <c r="K784" s="433"/>
      <c r="L784" s="433"/>
      <c r="M784" s="433"/>
      <c r="N784" s="433"/>
      <c r="O784" s="433"/>
      <c r="P784" s="433"/>
      <c r="Q784" s="433"/>
      <c r="R784" s="433"/>
      <c r="S784" s="433"/>
      <c r="T784" s="466"/>
      <c r="U784" s="433"/>
      <c r="V784" s="433"/>
      <c r="W784" s="433"/>
    </row>
    <row r="785" spans="2:23" ht="15" customHeight="1">
      <c r="B785" s="433"/>
      <c r="C785" s="433"/>
      <c r="D785" s="433"/>
      <c r="E785" s="433"/>
      <c r="F785" s="434"/>
      <c r="G785" s="435"/>
      <c r="H785" s="433"/>
      <c r="J785" s="434"/>
      <c r="K785" s="433"/>
      <c r="L785" s="433"/>
      <c r="M785" s="433"/>
      <c r="N785" s="433"/>
      <c r="O785" s="433"/>
      <c r="P785" s="433"/>
      <c r="Q785" s="433"/>
      <c r="R785" s="433"/>
      <c r="S785" s="433"/>
      <c r="T785" s="466"/>
      <c r="U785" s="433"/>
      <c r="V785" s="433"/>
      <c r="W785" s="433"/>
    </row>
    <row r="786" spans="2:23" ht="15" customHeight="1">
      <c r="B786" s="433"/>
      <c r="C786" s="433"/>
      <c r="D786" s="433"/>
      <c r="E786" s="433"/>
      <c r="F786" s="434"/>
      <c r="G786" s="435"/>
      <c r="H786" s="433"/>
      <c r="J786" s="434"/>
      <c r="K786" s="433"/>
      <c r="L786" s="433"/>
      <c r="M786" s="433"/>
      <c r="N786" s="433"/>
      <c r="O786" s="433"/>
      <c r="P786" s="433"/>
      <c r="Q786" s="433"/>
      <c r="R786" s="433"/>
      <c r="S786" s="433"/>
      <c r="T786" s="466"/>
      <c r="U786" s="433"/>
      <c r="V786" s="433"/>
      <c r="W786" s="433"/>
    </row>
    <row r="787" spans="2:23" ht="15" customHeight="1">
      <c r="B787" s="433"/>
      <c r="C787" s="433"/>
      <c r="D787" s="433"/>
      <c r="E787" s="433"/>
      <c r="F787" s="434"/>
      <c r="G787" s="435"/>
      <c r="H787" s="433"/>
      <c r="J787" s="434"/>
      <c r="K787" s="433"/>
      <c r="L787" s="433"/>
      <c r="M787" s="433"/>
      <c r="N787" s="433"/>
      <c r="O787" s="433"/>
      <c r="P787" s="433"/>
      <c r="Q787" s="433"/>
      <c r="R787" s="433"/>
      <c r="S787" s="433"/>
      <c r="T787" s="466"/>
      <c r="U787" s="433"/>
      <c r="V787" s="433"/>
      <c r="W787" s="433"/>
    </row>
    <row r="788" spans="2:23" ht="15" customHeight="1">
      <c r="B788" s="433"/>
      <c r="C788" s="433"/>
      <c r="D788" s="433"/>
      <c r="E788" s="433"/>
      <c r="F788" s="434"/>
      <c r="G788" s="435"/>
      <c r="H788" s="433"/>
      <c r="J788" s="434"/>
      <c r="K788" s="433"/>
      <c r="L788" s="433"/>
      <c r="M788" s="433"/>
      <c r="N788" s="433"/>
      <c r="O788" s="433"/>
      <c r="P788" s="433"/>
      <c r="Q788" s="433"/>
      <c r="R788" s="433"/>
      <c r="S788" s="433"/>
      <c r="T788" s="466"/>
      <c r="U788" s="433"/>
      <c r="V788" s="433"/>
      <c r="W788" s="433"/>
    </row>
    <row r="789" spans="2:23" ht="15" customHeight="1">
      <c r="B789" s="433"/>
      <c r="C789" s="433"/>
      <c r="D789" s="433"/>
      <c r="E789" s="433"/>
      <c r="F789" s="434"/>
      <c r="G789" s="435"/>
      <c r="H789" s="433"/>
      <c r="J789" s="434"/>
      <c r="K789" s="433"/>
      <c r="L789" s="433"/>
      <c r="M789" s="433"/>
      <c r="N789" s="433"/>
      <c r="O789" s="433"/>
      <c r="P789" s="433"/>
      <c r="Q789" s="433"/>
      <c r="R789" s="433"/>
      <c r="S789" s="433"/>
      <c r="T789" s="466"/>
      <c r="U789" s="433"/>
      <c r="V789" s="433"/>
      <c r="W789" s="433"/>
    </row>
    <row r="790" spans="2:23" ht="15" customHeight="1">
      <c r="B790" s="433"/>
      <c r="C790" s="433"/>
      <c r="D790" s="433"/>
      <c r="E790" s="433"/>
      <c r="F790" s="434"/>
      <c r="G790" s="435"/>
      <c r="H790" s="433"/>
      <c r="J790" s="434"/>
      <c r="K790" s="433"/>
      <c r="L790" s="433"/>
      <c r="M790" s="433"/>
      <c r="N790" s="433"/>
      <c r="O790" s="433"/>
      <c r="P790" s="433"/>
      <c r="Q790" s="433"/>
      <c r="R790" s="433"/>
      <c r="S790" s="433"/>
      <c r="T790" s="466"/>
      <c r="U790" s="433"/>
      <c r="V790" s="433"/>
      <c r="W790" s="433"/>
    </row>
    <row r="791" spans="2:23" ht="15" customHeight="1">
      <c r="B791" s="433"/>
      <c r="C791" s="433"/>
      <c r="D791" s="433"/>
      <c r="E791" s="433"/>
      <c r="F791" s="434"/>
      <c r="G791" s="435"/>
      <c r="H791" s="433"/>
      <c r="J791" s="434"/>
      <c r="K791" s="433"/>
      <c r="L791" s="433"/>
      <c r="M791" s="433"/>
      <c r="N791" s="433"/>
      <c r="O791" s="433"/>
      <c r="P791" s="433"/>
      <c r="Q791" s="433"/>
      <c r="R791" s="433"/>
      <c r="S791" s="433"/>
      <c r="T791" s="466"/>
      <c r="U791" s="433"/>
      <c r="V791" s="433"/>
      <c r="W791" s="433"/>
    </row>
    <row r="792" spans="2:23" ht="15" customHeight="1">
      <c r="B792" s="433"/>
      <c r="C792" s="433"/>
      <c r="D792" s="433"/>
      <c r="E792" s="433"/>
      <c r="F792" s="434"/>
      <c r="G792" s="435"/>
      <c r="H792" s="433"/>
      <c r="J792" s="434"/>
      <c r="K792" s="433"/>
      <c r="L792" s="433"/>
      <c r="M792" s="433"/>
      <c r="N792" s="433"/>
      <c r="O792" s="433"/>
      <c r="P792" s="433"/>
      <c r="Q792" s="433"/>
      <c r="R792" s="433"/>
      <c r="S792" s="433"/>
      <c r="T792" s="466"/>
      <c r="U792" s="433"/>
      <c r="V792" s="433"/>
      <c r="W792" s="433"/>
    </row>
    <row r="793" spans="2:23" ht="15" customHeight="1">
      <c r="B793" s="433"/>
      <c r="C793" s="433"/>
      <c r="D793" s="433"/>
      <c r="E793" s="433"/>
      <c r="F793" s="434"/>
      <c r="G793" s="435"/>
      <c r="H793" s="433"/>
      <c r="J793" s="434"/>
      <c r="K793" s="433"/>
      <c r="L793" s="433"/>
      <c r="M793" s="433"/>
      <c r="N793" s="433"/>
      <c r="O793" s="433"/>
      <c r="P793" s="433"/>
      <c r="Q793" s="433"/>
      <c r="R793" s="433"/>
      <c r="S793" s="433"/>
      <c r="T793" s="466"/>
      <c r="U793" s="433"/>
      <c r="V793" s="433"/>
      <c r="W793" s="433"/>
    </row>
    <row r="794" spans="2:23" ht="15" customHeight="1">
      <c r="B794" s="433"/>
      <c r="C794" s="433"/>
      <c r="D794" s="433"/>
      <c r="E794" s="433"/>
      <c r="F794" s="434"/>
      <c r="G794" s="435"/>
      <c r="H794" s="433"/>
      <c r="J794" s="434"/>
      <c r="K794" s="433"/>
      <c r="L794" s="433"/>
      <c r="M794" s="433"/>
      <c r="N794" s="433"/>
      <c r="O794" s="433"/>
      <c r="P794" s="433"/>
      <c r="Q794" s="433"/>
      <c r="R794" s="433"/>
      <c r="S794" s="433"/>
      <c r="T794" s="466"/>
      <c r="U794" s="433"/>
      <c r="V794" s="433"/>
      <c r="W794" s="433"/>
    </row>
    <row r="795" spans="2:23" ht="15" customHeight="1">
      <c r="B795" s="433"/>
      <c r="C795" s="433"/>
      <c r="D795" s="433"/>
      <c r="E795" s="433"/>
      <c r="F795" s="434"/>
      <c r="G795" s="435"/>
      <c r="H795" s="433"/>
      <c r="J795" s="434"/>
      <c r="K795" s="433"/>
      <c r="L795" s="433"/>
      <c r="M795" s="433"/>
      <c r="N795" s="433"/>
      <c r="O795" s="433"/>
      <c r="P795" s="433"/>
      <c r="Q795" s="433"/>
      <c r="R795" s="433"/>
      <c r="S795" s="433"/>
      <c r="T795" s="466"/>
      <c r="U795" s="433"/>
      <c r="V795" s="433"/>
      <c r="W795" s="433"/>
    </row>
    <row r="796" spans="2:23" ht="15" customHeight="1">
      <c r="B796" s="433"/>
      <c r="C796" s="433"/>
      <c r="D796" s="433"/>
      <c r="E796" s="433"/>
      <c r="F796" s="434"/>
      <c r="G796" s="435"/>
      <c r="H796" s="433"/>
      <c r="J796" s="434"/>
      <c r="K796" s="433"/>
      <c r="L796" s="433"/>
      <c r="M796" s="433"/>
      <c r="N796" s="433"/>
      <c r="O796" s="433"/>
      <c r="P796" s="433"/>
      <c r="Q796" s="433"/>
      <c r="R796" s="433"/>
      <c r="S796" s="433"/>
      <c r="T796" s="466"/>
      <c r="U796" s="433"/>
      <c r="V796" s="433"/>
      <c r="W796" s="433"/>
    </row>
    <row r="797" spans="2:23" ht="15" customHeight="1">
      <c r="B797" s="433"/>
      <c r="C797" s="433"/>
      <c r="D797" s="433"/>
      <c r="E797" s="433"/>
      <c r="F797" s="434"/>
      <c r="G797" s="435"/>
      <c r="H797" s="433"/>
      <c r="J797" s="434"/>
      <c r="K797" s="433"/>
      <c r="L797" s="433"/>
      <c r="M797" s="433"/>
      <c r="N797" s="433"/>
      <c r="O797" s="433"/>
      <c r="P797" s="433"/>
      <c r="Q797" s="433"/>
      <c r="R797" s="433"/>
      <c r="S797" s="433"/>
      <c r="T797" s="466"/>
      <c r="U797" s="433"/>
      <c r="V797" s="433"/>
      <c r="W797" s="433"/>
    </row>
    <row r="798" spans="2:23" ht="15" customHeight="1">
      <c r="B798" s="433"/>
      <c r="C798" s="433"/>
      <c r="D798" s="433"/>
      <c r="E798" s="433"/>
      <c r="F798" s="434"/>
      <c r="G798" s="435"/>
      <c r="H798" s="433"/>
      <c r="J798" s="434"/>
      <c r="K798" s="433"/>
      <c r="L798" s="433"/>
      <c r="M798" s="433"/>
      <c r="N798" s="433"/>
      <c r="O798" s="433"/>
      <c r="P798" s="433"/>
      <c r="Q798" s="433"/>
      <c r="R798" s="433"/>
      <c r="S798" s="433"/>
      <c r="T798" s="466"/>
      <c r="U798" s="433"/>
      <c r="V798" s="433"/>
      <c r="W798" s="433"/>
    </row>
    <row r="799" spans="2:23" ht="15" customHeight="1">
      <c r="B799" s="433"/>
      <c r="C799" s="433"/>
      <c r="D799" s="433"/>
      <c r="E799" s="433"/>
      <c r="F799" s="434"/>
      <c r="G799" s="435"/>
      <c r="H799" s="433"/>
      <c r="J799" s="434"/>
      <c r="K799" s="433"/>
      <c r="L799" s="433"/>
      <c r="M799" s="433"/>
      <c r="N799" s="433"/>
      <c r="O799" s="433"/>
      <c r="P799" s="433"/>
      <c r="Q799" s="433"/>
      <c r="R799" s="433"/>
      <c r="S799" s="433"/>
      <c r="T799" s="466"/>
      <c r="U799" s="433"/>
      <c r="V799" s="433"/>
      <c r="W799" s="433"/>
    </row>
    <row r="800" spans="2:23" ht="15" customHeight="1">
      <c r="B800" s="433"/>
      <c r="C800" s="433"/>
      <c r="D800" s="433"/>
      <c r="E800" s="433"/>
      <c r="F800" s="434"/>
      <c r="G800" s="435"/>
      <c r="H800" s="433"/>
      <c r="J800" s="434"/>
      <c r="K800" s="433"/>
      <c r="L800" s="433"/>
      <c r="M800" s="433"/>
      <c r="N800" s="433"/>
      <c r="O800" s="433"/>
      <c r="P800" s="433"/>
      <c r="Q800" s="433"/>
      <c r="R800" s="433"/>
      <c r="S800" s="433"/>
      <c r="T800" s="466"/>
      <c r="U800" s="433"/>
      <c r="V800" s="433"/>
      <c r="W800" s="433"/>
    </row>
    <row r="801" spans="2:23" ht="15" customHeight="1">
      <c r="B801" s="433"/>
      <c r="C801" s="433"/>
      <c r="D801" s="433"/>
      <c r="E801" s="433"/>
      <c r="F801" s="434"/>
      <c r="G801" s="435"/>
      <c r="H801" s="433"/>
      <c r="J801" s="434"/>
      <c r="K801" s="433"/>
      <c r="L801" s="433"/>
      <c r="M801" s="433"/>
      <c r="N801" s="433"/>
      <c r="O801" s="433"/>
      <c r="P801" s="433"/>
      <c r="Q801" s="433"/>
      <c r="R801" s="433"/>
      <c r="S801" s="433"/>
      <c r="T801" s="466"/>
      <c r="U801" s="433"/>
      <c r="V801" s="433"/>
      <c r="W801" s="433"/>
    </row>
    <row r="802" spans="2:23" ht="15" customHeight="1">
      <c r="B802" s="433"/>
      <c r="C802" s="433"/>
      <c r="D802" s="433"/>
      <c r="E802" s="433"/>
      <c r="F802" s="434"/>
      <c r="G802" s="435"/>
      <c r="H802" s="433"/>
      <c r="J802" s="434"/>
      <c r="K802" s="433"/>
      <c r="L802" s="433"/>
      <c r="M802" s="433"/>
      <c r="N802" s="433"/>
      <c r="O802" s="433"/>
      <c r="P802" s="433"/>
      <c r="Q802" s="433"/>
      <c r="R802" s="433"/>
      <c r="S802" s="433"/>
      <c r="T802" s="466"/>
      <c r="U802" s="433"/>
      <c r="V802" s="433"/>
      <c r="W802" s="433"/>
    </row>
    <row r="803" spans="2:23" ht="15" customHeight="1">
      <c r="B803" s="433"/>
      <c r="C803" s="433"/>
      <c r="D803" s="433"/>
      <c r="E803" s="433"/>
      <c r="F803" s="434"/>
      <c r="G803" s="435"/>
      <c r="H803" s="433"/>
      <c r="J803" s="434"/>
      <c r="K803" s="433"/>
      <c r="L803" s="433"/>
      <c r="M803" s="433"/>
      <c r="N803" s="433"/>
      <c r="O803" s="433"/>
      <c r="P803" s="433"/>
      <c r="Q803" s="433"/>
      <c r="R803" s="433"/>
      <c r="S803" s="433"/>
      <c r="T803" s="466"/>
      <c r="U803" s="433"/>
      <c r="V803" s="433"/>
      <c r="W803" s="433"/>
    </row>
    <row r="804" spans="2:23" ht="15" customHeight="1">
      <c r="B804" s="433"/>
      <c r="C804" s="433"/>
      <c r="D804" s="433"/>
      <c r="E804" s="433"/>
      <c r="F804" s="434"/>
      <c r="G804" s="435"/>
      <c r="H804" s="433"/>
      <c r="J804" s="434"/>
      <c r="K804" s="433"/>
      <c r="L804" s="433"/>
      <c r="M804" s="433"/>
      <c r="N804" s="433"/>
      <c r="O804" s="433"/>
      <c r="P804" s="433"/>
      <c r="Q804" s="433"/>
      <c r="R804" s="433"/>
      <c r="S804" s="433"/>
      <c r="T804" s="466"/>
      <c r="U804" s="433"/>
      <c r="V804" s="433"/>
      <c r="W804" s="433"/>
    </row>
    <row r="805" spans="2:23" ht="15" customHeight="1">
      <c r="B805" s="433"/>
      <c r="C805" s="433"/>
      <c r="D805" s="433"/>
      <c r="E805" s="433"/>
      <c r="F805" s="434"/>
      <c r="G805" s="435"/>
      <c r="H805" s="433"/>
      <c r="J805" s="434"/>
      <c r="K805" s="433"/>
      <c r="L805" s="433"/>
      <c r="M805" s="433"/>
      <c r="N805" s="433"/>
      <c r="O805" s="433"/>
      <c r="P805" s="433"/>
      <c r="Q805" s="433"/>
      <c r="R805" s="433"/>
      <c r="S805" s="433"/>
      <c r="T805" s="466"/>
      <c r="U805" s="433"/>
      <c r="V805" s="433"/>
      <c r="W805" s="433"/>
    </row>
    <row r="806" spans="2:23" ht="15" customHeight="1">
      <c r="B806" s="433"/>
      <c r="C806" s="433"/>
      <c r="D806" s="433"/>
      <c r="E806" s="433"/>
      <c r="F806" s="434"/>
      <c r="G806" s="435"/>
      <c r="H806" s="433"/>
      <c r="J806" s="434"/>
      <c r="K806" s="433"/>
      <c r="L806" s="433"/>
      <c r="M806" s="433"/>
      <c r="N806" s="433"/>
      <c r="O806" s="433"/>
      <c r="P806" s="433"/>
      <c r="Q806" s="433"/>
      <c r="R806" s="433"/>
      <c r="S806" s="433"/>
      <c r="T806" s="466"/>
      <c r="U806" s="433"/>
      <c r="V806" s="433"/>
      <c r="W806" s="433"/>
    </row>
    <row r="807" spans="2:23" ht="15" customHeight="1">
      <c r="B807" s="433"/>
      <c r="C807" s="433"/>
      <c r="D807" s="433"/>
      <c r="E807" s="433"/>
      <c r="F807" s="434"/>
      <c r="G807" s="435"/>
      <c r="H807" s="433"/>
      <c r="J807" s="434"/>
      <c r="K807" s="433"/>
      <c r="L807" s="433"/>
      <c r="M807" s="433"/>
      <c r="N807" s="433"/>
      <c r="O807" s="433"/>
      <c r="P807" s="433"/>
      <c r="Q807" s="433"/>
      <c r="R807" s="433"/>
      <c r="S807" s="433"/>
      <c r="T807" s="466"/>
      <c r="U807" s="433"/>
      <c r="V807" s="433"/>
      <c r="W807" s="433"/>
    </row>
    <row r="808" spans="2:23" ht="15" customHeight="1">
      <c r="B808" s="433"/>
      <c r="C808" s="433"/>
      <c r="D808" s="433"/>
      <c r="E808" s="433"/>
      <c r="F808" s="434"/>
      <c r="G808" s="435"/>
      <c r="H808" s="433"/>
      <c r="J808" s="434"/>
      <c r="K808" s="433"/>
      <c r="L808" s="433"/>
      <c r="M808" s="433"/>
      <c r="N808" s="433"/>
      <c r="O808" s="433"/>
      <c r="P808" s="433"/>
      <c r="Q808" s="433"/>
      <c r="R808" s="433"/>
      <c r="S808" s="433"/>
      <c r="T808" s="466"/>
      <c r="U808" s="433"/>
      <c r="V808" s="433"/>
      <c r="W808" s="433"/>
    </row>
    <row r="809" spans="2:23" ht="15" customHeight="1">
      <c r="B809" s="433"/>
      <c r="C809" s="433"/>
      <c r="D809" s="433"/>
      <c r="E809" s="433"/>
      <c r="F809" s="434"/>
      <c r="G809" s="435"/>
      <c r="H809" s="433"/>
      <c r="J809" s="434"/>
      <c r="K809" s="433"/>
      <c r="L809" s="433"/>
      <c r="M809" s="433"/>
      <c r="N809" s="433"/>
      <c r="O809" s="433"/>
      <c r="P809" s="433"/>
      <c r="Q809" s="433"/>
      <c r="R809" s="433"/>
      <c r="S809" s="433"/>
      <c r="T809" s="466"/>
      <c r="U809" s="433"/>
      <c r="V809" s="433"/>
      <c r="W809" s="433"/>
    </row>
    <row r="810" spans="2:23" ht="15" customHeight="1">
      <c r="B810" s="433"/>
      <c r="C810" s="433"/>
      <c r="D810" s="433"/>
      <c r="E810" s="433"/>
      <c r="F810" s="434"/>
      <c r="G810" s="435"/>
      <c r="H810" s="433"/>
      <c r="J810" s="434"/>
      <c r="K810" s="433"/>
      <c r="L810" s="433"/>
      <c r="M810" s="433"/>
      <c r="N810" s="433"/>
      <c r="O810" s="433"/>
      <c r="P810" s="433"/>
      <c r="Q810" s="433"/>
      <c r="R810" s="433"/>
      <c r="S810" s="433"/>
      <c r="T810" s="466"/>
      <c r="U810" s="433"/>
      <c r="V810" s="433"/>
      <c r="W810" s="433"/>
    </row>
    <row r="811" spans="2:23" ht="15" customHeight="1">
      <c r="B811" s="433"/>
      <c r="C811" s="433"/>
      <c r="D811" s="433"/>
      <c r="E811" s="433"/>
      <c r="F811" s="434"/>
      <c r="G811" s="435"/>
      <c r="H811" s="433"/>
      <c r="J811" s="434"/>
      <c r="K811" s="433"/>
      <c r="L811" s="433"/>
      <c r="M811" s="433"/>
      <c r="N811" s="433"/>
      <c r="O811" s="433"/>
      <c r="P811" s="433"/>
      <c r="Q811" s="433"/>
      <c r="R811" s="433"/>
      <c r="S811" s="433"/>
      <c r="T811" s="466"/>
      <c r="U811" s="433"/>
      <c r="V811" s="433"/>
      <c r="W811" s="433"/>
    </row>
    <row r="812" spans="2:23" ht="15" customHeight="1">
      <c r="B812" s="433"/>
      <c r="C812" s="433"/>
      <c r="D812" s="433"/>
      <c r="E812" s="433"/>
      <c r="F812" s="434"/>
      <c r="G812" s="435"/>
      <c r="H812" s="433"/>
      <c r="J812" s="434"/>
      <c r="K812" s="433"/>
      <c r="L812" s="433"/>
      <c r="M812" s="433"/>
      <c r="N812" s="433"/>
      <c r="O812" s="433"/>
      <c r="P812" s="433"/>
      <c r="Q812" s="433"/>
      <c r="R812" s="433"/>
      <c r="S812" s="433"/>
      <c r="T812" s="466"/>
      <c r="U812" s="433"/>
      <c r="V812" s="433"/>
      <c r="W812" s="433"/>
    </row>
    <row r="813" spans="2:23" ht="15" customHeight="1">
      <c r="B813" s="433"/>
      <c r="C813" s="433"/>
      <c r="D813" s="433"/>
      <c r="E813" s="433"/>
      <c r="F813" s="434"/>
      <c r="G813" s="435"/>
      <c r="H813" s="433"/>
      <c r="J813" s="434"/>
      <c r="K813" s="433"/>
      <c r="L813" s="433"/>
      <c r="M813" s="433"/>
      <c r="N813" s="433"/>
      <c r="O813" s="433"/>
      <c r="P813" s="433"/>
      <c r="Q813" s="433"/>
      <c r="R813" s="433"/>
      <c r="S813" s="433"/>
      <c r="T813" s="466"/>
      <c r="U813" s="433"/>
      <c r="V813" s="433"/>
      <c r="W813" s="433"/>
    </row>
    <row r="814" spans="2:23" ht="15" customHeight="1">
      <c r="B814" s="433"/>
      <c r="C814" s="433"/>
      <c r="D814" s="433"/>
      <c r="E814" s="433"/>
      <c r="F814" s="434"/>
      <c r="G814" s="435"/>
      <c r="H814" s="433"/>
      <c r="J814" s="434"/>
      <c r="K814" s="433"/>
      <c r="L814" s="433"/>
      <c r="M814" s="433"/>
      <c r="N814" s="433"/>
      <c r="O814" s="433"/>
      <c r="P814" s="433"/>
      <c r="Q814" s="433"/>
      <c r="R814" s="433"/>
      <c r="S814" s="433"/>
      <c r="T814" s="466"/>
      <c r="U814" s="433"/>
      <c r="V814" s="433"/>
      <c r="W814" s="433"/>
    </row>
    <row r="815" spans="2:23" ht="15" customHeight="1">
      <c r="B815" s="433"/>
      <c r="C815" s="433"/>
      <c r="D815" s="433"/>
      <c r="E815" s="433"/>
      <c r="F815" s="434"/>
      <c r="G815" s="435"/>
      <c r="H815" s="433"/>
      <c r="J815" s="434"/>
      <c r="K815" s="433"/>
      <c r="L815" s="433"/>
      <c r="M815" s="433"/>
      <c r="N815" s="433"/>
      <c r="O815" s="433"/>
      <c r="P815" s="433"/>
      <c r="Q815" s="433"/>
      <c r="R815" s="433"/>
      <c r="S815" s="433"/>
      <c r="T815" s="466"/>
      <c r="U815" s="433"/>
      <c r="V815" s="433"/>
      <c r="W815" s="433"/>
    </row>
    <row r="816" spans="2:23" ht="15" customHeight="1">
      <c r="B816" s="433"/>
      <c r="C816" s="433"/>
      <c r="D816" s="433"/>
      <c r="E816" s="433"/>
      <c r="F816" s="434"/>
      <c r="G816" s="435"/>
      <c r="H816" s="433"/>
      <c r="J816" s="434"/>
      <c r="K816" s="433"/>
      <c r="L816" s="433"/>
      <c r="M816" s="433"/>
      <c r="N816" s="433"/>
      <c r="O816" s="433"/>
      <c r="P816" s="433"/>
      <c r="Q816" s="433"/>
      <c r="R816" s="433"/>
      <c r="S816" s="433"/>
      <c r="T816" s="466"/>
      <c r="U816" s="433"/>
      <c r="V816" s="433"/>
      <c r="W816" s="433"/>
    </row>
    <row r="817" spans="2:23" ht="15" customHeight="1">
      <c r="B817" s="433"/>
      <c r="C817" s="433"/>
      <c r="D817" s="433"/>
      <c r="E817" s="433"/>
      <c r="F817" s="434"/>
      <c r="G817" s="435"/>
      <c r="H817" s="433"/>
      <c r="J817" s="434"/>
      <c r="K817" s="433"/>
      <c r="L817" s="433"/>
      <c r="M817" s="433"/>
      <c r="N817" s="433"/>
      <c r="O817" s="433"/>
      <c r="P817" s="433"/>
      <c r="Q817" s="433"/>
      <c r="R817" s="433"/>
      <c r="S817" s="433"/>
      <c r="T817" s="466"/>
      <c r="U817" s="433"/>
      <c r="V817" s="433"/>
      <c r="W817" s="433"/>
    </row>
    <row r="818" spans="2:23" ht="15" customHeight="1">
      <c r="B818" s="433"/>
      <c r="C818" s="433"/>
      <c r="D818" s="433"/>
      <c r="E818" s="433"/>
      <c r="F818" s="434"/>
      <c r="G818" s="435"/>
      <c r="H818" s="433"/>
      <c r="J818" s="434"/>
      <c r="K818" s="433"/>
      <c r="L818" s="433"/>
      <c r="M818" s="433"/>
      <c r="N818" s="433"/>
      <c r="O818" s="433"/>
      <c r="P818" s="433"/>
      <c r="Q818" s="433"/>
      <c r="R818" s="433"/>
      <c r="S818" s="433"/>
      <c r="T818" s="466"/>
      <c r="U818" s="433"/>
      <c r="V818" s="433"/>
      <c r="W818" s="433"/>
    </row>
    <row r="819" spans="2:23" ht="15" customHeight="1">
      <c r="B819" s="433"/>
      <c r="C819" s="433"/>
      <c r="D819" s="433"/>
      <c r="E819" s="433"/>
      <c r="F819" s="434"/>
      <c r="G819" s="435"/>
      <c r="H819" s="433"/>
      <c r="J819" s="434"/>
      <c r="K819" s="433"/>
      <c r="L819" s="433"/>
      <c r="M819" s="433"/>
      <c r="N819" s="433"/>
      <c r="O819" s="433"/>
      <c r="P819" s="433"/>
      <c r="Q819" s="433"/>
      <c r="R819" s="433"/>
      <c r="S819" s="433"/>
      <c r="T819" s="466"/>
      <c r="U819" s="433"/>
      <c r="V819" s="433"/>
      <c r="W819" s="433"/>
    </row>
    <row r="820" spans="2:23" ht="15" customHeight="1">
      <c r="B820" s="433"/>
      <c r="C820" s="433"/>
      <c r="D820" s="433"/>
      <c r="E820" s="433"/>
      <c r="F820" s="434"/>
      <c r="G820" s="435"/>
      <c r="H820" s="433"/>
      <c r="J820" s="434"/>
      <c r="K820" s="433"/>
      <c r="L820" s="433"/>
      <c r="M820" s="433"/>
      <c r="N820" s="433"/>
      <c r="O820" s="433"/>
      <c r="P820" s="433"/>
      <c r="Q820" s="433"/>
      <c r="R820" s="433"/>
      <c r="S820" s="433"/>
      <c r="T820" s="466"/>
      <c r="U820" s="433"/>
      <c r="V820" s="433"/>
      <c r="W820" s="433"/>
    </row>
    <row r="821" spans="2:23" ht="15" customHeight="1">
      <c r="B821" s="433"/>
      <c r="C821" s="433"/>
      <c r="D821" s="433"/>
      <c r="E821" s="433"/>
      <c r="F821" s="434"/>
      <c r="G821" s="435"/>
      <c r="H821" s="433"/>
      <c r="J821" s="434"/>
      <c r="K821" s="433"/>
      <c r="L821" s="433"/>
      <c r="M821" s="433"/>
      <c r="N821" s="433"/>
      <c r="O821" s="433"/>
      <c r="P821" s="433"/>
      <c r="Q821" s="433"/>
      <c r="R821" s="433"/>
      <c r="S821" s="433"/>
      <c r="T821" s="466"/>
      <c r="U821" s="433"/>
      <c r="V821" s="433"/>
      <c r="W821" s="433"/>
    </row>
    <row r="822" spans="2:23" ht="15" customHeight="1">
      <c r="B822" s="433"/>
      <c r="C822" s="433"/>
      <c r="D822" s="433"/>
      <c r="E822" s="433"/>
      <c r="F822" s="434"/>
      <c r="G822" s="435"/>
      <c r="H822" s="433"/>
      <c r="J822" s="434"/>
      <c r="K822" s="433"/>
      <c r="L822" s="433"/>
      <c r="M822" s="433"/>
      <c r="N822" s="433"/>
      <c r="O822" s="433"/>
      <c r="P822" s="433"/>
      <c r="Q822" s="433"/>
      <c r="R822" s="433"/>
      <c r="S822" s="433"/>
      <c r="T822" s="466"/>
      <c r="U822" s="433"/>
      <c r="V822" s="433"/>
      <c r="W822" s="433"/>
    </row>
    <row r="823" spans="2:23" ht="15" customHeight="1">
      <c r="B823" s="433"/>
      <c r="C823" s="433"/>
      <c r="D823" s="433"/>
      <c r="E823" s="433"/>
      <c r="F823" s="434"/>
      <c r="G823" s="435"/>
      <c r="H823" s="433"/>
      <c r="J823" s="434"/>
      <c r="K823" s="433"/>
      <c r="L823" s="433"/>
      <c r="M823" s="433"/>
      <c r="N823" s="433"/>
      <c r="O823" s="433"/>
      <c r="P823" s="433"/>
      <c r="Q823" s="433"/>
      <c r="R823" s="433"/>
      <c r="S823" s="433"/>
      <c r="T823" s="466"/>
      <c r="U823" s="433"/>
      <c r="V823" s="433"/>
      <c r="W823" s="433"/>
    </row>
    <row r="824" spans="2:23" ht="15" customHeight="1">
      <c r="B824" s="433"/>
      <c r="C824" s="433"/>
      <c r="D824" s="433"/>
      <c r="E824" s="433"/>
      <c r="F824" s="434"/>
      <c r="G824" s="435"/>
      <c r="H824" s="433"/>
      <c r="J824" s="434"/>
      <c r="K824" s="433"/>
      <c r="L824" s="433"/>
      <c r="M824" s="433"/>
      <c r="N824" s="433"/>
      <c r="O824" s="433"/>
      <c r="P824" s="433"/>
      <c r="Q824" s="433"/>
      <c r="R824" s="433"/>
      <c r="S824" s="433"/>
      <c r="T824" s="466"/>
      <c r="U824" s="433"/>
      <c r="V824" s="433"/>
      <c r="W824" s="433"/>
    </row>
    <row r="825" spans="2:23" ht="15" customHeight="1">
      <c r="B825" s="433"/>
      <c r="C825" s="433"/>
      <c r="D825" s="433"/>
      <c r="E825" s="433"/>
      <c r="F825" s="434"/>
      <c r="G825" s="435"/>
      <c r="H825" s="433"/>
      <c r="J825" s="434"/>
      <c r="K825" s="433"/>
      <c r="L825" s="433"/>
      <c r="M825" s="433"/>
      <c r="N825" s="433"/>
      <c r="O825" s="433"/>
      <c r="P825" s="433"/>
      <c r="Q825" s="433"/>
      <c r="R825" s="433"/>
      <c r="S825" s="433"/>
      <c r="T825" s="466"/>
      <c r="U825" s="433"/>
      <c r="V825" s="433"/>
      <c r="W825" s="433"/>
    </row>
    <row r="826" spans="2:23" ht="15" customHeight="1">
      <c r="B826" s="433"/>
      <c r="C826" s="433"/>
      <c r="D826" s="433"/>
      <c r="E826" s="433"/>
      <c r="F826" s="434"/>
      <c r="G826" s="435"/>
      <c r="H826" s="433"/>
      <c r="J826" s="434"/>
      <c r="K826" s="433"/>
      <c r="L826" s="433"/>
      <c r="M826" s="433"/>
      <c r="N826" s="433"/>
      <c r="O826" s="433"/>
      <c r="P826" s="433"/>
      <c r="Q826" s="433"/>
      <c r="R826" s="433"/>
      <c r="S826" s="433"/>
      <c r="T826" s="466"/>
      <c r="U826" s="433"/>
      <c r="V826" s="433"/>
      <c r="W826" s="433"/>
    </row>
    <row r="827" spans="2:23" ht="15" customHeight="1">
      <c r="B827" s="433"/>
      <c r="C827" s="433"/>
      <c r="D827" s="433"/>
      <c r="E827" s="433"/>
      <c r="F827" s="434"/>
      <c r="G827" s="435"/>
      <c r="H827" s="433"/>
      <c r="J827" s="434"/>
      <c r="K827" s="433"/>
      <c r="L827" s="433"/>
      <c r="M827" s="433"/>
      <c r="N827" s="433"/>
      <c r="O827" s="433"/>
      <c r="P827" s="433"/>
      <c r="Q827" s="433"/>
      <c r="R827" s="433"/>
      <c r="S827" s="433"/>
      <c r="T827" s="466"/>
      <c r="U827" s="433"/>
      <c r="V827" s="433"/>
      <c r="W827" s="433"/>
    </row>
    <row r="828" spans="2:23" ht="15" customHeight="1">
      <c r="B828" s="433"/>
      <c r="C828" s="433"/>
      <c r="D828" s="433"/>
      <c r="E828" s="433"/>
      <c r="F828" s="434"/>
      <c r="G828" s="435"/>
      <c r="H828" s="433"/>
      <c r="J828" s="434"/>
      <c r="K828" s="433"/>
      <c r="L828" s="433"/>
      <c r="M828" s="433"/>
      <c r="N828" s="433"/>
      <c r="O828" s="433"/>
      <c r="P828" s="433"/>
      <c r="Q828" s="433"/>
      <c r="R828" s="433"/>
      <c r="S828" s="433"/>
      <c r="T828" s="466"/>
      <c r="U828" s="433"/>
      <c r="V828" s="433"/>
      <c r="W828" s="433"/>
    </row>
    <row r="829" spans="2:23" ht="15" customHeight="1">
      <c r="B829" s="433"/>
      <c r="C829" s="433"/>
      <c r="D829" s="433"/>
      <c r="E829" s="433"/>
      <c r="F829" s="434"/>
      <c r="G829" s="435"/>
      <c r="H829" s="433"/>
      <c r="J829" s="434"/>
      <c r="K829" s="433"/>
      <c r="L829" s="433"/>
      <c r="M829" s="433"/>
      <c r="N829" s="433"/>
      <c r="O829" s="433"/>
      <c r="P829" s="433"/>
      <c r="Q829" s="433"/>
      <c r="R829" s="433"/>
      <c r="S829" s="433"/>
      <c r="T829" s="466"/>
      <c r="U829" s="433"/>
      <c r="V829" s="433"/>
      <c r="W829" s="433"/>
    </row>
    <row r="830" spans="2:23" ht="15" customHeight="1">
      <c r="B830" s="433"/>
      <c r="C830" s="433"/>
      <c r="D830" s="433"/>
      <c r="E830" s="433"/>
      <c r="F830" s="434"/>
      <c r="G830" s="435"/>
      <c r="H830" s="433"/>
      <c r="J830" s="434"/>
      <c r="K830" s="433"/>
      <c r="L830" s="433"/>
      <c r="M830" s="433"/>
      <c r="N830" s="433"/>
      <c r="O830" s="433"/>
      <c r="P830" s="433"/>
      <c r="Q830" s="433"/>
      <c r="R830" s="433"/>
      <c r="S830" s="433"/>
      <c r="T830" s="466"/>
      <c r="U830" s="433"/>
      <c r="V830" s="433"/>
      <c r="W830" s="433"/>
    </row>
    <row r="831" spans="2:23" ht="15" customHeight="1">
      <c r="B831" s="433"/>
      <c r="C831" s="433"/>
      <c r="D831" s="433"/>
      <c r="E831" s="433"/>
      <c r="F831" s="434"/>
      <c r="G831" s="435"/>
      <c r="H831" s="433"/>
      <c r="J831" s="434"/>
      <c r="K831" s="433"/>
      <c r="L831" s="433"/>
      <c r="M831" s="433"/>
      <c r="N831" s="433"/>
      <c r="O831" s="433"/>
      <c r="P831" s="433"/>
      <c r="Q831" s="433"/>
      <c r="R831" s="433"/>
      <c r="S831" s="433"/>
      <c r="T831" s="466"/>
      <c r="U831" s="433"/>
      <c r="V831" s="433"/>
      <c r="W831" s="433"/>
    </row>
    <row r="832" spans="2:23" ht="15" customHeight="1">
      <c r="B832" s="433"/>
      <c r="C832" s="433"/>
      <c r="D832" s="433"/>
      <c r="E832" s="433"/>
      <c r="F832" s="434"/>
      <c r="G832" s="435"/>
      <c r="H832" s="433"/>
      <c r="J832" s="434"/>
      <c r="K832" s="433"/>
      <c r="L832" s="433"/>
      <c r="M832" s="433"/>
      <c r="N832" s="433"/>
      <c r="O832" s="433"/>
      <c r="P832" s="433"/>
      <c r="Q832" s="433"/>
      <c r="R832" s="433"/>
      <c r="S832" s="433"/>
      <c r="T832" s="466"/>
      <c r="U832" s="433"/>
      <c r="V832" s="433"/>
      <c r="W832" s="433"/>
    </row>
    <row r="833" spans="2:23" ht="15" customHeight="1">
      <c r="B833" s="433"/>
      <c r="C833" s="433"/>
      <c r="D833" s="433"/>
      <c r="E833" s="433"/>
      <c r="F833" s="434"/>
      <c r="G833" s="435"/>
      <c r="H833" s="433"/>
      <c r="J833" s="434"/>
      <c r="K833" s="433"/>
      <c r="L833" s="433"/>
      <c r="M833" s="433"/>
      <c r="N833" s="433"/>
      <c r="O833" s="433"/>
      <c r="P833" s="433"/>
      <c r="Q833" s="433"/>
      <c r="R833" s="433"/>
      <c r="S833" s="433"/>
      <c r="T833" s="466"/>
      <c r="U833" s="433"/>
      <c r="V833" s="433"/>
      <c r="W833" s="433"/>
    </row>
    <row r="834" spans="2:23" ht="15" customHeight="1">
      <c r="B834" s="433"/>
      <c r="C834" s="433"/>
      <c r="D834" s="433"/>
      <c r="E834" s="433"/>
      <c r="F834" s="434"/>
      <c r="G834" s="435"/>
      <c r="H834" s="433"/>
      <c r="J834" s="434"/>
      <c r="K834" s="433"/>
      <c r="L834" s="433"/>
      <c r="M834" s="433"/>
      <c r="N834" s="433"/>
      <c r="O834" s="433"/>
      <c r="P834" s="433"/>
      <c r="Q834" s="433"/>
      <c r="R834" s="433"/>
      <c r="S834" s="433"/>
      <c r="T834" s="466"/>
      <c r="U834" s="433"/>
      <c r="V834" s="433"/>
      <c r="W834" s="433"/>
    </row>
    <row r="835" spans="2:23" ht="15" customHeight="1">
      <c r="B835" s="433"/>
      <c r="C835" s="433"/>
      <c r="D835" s="433"/>
      <c r="E835" s="433"/>
      <c r="F835" s="434"/>
      <c r="G835" s="435"/>
      <c r="H835" s="433"/>
      <c r="J835" s="434"/>
      <c r="K835" s="433"/>
      <c r="L835" s="433"/>
      <c r="M835" s="433"/>
      <c r="N835" s="433"/>
      <c r="O835" s="433"/>
      <c r="P835" s="433"/>
      <c r="Q835" s="433"/>
      <c r="R835" s="433"/>
      <c r="S835" s="433"/>
      <c r="T835" s="466"/>
      <c r="U835" s="433"/>
      <c r="V835" s="433"/>
      <c r="W835" s="433"/>
    </row>
    <row r="836" spans="2:23" ht="15" customHeight="1">
      <c r="B836" s="433"/>
      <c r="C836" s="433"/>
      <c r="D836" s="433"/>
      <c r="E836" s="433"/>
      <c r="F836" s="434"/>
      <c r="G836" s="435"/>
      <c r="H836" s="433"/>
      <c r="J836" s="434"/>
      <c r="K836" s="433"/>
      <c r="L836" s="433"/>
      <c r="M836" s="433"/>
      <c r="N836" s="433"/>
      <c r="O836" s="433"/>
      <c r="P836" s="433"/>
      <c r="Q836" s="433"/>
      <c r="R836" s="433"/>
      <c r="S836" s="433"/>
      <c r="T836" s="466"/>
      <c r="U836" s="433"/>
      <c r="V836" s="433"/>
      <c r="W836" s="433"/>
    </row>
    <row r="837" spans="2:23" ht="15" customHeight="1">
      <c r="B837" s="433"/>
      <c r="C837" s="433"/>
      <c r="D837" s="433"/>
      <c r="E837" s="433"/>
      <c r="F837" s="434"/>
      <c r="G837" s="435"/>
      <c r="H837" s="433"/>
      <c r="J837" s="434"/>
      <c r="K837" s="433"/>
      <c r="L837" s="433"/>
      <c r="M837" s="433"/>
      <c r="N837" s="433"/>
      <c r="O837" s="433"/>
      <c r="P837" s="433"/>
      <c r="Q837" s="433"/>
      <c r="R837" s="433"/>
      <c r="S837" s="433"/>
      <c r="T837" s="466"/>
      <c r="U837" s="433"/>
      <c r="V837" s="433"/>
      <c r="W837" s="433"/>
    </row>
    <row r="838" spans="2:23" ht="15" customHeight="1">
      <c r="B838" s="433"/>
      <c r="C838" s="433"/>
      <c r="D838" s="433"/>
      <c r="E838" s="433"/>
      <c r="F838" s="434"/>
      <c r="G838" s="435"/>
      <c r="H838" s="433"/>
      <c r="J838" s="434"/>
      <c r="K838" s="433"/>
      <c r="L838" s="433"/>
      <c r="M838" s="433"/>
      <c r="N838" s="433"/>
      <c r="O838" s="433"/>
      <c r="P838" s="433"/>
      <c r="Q838" s="433"/>
      <c r="R838" s="433"/>
      <c r="S838" s="433"/>
      <c r="T838" s="466"/>
      <c r="U838" s="433"/>
      <c r="V838" s="433"/>
      <c r="W838" s="433"/>
    </row>
    <row r="839" spans="2:23" ht="15" customHeight="1">
      <c r="B839" s="433"/>
      <c r="C839" s="433"/>
      <c r="D839" s="433"/>
      <c r="E839" s="433"/>
      <c r="F839" s="434"/>
      <c r="G839" s="435"/>
      <c r="H839" s="433"/>
      <c r="J839" s="434"/>
      <c r="K839" s="433"/>
      <c r="L839" s="433"/>
      <c r="M839" s="433"/>
      <c r="N839" s="433"/>
      <c r="O839" s="433"/>
      <c r="P839" s="433"/>
      <c r="Q839" s="433"/>
      <c r="R839" s="433"/>
      <c r="S839" s="433"/>
      <c r="T839" s="466"/>
      <c r="U839" s="433"/>
      <c r="V839" s="433"/>
      <c r="W839" s="433"/>
    </row>
    <row r="840" spans="2:23" ht="15" customHeight="1">
      <c r="B840" s="433"/>
      <c r="C840" s="433"/>
      <c r="D840" s="433"/>
      <c r="E840" s="433"/>
      <c r="F840" s="434"/>
      <c r="G840" s="435"/>
      <c r="H840" s="433"/>
      <c r="J840" s="434"/>
      <c r="K840" s="433"/>
      <c r="L840" s="433"/>
      <c r="M840" s="433"/>
      <c r="N840" s="433"/>
      <c r="O840" s="433"/>
      <c r="P840" s="433"/>
      <c r="Q840" s="433"/>
      <c r="R840" s="433"/>
      <c r="S840" s="433"/>
      <c r="T840" s="466"/>
      <c r="U840" s="433"/>
      <c r="V840" s="433"/>
      <c r="W840" s="433"/>
    </row>
    <row r="841" spans="2:23" ht="15" customHeight="1">
      <c r="B841" s="433"/>
      <c r="C841" s="433"/>
      <c r="D841" s="433"/>
      <c r="E841" s="433"/>
      <c r="F841" s="434"/>
      <c r="G841" s="435"/>
      <c r="H841" s="433"/>
      <c r="J841" s="434"/>
      <c r="K841" s="433"/>
      <c r="L841" s="433"/>
      <c r="M841" s="433"/>
      <c r="N841" s="433"/>
      <c r="O841" s="433"/>
      <c r="P841" s="433"/>
      <c r="Q841" s="433"/>
      <c r="R841" s="433"/>
      <c r="S841" s="433"/>
      <c r="T841" s="466"/>
      <c r="U841" s="433"/>
      <c r="V841" s="433"/>
      <c r="W841" s="433"/>
    </row>
    <row r="842" spans="2:23" ht="15" customHeight="1">
      <c r="B842" s="433"/>
      <c r="C842" s="433"/>
      <c r="D842" s="433"/>
      <c r="E842" s="433"/>
      <c r="F842" s="434"/>
      <c r="G842" s="435"/>
      <c r="H842" s="433"/>
      <c r="J842" s="434"/>
      <c r="K842" s="433"/>
      <c r="L842" s="433"/>
      <c r="M842" s="433"/>
      <c r="N842" s="433"/>
      <c r="O842" s="433"/>
      <c r="P842" s="433"/>
      <c r="Q842" s="433"/>
      <c r="R842" s="433"/>
      <c r="S842" s="433"/>
      <c r="T842" s="466"/>
      <c r="U842" s="433"/>
      <c r="V842" s="433"/>
      <c r="W842" s="433"/>
    </row>
    <row r="843" spans="2:23" ht="15" customHeight="1">
      <c r="B843" s="433"/>
      <c r="C843" s="433"/>
      <c r="D843" s="433"/>
      <c r="E843" s="433"/>
      <c r="F843" s="434"/>
      <c r="G843" s="435"/>
      <c r="H843" s="433"/>
      <c r="J843" s="434"/>
      <c r="K843" s="433"/>
      <c r="L843" s="433"/>
      <c r="M843" s="433"/>
      <c r="N843" s="433"/>
      <c r="O843" s="433"/>
      <c r="P843" s="433"/>
      <c r="Q843" s="433"/>
      <c r="R843" s="433"/>
      <c r="S843" s="433"/>
      <c r="T843" s="466"/>
      <c r="U843" s="433"/>
      <c r="V843" s="433"/>
      <c r="W843" s="433"/>
    </row>
    <row r="844" spans="2:23" ht="15" customHeight="1">
      <c r="B844" s="433"/>
      <c r="C844" s="433"/>
      <c r="D844" s="433"/>
      <c r="E844" s="433"/>
      <c r="F844" s="434"/>
      <c r="G844" s="435"/>
      <c r="H844" s="433"/>
      <c r="J844" s="434"/>
      <c r="K844" s="433"/>
      <c r="L844" s="433"/>
      <c r="M844" s="433"/>
      <c r="N844" s="433"/>
      <c r="O844" s="433"/>
      <c r="P844" s="433"/>
      <c r="Q844" s="433"/>
      <c r="R844" s="433"/>
      <c r="S844" s="433"/>
      <c r="T844" s="466"/>
      <c r="U844" s="433"/>
      <c r="V844" s="433"/>
      <c r="W844" s="433"/>
    </row>
    <row r="845" spans="2:23" ht="15" customHeight="1">
      <c r="B845" s="433"/>
      <c r="C845" s="433"/>
      <c r="D845" s="433"/>
      <c r="E845" s="433"/>
      <c r="F845" s="434"/>
      <c r="G845" s="435"/>
      <c r="H845" s="433"/>
      <c r="J845" s="434"/>
      <c r="K845" s="433"/>
      <c r="L845" s="433"/>
      <c r="M845" s="433"/>
      <c r="N845" s="433"/>
      <c r="O845" s="433"/>
      <c r="P845" s="433"/>
      <c r="Q845" s="433"/>
      <c r="R845" s="433"/>
      <c r="S845" s="433"/>
      <c r="T845" s="466"/>
      <c r="U845" s="433"/>
      <c r="V845" s="433"/>
      <c r="W845" s="433"/>
    </row>
    <row r="846" spans="2:23" ht="15" customHeight="1">
      <c r="B846" s="433"/>
      <c r="C846" s="433"/>
      <c r="D846" s="433"/>
      <c r="E846" s="433"/>
      <c r="F846" s="434"/>
      <c r="G846" s="435"/>
      <c r="H846" s="433"/>
      <c r="J846" s="434"/>
      <c r="K846" s="433"/>
      <c r="L846" s="433"/>
      <c r="M846" s="433"/>
      <c r="N846" s="433"/>
      <c r="O846" s="433"/>
      <c r="P846" s="433"/>
      <c r="Q846" s="433"/>
      <c r="R846" s="433"/>
      <c r="S846" s="433"/>
      <c r="T846" s="466"/>
      <c r="U846" s="433"/>
      <c r="V846" s="433"/>
      <c r="W846" s="433"/>
    </row>
    <row r="847" spans="2:23" ht="15" customHeight="1">
      <c r="B847" s="433"/>
      <c r="C847" s="433"/>
      <c r="D847" s="433"/>
      <c r="E847" s="433"/>
      <c r="F847" s="434"/>
      <c r="G847" s="435"/>
      <c r="H847" s="433"/>
      <c r="J847" s="434"/>
      <c r="K847" s="433"/>
      <c r="L847" s="433"/>
      <c r="M847" s="433"/>
      <c r="N847" s="433"/>
      <c r="O847" s="433"/>
      <c r="P847" s="433"/>
      <c r="Q847" s="433"/>
      <c r="R847" s="433"/>
      <c r="S847" s="433"/>
      <c r="T847" s="466"/>
      <c r="U847" s="433"/>
      <c r="V847" s="433"/>
      <c r="W847" s="433"/>
    </row>
    <row r="848" spans="2:23" ht="15" customHeight="1">
      <c r="B848" s="433"/>
      <c r="C848" s="433"/>
      <c r="D848" s="433"/>
      <c r="E848" s="433"/>
      <c r="F848" s="434"/>
      <c r="G848" s="435"/>
      <c r="H848" s="433"/>
      <c r="J848" s="434"/>
      <c r="K848" s="433"/>
      <c r="L848" s="433"/>
      <c r="M848" s="433"/>
      <c r="N848" s="433"/>
      <c r="O848" s="433"/>
      <c r="P848" s="433"/>
      <c r="Q848" s="433"/>
      <c r="R848" s="433"/>
      <c r="S848" s="433"/>
      <c r="T848" s="466"/>
      <c r="U848" s="433"/>
      <c r="V848" s="433"/>
      <c r="W848" s="433"/>
    </row>
    <row r="849" spans="2:23" ht="15" customHeight="1">
      <c r="B849" s="433"/>
      <c r="C849" s="433"/>
      <c r="D849" s="433"/>
      <c r="E849" s="433"/>
      <c r="F849" s="434"/>
      <c r="G849" s="435"/>
      <c r="H849" s="433"/>
      <c r="J849" s="434"/>
      <c r="K849" s="433"/>
      <c r="L849" s="433"/>
      <c r="M849" s="433"/>
      <c r="N849" s="433"/>
      <c r="O849" s="433"/>
      <c r="P849" s="433"/>
      <c r="Q849" s="433"/>
      <c r="R849" s="433"/>
      <c r="S849" s="433"/>
      <c r="T849" s="466"/>
      <c r="U849" s="433"/>
      <c r="V849" s="433"/>
      <c r="W849" s="433"/>
    </row>
    <row r="850" spans="2:23" ht="15" customHeight="1">
      <c r="B850" s="433"/>
      <c r="C850" s="433"/>
      <c r="D850" s="433"/>
      <c r="E850" s="433"/>
      <c r="F850" s="434"/>
      <c r="G850" s="435"/>
      <c r="J850" s="434"/>
      <c r="K850" s="433"/>
      <c r="L850" s="433"/>
      <c r="M850" s="433"/>
      <c r="N850" s="433"/>
      <c r="O850" s="433"/>
      <c r="P850" s="433"/>
      <c r="Q850" s="433"/>
      <c r="R850" s="433"/>
      <c r="S850" s="433"/>
      <c r="T850" s="466"/>
      <c r="U850" s="433"/>
      <c r="V850" s="433"/>
      <c r="W850" s="433"/>
    </row>
    <row r="851" spans="2:23" ht="15" customHeight="1">
      <c r="B851" s="433"/>
      <c r="C851" s="433"/>
      <c r="D851" s="433"/>
      <c r="E851" s="433"/>
      <c r="F851" s="434"/>
      <c r="G851" s="435"/>
      <c r="J851" s="434"/>
      <c r="K851" s="433"/>
      <c r="L851" s="433"/>
      <c r="M851" s="433"/>
      <c r="N851" s="433"/>
      <c r="O851" s="433"/>
      <c r="P851" s="433"/>
      <c r="Q851" s="433"/>
      <c r="R851" s="433"/>
      <c r="S851" s="433"/>
      <c r="T851" s="466"/>
      <c r="U851" s="433"/>
      <c r="V851" s="433"/>
      <c r="W851" s="433"/>
    </row>
    <row r="852" spans="2:23" ht="15" customHeight="1">
      <c r="B852" s="433"/>
      <c r="C852" s="433"/>
      <c r="D852" s="433"/>
      <c r="E852" s="433"/>
      <c r="F852" s="434"/>
      <c r="G852" s="435"/>
      <c r="J852" s="434"/>
      <c r="K852" s="433"/>
      <c r="L852" s="433"/>
      <c r="M852" s="433"/>
      <c r="N852" s="433"/>
      <c r="O852" s="433"/>
      <c r="P852" s="433"/>
      <c r="Q852" s="433"/>
      <c r="R852" s="433"/>
      <c r="S852" s="433"/>
      <c r="T852" s="466"/>
      <c r="U852" s="433"/>
      <c r="V852" s="433"/>
      <c r="W852" s="433"/>
    </row>
    <row r="853" spans="2:23" ht="15" customHeight="1">
      <c r="B853" s="433"/>
      <c r="C853" s="433"/>
      <c r="D853" s="433"/>
      <c r="E853" s="433"/>
      <c r="F853" s="434"/>
      <c r="G853" s="435"/>
      <c r="J853" s="434"/>
      <c r="K853" s="433"/>
      <c r="L853" s="433"/>
      <c r="M853" s="433"/>
      <c r="N853" s="433"/>
      <c r="O853" s="433"/>
      <c r="P853" s="433"/>
      <c r="Q853" s="433"/>
      <c r="R853" s="433"/>
      <c r="S853" s="433"/>
      <c r="T853" s="466"/>
      <c r="U853" s="433"/>
      <c r="V853" s="433"/>
      <c r="W853" s="433"/>
    </row>
    <row r="854" spans="2:23" ht="15" customHeight="1">
      <c r="B854" s="433"/>
      <c r="C854" s="433"/>
      <c r="D854" s="433"/>
      <c r="E854" s="433"/>
      <c r="F854" s="434"/>
      <c r="G854" s="435"/>
      <c r="J854" s="434"/>
      <c r="K854" s="433"/>
      <c r="L854" s="433"/>
      <c r="M854" s="433"/>
      <c r="N854" s="433"/>
      <c r="O854" s="433"/>
      <c r="P854" s="433"/>
      <c r="Q854" s="433"/>
      <c r="R854" s="433"/>
      <c r="S854" s="433"/>
      <c r="T854" s="466"/>
      <c r="U854" s="433"/>
      <c r="V854" s="433"/>
      <c r="W854" s="433"/>
    </row>
    <row r="855" spans="2:23" ht="15" customHeight="1">
      <c r="B855" s="433"/>
      <c r="C855" s="433"/>
      <c r="D855" s="433"/>
      <c r="E855" s="433"/>
      <c r="F855" s="434"/>
      <c r="G855" s="435"/>
      <c r="J855" s="434"/>
      <c r="K855" s="433"/>
      <c r="L855" s="433"/>
      <c r="M855" s="433"/>
      <c r="N855" s="433"/>
      <c r="O855" s="433"/>
      <c r="P855" s="433"/>
      <c r="Q855" s="433"/>
      <c r="R855" s="433"/>
      <c r="S855" s="433"/>
      <c r="T855" s="466"/>
      <c r="U855" s="433"/>
      <c r="V855" s="433"/>
      <c r="W855" s="433"/>
    </row>
    <row r="856" spans="2:23" ht="15" customHeight="1">
      <c r="B856" s="433"/>
      <c r="C856" s="433"/>
      <c r="D856" s="433"/>
      <c r="E856" s="433"/>
      <c r="F856" s="434"/>
      <c r="G856" s="435"/>
      <c r="J856" s="434"/>
      <c r="K856" s="433"/>
      <c r="L856" s="433"/>
      <c r="M856" s="433"/>
      <c r="N856" s="433"/>
      <c r="O856" s="433"/>
      <c r="P856" s="433"/>
      <c r="Q856" s="433"/>
      <c r="R856" s="433"/>
      <c r="S856" s="433"/>
      <c r="T856" s="466"/>
      <c r="U856" s="433"/>
      <c r="V856" s="433"/>
      <c r="W856" s="433"/>
    </row>
    <row r="857" spans="2:23" ht="15" customHeight="1">
      <c r="B857" s="433"/>
      <c r="C857" s="433"/>
      <c r="D857" s="433"/>
      <c r="E857" s="433"/>
      <c r="F857" s="434"/>
      <c r="G857" s="435"/>
      <c r="J857" s="434"/>
      <c r="K857" s="433"/>
      <c r="L857" s="433"/>
      <c r="M857" s="433"/>
      <c r="N857" s="433"/>
      <c r="O857" s="433"/>
      <c r="P857" s="433"/>
      <c r="Q857" s="433"/>
      <c r="R857" s="433"/>
      <c r="S857" s="433"/>
      <c r="T857" s="466"/>
      <c r="U857" s="433"/>
      <c r="V857" s="433"/>
      <c r="W857" s="433"/>
    </row>
    <row r="858" spans="2:23" ht="15" customHeight="1">
      <c r="B858" s="433"/>
      <c r="C858" s="433"/>
      <c r="D858" s="433"/>
      <c r="E858" s="433"/>
      <c r="F858" s="434"/>
      <c r="G858" s="435"/>
      <c r="J858" s="434"/>
      <c r="K858" s="433"/>
      <c r="L858" s="433"/>
      <c r="M858" s="433"/>
      <c r="N858" s="433"/>
      <c r="O858" s="433"/>
      <c r="P858" s="433"/>
      <c r="Q858" s="433"/>
      <c r="R858" s="433"/>
      <c r="S858" s="433"/>
      <c r="T858" s="466"/>
      <c r="U858" s="433"/>
      <c r="V858" s="433"/>
      <c r="W858" s="433"/>
    </row>
    <row r="859" spans="2:23" ht="15" customHeight="1">
      <c r="B859" s="433"/>
      <c r="C859" s="433"/>
      <c r="D859" s="433"/>
      <c r="E859" s="433"/>
      <c r="F859" s="434"/>
      <c r="G859" s="435"/>
      <c r="J859" s="434"/>
      <c r="K859" s="433"/>
      <c r="L859" s="433"/>
      <c r="M859" s="433"/>
      <c r="N859" s="433"/>
      <c r="O859" s="433"/>
      <c r="P859" s="433"/>
      <c r="Q859" s="433"/>
      <c r="R859" s="433"/>
      <c r="S859" s="433"/>
      <c r="T859" s="466"/>
      <c r="U859" s="433"/>
      <c r="V859" s="433"/>
      <c r="W859" s="433"/>
    </row>
    <row r="860" spans="2:23" ht="15" customHeight="1">
      <c r="B860" s="433"/>
      <c r="C860" s="433"/>
      <c r="D860" s="433"/>
      <c r="E860" s="433"/>
      <c r="F860" s="434"/>
      <c r="G860" s="435"/>
      <c r="J860" s="434"/>
      <c r="K860" s="433"/>
      <c r="L860" s="433"/>
      <c r="M860" s="433"/>
      <c r="N860" s="433"/>
      <c r="O860" s="433"/>
      <c r="P860" s="433"/>
      <c r="Q860" s="433"/>
      <c r="R860" s="433"/>
      <c r="S860" s="433"/>
      <c r="T860" s="466"/>
      <c r="U860" s="433"/>
      <c r="V860" s="433"/>
      <c r="W860" s="433"/>
    </row>
    <row r="861" spans="2:23" ht="15" customHeight="1">
      <c r="B861" s="433"/>
      <c r="C861" s="433"/>
      <c r="D861" s="433"/>
      <c r="E861" s="433"/>
      <c r="F861" s="434"/>
      <c r="G861" s="435"/>
      <c r="J861" s="434"/>
      <c r="K861" s="433"/>
      <c r="L861" s="433"/>
      <c r="M861" s="433"/>
      <c r="N861" s="433"/>
      <c r="O861" s="433"/>
      <c r="P861" s="433"/>
      <c r="Q861" s="433"/>
      <c r="R861" s="433"/>
      <c r="S861" s="433"/>
      <c r="T861" s="466"/>
      <c r="U861" s="433"/>
      <c r="V861" s="433"/>
      <c r="W861" s="433"/>
    </row>
    <row r="862" spans="2:23" ht="15" customHeight="1">
      <c r="B862" s="433"/>
      <c r="C862" s="433"/>
      <c r="D862" s="433"/>
      <c r="E862" s="433"/>
      <c r="F862" s="434"/>
      <c r="G862" s="435"/>
      <c r="J862" s="434"/>
      <c r="K862" s="433"/>
      <c r="L862" s="433"/>
      <c r="M862" s="433"/>
      <c r="N862" s="433"/>
      <c r="O862" s="433"/>
      <c r="P862" s="433"/>
      <c r="Q862" s="433"/>
      <c r="R862" s="433"/>
      <c r="S862" s="433"/>
      <c r="T862" s="466"/>
      <c r="U862" s="433"/>
      <c r="V862" s="433"/>
      <c r="W862" s="433"/>
    </row>
    <row r="863" spans="2:23" ht="15" customHeight="1">
      <c r="B863" s="433"/>
      <c r="C863" s="433"/>
      <c r="D863" s="433"/>
      <c r="E863" s="433"/>
      <c r="F863" s="434"/>
      <c r="G863" s="435"/>
      <c r="J863" s="434"/>
      <c r="K863" s="433"/>
      <c r="L863" s="433"/>
      <c r="M863" s="433"/>
      <c r="N863" s="433"/>
      <c r="O863" s="433"/>
      <c r="P863" s="433"/>
      <c r="Q863" s="433"/>
      <c r="R863" s="433"/>
      <c r="S863" s="433"/>
      <c r="T863" s="466"/>
      <c r="U863" s="433"/>
      <c r="V863" s="433"/>
      <c r="W863" s="433"/>
    </row>
    <row r="864" spans="2:23" ht="15" customHeight="1">
      <c r="B864" s="433"/>
      <c r="C864" s="433"/>
      <c r="D864" s="433"/>
      <c r="E864" s="433"/>
      <c r="F864" s="434"/>
      <c r="G864" s="435"/>
      <c r="J864" s="434"/>
      <c r="K864" s="433"/>
      <c r="L864" s="433"/>
      <c r="M864" s="433"/>
      <c r="N864" s="433"/>
      <c r="O864" s="433"/>
      <c r="P864" s="433"/>
      <c r="Q864" s="433"/>
      <c r="R864" s="433"/>
      <c r="S864" s="433"/>
      <c r="T864" s="466"/>
      <c r="U864" s="433"/>
      <c r="V864" s="433"/>
      <c r="W864" s="433"/>
    </row>
    <row r="865" spans="2:23" ht="15" customHeight="1">
      <c r="B865" s="433"/>
      <c r="C865" s="433"/>
      <c r="D865" s="433"/>
      <c r="E865" s="433"/>
      <c r="F865" s="434"/>
      <c r="G865" s="435"/>
      <c r="J865" s="434"/>
      <c r="K865" s="433"/>
      <c r="L865" s="433"/>
      <c r="M865" s="433"/>
      <c r="N865" s="433"/>
      <c r="O865" s="433"/>
      <c r="P865" s="433"/>
      <c r="Q865" s="433"/>
      <c r="R865" s="433"/>
      <c r="S865" s="433"/>
      <c r="T865" s="466"/>
      <c r="U865" s="433"/>
      <c r="V865" s="433"/>
      <c r="W865" s="433"/>
    </row>
    <row r="866" spans="2:23" ht="15" customHeight="1">
      <c r="B866" s="433"/>
      <c r="C866" s="433"/>
      <c r="D866" s="433"/>
      <c r="E866" s="433"/>
      <c r="F866" s="434"/>
      <c r="G866" s="435"/>
      <c r="J866" s="434"/>
      <c r="K866" s="433"/>
      <c r="L866" s="433"/>
      <c r="M866" s="433"/>
      <c r="N866" s="433"/>
      <c r="O866" s="433"/>
      <c r="P866" s="433"/>
      <c r="Q866" s="433"/>
      <c r="R866" s="433"/>
      <c r="S866" s="433"/>
      <c r="T866" s="466"/>
      <c r="U866" s="433"/>
      <c r="V866" s="433"/>
      <c r="W866" s="433"/>
    </row>
    <row r="867" spans="2:23" ht="15" customHeight="1">
      <c r="B867" s="433"/>
      <c r="C867" s="433"/>
      <c r="D867" s="433"/>
      <c r="E867" s="433"/>
      <c r="F867" s="434"/>
      <c r="G867" s="435"/>
      <c r="J867" s="434"/>
      <c r="K867" s="433"/>
      <c r="L867" s="433"/>
      <c r="M867" s="433"/>
      <c r="N867" s="433"/>
      <c r="O867" s="433"/>
      <c r="P867" s="433"/>
      <c r="Q867" s="433"/>
      <c r="R867" s="433"/>
      <c r="S867" s="433"/>
      <c r="T867" s="466"/>
      <c r="U867" s="433"/>
      <c r="V867" s="433"/>
      <c r="W867" s="433"/>
    </row>
    <row r="868" spans="2:23" ht="15" customHeight="1">
      <c r="B868" s="433"/>
      <c r="C868" s="433"/>
      <c r="D868" s="433"/>
      <c r="E868" s="433"/>
      <c r="F868" s="434"/>
      <c r="G868" s="435"/>
      <c r="J868" s="434"/>
      <c r="K868" s="433"/>
      <c r="L868" s="433"/>
      <c r="M868" s="433"/>
      <c r="N868" s="433"/>
      <c r="O868" s="433"/>
      <c r="P868" s="433"/>
      <c r="Q868" s="433"/>
      <c r="R868" s="433"/>
      <c r="S868" s="433"/>
      <c r="T868" s="466"/>
      <c r="U868" s="433"/>
      <c r="V868" s="433"/>
      <c r="W868" s="433"/>
    </row>
    <row r="869" spans="2:23" ht="15" customHeight="1">
      <c r="B869" s="433"/>
      <c r="C869" s="433"/>
      <c r="D869" s="433"/>
      <c r="E869" s="433"/>
      <c r="F869" s="434"/>
      <c r="G869" s="435"/>
      <c r="J869" s="434"/>
      <c r="K869" s="433"/>
      <c r="L869" s="433"/>
      <c r="M869" s="433"/>
      <c r="N869" s="433"/>
      <c r="O869" s="433"/>
      <c r="P869" s="433"/>
      <c r="Q869" s="433"/>
      <c r="R869" s="433"/>
      <c r="S869" s="433"/>
      <c r="T869" s="466"/>
      <c r="U869" s="433"/>
      <c r="V869" s="433"/>
      <c r="W869" s="433"/>
    </row>
    <row r="870" spans="2:23" ht="15" customHeight="1">
      <c r="B870" s="433"/>
      <c r="C870" s="433"/>
      <c r="D870" s="433"/>
      <c r="E870" s="433"/>
      <c r="F870" s="434"/>
      <c r="G870" s="435"/>
      <c r="J870" s="434"/>
      <c r="K870" s="433"/>
      <c r="L870" s="433"/>
      <c r="M870" s="433"/>
      <c r="N870" s="433"/>
      <c r="O870" s="433"/>
      <c r="P870" s="433"/>
      <c r="Q870" s="433"/>
      <c r="R870" s="433"/>
      <c r="S870" s="433"/>
      <c r="T870" s="466"/>
      <c r="U870" s="433"/>
      <c r="V870" s="433"/>
      <c r="W870" s="433"/>
    </row>
    <row r="871" spans="2:23" ht="15" customHeight="1">
      <c r="B871" s="433"/>
      <c r="C871" s="433"/>
      <c r="D871" s="433"/>
      <c r="E871" s="433"/>
      <c r="F871" s="434"/>
      <c r="G871" s="435"/>
      <c r="J871" s="434"/>
      <c r="K871" s="433"/>
      <c r="L871" s="433"/>
      <c r="M871" s="433"/>
      <c r="N871" s="433"/>
      <c r="O871" s="433"/>
      <c r="P871" s="433"/>
      <c r="Q871" s="433"/>
      <c r="R871" s="433"/>
      <c r="S871" s="433"/>
      <c r="T871" s="466"/>
      <c r="U871" s="433"/>
      <c r="V871" s="433"/>
      <c r="W871" s="433"/>
    </row>
    <row r="872" spans="2:23" ht="15" customHeight="1">
      <c r="B872" s="433"/>
      <c r="C872" s="433"/>
      <c r="D872" s="433"/>
      <c r="E872" s="433"/>
      <c r="F872" s="434"/>
      <c r="G872" s="435"/>
      <c r="J872" s="434"/>
      <c r="K872" s="433"/>
      <c r="L872" s="433"/>
      <c r="M872" s="433"/>
      <c r="N872" s="433"/>
      <c r="O872" s="433"/>
      <c r="P872" s="433"/>
      <c r="Q872" s="433"/>
      <c r="R872" s="433"/>
      <c r="S872" s="433"/>
      <c r="T872" s="466"/>
      <c r="U872" s="433"/>
      <c r="V872" s="433"/>
      <c r="W872" s="433"/>
    </row>
    <row r="873" spans="2:23" ht="15" customHeight="1">
      <c r="B873" s="433"/>
      <c r="C873" s="433"/>
      <c r="D873" s="433"/>
      <c r="E873" s="433"/>
      <c r="F873" s="434"/>
      <c r="G873" s="435"/>
      <c r="J873" s="434"/>
      <c r="K873" s="433"/>
      <c r="L873" s="433"/>
      <c r="M873" s="433"/>
      <c r="N873" s="433"/>
      <c r="O873" s="433"/>
      <c r="P873" s="433"/>
      <c r="Q873" s="433"/>
      <c r="R873" s="433"/>
      <c r="S873" s="433"/>
      <c r="T873" s="466"/>
      <c r="U873" s="433"/>
      <c r="V873" s="433"/>
      <c r="W873" s="433"/>
    </row>
    <row r="874" spans="2:23" ht="15" customHeight="1">
      <c r="B874" s="433"/>
      <c r="C874" s="433"/>
      <c r="D874" s="433"/>
      <c r="E874" s="433"/>
      <c r="F874" s="434"/>
      <c r="G874" s="435"/>
      <c r="J874" s="434"/>
      <c r="K874" s="433"/>
      <c r="L874" s="433"/>
      <c r="M874" s="433"/>
      <c r="N874" s="433"/>
      <c r="O874" s="433"/>
      <c r="P874" s="433"/>
      <c r="Q874" s="433"/>
      <c r="R874" s="433"/>
      <c r="S874" s="433"/>
      <c r="T874" s="466"/>
      <c r="U874" s="433"/>
      <c r="V874" s="433"/>
      <c r="W874" s="433"/>
    </row>
    <row r="875" spans="2:23" ht="15" customHeight="1">
      <c r="B875" s="433"/>
      <c r="C875" s="433"/>
      <c r="D875" s="433"/>
      <c r="E875" s="433"/>
      <c r="F875" s="434"/>
      <c r="G875" s="435"/>
      <c r="J875" s="434"/>
      <c r="K875" s="433"/>
      <c r="L875" s="433"/>
      <c r="M875" s="433"/>
      <c r="N875" s="433"/>
      <c r="O875" s="433"/>
      <c r="P875" s="433"/>
      <c r="Q875" s="433"/>
      <c r="R875" s="433"/>
      <c r="S875" s="433"/>
      <c r="T875" s="466"/>
      <c r="U875" s="433"/>
      <c r="V875" s="433"/>
      <c r="W875" s="433"/>
    </row>
    <row r="876" spans="2:23" ht="15" customHeight="1">
      <c r="B876" s="433"/>
      <c r="C876" s="433"/>
      <c r="D876" s="433"/>
      <c r="E876" s="433"/>
      <c r="F876" s="434"/>
      <c r="G876" s="435"/>
      <c r="I876" s="443"/>
      <c r="J876" s="434"/>
      <c r="K876" s="433"/>
      <c r="L876" s="433"/>
      <c r="M876" s="433"/>
      <c r="N876" s="433"/>
      <c r="O876" s="433"/>
      <c r="P876" s="433"/>
      <c r="Q876" s="433"/>
      <c r="R876" s="433"/>
      <c r="S876" s="433"/>
      <c r="T876" s="466"/>
      <c r="U876" s="433"/>
      <c r="V876" s="433"/>
      <c r="W876" s="433"/>
    </row>
    <row r="877" spans="2:23" ht="15" customHeight="1">
      <c r="B877" s="433"/>
      <c r="C877" s="433"/>
      <c r="D877" s="433"/>
      <c r="E877" s="433"/>
      <c r="F877" s="434"/>
      <c r="G877" s="435"/>
      <c r="H877" s="443"/>
      <c r="J877" s="434"/>
      <c r="K877" s="433"/>
      <c r="L877" s="433"/>
      <c r="M877" s="433"/>
      <c r="N877" s="433"/>
      <c r="O877" s="433"/>
      <c r="P877" s="433"/>
      <c r="Q877" s="433"/>
      <c r="R877" s="433"/>
      <c r="S877" s="433"/>
      <c r="T877" s="466"/>
      <c r="U877" s="433"/>
      <c r="V877" s="433"/>
      <c r="W877" s="433"/>
    </row>
    <row r="878" spans="2:23" ht="15" customHeight="1">
      <c r="B878" s="433"/>
      <c r="C878" s="433"/>
      <c r="D878" s="433"/>
      <c r="E878" s="433"/>
      <c r="F878" s="434"/>
      <c r="G878" s="435"/>
      <c r="J878" s="434"/>
      <c r="K878" s="433"/>
      <c r="L878" s="433"/>
      <c r="M878" s="433"/>
      <c r="N878" s="433"/>
      <c r="O878" s="433"/>
      <c r="P878" s="433"/>
      <c r="Q878" s="433"/>
      <c r="R878" s="433"/>
      <c r="S878" s="433"/>
      <c r="T878" s="466"/>
      <c r="U878" s="433"/>
      <c r="V878" s="433"/>
      <c r="W878" s="433"/>
    </row>
    <row r="879" spans="2:23" ht="15" customHeight="1">
      <c r="B879" s="433"/>
      <c r="C879" s="433"/>
      <c r="D879" s="433"/>
      <c r="E879" s="433"/>
      <c r="F879" s="434"/>
      <c r="G879" s="435"/>
      <c r="J879" s="434"/>
      <c r="K879" s="433"/>
      <c r="L879" s="433"/>
      <c r="M879" s="433"/>
      <c r="N879" s="433"/>
      <c r="O879" s="433"/>
      <c r="P879" s="433"/>
      <c r="Q879" s="433"/>
      <c r="R879" s="433"/>
      <c r="S879" s="433"/>
      <c r="T879" s="466"/>
      <c r="U879" s="433"/>
      <c r="V879" s="433"/>
      <c r="W879" s="433"/>
    </row>
    <row r="880" spans="2:23" ht="15" customHeight="1">
      <c r="B880" s="433"/>
      <c r="C880" s="433"/>
      <c r="D880" s="433"/>
      <c r="E880" s="433"/>
      <c r="F880" s="434"/>
      <c r="G880" s="435"/>
      <c r="J880" s="434"/>
      <c r="K880" s="433"/>
      <c r="L880" s="433"/>
      <c r="M880" s="433"/>
      <c r="N880" s="433"/>
      <c r="O880" s="433"/>
      <c r="P880" s="433"/>
      <c r="Q880" s="433"/>
      <c r="R880" s="433"/>
      <c r="S880" s="433"/>
      <c r="T880" s="466"/>
      <c r="U880" s="433"/>
      <c r="V880" s="433"/>
      <c r="W880" s="433"/>
    </row>
    <row r="881" spans="2:23" ht="15" customHeight="1">
      <c r="B881" s="433"/>
      <c r="C881" s="433"/>
      <c r="D881" s="433"/>
      <c r="E881" s="433"/>
      <c r="F881" s="434"/>
      <c r="G881" s="435"/>
      <c r="J881" s="434"/>
      <c r="K881" s="433"/>
      <c r="L881" s="433"/>
      <c r="M881" s="433"/>
      <c r="N881" s="433"/>
      <c r="O881" s="433"/>
      <c r="P881" s="433"/>
      <c r="Q881" s="433"/>
      <c r="R881" s="433"/>
      <c r="S881" s="433"/>
      <c r="T881" s="466"/>
      <c r="U881" s="433"/>
      <c r="V881" s="433"/>
      <c r="W881" s="433"/>
    </row>
    <row r="882" spans="2:23" ht="15" customHeight="1">
      <c r="B882" s="433"/>
      <c r="C882" s="433"/>
      <c r="D882" s="433"/>
      <c r="E882" s="433"/>
      <c r="F882" s="434"/>
      <c r="G882" s="435"/>
      <c r="J882" s="434"/>
      <c r="K882" s="433"/>
      <c r="L882" s="433"/>
      <c r="M882" s="433"/>
      <c r="N882" s="433"/>
      <c r="O882" s="433"/>
      <c r="P882" s="433"/>
      <c r="Q882" s="433"/>
      <c r="R882" s="433"/>
      <c r="S882" s="433"/>
      <c r="T882" s="466"/>
      <c r="U882" s="433"/>
      <c r="V882" s="433"/>
      <c r="W882" s="433"/>
    </row>
    <row r="883" spans="2:23" ht="15" customHeight="1">
      <c r="B883" s="433"/>
      <c r="C883" s="433"/>
      <c r="D883" s="433"/>
      <c r="E883" s="433"/>
      <c r="F883" s="434"/>
      <c r="G883" s="435"/>
      <c r="J883" s="434"/>
      <c r="K883" s="433"/>
      <c r="L883" s="433"/>
      <c r="M883" s="433"/>
      <c r="N883" s="433"/>
      <c r="O883" s="433"/>
      <c r="P883" s="433"/>
      <c r="Q883" s="433"/>
      <c r="R883" s="433"/>
      <c r="S883" s="433"/>
      <c r="T883" s="466"/>
      <c r="U883" s="433"/>
      <c r="V883" s="433"/>
      <c r="W883" s="433"/>
    </row>
    <row r="884" spans="2:23" ht="15" customHeight="1">
      <c r="B884" s="433"/>
      <c r="C884" s="433"/>
      <c r="D884" s="433"/>
      <c r="E884" s="433"/>
      <c r="F884" s="434"/>
      <c r="G884" s="435"/>
      <c r="J884" s="434"/>
      <c r="K884" s="433"/>
      <c r="L884" s="433"/>
      <c r="M884" s="433"/>
      <c r="N884" s="433"/>
      <c r="O884" s="433"/>
      <c r="P884" s="433"/>
      <c r="Q884" s="433"/>
      <c r="R884" s="433"/>
      <c r="S884" s="433"/>
      <c r="T884" s="466"/>
      <c r="U884" s="433"/>
      <c r="V884" s="433"/>
      <c r="W884" s="433"/>
    </row>
    <row r="885" spans="2:23" ht="15" customHeight="1">
      <c r="B885" s="433"/>
      <c r="C885" s="433"/>
      <c r="D885" s="433"/>
      <c r="E885" s="433"/>
      <c r="F885" s="434"/>
      <c r="G885" s="435"/>
      <c r="J885" s="434"/>
      <c r="K885" s="433"/>
      <c r="L885" s="433"/>
      <c r="M885" s="433"/>
      <c r="N885" s="433"/>
      <c r="O885" s="433"/>
      <c r="P885" s="433"/>
      <c r="Q885" s="433"/>
      <c r="R885" s="433"/>
      <c r="S885" s="433"/>
      <c r="T885" s="466"/>
      <c r="U885" s="433"/>
      <c r="V885" s="433"/>
      <c r="W885" s="433"/>
    </row>
    <row r="886" spans="2:23" ht="15" customHeight="1">
      <c r="B886" s="433"/>
      <c r="C886" s="433"/>
      <c r="D886" s="433"/>
      <c r="E886" s="433"/>
      <c r="F886" s="434"/>
      <c r="G886" s="435"/>
      <c r="J886" s="434"/>
      <c r="K886" s="433"/>
      <c r="L886" s="433"/>
      <c r="M886" s="433"/>
      <c r="N886" s="433"/>
      <c r="O886" s="433"/>
      <c r="P886" s="433"/>
      <c r="Q886" s="433"/>
      <c r="R886" s="433"/>
      <c r="S886" s="433"/>
      <c r="T886" s="466"/>
      <c r="U886" s="433"/>
      <c r="V886" s="433"/>
      <c r="W886" s="433"/>
    </row>
    <row r="887" spans="2:23" ht="15" customHeight="1">
      <c r="B887" s="433"/>
      <c r="C887" s="433"/>
      <c r="D887" s="433"/>
      <c r="E887" s="433"/>
      <c r="F887" s="434"/>
      <c r="G887" s="435"/>
      <c r="J887" s="434"/>
      <c r="K887" s="433"/>
      <c r="L887" s="433"/>
      <c r="M887" s="433"/>
      <c r="N887" s="433"/>
      <c r="O887" s="433"/>
      <c r="P887" s="433"/>
      <c r="Q887" s="433"/>
      <c r="R887" s="433"/>
      <c r="S887" s="433"/>
      <c r="T887" s="466"/>
      <c r="U887" s="433"/>
      <c r="V887" s="433"/>
      <c r="W887" s="433"/>
    </row>
    <row r="888" spans="2:23" ht="15" customHeight="1">
      <c r="B888" s="433"/>
      <c r="C888" s="433"/>
      <c r="D888" s="433"/>
      <c r="E888" s="433"/>
      <c r="F888" s="434"/>
      <c r="G888" s="435"/>
      <c r="J888" s="434"/>
      <c r="K888" s="433"/>
      <c r="L888" s="433"/>
      <c r="M888" s="433"/>
      <c r="N888" s="433"/>
      <c r="O888" s="433"/>
      <c r="P888" s="433"/>
      <c r="Q888" s="433"/>
      <c r="R888" s="433"/>
      <c r="S888" s="433"/>
      <c r="T888" s="466"/>
      <c r="U888" s="433"/>
      <c r="V888" s="433"/>
      <c r="W888" s="433"/>
    </row>
    <row r="889" spans="2:23" ht="15" customHeight="1">
      <c r="B889" s="433"/>
      <c r="C889" s="433"/>
      <c r="D889" s="433"/>
      <c r="E889" s="433"/>
      <c r="F889" s="434"/>
      <c r="G889" s="435"/>
      <c r="J889" s="434"/>
      <c r="K889" s="433"/>
      <c r="L889" s="433"/>
      <c r="M889" s="433"/>
      <c r="N889" s="433"/>
      <c r="O889" s="433"/>
      <c r="P889" s="433"/>
      <c r="Q889" s="433"/>
      <c r="R889" s="433"/>
      <c r="S889" s="433"/>
      <c r="T889" s="466"/>
      <c r="U889" s="433"/>
      <c r="V889" s="433"/>
      <c r="W889" s="433"/>
    </row>
    <row r="890" spans="2:23" ht="15" customHeight="1">
      <c r="B890" s="433"/>
      <c r="C890" s="433"/>
      <c r="D890" s="433"/>
      <c r="E890" s="433"/>
      <c r="F890" s="434"/>
      <c r="G890" s="435"/>
      <c r="J890" s="434"/>
      <c r="K890" s="433"/>
      <c r="L890" s="433"/>
      <c r="M890" s="433"/>
      <c r="N890" s="433"/>
      <c r="O890" s="433"/>
      <c r="P890" s="433"/>
      <c r="Q890" s="433"/>
      <c r="R890" s="433"/>
      <c r="S890" s="433"/>
      <c r="T890" s="466"/>
      <c r="U890" s="433"/>
      <c r="V890" s="433"/>
      <c r="W890" s="433"/>
    </row>
    <row r="891" spans="2:23" ht="15" customHeight="1">
      <c r="B891" s="433"/>
      <c r="C891" s="433"/>
      <c r="D891" s="433"/>
      <c r="E891" s="433"/>
      <c r="F891" s="434"/>
      <c r="G891" s="435"/>
      <c r="J891" s="434"/>
      <c r="K891" s="433"/>
      <c r="L891" s="433"/>
      <c r="M891" s="433"/>
      <c r="N891" s="433"/>
      <c r="O891" s="433"/>
      <c r="P891" s="433"/>
      <c r="Q891" s="433"/>
      <c r="R891" s="433"/>
      <c r="S891" s="433"/>
      <c r="T891" s="466"/>
      <c r="U891" s="433"/>
      <c r="V891" s="433"/>
      <c r="W891" s="433"/>
    </row>
    <row r="892" spans="2:23" ht="15" customHeight="1">
      <c r="B892" s="433"/>
      <c r="C892" s="433"/>
      <c r="D892" s="433"/>
      <c r="E892" s="433"/>
      <c r="F892" s="434"/>
      <c r="G892" s="435"/>
      <c r="J892" s="434"/>
      <c r="K892" s="433"/>
      <c r="L892" s="433"/>
      <c r="M892" s="433"/>
      <c r="N892" s="433"/>
      <c r="O892" s="433"/>
      <c r="P892" s="433"/>
      <c r="Q892" s="433"/>
      <c r="R892" s="433"/>
      <c r="S892" s="433"/>
      <c r="T892" s="466"/>
      <c r="U892" s="433"/>
      <c r="V892" s="433"/>
      <c r="W892" s="433"/>
    </row>
    <row r="893" spans="2:23" ht="15" customHeight="1">
      <c r="B893" s="433"/>
      <c r="C893" s="433"/>
      <c r="D893" s="433"/>
      <c r="E893" s="433"/>
      <c r="F893" s="434"/>
      <c r="G893" s="435"/>
      <c r="J893" s="434"/>
      <c r="K893" s="433"/>
      <c r="L893" s="433"/>
      <c r="M893" s="433"/>
      <c r="N893" s="433"/>
      <c r="O893" s="433"/>
      <c r="P893" s="433"/>
      <c r="Q893" s="433"/>
      <c r="R893" s="433"/>
      <c r="S893" s="433"/>
      <c r="T893" s="466"/>
      <c r="U893" s="433"/>
      <c r="V893" s="433"/>
      <c r="W893" s="433"/>
    </row>
    <row r="894" spans="2:23" ht="15" customHeight="1">
      <c r="B894" s="433"/>
      <c r="C894" s="433"/>
      <c r="D894" s="433"/>
      <c r="E894" s="433"/>
      <c r="F894" s="434"/>
      <c r="G894" s="435"/>
      <c r="J894" s="434"/>
      <c r="K894" s="433"/>
      <c r="L894" s="433"/>
      <c r="M894" s="433"/>
      <c r="N894" s="433"/>
      <c r="O894" s="433"/>
      <c r="P894" s="433"/>
      <c r="Q894" s="433"/>
      <c r="R894" s="433"/>
      <c r="S894" s="433"/>
      <c r="T894" s="466"/>
      <c r="U894" s="433"/>
      <c r="V894" s="433"/>
      <c r="W894" s="433"/>
    </row>
    <row r="895" spans="2:23" ht="15" customHeight="1">
      <c r="B895" s="433"/>
      <c r="C895" s="433"/>
      <c r="D895" s="433"/>
      <c r="E895" s="433"/>
      <c r="F895" s="434"/>
      <c r="G895" s="435"/>
      <c r="J895" s="434"/>
      <c r="K895" s="433"/>
      <c r="L895" s="433"/>
      <c r="M895" s="433"/>
      <c r="N895" s="433"/>
      <c r="O895" s="433"/>
      <c r="P895" s="433"/>
      <c r="Q895" s="433"/>
      <c r="R895" s="433"/>
      <c r="S895" s="433"/>
      <c r="T895" s="466"/>
      <c r="U895" s="433"/>
      <c r="V895" s="433"/>
      <c r="W895" s="433"/>
    </row>
    <row r="896" spans="2:23" ht="15" customHeight="1">
      <c r="B896" s="433"/>
      <c r="C896" s="433"/>
      <c r="D896" s="433"/>
      <c r="E896" s="433"/>
      <c r="F896" s="434"/>
      <c r="G896" s="435"/>
      <c r="J896" s="434"/>
      <c r="K896" s="433"/>
      <c r="L896" s="433"/>
      <c r="M896" s="433"/>
      <c r="N896" s="433"/>
      <c r="O896" s="433"/>
      <c r="P896" s="433"/>
      <c r="Q896" s="433"/>
      <c r="R896" s="433"/>
      <c r="S896" s="433"/>
      <c r="T896" s="466"/>
      <c r="U896" s="433"/>
      <c r="V896" s="433"/>
      <c r="W896" s="433"/>
    </row>
    <row r="897" spans="2:23" ht="15" customHeight="1">
      <c r="B897" s="433"/>
      <c r="C897" s="433"/>
      <c r="D897" s="433"/>
      <c r="E897" s="433"/>
      <c r="F897" s="434"/>
      <c r="G897" s="435"/>
      <c r="J897" s="434"/>
      <c r="K897" s="433"/>
      <c r="L897" s="433"/>
      <c r="M897" s="433"/>
      <c r="N897" s="433"/>
      <c r="O897" s="433"/>
      <c r="P897" s="433"/>
      <c r="Q897" s="433"/>
      <c r="R897" s="433"/>
      <c r="S897" s="433"/>
      <c r="T897" s="466"/>
      <c r="U897" s="433"/>
      <c r="V897" s="433"/>
      <c r="W897" s="433"/>
    </row>
    <row r="898" spans="2:23" ht="15" customHeight="1">
      <c r="B898" s="433"/>
      <c r="C898" s="433"/>
      <c r="D898" s="433"/>
      <c r="E898" s="433"/>
      <c r="F898" s="434"/>
      <c r="G898" s="435"/>
      <c r="J898" s="434"/>
      <c r="K898" s="433"/>
      <c r="L898" s="433"/>
      <c r="M898" s="433"/>
      <c r="N898" s="433"/>
      <c r="O898" s="433"/>
      <c r="P898" s="433"/>
      <c r="Q898" s="433"/>
      <c r="R898" s="433"/>
      <c r="S898" s="433"/>
      <c r="T898" s="466"/>
      <c r="U898" s="433"/>
      <c r="V898" s="433"/>
      <c r="W898" s="433"/>
    </row>
    <row r="899" spans="2:23" ht="15" customHeight="1">
      <c r="B899" s="433"/>
      <c r="C899" s="433"/>
      <c r="D899" s="433"/>
      <c r="E899" s="433"/>
      <c r="F899" s="434"/>
      <c r="G899" s="435"/>
      <c r="J899" s="434"/>
      <c r="K899" s="433"/>
      <c r="L899" s="433"/>
      <c r="M899" s="433"/>
      <c r="N899" s="433"/>
      <c r="O899" s="433"/>
      <c r="P899" s="433"/>
      <c r="Q899" s="433"/>
      <c r="R899" s="433"/>
      <c r="S899" s="433"/>
      <c r="T899" s="466"/>
      <c r="U899" s="433"/>
      <c r="V899" s="433"/>
      <c r="W899" s="433"/>
    </row>
    <row r="900" spans="2:23" ht="15" customHeight="1">
      <c r="B900" s="433"/>
      <c r="C900" s="433"/>
      <c r="D900" s="433"/>
      <c r="E900" s="433"/>
      <c r="F900" s="434"/>
      <c r="G900" s="435"/>
      <c r="J900" s="434"/>
      <c r="K900" s="433"/>
      <c r="L900" s="433"/>
      <c r="M900" s="433"/>
      <c r="N900" s="433"/>
      <c r="O900" s="433"/>
      <c r="P900" s="433"/>
      <c r="Q900" s="433"/>
      <c r="R900" s="433"/>
      <c r="S900" s="433"/>
      <c r="T900" s="466"/>
      <c r="U900" s="433"/>
      <c r="V900" s="433"/>
      <c r="W900" s="433"/>
    </row>
    <row r="901" spans="2:23" ht="15" customHeight="1">
      <c r="B901" s="433"/>
      <c r="C901" s="433"/>
      <c r="D901" s="433"/>
      <c r="E901" s="433"/>
      <c r="F901" s="434"/>
      <c r="G901" s="435"/>
      <c r="J901" s="434"/>
      <c r="K901" s="433"/>
      <c r="L901" s="433"/>
      <c r="M901" s="433"/>
      <c r="N901" s="433"/>
      <c r="O901" s="433"/>
      <c r="P901" s="433"/>
      <c r="Q901" s="433"/>
      <c r="R901" s="433"/>
      <c r="S901" s="433"/>
      <c r="T901" s="466"/>
      <c r="U901" s="433"/>
      <c r="V901" s="433"/>
      <c r="W901" s="433"/>
    </row>
    <row r="902" spans="2:23" ht="15" customHeight="1">
      <c r="B902" s="433"/>
      <c r="C902" s="433"/>
      <c r="D902" s="433"/>
      <c r="E902" s="433"/>
      <c r="F902" s="434"/>
      <c r="G902" s="435"/>
      <c r="J902" s="434"/>
      <c r="K902" s="433"/>
      <c r="L902" s="433"/>
      <c r="M902" s="433"/>
      <c r="N902" s="433"/>
      <c r="O902" s="433"/>
      <c r="P902" s="433"/>
      <c r="Q902" s="433"/>
      <c r="R902" s="433"/>
      <c r="S902" s="433"/>
      <c r="T902" s="466"/>
      <c r="U902" s="433"/>
      <c r="V902" s="433"/>
      <c r="W902" s="433"/>
    </row>
    <row r="903" spans="2:23" ht="15" customHeight="1">
      <c r="B903" s="433"/>
      <c r="C903" s="433"/>
      <c r="D903" s="433"/>
      <c r="E903" s="433"/>
      <c r="F903" s="434"/>
      <c r="G903" s="435"/>
      <c r="J903" s="434"/>
      <c r="K903" s="433"/>
      <c r="L903" s="433"/>
      <c r="M903" s="433"/>
      <c r="N903" s="433"/>
      <c r="O903" s="433"/>
      <c r="P903" s="433"/>
      <c r="Q903" s="433"/>
      <c r="R903" s="433"/>
      <c r="S903" s="433"/>
      <c r="T903" s="466"/>
      <c r="U903" s="433"/>
      <c r="V903" s="433"/>
      <c r="W903" s="433"/>
    </row>
    <row r="904" spans="2:23" ht="15" customHeight="1">
      <c r="B904" s="433"/>
      <c r="C904" s="433"/>
      <c r="D904" s="433"/>
      <c r="E904" s="433"/>
      <c r="F904" s="434"/>
      <c r="G904" s="435"/>
      <c r="J904" s="434"/>
      <c r="K904" s="433"/>
      <c r="L904" s="433"/>
      <c r="M904" s="433"/>
      <c r="N904" s="433"/>
      <c r="O904" s="433"/>
      <c r="P904" s="433"/>
      <c r="Q904" s="433"/>
      <c r="R904" s="433"/>
      <c r="S904" s="433"/>
      <c r="T904" s="466"/>
      <c r="U904" s="433"/>
      <c r="V904" s="433"/>
      <c r="W904" s="433"/>
    </row>
    <row r="905" spans="2:23" ht="15" customHeight="1">
      <c r="B905" s="433"/>
      <c r="C905" s="433"/>
      <c r="D905" s="433"/>
      <c r="E905" s="433"/>
      <c r="F905" s="434"/>
      <c r="G905" s="435"/>
      <c r="J905" s="434"/>
      <c r="K905" s="433"/>
      <c r="L905" s="433"/>
      <c r="M905" s="433"/>
      <c r="N905" s="433"/>
      <c r="O905" s="433"/>
      <c r="P905" s="433"/>
      <c r="Q905" s="433"/>
      <c r="R905" s="433"/>
      <c r="S905" s="433"/>
      <c r="T905" s="466"/>
      <c r="U905" s="433"/>
      <c r="V905" s="433"/>
      <c r="W905" s="433"/>
    </row>
    <row r="906" spans="2:23" ht="15" customHeight="1">
      <c r="B906" s="433"/>
      <c r="C906" s="433"/>
      <c r="D906" s="433"/>
      <c r="E906" s="433"/>
      <c r="F906" s="434"/>
      <c r="G906" s="435"/>
      <c r="J906" s="434"/>
      <c r="K906" s="433"/>
      <c r="L906" s="433"/>
      <c r="M906" s="433"/>
      <c r="N906" s="433"/>
      <c r="O906" s="433"/>
      <c r="P906" s="433"/>
      <c r="Q906" s="433"/>
      <c r="R906" s="433"/>
      <c r="S906" s="433"/>
      <c r="T906" s="466"/>
      <c r="U906" s="433"/>
      <c r="V906" s="433"/>
      <c r="W906" s="433"/>
    </row>
    <row r="907" spans="2:23" ht="15" customHeight="1">
      <c r="B907" s="433"/>
      <c r="C907" s="433"/>
      <c r="D907" s="433"/>
      <c r="E907" s="433"/>
      <c r="F907" s="434"/>
      <c r="G907" s="435"/>
      <c r="J907" s="434"/>
      <c r="K907" s="433"/>
      <c r="L907" s="433"/>
      <c r="M907" s="433"/>
      <c r="N907" s="433"/>
      <c r="O907" s="433"/>
      <c r="P907" s="433"/>
      <c r="Q907" s="433"/>
      <c r="R907" s="433"/>
      <c r="S907" s="433"/>
      <c r="T907" s="466"/>
      <c r="U907" s="433"/>
      <c r="V907" s="433"/>
      <c r="W907" s="433"/>
    </row>
    <row r="908" spans="2:23" ht="15" customHeight="1">
      <c r="B908" s="433"/>
      <c r="C908" s="433"/>
      <c r="D908" s="433"/>
      <c r="E908" s="433"/>
      <c r="F908" s="434"/>
      <c r="G908" s="435"/>
      <c r="J908" s="434"/>
      <c r="K908" s="433"/>
      <c r="L908" s="433"/>
      <c r="M908" s="433"/>
      <c r="N908" s="433"/>
      <c r="O908" s="433"/>
      <c r="P908" s="433"/>
      <c r="Q908" s="433"/>
      <c r="R908" s="433"/>
      <c r="S908" s="433"/>
      <c r="T908" s="466"/>
      <c r="U908" s="433"/>
      <c r="V908" s="433"/>
      <c r="W908" s="433"/>
    </row>
    <row r="909" spans="2:23" ht="15" customHeight="1">
      <c r="B909" s="433"/>
      <c r="C909" s="433"/>
      <c r="D909" s="433"/>
      <c r="E909" s="433"/>
      <c r="F909" s="434"/>
      <c r="G909" s="435"/>
      <c r="J909" s="434"/>
      <c r="K909" s="433"/>
      <c r="L909" s="433"/>
      <c r="M909" s="433"/>
      <c r="N909" s="433"/>
      <c r="O909" s="433"/>
      <c r="P909" s="433"/>
      <c r="Q909" s="433"/>
      <c r="R909" s="433"/>
      <c r="S909" s="433"/>
      <c r="T909" s="466"/>
      <c r="U909" s="433"/>
      <c r="V909" s="433"/>
      <c r="W909" s="433"/>
    </row>
    <row r="910" spans="2:23" ht="15" customHeight="1">
      <c r="B910" s="433"/>
      <c r="C910" s="433"/>
      <c r="D910" s="433"/>
      <c r="E910" s="433"/>
      <c r="F910" s="434"/>
      <c r="G910" s="435"/>
      <c r="J910" s="434"/>
      <c r="K910" s="433"/>
      <c r="L910" s="433"/>
      <c r="M910" s="433"/>
      <c r="N910" s="433"/>
      <c r="O910" s="433"/>
      <c r="P910" s="433"/>
      <c r="Q910" s="433"/>
      <c r="R910" s="433"/>
      <c r="S910" s="433"/>
      <c r="T910" s="466"/>
      <c r="U910" s="433"/>
      <c r="V910" s="433"/>
      <c r="W910" s="433"/>
    </row>
    <row r="911" spans="2:23" ht="15" customHeight="1">
      <c r="B911" s="433"/>
      <c r="C911" s="433"/>
      <c r="D911" s="433"/>
      <c r="E911" s="433"/>
      <c r="F911" s="434"/>
      <c r="G911" s="435"/>
      <c r="J911" s="434"/>
      <c r="K911" s="433"/>
      <c r="L911" s="433"/>
      <c r="M911" s="433"/>
      <c r="N911" s="433"/>
      <c r="O911" s="433"/>
      <c r="P911" s="433"/>
      <c r="Q911" s="433"/>
      <c r="R911" s="433"/>
      <c r="S911" s="433"/>
      <c r="T911" s="466"/>
      <c r="U911" s="433"/>
      <c r="V911" s="433"/>
      <c r="W911" s="433"/>
    </row>
    <row r="912" spans="2:23" ht="15" customHeight="1">
      <c r="B912" s="433"/>
      <c r="C912" s="433"/>
      <c r="D912" s="433"/>
      <c r="E912" s="433"/>
      <c r="F912" s="434"/>
      <c r="G912" s="435"/>
      <c r="J912" s="434"/>
      <c r="K912" s="433"/>
      <c r="L912" s="433"/>
      <c r="M912" s="433"/>
      <c r="N912" s="433"/>
      <c r="O912" s="433"/>
      <c r="P912" s="433"/>
      <c r="Q912" s="433"/>
      <c r="R912" s="433"/>
      <c r="S912" s="433"/>
      <c r="T912" s="466"/>
      <c r="U912" s="433"/>
      <c r="V912" s="433"/>
      <c r="W912" s="433"/>
    </row>
    <row r="913" spans="2:23" ht="15" customHeight="1">
      <c r="B913" s="433"/>
      <c r="C913" s="433"/>
      <c r="D913" s="433"/>
      <c r="E913" s="433"/>
      <c r="F913" s="434"/>
      <c r="G913" s="435"/>
      <c r="J913" s="434"/>
      <c r="K913" s="433"/>
      <c r="L913" s="433"/>
      <c r="M913" s="433"/>
      <c r="N913" s="433"/>
      <c r="O913" s="433"/>
      <c r="P913" s="433"/>
      <c r="Q913" s="433"/>
      <c r="R913" s="433"/>
      <c r="S913" s="433"/>
      <c r="T913" s="466"/>
      <c r="U913" s="433"/>
      <c r="V913" s="433"/>
      <c r="W913" s="433"/>
    </row>
    <row r="914" spans="2:23" ht="15" customHeight="1">
      <c r="B914" s="433"/>
      <c r="C914" s="433"/>
      <c r="D914" s="433"/>
      <c r="E914" s="433"/>
      <c r="F914" s="434"/>
      <c r="G914" s="435"/>
      <c r="J914" s="434"/>
      <c r="K914" s="433"/>
      <c r="L914" s="433"/>
      <c r="M914" s="433"/>
      <c r="N914" s="433"/>
      <c r="O914" s="433"/>
      <c r="P914" s="433"/>
      <c r="Q914" s="433"/>
      <c r="R914" s="433"/>
      <c r="S914" s="433"/>
      <c r="T914" s="466"/>
      <c r="U914" s="433"/>
      <c r="V914" s="433"/>
      <c r="W914" s="433"/>
    </row>
    <row r="915" spans="2:23" ht="15" customHeight="1">
      <c r="B915" s="433"/>
      <c r="C915" s="433"/>
      <c r="D915" s="433"/>
      <c r="E915" s="433"/>
      <c r="F915" s="434"/>
      <c r="G915" s="435"/>
      <c r="J915" s="434"/>
      <c r="K915" s="433"/>
      <c r="L915" s="433"/>
      <c r="M915" s="433"/>
      <c r="N915" s="433"/>
      <c r="O915" s="433"/>
      <c r="P915" s="433"/>
      <c r="Q915" s="433"/>
      <c r="R915" s="433"/>
      <c r="S915" s="433"/>
      <c r="T915" s="466"/>
      <c r="U915" s="433"/>
      <c r="V915" s="433"/>
      <c r="W915" s="433"/>
    </row>
    <row r="916" spans="2:23" ht="15" customHeight="1">
      <c r="B916" s="433"/>
      <c r="C916" s="433"/>
      <c r="D916" s="433"/>
      <c r="E916" s="433"/>
      <c r="F916" s="434"/>
      <c r="G916" s="435"/>
      <c r="J916" s="434"/>
      <c r="K916" s="433"/>
      <c r="L916" s="433"/>
      <c r="M916" s="433"/>
      <c r="N916" s="433"/>
      <c r="O916" s="433"/>
      <c r="P916" s="433"/>
      <c r="Q916" s="433"/>
      <c r="R916" s="433"/>
      <c r="S916" s="433"/>
      <c r="T916" s="466"/>
      <c r="U916" s="433"/>
      <c r="V916" s="433"/>
      <c r="W916" s="433"/>
    </row>
    <row r="917" spans="2:23" ht="15" customHeight="1">
      <c r="B917" s="433"/>
      <c r="C917" s="433"/>
      <c r="D917" s="433"/>
      <c r="E917" s="433"/>
      <c r="F917" s="434"/>
      <c r="G917" s="435"/>
      <c r="J917" s="434"/>
      <c r="K917" s="433"/>
      <c r="L917" s="433"/>
      <c r="M917" s="433"/>
      <c r="N917" s="433"/>
      <c r="O917" s="433"/>
      <c r="P917" s="433"/>
      <c r="Q917" s="433"/>
      <c r="R917" s="433"/>
      <c r="S917" s="433"/>
      <c r="T917" s="466"/>
      <c r="U917" s="433"/>
      <c r="V917" s="433"/>
      <c r="W917" s="433"/>
    </row>
    <row r="918" spans="2:23" ht="15" customHeight="1">
      <c r="B918" s="433"/>
      <c r="C918" s="433"/>
      <c r="D918" s="433"/>
      <c r="E918" s="433"/>
      <c r="F918" s="434"/>
      <c r="G918" s="435"/>
      <c r="J918" s="434"/>
      <c r="K918" s="433"/>
      <c r="L918" s="433"/>
      <c r="M918" s="433"/>
      <c r="N918" s="433"/>
      <c r="O918" s="433"/>
      <c r="P918" s="433"/>
      <c r="Q918" s="433"/>
      <c r="R918" s="433"/>
      <c r="S918" s="433"/>
      <c r="T918" s="466"/>
      <c r="U918" s="433"/>
      <c r="V918" s="433"/>
      <c r="W918" s="433"/>
    </row>
    <row r="919" spans="2:23" ht="15" customHeight="1">
      <c r="B919" s="433"/>
      <c r="C919" s="433"/>
      <c r="D919" s="433"/>
      <c r="E919" s="433"/>
      <c r="F919" s="434"/>
      <c r="G919" s="435"/>
      <c r="J919" s="434"/>
      <c r="K919" s="433"/>
      <c r="L919" s="433"/>
      <c r="M919" s="433"/>
      <c r="N919" s="433"/>
      <c r="O919" s="433"/>
      <c r="P919" s="433"/>
      <c r="Q919" s="433"/>
      <c r="R919" s="433"/>
      <c r="S919" s="433"/>
      <c r="T919" s="466"/>
      <c r="U919" s="433"/>
      <c r="V919" s="433"/>
      <c r="W919" s="433"/>
    </row>
    <row r="920" spans="2:23" ht="15" customHeight="1">
      <c r="B920" s="433"/>
      <c r="C920" s="433"/>
      <c r="D920" s="433"/>
      <c r="E920" s="433"/>
      <c r="F920" s="434"/>
      <c r="G920" s="435"/>
      <c r="J920" s="434"/>
      <c r="K920" s="433"/>
      <c r="L920" s="433"/>
      <c r="M920" s="433"/>
      <c r="N920" s="433"/>
      <c r="O920" s="433"/>
      <c r="P920" s="433"/>
      <c r="Q920" s="433"/>
      <c r="R920" s="433"/>
      <c r="S920" s="433"/>
      <c r="T920" s="466"/>
      <c r="U920" s="433"/>
      <c r="V920" s="433"/>
      <c r="W920" s="433"/>
    </row>
    <row r="921" spans="2:23" ht="15" customHeight="1">
      <c r="B921" s="433"/>
      <c r="C921" s="433"/>
      <c r="D921" s="433"/>
      <c r="E921" s="433"/>
      <c r="F921" s="434"/>
      <c r="G921" s="435"/>
      <c r="J921" s="434"/>
      <c r="K921" s="433"/>
      <c r="L921" s="433"/>
      <c r="M921" s="433"/>
      <c r="N921" s="433"/>
      <c r="O921" s="433"/>
      <c r="P921" s="433"/>
      <c r="Q921" s="433"/>
      <c r="R921" s="433"/>
      <c r="S921" s="433"/>
      <c r="T921" s="466"/>
      <c r="U921" s="433"/>
      <c r="V921" s="433"/>
      <c r="W921" s="433"/>
    </row>
    <row r="922" spans="2:23" ht="15" customHeight="1">
      <c r="B922" s="433"/>
      <c r="C922" s="433"/>
      <c r="D922" s="433"/>
      <c r="E922" s="433"/>
      <c r="F922" s="434"/>
      <c r="G922" s="435"/>
      <c r="J922" s="434"/>
      <c r="K922" s="433"/>
      <c r="L922" s="433"/>
      <c r="M922" s="433"/>
      <c r="N922" s="433"/>
      <c r="O922" s="433"/>
      <c r="P922" s="433"/>
      <c r="Q922" s="433"/>
      <c r="R922" s="433"/>
      <c r="S922" s="433"/>
      <c r="T922" s="466"/>
      <c r="U922" s="433"/>
      <c r="V922" s="433"/>
      <c r="W922" s="433"/>
    </row>
    <row r="923" spans="2:23" ht="15" customHeight="1">
      <c r="B923" s="433"/>
      <c r="C923" s="433"/>
      <c r="D923" s="433"/>
      <c r="E923" s="433"/>
      <c r="F923" s="434"/>
      <c r="G923" s="435"/>
      <c r="J923" s="434"/>
      <c r="K923" s="433"/>
      <c r="L923" s="433"/>
      <c r="M923" s="433"/>
      <c r="N923" s="433"/>
      <c r="O923" s="433"/>
      <c r="P923" s="433"/>
      <c r="Q923" s="433"/>
      <c r="R923" s="433"/>
      <c r="S923" s="433"/>
      <c r="T923" s="466"/>
      <c r="U923" s="433"/>
      <c r="V923" s="433"/>
      <c r="W923" s="433"/>
    </row>
    <row r="924" spans="2:23" ht="15" customHeight="1">
      <c r="B924" s="433"/>
      <c r="C924" s="433"/>
      <c r="D924" s="433"/>
      <c r="E924" s="433"/>
      <c r="F924" s="434"/>
      <c r="G924" s="435"/>
      <c r="J924" s="434"/>
      <c r="K924" s="433"/>
      <c r="L924" s="433"/>
      <c r="M924" s="433"/>
      <c r="N924" s="433"/>
      <c r="O924" s="433"/>
      <c r="P924" s="433"/>
      <c r="Q924" s="433"/>
      <c r="R924" s="433"/>
      <c r="S924" s="433"/>
      <c r="T924" s="466"/>
      <c r="U924" s="433"/>
      <c r="V924" s="433"/>
      <c r="W924" s="433"/>
    </row>
    <row r="925" spans="2:23" ht="15" customHeight="1">
      <c r="B925" s="433"/>
      <c r="C925" s="433"/>
      <c r="D925" s="433"/>
      <c r="E925" s="433"/>
      <c r="F925" s="434"/>
      <c r="G925" s="435"/>
      <c r="J925" s="434"/>
      <c r="K925" s="433"/>
      <c r="L925" s="433"/>
      <c r="M925" s="433"/>
      <c r="N925" s="433"/>
      <c r="O925" s="433"/>
      <c r="P925" s="433"/>
      <c r="Q925" s="433"/>
      <c r="R925" s="433"/>
      <c r="S925" s="433"/>
      <c r="T925" s="466"/>
      <c r="U925" s="433"/>
      <c r="V925" s="433"/>
      <c r="W925" s="433"/>
    </row>
    <row r="926" spans="2:23" ht="15" customHeight="1">
      <c r="B926" s="433"/>
      <c r="C926" s="433"/>
      <c r="D926" s="433"/>
      <c r="E926" s="433"/>
      <c r="F926" s="434"/>
      <c r="G926" s="435"/>
      <c r="J926" s="434"/>
      <c r="K926" s="433"/>
      <c r="L926" s="433"/>
      <c r="M926" s="433"/>
      <c r="N926" s="433"/>
      <c r="O926" s="433"/>
      <c r="P926" s="433"/>
      <c r="Q926" s="433"/>
      <c r="R926" s="433"/>
      <c r="S926" s="433"/>
      <c r="T926" s="466"/>
      <c r="U926" s="433"/>
      <c r="V926" s="433"/>
      <c r="W926" s="433"/>
    </row>
    <row r="927" spans="2:23" ht="15" customHeight="1">
      <c r="B927" s="433"/>
      <c r="C927" s="433"/>
      <c r="D927" s="433"/>
      <c r="E927" s="433"/>
      <c r="F927" s="434"/>
      <c r="G927" s="435"/>
      <c r="J927" s="434"/>
      <c r="K927" s="433"/>
      <c r="L927" s="433"/>
      <c r="M927" s="433"/>
      <c r="N927" s="433"/>
      <c r="O927" s="433"/>
      <c r="P927" s="433"/>
      <c r="Q927" s="433"/>
      <c r="R927" s="433"/>
      <c r="S927" s="433"/>
      <c r="T927" s="466"/>
      <c r="U927" s="433"/>
      <c r="V927" s="433"/>
      <c r="W927" s="433"/>
    </row>
    <row r="928" spans="2:23" ht="15" customHeight="1">
      <c r="B928" s="433"/>
      <c r="C928" s="433"/>
      <c r="D928" s="433"/>
      <c r="E928" s="433"/>
      <c r="F928" s="434"/>
      <c r="G928" s="435"/>
      <c r="J928" s="434"/>
      <c r="K928" s="433"/>
      <c r="L928" s="433"/>
      <c r="M928" s="433"/>
      <c r="N928" s="433"/>
      <c r="O928" s="433"/>
      <c r="P928" s="433"/>
      <c r="Q928" s="433"/>
      <c r="R928" s="433"/>
      <c r="S928" s="433"/>
      <c r="T928" s="466"/>
      <c r="U928" s="433"/>
      <c r="V928" s="433"/>
      <c r="W928" s="433"/>
    </row>
    <row r="929" spans="2:23" ht="15" customHeight="1">
      <c r="B929" s="433"/>
      <c r="C929" s="433"/>
      <c r="D929" s="433"/>
      <c r="E929" s="433"/>
      <c r="F929" s="434"/>
      <c r="G929" s="435"/>
      <c r="J929" s="434"/>
      <c r="K929" s="433"/>
      <c r="L929" s="433"/>
      <c r="M929" s="433"/>
      <c r="N929" s="433"/>
      <c r="O929" s="433"/>
      <c r="P929" s="433"/>
      <c r="Q929" s="433"/>
      <c r="R929" s="433"/>
      <c r="S929" s="433"/>
      <c r="T929" s="466"/>
      <c r="U929" s="433"/>
      <c r="V929" s="433"/>
      <c r="W929" s="433"/>
    </row>
    <row r="930" spans="2:23" ht="15" customHeight="1">
      <c r="B930" s="433"/>
      <c r="C930" s="433"/>
      <c r="D930" s="433"/>
      <c r="E930" s="433"/>
      <c r="F930" s="434"/>
      <c r="G930" s="435"/>
      <c r="J930" s="434"/>
      <c r="K930" s="433"/>
      <c r="L930" s="433"/>
      <c r="M930" s="433"/>
      <c r="N930" s="433"/>
      <c r="O930" s="433"/>
      <c r="P930" s="433"/>
      <c r="Q930" s="433"/>
      <c r="R930" s="433"/>
      <c r="S930" s="433"/>
      <c r="T930" s="466"/>
      <c r="U930" s="433"/>
      <c r="V930" s="433"/>
      <c r="W930" s="433"/>
    </row>
    <row r="931" spans="2:23" ht="15" customHeight="1">
      <c r="B931" s="433"/>
      <c r="C931" s="433"/>
      <c r="D931" s="433"/>
      <c r="E931" s="433"/>
      <c r="F931" s="434"/>
      <c r="G931" s="435"/>
      <c r="J931" s="434"/>
      <c r="K931" s="433"/>
      <c r="L931" s="433"/>
      <c r="M931" s="433"/>
      <c r="N931" s="433"/>
      <c r="O931" s="433"/>
      <c r="P931" s="433"/>
      <c r="Q931" s="433"/>
      <c r="R931" s="433"/>
      <c r="S931" s="433"/>
      <c r="T931" s="466"/>
      <c r="U931" s="433"/>
      <c r="V931" s="433"/>
      <c r="W931" s="433"/>
    </row>
    <row r="932" spans="2:23" ht="15" customHeight="1">
      <c r="B932" s="433"/>
      <c r="C932" s="433"/>
      <c r="D932" s="433"/>
      <c r="E932" s="433"/>
      <c r="F932" s="434"/>
      <c r="G932" s="435"/>
      <c r="J932" s="434"/>
      <c r="K932" s="433"/>
      <c r="L932" s="433"/>
      <c r="M932" s="433"/>
      <c r="N932" s="433"/>
      <c r="O932" s="433"/>
      <c r="P932" s="433"/>
      <c r="Q932" s="433"/>
      <c r="R932" s="433"/>
      <c r="S932" s="433"/>
      <c r="T932" s="466"/>
      <c r="U932" s="433"/>
      <c r="V932" s="433"/>
      <c r="W932" s="433"/>
    </row>
    <row r="933" spans="2:23" ht="15" customHeight="1">
      <c r="B933" s="433"/>
      <c r="C933" s="433"/>
      <c r="D933" s="433"/>
      <c r="E933" s="433"/>
      <c r="F933" s="434"/>
      <c r="G933" s="435"/>
      <c r="J933" s="434"/>
      <c r="K933" s="433"/>
      <c r="L933" s="433"/>
      <c r="M933" s="433"/>
      <c r="N933" s="433"/>
      <c r="O933" s="433"/>
      <c r="P933" s="433"/>
      <c r="Q933" s="433"/>
      <c r="R933" s="433"/>
      <c r="S933" s="433"/>
      <c r="T933" s="466"/>
      <c r="U933" s="433"/>
      <c r="V933" s="433"/>
      <c r="W933" s="433"/>
    </row>
    <row r="934" spans="2:23" ht="15" customHeight="1">
      <c r="B934" s="433"/>
      <c r="C934" s="433"/>
      <c r="D934" s="433"/>
      <c r="E934" s="433"/>
      <c r="F934" s="434"/>
      <c r="G934" s="435"/>
      <c r="J934" s="434"/>
      <c r="K934" s="433"/>
      <c r="L934" s="433"/>
      <c r="M934" s="433"/>
      <c r="N934" s="433"/>
      <c r="O934" s="433"/>
      <c r="P934" s="433"/>
      <c r="Q934" s="433"/>
      <c r="R934" s="433"/>
      <c r="S934" s="433"/>
      <c r="T934" s="466"/>
      <c r="U934" s="433"/>
      <c r="V934" s="433"/>
      <c r="W934" s="433"/>
    </row>
    <row r="935" spans="2:23" ht="15" customHeight="1">
      <c r="B935" s="433"/>
      <c r="C935" s="433"/>
      <c r="D935" s="433"/>
      <c r="E935" s="433"/>
      <c r="F935" s="434"/>
      <c r="G935" s="435"/>
      <c r="J935" s="434"/>
      <c r="K935" s="433"/>
      <c r="L935" s="433"/>
      <c r="M935" s="433"/>
      <c r="N935" s="433"/>
      <c r="O935" s="433"/>
      <c r="P935" s="433"/>
      <c r="Q935" s="433"/>
      <c r="R935" s="433"/>
      <c r="S935" s="433"/>
      <c r="T935" s="466"/>
      <c r="U935" s="433"/>
      <c r="V935" s="433"/>
      <c r="W935" s="433"/>
    </row>
    <row r="936" spans="2:23" ht="15" customHeight="1">
      <c r="B936" s="433"/>
      <c r="C936" s="433"/>
      <c r="D936" s="433"/>
      <c r="E936" s="433"/>
      <c r="F936" s="434"/>
      <c r="G936" s="435"/>
      <c r="J936" s="434"/>
      <c r="K936" s="433"/>
      <c r="L936" s="433"/>
      <c r="M936" s="433"/>
      <c r="N936" s="433"/>
      <c r="O936" s="433"/>
      <c r="P936" s="433"/>
      <c r="Q936" s="433"/>
      <c r="R936" s="433"/>
      <c r="S936" s="433"/>
      <c r="T936" s="466"/>
      <c r="U936" s="433"/>
      <c r="V936" s="433"/>
      <c r="W936" s="433"/>
    </row>
    <row r="937" spans="2:23" ht="15" customHeight="1">
      <c r="B937" s="433"/>
      <c r="C937" s="433"/>
      <c r="D937" s="433"/>
      <c r="E937" s="433"/>
      <c r="F937" s="434"/>
      <c r="G937" s="435"/>
      <c r="J937" s="434"/>
      <c r="K937" s="433"/>
      <c r="L937" s="433"/>
      <c r="M937" s="433"/>
      <c r="N937" s="433"/>
      <c r="O937" s="433"/>
      <c r="P937" s="433"/>
      <c r="Q937" s="433"/>
      <c r="R937" s="433"/>
      <c r="S937" s="433"/>
      <c r="T937" s="466"/>
      <c r="U937" s="433"/>
      <c r="V937" s="433"/>
      <c r="W937" s="433"/>
    </row>
    <row r="938" spans="2:23" ht="15" customHeight="1">
      <c r="B938" s="433"/>
      <c r="C938" s="433"/>
      <c r="D938" s="433"/>
      <c r="E938" s="433"/>
      <c r="F938" s="434"/>
      <c r="G938" s="435"/>
      <c r="J938" s="434"/>
      <c r="K938" s="433"/>
      <c r="L938" s="433"/>
      <c r="M938" s="433"/>
      <c r="N938" s="433"/>
      <c r="O938" s="433"/>
      <c r="P938" s="433"/>
      <c r="Q938" s="433"/>
      <c r="R938" s="433"/>
      <c r="S938" s="433"/>
      <c r="T938" s="466"/>
      <c r="U938" s="433"/>
      <c r="V938" s="433"/>
      <c r="W938" s="433"/>
    </row>
    <row r="939" spans="2:23" ht="15" customHeight="1">
      <c r="B939" s="433"/>
      <c r="C939" s="433"/>
      <c r="D939" s="433"/>
      <c r="E939" s="433"/>
      <c r="F939" s="434"/>
      <c r="G939" s="435"/>
      <c r="J939" s="434"/>
      <c r="K939" s="433"/>
      <c r="L939" s="433"/>
      <c r="M939" s="433"/>
      <c r="N939" s="433"/>
      <c r="O939" s="433"/>
      <c r="P939" s="433"/>
      <c r="Q939" s="433"/>
      <c r="R939" s="433"/>
      <c r="S939" s="433"/>
      <c r="T939" s="466"/>
      <c r="U939" s="433"/>
      <c r="V939" s="433"/>
      <c r="W939" s="433"/>
    </row>
    <row r="940" spans="2:23" ht="15" customHeight="1">
      <c r="B940" s="433"/>
      <c r="C940" s="433"/>
      <c r="D940" s="433"/>
      <c r="E940" s="433"/>
      <c r="F940" s="434"/>
      <c r="G940" s="435"/>
      <c r="J940" s="434"/>
      <c r="K940" s="433"/>
      <c r="L940" s="433"/>
      <c r="M940" s="433"/>
      <c r="N940" s="433"/>
      <c r="O940" s="433"/>
      <c r="P940" s="433"/>
      <c r="Q940" s="433"/>
      <c r="R940" s="433"/>
      <c r="S940" s="433"/>
      <c r="T940" s="466"/>
      <c r="U940" s="433"/>
      <c r="V940" s="433"/>
      <c r="W940" s="433"/>
    </row>
    <row r="941" spans="2:23" ht="15" customHeight="1">
      <c r="B941" s="433"/>
      <c r="C941" s="433"/>
      <c r="D941" s="433"/>
      <c r="E941" s="433"/>
      <c r="F941" s="434"/>
      <c r="G941" s="435"/>
      <c r="J941" s="434"/>
      <c r="K941" s="433"/>
      <c r="L941" s="433"/>
      <c r="M941" s="433"/>
      <c r="N941" s="433"/>
      <c r="O941" s="433"/>
      <c r="P941" s="433"/>
      <c r="Q941" s="433"/>
      <c r="R941" s="433"/>
      <c r="S941" s="433"/>
      <c r="T941" s="466"/>
      <c r="U941" s="433"/>
      <c r="V941" s="433"/>
      <c r="W941" s="433"/>
    </row>
    <row r="942" spans="2:23" ht="15" customHeight="1">
      <c r="B942" s="433"/>
      <c r="C942" s="433"/>
      <c r="D942" s="433"/>
      <c r="E942" s="433"/>
      <c r="F942" s="434"/>
      <c r="G942" s="435"/>
      <c r="J942" s="434"/>
      <c r="K942" s="433"/>
      <c r="L942" s="433"/>
      <c r="M942" s="433"/>
      <c r="N942" s="433"/>
      <c r="O942" s="433"/>
      <c r="P942" s="433"/>
      <c r="Q942" s="433"/>
      <c r="R942" s="433"/>
      <c r="S942" s="433"/>
      <c r="T942" s="466"/>
      <c r="U942" s="433"/>
      <c r="V942" s="433"/>
      <c r="W942" s="433"/>
    </row>
    <row r="943" spans="2:23" ht="15" customHeight="1">
      <c r="B943" s="433"/>
      <c r="C943" s="433"/>
      <c r="D943" s="433"/>
      <c r="E943" s="433"/>
      <c r="F943" s="434"/>
      <c r="G943" s="435"/>
      <c r="J943" s="434"/>
      <c r="K943" s="433"/>
      <c r="L943" s="433"/>
      <c r="M943" s="433"/>
      <c r="N943" s="433"/>
      <c r="O943" s="433"/>
      <c r="P943" s="433"/>
      <c r="Q943" s="433"/>
      <c r="R943" s="433"/>
      <c r="S943" s="433"/>
      <c r="T943" s="466"/>
      <c r="U943" s="433"/>
      <c r="V943" s="433"/>
      <c r="W943" s="433"/>
    </row>
    <row r="944" spans="2:23" ht="15" customHeight="1">
      <c r="B944" s="433"/>
      <c r="C944" s="433"/>
      <c r="D944" s="433"/>
      <c r="E944" s="433"/>
      <c r="F944" s="434"/>
      <c r="G944" s="435"/>
      <c r="J944" s="434"/>
      <c r="K944" s="433"/>
      <c r="L944" s="433"/>
      <c r="M944" s="433"/>
      <c r="N944" s="433"/>
      <c r="O944" s="433"/>
      <c r="P944" s="433"/>
      <c r="Q944" s="433"/>
      <c r="R944" s="433"/>
      <c r="S944" s="433"/>
      <c r="T944" s="466"/>
      <c r="U944" s="433"/>
      <c r="V944" s="433"/>
      <c r="W944" s="433"/>
    </row>
    <row r="945" spans="2:23" ht="15" customHeight="1">
      <c r="B945" s="433"/>
      <c r="C945" s="433"/>
      <c r="D945" s="433"/>
      <c r="E945" s="433"/>
      <c r="F945" s="434"/>
      <c r="G945" s="435"/>
      <c r="J945" s="434"/>
      <c r="K945" s="433"/>
      <c r="L945" s="433"/>
      <c r="M945" s="433"/>
      <c r="N945" s="433"/>
      <c r="O945" s="433"/>
      <c r="P945" s="433"/>
      <c r="Q945" s="433"/>
      <c r="R945" s="433"/>
      <c r="S945" s="433"/>
      <c r="T945" s="466"/>
      <c r="U945" s="433"/>
      <c r="V945" s="433"/>
      <c r="W945" s="433"/>
    </row>
    <row r="946" spans="2:23" ht="15" customHeight="1">
      <c r="B946" s="433"/>
      <c r="C946" s="433"/>
      <c r="D946" s="433"/>
      <c r="E946" s="433"/>
      <c r="F946" s="434"/>
      <c r="G946" s="435"/>
      <c r="J946" s="434"/>
      <c r="K946" s="433"/>
      <c r="L946" s="433"/>
      <c r="M946" s="433"/>
      <c r="N946" s="433"/>
      <c r="O946" s="433"/>
      <c r="P946" s="433"/>
      <c r="Q946" s="433"/>
      <c r="R946" s="433"/>
      <c r="S946" s="433"/>
      <c r="T946" s="466"/>
      <c r="U946" s="433"/>
      <c r="V946" s="433"/>
      <c r="W946" s="433"/>
    </row>
    <row r="947" spans="2:23" ht="15" customHeight="1">
      <c r="B947" s="433"/>
      <c r="C947" s="433"/>
      <c r="D947" s="433"/>
      <c r="E947" s="433"/>
      <c r="F947" s="434"/>
      <c r="G947" s="435"/>
      <c r="J947" s="434"/>
      <c r="K947" s="433"/>
      <c r="L947" s="433"/>
      <c r="M947" s="433"/>
      <c r="N947" s="433"/>
      <c r="O947" s="433"/>
      <c r="P947" s="433"/>
      <c r="Q947" s="433"/>
      <c r="R947" s="433"/>
      <c r="S947" s="433"/>
      <c r="T947" s="466"/>
      <c r="U947" s="433"/>
      <c r="V947" s="433"/>
      <c r="W947" s="433"/>
    </row>
    <row r="948" spans="2:23" ht="15" customHeight="1">
      <c r="B948" s="433"/>
      <c r="C948" s="433"/>
      <c r="D948" s="433"/>
      <c r="E948" s="433"/>
      <c r="F948" s="434"/>
      <c r="G948" s="435"/>
      <c r="J948" s="434"/>
      <c r="K948" s="433"/>
      <c r="L948" s="433"/>
      <c r="M948" s="433"/>
      <c r="N948" s="433"/>
      <c r="O948" s="433"/>
      <c r="P948" s="433"/>
      <c r="Q948" s="433"/>
      <c r="R948" s="433"/>
      <c r="S948" s="433"/>
      <c r="T948" s="466"/>
      <c r="U948" s="433"/>
      <c r="V948" s="433"/>
      <c r="W948" s="433"/>
    </row>
    <row r="949" spans="2:23" ht="15" customHeight="1">
      <c r="B949" s="433"/>
      <c r="C949" s="433"/>
      <c r="D949" s="433"/>
      <c r="E949" s="433"/>
      <c r="F949" s="434"/>
      <c r="G949" s="435"/>
      <c r="J949" s="434"/>
      <c r="K949" s="433"/>
      <c r="L949" s="433"/>
      <c r="M949" s="433"/>
      <c r="N949" s="433"/>
      <c r="O949" s="433"/>
      <c r="P949" s="433"/>
      <c r="Q949" s="433"/>
      <c r="R949" s="433"/>
      <c r="S949" s="433"/>
      <c r="T949" s="466"/>
      <c r="U949" s="433"/>
      <c r="V949" s="433"/>
      <c r="W949" s="433"/>
    </row>
    <row r="950" spans="2:23" ht="15" customHeight="1">
      <c r="B950" s="433"/>
      <c r="C950" s="433"/>
      <c r="D950" s="433"/>
      <c r="E950" s="433"/>
      <c r="F950" s="434"/>
      <c r="G950" s="435"/>
      <c r="J950" s="434"/>
      <c r="K950" s="433"/>
      <c r="L950" s="433"/>
      <c r="M950" s="433"/>
      <c r="N950" s="433"/>
      <c r="O950" s="433"/>
      <c r="P950" s="433"/>
      <c r="Q950" s="433"/>
      <c r="R950" s="433"/>
      <c r="S950" s="433"/>
      <c r="T950" s="466"/>
      <c r="U950" s="433"/>
      <c r="V950" s="433"/>
      <c r="W950" s="433"/>
    </row>
    <row r="951" spans="2:23" ht="15" customHeight="1">
      <c r="B951" s="433"/>
      <c r="C951" s="433"/>
      <c r="D951" s="433"/>
      <c r="E951" s="433"/>
      <c r="F951" s="434"/>
      <c r="G951" s="435"/>
      <c r="J951" s="434"/>
      <c r="K951" s="433"/>
      <c r="L951" s="433"/>
      <c r="M951" s="433"/>
      <c r="N951" s="433"/>
      <c r="O951" s="433"/>
      <c r="P951" s="433"/>
      <c r="Q951" s="433"/>
      <c r="R951" s="433"/>
      <c r="S951" s="433"/>
      <c r="T951" s="466"/>
      <c r="U951" s="433"/>
      <c r="V951" s="433"/>
      <c r="W951" s="433"/>
    </row>
    <row r="952" spans="2:23" ht="15" customHeight="1">
      <c r="B952" s="433"/>
      <c r="C952" s="433"/>
      <c r="D952" s="433"/>
      <c r="E952" s="433"/>
      <c r="F952" s="434"/>
      <c r="G952" s="435"/>
      <c r="J952" s="434"/>
      <c r="K952" s="433"/>
      <c r="L952" s="433"/>
      <c r="M952" s="433"/>
      <c r="N952" s="433"/>
      <c r="O952" s="433"/>
      <c r="P952" s="433"/>
      <c r="Q952" s="433"/>
      <c r="R952" s="433"/>
      <c r="S952" s="433"/>
      <c r="T952" s="466"/>
      <c r="U952" s="433"/>
      <c r="V952" s="433"/>
      <c r="W952" s="433"/>
    </row>
    <row r="953" spans="2:23" ht="15" customHeight="1">
      <c r="B953" s="433"/>
      <c r="C953" s="433"/>
      <c r="D953" s="433"/>
      <c r="E953" s="433"/>
      <c r="F953" s="434"/>
      <c r="G953" s="435"/>
      <c r="J953" s="434"/>
      <c r="K953" s="433"/>
      <c r="L953" s="433"/>
      <c r="M953" s="433"/>
      <c r="N953" s="433"/>
      <c r="O953" s="433"/>
      <c r="P953" s="433"/>
      <c r="Q953" s="433"/>
      <c r="R953" s="433"/>
      <c r="S953" s="433"/>
      <c r="T953" s="466"/>
      <c r="U953" s="433"/>
      <c r="V953" s="433"/>
      <c r="W953" s="433"/>
    </row>
    <row r="954" spans="2:23" ht="15" customHeight="1">
      <c r="B954" s="433"/>
      <c r="C954" s="433"/>
      <c r="D954" s="433"/>
      <c r="E954" s="433"/>
      <c r="F954" s="434"/>
      <c r="G954" s="435"/>
      <c r="J954" s="434"/>
      <c r="K954" s="433"/>
      <c r="L954" s="433"/>
      <c r="M954" s="433"/>
      <c r="N954" s="433"/>
      <c r="O954" s="433"/>
      <c r="P954" s="433"/>
      <c r="Q954" s="433"/>
      <c r="R954" s="433"/>
      <c r="S954" s="433"/>
      <c r="T954" s="466"/>
      <c r="U954" s="433"/>
      <c r="V954" s="433"/>
      <c r="W954" s="433"/>
    </row>
    <row r="955" spans="2:23" ht="15" customHeight="1">
      <c r="B955" s="433"/>
      <c r="C955" s="433"/>
      <c r="D955" s="433"/>
      <c r="E955" s="433"/>
      <c r="F955" s="434"/>
      <c r="G955" s="435"/>
      <c r="J955" s="434"/>
      <c r="K955" s="433"/>
      <c r="L955" s="433"/>
      <c r="M955" s="433"/>
      <c r="N955" s="433"/>
      <c r="O955" s="433"/>
      <c r="P955" s="433"/>
      <c r="Q955" s="433"/>
      <c r="R955" s="433"/>
      <c r="S955" s="433"/>
      <c r="T955" s="466"/>
      <c r="U955" s="433"/>
      <c r="V955" s="433"/>
      <c r="W955" s="433"/>
    </row>
    <row r="956" spans="2:23" ht="15" customHeight="1">
      <c r="B956" s="433"/>
      <c r="C956" s="433"/>
      <c r="D956" s="433"/>
      <c r="E956" s="433"/>
      <c r="F956" s="434"/>
      <c r="G956" s="435"/>
      <c r="J956" s="434"/>
      <c r="K956" s="433"/>
      <c r="L956" s="433"/>
      <c r="M956" s="433"/>
      <c r="N956" s="433"/>
      <c r="O956" s="433"/>
      <c r="P956" s="433"/>
      <c r="Q956" s="433"/>
      <c r="R956" s="433"/>
      <c r="S956" s="433"/>
      <c r="T956" s="466"/>
      <c r="U956" s="433"/>
      <c r="V956" s="433"/>
      <c r="W956" s="433"/>
    </row>
    <row r="957" spans="2:23" ht="15" customHeight="1">
      <c r="B957" s="433"/>
      <c r="C957" s="433"/>
      <c r="D957" s="433"/>
      <c r="E957" s="433"/>
      <c r="F957" s="434"/>
      <c r="G957" s="435"/>
      <c r="J957" s="434"/>
      <c r="K957" s="433"/>
      <c r="L957" s="433"/>
      <c r="M957" s="433"/>
      <c r="N957" s="433"/>
      <c r="O957" s="433"/>
      <c r="P957" s="433"/>
      <c r="Q957" s="433"/>
      <c r="R957" s="433"/>
      <c r="S957" s="433"/>
      <c r="T957" s="466"/>
    </row>
    <row r="958" spans="2:23" ht="15" customHeight="1">
      <c r="B958" s="433"/>
      <c r="C958" s="433"/>
      <c r="D958" s="433"/>
      <c r="E958" s="433"/>
      <c r="F958" s="434"/>
      <c r="G958" s="435"/>
      <c r="J958" s="434"/>
      <c r="K958" s="433"/>
      <c r="L958" s="433"/>
      <c r="M958" s="433"/>
      <c r="N958" s="433"/>
      <c r="O958" s="433"/>
      <c r="P958" s="433"/>
      <c r="Q958" s="433"/>
      <c r="R958" s="433"/>
      <c r="S958" s="433"/>
      <c r="T958" s="466"/>
    </row>
    <row r="959" spans="2:23" ht="15" customHeight="1">
      <c r="B959" s="433"/>
      <c r="C959" s="433"/>
      <c r="D959" s="433"/>
      <c r="E959" s="433"/>
      <c r="F959" s="434"/>
      <c r="G959" s="435"/>
      <c r="J959" s="434"/>
      <c r="K959" s="433"/>
      <c r="L959" s="433"/>
      <c r="M959" s="433"/>
      <c r="N959" s="433"/>
      <c r="O959" s="433"/>
      <c r="P959" s="433"/>
      <c r="Q959" s="433"/>
      <c r="R959" s="433"/>
      <c r="S959" s="433"/>
      <c r="T959" s="466"/>
    </row>
    <row r="960" spans="2:23" ht="15" customHeight="1">
      <c r="B960" s="433"/>
      <c r="C960" s="433"/>
      <c r="D960" s="433"/>
      <c r="E960" s="433"/>
      <c r="F960" s="434"/>
      <c r="G960" s="435"/>
      <c r="J960" s="434"/>
      <c r="K960" s="433"/>
      <c r="L960" s="433"/>
      <c r="M960" s="433"/>
      <c r="N960" s="433"/>
      <c r="O960" s="433"/>
      <c r="P960" s="433"/>
      <c r="Q960" s="433"/>
      <c r="R960" s="433"/>
      <c r="S960" s="433"/>
      <c r="T960" s="466"/>
    </row>
    <row r="961" spans="2:20" ht="15" customHeight="1">
      <c r="B961" s="433"/>
      <c r="C961" s="433"/>
      <c r="D961" s="433"/>
      <c r="E961" s="433"/>
      <c r="F961" s="434"/>
      <c r="G961" s="435"/>
      <c r="J961" s="434"/>
      <c r="K961" s="433"/>
      <c r="L961" s="433"/>
      <c r="M961" s="433"/>
      <c r="N961" s="433"/>
      <c r="O961" s="433"/>
      <c r="P961" s="433"/>
      <c r="Q961" s="433"/>
      <c r="R961" s="433"/>
      <c r="S961" s="433"/>
      <c r="T961" s="466"/>
    </row>
    <row r="962" spans="2:20" ht="15" customHeight="1">
      <c r="B962" s="433"/>
      <c r="C962" s="433"/>
      <c r="D962" s="433"/>
      <c r="E962" s="433"/>
      <c r="F962" s="434"/>
      <c r="G962" s="435"/>
      <c r="J962" s="434"/>
      <c r="K962" s="433"/>
      <c r="L962" s="433"/>
      <c r="M962" s="433"/>
      <c r="N962" s="433"/>
      <c r="O962" s="433"/>
      <c r="P962" s="433"/>
      <c r="Q962" s="433"/>
      <c r="R962" s="433"/>
      <c r="S962" s="433"/>
      <c r="T962" s="466"/>
    </row>
    <row r="963" spans="2:20" ht="15" customHeight="1">
      <c r="B963" s="433"/>
      <c r="C963" s="433"/>
      <c r="D963" s="433"/>
      <c r="E963" s="433"/>
      <c r="F963" s="434"/>
      <c r="G963" s="435"/>
      <c r="J963" s="434"/>
      <c r="K963" s="433"/>
      <c r="L963" s="433"/>
      <c r="M963" s="433"/>
      <c r="N963" s="433"/>
      <c r="O963" s="433"/>
      <c r="P963" s="433"/>
      <c r="Q963" s="433"/>
      <c r="R963" s="433"/>
      <c r="S963" s="433"/>
      <c r="T963" s="466"/>
    </row>
    <row r="964" spans="2:20" ht="15" customHeight="1">
      <c r="B964" s="433"/>
      <c r="C964" s="433"/>
      <c r="D964" s="433"/>
      <c r="E964" s="433"/>
      <c r="F964" s="434"/>
      <c r="G964" s="435"/>
      <c r="J964" s="434"/>
      <c r="K964" s="433"/>
      <c r="L964" s="433"/>
      <c r="M964" s="433"/>
      <c r="N964" s="433"/>
      <c r="O964" s="433"/>
      <c r="P964" s="433"/>
      <c r="Q964" s="433"/>
      <c r="R964" s="433"/>
      <c r="S964" s="433"/>
      <c r="T964" s="466"/>
    </row>
    <row r="965" spans="2:20" ht="15" customHeight="1">
      <c r="B965" s="433"/>
      <c r="C965" s="433"/>
      <c r="D965" s="433"/>
      <c r="E965" s="433"/>
      <c r="F965" s="434"/>
      <c r="G965" s="435"/>
      <c r="J965" s="434"/>
      <c r="K965" s="433"/>
      <c r="L965" s="433"/>
      <c r="M965" s="433"/>
      <c r="N965" s="433"/>
      <c r="O965" s="433"/>
      <c r="P965" s="433"/>
      <c r="Q965" s="433"/>
      <c r="R965" s="433"/>
      <c r="S965" s="433"/>
      <c r="T965" s="466"/>
    </row>
    <row r="966" spans="2:20" ht="15" customHeight="1">
      <c r="B966" s="433"/>
      <c r="C966" s="433"/>
      <c r="D966" s="433"/>
      <c r="E966" s="433"/>
      <c r="F966" s="434"/>
      <c r="G966" s="435"/>
      <c r="J966" s="434"/>
      <c r="K966" s="433"/>
      <c r="L966" s="433"/>
      <c r="M966" s="433"/>
      <c r="N966" s="433"/>
      <c r="O966" s="433"/>
      <c r="P966" s="433"/>
      <c r="Q966" s="433"/>
      <c r="R966" s="433"/>
      <c r="S966" s="433"/>
      <c r="T966" s="466"/>
    </row>
    <row r="967" spans="2:20" ht="15" customHeight="1">
      <c r="B967" s="433"/>
      <c r="C967" s="433"/>
      <c r="D967" s="433"/>
      <c r="E967" s="433"/>
      <c r="F967" s="434"/>
      <c r="G967" s="435"/>
      <c r="J967" s="434"/>
      <c r="K967" s="433"/>
      <c r="L967" s="433"/>
      <c r="M967" s="433"/>
      <c r="N967" s="433"/>
      <c r="O967" s="433"/>
      <c r="P967" s="433"/>
      <c r="Q967" s="433"/>
      <c r="R967" s="433"/>
      <c r="S967" s="433"/>
      <c r="T967" s="466"/>
    </row>
    <row r="968" spans="2:20" ht="15" customHeight="1">
      <c r="B968" s="433"/>
      <c r="C968" s="433"/>
      <c r="D968" s="433"/>
      <c r="E968" s="433"/>
      <c r="F968" s="434"/>
      <c r="G968" s="435"/>
      <c r="J968" s="434"/>
      <c r="K968" s="433"/>
      <c r="L968" s="433"/>
      <c r="M968" s="433"/>
      <c r="N968" s="433"/>
      <c r="O968" s="433"/>
      <c r="P968" s="433"/>
      <c r="Q968" s="433"/>
      <c r="R968" s="433"/>
      <c r="S968" s="433"/>
      <c r="T968" s="466"/>
    </row>
    <row r="969" spans="2:20" ht="15" customHeight="1">
      <c r="B969" s="433"/>
      <c r="C969" s="433"/>
      <c r="D969" s="433"/>
      <c r="E969" s="433"/>
      <c r="F969" s="434"/>
      <c r="G969" s="435"/>
      <c r="J969" s="434"/>
      <c r="K969" s="433"/>
      <c r="L969" s="433"/>
      <c r="M969" s="433"/>
      <c r="N969" s="433"/>
      <c r="O969" s="433"/>
      <c r="P969" s="433"/>
      <c r="Q969" s="433"/>
      <c r="R969" s="433"/>
      <c r="T969" s="466"/>
    </row>
    <row r="970" spans="2:20" ht="15" customHeight="1">
      <c r="B970" s="433"/>
      <c r="C970" s="433"/>
      <c r="D970" s="433"/>
      <c r="E970" s="433"/>
      <c r="F970" s="434"/>
      <c r="G970" s="435"/>
      <c r="J970" s="434"/>
      <c r="K970" s="433"/>
      <c r="L970" s="433"/>
      <c r="M970" s="433"/>
      <c r="N970" s="433"/>
      <c r="O970" s="433"/>
      <c r="P970" s="433"/>
      <c r="Q970" s="433"/>
      <c r="R970" s="433"/>
      <c r="T970" s="466"/>
    </row>
    <row r="971" spans="2:20" ht="15" customHeight="1">
      <c r="B971" s="433"/>
      <c r="C971" s="433"/>
      <c r="D971" s="433"/>
      <c r="E971" s="433"/>
      <c r="F971" s="434"/>
      <c r="G971" s="435"/>
      <c r="J971" s="434"/>
      <c r="K971" s="433"/>
      <c r="L971" s="433"/>
      <c r="M971" s="433"/>
      <c r="N971" s="433"/>
      <c r="O971" s="433"/>
      <c r="P971" s="433"/>
      <c r="Q971" s="433"/>
      <c r="R971" s="433"/>
      <c r="T971" s="466"/>
    </row>
    <row r="972" spans="2:20" ht="15" customHeight="1">
      <c r="B972" s="433"/>
      <c r="C972" s="433"/>
      <c r="D972" s="433"/>
      <c r="E972" s="433"/>
      <c r="F972" s="434"/>
      <c r="G972" s="435"/>
      <c r="J972" s="434"/>
      <c r="K972" s="433"/>
      <c r="L972" s="433"/>
      <c r="M972" s="433"/>
      <c r="N972" s="433"/>
      <c r="O972" s="433"/>
      <c r="P972" s="433"/>
      <c r="Q972" s="433"/>
      <c r="R972" s="433"/>
      <c r="T972" s="466"/>
    </row>
    <row r="973" spans="2:20" ht="15" customHeight="1">
      <c r="B973" s="433"/>
      <c r="C973" s="433"/>
      <c r="D973" s="433"/>
      <c r="E973" s="433"/>
      <c r="F973" s="434"/>
      <c r="G973" s="435"/>
      <c r="J973" s="434"/>
      <c r="K973" s="433"/>
      <c r="L973" s="433"/>
      <c r="M973" s="433"/>
      <c r="N973" s="433"/>
      <c r="O973" s="433"/>
      <c r="P973" s="433"/>
      <c r="Q973" s="433"/>
      <c r="R973" s="433"/>
      <c r="T973" s="466"/>
    </row>
    <row r="974" spans="2:20" ht="15" customHeight="1">
      <c r="B974" s="433"/>
      <c r="C974" s="433"/>
      <c r="D974" s="433"/>
      <c r="E974" s="433"/>
      <c r="F974" s="434"/>
      <c r="G974" s="435"/>
      <c r="J974" s="434"/>
      <c r="K974" s="433"/>
      <c r="L974" s="433"/>
      <c r="M974" s="433"/>
      <c r="N974" s="433"/>
      <c r="O974" s="433"/>
      <c r="P974" s="433"/>
      <c r="Q974" s="433"/>
      <c r="R974" s="433"/>
      <c r="T974" s="466"/>
    </row>
    <row r="975" spans="2:20" ht="15" customHeight="1">
      <c r="B975" s="433"/>
      <c r="C975" s="433"/>
      <c r="D975" s="433"/>
      <c r="E975" s="433"/>
      <c r="F975" s="434"/>
      <c r="G975" s="435"/>
      <c r="J975" s="434"/>
      <c r="K975" s="433"/>
      <c r="L975" s="433"/>
      <c r="M975" s="433"/>
      <c r="N975" s="433"/>
      <c r="O975" s="433"/>
      <c r="P975" s="433"/>
      <c r="Q975" s="433"/>
      <c r="R975" s="433"/>
      <c r="T975" s="466"/>
    </row>
    <row r="976" spans="2:20" ht="15" customHeight="1">
      <c r="B976" s="433"/>
      <c r="C976" s="433"/>
      <c r="D976" s="433"/>
      <c r="E976" s="433"/>
      <c r="F976" s="434"/>
      <c r="G976" s="435"/>
      <c r="J976" s="434"/>
      <c r="K976" s="433"/>
      <c r="L976" s="433"/>
      <c r="M976" s="433"/>
      <c r="N976" s="433"/>
      <c r="O976" s="433"/>
      <c r="P976" s="433"/>
      <c r="Q976" s="433"/>
      <c r="R976" s="433"/>
      <c r="T976" s="466"/>
    </row>
    <row r="977" spans="2:20" ht="15" customHeight="1">
      <c r="B977" s="433"/>
      <c r="C977" s="433"/>
      <c r="D977" s="433"/>
      <c r="E977" s="433"/>
      <c r="F977" s="434"/>
      <c r="G977" s="435"/>
      <c r="J977" s="434"/>
      <c r="K977" s="433"/>
      <c r="L977" s="433"/>
      <c r="M977" s="433"/>
      <c r="N977" s="433"/>
      <c r="O977" s="433"/>
      <c r="P977" s="433"/>
      <c r="Q977" s="433"/>
      <c r="R977" s="433"/>
      <c r="T977" s="466"/>
    </row>
    <row r="978" spans="2:20" ht="15" customHeight="1">
      <c r="B978" s="433"/>
      <c r="C978" s="433"/>
      <c r="D978" s="433"/>
      <c r="E978" s="433"/>
      <c r="F978" s="434"/>
      <c r="G978" s="435"/>
      <c r="J978" s="434"/>
      <c r="K978" s="433"/>
      <c r="L978" s="433"/>
      <c r="M978" s="433"/>
      <c r="N978" s="433"/>
      <c r="O978" s="433"/>
      <c r="P978" s="433"/>
      <c r="Q978" s="433"/>
      <c r="R978" s="433"/>
      <c r="T978" s="466"/>
    </row>
    <row r="979" spans="2:20" ht="15" customHeight="1">
      <c r="B979" s="433"/>
      <c r="C979" s="433"/>
      <c r="D979" s="433"/>
      <c r="E979" s="433"/>
      <c r="F979" s="434"/>
      <c r="G979" s="435"/>
      <c r="J979" s="434"/>
      <c r="K979" s="433"/>
      <c r="L979" s="433"/>
      <c r="M979" s="433"/>
      <c r="N979" s="433"/>
      <c r="O979" s="433"/>
      <c r="P979" s="433"/>
      <c r="Q979" s="433"/>
      <c r="R979" s="433"/>
      <c r="T979" s="466"/>
    </row>
    <row r="980" spans="2:20" ht="15" customHeight="1">
      <c r="B980" s="433"/>
      <c r="C980" s="433"/>
      <c r="D980" s="433"/>
      <c r="E980" s="433"/>
      <c r="F980" s="434"/>
      <c r="G980" s="435"/>
      <c r="J980" s="434"/>
      <c r="K980" s="433"/>
      <c r="L980" s="433"/>
      <c r="M980" s="433"/>
      <c r="N980" s="433"/>
      <c r="O980" s="433"/>
      <c r="P980" s="433"/>
      <c r="Q980" s="433"/>
      <c r="R980" s="433"/>
      <c r="T980" s="466"/>
    </row>
    <row r="981" spans="2:20" ht="15" customHeight="1">
      <c r="B981" s="433"/>
      <c r="C981" s="433"/>
      <c r="D981" s="433"/>
      <c r="E981" s="433"/>
      <c r="F981" s="434"/>
      <c r="G981" s="435"/>
      <c r="J981" s="434"/>
      <c r="K981" s="433"/>
      <c r="L981" s="433"/>
      <c r="M981" s="433"/>
      <c r="N981" s="433"/>
      <c r="O981" s="433"/>
      <c r="P981" s="433"/>
      <c r="Q981" s="433"/>
      <c r="R981" s="433"/>
      <c r="T981" s="466"/>
    </row>
    <row r="982" spans="2:20" ht="15" customHeight="1">
      <c r="B982" s="433"/>
      <c r="C982" s="433"/>
      <c r="D982" s="433"/>
      <c r="E982" s="433"/>
      <c r="F982" s="434"/>
      <c r="G982" s="435"/>
      <c r="J982" s="434"/>
      <c r="K982" s="433"/>
      <c r="L982" s="433"/>
      <c r="M982" s="433"/>
      <c r="N982" s="433"/>
      <c r="O982" s="433"/>
      <c r="P982" s="433"/>
      <c r="Q982" s="433"/>
      <c r="R982" s="433"/>
      <c r="T982" s="466"/>
    </row>
    <row r="983" spans="2:20" ht="15" customHeight="1">
      <c r="B983" s="433"/>
      <c r="C983" s="433"/>
      <c r="D983" s="433"/>
      <c r="E983" s="433"/>
      <c r="F983" s="434"/>
      <c r="G983" s="435"/>
      <c r="J983" s="434"/>
      <c r="K983" s="433"/>
      <c r="L983" s="433"/>
      <c r="M983" s="433"/>
      <c r="N983" s="433"/>
      <c r="O983" s="433"/>
      <c r="P983" s="433"/>
      <c r="Q983" s="433"/>
      <c r="R983" s="433"/>
      <c r="T983" s="466"/>
    </row>
    <row r="984" spans="2:20" ht="15" customHeight="1">
      <c r="B984" s="433"/>
      <c r="C984" s="433"/>
      <c r="D984" s="433"/>
      <c r="E984" s="433"/>
      <c r="F984" s="434"/>
      <c r="G984" s="435"/>
      <c r="J984" s="434"/>
      <c r="K984" s="433"/>
      <c r="L984" s="433"/>
      <c r="M984" s="433"/>
      <c r="N984" s="433"/>
      <c r="O984" s="433"/>
      <c r="P984" s="433"/>
      <c r="Q984" s="433"/>
      <c r="R984" s="433"/>
      <c r="T984" s="466"/>
    </row>
    <row r="985" spans="2:20" ht="15" customHeight="1">
      <c r="B985" s="433"/>
      <c r="C985" s="433"/>
      <c r="D985" s="433"/>
      <c r="E985" s="433"/>
      <c r="F985" s="434"/>
      <c r="G985" s="435"/>
      <c r="J985" s="434"/>
      <c r="K985" s="433"/>
      <c r="L985" s="433"/>
      <c r="M985" s="433"/>
      <c r="N985" s="433"/>
      <c r="O985" s="433"/>
      <c r="P985" s="433"/>
      <c r="Q985" s="433"/>
      <c r="R985" s="433"/>
      <c r="T985" s="466"/>
    </row>
    <row r="986" spans="2:20" ht="15" customHeight="1">
      <c r="B986" s="433"/>
      <c r="C986" s="433"/>
      <c r="D986" s="433"/>
      <c r="E986" s="433"/>
      <c r="F986" s="434"/>
      <c r="G986" s="435"/>
      <c r="J986" s="434"/>
      <c r="K986" s="433"/>
      <c r="L986" s="433"/>
      <c r="M986" s="433"/>
      <c r="N986" s="433"/>
      <c r="O986" s="433"/>
      <c r="P986" s="433"/>
      <c r="Q986" s="433"/>
      <c r="R986" s="433"/>
      <c r="T986" s="466"/>
    </row>
    <row r="987" spans="2:20" ht="15" customHeight="1">
      <c r="B987" s="433"/>
      <c r="C987" s="433"/>
      <c r="D987" s="433"/>
      <c r="E987" s="433"/>
      <c r="F987" s="434"/>
      <c r="G987" s="435"/>
      <c r="J987" s="434"/>
      <c r="K987" s="433"/>
      <c r="L987" s="433"/>
      <c r="M987" s="433"/>
      <c r="N987" s="433"/>
      <c r="O987" s="433"/>
      <c r="P987" s="433"/>
      <c r="Q987" s="433"/>
      <c r="R987" s="433"/>
      <c r="T987" s="466"/>
    </row>
    <row r="988" spans="2:20" ht="15" customHeight="1">
      <c r="B988" s="433"/>
      <c r="C988" s="433"/>
      <c r="D988" s="433"/>
      <c r="E988" s="433"/>
      <c r="F988" s="434"/>
      <c r="G988" s="435"/>
      <c r="J988" s="434"/>
      <c r="K988" s="433"/>
      <c r="L988" s="433"/>
      <c r="M988" s="433"/>
      <c r="N988" s="433"/>
      <c r="O988" s="433"/>
      <c r="P988" s="433"/>
      <c r="Q988" s="433"/>
      <c r="R988" s="433"/>
      <c r="T988" s="466"/>
    </row>
    <row r="989" spans="2:20" ht="15" customHeight="1">
      <c r="B989" s="433"/>
      <c r="C989" s="433"/>
      <c r="D989" s="433"/>
      <c r="E989" s="433"/>
      <c r="F989" s="434"/>
      <c r="G989" s="435"/>
      <c r="J989" s="434"/>
      <c r="K989" s="433"/>
      <c r="L989" s="433"/>
      <c r="M989" s="433"/>
      <c r="N989" s="433"/>
      <c r="O989" s="433"/>
      <c r="P989" s="433"/>
      <c r="Q989" s="433"/>
      <c r="R989" s="433"/>
      <c r="T989" s="466"/>
    </row>
    <row r="990" spans="2:20" ht="15" customHeight="1">
      <c r="B990" s="433"/>
      <c r="C990" s="433"/>
      <c r="D990" s="433"/>
      <c r="E990" s="433"/>
      <c r="F990" s="434"/>
      <c r="G990" s="435"/>
      <c r="J990" s="434"/>
      <c r="K990" s="433"/>
      <c r="L990" s="433"/>
      <c r="M990" s="433"/>
      <c r="N990" s="433"/>
      <c r="O990" s="433"/>
      <c r="P990" s="433"/>
      <c r="Q990" s="433"/>
      <c r="R990" s="433"/>
      <c r="T990" s="466"/>
    </row>
    <row r="991" spans="2:20" ht="15" customHeight="1">
      <c r="B991" s="433"/>
      <c r="C991" s="433"/>
      <c r="D991" s="433"/>
      <c r="E991" s="433"/>
      <c r="F991" s="434"/>
      <c r="G991" s="435"/>
      <c r="J991" s="434"/>
      <c r="K991" s="433"/>
      <c r="L991" s="433"/>
      <c r="M991" s="433"/>
      <c r="N991" s="433"/>
      <c r="O991" s="433"/>
      <c r="P991" s="433"/>
      <c r="Q991" s="433"/>
      <c r="R991" s="433"/>
      <c r="T991" s="466"/>
    </row>
    <row r="992" spans="2:20" ht="15" customHeight="1">
      <c r="B992" s="433"/>
      <c r="C992" s="433"/>
      <c r="D992" s="433"/>
      <c r="E992" s="433"/>
      <c r="F992" s="434"/>
      <c r="G992" s="435"/>
      <c r="J992" s="434"/>
      <c r="K992" s="433"/>
      <c r="L992" s="433"/>
      <c r="M992" s="433"/>
      <c r="N992" s="433"/>
      <c r="O992" s="433"/>
      <c r="P992" s="433"/>
      <c r="Q992" s="433"/>
      <c r="R992" s="433"/>
      <c r="T992" s="466"/>
    </row>
    <row r="993" spans="2:20" ht="15" customHeight="1">
      <c r="B993" s="433"/>
      <c r="C993" s="433"/>
      <c r="D993" s="433"/>
      <c r="E993" s="433"/>
      <c r="F993" s="434"/>
      <c r="G993" s="435"/>
      <c r="J993" s="434"/>
      <c r="K993" s="433"/>
      <c r="L993" s="433"/>
      <c r="M993" s="433"/>
      <c r="N993" s="433"/>
      <c r="O993" s="433"/>
      <c r="P993" s="433"/>
      <c r="Q993" s="433"/>
      <c r="R993" s="433"/>
      <c r="T993" s="466"/>
    </row>
    <row r="994" spans="2:20" ht="15" customHeight="1">
      <c r="B994" s="433"/>
      <c r="C994" s="433"/>
      <c r="D994" s="433"/>
      <c r="E994" s="433"/>
      <c r="F994" s="434"/>
      <c r="G994" s="435"/>
      <c r="J994" s="434"/>
      <c r="K994" s="433"/>
      <c r="L994" s="433"/>
      <c r="M994" s="433"/>
      <c r="N994" s="433"/>
      <c r="O994" s="433"/>
      <c r="P994" s="433"/>
      <c r="Q994" s="433"/>
      <c r="R994" s="433"/>
      <c r="T994" s="466"/>
    </row>
    <row r="995" spans="2:20" ht="15" customHeight="1">
      <c r="B995" s="433"/>
      <c r="C995" s="433"/>
      <c r="D995" s="433"/>
      <c r="E995" s="433"/>
      <c r="F995" s="434"/>
      <c r="G995" s="435"/>
      <c r="J995" s="434"/>
      <c r="K995" s="433"/>
      <c r="L995" s="433"/>
      <c r="M995" s="433"/>
      <c r="N995" s="433"/>
      <c r="O995" s="433"/>
      <c r="P995" s="433"/>
      <c r="Q995" s="433"/>
      <c r="R995" s="433"/>
      <c r="T995" s="466"/>
    </row>
    <row r="996" spans="2:20" ht="15" customHeight="1">
      <c r="B996" s="433"/>
      <c r="C996" s="433"/>
      <c r="D996" s="433"/>
      <c r="E996" s="433"/>
      <c r="F996" s="434"/>
      <c r="G996" s="435"/>
      <c r="J996" s="434"/>
      <c r="K996" s="433"/>
      <c r="L996" s="433"/>
      <c r="M996" s="433"/>
      <c r="N996" s="433"/>
      <c r="O996" s="433"/>
      <c r="P996" s="433"/>
      <c r="Q996" s="433"/>
      <c r="R996" s="433"/>
      <c r="T996" s="466"/>
    </row>
    <row r="997" spans="2:20" ht="15" customHeight="1">
      <c r="B997" s="433"/>
      <c r="C997" s="433"/>
      <c r="D997" s="433"/>
      <c r="E997" s="433"/>
      <c r="F997" s="434"/>
      <c r="G997" s="435"/>
      <c r="J997" s="434"/>
      <c r="K997" s="433"/>
      <c r="L997" s="433"/>
      <c r="M997" s="433"/>
      <c r="N997" s="433"/>
      <c r="O997" s="433"/>
      <c r="P997" s="433"/>
      <c r="Q997" s="433"/>
      <c r="R997" s="433"/>
      <c r="T997" s="466"/>
    </row>
    <row r="998" spans="2:20" ht="15" customHeight="1">
      <c r="B998" s="433"/>
      <c r="C998" s="433"/>
      <c r="D998" s="433"/>
      <c r="E998" s="433"/>
      <c r="F998" s="434"/>
      <c r="G998" s="435"/>
      <c r="J998" s="434"/>
      <c r="K998" s="433"/>
      <c r="L998" s="433"/>
      <c r="M998" s="433"/>
      <c r="N998" s="433"/>
      <c r="O998" s="433"/>
      <c r="P998" s="433"/>
      <c r="Q998" s="433"/>
      <c r="R998" s="433"/>
      <c r="T998" s="466"/>
    </row>
    <row r="999" spans="2:20" ht="15" customHeight="1">
      <c r="B999" s="433"/>
      <c r="C999" s="433"/>
      <c r="D999" s="433"/>
      <c r="E999" s="433"/>
      <c r="F999" s="434"/>
      <c r="G999" s="435"/>
      <c r="J999" s="434"/>
      <c r="K999" s="433"/>
      <c r="L999" s="433"/>
      <c r="M999" s="433"/>
      <c r="N999" s="433"/>
      <c r="O999" s="433"/>
      <c r="P999" s="433"/>
      <c r="Q999" s="433"/>
      <c r="R999" s="433"/>
      <c r="T999" s="466"/>
    </row>
    <row r="1000" spans="2:20" ht="15" customHeight="1">
      <c r="B1000" s="433"/>
      <c r="C1000" s="433"/>
      <c r="D1000" s="433"/>
      <c r="E1000" s="433"/>
      <c r="F1000" s="434"/>
      <c r="G1000" s="435"/>
      <c r="J1000" s="434"/>
      <c r="K1000" s="433"/>
      <c r="L1000" s="433"/>
      <c r="M1000" s="433"/>
      <c r="N1000" s="433"/>
      <c r="O1000" s="433"/>
      <c r="P1000" s="433"/>
      <c r="Q1000" s="433"/>
      <c r="R1000" s="433"/>
      <c r="T1000" s="466"/>
    </row>
    <row r="1001" spans="2:20" ht="15" customHeight="1">
      <c r="B1001" s="433"/>
      <c r="C1001" s="433"/>
      <c r="D1001" s="433"/>
      <c r="E1001" s="433"/>
      <c r="F1001" s="434"/>
      <c r="G1001" s="435"/>
      <c r="J1001" s="434"/>
      <c r="K1001" s="433"/>
      <c r="L1001" s="433"/>
      <c r="M1001" s="433"/>
      <c r="N1001" s="433"/>
      <c r="O1001" s="433"/>
      <c r="P1001" s="433"/>
      <c r="Q1001" s="433"/>
      <c r="R1001" s="433"/>
      <c r="T1001" s="466"/>
    </row>
    <row r="1002" spans="2:20" ht="15" customHeight="1">
      <c r="B1002" s="433"/>
      <c r="C1002" s="433"/>
      <c r="D1002" s="433"/>
      <c r="E1002" s="433"/>
      <c r="F1002" s="434"/>
      <c r="G1002" s="435"/>
      <c r="J1002" s="434"/>
      <c r="K1002" s="433"/>
      <c r="L1002" s="433"/>
      <c r="M1002" s="433"/>
      <c r="N1002" s="433"/>
      <c r="O1002" s="433"/>
      <c r="P1002" s="433"/>
      <c r="Q1002" s="433"/>
      <c r="R1002" s="433"/>
      <c r="T1002" s="466"/>
    </row>
    <row r="1003" spans="2:20" ht="15" customHeight="1">
      <c r="B1003" s="433"/>
      <c r="C1003" s="433"/>
      <c r="D1003" s="433"/>
      <c r="E1003" s="433"/>
      <c r="F1003" s="434"/>
      <c r="G1003" s="435"/>
      <c r="J1003" s="434"/>
      <c r="K1003" s="433"/>
      <c r="L1003" s="433"/>
      <c r="M1003" s="433"/>
      <c r="N1003" s="433"/>
      <c r="O1003" s="433"/>
      <c r="P1003" s="433"/>
      <c r="Q1003" s="433"/>
      <c r="R1003" s="433"/>
      <c r="T1003" s="466"/>
    </row>
    <row r="1004" spans="2:20" ht="15" customHeight="1">
      <c r="B1004" s="433"/>
      <c r="C1004" s="433"/>
      <c r="D1004" s="433"/>
      <c r="E1004" s="433"/>
      <c r="F1004" s="434"/>
      <c r="G1004" s="435"/>
      <c r="J1004" s="434"/>
      <c r="K1004" s="433"/>
      <c r="L1004" s="433"/>
      <c r="M1004" s="433"/>
      <c r="N1004" s="433"/>
      <c r="O1004" s="433"/>
      <c r="P1004" s="433"/>
      <c r="Q1004" s="433"/>
      <c r="R1004" s="433"/>
      <c r="T1004" s="466"/>
    </row>
    <row r="1005" spans="2:20" ht="15" customHeight="1">
      <c r="B1005" s="433"/>
      <c r="C1005" s="433"/>
      <c r="D1005" s="433"/>
      <c r="E1005" s="433"/>
      <c r="F1005" s="434"/>
      <c r="G1005" s="435"/>
      <c r="J1005" s="434"/>
      <c r="K1005" s="433"/>
      <c r="L1005" s="433"/>
      <c r="M1005" s="433"/>
      <c r="N1005" s="433"/>
      <c r="O1005" s="433"/>
      <c r="P1005" s="433"/>
      <c r="Q1005" s="433"/>
      <c r="R1005" s="433"/>
      <c r="T1005" s="466"/>
    </row>
    <row r="1006" spans="2:20" ht="15" customHeight="1">
      <c r="B1006" s="433"/>
      <c r="C1006" s="433"/>
      <c r="D1006" s="433"/>
      <c r="E1006" s="433"/>
      <c r="F1006" s="434"/>
      <c r="G1006" s="435"/>
      <c r="J1006" s="434"/>
      <c r="K1006" s="433"/>
      <c r="L1006" s="433"/>
      <c r="M1006" s="433"/>
      <c r="N1006" s="433"/>
      <c r="O1006" s="433"/>
      <c r="P1006" s="433"/>
      <c r="Q1006" s="433"/>
      <c r="R1006" s="433"/>
      <c r="T1006" s="466"/>
    </row>
    <row r="1007" spans="2:20" ht="15" customHeight="1">
      <c r="B1007" s="433"/>
      <c r="C1007" s="433"/>
      <c r="D1007" s="433"/>
      <c r="E1007" s="433"/>
      <c r="F1007" s="434"/>
      <c r="G1007" s="435"/>
      <c r="J1007" s="434"/>
      <c r="K1007" s="433"/>
      <c r="L1007" s="433"/>
      <c r="M1007" s="433"/>
      <c r="N1007" s="433"/>
      <c r="O1007" s="433"/>
      <c r="P1007" s="433"/>
      <c r="Q1007" s="433"/>
      <c r="R1007" s="433"/>
      <c r="T1007" s="466"/>
    </row>
    <row r="1008" spans="2:20" ht="15" customHeight="1">
      <c r="B1008" s="433"/>
      <c r="C1008" s="433"/>
      <c r="D1008" s="433"/>
      <c r="E1008" s="433"/>
      <c r="F1008" s="434"/>
      <c r="G1008" s="435"/>
      <c r="J1008" s="434"/>
      <c r="K1008" s="433"/>
      <c r="L1008" s="433"/>
      <c r="M1008" s="433"/>
      <c r="N1008" s="433"/>
      <c r="O1008" s="433"/>
      <c r="P1008" s="433"/>
      <c r="Q1008" s="433"/>
      <c r="R1008" s="433"/>
      <c r="T1008" s="466"/>
    </row>
    <row r="1009" spans="2:20" ht="15" customHeight="1">
      <c r="B1009" s="433"/>
      <c r="C1009" s="433"/>
      <c r="D1009" s="433"/>
      <c r="E1009" s="433"/>
      <c r="F1009" s="434"/>
      <c r="G1009" s="435"/>
      <c r="J1009" s="434"/>
      <c r="K1009" s="433"/>
      <c r="L1009" s="433"/>
      <c r="M1009" s="433"/>
      <c r="N1009" s="433"/>
      <c r="O1009" s="433"/>
      <c r="P1009" s="433"/>
      <c r="Q1009" s="433"/>
      <c r="R1009" s="433"/>
      <c r="T1009" s="466"/>
    </row>
    <row r="1010" spans="2:20" ht="15" customHeight="1">
      <c r="B1010" s="433"/>
      <c r="C1010" s="433"/>
      <c r="D1010" s="433"/>
      <c r="E1010" s="433"/>
      <c r="F1010" s="434"/>
      <c r="G1010" s="435"/>
      <c r="J1010" s="434"/>
      <c r="K1010" s="433"/>
      <c r="L1010" s="433"/>
      <c r="M1010" s="433"/>
      <c r="N1010" s="433"/>
      <c r="O1010" s="433"/>
      <c r="P1010" s="433"/>
      <c r="Q1010" s="433"/>
      <c r="R1010" s="433"/>
      <c r="T1010" s="466"/>
    </row>
    <row r="1011" spans="2:20" ht="15" customHeight="1">
      <c r="B1011" s="433"/>
      <c r="C1011" s="433"/>
      <c r="D1011" s="433"/>
      <c r="E1011" s="433"/>
      <c r="F1011" s="434"/>
      <c r="G1011" s="435"/>
      <c r="J1011" s="434"/>
      <c r="K1011" s="433"/>
      <c r="L1011" s="433"/>
      <c r="M1011" s="433"/>
      <c r="N1011" s="433"/>
      <c r="O1011" s="433"/>
      <c r="P1011" s="433"/>
      <c r="Q1011" s="433"/>
      <c r="R1011" s="433"/>
      <c r="T1011" s="466"/>
    </row>
    <row r="1012" spans="2:20" ht="15" customHeight="1">
      <c r="B1012" s="433"/>
      <c r="C1012" s="433"/>
      <c r="D1012" s="433"/>
      <c r="E1012" s="433"/>
      <c r="F1012" s="434"/>
      <c r="G1012" s="435"/>
      <c r="J1012" s="434"/>
      <c r="K1012" s="433"/>
      <c r="L1012" s="433"/>
      <c r="M1012" s="433"/>
      <c r="N1012" s="433"/>
      <c r="O1012" s="433"/>
      <c r="P1012" s="433"/>
      <c r="Q1012" s="433"/>
      <c r="R1012" s="433"/>
      <c r="T1012" s="466"/>
    </row>
    <row r="1013" spans="2:20" ht="15" customHeight="1">
      <c r="B1013" s="433"/>
      <c r="C1013" s="433"/>
      <c r="D1013" s="433"/>
      <c r="E1013" s="433"/>
      <c r="F1013" s="434"/>
      <c r="G1013" s="435"/>
      <c r="J1013" s="434"/>
      <c r="K1013" s="433"/>
      <c r="L1013" s="433"/>
      <c r="M1013" s="433"/>
      <c r="N1013" s="433"/>
      <c r="O1013" s="433"/>
      <c r="P1013" s="433"/>
      <c r="Q1013" s="433"/>
      <c r="R1013" s="433"/>
      <c r="T1013" s="466"/>
    </row>
    <row r="1014" spans="2:20" ht="15" customHeight="1">
      <c r="B1014" s="433"/>
      <c r="C1014" s="433"/>
      <c r="D1014" s="433"/>
      <c r="E1014" s="433"/>
      <c r="F1014" s="434"/>
      <c r="G1014" s="435"/>
      <c r="J1014" s="434"/>
      <c r="K1014" s="433"/>
      <c r="L1014" s="433"/>
      <c r="M1014" s="433"/>
      <c r="N1014" s="433"/>
      <c r="O1014" s="433"/>
      <c r="P1014" s="433"/>
      <c r="Q1014" s="433"/>
      <c r="R1014" s="433"/>
      <c r="T1014" s="466"/>
    </row>
    <row r="1015" spans="2:20" ht="15" customHeight="1">
      <c r="B1015" s="433"/>
      <c r="C1015" s="433"/>
      <c r="D1015" s="433"/>
      <c r="E1015" s="433"/>
      <c r="F1015" s="434"/>
      <c r="G1015" s="435"/>
      <c r="J1015" s="434"/>
      <c r="K1015" s="433"/>
      <c r="L1015" s="433"/>
      <c r="M1015" s="433"/>
      <c r="N1015" s="433"/>
      <c r="O1015" s="433"/>
      <c r="P1015" s="433"/>
      <c r="Q1015" s="433"/>
      <c r="R1015" s="433"/>
      <c r="T1015" s="466"/>
    </row>
    <row r="1016" spans="2:20" ht="15" customHeight="1">
      <c r="B1016" s="433"/>
      <c r="C1016" s="433"/>
      <c r="D1016" s="433"/>
      <c r="E1016" s="433"/>
      <c r="F1016" s="434"/>
      <c r="G1016" s="435"/>
      <c r="J1016" s="434"/>
      <c r="K1016" s="433"/>
      <c r="L1016" s="433"/>
      <c r="M1016" s="433"/>
      <c r="N1016" s="433"/>
      <c r="O1016" s="433"/>
      <c r="P1016" s="433"/>
      <c r="Q1016" s="433"/>
      <c r="R1016" s="433"/>
      <c r="T1016" s="466"/>
    </row>
    <row r="1017" spans="2:20" ht="15" customHeight="1">
      <c r="B1017" s="433"/>
      <c r="C1017" s="433"/>
      <c r="D1017" s="433"/>
      <c r="E1017" s="433"/>
      <c r="F1017" s="434"/>
      <c r="G1017" s="435"/>
      <c r="J1017" s="434"/>
      <c r="K1017" s="433"/>
      <c r="L1017" s="433"/>
      <c r="M1017" s="433"/>
      <c r="N1017" s="433"/>
      <c r="O1017" s="433"/>
      <c r="P1017" s="433"/>
      <c r="Q1017" s="433"/>
      <c r="R1017" s="433"/>
      <c r="T1017" s="466"/>
    </row>
    <row r="1018" spans="2:20" ht="15" customHeight="1">
      <c r="B1018" s="433"/>
      <c r="C1018" s="433"/>
      <c r="D1018" s="433"/>
      <c r="E1018" s="433"/>
      <c r="F1018" s="434"/>
      <c r="G1018" s="435"/>
      <c r="J1018" s="434"/>
      <c r="K1018" s="433"/>
      <c r="L1018" s="433"/>
      <c r="M1018" s="433"/>
      <c r="N1018" s="433"/>
      <c r="O1018" s="433"/>
      <c r="P1018" s="433"/>
      <c r="Q1018" s="433"/>
      <c r="R1018" s="433"/>
      <c r="T1018" s="466"/>
    </row>
    <row r="1019" spans="2:20" ht="15" customHeight="1">
      <c r="B1019" s="433"/>
      <c r="C1019" s="433"/>
      <c r="D1019" s="433"/>
      <c r="E1019" s="433"/>
      <c r="F1019" s="434"/>
      <c r="G1019" s="435"/>
      <c r="J1019" s="434"/>
      <c r="K1019" s="433"/>
      <c r="L1019" s="433"/>
      <c r="M1019" s="433"/>
      <c r="N1019" s="433"/>
      <c r="O1019" s="433"/>
      <c r="P1019" s="433"/>
      <c r="Q1019" s="433"/>
      <c r="R1019" s="433"/>
      <c r="T1019" s="466"/>
    </row>
    <row r="1020" spans="2:20" ht="15" customHeight="1">
      <c r="B1020" s="433"/>
      <c r="C1020" s="433"/>
      <c r="D1020" s="433"/>
      <c r="E1020" s="433"/>
      <c r="F1020" s="434"/>
      <c r="G1020" s="435"/>
      <c r="J1020" s="434"/>
      <c r="K1020" s="433"/>
      <c r="L1020" s="433"/>
      <c r="M1020" s="433"/>
      <c r="N1020" s="433"/>
      <c r="O1020" s="433"/>
      <c r="P1020" s="433"/>
      <c r="Q1020" s="433"/>
      <c r="R1020" s="433"/>
      <c r="T1020" s="466"/>
    </row>
    <row r="1021" spans="2:20" ht="15" customHeight="1">
      <c r="B1021" s="433"/>
      <c r="C1021" s="433"/>
      <c r="D1021" s="433"/>
      <c r="E1021" s="433"/>
      <c r="F1021" s="434"/>
      <c r="G1021" s="435"/>
      <c r="J1021" s="434"/>
      <c r="K1021" s="433"/>
      <c r="L1021" s="433"/>
      <c r="M1021" s="433"/>
      <c r="N1021" s="433"/>
      <c r="O1021" s="433"/>
      <c r="P1021" s="433"/>
      <c r="Q1021" s="433"/>
      <c r="R1021" s="433"/>
      <c r="T1021" s="466"/>
    </row>
    <row r="1022" spans="2:20" ht="15" customHeight="1">
      <c r="B1022" s="433"/>
      <c r="C1022" s="433"/>
      <c r="D1022" s="433"/>
      <c r="E1022" s="433"/>
      <c r="F1022" s="434"/>
      <c r="G1022" s="435"/>
      <c r="J1022" s="434"/>
      <c r="K1022" s="433"/>
      <c r="L1022" s="433"/>
      <c r="M1022" s="433"/>
      <c r="N1022" s="433"/>
      <c r="O1022" s="433"/>
      <c r="P1022" s="433"/>
      <c r="Q1022" s="433"/>
      <c r="R1022" s="433"/>
      <c r="T1022" s="466"/>
    </row>
    <row r="1023" spans="2:20" ht="15" customHeight="1">
      <c r="B1023" s="433"/>
      <c r="C1023" s="433"/>
      <c r="D1023" s="433"/>
      <c r="E1023" s="433"/>
      <c r="F1023" s="434"/>
      <c r="G1023" s="435"/>
      <c r="J1023" s="434"/>
      <c r="K1023" s="433"/>
      <c r="L1023" s="433"/>
      <c r="M1023" s="433"/>
      <c r="N1023" s="433"/>
      <c r="O1023" s="433"/>
      <c r="P1023" s="433"/>
      <c r="Q1023" s="433"/>
      <c r="R1023" s="433"/>
      <c r="T1023" s="466"/>
    </row>
    <row r="1024" spans="2:20" ht="15" customHeight="1">
      <c r="B1024" s="433"/>
      <c r="C1024" s="433"/>
      <c r="D1024" s="433"/>
      <c r="E1024" s="433"/>
      <c r="F1024" s="434"/>
      <c r="G1024" s="435"/>
      <c r="J1024" s="434"/>
      <c r="K1024" s="433"/>
      <c r="L1024" s="433"/>
      <c r="M1024" s="433"/>
      <c r="N1024" s="433"/>
      <c r="O1024" s="433"/>
      <c r="P1024" s="433"/>
      <c r="Q1024" s="433"/>
      <c r="R1024" s="433"/>
      <c r="T1024" s="466"/>
    </row>
    <row r="1025" spans="2:20" ht="15" customHeight="1">
      <c r="B1025" s="433"/>
      <c r="C1025" s="433"/>
      <c r="D1025" s="433"/>
      <c r="E1025" s="433"/>
      <c r="F1025" s="434"/>
      <c r="G1025" s="435"/>
      <c r="J1025" s="434"/>
      <c r="K1025" s="433"/>
      <c r="L1025" s="433"/>
      <c r="M1025" s="433"/>
      <c r="N1025" s="433"/>
      <c r="O1025" s="433"/>
      <c r="P1025" s="433"/>
      <c r="Q1025" s="433"/>
      <c r="R1025" s="433"/>
      <c r="T1025" s="466"/>
    </row>
    <row r="1026" spans="2:20" ht="15" customHeight="1">
      <c r="B1026" s="433"/>
      <c r="C1026" s="433"/>
      <c r="D1026" s="433"/>
      <c r="E1026" s="433"/>
      <c r="F1026" s="434"/>
      <c r="G1026" s="435"/>
      <c r="J1026" s="434"/>
      <c r="K1026" s="433"/>
      <c r="L1026" s="433"/>
      <c r="M1026" s="433"/>
      <c r="N1026" s="433"/>
      <c r="O1026" s="433"/>
      <c r="P1026" s="433"/>
      <c r="Q1026" s="433"/>
      <c r="R1026" s="433"/>
      <c r="T1026" s="466"/>
    </row>
    <row r="1027" spans="2:20" ht="15" customHeight="1">
      <c r="B1027" s="433"/>
      <c r="C1027" s="433"/>
      <c r="D1027" s="433"/>
      <c r="E1027" s="433"/>
      <c r="F1027" s="434"/>
      <c r="G1027" s="435"/>
      <c r="J1027" s="434"/>
      <c r="K1027" s="433"/>
      <c r="L1027" s="433"/>
      <c r="M1027" s="433"/>
      <c r="N1027" s="433"/>
      <c r="O1027" s="433"/>
      <c r="P1027" s="433"/>
      <c r="Q1027" s="433"/>
      <c r="R1027" s="433"/>
      <c r="T1027" s="466"/>
    </row>
    <row r="1028" spans="2:20" ht="15" customHeight="1">
      <c r="B1028" s="433"/>
      <c r="C1028" s="433"/>
      <c r="D1028" s="433"/>
      <c r="E1028" s="433"/>
      <c r="F1028" s="434"/>
      <c r="G1028" s="435"/>
      <c r="J1028" s="434"/>
      <c r="K1028" s="433"/>
      <c r="L1028" s="433"/>
      <c r="M1028" s="433"/>
      <c r="N1028" s="433"/>
      <c r="O1028" s="433"/>
      <c r="P1028" s="433"/>
      <c r="Q1028" s="433"/>
      <c r="R1028" s="433"/>
      <c r="T1028" s="466"/>
    </row>
    <row r="1029" spans="2:20" ht="15" customHeight="1">
      <c r="B1029" s="433"/>
      <c r="C1029" s="433"/>
      <c r="D1029" s="433"/>
      <c r="E1029" s="433"/>
      <c r="F1029" s="433"/>
      <c r="G1029" s="435"/>
      <c r="J1029" s="434"/>
      <c r="K1029" s="433"/>
      <c r="L1029" s="433"/>
      <c r="M1029" s="433"/>
      <c r="N1029" s="433"/>
      <c r="O1029" s="433"/>
      <c r="P1029" s="433"/>
      <c r="Q1029" s="433"/>
      <c r="R1029" s="433"/>
    </row>
    <row r="1030" spans="2:20" ht="15" customHeight="1">
      <c r="B1030" s="433"/>
      <c r="C1030" s="433"/>
      <c r="D1030" s="433"/>
      <c r="E1030" s="433"/>
      <c r="F1030" s="444"/>
      <c r="G1030" s="435"/>
      <c r="J1030" s="434"/>
      <c r="K1030" s="433"/>
      <c r="L1030" s="433"/>
      <c r="M1030" s="433"/>
      <c r="N1030" s="433"/>
      <c r="O1030" s="433"/>
      <c r="P1030" s="433"/>
      <c r="Q1030" s="433"/>
      <c r="R1030" s="433"/>
    </row>
    <row r="1031" spans="2:20" ht="15" customHeight="1">
      <c r="B1031" s="433"/>
      <c r="C1031" s="433"/>
      <c r="D1031" s="433"/>
      <c r="E1031" s="433"/>
      <c r="F1031" s="434"/>
      <c r="G1031" s="435"/>
      <c r="J1031" s="434"/>
      <c r="K1031" s="433"/>
      <c r="L1031" s="433"/>
      <c r="M1031" s="433"/>
      <c r="N1031" s="433"/>
      <c r="O1031" s="433"/>
      <c r="P1031" s="433"/>
      <c r="Q1031" s="433"/>
      <c r="R1031" s="433"/>
    </row>
    <row r="1032" spans="2:20" ht="15" customHeight="1">
      <c r="B1032" s="433"/>
      <c r="C1032" s="433"/>
      <c r="D1032" s="433"/>
      <c r="E1032" s="433"/>
      <c r="F1032" s="434"/>
      <c r="G1032" s="435"/>
      <c r="J1032" s="434"/>
      <c r="K1032" s="433"/>
      <c r="L1032" s="433"/>
      <c r="M1032" s="433"/>
      <c r="N1032" s="433"/>
      <c r="O1032" s="433"/>
      <c r="P1032" s="433"/>
      <c r="Q1032" s="433"/>
      <c r="R1032" s="433"/>
    </row>
    <row r="1033" spans="2:20" ht="15" customHeight="1">
      <c r="B1033" s="433"/>
      <c r="C1033" s="433"/>
      <c r="D1033" s="433"/>
      <c r="E1033" s="433"/>
      <c r="F1033" s="434"/>
      <c r="G1033" s="435"/>
      <c r="J1033" s="434"/>
      <c r="K1033" s="433"/>
      <c r="L1033" s="433"/>
      <c r="M1033" s="433"/>
      <c r="N1033" s="433"/>
      <c r="O1033" s="433"/>
      <c r="P1033" s="433"/>
      <c r="Q1033" s="433"/>
      <c r="R1033" s="433"/>
    </row>
    <row r="1034" spans="2:20" ht="15" customHeight="1">
      <c r="B1034" s="433"/>
      <c r="C1034" s="433"/>
      <c r="D1034" s="433"/>
      <c r="E1034" s="433"/>
      <c r="F1034" s="434">
        <f>-SUM(F46+F47+F48)/1000</f>
        <v>1307.3058500000002</v>
      </c>
      <c r="G1034" s="435"/>
      <c r="J1034" s="434"/>
      <c r="K1034" s="433"/>
      <c r="L1034" s="433"/>
      <c r="M1034" s="433"/>
      <c r="N1034" s="433"/>
      <c r="O1034" s="433"/>
      <c r="P1034" s="433"/>
      <c r="Q1034" s="433"/>
      <c r="R1034" s="433"/>
    </row>
    <row r="1035" spans="2:20" ht="15" customHeight="1">
      <c r="B1035" s="433"/>
      <c r="C1035" s="433"/>
      <c r="D1035" s="433"/>
      <c r="E1035" s="433"/>
      <c r="F1035" s="434"/>
      <c r="G1035" s="435"/>
      <c r="J1035" s="434"/>
      <c r="K1035" s="433"/>
      <c r="L1035" s="433"/>
      <c r="M1035" s="433"/>
      <c r="N1035" s="433"/>
      <c r="O1035" s="433"/>
      <c r="P1035" s="433"/>
      <c r="Q1035" s="433"/>
      <c r="R1035" s="433"/>
    </row>
    <row r="1036" spans="2:20" ht="15" customHeight="1">
      <c r="B1036" s="433"/>
      <c r="C1036" s="433"/>
      <c r="D1036" s="433"/>
      <c r="E1036" s="433"/>
      <c r="F1036" s="434"/>
      <c r="G1036" s="435"/>
      <c r="J1036" s="434"/>
      <c r="K1036" s="433"/>
      <c r="L1036" s="433"/>
      <c r="M1036" s="433"/>
      <c r="N1036" s="433"/>
      <c r="O1036" s="433"/>
      <c r="P1036" s="433"/>
      <c r="Q1036" s="433"/>
      <c r="R1036" s="433"/>
    </row>
    <row r="1037" spans="2:20" ht="15" customHeight="1">
      <c r="B1037" s="433"/>
      <c r="C1037" s="433"/>
      <c r="D1037" s="433"/>
      <c r="E1037" s="433"/>
      <c r="F1037" s="434"/>
      <c r="G1037" s="435"/>
      <c r="J1037" s="434"/>
      <c r="K1037" s="433"/>
      <c r="L1037" s="433"/>
      <c r="M1037" s="433"/>
      <c r="N1037" s="433"/>
      <c r="O1037" s="433"/>
      <c r="P1037" s="433"/>
      <c r="Q1037" s="433"/>
      <c r="R1037" s="433"/>
    </row>
    <row r="1038" spans="2:20" ht="15" customHeight="1">
      <c r="B1038" s="433"/>
      <c r="C1038" s="433"/>
      <c r="D1038" s="433"/>
      <c r="E1038" s="433"/>
      <c r="F1038" s="434">
        <v>-8.4700000000000006</v>
      </c>
      <c r="G1038" s="435"/>
      <c r="J1038" s="434"/>
      <c r="K1038" s="433"/>
      <c r="L1038" s="433"/>
      <c r="M1038" s="433"/>
      <c r="N1038" s="433"/>
      <c r="O1038" s="433"/>
      <c r="P1038" s="433"/>
      <c r="Q1038" s="433"/>
      <c r="R1038" s="433"/>
    </row>
    <row r="1039" spans="2:20" ht="15" customHeight="1">
      <c r="B1039" s="433"/>
      <c r="C1039" s="433"/>
      <c r="D1039" s="433"/>
      <c r="E1039" s="433"/>
      <c r="F1039" s="434">
        <v>74.096999999999994</v>
      </c>
      <c r="G1039" s="435"/>
      <c r="J1039" s="434"/>
      <c r="K1039" s="433"/>
      <c r="L1039" s="433"/>
      <c r="M1039" s="433"/>
      <c r="N1039" s="433"/>
      <c r="O1039" s="433"/>
      <c r="P1039" s="433"/>
      <c r="Q1039" s="433"/>
      <c r="R1039" s="433"/>
    </row>
    <row r="1040" spans="2:20" ht="15" customHeight="1">
      <c r="B1040" s="433"/>
      <c r="C1040" s="433"/>
      <c r="D1040" s="433"/>
      <c r="E1040" s="433"/>
      <c r="F1040" s="434"/>
      <c r="G1040" s="435"/>
      <c r="J1040" s="434"/>
      <c r="K1040" s="433"/>
      <c r="L1040" s="433"/>
      <c r="M1040" s="433"/>
      <c r="N1040" s="433"/>
      <c r="O1040" s="433"/>
      <c r="P1040" s="433"/>
      <c r="Q1040" s="433"/>
      <c r="R1040" s="433"/>
    </row>
    <row r="1041" spans="2:18" ht="15" customHeight="1">
      <c r="B1041" s="433"/>
      <c r="C1041" s="433"/>
      <c r="D1041" s="433"/>
      <c r="E1041" s="433"/>
      <c r="F1041" s="434"/>
      <c r="G1041" s="435"/>
      <c r="J1041" s="434"/>
      <c r="K1041" s="433"/>
      <c r="L1041" s="433"/>
      <c r="M1041" s="433"/>
      <c r="N1041" s="433"/>
      <c r="O1041" s="433"/>
      <c r="P1041" s="433"/>
      <c r="Q1041" s="433"/>
      <c r="R1041" s="433"/>
    </row>
    <row r="1042" spans="2:18" ht="15" customHeight="1">
      <c r="B1042" s="433"/>
      <c r="C1042" s="433"/>
      <c r="D1042" s="433"/>
      <c r="E1042" s="433"/>
      <c r="F1042" s="444">
        <f>SUBTOTAL(9,F1034:F1041)</f>
        <v>1372.9328500000001</v>
      </c>
      <c r="G1042" s="435"/>
      <c r="J1042" s="434"/>
      <c r="K1042" s="433"/>
      <c r="L1042" s="433"/>
      <c r="M1042" s="433"/>
      <c r="N1042" s="433"/>
      <c r="O1042" s="433"/>
      <c r="P1042" s="433"/>
      <c r="Q1042" s="433"/>
      <c r="R1042" s="433"/>
    </row>
    <row r="1043" spans="2:18" ht="15" customHeight="1">
      <c r="B1043" s="433"/>
      <c r="C1043" s="433"/>
      <c r="D1043" s="433"/>
      <c r="E1043" s="433"/>
      <c r="F1043" s="434"/>
      <c r="G1043" s="435"/>
      <c r="J1043" s="434"/>
      <c r="K1043" s="433"/>
      <c r="L1043" s="433"/>
      <c r="M1043" s="433"/>
      <c r="N1043" s="433"/>
      <c r="O1043" s="433"/>
      <c r="P1043" s="433"/>
      <c r="Q1043" s="433"/>
      <c r="R1043" s="433"/>
    </row>
    <row r="1044" spans="2:18" ht="15" customHeight="1">
      <c r="B1044" s="433"/>
      <c r="C1044" s="433"/>
      <c r="D1044" s="433"/>
      <c r="E1044" s="433"/>
      <c r="F1044" s="434"/>
      <c r="G1044" s="435"/>
      <c r="J1044" s="434"/>
      <c r="K1044" s="433"/>
      <c r="L1044" s="433"/>
      <c r="M1044" s="433"/>
      <c r="N1044" s="433"/>
      <c r="O1044" s="433"/>
      <c r="P1044" s="433"/>
      <c r="Q1044" s="433"/>
      <c r="R1044" s="433"/>
    </row>
    <row r="1045" spans="2:18" ht="15" customHeight="1">
      <c r="B1045" s="433"/>
      <c r="C1045" s="433"/>
      <c r="D1045" s="433"/>
      <c r="E1045" s="433"/>
      <c r="F1045" s="434"/>
      <c r="G1045" s="435"/>
      <c r="J1045" s="434"/>
      <c r="K1045" s="433"/>
      <c r="L1045" s="433"/>
      <c r="M1045" s="433"/>
      <c r="N1045" s="433"/>
      <c r="O1045" s="433"/>
      <c r="P1045" s="433"/>
      <c r="Q1045" s="433"/>
      <c r="R1045" s="433"/>
    </row>
    <row r="1046" spans="2:18" ht="15" customHeight="1">
      <c r="B1046" s="433"/>
      <c r="C1046" s="433"/>
      <c r="D1046" s="433"/>
      <c r="E1046" s="433"/>
      <c r="F1046" s="434"/>
      <c r="G1046" s="435"/>
      <c r="J1046" s="434"/>
      <c r="K1046" s="433"/>
      <c r="L1046" s="433"/>
      <c r="M1046" s="433"/>
      <c r="N1046" s="433"/>
      <c r="O1046" s="433"/>
      <c r="P1046" s="433"/>
      <c r="Q1046" s="433"/>
      <c r="R1046" s="433"/>
    </row>
    <row r="1047" spans="2:18" ht="15" customHeight="1">
      <c r="B1047" s="433"/>
      <c r="C1047" s="433"/>
      <c r="D1047" s="433"/>
      <c r="E1047" s="433"/>
      <c r="F1047" s="434"/>
      <c r="G1047" s="435"/>
      <c r="J1047" s="434"/>
      <c r="K1047" s="433"/>
      <c r="L1047" s="433"/>
      <c r="M1047" s="433"/>
      <c r="N1047" s="433"/>
      <c r="O1047" s="433"/>
      <c r="P1047" s="433"/>
      <c r="Q1047" s="433"/>
      <c r="R1047" s="433"/>
    </row>
    <row r="1048" spans="2:18" ht="15" customHeight="1">
      <c r="B1048" s="433"/>
      <c r="C1048" s="433"/>
      <c r="D1048" s="433"/>
      <c r="E1048" s="433"/>
      <c r="F1048" s="434"/>
      <c r="G1048" s="435"/>
      <c r="J1048" s="434"/>
      <c r="K1048" s="433"/>
      <c r="L1048" s="433"/>
      <c r="M1048" s="433"/>
      <c r="N1048" s="433"/>
      <c r="O1048" s="433"/>
      <c r="P1048" s="433"/>
      <c r="Q1048" s="433"/>
      <c r="R1048" s="433"/>
    </row>
    <row r="1049" spans="2:18" ht="15" customHeight="1">
      <c r="B1049" s="433"/>
      <c r="C1049" s="433"/>
      <c r="D1049" s="433"/>
      <c r="E1049" s="433"/>
      <c r="F1049" s="434"/>
      <c r="G1049" s="435"/>
      <c r="J1049" s="434"/>
      <c r="K1049" s="433"/>
      <c r="L1049" s="433"/>
      <c r="M1049" s="433"/>
      <c r="N1049" s="433"/>
      <c r="O1049" s="433"/>
      <c r="P1049" s="433"/>
      <c r="Q1049" s="433"/>
      <c r="R1049" s="433"/>
    </row>
    <row r="1050" spans="2:18" ht="15" customHeight="1">
      <c r="B1050" s="433"/>
      <c r="C1050" s="433"/>
      <c r="D1050" s="433"/>
      <c r="E1050" s="433"/>
      <c r="F1050" s="434"/>
      <c r="G1050" s="435"/>
      <c r="J1050" s="434"/>
      <c r="K1050" s="433"/>
      <c r="L1050" s="433"/>
      <c r="M1050" s="433"/>
      <c r="N1050" s="433"/>
      <c r="O1050" s="433"/>
      <c r="P1050" s="433"/>
      <c r="Q1050" s="433"/>
      <c r="R1050" s="433"/>
    </row>
    <row r="1051" spans="2:18" ht="15" customHeight="1">
      <c r="B1051" s="433"/>
      <c r="C1051" s="433"/>
      <c r="D1051" s="433"/>
      <c r="E1051" s="433"/>
      <c r="F1051" s="434"/>
      <c r="G1051" s="435"/>
      <c r="J1051" s="434"/>
      <c r="K1051" s="433"/>
      <c r="L1051" s="433"/>
      <c r="M1051" s="433"/>
      <c r="N1051" s="433"/>
      <c r="O1051" s="433"/>
      <c r="P1051" s="433"/>
      <c r="Q1051" s="433"/>
      <c r="R1051" s="433"/>
    </row>
    <row r="1052" spans="2:18" ht="15" customHeight="1">
      <c r="B1052" s="433"/>
      <c r="C1052" s="433"/>
      <c r="D1052" s="433"/>
      <c r="E1052" s="433"/>
      <c r="F1052" s="434"/>
      <c r="G1052" s="435"/>
      <c r="J1052" s="434"/>
      <c r="K1052" s="433"/>
      <c r="L1052" s="433"/>
      <c r="M1052" s="433"/>
      <c r="N1052" s="433"/>
      <c r="O1052" s="433"/>
      <c r="P1052" s="433"/>
      <c r="Q1052" s="433"/>
      <c r="R1052" s="433"/>
    </row>
    <row r="1053" spans="2:18" ht="15" customHeight="1">
      <c r="B1053" s="433"/>
      <c r="C1053" s="433"/>
      <c r="D1053" s="433"/>
      <c r="E1053" s="433"/>
      <c r="F1053" s="434"/>
      <c r="G1053" s="435"/>
      <c r="J1053" s="434"/>
      <c r="K1053" s="433"/>
      <c r="L1053" s="433"/>
      <c r="M1053" s="433"/>
      <c r="N1053" s="433"/>
      <c r="O1053" s="433"/>
      <c r="P1053" s="433"/>
      <c r="Q1053" s="433"/>
      <c r="R1053" s="433"/>
    </row>
    <row r="1054" spans="2:18" ht="15" customHeight="1">
      <c r="B1054" s="433"/>
      <c r="C1054" s="433"/>
      <c r="D1054" s="433"/>
      <c r="E1054" s="433"/>
      <c r="F1054" s="434"/>
      <c r="G1054" s="435"/>
      <c r="J1054" s="434"/>
      <c r="K1054" s="433"/>
      <c r="L1054" s="433"/>
      <c r="M1054" s="433"/>
      <c r="N1054" s="433"/>
      <c r="O1054" s="433"/>
      <c r="P1054" s="433"/>
      <c r="Q1054" s="433"/>
      <c r="R1054" s="433"/>
    </row>
    <row r="1055" spans="2:18" ht="15" customHeight="1">
      <c r="B1055" s="433"/>
      <c r="C1055" s="433"/>
      <c r="D1055" s="433"/>
      <c r="E1055" s="433"/>
      <c r="F1055" s="434"/>
      <c r="G1055" s="435"/>
      <c r="J1055" s="434"/>
      <c r="K1055" s="433"/>
      <c r="L1055" s="433"/>
      <c r="M1055" s="433"/>
      <c r="N1055" s="433"/>
      <c r="O1055" s="433"/>
      <c r="P1055" s="433"/>
      <c r="Q1055" s="433"/>
      <c r="R1055" s="433"/>
    </row>
    <row r="1056" spans="2:18" ht="15" customHeight="1">
      <c r="B1056" s="433"/>
      <c r="C1056" s="433"/>
      <c r="D1056" s="433"/>
      <c r="E1056" s="433"/>
      <c r="F1056" s="434"/>
      <c r="G1056" s="435"/>
      <c r="J1056" s="434"/>
      <c r="K1056" s="433"/>
      <c r="L1056" s="433"/>
      <c r="M1056" s="433"/>
      <c r="N1056" s="433"/>
      <c r="O1056" s="433"/>
      <c r="P1056" s="433"/>
      <c r="Q1056" s="433"/>
      <c r="R1056" s="433"/>
    </row>
    <row r="1057" spans="2:18" ht="15" customHeight="1">
      <c r="B1057" s="433"/>
      <c r="C1057" s="433"/>
      <c r="D1057" s="433"/>
      <c r="E1057" s="433"/>
      <c r="F1057" s="434"/>
      <c r="G1057" s="435"/>
      <c r="J1057" s="434"/>
      <c r="K1057" s="433"/>
      <c r="L1057" s="433"/>
      <c r="M1057" s="433"/>
      <c r="N1057" s="433"/>
      <c r="O1057" s="433"/>
      <c r="P1057" s="433"/>
      <c r="Q1057" s="433"/>
      <c r="R1057" s="433"/>
    </row>
    <row r="1058" spans="2:18" ht="15" customHeight="1">
      <c r="B1058" s="433"/>
      <c r="C1058" s="433"/>
      <c r="D1058" s="433"/>
      <c r="E1058" s="433"/>
      <c r="F1058" s="434"/>
      <c r="G1058" s="435"/>
      <c r="J1058" s="434"/>
      <c r="K1058" s="433"/>
      <c r="L1058" s="433"/>
      <c r="M1058" s="433"/>
      <c r="N1058" s="433"/>
      <c r="O1058" s="433"/>
      <c r="P1058" s="433"/>
      <c r="Q1058" s="433"/>
      <c r="R1058" s="433"/>
    </row>
    <row r="1059" spans="2:18" ht="15" customHeight="1">
      <c r="B1059" s="433"/>
      <c r="C1059" s="433"/>
      <c r="D1059" s="433"/>
      <c r="E1059" s="433"/>
      <c r="F1059" s="434"/>
      <c r="G1059" s="435"/>
      <c r="J1059" s="434"/>
      <c r="K1059" s="433"/>
      <c r="L1059" s="433"/>
      <c r="M1059" s="433"/>
      <c r="N1059" s="433"/>
      <c r="O1059" s="433"/>
      <c r="P1059" s="433"/>
      <c r="Q1059" s="433"/>
      <c r="R1059" s="433"/>
    </row>
    <row r="1060" spans="2:18" ht="15" customHeight="1">
      <c r="B1060" s="433"/>
      <c r="C1060" s="433"/>
      <c r="D1060" s="433"/>
      <c r="E1060" s="433"/>
      <c r="F1060" s="434"/>
      <c r="G1060" s="435"/>
      <c r="J1060" s="434"/>
      <c r="K1060" s="433"/>
      <c r="L1060" s="433"/>
      <c r="M1060" s="433"/>
      <c r="N1060" s="433"/>
      <c r="O1060" s="433"/>
      <c r="P1060" s="433"/>
      <c r="Q1060" s="433"/>
      <c r="R1060" s="433"/>
    </row>
    <row r="1061" spans="2:18" ht="15" customHeight="1">
      <c r="B1061" s="433"/>
      <c r="C1061" s="433"/>
      <c r="D1061" s="433"/>
      <c r="E1061" s="433"/>
      <c r="F1061" s="434"/>
      <c r="G1061" s="435"/>
      <c r="J1061" s="434"/>
      <c r="K1061" s="433"/>
      <c r="L1061" s="433"/>
      <c r="M1061" s="433"/>
      <c r="N1061" s="433"/>
      <c r="O1061" s="433"/>
      <c r="P1061" s="433"/>
      <c r="Q1061" s="433"/>
      <c r="R1061" s="433"/>
    </row>
    <row r="1062" spans="2:18" ht="15" customHeight="1">
      <c r="B1062" s="433"/>
      <c r="C1062" s="433"/>
      <c r="D1062" s="433"/>
      <c r="E1062" s="433"/>
      <c r="F1062" s="434"/>
      <c r="G1062" s="435"/>
      <c r="J1062" s="434"/>
      <c r="K1062" s="433"/>
      <c r="L1062" s="433"/>
      <c r="M1062" s="433"/>
      <c r="N1062" s="433"/>
      <c r="O1062" s="433"/>
      <c r="P1062" s="433"/>
      <c r="Q1062" s="433"/>
      <c r="R1062" s="433"/>
    </row>
    <row r="1063" spans="2:18" ht="15" customHeight="1">
      <c r="B1063" s="433"/>
      <c r="C1063" s="433"/>
      <c r="D1063" s="433"/>
      <c r="E1063" s="433"/>
      <c r="F1063" s="434"/>
      <c r="G1063" s="435"/>
      <c r="J1063" s="434"/>
      <c r="K1063" s="433"/>
      <c r="L1063" s="433"/>
      <c r="M1063" s="433"/>
      <c r="N1063" s="433"/>
      <c r="O1063" s="433"/>
      <c r="P1063" s="433"/>
      <c r="Q1063" s="433"/>
      <c r="R1063" s="433"/>
    </row>
    <row r="1064" spans="2:18" ht="15" customHeight="1">
      <c r="B1064" s="433"/>
      <c r="C1064" s="433"/>
      <c r="D1064" s="433"/>
      <c r="E1064" s="433"/>
      <c r="F1064" s="434"/>
      <c r="G1064" s="435"/>
      <c r="J1064" s="434"/>
      <c r="K1064" s="433"/>
      <c r="L1064" s="433"/>
      <c r="M1064" s="433"/>
      <c r="N1064" s="433"/>
      <c r="O1064" s="433"/>
      <c r="P1064" s="433"/>
      <c r="Q1064" s="433"/>
      <c r="R1064" s="433"/>
    </row>
    <row r="1065" spans="2:18" ht="15" customHeight="1">
      <c r="B1065" s="433"/>
      <c r="C1065" s="433"/>
      <c r="D1065" s="433"/>
      <c r="E1065" s="433"/>
      <c r="F1065" s="434"/>
      <c r="G1065" s="435"/>
      <c r="J1065" s="434"/>
      <c r="K1065" s="433"/>
      <c r="L1065" s="433"/>
      <c r="M1065" s="433"/>
      <c r="N1065" s="433"/>
      <c r="O1065" s="433"/>
      <c r="P1065" s="433"/>
      <c r="Q1065" s="433"/>
    </row>
    <row r="1066" spans="2:18" ht="15" customHeight="1">
      <c r="B1066" s="433"/>
      <c r="C1066" s="433"/>
      <c r="D1066" s="433"/>
      <c r="E1066" s="433"/>
      <c r="F1066" s="434"/>
      <c r="G1066" s="435"/>
      <c r="J1066" s="434"/>
      <c r="K1066" s="433"/>
      <c r="L1066" s="433"/>
      <c r="M1066" s="433"/>
      <c r="N1066" s="433"/>
      <c r="O1066" s="433"/>
      <c r="P1066" s="433"/>
      <c r="Q1066" s="433"/>
    </row>
    <row r="1067" spans="2:18" ht="15" customHeight="1">
      <c r="B1067" s="433"/>
      <c r="C1067" s="433"/>
      <c r="D1067" s="433"/>
      <c r="E1067" s="433"/>
      <c r="F1067" s="434"/>
      <c r="G1067" s="435"/>
      <c r="J1067" s="434"/>
      <c r="K1067" s="433"/>
      <c r="L1067" s="433"/>
      <c r="M1067" s="433"/>
      <c r="N1067" s="433"/>
      <c r="O1067" s="433"/>
      <c r="P1067" s="433"/>
      <c r="Q1067" s="433"/>
    </row>
    <row r="1068" spans="2:18" ht="15" customHeight="1">
      <c r="B1068" s="433"/>
      <c r="C1068" s="433"/>
      <c r="D1068" s="433"/>
      <c r="E1068" s="433"/>
      <c r="F1068" s="434"/>
      <c r="G1068" s="435"/>
      <c r="J1068" s="434"/>
      <c r="K1068" s="433"/>
      <c r="L1068" s="433"/>
      <c r="M1068" s="433"/>
      <c r="N1068" s="433"/>
      <c r="O1068" s="433"/>
      <c r="P1068" s="433"/>
      <c r="Q1068" s="433"/>
    </row>
    <row r="1069" spans="2:18" ht="15" customHeight="1">
      <c r="B1069" s="433"/>
      <c r="C1069" s="433"/>
      <c r="D1069" s="433"/>
      <c r="E1069" s="433"/>
      <c r="F1069" s="434"/>
      <c r="G1069" s="435"/>
      <c r="J1069" s="434"/>
      <c r="K1069" s="433"/>
      <c r="L1069" s="433"/>
      <c r="M1069" s="433"/>
      <c r="N1069" s="433"/>
      <c r="O1069" s="433"/>
      <c r="P1069" s="433"/>
      <c r="Q1069" s="433"/>
    </row>
    <row r="1070" spans="2:18" ht="15" customHeight="1">
      <c r="B1070" s="433"/>
      <c r="C1070" s="433"/>
      <c r="D1070" s="433"/>
      <c r="E1070" s="433"/>
      <c r="F1070" s="434"/>
      <c r="G1070" s="435"/>
      <c r="J1070" s="434"/>
      <c r="K1070" s="433"/>
      <c r="L1070" s="433"/>
      <c r="M1070" s="433"/>
      <c r="N1070" s="433"/>
      <c r="O1070" s="433"/>
      <c r="P1070" s="433"/>
      <c r="Q1070" s="433"/>
    </row>
    <row r="1071" spans="2:18" ht="15" customHeight="1">
      <c r="B1071" s="433"/>
      <c r="C1071" s="433"/>
      <c r="D1071" s="433"/>
      <c r="E1071" s="433"/>
      <c r="F1071" s="434"/>
      <c r="G1071" s="435"/>
      <c r="J1071" s="434"/>
      <c r="K1071" s="433"/>
      <c r="L1071" s="433"/>
      <c r="M1071" s="433"/>
      <c r="N1071" s="433"/>
      <c r="O1071" s="433"/>
      <c r="P1071" s="433"/>
      <c r="Q1071" s="433"/>
    </row>
    <row r="1072" spans="2:18" ht="15" customHeight="1">
      <c r="B1072" s="433"/>
      <c r="C1072" s="433"/>
      <c r="D1072" s="433"/>
      <c r="E1072" s="433"/>
      <c r="F1072" s="434"/>
      <c r="G1072" s="435"/>
      <c r="J1072" s="434"/>
      <c r="K1072" s="433"/>
      <c r="L1072" s="433"/>
      <c r="M1072" s="433"/>
      <c r="N1072" s="433"/>
      <c r="O1072" s="433"/>
      <c r="P1072" s="433"/>
      <c r="Q1072" s="433"/>
    </row>
    <row r="1073" spans="2:17" ht="15" customHeight="1">
      <c r="B1073" s="433"/>
      <c r="C1073" s="433"/>
      <c r="D1073" s="433"/>
      <c r="E1073" s="433"/>
      <c r="F1073" s="434"/>
      <c r="G1073" s="435"/>
      <c r="J1073" s="434"/>
      <c r="K1073" s="433"/>
      <c r="L1073" s="433"/>
      <c r="M1073" s="433"/>
      <c r="N1073" s="433"/>
      <c r="O1073" s="433"/>
      <c r="P1073" s="433"/>
      <c r="Q1073" s="433"/>
    </row>
    <row r="1074" spans="2:17" ht="15" customHeight="1">
      <c r="B1074" s="433"/>
      <c r="C1074" s="433"/>
      <c r="D1074" s="433"/>
      <c r="E1074" s="433"/>
      <c r="F1074" s="434"/>
      <c r="G1074" s="435"/>
      <c r="J1074" s="434"/>
      <c r="K1074" s="433"/>
      <c r="L1074" s="433"/>
      <c r="M1074" s="433"/>
      <c r="N1074" s="433"/>
      <c r="O1074" s="433"/>
      <c r="P1074" s="433"/>
      <c r="Q1074" s="433"/>
    </row>
    <row r="1075" spans="2:17" ht="15" customHeight="1">
      <c r="B1075" s="433"/>
      <c r="C1075" s="433"/>
      <c r="D1075" s="433"/>
      <c r="E1075" s="433"/>
      <c r="F1075" s="434"/>
      <c r="G1075" s="435"/>
      <c r="J1075" s="434"/>
      <c r="K1075" s="433"/>
      <c r="L1075" s="433"/>
      <c r="M1075" s="433"/>
      <c r="N1075" s="433"/>
      <c r="O1075" s="433"/>
      <c r="P1075" s="433"/>
      <c r="Q1075" s="433"/>
    </row>
    <row r="1076" spans="2:17" ht="15" customHeight="1">
      <c r="B1076" s="433"/>
      <c r="C1076" s="433"/>
      <c r="D1076" s="433"/>
      <c r="E1076" s="433"/>
      <c r="F1076" s="434"/>
      <c r="G1076" s="435"/>
      <c r="J1076" s="434"/>
      <c r="K1076" s="433"/>
      <c r="L1076" s="433"/>
      <c r="M1076" s="433"/>
      <c r="N1076" s="433"/>
      <c r="O1076" s="433"/>
      <c r="P1076" s="433"/>
      <c r="Q1076" s="433"/>
    </row>
    <row r="1077" spans="2:17" ht="15" customHeight="1">
      <c r="B1077" s="433"/>
      <c r="C1077" s="433"/>
      <c r="D1077" s="433"/>
      <c r="E1077" s="433"/>
      <c r="F1077" s="434"/>
      <c r="G1077" s="435"/>
      <c r="J1077" s="434"/>
      <c r="K1077" s="433"/>
      <c r="L1077" s="433"/>
      <c r="M1077" s="433"/>
      <c r="N1077" s="433"/>
      <c r="O1077" s="433"/>
      <c r="P1077" s="433"/>
      <c r="Q1077" s="433"/>
    </row>
    <row r="1078" spans="2:17" ht="15" customHeight="1">
      <c r="B1078" s="433"/>
      <c r="C1078" s="433"/>
      <c r="D1078" s="433"/>
      <c r="E1078" s="433"/>
      <c r="F1078" s="434"/>
      <c r="G1078" s="435"/>
      <c r="J1078" s="434"/>
      <c r="K1078" s="433"/>
      <c r="L1078" s="433"/>
      <c r="M1078" s="433"/>
      <c r="N1078" s="433"/>
      <c r="O1078" s="433"/>
      <c r="P1078" s="433"/>
      <c r="Q1078" s="433"/>
    </row>
    <row r="1079" spans="2:17" ht="15" customHeight="1">
      <c r="B1079" s="433"/>
      <c r="C1079" s="433"/>
      <c r="D1079" s="433"/>
      <c r="E1079" s="433"/>
      <c r="F1079" s="434"/>
      <c r="G1079" s="435"/>
      <c r="J1079" s="434"/>
      <c r="K1079" s="433"/>
      <c r="L1079" s="433"/>
      <c r="M1079" s="433"/>
      <c r="N1079" s="433"/>
      <c r="O1079" s="433"/>
      <c r="P1079" s="433"/>
      <c r="Q1079" s="433"/>
    </row>
    <row r="1080" spans="2:17" ht="15" customHeight="1">
      <c r="B1080" s="433"/>
      <c r="C1080" s="433"/>
      <c r="D1080" s="433"/>
      <c r="E1080" s="433"/>
      <c r="F1080" s="434"/>
      <c r="G1080" s="435"/>
      <c r="J1080" s="434"/>
      <c r="K1080" s="433"/>
      <c r="L1080" s="433"/>
      <c r="M1080" s="433"/>
      <c r="N1080" s="433"/>
      <c r="O1080" s="433"/>
      <c r="P1080" s="433"/>
      <c r="Q1080" s="433"/>
    </row>
    <row r="1081" spans="2:17" ht="15" customHeight="1">
      <c r="B1081" s="433"/>
      <c r="C1081" s="433"/>
      <c r="D1081" s="433"/>
      <c r="E1081" s="433"/>
      <c r="F1081" s="434"/>
      <c r="G1081" s="435"/>
      <c r="J1081" s="434"/>
      <c r="K1081" s="433"/>
      <c r="L1081" s="433"/>
      <c r="M1081" s="433"/>
      <c r="N1081" s="433"/>
      <c r="O1081" s="433"/>
      <c r="P1081" s="433"/>
      <c r="Q1081" s="433"/>
    </row>
    <row r="1082" spans="2:17" ht="15" customHeight="1">
      <c r="B1082" s="433"/>
      <c r="C1082" s="433"/>
      <c r="D1082" s="433"/>
      <c r="E1082" s="433"/>
      <c r="F1082" s="434"/>
      <c r="G1082" s="435"/>
      <c r="J1082" s="434"/>
      <c r="K1082" s="433"/>
      <c r="L1082" s="433"/>
      <c r="M1082" s="433"/>
      <c r="N1082" s="433"/>
      <c r="O1082" s="433"/>
      <c r="P1082" s="433"/>
      <c r="Q1082" s="433"/>
    </row>
    <row r="1083" spans="2:17" ht="15" customHeight="1">
      <c r="B1083" s="433"/>
      <c r="C1083" s="433"/>
      <c r="D1083" s="433"/>
      <c r="E1083" s="433"/>
      <c r="F1083" s="434"/>
      <c r="G1083" s="435"/>
      <c r="J1083" s="434"/>
      <c r="K1083" s="433"/>
      <c r="L1083" s="433"/>
      <c r="M1083" s="433"/>
      <c r="N1083" s="433"/>
      <c r="O1083" s="433"/>
      <c r="P1083" s="433"/>
      <c r="Q1083" s="433"/>
    </row>
    <row r="1084" spans="2:17" ht="15" customHeight="1">
      <c r="B1084" s="433"/>
      <c r="C1084" s="433"/>
      <c r="D1084" s="433"/>
      <c r="E1084" s="433"/>
      <c r="F1084" s="434"/>
      <c r="G1084" s="435"/>
      <c r="J1084" s="434"/>
      <c r="K1084" s="433"/>
      <c r="L1084" s="433"/>
      <c r="M1084" s="433"/>
      <c r="N1084" s="433"/>
      <c r="O1084" s="433"/>
      <c r="P1084" s="433"/>
      <c r="Q1084" s="433"/>
    </row>
    <row r="1085" spans="2:17" ht="15" customHeight="1">
      <c r="B1085" s="433"/>
      <c r="C1085" s="433"/>
      <c r="D1085" s="433"/>
      <c r="E1085" s="433"/>
      <c r="F1085" s="434"/>
      <c r="G1085" s="435"/>
      <c r="J1085" s="434"/>
      <c r="K1085" s="433"/>
      <c r="L1085" s="433"/>
      <c r="M1085" s="433"/>
      <c r="N1085" s="433"/>
      <c r="O1085" s="433"/>
      <c r="P1085" s="433"/>
      <c r="Q1085" s="433"/>
    </row>
    <row r="1086" spans="2:17" ht="15" customHeight="1">
      <c r="B1086" s="433"/>
      <c r="C1086" s="433"/>
      <c r="D1086" s="433"/>
      <c r="E1086" s="433"/>
      <c r="F1086" s="434"/>
      <c r="G1086" s="435"/>
      <c r="J1086" s="434"/>
      <c r="K1086" s="433"/>
      <c r="L1086" s="433"/>
      <c r="M1086" s="433"/>
      <c r="N1086" s="433"/>
      <c r="O1086" s="433"/>
      <c r="P1086" s="433"/>
      <c r="Q1086" s="433"/>
    </row>
    <row r="1087" spans="2:17" ht="15" customHeight="1">
      <c r="B1087" s="433"/>
      <c r="C1087" s="433"/>
      <c r="D1087" s="433"/>
      <c r="E1087" s="433"/>
      <c r="F1087" s="434"/>
      <c r="G1087" s="435"/>
      <c r="J1087" s="434"/>
      <c r="K1087" s="433"/>
      <c r="L1087" s="433"/>
      <c r="M1087" s="433"/>
      <c r="N1087" s="433"/>
      <c r="O1087" s="433"/>
      <c r="P1087" s="433"/>
      <c r="Q1087" s="433"/>
    </row>
    <row r="1088" spans="2:17" ht="15" customHeight="1">
      <c r="B1088" s="433"/>
      <c r="C1088" s="433"/>
      <c r="D1088" s="433"/>
      <c r="E1088" s="433"/>
      <c r="F1088" s="434"/>
      <c r="G1088" s="435"/>
      <c r="J1088" s="434"/>
      <c r="K1088" s="433"/>
      <c r="L1088" s="433"/>
      <c r="M1088" s="433"/>
      <c r="N1088" s="433"/>
      <c r="O1088" s="433"/>
      <c r="P1088" s="433"/>
      <c r="Q1088" s="433"/>
    </row>
    <row r="1089" spans="2:17" ht="15" customHeight="1">
      <c r="B1089" s="433"/>
      <c r="C1089" s="433"/>
      <c r="D1089" s="433"/>
      <c r="E1089" s="433"/>
      <c r="F1089" s="434"/>
      <c r="G1089" s="435"/>
      <c r="J1089" s="434"/>
      <c r="K1089" s="433"/>
      <c r="L1089" s="433"/>
      <c r="M1089" s="433"/>
      <c r="N1089" s="433"/>
      <c r="O1089" s="433"/>
      <c r="P1089" s="433"/>
      <c r="Q1089" s="433"/>
    </row>
    <row r="1090" spans="2:17" ht="15" customHeight="1">
      <c r="B1090" s="433"/>
      <c r="C1090" s="433"/>
      <c r="D1090" s="433"/>
      <c r="E1090" s="433"/>
      <c r="F1090" s="434"/>
      <c r="G1090" s="435"/>
      <c r="J1090" s="434"/>
      <c r="K1090" s="433"/>
      <c r="L1090" s="433"/>
      <c r="M1090" s="433"/>
      <c r="N1090" s="433"/>
      <c r="O1090" s="433"/>
      <c r="P1090" s="433"/>
      <c r="Q1090" s="433"/>
    </row>
    <row r="1091" spans="2:17" ht="15" customHeight="1">
      <c r="B1091" s="433"/>
      <c r="C1091" s="433"/>
      <c r="D1091" s="433"/>
      <c r="E1091" s="433"/>
      <c r="F1091" s="434"/>
      <c r="G1091" s="435"/>
      <c r="J1091" s="434"/>
      <c r="K1091" s="433"/>
      <c r="L1091" s="433"/>
      <c r="M1091" s="433"/>
      <c r="N1091" s="433"/>
      <c r="O1091" s="433"/>
      <c r="P1091" s="433"/>
      <c r="Q1091" s="433"/>
    </row>
    <row r="1092" spans="2:17" ht="15" customHeight="1">
      <c r="B1092" s="433"/>
      <c r="C1092" s="433"/>
      <c r="D1092" s="433"/>
      <c r="E1092" s="433"/>
      <c r="F1092" s="434"/>
      <c r="G1092" s="435"/>
      <c r="J1092" s="434"/>
      <c r="K1092" s="433"/>
      <c r="L1092" s="433"/>
      <c r="M1092" s="433"/>
      <c r="N1092" s="433"/>
      <c r="O1092" s="433"/>
      <c r="P1092" s="433"/>
      <c r="Q1092" s="433"/>
    </row>
    <row r="1093" spans="2:17" ht="15" customHeight="1">
      <c r="B1093" s="433"/>
      <c r="C1093" s="433"/>
      <c r="D1093" s="433"/>
      <c r="E1093" s="433"/>
      <c r="F1093" s="434"/>
      <c r="G1093" s="435"/>
      <c r="J1093" s="434"/>
      <c r="K1093" s="433"/>
      <c r="L1093" s="433"/>
      <c r="M1093" s="433"/>
      <c r="N1093" s="433"/>
      <c r="O1093" s="433"/>
      <c r="P1093" s="433"/>
      <c r="Q1093" s="433"/>
    </row>
    <row r="1094" spans="2:17" ht="15" customHeight="1">
      <c r="B1094" s="433"/>
      <c r="C1094" s="433"/>
      <c r="D1094" s="433"/>
      <c r="E1094" s="433"/>
      <c r="F1094" s="434"/>
      <c r="G1094" s="435"/>
      <c r="J1094" s="434"/>
      <c r="K1094" s="433"/>
      <c r="L1094" s="433"/>
      <c r="M1094" s="433"/>
      <c r="N1094" s="433"/>
      <c r="O1094" s="433"/>
      <c r="P1094" s="433"/>
      <c r="Q1094" s="433"/>
    </row>
    <row r="1095" spans="2:17" ht="15" customHeight="1">
      <c r="B1095" s="433"/>
      <c r="C1095" s="433"/>
      <c r="D1095" s="433"/>
      <c r="E1095" s="433"/>
      <c r="F1095" s="434"/>
      <c r="G1095" s="435"/>
      <c r="J1095" s="434"/>
      <c r="K1095" s="433"/>
      <c r="L1095" s="433"/>
      <c r="M1095" s="433"/>
      <c r="N1095" s="433"/>
      <c r="O1095" s="433"/>
      <c r="P1095" s="433"/>
      <c r="Q1095" s="433"/>
    </row>
    <row r="1096" spans="2:17" ht="15" customHeight="1">
      <c r="B1096" s="433"/>
      <c r="C1096" s="433"/>
      <c r="D1096" s="433"/>
      <c r="E1096" s="433"/>
      <c r="F1096" s="434"/>
      <c r="G1096" s="435"/>
      <c r="J1096" s="434"/>
      <c r="K1096" s="433"/>
      <c r="L1096" s="433"/>
      <c r="M1096" s="433"/>
      <c r="N1096" s="433"/>
      <c r="O1096" s="433"/>
      <c r="P1096" s="433"/>
      <c r="Q1096" s="433"/>
    </row>
    <row r="1097" spans="2:17" ht="15" customHeight="1">
      <c r="B1097" s="433"/>
      <c r="C1097" s="433"/>
      <c r="D1097" s="433"/>
      <c r="E1097" s="433"/>
      <c r="F1097" s="434"/>
      <c r="G1097" s="435"/>
      <c r="J1097" s="434"/>
      <c r="K1097" s="433"/>
      <c r="L1097" s="433"/>
      <c r="M1097" s="433"/>
      <c r="N1097" s="433"/>
      <c r="O1097" s="433"/>
      <c r="P1097" s="433"/>
      <c r="Q1097" s="433"/>
    </row>
    <row r="1098" spans="2:17" ht="15" customHeight="1">
      <c r="B1098" s="433"/>
      <c r="C1098" s="433"/>
      <c r="D1098" s="433"/>
      <c r="E1098" s="433"/>
      <c r="F1098" s="434"/>
      <c r="G1098" s="435"/>
      <c r="J1098" s="434"/>
      <c r="K1098" s="433"/>
      <c r="L1098" s="433"/>
      <c r="M1098" s="433"/>
      <c r="N1098" s="433"/>
      <c r="O1098" s="433"/>
      <c r="P1098" s="433"/>
      <c r="Q1098" s="433"/>
    </row>
    <row r="1099" spans="2:17" ht="15" customHeight="1">
      <c r="B1099" s="433"/>
      <c r="C1099" s="433"/>
      <c r="D1099" s="433"/>
      <c r="E1099" s="433"/>
      <c r="F1099" s="434"/>
      <c r="G1099" s="435"/>
      <c r="J1099" s="434"/>
      <c r="K1099" s="433"/>
      <c r="L1099" s="433"/>
      <c r="M1099" s="433"/>
      <c r="N1099" s="433"/>
      <c r="O1099" s="433"/>
      <c r="P1099" s="433"/>
      <c r="Q1099" s="433"/>
    </row>
    <row r="1100" spans="2:17" ht="15" customHeight="1">
      <c r="B1100" s="433"/>
      <c r="C1100" s="433"/>
      <c r="D1100" s="433"/>
      <c r="E1100" s="433"/>
      <c r="F1100" s="434"/>
      <c r="G1100" s="435"/>
      <c r="J1100" s="434"/>
      <c r="K1100" s="433"/>
      <c r="L1100" s="433"/>
      <c r="M1100" s="433"/>
      <c r="N1100" s="433"/>
      <c r="O1100" s="433"/>
      <c r="P1100" s="433"/>
      <c r="Q1100" s="433"/>
    </row>
    <row r="1101" spans="2:17" ht="15" customHeight="1">
      <c r="B1101" s="433"/>
      <c r="C1101" s="433"/>
      <c r="D1101" s="433"/>
      <c r="E1101" s="433"/>
      <c r="F1101" s="434"/>
      <c r="G1101" s="435"/>
      <c r="J1101" s="434"/>
      <c r="K1101" s="433"/>
      <c r="L1101" s="433"/>
      <c r="M1101" s="433"/>
      <c r="N1101" s="433"/>
      <c r="O1101" s="433"/>
      <c r="P1101" s="433"/>
      <c r="Q1101" s="433"/>
    </row>
    <row r="1102" spans="2:17" ht="15" customHeight="1">
      <c r="B1102" s="433"/>
      <c r="C1102" s="433"/>
      <c r="D1102" s="433"/>
      <c r="E1102" s="433"/>
      <c r="F1102" s="434"/>
      <c r="G1102" s="435"/>
      <c r="J1102" s="434"/>
      <c r="K1102" s="433"/>
      <c r="L1102" s="433"/>
      <c r="M1102" s="433"/>
      <c r="N1102" s="433"/>
      <c r="O1102" s="433"/>
      <c r="P1102" s="433"/>
      <c r="Q1102" s="433"/>
    </row>
    <row r="1103" spans="2:17" ht="15" customHeight="1">
      <c r="B1103" s="433"/>
      <c r="C1103" s="433"/>
      <c r="D1103" s="433"/>
      <c r="E1103" s="433"/>
      <c r="F1103" s="434"/>
      <c r="G1103" s="435"/>
      <c r="J1103" s="434"/>
      <c r="K1103" s="433"/>
      <c r="L1103" s="433"/>
      <c r="M1103" s="433"/>
      <c r="N1103" s="433"/>
      <c r="O1103" s="433"/>
      <c r="P1103" s="433"/>
      <c r="Q1103" s="433"/>
    </row>
    <row r="1104" spans="2:17" ht="15" customHeight="1">
      <c r="B1104" s="433"/>
      <c r="C1104" s="433"/>
      <c r="D1104" s="433"/>
      <c r="E1104" s="433"/>
      <c r="F1104" s="434"/>
      <c r="G1104" s="435"/>
      <c r="J1104" s="434"/>
      <c r="K1104" s="433"/>
      <c r="L1104" s="433"/>
      <c r="M1104" s="433"/>
      <c r="N1104" s="433"/>
      <c r="O1104" s="433"/>
      <c r="P1104" s="433"/>
      <c r="Q1104" s="433"/>
    </row>
    <row r="1105" spans="2:17" ht="15" customHeight="1">
      <c r="B1105" s="433"/>
      <c r="C1105" s="433"/>
      <c r="D1105" s="433"/>
      <c r="E1105" s="433"/>
      <c r="F1105" s="434"/>
      <c r="G1105" s="435"/>
      <c r="J1105" s="434"/>
      <c r="K1105" s="433"/>
      <c r="L1105" s="433"/>
      <c r="M1105" s="433"/>
      <c r="N1105" s="433"/>
      <c r="O1105" s="433"/>
      <c r="P1105" s="433"/>
      <c r="Q1105" s="433"/>
    </row>
    <row r="1106" spans="2:17" ht="15" customHeight="1">
      <c r="B1106" s="433"/>
      <c r="C1106" s="433"/>
      <c r="D1106" s="433"/>
      <c r="E1106" s="433"/>
      <c r="F1106" s="434"/>
      <c r="G1106" s="435"/>
      <c r="J1106" s="434"/>
      <c r="L1106" s="433"/>
      <c r="M1106" s="433"/>
      <c r="N1106" s="433"/>
      <c r="O1106" s="433"/>
      <c r="P1106" s="433"/>
      <c r="Q1106" s="433"/>
    </row>
    <row r="1107" spans="2:17" ht="15" customHeight="1">
      <c r="B1107" s="433"/>
      <c r="C1107" s="433"/>
      <c r="D1107" s="433"/>
      <c r="E1107" s="433"/>
      <c r="F1107" s="434"/>
      <c r="G1107" s="435"/>
      <c r="J1107" s="434"/>
      <c r="L1107" s="433"/>
      <c r="M1107" s="433"/>
      <c r="N1107" s="433"/>
      <c r="O1107" s="433"/>
      <c r="P1107" s="433"/>
      <c r="Q1107" s="433"/>
    </row>
    <row r="1108" spans="2:17" ht="15" customHeight="1">
      <c r="B1108" s="433"/>
      <c r="C1108" s="433"/>
      <c r="D1108" s="433"/>
      <c r="E1108" s="433"/>
      <c r="F1108" s="434"/>
      <c r="G1108" s="435"/>
      <c r="J1108" s="434"/>
      <c r="L1108" s="433"/>
      <c r="M1108" s="433"/>
      <c r="N1108" s="433"/>
      <c r="O1108" s="433"/>
      <c r="P1108" s="433"/>
      <c r="Q1108" s="433"/>
    </row>
    <row r="1109" spans="2:17" ht="15" customHeight="1">
      <c r="B1109" s="433"/>
      <c r="C1109" s="433"/>
      <c r="D1109" s="433"/>
      <c r="E1109" s="433"/>
      <c r="F1109" s="434"/>
      <c r="G1109" s="435"/>
      <c r="J1109" s="434"/>
      <c r="L1109" s="433"/>
      <c r="M1109" s="433"/>
      <c r="N1109" s="433"/>
      <c r="O1109" s="433"/>
      <c r="P1109" s="433"/>
      <c r="Q1109" s="433"/>
    </row>
    <row r="1110" spans="2:17" ht="15" customHeight="1">
      <c r="B1110" s="433"/>
      <c r="C1110" s="433"/>
      <c r="D1110" s="433"/>
      <c r="E1110" s="433"/>
      <c r="F1110" s="434"/>
      <c r="G1110" s="435"/>
      <c r="J1110" s="434"/>
      <c r="L1110" s="433"/>
      <c r="M1110" s="433"/>
      <c r="N1110" s="433"/>
      <c r="O1110" s="433"/>
      <c r="P1110" s="433"/>
      <c r="Q1110" s="433"/>
    </row>
    <row r="1111" spans="2:17" ht="15" customHeight="1">
      <c r="B1111" s="433"/>
      <c r="C1111" s="433"/>
      <c r="D1111" s="433"/>
      <c r="E1111" s="433"/>
      <c r="F1111" s="434"/>
      <c r="G1111" s="435"/>
      <c r="J1111" s="434"/>
      <c r="L1111" s="433"/>
      <c r="M1111" s="433"/>
      <c r="N1111" s="433"/>
      <c r="O1111" s="433"/>
      <c r="P1111" s="433"/>
      <c r="Q1111" s="433"/>
    </row>
    <row r="1112" spans="2:17" ht="15" customHeight="1">
      <c r="B1112" s="433"/>
      <c r="C1112" s="433"/>
      <c r="D1112" s="433"/>
      <c r="E1112" s="433"/>
      <c r="F1112" s="434"/>
      <c r="G1112" s="435"/>
      <c r="J1112" s="434"/>
      <c r="L1112" s="433"/>
      <c r="M1112" s="433"/>
      <c r="N1112" s="433"/>
      <c r="O1112" s="433"/>
      <c r="P1112" s="433"/>
      <c r="Q1112" s="433"/>
    </row>
    <row r="1113" spans="2:17" ht="15" customHeight="1">
      <c r="B1113" s="433"/>
      <c r="C1113" s="433"/>
      <c r="D1113" s="433"/>
      <c r="E1113" s="433"/>
      <c r="F1113" s="434"/>
      <c r="G1113" s="435"/>
      <c r="J1113" s="434"/>
      <c r="L1113" s="433"/>
      <c r="M1113" s="433"/>
      <c r="N1113" s="433"/>
      <c r="O1113" s="433"/>
      <c r="P1113" s="433"/>
      <c r="Q1113" s="433"/>
    </row>
    <row r="1114" spans="2:17" ht="15" customHeight="1">
      <c r="B1114" s="433"/>
      <c r="C1114" s="433"/>
      <c r="D1114" s="433"/>
      <c r="E1114" s="433"/>
      <c r="F1114" s="434"/>
      <c r="G1114" s="435"/>
      <c r="J1114" s="434"/>
      <c r="L1114" s="433"/>
      <c r="M1114" s="433"/>
      <c r="N1114" s="433"/>
      <c r="O1114" s="433"/>
      <c r="P1114" s="433"/>
      <c r="Q1114" s="433"/>
    </row>
    <row r="1115" spans="2:17" ht="15" customHeight="1">
      <c r="B1115" s="433"/>
      <c r="C1115" s="433"/>
      <c r="D1115" s="433"/>
      <c r="E1115" s="433"/>
      <c r="F1115" s="434"/>
      <c r="G1115" s="435"/>
      <c r="J1115" s="434"/>
      <c r="L1115" s="433"/>
      <c r="M1115" s="433"/>
      <c r="N1115" s="433"/>
      <c r="O1115" s="433"/>
      <c r="P1115" s="433"/>
      <c r="Q1115" s="433"/>
    </row>
    <row r="1116" spans="2:17" ht="15" customHeight="1">
      <c r="B1116" s="433"/>
      <c r="C1116" s="433"/>
      <c r="D1116" s="433"/>
      <c r="E1116" s="433"/>
      <c r="F1116" s="434"/>
      <c r="G1116" s="435"/>
      <c r="J1116" s="434"/>
      <c r="L1116" s="433"/>
      <c r="M1116" s="433"/>
      <c r="N1116" s="433"/>
      <c r="O1116" s="433"/>
      <c r="P1116" s="433"/>
      <c r="Q1116" s="433"/>
    </row>
    <row r="1117" spans="2:17" ht="15" customHeight="1">
      <c r="B1117" s="433"/>
      <c r="C1117" s="433"/>
      <c r="D1117" s="433"/>
      <c r="E1117" s="433"/>
      <c r="F1117" s="434"/>
      <c r="G1117" s="435"/>
      <c r="J1117" s="434"/>
      <c r="L1117" s="433"/>
      <c r="M1117" s="433"/>
      <c r="N1117" s="433"/>
      <c r="O1117" s="433"/>
      <c r="P1117" s="433"/>
      <c r="Q1117" s="433"/>
    </row>
    <row r="1118" spans="2:17" ht="15" customHeight="1">
      <c r="B1118" s="433"/>
      <c r="C1118" s="433"/>
      <c r="D1118" s="433"/>
      <c r="E1118" s="433"/>
      <c r="F1118" s="434"/>
      <c r="G1118" s="435"/>
      <c r="J1118" s="434"/>
      <c r="L1118" s="433"/>
      <c r="M1118" s="433"/>
      <c r="N1118" s="433"/>
      <c r="O1118" s="433"/>
      <c r="P1118" s="433"/>
      <c r="Q1118" s="433"/>
    </row>
    <row r="1119" spans="2:17" ht="15" customHeight="1">
      <c r="B1119" s="433"/>
      <c r="C1119" s="433"/>
      <c r="D1119" s="433"/>
      <c r="E1119" s="433"/>
      <c r="F1119" s="434"/>
      <c r="G1119" s="435"/>
      <c r="J1119" s="434"/>
      <c r="L1119" s="433"/>
      <c r="M1119" s="433"/>
      <c r="N1119" s="433"/>
      <c r="O1119" s="433"/>
      <c r="P1119" s="433"/>
      <c r="Q1119" s="433"/>
    </row>
    <row r="1120" spans="2:17" ht="15" customHeight="1">
      <c r="B1120" s="433"/>
      <c r="C1120" s="433"/>
      <c r="D1120" s="433"/>
      <c r="E1120" s="433"/>
      <c r="F1120" s="434"/>
      <c r="G1120" s="435"/>
      <c r="J1120" s="434"/>
      <c r="L1120" s="433"/>
      <c r="M1120" s="433"/>
      <c r="N1120" s="433"/>
      <c r="O1120" s="433"/>
      <c r="P1120" s="433"/>
      <c r="Q1120" s="433"/>
    </row>
    <row r="1121" spans="2:17" ht="15" customHeight="1">
      <c r="B1121" s="433"/>
      <c r="C1121" s="433"/>
      <c r="D1121" s="433"/>
      <c r="E1121" s="433"/>
      <c r="F1121" s="434"/>
      <c r="G1121" s="435"/>
      <c r="J1121" s="434"/>
      <c r="L1121" s="433"/>
      <c r="M1121" s="433"/>
      <c r="N1121" s="433"/>
      <c r="O1121" s="433"/>
      <c r="P1121" s="433"/>
      <c r="Q1121" s="433"/>
    </row>
    <row r="1122" spans="2:17" ht="15" customHeight="1">
      <c r="B1122" s="433"/>
      <c r="C1122" s="433"/>
      <c r="D1122" s="433"/>
      <c r="E1122" s="433"/>
      <c r="F1122" s="434"/>
      <c r="G1122" s="435"/>
      <c r="J1122" s="434"/>
      <c r="L1122" s="433"/>
      <c r="M1122" s="433"/>
      <c r="N1122" s="433"/>
      <c r="O1122" s="433"/>
      <c r="P1122" s="433"/>
      <c r="Q1122" s="433"/>
    </row>
    <row r="1123" spans="2:17" ht="15" customHeight="1">
      <c r="B1123" s="433"/>
      <c r="C1123" s="433"/>
      <c r="D1123" s="433"/>
      <c r="E1123" s="433"/>
      <c r="F1123" s="434"/>
      <c r="G1123" s="435"/>
      <c r="J1123" s="434"/>
      <c r="L1123" s="433"/>
      <c r="M1123" s="433"/>
      <c r="N1123" s="433"/>
      <c r="O1123" s="433"/>
      <c r="P1123" s="433"/>
      <c r="Q1123" s="433"/>
    </row>
    <row r="1124" spans="2:17" ht="15" customHeight="1">
      <c r="B1124" s="433"/>
      <c r="C1124" s="433"/>
      <c r="D1124" s="433"/>
      <c r="E1124" s="433"/>
      <c r="F1124" s="434"/>
      <c r="G1124" s="435"/>
      <c r="J1124" s="434"/>
      <c r="L1124" s="433"/>
      <c r="M1124" s="433"/>
      <c r="N1124" s="433"/>
      <c r="O1124" s="433"/>
      <c r="P1124" s="433"/>
      <c r="Q1124" s="433"/>
    </row>
    <row r="1125" spans="2:17" ht="15" customHeight="1">
      <c r="B1125" s="433"/>
      <c r="C1125" s="433"/>
      <c r="D1125" s="433"/>
      <c r="E1125" s="433"/>
      <c r="F1125" s="434"/>
      <c r="G1125" s="435"/>
      <c r="J1125" s="434"/>
      <c r="L1125" s="433"/>
      <c r="M1125" s="433"/>
      <c r="N1125" s="433"/>
      <c r="O1125" s="433"/>
      <c r="P1125" s="433"/>
      <c r="Q1125" s="433"/>
    </row>
    <row r="1126" spans="2:17" ht="15" customHeight="1">
      <c r="B1126" s="433"/>
      <c r="C1126" s="433"/>
      <c r="D1126" s="433"/>
      <c r="E1126" s="433"/>
      <c r="F1126" s="434"/>
      <c r="G1126" s="435"/>
      <c r="J1126" s="434"/>
      <c r="L1126" s="433"/>
      <c r="M1126" s="433"/>
      <c r="N1126" s="433"/>
      <c r="O1126" s="433"/>
      <c r="P1126" s="433"/>
      <c r="Q1126" s="433"/>
    </row>
    <row r="1127" spans="2:17" ht="15" customHeight="1">
      <c r="B1127" s="433"/>
      <c r="C1127" s="433"/>
      <c r="D1127" s="433"/>
      <c r="E1127" s="433"/>
      <c r="F1127" s="434"/>
      <c r="G1127" s="435"/>
      <c r="J1127" s="434"/>
      <c r="L1127" s="433"/>
      <c r="M1127" s="433"/>
      <c r="N1127" s="433"/>
      <c r="O1127" s="433"/>
      <c r="P1127" s="433"/>
      <c r="Q1127" s="433"/>
    </row>
    <row r="1128" spans="2:17" ht="15" customHeight="1">
      <c r="B1128" s="433"/>
      <c r="C1128" s="433"/>
      <c r="D1128" s="433"/>
      <c r="E1128" s="433"/>
      <c r="F1128" s="434"/>
      <c r="G1128" s="435"/>
      <c r="J1128" s="434"/>
      <c r="L1128" s="433"/>
      <c r="M1128" s="433"/>
      <c r="N1128" s="433"/>
      <c r="O1128" s="433"/>
      <c r="P1128" s="433"/>
      <c r="Q1128" s="433"/>
    </row>
    <row r="1129" spans="2:17" ht="15" customHeight="1">
      <c r="B1129" s="433"/>
      <c r="C1129" s="433"/>
      <c r="D1129" s="433"/>
      <c r="E1129" s="433"/>
      <c r="F1129" s="434"/>
      <c r="G1129" s="435"/>
      <c r="J1129" s="434"/>
      <c r="L1129" s="433"/>
      <c r="M1129" s="433"/>
      <c r="N1129" s="433"/>
      <c r="O1129" s="433"/>
      <c r="P1129" s="433"/>
      <c r="Q1129" s="433"/>
    </row>
    <row r="1130" spans="2:17" ht="15" customHeight="1">
      <c r="B1130" s="433"/>
      <c r="C1130" s="433"/>
      <c r="D1130" s="433"/>
      <c r="E1130" s="433"/>
      <c r="F1130" s="434"/>
      <c r="G1130" s="435"/>
      <c r="J1130" s="434"/>
      <c r="L1130" s="433"/>
      <c r="M1130" s="433"/>
      <c r="N1130" s="433"/>
      <c r="O1130" s="433"/>
      <c r="P1130" s="433"/>
      <c r="Q1130" s="433"/>
    </row>
    <row r="1131" spans="2:17" ht="15" customHeight="1">
      <c r="B1131" s="433"/>
      <c r="C1131" s="433"/>
      <c r="D1131" s="433"/>
      <c r="E1131" s="433"/>
      <c r="F1131" s="434"/>
      <c r="G1131" s="435"/>
      <c r="J1131" s="434"/>
      <c r="L1131" s="433"/>
      <c r="M1131" s="433"/>
      <c r="N1131" s="433"/>
      <c r="O1131" s="433"/>
      <c r="P1131" s="433"/>
      <c r="Q1131" s="433"/>
    </row>
    <row r="1132" spans="2:17" ht="15" customHeight="1">
      <c r="B1132" s="433"/>
      <c r="C1132" s="433"/>
      <c r="D1132" s="433"/>
      <c r="E1132" s="433"/>
      <c r="F1132" s="434"/>
      <c r="G1132" s="435"/>
      <c r="J1132" s="434"/>
      <c r="L1132" s="433"/>
      <c r="M1132" s="433"/>
      <c r="N1132" s="433"/>
      <c r="O1132" s="433"/>
      <c r="P1132" s="433"/>
      <c r="Q1132" s="433"/>
    </row>
    <row r="1133" spans="2:17" ht="15" customHeight="1">
      <c r="B1133" s="433"/>
      <c r="C1133" s="433"/>
      <c r="D1133" s="433"/>
      <c r="E1133" s="433"/>
      <c r="F1133" s="434"/>
      <c r="G1133" s="435"/>
      <c r="J1133" s="434"/>
      <c r="L1133" s="433"/>
      <c r="M1133" s="433"/>
      <c r="N1133" s="433"/>
      <c r="O1133" s="433"/>
      <c r="P1133" s="433"/>
      <c r="Q1133" s="433"/>
    </row>
    <row r="1134" spans="2:17" ht="15" customHeight="1">
      <c r="B1134" s="433"/>
      <c r="C1134" s="433"/>
      <c r="D1134" s="433"/>
      <c r="E1134" s="433"/>
      <c r="F1134" s="434"/>
      <c r="G1134" s="435"/>
      <c r="J1134" s="434"/>
      <c r="L1134" s="433"/>
      <c r="M1134" s="433"/>
      <c r="N1134" s="433"/>
      <c r="O1134" s="433"/>
      <c r="P1134" s="433"/>
      <c r="Q1134" s="433"/>
    </row>
    <row r="1135" spans="2:17" ht="15" customHeight="1">
      <c r="B1135" s="433"/>
      <c r="C1135" s="433"/>
      <c r="D1135" s="433"/>
      <c r="E1135" s="433"/>
      <c r="F1135" s="434"/>
      <c r="G1135" s="435"/>
      <c r="J1135" s="434"/>
      <c r="M1135" s="433"/>
      <c r="N1135" s="433"/>
      <c r="O1135" s="433"/>
      <c r="P1135" s="433"/>
      <c r="Q1135" s="433"/>
    </row>
    <row r="1136" spans="2:17" ht="15" customHeight="1">
      <c r="B1136" s="433"/>
      <c r="C1136" s="433"/>
      <c r="D1136" s="433"/>
      <c r="E1136" s="433"/>
      <c r="F1136" s="434"/>
      <c r="G1136" s="435"/>
      <c r="J1136" s="434"/>
      <c r="M1136" s="433"/>
      <c r="N1136" s="433"/>
      <c r="O1136" s="433"/>
      <c r="P1136" s="433"/>
      <c r="Q1136" s="433"/>
    </row>
    <row r="1137" spans="2:17" ht="15" customHeight="1">
      <c r="B1137" s="433"/>
      <c r="C1137" s="433"/>
      <c r="D1137" s="433"/>
      <c r="E1137" s="433"/>
      <c r="F1137" s="434"/>
      <c r="G1137" s="435"/>
      <c r="J1137" s="434"/>
      <c r="M1137" s="433"/>
      <c r="N1137" s="433"/>
      <c r="O1137" s="433"/>
      <c r="P1137" s="433"/>
      <c r="Q1137" s="433"/>
    </row>
    <row r="1138" spans="2:17" ht="15" customHeight="1">
      <c r="B1138" s="433"/>
      <c r="C1138" s="433"/>
      <c r="D1138" s="433"/>
      <c r="E1138" s="433"/>
      <c r="F1138" s="434"/>
      <c r="G1138" s="435"/>
      <c r="J1138" s="434"/>
      <c r="M1138" s="433"/>
      <c r="N1138" s="433"/>
      <c r="O1138" s="433"/>
      <c r="P1138" s="433"/>
      <c r="Q1138" s="433"/>
    </row>
    <row r="1139" spans="2:17" ht="15" customHeight="1">
      <c r="B1139" s="433"/>
      <c r="C1139" s="433"/>
      <c r="D1139" s="433"/>
      <c r="E1139" s="433"/>
      <c r="F1139" s="434"/>
      <c r="G1139" s="435"/>
      <c r="J1139" s="434"/>
      <c r="M1139" s="433"/>
      <c r="N1139" s="433"/>
      <c r="O1139" s="433"/>
      <c r="P1139" s="433"/>
      <c r="Q1139" s="433"/>
    </row>
    <row r="1140" spans="2:17" ht="15" customHeight="1">
      <c r="B1140" s="433"/>
      <c r="C1140" s="433"/>
      <c r="D1140" s="433"/>
      <c r="E1140" s="433"/>
      <c r="F1140" s="434"/>
      <c r="G1140" s="435"/>
      <c r="J1140" s="434"/>
      <c r="M1140" s="433"/>
      <c r="N1140" s="433"/>
      <c r="O1140" s="433"/>
      <c r="P1140" s="433"/>
      <c r="Q1140" s="433"/>
    </row>
    <row r="1141" spans="2:17" ht="15" customHeight="1">
      <c r="B1141" s="433"/>
      <c r="C1141" s="433"/>
      <c r="D1141" s="433"/>
      <c r="E1141" s="433"/>
      <c r="F1141" s="434"/>
      <c r="G1141" s="435"/>
      <c r="J1141" s="434"/>
      <c r="M1141" s="433"/>
      <c r="N1141" s="433"/>
      <c r="O1141" s="433"/>
      <c r="P1141" s="433"/>
      <c r="Q1141" s="433"/>
    </row>
    <row r="1142" spans="2:17" ht="15" customHeight="1">
      <c r="B1142" s="433"/>
      <c r="C1142" s="433"/>
      <c r="D1142" s="433"/>
      <c r="E1142" s="433"/>
      <c r="F1142" s="434"/>
      <c r="G1142" s="435"/>
      <c r="J1142" s="434"/>
      <c r="M1142" s="433"/>
      <c r="N1142" s="433"/>
      <c r="O1142" s="433"/>
      <c r="P1142" s="433"/>
      <c r="Q1142" s="433"/>
    </row>
    <row r="1143" spans="2:17" ht="15" customHeight="1">
      <c r="B1143" s="433"/>
      <c r="C1143" s="433"/>
      <c r="D1143" s="433"/>
      <c r="E1143" s="433"/>
      <c r="F1143" s="434"/>
      <c r="G1143" s="435"/>
      <c r="J1143" s="434"/>
      <c r="M1143" s="433"/>
      <c r="N1143" s="433"/>
      <c r="O1143" s="433"/>
      <c r="P1143" s="433"/>
      <c r="Q1143" s="433"/>
    </row>
    <row r="1144" spans="2:17" ht="15" customHeight="1">
      <c r="B1144" s="433"/>
      <c r="C1144" s="433"/>
      <c r="D1144" s="433"/>
      <c r="E1144" s="433"/>
      <c r="F1144" s="434"/>
      <c r="G1144" s="435"/>
      <c r="J1144" s="434"/>
      <c r="M1144" s="433"/>
      <c r="N1144" s="433"/>
      <c r="O1144" s="433"/>
      <c r="P1144" s="433"/>
      <c r="Q1144" s="433"/>
    </row>
    <row r="1145" spans="2:17" ht="15" customHeight="1">
      <c r="B1145" s="433"/>
      <c r="C1145" s="433"/>
      <c r="D1145" s="433"/>
      <c r="E1145" s="433"/>
      <c r="F1145" s="434"/>
      <c r="G1145" s="435"/>
      <c r="J1145" s="434"/>
      <c r="M1145" s="433"/>
      <c r="N1145" s="433"/>
      <c r="O1145" s="433"/>
      <c r="P1145" s="433"/>
      <c r="Q1145" s="433"/>
    </row>
    <row r="1146" spans="2:17" ht="15" customHeight="1">
      <c r="B1146" s="433"/>
      <c r="C1146" s="433"/>
      <c r="D1146" s="433"/>
      <c r="E1146" s="433"/>
      <c r="F1146" s="434"/>
      <c r="G1146" s="435"/>
      <c r="J1146" s="434"/>
      <c r="M1146" s="433"/>
      <c r="N1146" s="433"/>
      <c r="O1146" s="433"/>
      <c r="P1146" s="433"/>
      <c r="Q1146" s="433"/>
    </row>
    <row r="1147" spans="2:17" ht="15" customHeight="1">
      <c r="B1147" s="433"/>
      <c r="C1147" s="433"/>
      <c r="D1147" s="433"/>
      <c r="E1147" s="433"/>
      <c r="F1147" s="434"/>
      <c r="G1147" s="435"/>
      <c r="J1147" s="434"/>
      <c r="M1147" s="433"/>
      <c r="N1147" s="433"/>
      <c r="O1147" s="433"/>
      <c r="P1147" s="433"/>
      <c r="Q1147" s="433"/>
    </row>
    <row r="1148" spans="2:17" ht="15" customHeight="1">
      <c r="B1148" s="433"/>
      <c r="C1148" s="433"/>
      <c r="D1148" s="433"/>
      <c r="E1148" s="433"/>
      <c r="F1148" s="434"/>
      <c r="G1148" s="435"/>
      <c r="J1148" s="434"/>
      <c r="N1148" s="433"/>
      <c r="O1148" s="433"/>
      <c r="P1148" s="433"/>
      <c r="Q1148" s="433"/>
    </row>
    <row r="1149" spans="2:17" ht="15" customHeight="1">
      <c r="B1149" s="433"/>
      <c r="C1149" s="433"/>
      <c r="D1149" s="433"/>
      <c r="E1149" s="433"/>
      <c r="F1149" s="434"/>
      <c r="G1149" s="435"/>
      <c r="J1149" s="434"/>
      <c r="N1149" s="433"/>
      <c r="O1149" s="433"/>
      <c r="P1149" s="433"/>
      <c r="Q1149" s="433"/>
    </row>
    <row r="1150" spans="2:17" ht="15" customHeight="1">
      <c r="B1150" s="433"/>
      <c r="C1150" s="433"/>
      <c r="D1150" s="433"/>
      <c r="E1150" s="433"/>
      <c r="F1150" s="434"/>
      <c r="G1150" s="435"/>
      <c r="J1150" s="434"/>
      <c r="N1150" s="433"/>
      <c r="O1150" s="433"/>
      <c r="P1150" s="433"/>
      <c r="Q1150" s="433"/>
    </row>
    <row r="1151" spans="2:17" ht="15" customHeight="1">
      <c r="B1151" s="433"/>
      <c r="C1151" s="433"/>
      <c r="D1151" s="433"/>
      <c r="E1151" s="433"/>
      <c r="F1151" s="434"/>
      <c r="G1151" s="435"/>
      <c r="J1151" s="434"/>
      <c r="N1151" s="433"/>
      <c r="O1151" s="433"/>
      <c r="P1151" s="433"/>
      <c r="Q1151" s="433"/>
    </row>
    <row r="1152" spans="2:17" ht="15" customHeight="1">
      <c r="B1152" s="433"/>
      <c r="C1152" s="433"/>
      <c r="D1152" s="433"/>
      <c r="E1152" s="433"/>
      <c r="F1152" s="434"/>
      <c r="G1152" s="435"/>
      <c r="J1152" s="434"/>
      <c r="N1152" s="433"/>
      <c r="O1152" s="433"/>
      <c r="P1152" s="433"/>
      <c r="Q1152" s="433"/>
    </row>
    <row r="1153" spans="2:17" ht="15" customHeight="1">
      <c r="B1153" s="433"/>
      <c r="C1153" s="433"/>
      <c r="D1153" s="433"/>
      <c r="E1153" s="433"/>
      <c r="F1153" s="434"/>
      <c r="G1153" s="435"/>
      <c r="J1153" s="434"/>
      <c r="N1153" s="433"/>
      <c r="O1153" s="433"/>
      <c r="P1153" s="433"/>
      <c r="Q1153" s="433"/>
    </row>
    <row r="1154" spans="2:17" ht="15" customHeight="1">
      <c r="B1154" s="433"/>
      <c r="C1154" s="433"/>
      <c r="D1154" s="433"/>
      <c r="E1154" s="433"/>
      <c r="F1154" s="434"/>
      <c r="G1154" s="435"/>
      <c r="J1154" s="434"/>
      <c r="N1154" s="433"/>
      <c r="O1154" s="433"/>
      <c r="P1154" s="433"/>
      <c r="Q1154" s="433"/>
    </row>
    <row r="1155" spans="2:17" ht="15" customHeight="1">
      <c r="B1155" s="433"/>
      <c r="C1155" s="433"/>
      <c r="D1155" s="433"/>
      <c r="E1155" s="433"/>
      <c r="F1155" s="434"/>
      <c r="G1155" s="435"/>
      <c r="J1155" s="434"/>
      <c r="N1155" s="433"/>
      <c r="O1155" s="433"/>
      <c r="P1155" s="433"/>
      <c r="Q1155" s="433"/>
    </row>
    <row r="1156" spans="2:17" ht="15" customHeight="1">
      <c r="B1156" s="433"/>
      <c r="C1156" s="433"/>
      <c r="D1156" s="433"/>
      <c r="E1156" s="433"/>
      <c r="F1156" s="434"/>
      <c r="G1156" s="435"/>
      <c r="J1156" s="434"/>
      <c r="N1156" s="433"/>
      <c r="O1156" s="433"/>
      <c r="P1156" s="433"/>
      <c r="Q1156" s="433"/>
    </row>
    <row r="1157" spans="2:17" ht="15" customHeight="1">
      <c r="B1157" s="433"/>
      <c r="C1157" s="433"/>
      <c r="D1157" s="433"/>
      <c r="E1157" s="433"/>
      <c r="F1157" s="434"/>
      <c r="G1157" s="435"/>
      <c r="J1157" s="434"/>
      <c r="N1157" s="433"/>
      <c r="O1157" s="433"/>
      <c r="P1157" s="433"/>
      <c r="Q1157" s="433"/>
    </row>
    <row r="1158" spans="2:17" ht="15" customHeight="1">
      <c r="B1158" s="433"/>
      <c r="C1158" s="433"/>
      <c r="D1158" s="433"/>
      <c r="E1158" s="433"/>
      <c r="F1158" s="434"/>
      <c r="G1158" s="435"/>
      <c r="J1158" s="434"/>
      <c r="N1158" s="433"/>
      <c r="O1158" s="433"/>
      <c r="P1158" s="433"/>
    </row>
    <row r="1159" spans="2:17" ht="15" customHeight="1">
      <c r="B1159" s="433"/>
      <c r="C1159" s="433"/>
      <c r="D1159" s="433"/>
      <c r="E1159" s="433"/>
      <c r="F1159" s="434"/>
      <c r="G1159" s="435"/>
      <c r="J1159" s="434"/>
      <c r="N1159" s="433"/>
      <c r="O1159" s="433"/>
      <c r="P1159" s="433"/>
    </row>
    <row r="1160" spans="2:17" ht="15" customHeight="1">
      <c r="B1160" s="433"/>
      <c r="C1160" s="433"/>
      <c r="D1160" s="433"/>
      <c r="E1160" s="433"/>
      <c r="F1160" s="434"/>
      <c r="G1160" s="435"/>
      <c r="J1160" s="434"/>
      <c r="N1160" s="433"/>
      <c r="O1160" s="433"/>
      <c r="P1160" s="433"/>
    </row>
    <row r="1161" spans="2:17" ht="15" customHeight="1">
      <c r="B1161" s="433"/>
      <c r="C1161" s="433"/>
      <c r="D1161" s="433"/>
      <c r="E1161" s="433"/>
      <c r="F1161" s="434"/>
      <c r="G1161" s="435"/>
      <c r="J1161" s="434"/>
      <c r="N1161" s="433"/>
      <c r="O1161" s="433"/>
      <c r="P1161" s="433"/>
    </row>
    <row r="1162" spans="2:17" ht="15" customHeight="1">
      <c r="B1162" s="433"/>
      <c r="C1162" s="433"/>
      <c r="D1162" s="433"/>
      <c r="E1162" s="433"/>
      <c r="F1162" s="434"/>
      <c r="G1162" s="435"/>
      <c r="J1162" s="434"/>
      <c r="N1162" s="433"/>
      <c r="O1162" s="433"/>
      <c r="P1162" s="433"/>
    </row>
    <row r="1163" spans="2:17" ht="15" customHeight="1">
      <c r="B1163" s="433"/>
      <c r="C1163" s="433"/>
      <c r="D1163" s="433"/>
      <c r="E1163" s="433"/>
      <c r="F1163" s="434"/>
      <c r="G1163" s="435"/>
      <c r="J1163" s="434"/>
      <c r="N1163" s="433"/>
      <c r="O1163" s="433"/>
      <c r="P1163" s="433"/>
    </row>
    <row r="1164" spans="2:17" ht="15" customHeight="1">
      <c r="B1164" s="433"/>
      <c r="C1164" s="433"/>
      <c r="D1164" s="433"/>
      <c r="E1164" s="433"/>
      <c r="F1164" s="434"/>
      <c r="G1164" s="435"/>
      <c r="J1164" s="434"/>
      <c r="N1164" s="433"/>
      <c r="O1164" s="433"/>
      <c r="P1164" s="433"/>
    </row>
    <row r="1165" spans="2:17" ht="15" customHeight="1">
      <c r="B1165" s="433"/>
      <c r="C1165" s="433"/>
      <c r="D1165" s="433"/>
      <c r="E1165" s="433"/>
      <c r="F1165" s="434"/>
      <c r="G1165" s="435"/>
      <c r="J1165" s="434"/>
      <c r="N1165" s="433"/>
      <c r="O1165" s="433"/>
      <c r="P1165" s="433"/>
    </row>
    <row r="1166" spans="2:17" ht="15" customHeight="1">
      <c r="B1166" s="433"/>
      <c r="C1166" s="433"/>
      <c r="D1166" s="433"/>
      <c r="E1166" s="433"/>
      <c r="F1166" s="434"/>
      <c r="G1166" s="435"/>
      <c r="J1166" s="434"/>
    </row>
    <row r="1167" spans="2:17" ht="15" customHeight="1">
      <c r="B1167" s="433"/>
      <c r="C1167" s="433"/>
      <c r="D1167" s="433"/>
      <c r="E1167" s="433"/>
      <c r="F1167" s="434"/>
      <c r="G1167" s="435"/>
      <c r="J1167" s="434"/>
    </row>
    <row r="1168" spans="2:17" ht="15" customHeight="1">
      <c r="B1168" s="433"/>
      <c r="C1168" s="433"/>
      <c r="D1168" s="433"/>
      <c r="E1168" s="433"/>
      <c r="F1168" s="434"/>
      <c r="G1168" s="435"/>
      <c r="J1168" s="434"/>
    </row>
    <row r="1169" spans="2:10" ht="15" customHeight="1">
      <c r="B1169" s="433"/>
      <c r="C1169" s="433"/>
      <c r="D1169" s="433"/>
      <c r="E1169" s="433"/>
      <c r="F1169" s="434"/>
      <c r="G1169" s="435"/>
      <c r="J1169" s="434"/>
    </row>
    <row r="1170" spans="2:10" ht="15" customHeight="1">
      <c r="B1170" s="433"/>
      <c r="C1170" s="433"/>
      <c r="D1170" s="433"/>
      <c r="E1170" s="433"/>
      <c r="F1170" s="434"/>
      <c r="G1170" s="435"/>
      <c r="J1170" s="434"/>
    </row>
    <row r="1171" spans="2:10" ht="15" customHeight="1">
      <c r="B1171" s="433"/>
      <c r="C1171" s="433"/>
      <c r="D1171" s="433"/>
      <c r="E1171" s="433"/>
      <c r="F1171" s="434"/>
      <c r="G1171" s="435"/>
      <c r="J1171" s="434"/>
    </row>
    <row r="1172" spans="2:10" ht="14.5">
      <c r="B1172" s="433"/>
      <c r="C1172" s="433"/>
      <c r="D1172" s="433"/>
      <c r="E1172" s="433"/>
      <c r="F1172" s="434"/>
      <c r="G1172" s="435"/>
      <c r="J1172" s="434"/>
    </row>
    <row r="1173" spans="2:10" ht="14.5">
      <c r="B1173" s="433"/>
      <c r="C1173" s="433"/>
      <c r="D1173" s="433"/>
      <c r="E1173" s="433"/>
      <c r="F1173" s="434"/>
      <c r="G1173" s="435"/>
      <c r="J1173" s="434"/>
    </row>
    <row r="1174" spans="2:10" ht="14.5">
      <c r="B1174" s="433"/>
      <c r="C1174" s="433"/>
      <c r="D1174" s="433"/>
      <c r="E1174" s="433"/>
      <c r="F1174" s="434"/>
      <c r="G1174" s="435"/>
      <c r="J1174" s="434"/>
    </row>
    <row r="1175" spans="2:10" ht="14.5">
      <c r="B1175" s="433"/>
      <c r="C1175" s="433"/>
      <c r="D1175" s="433"/>
      <c r="E1175" s="433"/>
      <c r="F1175" s="434"/>
      <c r="G1175" s="435"/>
      <c r="J1175" s="434"/>
    </row>
    <row r="1176" spans="2:10" ht="14.5">
      <c r="B1176" s="433"/>
      <c r="C1176" s="433"/>
      <c r="D1176" s="433"/>
      <c r="E1176" s="433"/>
      <c r="F1176" s="434"/>
      <c r="G1176" s="435"/>
      <c r="J1176" s="434"/>
    </row>
    <row r="1177" spans="2:10" ht="14.5">
      <c r="B1177" s="433"/>
      <c r="C1177" s="433"/>
      <c r="D1177" s="433"/>
      <c r="E1177" s="433"/>
      <c r="F1177" s="434"/>
      <c r="G1177" s="435"/>
      <c r="J1177" s="434"/>
    </row>
    <row r="1178" spans="2:10" ht="14.5">
      <c r="B1178" s="433"/>
      <c r="C1178" s="433"/>
      <c r="D1178" s="433"/>
      <c r="E1178" s="433"/>
      <c r="F1178" s="434"/>
      <c r="G1178" s="435"/>
      <c r="J1178" s="434"/>
    </row>
    <row r="1179" spans="2:10" ht="14.5">
      <c r="B1179" s="433"/>
      <c r="C1179" s="433"/>
      <c r="D1179" s="433"/>
      <c r="E1179" s="433"/>
      <c r="F1179" s="434"/>
      <c r="G1179" s="435"/>
      <c r="J1179" s="434"/>
    </row>
    <row r="1180" spans="2:10" ht="14.5">
      <c r="B1180" s="433"/>
      <c r="C1180" s="433"/>
      <c r="D1180" s="433"/>
      <c r="E1180" s="433"/>
      <c r="F1180" s="434"/>
      <c r="G1180" s="435"/>
      <c r="J1180" s="434"/>
    </row>
    <row r="1181" spans="2:10" ht="14.5">
      <c r="B1181" s="433"/>
      <c r="C1181" s="433"/>
      <c r="D1181" s="433"/>
      <c r="E1181" s="433"/>
      <c r="F1181" s="434"/>
      <c r="G1181" s="435"/>
      <c r="J1181" s="434"/>
    </row>
    <row r="1182" spans="2:10" ht="14.5">
      <c r="B1182" s="433"/>
      <c r="C1182" s="433"/>
      <c r="D1182" s="433"/>
      <c r="E1182" s="433"/>
      <c r="F1182" s="434"/>
      <c r="G1182" s="435"/>
      <c r="J1182" s="434"/>
    </row>
    <row r="1183" spans="2:10" ht="14.5">
      <c r="B1183" s="433"/>
      <c r="C1183" s="433"/>
      <c r="D1183" s="433"/>
      <c r="E1183" s="433"/>
      <c r="F1183" s="434"/>
      <c r="G1183" s="435"/>
      <c r="J1183" s="434"/>
    </row>
    <row r="1184" spans="2:10" ht="14.5">
      <c r="B1184" s="433"/>
      <c r="C1184" s="433"/>
      <c r="D1184" s="433"/>
      <c r="E1184" s="433"/>
      <c r="F1184" s="434"/>
      <c r="G1184" s="435"/>
      <c r="J1184" s="434"/>
    </row>
    <row r="1185" spans="2:10" ht="14.5">
      <c r="B1185" s="433"/>
      <c r="C1185" s="433"/>
      <c r="D1185" s="433"/>
      <c r="E1185" s="433"/>
      <c r="F1185" s="434"/>
      <c r="G1185" s="435"/>
      <c r="J1185" s="434"/>
    </row>
    <row r="1186" spans="2:10" ht="14.5">
      <c r="B1186" s="433"/>
      <c r="C1186" s="433"/>
      <c r="D1186" s="433"/>
      <c r="E1186" s="433"/>
      <c r="F1186" s="434"/>
      <c r="G1186" s="435"/>
      <c r="J1186" s="434"/>
    </row>
    <row r="1187" spans="2:10" ht="14.5">
      <c r="B1187" s="433"/>
      <c r="C1187" s="433"/>
      <c r="D1187" s="433"/>
      <c r="E1187" s="433"/>
      <c r="F1187" s="434"/>
      <c r="G1187" s="435"/>
      <c r="J1187" s="434"/>
    </row>
    <row r="1188" spans="2:10" ht="14.5">
      <c r="B1188" s="433"/>
      <c r="C1188" s="433"/>
      <c r="D1188" s="433"/>
      <c r="E1188" s="433"/>
      <c r="F1188" s="434"/>
      <c r="G1188" s="435"/>
      <c r="J1188" s="434"/>
    </row>
    <row r="1189" spans="2:10" ht="14.5">
      <c r="B1189" s="433"/>
      <c r="C1189" s="433"/>
      <c r="D1189" s="433"/>
      <c r="E1189" s="433"/>
      <c r="F1189" s="434"/>
      <c r="G1189" s="435"/>
      <c r="J1189" s="434"/>
    </row>
    <row r="1190" spans="2:10" ht="14.5">
      <c r="B1190" s="433"/>
      <c r="C1190" s="433"/>
      <c r="D1190" s="433"/>
      <c r="E1190" s="433"/>
      <c r="F1190" s="434"/>
      <c r="G1190" s="435"/>
      <c r="J1190" s="434"/>
    </row>
    <row r="1191" spans="2:10" ht="14.5">
      <c r="B1191" s="433"/>
      <c r="C1191" s="433"/>
      <c r="D1191" s="433"/>
      <c r="E1191" s="433"/>
      <c r="F1191" s="434"/>
      <c r="G1191" s="435"/>
      <c r="J1191" s="434"/>
    </row>
    <row r="1192" spans="2:10" ht="14.5">
      <c r="B1192" s="433"/>
      <c r="C1192" s="433"/>
      <c r="D1192" s="433"/>
      <c r="E1192" s="433"/>
      <c r="F1192" s="434"/>
      <c r="G1192" s="435"/>
      <c r="J1192" s="434"/>
    </row>
    <row r="1193" spans="2:10" ht="14.5">
      <c r="B1193" s="433"/>
      <c r="C1193" s="433"/>
      <c r="D1193" s="433"/>
      <c r="E1193" s="433"/>
      <c r="F1193" s="434"/>
      <c r="G1193" s="435"/>
      <c r="J1193" s="434"/>
    </row>
    <row r="1194" spans="2:10" ht="14.5">
      <c r="B1194" s="433"/>
      <c r="C1194" s="433"/>
      <c r="D1194" s="433"/>
      <c r="E1194" s="433"/>
      <c r="F1194" s="434"/>
      <c r="G1194" s="435"/>
      <c r="J1194" s="434"/>
    </row>
    <row r="1195" spans="2:10" ht="14.5">
      <c r="B1195" s="433"/>
      <c r="C1195" s="433"/>
      <c r="D1195" s="433"/>
      <c r="E1195" s="433"/>
      <c r="F1195" s="434"/>
      <c r="G1195" s="435"/>
      <c r="J1195" s="434"/>
    </row>
    <row r="1196" spans="2:10" ht="14.5">
      <c r="B1196" s="433"/>
      <c r="C1196" s="433"/>
      <c r="D1196" s="433"/>
      <c r="E1196" s="433"/>
      <c r="F1196" s="434"/>
      <c r="G1196" s="435"/>
      <c r="J1196" s="434"/>
    </row>
    <row r="1197" spans="2:10" ht="14.5">
      <c r="B1197" s="433"/>
      <c r="C1197" s="433"/>
      <c r="D1197" s="433"/>
      <c r="E1197" s="433"/>
      <c r="F1197" s="434"/>
      <c r="G1197" s="435"/>
      <c r="J1197" s="434"/>
    </row>
    <row r="1198" spans="2:10" ht="14.5">
      <c r="B1198" s="433"/>
      <c r="C1198" s="433"/>
      <c r="D1198" s="433"/>
      <c r="E1198" s="433"/>
      <c r="F1198" s="434"/>
      <c r="G1198" s="435"/>
      <c r="J1198" s="434"/>
    </row>
    <row r="1199" spans="2:10" ht="14.5">
      <c r="B1199" s="433"/>
      <c r="C1199" s="433"/>
      <c r="D1199" s="433"/>
      <c r="E1199" s="433"/>
      <c r="F1199" s="434"/>
      <c r="G1199" s="435"/>
      <c r="J1199" s="434"/>
    </row>
    <row r="1200" spans="2:10" ht="14.5">
      <c r="B1200" s="433"/>
      <c r="C1200" s="433"/>
      <c r="D1200" s="433"/>
      <c r="E1200" s="433"/>
      <c r="F1200" s="434"/>
      <c r="G1200" s="435"/>
      <c r="J1200" s="434"/>
    </row>
    <row r="1201" spans="2:10" ht="14.5">
      <c r="B1201" s="433"/>
      <c r="C1201" s="433"/>
      <c r="D1201" s="433"/>
      <c r="E1201" s="433"/>
      <c r="F1201" s="434"/>
      <c r="G1201" s="435"/>
      <c r="J1201" s="434"/>
    </row>
    <row r="1202" spans="2:10" ht="14.5">
      <c r="B1202" s="433"/>
      <c r="C1202" s="433"/>
      <c r="D1202" s="433"/>
      <c r="E1202" s="433"/>
      <c r="F1202" s="434"/>
      <c r="G1202" s="435"/>
      <c r="J1202" s="434"/>
    </row>
    <row r="1203" spans="2:10" ht="14.5">
      <c r="B1203" s="433"/>
      <c r="C1203" s="433"/>
      <c r="D1203" s="433"/>
      <c r="E1203" s="433"/>
      <c r="F1203" s="434"/>
      <c r="G1203" s="435"/>
      <c r="J1203" s="434"/>
    </row>
    <row r="1204" spans="2:10" ht="14.5">
      <c r="B1204" s="433"/>
      <c r="C1204" s="433"/>
      <c r="D1204" s="433"/>
      <c r="E1204" s="433"/>
      <c r="F1204" s="434"/>
      <c r="G1204" s="435"/>
      <c r="J1204" s="434"/>
    </row>
    <row r="1205" spans="2:10" ht="14.5">
      <c r="B1205" s="433"/>
      <c r="C1205" s="433"/>
      <c r="D1205" s="433"/>
      <c r="E1205" s="433"/>
      <c r="F1205" s="434"/>
      <c r="G1205" s="435"/>
      <c r="J1205" s="434"/>
    </row>
    <row r="1206" spans="2:10" ht="14.5">
      <c r="B1206" s="433"/>
      <c r="C1206" s="433"/>
      <c r="D1206" s="433"/>
      <c r="E1206" s="433"/>
      <c r="F1206" s="434"/>
      <c r="G1206" s="435"/>
      <c r="J1206" s="434"/>
    </row>
    <row r="1207" spans="2:10" ht="14.5">
      <c r="B1207" s="433"/>
      <c r="C1207" s="433"/>
      <c r="D1207" s="433"/>
      <c r="E1207" s="433"/>
      <c r="F1207" s="434"/>
      <c r="G1207" s="435"/>
      <c r="J1207" s="434"/>
    </row>
    <row r="1208" spans="2:10" ht="14.5">
      <c r="B1208" s="433"/>
      <c r="C1208" s="433"/>
      <c r="D1208" s="433"/>
      <c r="E1208" s="433"/>
      <c r="F1208" s="434"/>
      <c r="G1208" s="435"/>
      <c r="J1208" s="434"/>
    </row>
    <row r="1209" spans="2:10" ht="14.5">
      <c r="B1209" s="433"/>
      <c r="C1209" s="433"/>
      <c r="D1209" s="433"/>
      <c r="E1209" s="433"/>
      <c r="F1209" s="434"/>
      <c r="G1209" s="435"/>
      <c r="J1209" s="434"/>
    </row>
    <row r="1210" spans="2:10" ht="14.5">
      <c r="B1210" s="433"/>
      <c r="C1210" s="433"/>
      <c r="D1210" s="433"/>
      <c r="E1210" s="433"/>
      <c r="F1210" s="434"/>
      <c r="G1210" s="435"/>
      <c r="J1210" s="434"/>
    </row>
    <row r="1211" spans="2:10" ht="14.5">
      <c r="B1211" s="433"/>
      <c r="C1211" s="433"/>
      <c r="D1211" s="433"/>
      <c r="E1211" s="433"/>
      <c r="F1211" s="434"/>
      <c r="G1211" s="435"/>
      <c r="J1211" s="434"/>
    </row>
    <row r="1212" spans="2:10" ht="14.5">
      <c r="B1212" s="433"/>
      <c r="C1212" s="433"/>
      <c r="D1212" s="433"/>
      <c r="E1212" s="433"/>
      <c r="F1212" s="434"/>
      <c r="G1212" s="435"/>
      <c r="J1212" s="434"/>
    </row>
    <row r="1213" spans="2:10" ht="14.5">
      <c r="B1213" s="433"/>
      <c r="C1213" s="433"/>
      <c r="D1213" s="433"/>
      <c r="E1213" s="433"/>
      <c r="F1213" s="434"/>
      <c r="G1213" s="435"/>
      <c r="J1213" s="434"/>
    </row>
    <row r="1214" spans="2:10" ht="14.5">
      <c r="B1214" s="433"/>
      <c r="C1214" s="433"/>
      <c r="D1214" s="433"/>
      <c r="E1214" s="433"/>
      <c r="F1214" s="434"/>
      <c r="G1214" s="435"/>
      <c r="J1214" s="434"/>
    </row>
    <row r="1215" spans="2:10" ht="14.5">
      <c r="B1215" s="433"/>
      <c r="C1215" s="433"/>
      <c r="D1215" s="433"/>
      <c r="E1215" s="433"/>
      <c r="F1215" s="434"/>
      <c r="G1215" s="435"/>
      <c r="J1215" s="434"/>
    </row>
    <row r="1216" spans="2:10" ht="14.5">
      <c r="B1216" s="433"/>
      <c r="C1216" s="433"/>
      <c r="D1216" s="433"/>
      <c r="E1216" s="433"/>
      <c r="F1216" s="434"/>
      <c r="G1216" s="435"/>
      <c r="J1216" s="434"/>
    </row>
    <row r="1217" spans="2:10" ht="14.5">
      <c r="B1217" s="433"/>
      <c r="C1217" s="433"/>
      <c r="D1217" s="433"/>
      <c r="E1217" s="433"/>
      <c r="F1217" s="434"/>
      <c r="G1217" s="435"/>
      <c r="J1217" s="434"/>
    </row>
    <row r="1218" spans="2:10" ht="14.5">
      <c r="B1218" s="433"/>
      <c r="C1218" s="433"/>
      <c r="D1218" s="433"/>
      <c r="E1218" s="433"/>
      <c r="F1218" s="434"/>
      <c r="G1218" s="435"/>
      <c r="J1218" s="434"/>
    </row>
    <row r="1219" spans="2:10" ht="14.5">
      <c r="B1219" s="433"/>
      <c r="C1219" s="433"/>
      <c r="D1219" s="433"/>
      <c r="E1219" s="433"/>
      <c r="F1219" s="434"/>
      <c r="G1219" s="435"/>
      <c r="J1219" s="434"/>
    </row>
    <row r="1220" spans="2:10" ht="14.5">
      <c r="B1220" s="433"/>
      <c r="C1220" s="433"/>
      <c r="D1220" s="433"/>
      <c r="E1220" s="433"/>
      <c r="F1220" s="434"/>
      <c r="G1220" s="435"/>
      <c r="J1220" s="434"/>
    </row>
    <row r="1221" spans="2:10" ht="14.5">
      <c r="B1221" s="433"/>
      <c r="C1221" s="433"/>
      <c r="D1221" s="433"/>
      <c r="E1221" s="433"/>
      <c r="F1221" s="434"/>
      <c r="G1221" s="435"/>
      <c r="J1221" s="434"/>
    </row>
    <row r="1222" spans="2:10" ht="14.5">
      <c r="B1222" s="433"/>
      <c r="C1222" s="433"/>
      <c r="D1222" s="433"/>
      <c r="E1222" s="433"/>
      <c r="F1222" s="434"/>
      <c r="G1222" s="435"/>
      <c r="J1222" s="434"/>
    </row>
    <row r="1223" spans="2:10" ht="14.5">
      <c r="B1223" s="433"/>
      <c r="C1223" s="433"/>
      <c r="D1223" s="433"/>
      <c r="E1223" s="433"/>
      <c r="F1223" s="434"/>
      <c r="G1223" s="435"/>
      <c r="J1223" s="434"/>
    </row>
    <row r="1224" spans="2:10" ht="14.5">
      <c r="B1224" s="433"/>
      <c r="C1224" s="433"/>
      <c r="D1224" s="433"/>
      <c r="E1224" s="433"/>
      <c r="F1224" s="434"/>
      <c r="G1224" s="435"/>
      <c r="J1224" s="434"/>
    </row>
    <row r="1225" spans="2:10" ht="14.5">
      <c r="B1225" s="433"/>
      <c r="C1225" s="433"/>
      <c r="D1225" s="433"/>
      <c r="E1225" s="433"/>
      <c r="F1225" s="434"/>
      <c r="G1225" s="435"/>
      <c r="J1225" s="434"/>
    </row>
    <row r="1226" spans="2:10" ht="14.5">
      <c r="B1226" s="433"/>
      <c r="C1226" s="433"/>
      <c r="D1226" s="433"/>
      <c r="E1226" s="433"/>
      <c r="F1226" s="434"/>
      <c r="G1226" s="435"/>
      <c r="J1226" s="434"/>
    </row>
    <row r="1227" spans="2:10" ht="14.5">
      <c r="B1227" s="433"/>
      <c r="C1227" s="433"/>
      <c r="D1227" s="433"/>
      <c r="E1227" s="433"/>
      <c r="F1227" s="434"/>
      <c r="G1227" s="435"/>
      <c r="J1227" s="434"/>
    </row>
    <row r="1228" spans="2:10" ht="14.5">
      <c r="B1228" s="433"/>
      <c r="C1228" s="433"/>
      <c r="D1228" s="433"/>
      <c r="E1228" s="433"/>
      <c r="F1228" s="434"/>
      <c r="G1228" s="435"/>
      <c r="J1228" s="434"/>
    </row>
    <row r="1229" spans="2:10" ht="14.5">
      <c r="B1229" s="433"/>
      <c r="C1229" s="433"/>
      <c r="D1229" s="433"/>
      <c r="E1229" s="433"/>
      <c r="F1229" s="434"/>
      <c r="G1229" s="435"/>
      <c r="J1229" s="434"/>
    </row>
    <row r="1230" spans="2:10" ht="14.5">
      <c r="B1230" s="433"/>
      <c r="C1230" s="433"/>
      <c r="D1230" s="433"/>
      <c r="E1230" s="433"/>
      <c r="F1230" s="434"/>
      <c r="G1230" s="435"/>
      <c r="J1230" s="434"/>
    </row>
    <row r="1231" spans="2:10" ht="14.5">
      <c r="B1231" s="433"/>
      <c r="C1231" s="433"/>
      <c r="D1231" s="433"/>
      <c r="E1231" s="433"/>
      <c r="F1231" s="434"/>
      <c r="G1231" s="435"/>
      <c r="J1231" s="434"/>
    </row>
    <row r="1232" spans="2:10" ht="14.5">
      <c r="B1232" s="433"/>
      <c r="C1232" s="433"/>
      <c r="D1232" s="433"/>
      <c r="E1232" s="433"/>
      <c r="F1232" s="434"/>
      <c r="G1232" s="435"/>
      <c r="J1232" s="434"/>
    </row>
    <row r="1233" spans="2:10" ht="14.5">
      <c r="B1233" s="433"/>
      <c r="C1233" s="433"/>
      <c r="D1233" s="433"/>
      <c r="E1233" s="433"/>
      <c r="F1233" s="434"/>
      <c r="G1233" s="435"/>
      <c r="J1233" s="434"/>
    </row>
    <row r="1234" spans="2:10" ht="14.5">
      <c r="B1234" s="433"/>
      <c r="C1234" s="433"/>
      <c r="D1234" s="433"/>
      <c r="E1234" s="433"/>
      <c r="F1234" s="434"/>
      <c r="G1234" s="435"/>
      <c r="J1234" s="434"/>
    </row>
    <row r="1235" spans="2:10" ht="14.5">
      <c r="B1235" s="433"/>
      <c r="C1235" s="433"/>
      <c r="D1235" s="433"/>
      <c r="E1235" s="433"/>
      <c r="F1235" s="434"/>
      <c r="G1235" s="435"/>
      <c r="J1235" s="434"/>
    </row>
    <row r="1236" spans="2:10" ht="14.5">
      <c r="B1236" s="433"/>
      <c r="C1236" s="433"/>
      <c r="D1236" s="433"/>
      <c r="E1236" s="433"/>
      <c r="F1236" s="434"/>
      <c r="G1236" s="435"/>
      <c r="J1236" s="434"/>
    </row>
    <row r="1237" spans="2:10" ht="14.5">
      <c r="B1237" s="433"/>
      <c r="C1237" s="433"/>
      <c r="D1237" s="433"/>
      <c r="E1237" s="433"/>
      <c r="F1237" s="434"/>
      <c r="G1237" s="435"/>
      <c r="J1237" s="434"/>
    </row>
    <row r="1238" spans="2:10" ht="14.5">
      <c r="B1238" s="433"/>
      <c r="C1238" s="433"/>
      <c r="D1238" s="433"/>
      <c r="E1238" s="433"/>
      <c r="F1238" s="434"/>
      <c r="G1238" s="435"/>
      <c r="J1238" s="434"/>
    </row>
    <row r="1239" spans="2:10" ht="14.5">
      <c r="B1239" s="433"/>
      <c r="C1239" s="433"/>
      <c r="D1239" s="433"/>
      <c r="E1239" s="433"/>
      <c r="F1239" s="434"/>
      <c r="G1239" s="435"/>
      <c r="J1239" s="434"/>
    </row>
    <row r="1240" spans="2:10" ht="14.5">
      <c r="B1240" s="433"/>
      <c r="C1240" s="433"/>
      <c r="D1240" s="433"/>
      <c r="E1240" s="433"/>
      <c r="F1240" s="434"/>
      <c r="G1240" s="435"/>
      <c r="J1240" s="434"/>
    </row>
    <row r="1241" spans="2:10" ht="14.5">
      <c r="B1241" s="433"/>
      <c r="C1241" s="433"/>
      <c r="D1241" s="433"/>
      <c r="E1241" s="433"/>
      <c r="F1241" s="434"/>
      <c r="G1241" s="435"/>
      <c r="J1241" s="434"/>
    </row>
    <row r="1242" spans="2:10" ht="14.5">
      <c r="B1242" s="433"/>
      <c r="C1242" s="433"/>
      <c r="D1242" s="433"/>
      <c r="E1242" s="433"/>
      <c r="F1242" s="434"/>
      <c r="G1242" s="435"/>
      <c r="J1242" s="434"/>
    </row>
    <row r="1243" spans="2:10" ht="14.5">
      <c r="B1243" s="433"/>
      <c r="C1243" s="433"/>
      <c r="D1243" s="433"/>
      <c r="E1243" s="433"/>
      <c r="F1243" s="434"/>
      <c r="G1243" s="435"/>
      <c r="J1243" s="434"/>
    </row>
    <row r="1244" spans="2:10" ht="14.5">
      <c r="B1244" s="433"/>
      <c r="C1244" s="433"/>
      <c r="D1244" s="433"/>
      <c r="E1244" s="433"/>
      <c r="F1244" s="434"/>
      <c r="G1244" s="435"/>
      <c r="J1244" s="434"/>
    </row>
    <row r="1245" spans="2:10" ht="14.5">
      <c r="B1245" s="433"/>
      <c r="C1245" s="433"/>
      <c r="D1245" s="433"/>
      <c r="E1245" s="433"/>
      <c r="F1245" s="434"/>
      <c r="G1245" s="435"/>
      <c r="J1245" s="434"/>
    </row>
    <row r="1246" spans="2:10" ht="14.5">
      <c r="B1246" s="433"/>
      <c r="C1246" s="433"/>
      <c r="D1246" s="433"/>
      <c r="E1246" s="433"/>
      <c r="F1246" s="434"/>
      <c r="G1246" s="435"/>
      <c r="J1246" s="434"/>
    </row>
    <row r="1247" spans="2:10" ht="14.5">
      <c r="B1247" s="433"/>
      <c r="C1247" s="433"/>
      <c r="D1247" s="433"/>
      <c r="E1247" s="433"/>
      <c r="F1247" s="434"/>
      <c r="G1247" s="435"/>
      <c r="J1247" s="434"/>
    </row>
    <row r="1248" spans="2:10" ht="14.5">
      <c r="B1248" s="433"/>
      <c r="C1248" s="433"/>
      <c r="D1248" s="433"/>
      <c r="E1248" s="433"/>
      <c r="F1248" s="434"/>
      <c r="G1248" s="435"/>
      <c r="J1248" s="434"/>
    </row>
    <row r="1249" spans="2:10" ht="14.5">
      <c r="B1249" s="433"/>
      <c r="C1249" s="433"/>
      <c r="D1249" s="433"/>
      <c r="E1249" s="433"/>
      <c r="F1249" s="434"/>
      <c r="G1249" s="435"/>
      <c r="J1249" s="434"/>
    </row>
    <row r="1250" spans="2:10" ht="14.5">
      <c r="B1250" s="433"/>
      <c r="C1250" s="433"/>
      <c r="D1250" s="433"/>
      <c r="E1250" s="433"/>
      <c r="F1250" s="434"/>
      <c r="G1250" s="435"/>
      <c r="J1250" s="434"/>
    </row>
    <row r="1251" spans="2:10" ht="14.5">
      <c r="B1251" s="433"/>
      <c r="C1251" s="433"/>
      <c r="D1251" s="433"/>
      <c r="E1251" s="433"/>
      <c r="F1251" s="434"/>
      <c r="G1251" s="435"/>
      <c r="J1251" s="434"/>
    </row>
    <row r="1252" spans="2:10" ht="14.5">
      <c r="B1252" s="433"/>
      <c r="C1252" s="433"/>
      <c r="D1252" s="433"/>
      <c r="E1252" s="433"/>
      <c r="F1252" s="434"/>
      <c r="G1252" s="435"/>
      <c r="J1252" s="434"/>
    </row>
    <row r="1253" spans="2:10" ht="14.5">
      <c r="B1253" s="433"/>
      <c r="C1253" s="433"/>
      <c r="D1253" s="433"/>
      <c r="E1253" s="433"/>
      <c r="F1253" s="434"/>
      <c r="G1253" s="435"/>
      <c r="J1253" s="434"/>
    </row>
    <row r="1254" spans="2:10" ht="14.5">
      <c r="B1254" s="433"/>
      <c r="C1254" s="433"/>
      <c r="D1254" s="433"/>
      <c r="E1254" s="433"/>
      <c r="F1254" s="434"/>
      <c r="G1254" s="435"/>
      <c r="J1254" s="434"/>
    </row>
    <row r="1255" spans="2:10" ht="14.5">
      <c r="B1255" s="433"/>
      <c r="C1255" s="433"/>
      <c r="D1255" s="433"/>
      <c r="E1255" s="433"/>
      <c r="F1255" s="434"/>
      <c r="G1255" s="435"/>
      <c r="J1255" s="434"/>
    </row>
    <row r="1256" spans="2:10" ht="14.5">
      <c r="B1256" s="433"/>
      <c r="C1256" s="433"/>
      <c r="D1256" s="433"/>
      <c r="E1256" s="433"/>
      <c r="F1256" s="434"/>
      <c r="G1256" s="435"/>
      <c r="J1256" s="434"/>
    </row>
    <row r="1257" spans="2:10" ht="14.5">
      <c r="B1257" s="433"/>
      <c r="C1257" s="433"/>
      <c r="D1257" s="433"/>
      <c r="E1257" s="433"/>
      <c r="F1257" s="434"/>
      <c r="G1257" s="435"/>
      <c r="J1257" s="434"/>
    </row>
    <row r="1258" spans="2:10" ht="14.5">
      <c r="B1258" s="433"/>
      <c r="C1258" s="433"/>
      <c r="D1258" s="433"/>
      <c r="E1258" s="433"/>
      <c r="F1258" s="434"/>
      <c r="G1258" s="435"/>
      <c r="J1258" s="434"/>
    </row>
    <row r="1259" spans="2:10" ht="14.5">
      <c r="B1259" s="433"/>
      <c r="C1259" s="433"/>
      <c r="D1259" s="433"/>
      <c r="E1259" s="433"/>
      <c r="F1259" s="434"/>
      <c r="G1259" s="435"/>
      <c r="J1259" s="434"/>
    </row>
    <row r="1260" spans="2:10" ht="14.5">
      <c r="B1260" s="433"/>
      <c r="C1260" s="433"/>
      <c r="D1260" s="433"/>
      <c r="E1260" s="433"/>
      <c r="F1260" s="434"/>
      <c r="G1260" s="435"/>
      <c r="J1260" s="434"/>
    </row>
    <row r="1261" spans="2:10" ht="14.5">
      <c r="B1261" s="433"/>
      <c r="C1261" s="433"/>
      <c r="D1261" s="433"/>
      <c r="E1261" s="433"/>
      <c r="F1261" s="434"/>
      <c r="G1261" s="435"/>
      <c r="J1261" s="434"/>
    </row>
    <row r="1262" spans="2:10" ht="14.5">
      <c r="B1262" s="433"/>
      <c r="C1262" s="433"/>
      <c r="D1262" s="433"/>
      <c r="E1262" s="433"/>
      <c r="F1262" s="434"/>
      <c r="G1262" s="435"/>
      <c r="J1262" s="434"/>
    </row>
    <row r="1263" spans="2:10" ht="14.5">
      <c r="B1263" s="433"/>
      <c r="C1263" s="433"/>
      <c r="D1263" s="433"/>
      <c r="E1263" s="433"/>
      <c r="F1263" s="434"/>
      <c r="G1263" s="435"/>
      <c r="J1263" s="434"/>
    </row>
    <row r="1264" spans="2:10" ht="14.5">
      <c r="B1264" s="433"/>
      <c r="C1264" s="433"/>
      <c r="D1264" s="433"/>
      <c r="E1264" s="433"/>
      <c r="F1264" s="434"/>
      <c r="G1264" s="435"/>
      <c r="J1264" s="434"/>
    </row>
    <row r="1265" spans="2:10" ht="14.5">
      <c r="B1265" s="433"/>
      <c r="C1265" s="433"/>
      <c r="D1265" s="433"/>
      <c r="E1265" s="433"/>
      <c r="F1265" s="434"/>
      <c r="G1265" s="435"/>
      <c r="J1265" s="434"/>
    </row>
    <row r="1266" spans="2:10" ht="14.5">
      <c r="B1266" s="433"/>
      <c r="C1266" s="433"/>
      <c r="D1266" s="433"/>
      <c r="E1266" s="433"/>
      <c r="F1266" s="434"/>
      <c r="G1266" s="435"/>
      <c r="J1266" s="434"/>
    </row>
    <row r="1267" spans="2:10" ht="14.5">
      <c r="B1267" s="433"/>
      <c r="C1267" s="433"/>
      <c r="D1267" s="433"/>
      <c r="E1267" s="433"/>
      <c r="F1267" s="434"/>
      <c r="G1267" s="435"/>
      <c r="J1267" s="434"/>
    </row>
    <row r="1268" spans="2:10" ht="14.5">
      <c r="B1268" s="433"/>
      <c r="C1268" s="433"/>
      <c r="D1268" s="433"/>
      <c r="E1268" s="433"/>
      <c r="F1268" s="434"/>
      <c r="G1268" s="435"/>
      <c r="J1268" s="434"/>
    </row>
    <row r="1269" spans="2:10" ht="14.5">
      <c r="B1269" s="433"/>
      <c r="C1269" s="433"/>
      <c r="D1269" s="433"/>
      <c r="E1269" s="433"/>
      <c r="F1269" s="434"/>
      <c r="G1269" s="435"/>
      <c r="J1269" s="434"/>
    </row>
    <row r="1270" spans="2:10" ht="14.5">
      <c r="B1270" s="433"/>
      <c r="C1270" s="433"/>
      <c r="D1270" s="433"/>
      <c r="E1270" s="433"/>
      <c r="F1270" s="434"/>
      <c r="G1270" s="435"/>
      <c r="J1270" s="434"/>
    </row>
    <row r="1271" spans="2:10" ht="14.5">
      <c r="B1271" s="433"/>
      <c r="C1271" s="433"/>
      <c r="D1271" s="433"/>
      <c r="E1271" s="433"/>
      <c r="F1271" s="434"/>
      <c r="G1271" s="435"/>
      <c r="J1271" s="434"/>
    </row>
    <row r="1272" spans="2:10" ht="14.5">
      <c r="B1272" s="433"/>
      <c r="C1272" s="433"/>
      <c r="D1272" s="433"/>
      <c r="E1272" s="433"/>
      <c r="F1272" s="434"/>
      <c r="G1272" s="435"/>
      <c r="J1272" s="434"/>
    </row>
    <row r="1273" spans="2:10" ht="14.5">
      <c r="B1273" s="433"/>
      <c r="C1273" s="433"/>
      <c r="D1273" s="433"/>
      <c r="E1273" s="433"/>
      <c r="F1273" s="434"/>
      <c r="G1273" s="435"/>
      <c r="J1273" s="434"/>
    </row>
    <row r="1274" spans="2:10" ht="14.5">
      <c r="B1274" s="433"/>
      <c r="C1274" s="433"/>
      <c r="D1274" s="433"/>
      <c r="E1274" s="433"/>
      <c r="F1274" s="434"/>
      <c r="G1274" s="435"/>
      <c r="J1274" s="434"/>
    </row>
    <row r="1275" spans="2:10" ht="14.5">
      <c r="B1275" s="433"/>
      <c r="C1275" s="433"/>
      <c r="D1275" s="433"/>
      <c r="E1275" s="433"/>
      <c r="F1275" s="434"/>
      <c r="G1275" s="435"/>
      <c r="J1275" s="434"/>
    </row>
    <row r="1276" spans="2:10" ht="14.5">
      <c r="B1276" s="433"/>
      <c r="C1276" s="433"/>
      <c r="D1276" s="433"/>
      <c r="E1276" s="433"/>
      <c r="F1276" s="434"/>
      <c r="G1276" s="435"/>
      <c r="J1276" s="434"/>
    </row>
    <row r="1277" spans="2:10" ht="14.5">
      <c r="B1277" s="433"/>
      <c r="C1277" s="433"/>
      <c r="D1277" s="433"/>
      <c r="E1277" s="433"/>
      <c r="F1277" s="434"/>
      <c r="G1277" s="435"/>
      <c r="J1277" s="434"/>
    </row>
    <row r="1278" spans="2:10" ht="14.5">
      <c r="B1278" s="433"/>
      <c r="C1278" s="433"/>
      <c r="D1278" s="433"/>
      <c r="E1278" s="433"/>
      <c r="F1278" s="434"/>
      <c r="G1278" s="435"/>
      <c r="J1278" s="434"/>
    </row>
    <row r="1279" spans="2:10" ht="14.5">
      <c r="B1279" s="433"/>
      <c r="C1279" s="433"/>
      <c r="D1279" s="433"/>
      <c r="E1279" s="433"/>
      <c r="F1279" s="434"/>
      <c r="G1279" s="435"/>
      <c r="J1279" s="434"/>
    </row>
    <row r="1280" spans="2:10" ht="14.5">
      <c r="B1280" s="433"/>
      <c r="C1280" s="433"/>
      <c r="D1280" s="433"/>
      <c r="E1280" s="433"/>
      <c r="F1280" s="434"/>
      <c r="G1280" s="435"/>
      <c r="J1280" s="434"/>
    </row>
    <row r="1281" spans="2:10" ht="14.5">
      <c r="B1281" s="433"/>
      <c r="C1281" s="433"/>
      <c r="D1281" s="433"/>
      <c r="E1281" s="433"/>
      <c r="F1281" s="434"/>
      <c r="G1281" s="435"/>
      <c r="J1281" s="434"/>
    </row>
    <row r="1282" spans="2:10" ht="14.5">
      <c r="B1282" s="433"/>
      <c r="C1282" s="433"/>
      <c r="D1282" s="433"/>
      <c r="E1282" s="433"/>
      <c r="F1282" s="434"/>
      <c r="G1282" s="435"/>
      <c r="J1282" s="434"/>
    </row>
    <row r="1283" spans="2:10" ht="14.5">
      <c r="B1283" s="433"/>
      <c r="C1283" s="433"/>
      <c r="D1283" s="433"/>
      <c r="E1283" s="433"/>
      <c r="F1283" s="434"/>
      <c r="G1283" s="435"/>
      <c r="J1283" s="434"/>
    </row>
    <row r="1284" spans="2:10" ht="14.5">
      <c r="B1284" s="433"/>
      <c r="C1284" s="433"/>
      <c r="D1284" s="433"/>
      <c r="E1284" s="433"/>
      <c r="F1284" s="434"/>
      <c r="G1284" s="435"/>
      <c r="J1284" s="434"/>
    </row>
    <row r="1285" spans="2:10" ht="14.5">
      <c r="B1285" s="433"/>
      <c r="C1285" s="433"/>
      <c r="D1285" s="433"/>
      <c r="E1285" s="433"/>
      <c r="F1285" s="434"/>
      <c r="G1285" s="435"/>
      <c r="J1285" s="434"/>
    </row>
    <row r="1286" spans="2:10" ht="14.5">
      <c r="B1286" s="433"/>
      <c r="C1286" s="433"/>
      <c r="D1286" s="433"/>
      <c r="E1286" s="433"/>
      <c r="F1286" s="434"/>
      <c r="G1286" s="435"/>
      <c r="J1286" s="434"/>
    </row>
    <row r="1287" spans="2:10" ht="14.5">
      <c r="B1287" s="433"/>
      <c r="C1287" s="433"/>
      <c r="D1287" s="433"/>
      <c r="E1287" s="433"/>
      <c r="F1287" s="434"/>
      <c r="G1287" s="435"/>
      <c r="J1287" s="434"/>
    </row>
    <row r="1288" spans="2:10" ht="14.5">
      <c r="B1288" s="433"/>
      <c r="C1288" s="433"/>
      <c r="D1288" s="433"/>
      <c r="E1288" s="433"/>
      <c r="F1288" s="434"/>
      <c r="G1288" s="435"/>
      <c r="J1288" s="434"/>
    </row>
    <row r="1289" spans="2:10" ht="14.5">
      <c r="B1289" s="433"/>
      <c r="C1289" s="433"/>
      <c r="D1289" s="433"/>
      <c r="E1289" s="433"/>
      <c r="F1289" s="434"/>
      <c r="G1289" s="435"/>
      <c r="J1289" s="434"/>
    </row>
    <row r="1290" spans="2:10" ht="14.5">
      <c r="B1290" s="433"/>
      <c r="C1290" s="433"/>
      <c r="D1290" s="433"/>
      <c r="E1290" s="433"/>
      <c r="F1290" s="434"/>
      <c r="G1290" s="435"/>
      <c r="J1290" s="434"/>
    </row>
    <row r="1291" spans="2:10" ht="14.5">
      <c r="B1291" s="433"/>
      <c r="C1291" s="433"/>
      <c r="D1291" s="433"/>
      <c r="E1291" s="433"/>
      <c r="F1291" s="434"/>
      <c r="G1291" s="435"/>
      <c r="J1291" s="434"/>
    </row>
    <row r="1292" spans="2:10" ht="14.5">
      <c r="B1292" s="433"/>
      <c r="C1292" s="433"/>
      <c r="D1292" s="433"/>
      <c r="E1292" s="433"/>
      <c r="F1292" s="434"/>
      <c r="G1292" s="435"/>
      <c r="J1292" s="434"/>
    </row>
    <row r="1293" spans="2:10" ht="14.5">
      <c r="B1293" s="433"/>
      <c r="C1293" s="433"/>
      <c r="D1293" s="433"/>
      <c r="E1293" s="433"/>
      <c r="F1293" s="434"/>
      <c r="G1293" s="435"/>
      <c r="J1293" s="434"/>
    </row>
    <row r="1294" spans="2:10" ht="14.5">
      <c r="B1294" s="433"/>
      <c r="C1294" s="433"/>
      <c r="D1294" s="433"/>
      <c r="E1294" s="433"/>
      <c r="F1294" s="434"/>
      <c r="G1294" s="435"/>
      <c r="J1294" s="434"/>
    </row>
    <row r="1295" spans="2:10" ht="14.5">
      <c r="B1295" s="433"/>
      <c r="C1295" s="433"/>
      <c r="D1295" s="433"/>
      <c r="E1295" s="433"/>
      <c r="F1295" s="434"/>
      <c r="G1295" s="435"/>
      <c r="J1295" s="434"/>
    </row>
    <row r="1296" spans="2:10" ht="14.5">
      <c r="B1296" s="433"/>
      <c r="C1296" s="433"/>
      <c r="D1296" s="433"/>
      <c r="E1296" s="433"/>
      <c r="F1296" s="434"/>
      <c r="G1296" s="435"/>
      <c r="J1296" s="434"/>
    </row>
    <row r="1297" spans="2:10" ht="14.5">
      <c r="B1297" s="433"/>
      <c r="C1297" s="433"/>
      <c r="D1297" s="433"/>
      <c r="E1297" s="433"/>
      <c r="F1297" s="434"/>
      <c r="G1297" s="435"/>
      <c r="J1297" s="434"/>
    </row>
    <row r="1298" spans="2:10" ht="14.5">
      <c r="B1298" s="433"/>
      <c r="C1298" s="433"/>
      <c r="D1298" s="433"/>
      <c r="E1298" s="433"/>
      <c r="F1298" s="434"/>
      <c r="G1298" s="435"/>
      <c r="J1298" s="434"/>
    </row>
    <row r="1299" spans="2:10" ht="14.5">
      <c r="B1299" s="433"/>
      <c r="C1299" s="433"/>
      <c r="D1299" s="433"/>
      <c r="E1299" s="433"/>
      <c r="F1299" s="434"/>
      <c r="G1299" s="435"/>
      <c r="J1299" s="434"/>
    </row>
    <row r="1300" spans="2:10" ht="14.5">
      <c r="B1300" s="433"/>
      <c r="C1300" s="433"/>
      <c r="D1300" s="433"/>
      <c r="E1300" s="433"/>
      <c r="F1300" s="434"/>
      <c r="G1300" s="435"/>
      <c r="J1300" s="434"/>
    </row>
    <row r="1301" spans="2:10" ht="14.5">
      <c r="B1301" s="433"/>
      <c r="C1301" s="433"/>
      <c r="D1301" s="433"/>
      <c r="E1301" s="433"/>
      <c r="F1301" s="434"/>
      <c r="G1301" s="435"/>
      <c r="J1301" s="434"/>
    </row>
    <row r="1302" spans="2:10" ht="14.5">
      <c r="B1302" s="433"/>
      <c r="C1302" s="433"/>
      <c r="D1302" s="433"/>
      <c r="E1302" s="433"/>
      <c r="F1302" s="434"/>
      <c r="G1302" s="435"/>
      <c r="J1302" s="434"/>
    </row>
    <row r="1303" spans="2:10" ht="14.5">
      <c r="B1303" s="433"/>
      <c r="C1303" s="433"/>
      <c r="D1303" s="433"/>
      <c r="E1303" s="433"/>
      <c r="F1303" s="434"/>
      <c r="G1303" s="435"/>
    </row>
    <row r="1304" spans="2:10" ht="14.5">
      <c r="B1304" s="433"/>
      <c r="C1304" s="433"/>
      <c r="D1304" s="433"/>
      <c r="E1304" s="433"/>
      <c r="F1304" s="434"/>
      <c r="G1304" s="435"/>
    </row>
    <row r="1305" spans="2:10" ht="14.5">
      <c r="B1305" s="433"/>
      <c r="C1305" s="433"/>
      <c r="D1305" s="433"/>
      <c r="E1305" s="433"/>
      <c r="F1305" s="434"/>
      <c r="G1305" s="435"/>
    </row>
    <row r="1306" spans="2:10" ht="14.5">
      <c r="B1306" s="433"/>
      <c r="C1306" s="433"/>
      <c r="D1306" s="433"/>
      <c r="E1306" s="433"/>
      <c r="F1306" s="434"/>
      <c r="G1306" s="435"/>
    </row>
    <row r="1307" spans="2:10" ht="14.5">
      <c r="B1307" s="433"/>
      <c r="C1307" s="433"/>
      <c r="D1307" s="433"/>
      <c r="E1307" s="433"/>
      <c r="F1307" s="434"/>
      <c r="G1307" s="435"/>
    </row>
    <row r="1308" spans="2:10" ht="14.5">
      <c r="B1308" s="433"/>
      <c r="C1308" s="433"/>
      <c r="D1308" s="433"/>
      <c r="E1308" s="433"/>
      <c r="F1308" s="434"/>
      <c r="G1308" s="435"/>
    </row>
    <row r="1309" spans="2:10" ht="14.5">
      <c r="B1309" s="433"/>
      <c r="C1309" s="433"/>
      <c r="D1309" s="433"/>
      <c r="E1309" s="433"/>
      <c r="F1309" s="434"/>
      <c r="G1309" s="435"/>
    </row>
    <row r="1310" spans="2:10" ht="14.5">
      <c r="B1310" s="433"/>
      <c r="C1310" s="433"/>
      <c r="D1310" s="433"/>
      <c r="E1310" s="433"/>
      <c r="F1310" s="434"/>
      <c r="G1310" s="435"/>
    </row>
    <row r="1311" spans="2:10" ht="14.5">
      <c r="B1311" s="433"/>
      <c r="C1311" s="433"/>
      <c r="D1311" s="433"/>
      <c r="E1311" s="433"/>
      <c r="F1311" s="434"/>
      <c r="G1311" s="435"/>
    </row>
    <row r="1312" spans="2:10" ht="14.5">
      <c r="B1312" s="433"/>
      <c r="C1312" s="433"/>
      <c r="D1312" s="433"/>
      <c r="E1312" s="433"/>
      <c r="F1312" s="434"/>
      <c r="G1312" s="435"/>
    </row>
    <row r="1313" spans="2:7" ht="14.5">
      <c r="B1313" s="433"/>
      <c r="C1313" s="433"/>
      <c r="D1313" s="433"/>
      <c r="E1313" s="433"/>
      <c r="F1313" s="434"/>
      <c r="G1313" s="435"/>
    </row>
    <row r="1314" spans="2:7" ht="14.5">
      <c r="B1314" s="433"/>
      <c r="C1314" s="433"/>
      <c r="D1314" s="433"/>
      <c r="E1314" s="433"/>
      <c r="F1314" s="434"/>
      <c r="G1314" s="435"/>
    </row>
    <row r="1315" spans="2:7" ht="14.5">
      <c r="B1315" s="433"/>
      <c r="C1315" s="433"/>
      <c r="D1315" s="433"/>
      <c r="E1315" s="433"/>
      <c r="F1315" s="434"/>
      <c r="G1315" s="435"/>
    </row>
    <row r="1316" spans="2:7" ht="14.5">
      <c r="B1316" s="433"/>
      <c r="C1316" s="433"/>
      <c r="D1316" s="433"/>
      <c r="E1316" s="433"/>
      <c r="F1316" s="434"/>
      <c r="G1316" s="435"/>
    </row>
    <row r="1317" spans="2:7" ht="14.5">
      <c r="B1317" s="433"/>
      <c r="C1317" s="433"/>
      <c r="D1317" s="433"/>
      <c r="E1317" s="433"/>
      <c r="F1317" s="434"/>
      <c r="G1317" s="435"/>
    </row>
    <row r="1318" spans="2:7" ht="14.5">
      <c r="B1318" s="433"/>
      <c r="C1318" s="433"/>
      <c r="D1318" s="433"/>
      <c r="E1318" s="433"/>
      <c r="F1318" s="434"/>
      <c r="G1318" s="435"/>
    </row>
    <row r="1319" spans="2:7" ht="14.5">
      <c r="B1319" s="433"/>
      <c r="C1319" s="433"/>
      <c r="D1319" s="433"/>
      <c r="E1319" s="433"/>
      <c r="F1319" s="434"/>
      <c r="G1319" s="435"/>
    </row>
    <row r="1320" spans="2:7" ht="14.5">
      <c r="B1320" s="433"/>
      <c r="C1320" s="433"/>
      <c r="D1320" s="433"/>
      <c r="E1320" s="433"/>
      <c r="F1320" s="434"/>
      <c r="G1320" s="435"/>
    </row>
    <row r="1321" spans="2:7" ht="14.5">
      <c r="B1321" s="433"/>
      <c r="C1321" s="433"/>
      <c r="D1321" s="433"/>
      <c r="E1321" s="433"/>
      <c r="F1321" s="434"/>
      <c r="G1321" s="435"/>
    </row>
    <row r="1322" spans="2:7" ht="14.5">
      <c r="B1322" s="433"/>
      <c r="C1322" s="433"/>
      <c r="D1322" s="433"/>
      <c r="E1322" s="433"/>
      <c r="F1322" s="434"/>
      <c r="G1322" s="435"/>
    </row>
    <row r="1323" spans="2:7" ht="14.5">
      <c r="B1323" s="433"/>
      <c r="C1323" s="433"/>
      <c r="D1323" s="433"/>
      <c r="E1323" s="433"/>
      <c r="F1323" s="434"/>
      <c r="G1323" s="435"/>
    </row>
    <row r="1324" spans="2:7" ht="14.5">
      <c r="B1324" s="433"/>
      <c r="C1324" s="433"/>
      <c r="D1324" s="433"/>
      <c r="E1324" s="433"/>
      <c r="F1324" s="434"/>
      <c r="G1324" s="435"/>
    </row>
    <row r="1325" spans="2:7" ht="14.5">
      <c r="B1325" s="433"/>
      <c r="C1325" s="433"/>
      <c r="D1325" s="433"/>
      <c r="E1325" s="433"/>
      <c r="F1325" s="434"/>
      <c r="G1325" s="435"/>
    </row>
    <row r="1326" spans="2:7" ht="14.5">
      <c r="B1326" s="433"/>
      <c r="C1326" s="433"/>
      <c r="D1326" s="433"/>
      <c r="E1326" s="433"/>
      <c r="F1326" s="434"/>
      <c r="G1326" s="435"/>
    </row>
    <row r="1327" spans="2:7" ht="14.5">
      <c r="B1327" s="433"/>
      <c r="C1327" s="433"/>
      <c r="D1327" s="433"/>
      <c r="E1327" s="433"/>
      <c r="F1327" s="434"/>
      <c r="G1327" s="435"/>
    </row>
    <row r="1328" spans="2:7" ht="14.5">
      <c r="B1328" s="433"/>
      <c r="C1328" s="433"/>
      <c r="D1328" s="433"/>
      <c r="E1328" s="433"/>
      <c r="F1328" s="434"/>
      <c r="G1328" s="435"/>
    </row>
    <row r="1329" spans="2:7" ht="14.5">
      <c r="B1329" s="433"/>
      <c r="C1329" s="433"/>
      <c r="D1329" s="433"/>
      <c r="E1329" s="433"/>
      <c r="F1329" s="434"/>
      <c r="G1329" s="435"/>
    </row>
    <row r="1330" spans="2:7" ht="14.5">
      <c r="B1330" s="433"/>
      <c r="C1330" s="433"/>
      <c r="D1330" s="433"/>
      <c r="E1330" s="433"/>
      <c r="F1330" s="434"/>
      <c r="G1330" s="435"/>
    </row>
    <row r="1331" spans="2:7" ht="14.5">
      <c r="B1331" s="433"/>
      <c r="C1331" s="433"/>
      <c r="D1331" s="433"/>
      <c r="E1331" s="433"/>
      <c r="F1331" s="434"/>
      <c r="G1331" s="435"/>
    </row>
    <row r="1332" spans="2:7" ht="14.5">
      <c r="B1332" s="433"/>
      <c r="C1332" s="433"/>
      <c r="D1332" s="433"/>
      <c r="E1332" s="433"/>
      <c r="F1332" s="434"/>
      <c r="G1332" s="435"/>
    </row>
    <row r="1333" spans="2:7" ht="14.5">
      <c r="B1333" s="433"/>
      <c r="C1333" s="433"/>
      <c r="D1333" s="433"/>
      <c r="E1333" s="433"/>
      <c r="F1333" s="434"/>
      <c r="G1333" s="435"/>
    </row>
    <row r="1334" spans="2:7" ht="14.5">
      <c r="B1334" s="433"/>
      <c r="C1334" s="433"/>
      <c r="D1334" s="433"/>
      <c r="E1334" s="433"/>
      <c r="F1334" s="434"/>
      <c r="G1334" s="435"/>
    </row>
    <row r="1335" spans="2:7" ht="14.5">
      <c r="B1335" s="433"/>
      <c r="C1335" s="433"/>
      <c r="D1335" s="433"/>
      <c r="E1335" s="433"/>
      <c r="F1335" s="434"/>
      <c r="G1335" s="435"/>
    </row>
    <row r="1336" spans="2:7" ht="14.5">
      <c r="B1336" s="433"/>
      <c r="C1336" s="433"/>
      <c r="D1336" s="433"/>
      <c r="E1336" s="433"/>
      <c r="F1336" s="434"/>
      <c r="G1336" s="435"/>
    </row>
    <row r="1337" spans="2:7" ht="14.5">
      <c r="B1337" s="433"/>
      <c r="C1337" s="433"/>
      <c r="D1337" s="433"/>
      <c r="E1337" s="433"/>
      <c r="F1337" s="434"/>
      <c r="G1337" s="435"/>
    </row>
    <row r="1338" spans="2:7" ht="14.5">
      <c r="B1338" s="433"/>
      <c r="C1338" s="433"/>
      <c r="D1338" s="433"/>
      <c r="E1338" s="433"/>
      <c r="F1338" s="434"/>
      <c r="G1338" s="435"/>
    </row>
    <row r="1339" spans="2:7" ht="14.5">
      <c r="B1339" s="433"/>
      <c r="C1339" s="433"/>
      <c r="D1339" s="433"/>
      <c r="E1339" s="433"/>
      <c r="F1339" s="434"/>
      <c r="G1339" s="435"/>
    </row>
    <row r="1340" spans="2:7" ht="14.5">
      <c r="B1340" s="433"/>
      <c r="C1340" s="433"/>
      <c r="D1340" s="433"/>
      <c r="E1340" s="433"/>
      <c r="F1340" s="434"/>
      <c r="G1340" s="435"/>
    </row>
    <row r="1341" spans="2:7" ht="14.5">
      <c r="C1341" s="433"/>
      <c r="D1341" s="433"/>
      <c r="E1341" s="433"/>
      <c r="F1341" s="434"/>
      <c r="G1341" s="435"/>
    </row>
    <row r="1342" spans="2:7" ht="14.5">
      <c r="C1342" s="433"/>
      <c r="D1342" s="433"/>
      <c r="E1342" s="433"/>
      <c r="F1342" s="434"/>
      <c r="G1342" s="435"/>
    </row>
    <row r="1343" spans="2:7" ht="14.5">
      <c r="C1343" s="433"/>
      <c r="D1343" s="433"/>
      <c r="E1343" s="433"/>
      <c r="F1343" s="434"/>
      <c r="G1343" s="435"/>
    </row>
    <row r="1344" spans="2:7" ht="14.5">
      <c r="C1344" s="433"/>
      <c r="D1344" s="433"/>
      <c r="E1344" s="433"/>
      <c r="F1344" s="434"/>
      <c r="G1344" s="435"/>
    </row>
    <row r="1345" spans="3:7" ht="14.5">
      <c r="C1345" s="433"/>
      <c r="D1345" s="433"/>
      <c r="E1345" s="433"/>
      <c r="F1345" s="434"/>
      <c r="G1345" s="435"/>
    </row>
    <row r="1346" spans="3:7" ht="14.5">
      <c r="C1346" s="433"/>
      <c r="D1346" s="433"/>
      <c r="E1346" s="433"/>
      <c r="F1346" s="434"/>
      <c r="G1346" s="435"/>
    </row>
    <row r="1347" spans="3:7" ht="14.5">
      <c r="C1347" s="433"/>
      <c r="D1347" s="433"/>
      <c r="E1347" s="433"/>
      <c r="F1347" s="434"/>
      <c r="G1347" s="435"/>
    </row>
    <row r="1348" spans="3:7" ht="14.5">
      <c r="C1348" s="433"/>
      <c r="D1348" s="433"/>
      <c r="E1348" s="433"/>
      <c r="F1348" s="434"/>
      <c r="G1348" s="435"/>
    </row>
    <row r="1349" spans="3:7" ht="14.5">
      <c r="C1349" s="433"/>
      <c r="D1349" s="433"/>
      <c r="E1349" s="433"/>
      <c r="F1349" s="434"/>
      <c r="G1349" s="435"/>
    </row>
    <row r="1350" spans="3:7" ht="14.5">
      <c r="C1350" s="433"/>
      <c r="D1350" s="433"/>
      <c r="E1350" s="433"/>
      <c r="F1350" s="434"/>
      <c r="G1350" s="435"/>
    </row>
    <row r="1351" spans="3:7" ht="14.5">
      <c r="C1351" s="433"/>
      <c r="D1351" s="433"/>
      <c r="E1351" s="433"/>
      <c r="F1351" s="434"/>
      <c r="G1351" s="435"/>
    </row>
    <row r="1352" spans="3:7" ht="14.5">
      <c r="C1352" s="433"/>
      <c r="D1352" s="433"/>
      <c r="E1352" s="433"/>
      <c r="F1352" s="434"/>
      <c r="G1352" s="435"/>
    </row>
    <row r="1353" spans="3:7" ht="14.5">
      <c r="C1353" s="433"/>
      <c r="D1353" s="433"/>
      <c r="E1353" s="433"/>
      <c r="F1353" s="434"/>
      <c r="G1353" s="435"/>
    </row>
    <row r="1354" spans="3:7" ht="14.5">
      <c r="C1354" s="433"/>
      <c r="D1354" s="433"/>
      <c r="E1354" s="433"/>
      <c r="F1354" s="434"/>
      <c r="G1354" s="435"/>
    </row>
    <row r="1355" spans="3:7" ht="14.5">
      <c r="C1355" s="433"/>
      <c r="D1355" s="433"/>
      <c r="E1355" s="433"/>
      <c r="F1355" s="434"/>
      <c r="G1355" s="435"/>
    </row>
    <row r="1356" spans="3:7" ht="14.5">
      <c r="C1356" s="433"/>
      <c r="D1356" s="433"/>
      <c r="E1356" s="433"/>
      <c r="F1356" s="434"/>
      <c r="G1356" s="435"/>
    </row>
    <row r="1357" spans="3:7" ht="14.5">
      <c r="C1357" s="433"/>
      <c r="D1357" s="433"/>
      <c r="E1357" s="433"/>
      <c r="F1357" s="434"/>
      <c r="G1357" s="435"/>
    </row>
    <row r="1358" spans="3:7" ht="14.5">
      <c r="C1358" s="433"/>
      <c r="D1358" s="433"/>
      <c r="E1358" s="433"/>
      <c r="F1358" s="434"/>
      <c r="G1358" s="435"/>
    </row>
    <row r="1359" spans="3:7" ht="14.5">
      <c r="C1359" s="433"/>
      <c r="D1359" s="433"/>
      <c r="E1359" s="433"/>
      <c r="F1359" s="434"/>
      <c r="G1359" s="435"/>
    </row>
    <row r="1360" spans="3:7" ht="14.5">
      <c r="C1360" s="433"/>
      <c r="D1360" s="433"/>
      <c r="E1360" s="433"/>
      <c r="F1360" s="434"/>
      <c r="G1360" s="435"/>
    </row>
    <row r="1361" spans="3:7" ht="14.5">
      <c r="C1361" s="433"/>
      <c r="D1361" s="433"/>
      <c r="E1361" s="433"/>
      <c r="F1361" s="434"/>
      <c r="G1361" s="435"/>
    </row>
    <row r="1362" spans="3:7" ht="14.5">
      <c r="C1362" s="433"/>
      <c r="D1362" s="433"/>
      <c r="E1362" s="433"/>
      <c r="F1362" s="434"/>
      <c r="G1362" s="435"/>
    </row>
    <row r="1363" spans="3:7" ht="14.5">
      <c r="C1363" s="433"/>
      <c r="D1363" s="433"/>
      <c r="E1363" s="433"/>
      <c r="F1363" s="434"/>
      <c r="G1363" s="435"/>
    </row>
    <row r="1364" spans="3:7" ht="14.5">
      <c r="C1364" s="433"/>
      <c r="D1364" s="433"/>
      <c r="E1364" s="433"/>
      <c r="F1364" s="434"/>
      <c r="G1364" s="435"/>
    </row>
    <row r="1365" spans="3:7" ht="14.5">
      <c r="C1365" s="433"/>
      <c r="D1365" s="433"/>
      <c r="E1365" s="433"/>
      <c r="F1365" s="434"/>
      <c r="G1365" s="435"/>
    </row>
    <row r="1366" spans="3:7" ht="14.5">
      <c r="C1366" s="433"/>
      <c r="D1366" s="433"/>
      <c r="E1366" s="433"/>
      <c r="F1366" s="434"/>
      <c r="G1366" s="435"/>
    </row>
    <row r="1367" spans="3:7" ht="14.5">
      <c r="C1367" s="433"/>
      <c r="D1367" s="433"/>
      <c r="E1367" s="433"/>
      <c r="F1367" s="434"/>
      <c r="G1367" s="435"/>
    </row>
    <row r="1368" spans="3:7" ht="14.5">
      <c r="C1368" s="433"/>
      <c r="D1368" s="433"/>
      <c r="E1368" s="433"/>
      <c r="F1368" s="434"/>
      <c r="G1368" s="435"/>
    </row>
    <row r="1369" spans="3:7" ht="14.5">
      <c r="C1369" s="433"/>
      <c r="D1369" s="433"/>
      <c r="E1369" s="433"/>
      <c r="F1369" s="434"/>
      <c r="G1369" s="435"/>
    </row>
    <row r="1370" spans="3:7" ht="14.5">
      <c r="C1370" s="433"/>
      <c r="D1370" s="433"/>
      <c r="E1370" s="433"/>
      <c r="F1370" s="434"/>
      <c r="G1370" s="435"/>
    </row>
    <row r="1371" spans="3:7" ht="14.5">
      <c r="C1371" s="433"/>
      <c r="D1371" s="433"/>
      <c r="E1371" s="433"/>
      <c r="F1371" s="434"/>
      <c r="G1371" s="435"/>
    </row>
    <row r="1372" spans="3:7" ht="14.5">
      <c r="C1372" s="433"/>
      <c r="D1372" s="433"/>
      <c r="E1372" s="433"/>
      <c r="F1372" s="434"/>
      <c r="G1372" s="435"/>
    </row>
    <row r="1373" spans="3:7" ht="14.5">
      <c r="C1373" s="433"/>
      <c r="D1373" s="433"/>
      <c r="E1373" s="433"/>
      <c r="F1373" s="434"/>
      <c r="G1373" s="435"/>
    </row>
    <row r="1374" spans="3:7" ht="14.5">
      <c r="C1374" s="433"/>
      <c r="D1374" s="433"/>
      <c r="E1374" s="433"/>
      <c r="F1374" s="434"/>
      <c r="G1374" s="435"/>
    </row>
    <row r="1375" spans="3:7" ht="14.5">
      <c r="C1375" s="433"/>
      <c r="D1375" s="433"/>
      <c r="E1375" s="433"/>
      <c r="F1375" s="434"/>
      <c r="G1375" s="435"/>
    </row>
    <row r="1376" spans="3:7" ht="14.5">
      <c r="C1376" s="433"/>
      <c r="D1376" s="433"/>
      <c r="E1376" s="433"/>
      <c r="F1376" s="434"/>
      <c r="G1376" s="435"/>
    </row>
    <row r="1377" spans="3:7" ht="14.5">
      <c r="C1377" s="433"/>
      <c r="D1377" s="433"/>
      <c r="E1377" s="433"/>
      <c r="F1377" s="434"/>
      <c r="G1377" s="435"/>
    </row>
    <row r="1378" spans="3:7" ht="14.5">
      <c r="C1378" s="433"/>
      <c r="D1378" s="433"/>
      <c r="E1378" s="433"/>
      <c r="F1378" s="434"/>
      <c r="G1378" s="435"/>
    </row>
    <row r="1379" spans="3:7" ht="14.5">
      <c r="C1379" s="433"/>
      <c r="D1379" s="433"/>
      <c r="E1379" s="433"/>
      <c r="F1379" s="434"/>
      <c r="G1379" s="435"/>
    </row>
    <row r="1380" spans="3:7" ht="14.5">
      <c r="C1380" s="433"/>
      <c r="D1380" s="433"/>
      <c r="E1380" s="433"/>
      <c r="F1380" s="434"/>
      <c r="G1380" s="435"/>
    </row>
    <row r="1381" spans="3:7" ht="14.5">
      <c r="C1381" s="433"/>
      <c r="D1381" s="433"/>
      <c r="E1381" s="433"/>
      <c r="F1381" s="434"/>
      <c r="G1381" s="435"/>
    </row>
    <row r="1382" spans="3:7" ht="14.5">
      <c r="C1382" s="433"/>
      <c r="D1382" s="433"/>
      <c r="E1382" s="433"/>
      <c r="F1382" s="434"/>
      <c r="G1382" s="435"/>
    </row>
    <row r="1383" spans="3:7" ht="14.5">
      <c r="C1383" s="433"/>
      <c r="D1383" s="433"/>
      <c r="E1383" s="433"/>
      <c r="F1383" s="434"/>
      <c r="G1383" s="435"/>
    </row>
    <row r="1384" spans="3:7" ht="14.5">
      <c r="C1384" s="433"/>
      <c r="D1384" s="433"/>
      <c r="E1384" s="433"/>
      <c r="F1384" s="434"/>
      <c r="G1384" s="435"/>
    </row>
    <row r="1385" spans="3:7" ht="14.5">
      <c r="C1385" s="433"/>
      <c r="D1385" s="433"/>
      <c r="E1385" s="433"/>
      <c r="F1385" s="434"/>
      <c r="G1385" s="435"/>
    </row>
    <row r="1386" spans="3:7" ht="14.5">
      <c r="C1386" s="433"/>
      <c r="D1386" s="433"/>
      <c r="E1386" s="433"/>
      <c r="F1386" s="434"/>
      <c r="G1386" s="435"/>
    </row>
    <row r="1387" spans="3:7" ht="14.5">
      <c r="C1387" s="433"/>
      <c r="D1387" s="433"/>
      <c r="E1387" s="433"/>
      <c r="F1387" s="434"/>
      <c r="G1387" s="435"/>
    </row>
    <row r="1388" spans="3:7" ht="14.5">
      <c r="C1388" s="433"/>
      <c r="D1388" s="433"/>
      <c r="E1388" s="433"/>
      <c r="F1388" s="434"/>
      <c r="G1388" s="435"/>
    </row>
    <row r="1389" spans="3:7" ht="14.5">
      <c r="C1389" s="433"/>
      <c r="D1389" s="433"/>
      <c r="E1389" s="433"/>
      <c r="F1389" s="434"/>
      <c r="G1389" s="435"/>
    </row>
    <row r="1390" spans="3:7" ht="14.5">
      <c r="C1390" s="433"/>
      <c r="D1390" s="433"/>
      <c r="E1390" s="433"/>
      <c r="F1390" s="434"/>
      <c r="G1390" s="435"/>
    </row>
    <row r="1391" spans="3:7" ht="14.5">
      <c r="C1391" s="433"/>
      <c r="D1391" s="433"/>
      <c r="E1391" s="433"/>
      <c r="F1391" s="434"/>
      <c r="G1391" s="435"/>
    </row>
    <row r="1392" spans="3:7" ht="14.5">
      <c r="C1392" s="433"/>
      <c r="D1392" s="433"/>
      <c r="E1392" s="433"/>
      <c r="F1392" s="434"/>
      <c r="G1392" s="435"/>
    </row>
    <row r="1393" spans="3:7" ht="14.5">
      <c r="C1393" s="433"/>
      <c r="D1393" s="433"/>
      <c r="E1393" s="433"/>
      <c r="F1393" s="434"/>
      <c r="G1393" s="435"/>
    </row>
    <row r="1394" spans="3:7" ht="14.5">
      <c r="C1394" s="433"/>
      <c r="D1394" s="433"/>
      <c r="E1394" s="433"/>
      <c r="F1394" s="434"/>
      <c r="G1394" s="435"/>
    </row>
    <row r="1395" spans="3:7" ht="14.5">
      <c r="C1395" s="433"/>
      <c r="D1395" s="433"/>
      <c r="E1395" s="433"/>
      <c r="F1395" s="434"/>
      <c r="G1395" s="435"/>
    </row>
    <row r="1396" spans="3:7" ht="14.5">
      <c r="C1396" s="433"/>
      <c r="D1396" s="433"/>
      <c r="E1396" s="433"/>
      <c r="F1396" s="434"/>
      <c r="G1396" s="435"/>
    </row>
    <row r="1397" spans="3:7" ht="14.5">
      <c r="C1397" s="433"/>
      <c r="D1397" s="433"/>
      <c r="E1397" s="433"/>
      <c r="F1397" s="434"/>
      <c r="G1397" s="435"/>
    </row>
    <row r="1398" spans="3:7" ht="14.5">
      <c r="C1398" s="433"/>
      <c r="D1398" s="433"/>
      <c r="E1398" s="433"/>
      <c r="F1398" s="434"/>
      <c r="G1398" s="435"/>
    </row>
    <row r="1399" spans="3:7" ht="14.5">
      <c r="C1399" s="433"/>
      <c r="D1399" s="433"/>
      <c r="E1399" s="433"/>
      <c r="F1399" s="434"/>
      <c r="G1399" s="435"/>
    </row>
    <row r="1400" spans="3:7" ht="14.5">
      <c r="C1400" s="433"/>
      <c r="D1400" s="433"/>
      <c r="E1400" s="433"/>
      <c r="F1400" s="434"/>
      <c r="G1400" s="435"/>
    </row>
    <row r="1401" spans="3:7" ht="14.5">
      <c r="C1401" s="433"/>
      <c r="D1401" s="433"/>
      <c r="E1401" s="433"/>
      <c r="F1401" s="434"/>
      <c r="G1401" s="435"/>
    </row>
    <row r="1402" spans="3:7" ht="14.5">
      <c r="C1402" s="433"/>
      <c r="D1402" s="433"/>
      <c r="E1402" s="433"/>
      <c r="F1402" s="434"/>
      <c r="G1402" s="435"/>
    </row>
    <row r="1403" spans="3:7" ht="14.5">
      <c r="C1403" s="433"/>
      <c r="D1403" s="433"/>
      <c r="E1403" s="433"/>
      <c r="F1403" s="434"/>
      <c r="G1403" s="435"/>
    </row>
    <row r="1404" spans="3:7" ht="14.5">
      <c r="C1404" s="433"/>
      <c r="D1404" s="433"/>
      <c r="E1404" s="433"/>
      <c r="F1404" s="434"/>
      <c r="G1404" s="435"/>
    </row>
    <row r="1405" spans="3:7" ht="14.5">
      <c r="C1405" s="433"/>
      <c r="D1405" s="433"/>
      <c r="E1405" s="433"/>
      <c r="F1405" s="434"/>
      <c r="G1405" s="435"/>
    </row>
    <row r="1406" spans="3:7" ht="14.5">
      <c r="C1406" s="433"/>
      <c r="D1406" s="433"/>
      <c r="E1406" s="433"/>
      <c r="F1406" s="434"/>
      <c r="G1406" s="435"/>
    </row>
    <row r="1407" spans="3:7" ht="14.5">
      <c r="C1407" s="433"/>
      <c r="D1407" s="433"/>
      <c r="E1407" s="433"/>
      <c r="F1407" s="434"/>
      <c r="G1407" s="435"/>
    </row>
    <row r="1408" spans="3:7" ht="14.5">
      <c r="C1408" s="433"/>
      <c r="D1408" s="433"/>
      <c r="E1408" s="433"/>
      <c r="F1408" s="434"/>
      <c r="G1408" s="435"/>
    </row>
    <row r="1409" spans="3:7" ht="14.5">
      <c r="C1409" s="433"/>
      <c r="D1409" s="433"/>
      <c r="E1409" s="433"/>
      <c r="F1409" s="434"/>
      <c r="G1409" s="435"/>
    </row>
    <row r="1410" spans="3:7" ht="14.5">
      <c r="C1410" s="433"/>
      <c r="D1410" s="433"/>
      <c r="E1410" s="433"/>
      <c r="F1410" s="434"/>
      <c r="G1410" s="435"/>
    </row>
    <row r="1411" spans="3:7" ht="14.5">
      <c r="C1411" s="433"/>
      <c r="D1411" s="433"/>
      <c r="E1411" s="433"/>
      <c r="F1411" s="434"/>
      <c r="G1411" s="435"/>
    </row>
    <row r="1412" spans="3:7" ht="14.5">
      <c r="C1412" s="433"/>
      <c r="D1412" s="433"/>
      <c r="E1412" s="433"/>
      <c r="F1412" s="434"/>
      <c r="G1412" s="435"/>
    </row>
    <row r="1413" spans="3:7" ht="14.5">
      <c r="C1413" s="433"/>
      <c r="D1413" s="433"/>
      <c r="E1413" s="433"/>
      <c r="F1413" s="434"/>
      <c r="G1413" s="435"/>
    </row>
    <row r="1414" spans="3:7" ht="14.5">
      <c r="C1414" s="433"/>
      <c r="D1414" s="433"/>
      <c r="E1414" s="433"/>
      <c r="F1414" s="434"/>
      <c r="G1414" s="435"/>
    </row>
    <row r="1415" spans="3:7" ht="14.5">
      <c r="C1415" s="433"/>
      <c r="D1415" s="433"/>
      <c r="E1415" s="433"/>
      <c r="F1415" s="434"/>
      <c r="G1415" s="435"/>
    </row>
    <row r="1416" spans="3:7" ht="14.5">
      <c r="C1416" s="433"/>
      <c r="D1416" s="433"/>
      <c r="E1416" s="433"/>
      <c r="F1416" s="434"/>
      <c r="G1416" s="435"/>
    </row>
    <row r="1417" spans="3:7" ht="14.5">
      <c r="C1417" s="433"/>
      <c r="D1417" s="433"/>
      <c r="E1417" s="433"/>
      <c r="F1417" s="434"/>
      <c r="G1417" s="435"/>
    </row>
    <row r="1418" spans="3:7" ht="14.5">
      <c r="C1418" s="433"/>
      <c r="D1418" s="433"/>
      <c r="E1418" s="433"/>
      <c r="F1418" s="434"/>
      <c r="G1418" s="435"/>
    </row>
    <row r="1419" spans="3:7" ht="14.5">
      <c r="C1419" s="433"/>
      <c r="D1419" s="433"/>
      <c r="E1419" s="433"/>
      <c r="F1419" s="434"/>
      <c r="G1419" s="435"/>
    </row>
    <row r="1420" spans="3:7" ht="14.5">
      <c r="C1420" s="433"/>
      <c r="D1420" s="433"/>
      <c r="E1420" s="433"/>
      <c r="F1420" s="434"/>
      <c r="G1420" s="435"/>
    </row>
    <row r="1421" spans="3:7" ht="14.5">
      <c r="C1421" s="433"/>
      <c r="D1421" s="433"/>
      <c r="E1421" s="433"/>
      <c r="F1421" s="434"/>
      <c r="G1421" s="435"/>
    </row>
    <row r="1422" spans="3:7" ht="14.5">
      <c r="C1422" s="433"/>
      <c r="D1422" s="433"/>
      <c r="E1422" s="433"/>
      <c r="F1422" s="434"/>
      <c r="G1422" s="435"/>
    </row>
    <row r="1423" spans="3:7" ht="14.5">
      <c r="C1423" s="433"/>
      <c r="D1423" s="433"/>
      <c r="E1423" s="433"/>
      <c r="F1423" s="434"/>
      <c r="G1423" s="435"/>
    </row>
    <row r="1424" spans="3:7" ht="14.5">
      <c r="C1424" s="433"/>
      <c r="D1424" s="433"/>
      <c r="E1424" s="433"/>
      <c r="F1424" s="434"/>
      <c r="G1424" s="435"/>
    </row>
    <row r="1425" spans="3:7" ht="14.5">
      <c r="C1425" s="433"/>
      <c r="D1425" s="433"/>
      <c r="E1425" s="433"/>
      <c r="F1425" s="434"/>
      <c r="G1425" s="435"/>
    </row>
    <row r="1426" spans="3:7" ht="14.5">
      <c r="C1426" s="433"/>
      <c r="D1426" s="433"/>
      <c r="E1426" s="433"/>
      <c r="F1426" s="434"/>
      <c r="G1426" s="435"/>
    </row>
    <row r="1427" spans="3:7" ht="14.5">
      <c r="C1427" s="433"/>
      <c r="D1427" s="433"/>
      <c r="E1427" s="433"/>
      <c r="F1427" s="434"/>
      <c r="G1427" s="435"/>
    </row>
    <row r="1428" spans="3:7" ht="14.5">
      <c r="C1428" s="433"/>
      <c r="D1428" s="433"/>
      <c r="E1428" s="433"/>
      <c r="F1428" s="434"/>
      <c r="G1428" s="435"/>
    </row>
    <row r="1429" spans="3:7" ht="14.5">
      <c r="C1429" s="433"/>
      <c r="D1429" s="433"/>
      <c r="E1429" s="433"/>
      <c r="F1429" s="434"/>
      <c r="G1429" s="435"/>
    </row>
    <row r="1430" spans="3:7" ht="14.5">
      <c r="C1430" s="433"/>
      <c r="D1430" s="433"/>
      <c r="E1430" s="433"/>
      <c r="F1430" s="434"/>
      <c r="G1430" s="435"/>
    </row>
    <row r="1431" spans="3:7" ht="14.5">
      <c r="C1431" s="433"/>
      <c r="D1431" s="433"/>
      <c r="E1431" s="433"/>
      <c r="F1431" s="434"/>
      <c r="G1431" s="435"/>
    </row>
    <row r="1432" spans="3:7" ht="14.5">
      <c r="C1432" s="433"/>
      <c r="D1432" s="433"/>
      <c r="E1432" s="433"/>
      <c r="F1432" s="434"/>
      <c r="G1432" s="435"/>
    </row>
    <row r="1433" spans="3:7" ht="14.5">
      <c r="C1433" s="433"/>
      <c r="D1433" s="433"/>
      <c r="E1433" s="433"/>
      <c r="F1433" s="434"/>
      <c r="G1433" s="435"/>
    </row>
    <row r="1434" spans="3:7" ht="14.5">
      <c r="C1434" s="433"/>
      <c r="D1434" s="433"/>
      <c r="E1434" s="433"/>
      <c r="F1434" s="434"/>
      <c r="G1434" s="435"/>
    </row>
    <row r="1435" spans="3:7" ht="14.5">
      <c r="C1435" s="433"/>
      <c r="D1435" s="433"/>
      <c r="E1435" s="433"/>
      <c r="F1435" s="434"/>
      <c r="G1435" s="435"/>
    </row>
    <row r="1436" spans="3:7" ht="14.5">
      <c r="C1436" s="433"/>
      <c r="D1436" s="433"/>
      <c r="E1436" s="433"/>
      <c r="F1436" s="434"/>
      <c r="G1436" s="435"/>
    </row>
    <row r="1437" spans="3:7" ht="14.5">
      <c r="C1437" s="433"/>
      <c r="D1437" s="433"/>
      <c r="E1437" s="433"/>
      <c r="F1437" s="434"/>
      <c r="G1437" s="435"/>
    </row>
    <row r="1438" spans="3:7" ht="14.5">
      <c r="C1438" s="433"/>
      <c r="D1438" s="433"/>
      <c r="E1438" s="433"/>
      <c r="F1438" s="434"/>
      <c r="G1438" s="435"/>
    </row>
    <row r="1439" spans="3:7" ht="14.5">
      <c r="C1439" s="433"/>
      <c r="D1439" s="433"/>
      <c r="E1439" s="433"/>
      <c r="F1439" s="434"/>
      <c r="G1439" s="435"/>
    </row>
    <row r="1440" spans="3:7" ht="14.5">
      <c r="C1440" s="433"/>
      <c r="D1440" s="433"/>
      <c r="E1440" s="433"/>
      <c r="F1440" s="434"/>
      <c r="G1440" s="435"/>
    </row>
    <row r="1441" spans="3:7" ht="14.5">
      <c r="C1441" s="433"/>
      <c r="D1441" s="433"/>
      <c r="E1441" s="433"/>
      <c r="F1441" s="434"/>
      <c r="G1441" s="435"/>
    </row>
    <row r="1442" spans="3:7" ht="14.5">
      <c r="C1442" s="433"/>
      <c r="D1442" s="433"/>
      <c r="E1442" s="433"/>
      <c r="F1442" s="434"/>
      <c r="G1442" s="435"/>
    </row>
    <row r="1443" spans="3:7" ht="14.5">
      <c r="C1443" s="433"/>
      <c r="D1443" s="433"/>
      <c r="E1443" s="433"/>
      <c r="F1443" s="434"/>
      <c r="G1443" s="435"/>
    </row>
    <row r="1444" spans="3:7" ht="14.5">
      <c r="C1444" s="433"/>
      <c r="D1444" s="433"/>
      <c r="E1444" s="433"/>
      <c r="F1444" s="434"/>
      <c r="G1444" s="435"/>
    </row>
    <row r="1445" spans="3:7" ht="14.5">
      <c r="C1445" s="433"/>
      <c r="D1445" s="433"/>
      <c r="E1445" s="433"/>
      <c r="F1445" s="434"/>
      <c r="G1445" s="435"/>
    </row>
    <row r="1446" spans="3:7" ht="14.5">
      <c r="C1446" s="433"/>
      <c r="D1446" s="433"/>
      <c r="E1446" s="433"/>
      <c r="F1446" s="434"/>
      <c r="G1446" s="435"/>
    </row>
    <row r="1447" spans="3:7" ht="14.5">
      <c r="C1447" s="433"/>
      <c r="D1447" s="433"/>
      <c r="E1447" s="433"/>
      <c r="F1447" s="434"/>
      <c r="G1447" s="435"/>
    </row>
    <row r="1448" spans="3:7" ht="14.5">
      <c r="C1448" s="433"/>
      <c r="D1448" s="433"/>
      <c r="E1448" s="433"/>
      <c r="F1448" s="434"/>
      <c r="G1448" s="435"/>
    </row>
    <row r="1449" spans="3:7" ht="14.5">
      <c r="C1449" s="433"/>
      <c r="D1449" s="433"/>
      <c r="E1449" s="433"/>
      <c r="F1449" s="434"/>
      <c r="G1449" s="435"/>
    </row>
    <row r="1450" spans="3:7" ht="14.5">
      <c r="C1450" s="433"/>
      <c r="D1450" s="433"/>
      <c r="E1450" s="433"/>
      <c r="F1450" s="434"/>
      <c r="G1450" s="435"/>
    </row>
    <row r="1451" spans="3:7" ht="14.5">
      <c r="C1451" s="433"/>
      <c r="D1451" s="433"/>
      <c r="E1451" s="433"/>
      <c r="F1451" s="434"/>
      <c r="G1451" s="435"/>
    </row>
    <row r="1452" spans="3:7" ht="14.5">
      <c r="C1452" s="433"/>
      <c r="D1452" s="433"/>
      <c r="E1452" s="433"/>
      <c r="F1452" s="434"/>
      <c r="G1452" s="435"/>
    </row>
    <row r="1453" spans="3:7" ht="14.5">
      <c r="C1453" s="433"/>
      <c r="D1453" s="433"/>
      <c r="E1453" s="433"/>
      <c r="F1453" s="434"/>
      <c r="G1453" s="435"/>
    </row>
    <row r="1454" spans="3:7" ht="14.5">
      <c r="C1454" s="433"/>
      <c r="D1454" s="433"/>
      <c r="E1454" s="433"/>
      <c r="F1454" s="434"/>
      <c r="G1454" s="435"/>
    </row>
    <row r="1455" spans="3:7" ht="14.5">
      <c r="C1455" s="433"/>
      <c r="D1455" s="433"/>
      <c r="E1455" s="433"/>
      <c r="F1455" s="434"/>
      <c r="G1455" s="435"/>
    </row>
    <row r="1456" spans="3:7" ht="14.5">
      <c r="C1456" s="433"/>
      <c r="D1456" s="433"/>
      <c r="E1456" s="433"/>
      <c r="F1456" s="434"/>
      <c r="G1456" s="435"/>
    </row>
    <row r="1457" spans="3:7" ht="14.5">
      <c r="C1457" s="433"/>
      <c r="D1457" s="433"/>
      <c r="E1457" s="433"/>
      <c r="F1457" s="434"/>
      <c r="G1457" s="435"/>
    </row>
    <row r="1458" spans="3:7" ht="14.5">
      <c r="C1458" s="433"/>
      <c r="D1458" s="433"/>
      <c r="E1458" s="433"/>
      <c r="F1458" s="434"/>
      <c r="G1458" s="435"/>
    </row>
    <row r="1459" spans="3:7" ht="14.5">
      <c r="C1459" s="433"/>
      <c r="D1459" s="433"/>
      <c r="E1459" s="433"/>
      <c r="F1459" s="434"/>
      <c r="G1459" s="435"/>
    </row>
    <row r="1460" spans="3:7" ht="14.5">
      <c r="C1460" s="433"/>
      <c r="D1460" s="433"/>
      <c r="E1460" s="433"/>
      <c r="F1460" s="434"/>
      <c r="G1460" s="435"/>
    </row>
    <row r="1461" spans="3:7" ht="14.5">
      <c r="C1461" s="433"/>
      <c r="D1461" s="433"/>
      <c r="E1461" s="433"/>
      <c r="F1461" s="434"/>
      <c r="G1461" s="435"/>
    </row>
    <row r="1462" spans="3:7" ht="14.5">
      <c r="C1462" s="433"/>
      <c r="D1462" s="433"/>
      <c r="E1462" s="433"/>
      <c r="F1462" s="434"/>
      <c r="G1462" s="435"/>
    </row>
    <row r="1463" spans="3:7" ht="14.5">
      <c r="C1463" s="433"/>
      <c r="D1463" s="433"/>
      <c r="E1463" s="433"/>
      <c r="F1463" s="434"/>
      <c r="G1463" s="435"/>
    </row>
    <row r="1464" spans="3:7" ht="14.5">
      <c r="C1464" s="433"/>
      <c r="D1464" s="433"/>
      <c r="E1464" s="433"/>
      <c r="F1464" s="434"/>
      <c r="G1464" s="435"/>
    </row>
    <row r="1465" spans="3:7" ht="14.5">
      <c r="C1465" s="433"/>
      <c r="D1465" s="433"/>
      <c r="E1465" s="433"/>
      <c r="F1465" s="434"/>
      <c r="G1465" s="435"/>
    </row>
    <row r="1466" spans="3:7" ht="14.5">
      <c r="C1466" s="433"/>
      <c r="D1466" s="433"/>
      <c r="E1466" s="433"/>
      <c r="F1466" s="434"/>
      <c r="G1466" s="435"/>
    </row>
    <row r="1467" spans="3:7" ht="14.5">
      <c r="C1467" s="433"/>
      <c r="D1467" s="433"/>
      <c r="E1467" s="433"/>
      <c r="F1467" s="434"/>
      <c r="G1467" s="435"/>
    </row>
    <row r="1468" spans="3:7" ht="14.5">
      <c r="C1468" s="433"/>
      <c r="D1468" s="433"/>
      <c r="E1468" s="433"/>
      <c r="F1468" s="434"/>
      <c r="G1468" s="435"/>
    </row>
    <row r="1469" spans="3:7" ht="14.5">
      <c r="C1469" s="433"/>
      <c r="D1469" s="433"/>
      <c r="E1469" s="433"/>
      <c r="F1469" s="434"/>
      <c r="G1469" s="435"/>
    </row>
    <row r="1470" spans="3:7" ht="14.5">
      <c r="C1470" s="433"/>
      <c r="D1470" s="433"/>
      <c r="E1470" s="433"/>
      <c r="F1470" s="434"/>
      <c r="G1470" s="435"/>
    </row>
    <row r="1471" spans="3:7" ht="14.5">
      <c r="C1471" s="433"/>
      <c r="D1471" s="433"/>
      <c r="E1471" s="433"/>
      <c r="F1471" s="434"/>
      <c r="G1471" s="435"/>
    </row>
    <row r="1472" spans="3:7" ht="14.5">
      <c r="C1472" s="433"/>
      <c r="D1472" s="433"/>
      <c r="E1472" s="433"/>
      <c r="F1472" s="434"/>
      <c r="G1472" s="435"/>
    </row>
    <row r="1473" spans="3:7" ht="14.5">
      <c r="C1473" s="433"/>
      <c r="D1473" s="433"/>
      <c r="E1473" s="433"/>
      <c r="F1473" s="434"/>
      <c r="G1473" s="435"/>
    </row>
    <row r="1474" spans="3:7" ht="14.5">
      <c r="C1474" s="433"/>
      <c r="D1474" s="433"/>
      <c r="E1474" s="433"/>
      <c r="F1474" s="434"/>
      <c r="G1474" s="435"/>
    </row>
    <row r="1475" spans="3:7" ht="14.5">
      <c r="C1475" s="433"/>
      <c r="D1475" s="433"/>
      <c r="E1475" s="433"/>
      <c r="F1475" s="434"/>
      <c r="G1475" s="435"/>
    </row>
    <row r="1476" spans="3:7" ht="14.5">
      <c r="C1476" s="433"/>
      <c r="D1476" s="433"/>
      <c r="E1476" s="433"/>
      <c r="F1476" s="434"/>
      <c r="G1476" s="435"/>
    </row>
    <row r="1477" spans="3:7" ht="14.5">
      <c r="C1477" s="433"/>
      <c r="D1477" s="433"/>
      <c r="E1477" s="433"/>
      <c r="F1477" s="434"/>
      <c r="G1477" s="435"/>
    </row>
    <row r="1478" spans="3:7" ht="14.5">
      <c r="C1478" s="433"/>
      <c r="D1478" s="433"/>
      <c r="E1478" s="433"/>
      <c r="F1478" s="434"/>
      <c r="G1478" s="435"/>
    </row>
    <row r="1479" spans="3:7" ht="14.5">
      <c r="C1479" s="433"/>
      <c r="D1479" s="433"/>
      <c r="E1479" s="433"/>
      <c r="F1479" s="434"/>
      <c r="G1479" s="435"/>
    </row>
    <row r="1480" spans="3:7" ht="14.5">
      <c r="C1480" s="433"/>
      <c r="D1480" s="433"/>
      <c r="E1480" s="433"/>
      <c r="F1480" s="434"/>
      <c r="G1480" s="435"/>
    </row>
    <row r="1481" spans="3:7" ht="14.5">
      <c r="C1481" s="433"/>
      <c r="D1481" s="433"/>
      <c r="E1481" s="433"/>
      <c r="F1481" s="434"/>
      <c r="G1481" s="435"/>
    </row>
    <row r="1482" spans="3:7" ht="14.5">
      <c r="C1482" s="433"/>
      <c r="D1482" s="433"/>
      <c r="E1482" s="433"/>
      <c r="F1482" s="434"/>
      <c r="G1482" s="435"/>
    </row>
    <row r="1483" spans="3:7" ht="14.5">
      <c r="C1483" s="433"/>
      <c r="D1483" s="433"/>
      <c r="E1483" s="433"/>
      <c r="F1483" s="434"/>
      <c r="G1483" s="435"/>
    </row>
    <row r="1484" spans="3:7" ht="14.5">
      <c r="C1484" s="433"/>
      <c r="D1484" s="433"/>
      <c r="E1484" s="433"/>
      <c r="F1484" s="434"/>
      <c r="G1484" s="435"/>
    </row>
    <row r="1485" spans="3:7" ht="14.5">
      <c r="C1485" s="433"/>
      <c r="D1485" s="433"/>
      <c r="E1485" s="433"/>
      <c r="F1485" s="434"/>
      <c r="G1485" s="435"/>
    </row>
    <row r="1486" spans="3:7" ht="14.5">
      <c r="C1486" s="433"/>
      <c r="D1486" s="433"/>
      <c r="E1486" s="433"/>
      <c r="F1486" s="434"/>
      <c r="G1486" s="435"/>
    </row>
    <row r="1487" spans="3:7" ht="14.5">
      <c r="C1487" s="433"/>
      <c r="D1487" s="433"/>
      <c r="E1487" s="433"/>
      <c r="F1487" s="434"/>
      <c r="G1487" s="435"/>
    </row>
    <row r="1488" spans="3:7" ht="14.5">
      <c r="C1488" s="433"/>
      <c r="D1488" s="433"/>
      <c r="E1488" s="433"/>
      <c r="F1488" s="434"/>
      <c r="G1488" s="435"/>
    </row>
    <row r="1489" spans="3:7" ht="14.5">
      <c r="C1489" s="433"/>
      <c r="D1489" s="433"/>
      <c r="E1489" s="433"/>
      <c r="F1489" s="434"/>
      <c r="G1489" s="435"/>
    </row>
    <row r="1490" spans="3:7" ht="14.5">
      <c r="C1490" s="433"/>
      <c r="D1490" s="433"/>
      <c r="E1490" s="433"/>
      <c r="F1490" s="434"/>
      <c r="G1490" s="435"/>
    </row>
    <row r="1491" spans="3:7" ht="14.5">
      <c r="C1491" s="433"/>
      <c r="D1491" s="433"/>
      <c r="E1491" s="433"/>
      <c r="F1491" s="434"/>
      <c r="G1491" s="435"/>
    </row>
    <row r="1492" spans="3:7" ht="14.5">
      <c r="C1492" s="433"/>
      <c r="D1492" s="433"/>
      <c r="E1492" s="433"/>
      <c r="F1492" s="434"/>
      <c r="G1492" s="435"/>
    </row>
    <row r="1493" spans="3:7" ht="14.5">
      <c r="C1493" s="433"/>
      <c r="D1493" s="433"/>
      <c r="E1493" s="433"/>
      <c r="F1493" s="434"/>
      <c r="G1493" s="435"/>
    </row>
    <row r="1494" spans="3:7" ht="14.5">
      <c r="C1494" s="433"/>
      <c r="D1494" s="433"/>
      <c r="E1494" s="433"/>
      <c r="F1494" s="434"/>
      <c r="G1494" s="435"/>
    </row>
    <row r="1495" spans="3:7" ht="14.5">
      <c r="C1495" s="433"/>
      <c r="D1495" s="433"/>
      <c r="E1495" s="433"/>
      <c r="F1495" s="434"/>
      <c r="G1495" s="435"/>
    </row>
    <row r="1496" spans="3:7" ht="14.5">
      <c r="C1496" s="433"/>
      <c r="D1496" s="433"/>
      <c r="E1496" s="433"/>
      <c r="F1496" s="434"/>
      <c r="G1496" s="435"/>
    </row>
    <row r="1497" spans="3:7" ht="14.5">
      <c r="C1497" s="433"/>
      <c r="D1497" s="433"/>
      <c r="E1497" s="433"/>
      <c r="F1497" s="434"/>
      <c r="G1497" s="435"/>
    </row>
    <row r="1498" spans="3:7" ht="14.5">
      <c r="C1498" s="433"/>
      <c r="D1498" s="433"/>
      <c r="E1498" s="433"/>
      <c r="F1498" s="434"/>
      <c r="G1498" s="435"/>
    </row>
    <row r="1499" spans="3:7" ht="14.5">
      <c r="C1499" s="433"/>
      <c r="D1499" s="433"/>
      <c r="E1499" s="433"/>
      <c r="F1499" s="434"/>
      <c r="G1499" s="435"/>
    </row>
    <row r="1500" spans="3:7" ht="14.5">
      <c r="C1500" s="433"/>
      <c r="D1500" s="433"/>
      <c r="E1500" s="433"/>
      <c r="F1500" s="434"/>
      <c r="G1500" s="435"/>
    </row>
    <row r="1501" spans="3:7" ht="14.5">
      <c r="C1501" s="433"/>
      <c r="D1501" s="433"/>
      <c r="E1501" s="433"/>
      <c r="F1501" s="434"/>
      <c r="G1501" s="435"/>
    </row>
    <row r="1502" spans="3:7" ht="14.5">
      <c r="C1502" s="433"/>
      <c r="D1502" s="433"/>
      <c r="E1502" s="433"/>
      <c r="F1502" s="434"/>
      <c r="G1502" s="435"/>
    </row>
    <row r="1503" spans="3:7" ht="14.5">
      <c r="C1503" s="433"/>
      <c r="D1503" s="433"/>
      <c r="E1503" s="433"/>
      <c r="F1503" s="434"/>
      <c r="G1503" s="435"/>
    </row>
    <row r="1504" spans="3:7" ht="14.5">
      <c r="C1504" s="433"/>
      <c r="D1504" s="433"/>
      <c r="E1504" s="433"/>
      <c r="F1504" s="434"/>
      <c r="G1504" s="435"/>
    </row>
    <row r="1505" spans="3:7" ht="14.5">
      <c r="C1505" s="433"/>
      <c r="D1505" s="433"/>
      <c r="E1505" s="433"/>
      <c r="F1505" s="434"/>
      <c r="G1505" s="435"/>
    </row>
    <row r="1506" spans="3:7" ht="14.5">
      <c r="C1506" s="433"/>
      <c r="D1506" s="433"/>
      <c r="E1506" s="433"/>
      <c r="F1506" s="434"/>
      <c r="G1506" s="435"/>
    </row>
    <row r="1507" spans="3:7" ht="14.5">
      <c r="C1507" s="433"/>
      <c r="D1507" s="433"/>
      <c r="E1507" s="433"/>
      <c r="F1507" s="434"/>
      <c r="G1507" s="435"/>
    </row>
    <row r="1508" spans="3:7" ht="14.5">
      <c r="C1508" s="433"/>
      <c r="D1508" s="433"/>
      <c r="E1508" s="433"/>
      <c r="F1508" s="434"/>
      <c r="G1508" s="435"/>
    </row>
    <row r="1509" spans="3:7" ht="14.5">
      <c r="C1509" s="433"/>
      <c r="D1509" s="433"/>
      <c r="E1509" s="433"/>
      <c r="F1509" s="434"/>
      <c r="G1509" s="435"/>
    </row>
    <row r="1510" spans="3:7" ht="14.5">
      <c r="C1510" s="433"/>
      <c r="D1510" s="433"/>
      <c r="E1510" s="433"/>
      <c r="F1510" s="434"/>
      <c r="G1510" s="435"/>
    </row>
    <row r="1511" spans="3:7" ht="14.5">
      <c r="C1511" s="433"/>
      <c r="D1511" s="433"/>
      <c r="E1511" s="433"/>
      <c r="F1511" s="434"/>
      <c r="G1511" s="435"/>
    </row>
    <row r="1512" spans="3:7" ht="14.5">
      <c r="C1512" s="433"/>
      <c r="D1512" s="433"/>
      <c r="E1512" s="433"/>
      <c r="F1512" s="434"/>
      <c r="G1512" s="435"/>
    </row>
    <row r="1513" spans="3:7" ht="14.5">
      <c r="C1513" s="433"/>
      <c r="D1513" s="433"/>
      <c r="E1513" s="433"/>
      <c r="F1513" s="434"/>
      <c r="G1513" s="435"/>
    </row>
    <row r="1514" spans="3:7" ht="14.5">
      <c r="C1514" s="433"/>
      <c r="D1514" s="433"/>
      <c r="E1514" s="433"/>
      <c r="F1514" s="434"/>
      <c r="G1514" s="435"/>
    </row>
    <row r="1515" spans="3:7" ht="14.5">
      <c r="C1515" s="433"/>
      <c r="D1515" s="433"/>
      <c r="E1515" s="433"/>
      <c r="F1515" s="434"/>
      <c r="G1515" s="435"/>
    </row>
    <row r="1516" spans="3:7" ht="14.5">
      <c r="C1516" s="433"/>
      <c r="D1516" s="433"/>
      <c r="E1516" s="433"/>
      <c r="F1516" s="434"/>
      <c r="G1516" s="435"/>
    </row>
    <row r="1517" spans="3:7" ht="14.5">
      <c r="C1517" s="433"/>
      <c r="D1517" s="433"/>
      <c r="E1517" s="433"/>
      <c r="F1517" s="434"/>
      <c r="G1517" s="435"/>
    </row>
    <row r="1518" spans="3:7" ht="14.5">
      <c r="C1518" s="433"/>
      <c r="D1518" s="433"/>
      <c r="E1518" s="433"/>
      <c r="F1518" s="434"/>
      <c r="G1518" s="435"/>
    </row>
    <row r="1519" spans="3:7" ht="14.5">
      <c r="C1519" s="433"/>
      <c r="D1519" s="433"/>
      <c r="E1519" s="433"/>
      <c r="F1519" s="434"/>
      <c r="G1519" s="435"/>
    </row>
    <row r="1520" spans="3:7" ht="14.5">
      <c r="C1520" s="433"/>
      <c r="D1520" s="433"/>
      <c r="E1520" s="433"/>
      <c r="F1520" s="434"/>
      <c r="G1520" s="435"/>
    </row>
    <row r="1521" spans="3:7" ht="14.5">
      <c r="C1521" s="433"/>
      <c r="D1521" s="433"/>
      <c r="E1521" s="433"/>
      <c r="F1521" s="434"/>
      <c r="G1521" s="435"/>
    </row>
    <row r="1522" spans="3:7" ht="14.5">
      <c r="C1522" s="433"/>
      <c r="D1522" s="433"/>
      <c r="E1522" s="433"/>
      <c r="F1522" s="434"/>
      <c r="G1522" s="435"/>
    </row>
    <row r="1523" spans="3:7" ht="14.5">
      <c r="C1523" s="433"/>
      <c r="D1523" s="433"/>
      <c r="E1523" s="433"/>
      <c r="F1523" s="434"/>
      <c r="G1523" s="435"/>
    </row>
    <row r="1524" spans="3:7" ht="14.5">
      <c r="C1524" s="433"/>
      <c r="D1524" s="433"/>
      <c r="E1524" s="433"/>
      <c r="F1524" s="434"/>
      <c r="G1524" s="435"/>
    </row>
    <row r="1525" spans="3:7" ht="14.5">
      <c r="C1525" s="433"/>
      <c r="D1525" s="433"/>
      <c r="E1525" s="433"/>
      <c r="F1525" s="434"/>
      <c r="G1525" s="435"/>
    </row>
    <row r="1526" spans="3:7" ht="14.5">
      <c r="C1526" s="433"/>
      <c r="D1526" s="433"/>
      <c r="E1526" s="433"/>
      <c r="F1526" s="434"/>
      <c r="G1526" s="435"/>
    </row>
    <row r="1527" spans="3:7" ht="14.5">
      <c r="C1527" s="433"/>
      <c r="D1527" s="433"/>
      <c r="E1527" s="433"/>
      <c r="F1527" s="434"/>
      <c r="G1527" s="435"/>
    </row>
    <row r="1528" spans="3:7" ht="14.5">
      <c r="C1528" s="433"/>
      <c r="D1528" s="433"/>
      <c r="E1528" s="433"/>
      <c r="F1528" s="434"/>
      <c r="G1528" s="435"/>
    </row>
    <row r="1529" spans="3:7" ht="14.5">
      <c r="C1529" s="433"/>
      <c r="D1529" s="433"/>
      <c r="E1529" s="433"/>
      <c r="F1529" s="434"/>
      <c r="G1529" s="435"/>
    </row>
    <row r="1530" spans="3:7" ht="14.5">
      <c r="C1530" s="433"/>
      <c r="D1530" s="433"/>
      <c r="E1530" s="433"/>
      <c r="F1530" s="434"/>
      <c r="G1530" s="435"/>
    </row>
    <row r="1531" spans="3:7" ht="14.5">
      <c r="C1531" s="433"/>
      <c r="D1531" s="433"/>
      <c r="E1531" s="433"/>
      <c r="F1531" s="434"/>
      <c r="G1531" s="435"/>
    </row>
    <row r="1532" spans="3:7" ht="14.5">
      <c r="C1532" s="433"/>
      <c r="D1532" s="433"/>
      <c r="E1532" s="433"/>
      <c r="F1532" s="434"/>
      <c r="G1532" s="435"/>
    </row>
    <row r="1533" spans="3:7" ht="14.5">
      <c r="C1533" s="433"/>
      <c r="D1533" s="433"/>
      <c r="E1533" s="433"/>
      <c r="F1533" s="434"/>
      <c r="G1533" s="435"/>
    </row>
    <row r="1534" spans="3:7" ht="14.5">
      <c r="C1534" s="433"/>
      <c r="D1534" s="433"/>
      <c r="E1534" s="433"/>
      <c r="F1534" s="434"/>
      <c r="G1534" s="435"/>
    </row>
    <row r="1535" spans="3:7" ht="14.5">
      <c r="C1535" s="433"/>
      <c r="D1535" s="433"/>
      <c r="E1535" s="433"/>
      <c r="F1535" s="434"/>
      <c r="G1535" s="435"/>
    </row>
    <row r="1536" spans="3:7" ht="14.5">
      <c r="C1536" s="433"/>
      <c r="D1536" s="433"/>
      <c r="E1536" s="433"/>
      <c r="F1536" s="434"/>
      <c r="G1536" s="435"/>
    </row>
    <row r="1537" spans="3:7" ht="14.5">
      <c r="C1537" s="433"/>
      <c r="D1537" s="433"/>
      <c r="E1537" s="433"/>
      <c r="F1537" s="434"/>
      <c r="G1537" s="435"/>
    </row>
    <row r="1538" spans="3:7" ht="14.5">
      <c r="C1538" s="433"/>
      <c r="D1538" s="433"/>
      <c r="E1538" s="433"/>
      <c r="F1538" s="434"/>
      <c r="G1538" s="435"/>
    </row>
    <row r="1539" spans="3:7" ht="14.5">
      <c r="C1539" s="433"/>
      <c r="D1539" s="433"/>
      <c r="E1539" s="433"/>
      <c r="F1539" s="434"/>
      <c r="G1539" s="435"/>
    </row>
    <row r="1540" spans="3:7" ht="14.5">
      <c r="C1540" s="433"/>
      <c r="D1540" s="433"/>
      <c r="E1540" s="433"/>
      <c r="F1540" s="434"/>
      <c r="G1540" s="435"/>
    </row>
    <row r="1541" spans="3:7" ht="14.5">
      <c r="C1541" s="433"/>
      <c r="D1541" s="433"/>
      <c r="E1541" s="433"/>
      <c r="F1541" s="434"/>
      <c r="G1541" s="435"/>
    </row>
    <row r="1542" spans="3:7" ht="14.5">
      <c r="C1542" s="433"/>
      <c r="D1542" s="433"/>
      <c r="E1542" s="433"/>
      <c r="F1542" s="434"/>
      <c r="G1542" s="435"/>
    </row>
    <row r="1543" spans="3:7" ht="14.5">
      <c r="C1543" s="433"/>
      <c r="D1543" s="433"/>
      <c r="E1543" s="433"/>
      <c r="F1543" s="434"/>
      <c r="G1543" s="435"/>
    </row>
    <row r="1544" spans="3:7" ht="14.5">
      <c r="C1544" s="433"/>
      <c r="D1544" s="433"/>
      <c r="E1544" s="433"/>
      <c r="F1544" s="434"/>
      <c r="G1544" s="435"/>
    </row>
    <row r="1545" spans="3:7" ht="14.5">
      <c r="C1545" s="433"/>
      <c r="D1545" s="433"/>
      <c r="E1545" s="433"/>
      <c r="F1545" s="434"/>
      <c r="G1545" s="435"/>
    </row>
    <row r="1546" spans="3:7" ht="14.5">
      <c r="C1546" s="433"/>
      <c r="D1546" s="433"/>
      <c r="E1546" s="433"/>
      <c r="F1546" s="434"/>
      <c r="G1546" s="435"/>
    </row>
    <row r="1547" spans="3:7" ht="14.5">
      <c r="C1547" s="433"/>
      <c r="D1547" s="433"/>
      <c r="E1547" s="433"/>
      <c r="F1547" s="434"/>
      <c r="G1547" s="435"/>
    </row>
    <row r="1548" spans="3:7" ht="14.5">
      <c r="C1548" s="433"/>
      <c r="D1548" s="433"/>
      <c r="E1548" s="433"/>
      <c r="F1548" s="434"/>
      <c r="G1548" s="435"/>
    </row>
    <row r="1549" spans="3:7" ht="14.5">
      <c r="C1549" s="433"/>
      <c r="D1549" s="433"/>
      <c r="E1549" s="433"/>
      <c r="F1549" s="434"/>
      <c r="G1549" s="435"/>
    </row>
    <row r="1550" spans="3:7" ht="14.5">
      <c r="C1550" s="433"/>
      <c r="D1550" s="433"/>
      <c r="E1550" s="433"/>
      <c r="F1550" s="434"/>
      <c r="G1550" s="435"/>
    </row>
    <row r="1551" spans="3:7" ht="14.5">
      <c r="C1551" s="433"/>
      <c r="D1551" s="433"/>
      <c r="E1551" s="433"/>
      <c r="F1551" s="434"/>
      <c r="G1551" s="435"/>
    </row>
    <row r="1552" spans="3:7" ht="14.5">
      <c r="C1552" s="433"/>
      <c r="D1552" s="433"/>
      <c r="E1552" s="433"/>
      <c r="F1552" s="434"/>
      <c r="G1552" s="435"/>
    </row>
    <row r="1553" spans="3:7" ht="14.5">
      <c r="C1553" s="433"/>
      <c r="D1553" s="433"/>
      <c r="E1553" s="433"/>
      <c r="F1553" s="434"/>
      <c r="G1553" s="435"/>
    </row>
    <row r="1554" spans="3:7" ht="14.5">
      <c r="C1554" s="433"/>
      <c r="D1554" s="433"/>
      <c r="E1554" s="433"/>
      <c r="F1554" s="434"/>
      <c r="G1554" s="435"/>
    </row>
    <row r="1555" spans="3:7" ht="14.5">
      <c r="C1555" s="433"/>
      <c r="D1555" s="433"/>
      <c r="E1555" s="433"/>
      <c r="F1555" s="434"/>
      <c r="G1555" s="435"/>
    </row>
    <row r="1556" spans="3:7" ht="14.5">
      <c r="C1556" s="433"/>
      <c r="D1556" s="433"/>
      <c r="E1556" s="433"/>
      <c r="F1556" s="434"/>
      <c r="G1556" s="435"/>
    </row>
    <row r="1557" spans="3:7" ht="14.5">
      <c r="C1557" s="433"/>
      <c r="D1557" s="433"/>
      <c r="E1557" s="433"/>
      <c r="F1557" s="434"/>
      <c r="G1557" s="435"/>
    </row>
    <row r="1558" spans="3:7" ht="14.5">
      <c r="C1558" s="433"/>
      <c r="D1558" s="433"/>
      <c r="E1558" s="433"/>
      <c r="F1558" s="434"/>
      <c r="G1558" s="435"/>
    </row>
    <row r="1559" spans="3:7" ht="14.5">
      <c r="C1559" s="433"/>
      <c r="D1559" s="433"/>
      <c r="E1559" s="433"/>
      <c r="F1559" s="434"/>
      <c r="G1559" s="435"/>
    </row>
    <row r="1560" spans="3:7" ht="14.5">
      <c r="C1560" s="433"/>
      <c r="D1560" s="433"/>
      <c r="E1560" s="433"/>
      <c r="F1560" s="434"/>
      <c r="G1560" s="435"/>
    </row>
    <row r="1561" spans="3:7" ht="14.5">
      <c r="C1561" s="433"/>
      <c r="D1561" s="433"/>
      <c r="E1561" s="433"/>
      <c r="F1561" s="434"/>
      <c r="G1561" s="435"/>
    </row>
    <row r="1562" spans="3:7" ht="14.5">
      <c r="C1562" s="433"/>
      <c r="D1562" s="433"/>
      <c r="E1562" s="433"/>
      <c r="F1562" s="434"/>
      <c r="G1562" s="435"/>
    </row>
    <row r="1563" spans="3:7" ht="14.5">
      <c r="C1563" s="433"/>
      <c r="D1563" s="433"/>
      <c r="E1563" s="433"/>
      <c r="F1563" s="434"/>
      <c r="G1563" s="435"/>
    </row>
    <row r="1564" spans="3:7" ht="14.5">
      <c r="C1564" s="433"/>
      <c r="D1564" s="433"/>
      <c r="E1564" s="433"/>
      <c r="F1564" s="434"/>
      <c r="G1564" s="435"/>
    </row>
    <row r="1565" spans="3:7" ht="14.5">
      <c r="C1565" s="433"/>
      <c r="D1565" s="433"/>
      <c r="E1565" s="433"/>
      <c r="F1565" s="434"/>
      <c r="G1565" s="435"/>
    </row>
    <row r="1566" spans="3:7" ht="14.5">
      <c r="C1566" s="433"/>
      <c r="D1566" s="433"/>
      <c r="E1566" s="433"/>
      <c r="F1566" s="434"/>
      <c r="G1566" s="435"/>
    </row>
    <row r="1567" spans="3:7" ht="14.5">
      <c r="C1567" s="433"/>
      <c r="D1567" s="433"/>
      <c r="E1567" s="433"/>
      <c r="F1567" s="434"/>
      <c r="G1567" s="435"/>
    </row>
    <row r="1568" spans="3:7" ht="14.5">
      <c r="C1568" s="433"/>
      <c r="D1568" s="433"/>
      <c r="E1568" s="433"/>
      <c r="F1568" s="434"/>
      <c r="G1568" s="435"/>
    </row>
    <row r="1569" spans="3:7" ht="14.5">
      <c r="C1569" s="433"/>
      <c r="D1569" s="433"/>
      <c r="E1569" s="433"/>
      <c r="F1569" s="434"/>
      <c r="G1569" s="435"/>
    </row>
    <row r="1570" spans="3:7" ht="14.5">
      <c r="C1570" s="433"/>
      <c r="D1570" s="433"/>
      <c r="E1570" s="433"/>
      <c r="F1570" s="434"/>
      <c r="G1570" s="435"/>
    </row>
    <row r="1571" spans="3:7" ht="14.5">
      <c r="C1571" s="433"/>
      <c r="D1571" s="433"/>
      <c r="E1571" s="433"/>
      <c r="F1571" s="434"/>
      <c r="G1571" s="435"/>
    </row>
    <row r="1572" spans="3:7" ht="14.5">
      <c r="C1572" s="433"/>
      <c r="D1572" s="433"/>
      <c r="E1572" s="433"/>
      <c r="F1572" s="434"/>
      <c r="G1572" s="435"/>
    </row>
    <row r="1573" spans="3:7" ht="14.5">
      <c r="C1573" s="433"/>
      <c r="D1573" s="433"/>
      <c r="E1573" s="433"/>
      <c r="F1573" s="434"/>
      <c r="G1573" s="435"/>
    </row>
    <row r="1574" spans="3:7" ht="14.5">
      <c r="C1574" s="433"/>
      <c r="D1574" s="433"/>
      <c r="E1574" s="433"/>
      <c r="F1574" s="434"/>
      <c r="G1574" s="435"/>
    </row>
    <row r="1575" spans="3:7" ht="14.5">
      <c r="C1575" s="433"/>
      <c r="D1575" s="433"/>
      <c r="E1575" s="433"/>
      <c r="F1575" s="434"/>
      <c r="G1575" s="435"/>
    </row>
    <row r="1576" spans="3:7" ht="14.5">
      <c r="C1576" s="433"/>
      <c r="D1576" s="433"/>
      <c r="E1576" s="433"/>
      <c r="F1576" s="434"/>
      <c r="G1576" s="435"/>
    </row>
    <row r="1577" spans="3:7" ht="14.5">
      <c r="C1577" s="433"/>
      <c r="D1577" s="433"/>
      <c r="E1577" s="433"/>
      <c r="F1577" s="434"/>
      <c r="G1577" s="435"/>
    </row>
    <row r="1578" spans="3:7" ht="14.5">
      <c r="C1578" s="433"/>
      <c r="D1578" s="433"/>
      <c r="E1578" s="433"/>
      <c r="F1578" s="434"/>
      <c r="G1578" s="435"/>
    </row>
    <row r="1579" spans="3:7" ht="14.5">
      <c r="C1579" s="433"/>
      <c r="D1579" s="433"/>
      <c r="E1579" s="433"/>
      <c r="F1579" s="434"/>
      <c r="G1579" s="435"/>
    </row>
    <row r="1580" spans="3:7" ht="14.5">
      <c r="C1580" s="433"/>
      <c r="D1580" s="433"/>
      <c r="E1580" s="433"/>
      <c r="F1580" s="434"/>
      <c r="G1580" s="435"/>
    </row>
    <row r="1581" spans="3:7" ht="14.5">
      <c r="C1581" s="433"/>
      <c r="D1581" s="433"/>
      <c r="E1581" s="433"/>
      <c r="F1581" s="434"/>
      <c r="G1581" s="435"/>
    </row>
    <row r="1582" spans="3:7" ht="14.5">
      <c r="C1582" s="433"/>
      <c r="D1582" s="433"/>
      <c r="E1582" s="433"/>
      <c r="F1582" s="434"/>
      <c r="G1582" s="435"/>
    </row>
    <row r="1583" spans="3:7" ht="14.5">
      <c r="C1583" s="433"/>
      <c r="D1583" s="433"/>
      <c r="E1583" s="433"/>
      <c r="F1583" s="434"/>
      <c r="G1583" s="435"/>
    </row>
    <row r="1584" spans="3:7" ht="14.5">
      <c r="C1584" s="433"/>
      <c r="D1584" s="433"/>
      <c r="E1584" s="433"/>
      <c r="F1584" s="434"/>
      <c r="G1584" s="435"/>
    </row>
    <row r="1585" spans="3:7" ht="14.5">
      <c r="C1585" s="433"/>
      <c r="D1585" s="433"/>
      <c r="E1585" s="433"/>
      <c r="F1585" s="434"/>
      <c r="G1585" s="435"/>
    </row>
    <row r="1586" spans="3:7" ht="14.5">
      <c r="C1586" s="433"/>
      <c r="D1586" s="433"/>
      <c r="E1586" s="433"/>
      <c r="F1586" s="434"/>
      <c r="G1586" s="435"/>
    </row>
    <row r="1587" spans="3:7" ht="14.5">
      <c r="C1587" s="433"/>
      <c r="D1587" s="433"/>
      <c r="E1587" s="433"/>
      <c r="F1587" s="434"/>
      <c r="G1587" s="435"/>
    </row>
    <row r="1588" spans="3:7" ht="14.5">
      <c r="C1588" s="433"/>
      <c r="D1588" s="433"/>
      <c r="E1588" s="433"/>
      <c r="F1588" s="434"/>
      <c r="G1588" s="435"/>
    </row>
    <row r="1589" spans="3:7" ht="14.5">
      <c r="C1589" s="433"/>
      <c r="D1589" s="433"/>
      <c r="E1589" s="433"/>
      <c r="F1589" s="434"/>
      <c r="G1589" s="435"/>
    </row>
    <row r="1590" spans="3:7" ht="14.5">
      <c r="C1590" s="433"/>
      <c r="D1590" s="433"/>
      <c r="E1590" s="433"/>
      <c r="F1590" s="434"/>
      <c r="G1590" s="435"/>
    </row>
    <row r="1591" spans="3:7" ht="14.5">
      <c r="C1591" s="433"/>
      <c r="D1591" s="433"/>
      <c r="E1591" s="433"/>
      <c r="F1591" s="434"/>
      <c r="G1591" s="435"/>
    </row>
    <row r="1592" spans="3:7" ht="14.5">
      <c r="C1592" s="433"/>
      <c r="D1592" s="433"/>
      <c r="E1592" s="433"/>
      <c r="F1592" s="434"/>
      <c r="G1592" s="435"/>
    </row>
    <row r="1593" spans="3:7" ht="14.5">
      <c r="C1593" s="433"/>
      <c r="D1593" s="433"/>
      <c r="E1593" s="433"/>
      <c r="F1593" s="434"/>
      <c r="G1593" s="435"/>
    </row>
    <row r="1594" spans="3:7" ht="14.5">
      <c r="C1594" s="433"/>
      <c r="D1594" s="433"/>
      <c r="E1594" s="433"/>
      <c r="F1594" s="434"/>
      <c r="G1594" s="435"/>
    </row>
    <row r="1595" spans="3:7" ht="14.5">
      <c r="C1595" s="433"/>
      <c r="D1595" s="433"/>
      <c r="E1595" s="433"/>
      <c r="F1595" s="434"/>
      <c r="G1595" s="435"/>
    </row>
    <row r="1596" spans="3:7" ht="14.5">
      <c r="C1596" s="433"/>
      <c r="D1596" s="433"/>
      <c r="E1596" s="433"/>
      <c r="F1596" s="434"/>
      <c r="G1596" s="435"/>
    </row>
    <row r="1597" spans="3:7" ht="14.5">
      <c r="C1597" s="433"/>
      <c r="D1597" s="433"/>
      <c r="E1597" s="433"/>
      <c r="F1597" s="434"/>
      <c r="G1597" s="435"/>
    </row>
    <row r="1598" spans="3:7" ht="14.5">
      <c r="C1598" s="433"/>
      <c r="D1598" s="433"/>
      <c r="E1598" s="433"/>
      <c r="F1598" s="434"/>
      <c r="G1598" s="435"/>
    </row>
    <row r="1599" spans="3:7" ht="14.5">
      <c r="C1599" s="433"/>
      <c r="D1599" s="433"/>
      <c r="E1599" s="433"/>
      <c r="F1599" s="434"/>
      <c r="G1599" s="435"/>
    </row>
    <row r="1600" spans="3:7" ht="14.5">
      <c r="C1600" s="433"/>
      <c r="D1600" s="433"/>
      <c r="E1600" s="433"/>
      <c r="F1600" s="434"/>
      <c r="G1600" s="435"/>
    </row>
    <row r="1601" spans="3:7" ht="14.5">
      <c r="C1601" s="433"/>
      <c r="D1601" s="433"/>
      <c r="E1601" s="433"/>
      <c r="F1601" s="434"/>
      <c r="G1601" s="435"/>
    </row>
    <row r="1602" spans="3:7" ht="14.5">
      <c r="C1602" s="433"/>
      <c r="D1602" s="433"/>
      <c r="E1602" s="433"/>
      <c r="F1602" s="434"/>
      <c r="G1602" s="435"/>
    </row>
    <row r="1603" spans="3:7" ht="14.5">
      <c r="C1603" s="433"/>
      <c r="D1603" s="433"/>
      <c r="E1603" s="433"/>
      <c r="F1603" s="434"/>
      <c r="G1603" s="435"/>
    </row>
    <row r="1604" spans="3:7" ht="14.5">
      <c r="C1604" s="433"/>
      <c r="D1604" s="433"/>
      <c r="E1604" s="433"/>
      <c r="F1604" s="434"/>
      <c r="G1604" s="435"/>
    </row>
    <row r="1605" spans="3:7" ht="14.5">
      <c r="C1605" s="433"/>
      <c r="D1605" s="433"/>
      <c r="E1605" s="433"/>
      <c r="F1605" s="434"/>
      <c r="G1605" s="435"/>
    </row>
    <row r="1606" spans="3:7" ht="14.5">
      <c r="C1606" s="433"/>
      <c r="D1606" s="433"/>
      <c r="E1606" s="433"/>
      <c r="F1606" s="434"/>
      <c r="G1606" s="435"/>
    </row>
    <row r="1607" spans="3:7" ht="14.5">
      <c r="C1607" s="433"/>
      <c r="D1607" s="433"/>
      <c r="E1607" s="433"/>
      <c r="F1607" s="434"/>
      <c r="G1607" s="435"/>
    </row>
    <row r="1608" spans="3:7" ht="14.5">
      <c r="C1608" s="433"/>
      <c r="D1608" s="433"/>
      <c r="E1608" s="433"/>
      <c r="F1608" s="434"/>
      <c r="G1608" s="435"/>
    </row>
    <row r="1609" spans="3:7" ht="14.5">
      <c r="C1609" s="433"/>
      <c r="D1609" s="433"/>
      <c r="E1609" s="433"/>
      <c r="F1609" s="434"/>
      <c r="G1609" s="435"/>
    </row>
    <row r="1610" spans="3:7" ht="14.5">
      <c r="C1610" s="433"/>
      <c r="D1610" s="433"/>
      <c r="E1610" s="433"/>
      <c r="F1610" s="434"/>
      <c r="G1610" s="435"/>
    </row>
    <row r="1611" spans="3:7" ht="14.5">
      <c r="C1611" s="433"/>
      <c r="D1611" s="433"/>
      <c r="E1611" s="433"/>
      <c r="F1611" s="434"/>
      <c r="G1611" s="435"/>
    </row>
    <row r="1612" spans="3:7" ht="14.5">
      <c r="C1612" s="433"/>
      <c r="D1612" s="433"/>
      <c r="E1612" s="433"/>
      <c r="F1612" s="434"/>
      <c r="G1612" s="435"/>
    </row>
    <row r="1613" spans="3:7" ht="14.5">
      <c r="C1613" s="433"/>
      <c r="D1613" s="433"/>
      <c r="E1613" s="433"/>
      <c r="F1613" s="434"/>
      <c r="G1613" s="435"/>
    </row>
    <row r="1614" spans="3:7" ht="14.5">
      <c r="C1614" s="433"/>
      <c r="D1614" s="433"/>
      <c r="E1614" s="433"/>
      <c r="F1614" s="434"/>
      <c r="G1614" s="435"/>
    </row>
    <row r="1615" spans="3:7" ht="14.5">
      <c r="C1615" s="433"/>
      <c r="D1615" s="433"/>
      <c r="E1615" s="433"/>
      <c r="F1615" s="434"/>
      <c r="G1615" s="435"/>
    </row>
    <row r="1616" spans="3:7" ht="14.5">
      <c r="C1616" s="433"/>
      <c r="D1616" s="433"/>
      <c r="E1616" s="433"/>
      <c r="F1616" s="434"/>
      <c r="G1616" s="435"/>
    </row>
    <row r="1617" spans="3:7" ht="14.5">
      <c r="C1617" s="433"/>
      <c r="D1617" s="433"/>
      <c r="E1617" s="433"/>
      <c r="F1617" s="434"/>
      <c r="G1617" s="435"/>
    </row>
    <row r="1618" spans="3:7" ht="14.5">
      <c r="C1618" s="433"/>
      <c r="D1618" s="433"/>
      <c r="E1618" s="433"/>
      <c r="F1618" s="434"/>
      <c r="G1618" s="435"/>
    </row>
    <row r="1619" spans="3:7" ht="14.5">
      <c r="C1619" s="433"/>
      <c r="D1619" s="433"/>
      <c r="E1619" s="433"/>
      <c r="F1619" s="434"/>
      <c r="G1619" s="435"/>
    </row>
    <row r="1620" spans="3:7" ht="14.5">
      <c r="C1620" s="433"/>
      <c r="D1620" s="433"/>
      <c r="E1620" s="433"/>
      <c r="F1620" s="434"/>
      <c r="G1620" s="435"/>
    </row>
    <row r="1621" spans="3:7" ht="14.5">
      <c r="C1621" s="433"/>
      <c r="D1621" s="433"/>
      <c r="E1621" s="433"/>
      <c r="F1621" s="434"/>
      <c r="G1621" s="435"/>
    </row>
    <row r="1622" spans="3:7" ht="14.5">
      <c r="C1622" s="433"/>
      <c r="D1622" s="433"/>
      <c r="E1622" s="433"/>
      <c r="F1622" s="434"/>
      <c r="G1622" s="435"/>
    </row>
    <row r="1623" spans="3:7" ht="14.5">
      <c r="C1623" s="433"/>
      <c r="D1623" s="433"/>
      <c r="E1623" s="433"/>
      <c r="F1623" s="434"/>
      <c r="G1623" s="435"/>
    </row>
    <row r="1624" spans="3:7" ht="14.5">
      <c r="C1624" s="433"/>
      <c r="D1624" s="433"/>
      <c r="E1624" s="433"/>
      <c r="F1624" s="434"/>
      <c r="G1624" s="435"/>
    </row>
    <row r="1625" spans="3:7" ht="14.5">
      <c r="C1625" s="433"/>
      <c r="D1625" s="433"/>
      <c r="E1625" s="433"/>
      <c r="F1625" s="434"/>
      <c r="G1625" s="435"/>
    </row>
    <row r="1626" spans="3:7" ht="14.5">
      <c r="C1626" s="433"/>
      <c r="D1626" s="433"/>
      <c r="E1626" s="433"/>
      <c r="F1626" s="434"/>
      <c r="G1626" s="435"/>
    </row>
    <row r="1627" spans="3:7" ht="14.5">
      <c r="C1627" s="433"/>
      <c r="D1627" s="433"/>
      <c r="E1627" s="433"/>
      <c r="F1627" s="434"/>
      <c r="G1627" s="435"/>
    </row>
    <row r="1628" spans="3:7" ht="14.5">
      <c r="C1628" s="433"/>
      <c r="D1628" s="433"/>
      <c r="E1628" s="433"/>
      <c r="F1628" s="434"/>
      <c r="G1628" s="435"/>
    </row>
    <row r="1629" spans="3:7" ht="14.5">
      <c r="C1629" s="433"/>
      <c r="D1629" s="433"/>
      <c r="E1629" s="433"/>
      <c r="F1629" s="434"/>
      <c r="G1629" s="435"/>
    </row>
    <row r="1630" spans="3:7" ht="14.5">
      <c r="C1630" s="433"/>
      <c r="D1630" s="433"/>
      <c r="E1630" s="433"/>
      <c r="F1630" s="434"/>
      <c r="G1630" s="435"/>
    </row>
    <row r="1631" spans="3:7" ht="14.5">
      <c r="C1631" s="433"/>
      <c r="D1631" s="433"/>
      <c r="E1631" s="433"/>
      <c r="F1631" s="434"/>
      <c r="G1631" s="435"/>
    </row>
    <row r="1632" spans="3:7" ht="14.5">
      <c r="C1632" s="433"/>
      <c r="D1632" s="433"/>
      <c r="E1632" s="433"/>
      <c r="F1632" s="434"/>
      <c r="G1632" s="435"/>
    </row>
    <row r="1633" spans="3:7" ht="14.5">
      <c r="C1633" s="433"/>
      <c r="D1633" s="433"/>
      <c r="E1633" s="433"/>
      <c r="F1633" s="434"/>
      <c r="G1633" s="435"/>
    </row>
    <row r="1634" spans="3:7" ht="14.5">
      <c r="C1634" s="433"/>
      <c r="D1634" s="433"/>
      <c r="E1634" s="433"/>
      <c r="F1634" s="434"/>
      <c r="G1634" s="435"/>
    </row>
    <row r="1635" spans="3:7" ht="14.5">
      <c r="C1635" s="433"/>
      <c r="D1635" s="433"/>
      <c r="E1635" s="433"/>
      <c r="F1635" s="434"/>
      <c r="G1635" s="435"/>
    </row>
    <row r="1636" spans="3:7" ht="14.5">
      <c r="C1636" s="433"/>
      <c r="D1636" s="433"/>
      <c r="E1636" s="433"/>
      <c r="F1636" s="434"/>
      <c r="G1636" s="435"/>
    </row>
    <row r="1637" spans="3:7" ht="14.5">
      <c r="C1637" s="433"/>
      <c r="D1637" s="433"/>
      <c r="E1637" s="433"/>
      <c r="F1637" s="434"/>
      <c r="G1637" s="435"/>
    </row>
    <row r="1638" spans="3:7" ht="14.5">
      <c r="C1638" s="433"/>
      <c r="D1638" s="433"/>
      <c r="E1638" s="433"/>
      <c r="F1638" s="434"/>
      <c r="G1638" s="435"/>
    </row>
    <row r="1639" spans="3:7" ht="14.5">
      <c r="C1639" s="433"/>
      <c r="D1639" s="433"/>
      <c r="E1639" s="433"/>
      <c r="F1639" s="434"/>
      <c r="G1639" s="435"/>
    </row>
    <row r="1640" spans="3:7" ht="14.5">
      <c r="C1640" s="433"/>
      <c r="D1640" s="433"/>
      <c r="E1640" s="433"/>
      <c r="F1640" s="434"/>
      <c r="G1640" s="435"/>
    </row>
    <row r="1641" spans="3:7" ht="14.5">
      <c r="C1641" s="433"/>
      <c r="D1641" s="433"/>
      <c r="E1641" s="433"/>
      <c r="F1641" s="434"/>
      <c r="G1641" s="435"/>
    </row>
    <row r="1642" spans="3:7" ht="14.5">
      <c r="C1642" s="433"/>
      <c r="D1642" s="433"/>
      <c r="E1642" s="433"/>
      <c r="F1642" s="434"/>
      <c r="G1642" s="435"/>
    </row>
    <row r="1643" spans="3:7" ht="14.5">
      <c r="C1643" s="433"/>
      <c r="D1643" s="433"/>
      <c r="E1643" s="433"/>
      <c r="F1643" s="434"/>
      <c r="G1643" s="435"/>
    </row>
    <row r="1644" spans="3:7" ht="14.5">
      <c r="C1644" s="433"/>
      <c r="D1644" s="433"/>
      <c r="E1644" s="433"/>
      <c r="F1644" s="434"/>
      <c r="G1644" s="435"/>
    </row>
    <row r="1645" spans="3:7" ht="14.5">
      <c r="C1645" s="433"/>
      <c r="D1645" s="433"/>
      <c r="E1645" s="433"/>
      <c r="F1645" s="434"/>
      <c r="G1645" s="435"/>
    </row>
    <row r="1646" spans="3:7" ht="14.5">
      <c r="C1646" s="433"/>
      <c r="D1646" s="433"/>
      <c r="E1646" s="433"/>
      <c r="F1646" s="434"/>
      <c r="G1646" s="435"/>
    </row>
    <row r="1647" spans="3:7" ht="14.5">
      <c r="C1647" s="433"/>
      <c r="D1647" s="433"/>
      <c r="E1647" s="433"/>
      <c r="F1647" s="434"/>
      <c r="G1647" s="435"/>
    </row>
    <row r="1648" spans="3:7" ht="14.5">
      <c r="C1648" s="433"/>
      <c r="D1648" s="433"/>
      <c r="E1648" s="433"/>
      <c r="F1648" s="434"/>
      <c r="G1648" s="435"/>
    </row>
    <row r="1649" spans="3:7" ht="14.5">
      <c r="C1649" s="433"/>
      <c r="D1649" s="433"/>
      <c r="E1649" s="433"/>
      <c r="F1649" s="434"/>
      <c r="G1649" s="435"/>
    </row>
    <row r="1650" spans="3:7" ht="14.5">
      <c r="C1650" s="433"/>
      <c r="D1650" s="433"/>
      <c r="E1650" s="433"/>
      <c r="F1650" s="434"/>
      <c r="G1650" s="435"/>
    </row>
    <row r="1651" spans="3:7" ht="14.5">
      <c r="C1651" s="433"/>
      <c r="D1651" s="433"/>
      <c r="E1651" s="433"/>
      <c r="F1651" s="434"/>
      <c r="G1651" s="435"/>
    </row>
    <row r="1652" spans="3:7" ht="14.5">
      <c r="C1652" s="433"/>
      <c r="D1652" s="433"/>
      <c r="E1652" s="433"/>
      <c r="F1652" s="434"/>
      <c r="G1652" s="435"/>
    </row>
    <row r="1653" spans="3:7" ht="14.5">
      <c r="C1653" s="433"/>
      <c r="D1653" s="433"/>
      <c r="E1653" s="433"/>
      <c r="F1653" s="434"/>
      <c r="G1653" s="435"/>
    </row>
    <row r="1654" spans="3:7" ht="14.5">
      <c r="C1654" s="433"/>
      <c r="D1654" s="433"/>
      <c r="E1654" s="433"/>
      <c r="F1654" s="434"/>
      <c r="G1654" s="435"/>
    </row>
    <row r="1655" spans="3:7" ht="14.5">
      <c r="C1655" s="433"/>
      <c r="D1655" s="433"/>
      <c r="E1655" s="433"/>
      <c r="F1655" s="434"/>
      <c r="G1655" s="435"/>
    </row>
    <row r="1656" spans="3:7" ht="14.5">
      <c r="C1656" s="433"/>
      <c r="D1656" s="433"/>
      <c r="E1656" s="433"/>
      <c r="F1656" s="434"/>
      <c r="G1656" s="435"/>
    </row>
    <row r="1657" spans="3:7" ht="14.5">
      <c r="C1657" s="433"/>
      <c r="D1657" s="433"/>
      <c r="E1657" s="433"/>
      <c r="F1657" s="434"/>
      <c r="G1657" s="435"/>
    </row>
    <row r="1658" spans="3:7" ht="14.5">
      <c r="C1658" s="433"/>
      <c r="D1658" s="433"/>
      <c r="E1658" s="433"/>
      <c r="F1658" s="434"/>
      <c r="G1658" s="435"/>
    </row>
    <row r="1659" spans="3:7" ht="14.5">
      <c r="C1659" s="433"/>
      <c r="D1659" s="433"/>
      <c r="E1659" s="433"/>
      <c r="F1659" s="434"/>
      <c r="G1659" s="435"/>
    </row>
    <row r="1660" spans="3:7" ht="14.5">
      <c r="C1660" s="433"/>
      <c r="D1660" s="433"/>
      <c r="E1660" s="433"/>
      <c r="F1660" s="434"/>
      <c r="G1660" s="435"/>
    </row>
    <row r="1661" spans="3:7" ht="14.5">
      <c r="C1661" s="433"/>
      <c r="D1661" s="433"/>
      <c r="E1661" s="433"/>
      <c r="F1661" s="434"/>
      <c r="G1661" s="435"/>
    </row>
    <row r="1662" spans="3:7" ht="14.5">
      <c r="C1662" s="433"/>
      <c r="D1662" s="433"/>
      <c r="E1662" s="433"/>
      <c r="F1662" s="434"/>
      <c r="G1662" s="435"/>
    </row>
    <row r="1663" spans="3:7" ht="14.5">
      <c r="C1663" s="433"/>
      <c r="D1663" s="433"/>
      <c r="E1663" s="433"/>
      <c r="F1663" s="434"/>
      <c r="G1663" s="435"/>
    </row>
    <row r="1664" spans="3:7" ht="14.5">
      <c r="C1664" s="433"/>
      <c r="D1664" s="433"/>
      <c r="E1664" s="433"/>
      <c r="F1664" s="434"/>
      <c r="G1664" s="435"/>
    </row>
    <row r="1665" spans="3:7" ht="14.5">
      <c r="C1665" s="433"/>
      <c r="D1665" s="433"/>
      <c r="E1665" s="433"/>
      <c r="F1665" s="434"/>
      <c r="G1665" s="435"/>
    </row>
    <row r="1666" spans="3:7" ht="14.5">
      <c r="C1666" s="433"/>
      <c r="D1666" s="433"/>
      <c r="E1666" s="433"/>
      <c r="F1666" s="434"/>
      <c r="G1666" s="435"/>
    </row>
    <row r="1667" spans="3:7" ht="14.5">
      <c r="C1667" s="433"/>
      <c r="D1667" s="433"/>
      <c r="E1667" s="433"/>
      <c r="F1667" s="434"/>
      <c r="G1667" s="435"/>
    </row>
    <row r="1668" spans="3:7" ht="14.5">
      <c r="C1668" s="433"/>
      <c r="D1668" s="433"/>
      <c r="E1668" s="433"/>
      <c r="F1668" s="434"/>
      <c r="G1668" s="435"/>
    </row>
    <row r="1669" spans="3:7" ht="14.5">
      <c r="C1669" s="433"/>
      <c r="D1669" s="433"/>
      <c r="E1669" s="433"/>
      <c r="F1669" s="434"/>
      <c r="G1669" s="435"/>
    </row>
    <row r="1670" spans="3:7" ht="14.5">
      <c r="C1670" s="433"/>
      <c r="D1670" s="433"/>
      <c r="E1670" s="433"/>
      <c r="F1670" s="434"/>
      <c r="G1670" s="435"/>
    </row>
    <row r="1671" spans="3:7" ht="14.5">
      <c r="C1671" s="433"/>
      <c r="D1671" s="433"/>
      <c r="E1671" s="433"/>
      <c r="F1671" s="434"/>
      <c r="G1671" s="435"/>
    </row>
    <row r="1672" spans="3:7" ht="14.5">
      <c r="C1672" s="433"/>
      <c r="D1672" s="433"/>
      <c r="E1672" s="433"/>
      <c r="F1672" s="434"/>
      <c r="G1672" s="435"/>
    </row>
    <row r="1673" spans="3:7" ht="14.5">
      <c r="C1673" s="433"/>
      <c r="D1673" s="433"/>
      <c r="E1673" s="433"/>
      <c r="F1673" s="434"/>
      <c r="G1673" s="435"/>
    </row>
    <row r="1674" spans="3:7" ht="14.5">
      <c r="C1674" s="433"/>
      <c r="D1674" s="433"/>
      <c r="E1674" s="433"/>
      <c r="F1674" s="434"/>
      <c r="G1674" s="435"/>
    </row>
    <row r="1675" spans="3:7" ht="14.5">
      <c r="C1675" s="433"/>
      <c r="D1675" s="433"/>
      <c r="E1675" s="433"/>
      <c r="F1675" s="434"/>
      <c r="G1675" s="435"/>
    </row>
    <row r="1676" spans="3:7" ht="14.5">
      <c r="C1676" s="433"/>
      <c r="D1676" s="433"/>
      <c r="E1676" s="433"/>
      <c r="F1676" s="434"/>
      <c r="G1676" s="435"/>
    </row>
    <row r="1677" spans="3:7" ht="14.5">
      <c r="C1677" s="433"/>
      <c r="D1677" s="433"/>
      <c r="E1677" s="433"/>
      <c r="F1677" s="434"/>
      <c r="G1677" s="435"/>
    </row>
    <row r="1678" spans="3:7" ht="14.5">
      <c r="C1678" s="433"/>
      <c r="D1678" s="433"/>
      <c r="E1678" s="433"/>
      <c r="F1678" s="434"/>
      <c r="G1678" s="435"/>
    </row>
    <row r="1679" spans="3:7" ht="14.5">
      <c r="C1679" s="433"/>
      <c r="D1679" s="433"/>
      <c r="E1679" s="433"/>
      <c r="F1679" s="434"/>
      <c r="G1679" s="435"/>
    </row>
    <row r="1680" spans="3:7" ht="14.5">
      <c r="C1680" s="433"/>
      <c r="D1680" s="433"/>
      <c r="E1680" s="433"/>
      <c r="F1680" s="434"/>
      <c r="G1680" s="435"/>
    </row>
    <row r="1681" spans="3:7" ht="14.5">
      <c r="C1681" s="433"/>
      <c r="D1681" s="433"/>
      <c r="E1681" s="433"/>
      <c r="F1681" s="434"/>
      <c r="G1681" s="435"/>
    </row>
    <row r="1682" spans="3:7" ht="14.5">
      <c r="C1682" s="433"/>
      <c r="D1682" s="433"/>
      <c r="E1682" s="433"/>
      <c r="F1682" s="434"/>
      <c r="G1682" s="435"/>
    </row>
    <row r="1683" spans="3:7" ht="14.5">
      <c r="C1683" s="433"/>
      <c r="D1683" s="433"/>
      <c r="E1683" s="433"/>
      <c r="F1683" s="434"/>
      <c r="G1683" s="435"/>
    </row>
    <row r="1684" spans="3:7" ht="14.5">
      <c r="C1684" s="433"/>
      <c r="D1684" s="433"/>
      <c r="E1684" s="433"/>
      <c r="F1684" s="434"/>
      <c r="G1684" s="435"/>
    </row>
    <row r="1685" spans="3:7" ht="14.5">
      <c r="C1685" s="433"/>
      <c r="D1685" s="433"/>
      <c r="E1685" s="433"/>
      <c r="F1685" s="434"/>
      <c r="G1685" s="435"/>
    </row>
    <row r="1686" spans="3:7" ht="14.5">
      <c r="C1686" s="433"/>
      <c r="D1686" s="433"/>
      <c r="E1686" s="433"/>
      <c r="F1686" s="434"/>
      <c r="G1686" s="435"/>
    </row>
    <row r="1687" spans="3:7" ht="14.5">
      <c r="C1687" s="433"/>
      <c r="D1687" s="433"/>
      <c r="E1687" s="433"/>
      <c r="F1687" s="434"/>
      <c r="G1687" s="435"/>
    </row>
    <row r="1688" spans="3:7" ht="14.5">
      <c r="C1688" s="433"/>
      <c r="D1688" s="433"/>
      <c r="E1688" s="433"/>
      <c r="F1688" s="434"/>
      <c r="G1688" s="435"/>
    </row>
    <row r="1689" spans="3:7" ht="14.5">
      <c r="C1689" s="433"/>
      <c r="D1689" s="433"/>
      <c r="E1689" s="433"/>
      <c r="F1689" s="434"/>
      <c r="G1689" s="435"/>
    </row>
    <row r="1690" spans="3:7" ht="14.5">
      <c r="C1690" s="433"/>
      <c r="D1690" s="433"/>
      <c r="E1690" s="433"/>
      <c r="F1690" s="434"/>
      <c r="G1690" s="435"/>
    </row>
    <row r="1691" spans="3:7" ht="14.5">
      <c r="C1691" s="433"/>
      <c r="D1691" s="433"/>
      <c r="E1691" s="433"/>
      <c r="F1691" s="434"/>
      <c r="G1691" s="435"/>
    </row>
    <row r="1692" spans="3:7" ht="14.5">
      <c r="C1692" s="433"/>
      <c r="D1692" s="433"/>
      <c r="E1692" s="433"/>
      <c r="F1692" s="434"/>
      <c r="G1692" s="435"/>
    </row>
    <row r="1693" spans="3:7" ht="14.5">
      <c r="C1693" s="433"/>
      <c r="D1693" s="433"/>
      <c r="E1693" s="433"/>
      <c r="F1693" s="434"/>
      <c r="G1693" s="435"/>
    </row>
    <row r="1694" spans="3:7" ht="14.5">
      <c r="C1694" s="433"/>
      <c r="D1694" s="433"/>
      <c r="E1694" s="433"/>
      <c r="F1694" s="434"/>
      <c r="G1694" s="435"/>
    </row>
    <row r="1695" spans="3:7" ht="14.5">
      <c r="C1695" s="433"/>
      <c r="D1695" s="433"/>
      <c r="E1695" s="433"/>
      <c r="F1695" s="434"/>
      <c r="G1695" s="435"/>
    </row>
    <row r="1696" spans="3:7" ht="14.5">
      <c r="C1696" s="433"/>
      <c r="D1696" s="433"/>
      <c r="E1696" s="433"/>
      <c r="F1696" s="434"/>
      <c r="G1696" s="435"/>
    </row>
    <row r="1697" spans="3:7" ht="14.5">
      <c r="C1697" s="433"/>
      <c r="D1697" s="433"/>
      <c r="E1697" s="433"/>
      <c r="F1697" s="434"/>
      <c r="G1697" s="435"/>
    </row>
    <row r="1698" spans="3:7" ht="14.5">
      <c r="C1698" s="433"/>
      <c r="D1698" s="433"/>
      <c r="E1698" s="433"/>
      <c r="F1698" s="434"/>
      <c r="G1698" s="435"/>
    </row>
    <row r="1699" spans="3:7" ht="14.5">
      <c r="C1699" s="433"/>
      <c r="D1699" s="433"/>
      <c r="E1699" s="433"/>
      <c r="F1699" s="434"/>
      <c r="G1699" s="435"/>
    </row>
    <row r="1700" spans="3:7" ht="14.5">
      <c r="C1700" s="433"/>
      <c r="D1700" s="433"/>
      <c r="E1700" s="433"/>
      <c r="F1700" s="434"/>
      <c r="G1700" s="435"/>
    </row>
    <row r="1701" spans="3:7" ht="14.5">
      <c r="C1701" s="433"/>
      <c r="D1701" s="433"/>
      <c r="E1701" s="433"/>
      <c r="F1701" s="434"/>
      <c r="G1701" s="435"/>
    </row>
    <row r="1702" spans="3:7" ht="14.5">
      <c r="C1702" s="433"/>
      <c r="D1702" s="433"/>
      <c r="E1702" s="433"/>
      <c r="F1702" s="434"/>
      <c r="G1702" s="435"/>
    </row>
    <row r="1703" spans="3:7" ht="14.5">
      <c r="C1703" s="433"/>
      <c r="D1703" s="433"/>
      <c r="E1703" s="433"/>
      <c r="F1703" s="434"/>
      <c r="G1703" s="435"/>
    </row>
    <row r="1704" spans="3:7" ht="14.5">
      <c r="C1704" s="433"/>
      <c r="D1704" s="433"/>
      <c r="E1704" s="433"/>
      <c r="F1704" s="434"/>
      <c r="G1704" s="435"/>
    </row>
    <row r="1705" spans="3:7" ht="14.5">
      <c r="C1705" s="433"/>
      <c r="D1705" s="433"/>
      <c r="E1705" s="433"/>
      <c r="F1705" s="434"/>
      <c r="G1705" s="435"/>
    </row>
    <row r="1706" spans="3:7" ht="14.5">
      <c r="C1706" s="433"/>
      <c r="D1706" s="433"/>
      <c r="E1706" s="433"/>
      <c r="F1706" s="434"/>
      <c r="G1706" s="435"/>
    </row>
    <row r="1707" spans="3:7" ht="14.5">
      <c r="C1707" s="433"/>
      <c r="D1707" s="433"/>
      <c r="E1707" s="433"/>
      <c r="F1707" s="434"/>
      <c r="G1707" s="435"/>
    </row>
    <row r="1708" spans="3:7" ht="14.5">
      <c r="C1708" s="433"/>
      <c r="D1708" s="433"/>
      <c r="E1708" s="433"/>
      <c r="F1708" s="434"/>
      <c r="G1708" s="435"/>
    </row>
    <row r="1709" spans="3:7" ht="14.5">
      <c r="C1709" s="433"/>
      <c r="D1709" s="433"/>
      <c r="E1709" s="433"/>
      <c r="F1709" s="434"/>
      <c r="G1709" s="435"/>
    </row>
    <row r="1710" spans="3:7" ht="14.5">
      <c r="C1710" s="433"/>
      <c r="D1710" s="433"/>
      <c r="E1710" s="433"/>
      <c r="F1710" s="434"/>
      <c r="G1710" s="435"/>
    </row>
    <row r="1711" spans="3:7" ht="14.5">
      <c r="C1711" s="433"/>
      <c r="D1711" s="433"/>
      <c r="E1711" s="433"/>
      <c r="F1711" s="434"/>
      <c r="G1711" s="435"/>
    </row>
    <row r="1712" spans="3:7" ht="14.5">
      <c r="C1712" s="433"/>
      <c r="D1712" s="433"/>
      <c r="E1712" s="433"/>
      <c r="F1712" s="434"/>
      <c r="G1712" s="435"/>
    </row>
    <row r="1713" spans="3:7" ht="14.5">
      <c r="C1713" s="433"/>
      <c r="D1713" s="433"/>
      <c r="E1713" s="433"/>
      <c r="F1713" s="434"/>
      <c r="G1713" s="435"/>
    </row>
    <row r="1714" spans="3:7" ht="14.5">
      <c r="C1714" s="433"/>
      <c r="D1714" s="433"/>
      <c r="E1714" s="433"/>
      <c r="F1714" s="434"/>
      <c r="G1714" s="435"/>
    </row>
    <row r="1715" spans="3:7" ht="14.5">
      <c r="C1715" s="433"/>
      <c r="D1715" s="433"/>
      <c r="E1715" s="433"/>
      <c r="F1715" s="434"/>
      <c r="G1715" s="435"/>
    </row>
    <row r="1716" spans="3:7" ht="14.5">
      <c r="C1716" s="433"/>
      <c r="D1716" s="433"/>
      <c r="E1716" s="433"/>
      <c r="F1716" s="434"/>
      <c r="G1716" s="435"/>
    </row>
    <row r="1717" spans="3:7" ht="14.5">
      <c r="C1717" s="433"/>
      <c r="D1717" s="433"/>
      <c r="E1717" s="433"/>
      <c r="F1717" s="434"/>
      <c r="G1717" s="435"/>
    </row>
    <row r="1718" spans="3:7" ht="14.5">
      <c r="C1718" s="433"/>
      <c r="D1718" s="433"/>
      <c r="E1718" s="433"/>
      <c r="F1718" s="434"/>
      <c r="G1718" s="435"/>
    </row>
    <row r="1719" spans="3:7" ht="14.5">
      <c r="C1719" s="433"/>
      <c r="D1719" s="433"/>
      <c r="E1719" s="433"/>
      <c r="F1719" s="434"/>
      <c r="G1719" s="435"/>
    </row>
    <row r="1720" spans="3:7" ht="14.5">
      <c r="C1720" s="433"/>
      <c r="D1720" s="433"/>
      <c r="E1720" s="433"/>
      <c r="F1720" s="434"/>
      <c r="G1720" s="435"/>
    </row>
    <row r="1721" spans="3:7" ht="14.5">
      <c r="C1721" s="433"/>
      <c r="D1721" s="433"/>
      <c r="E1721" s="433"/>
      <c r="F1721" s="434"/>
      <c r="G1721" s="435"/>
    </row>
    <row r="1722" spans="3:7" ht="14.5">
      <c r="C1722" s="433"/>
      <c r="D1722" s="433"/>
      <c r="E1722" s="433"/>
      <c r="F1722" s="434"/>
      <c r="G1722" s="435"/>
    </row>
    <row r="1723" spans="3:7" ht="14.5">
      <c r="C1723" s="433"/>
      <c r="D1723" s="433"/>
      <c r="E1723" s="433"/>
      <c r="F1723" s="434"/>
      <c r="G1723" s="435"/>
    </row>
    <row r="1724" spans="3:7" ht="14.5">
      <c r="C1724" s="433"/>
      <c r="D1724" s="433"/>
      <c r="E1724" s="433"/>
      <c r="F1724" s="434"/>
      <c r="G1724" s="435"/>
    </row>
    <row r="1725" spans="3:7" ht="14.5">
      <c r="C1725" s="433"/>
      <c r="D1725" s="433"/>
      <c r="E1725" s="433"/>
      <c r="F1725" s="434"/>
      <c r="G1725" s="435"/>
    </row>
    <row r="1726" spans="3:7" ht="14.5">
      <c r="C1726" s="433"/>
      <c r="D1726" s="433"/>
      <c r="E1726" s="433"/>
      <c r="F1726" s="434"/>
      <c r="G1726" s="435"/>
    </row>
    <row r="1727" spans="3:7" ht="14.5">
      <c r="C1727" s="433"/>
      <c r="D1727" s="433"/>
      <c r="E1727" s="433"/>
      <c r="F1727" s="434"/>
      <c r="G1727" s="435"/>
    </row>
    <row r="1728" spans="3:7" ht="14.5">
      <c r="C1728" s="433"/>
      <c r="D1728" s="433"/>
      <c r="E1728" s="433"/>
      <c r="F1728" s="434"/>
      <c r="G1728" s="435"/>
    </row>
    <row r="1729" spans="3:7" ht="14.5">
      <c r="C1729" s="433"/>
      <c r="D1729" s="433"/>
      <c r="E1729" s="433"/>
      <c r="F1729" s="434"/>
      <c r="G1729" s="435"/>
    </row>
    <row r="1730" spans="3:7" ht="14.5">
      <c r="C1730" s="433"/>
      <c r="D1730" s="433"/>
      <c r="E1730" s="433"/>
      <c r="F1730" s="434"/>
      <c r="G1730" s="435"/>
    </row>
    <row r="1731" spans="3:7" ht="14.5">
      <c r="C1731" s="433"/>
      <c r="D1731" s="433"/>
      <c r="E1731" s="433"/>
      <c r="F1731" s="434"/>
      <c r="G1731" s="435"/>
    </row>
    <row r="1732" spans="3:7" ht="14.5">
      <c r="C1732" s="433"/>
      <c r="D1732" s="433"/>
      <c r="E1732" s="433"/>
      <c r="F1732" s="434"/>
      <c r="G1732" s="435"/>
    </row>
    <row r="1733" spans="3:7" ht="14.5">
      <c r="C1733" s="433"/>
      <c r="D1733" s="433"/>
      <c r="E1733" s="433"/>
      <c r="F1733" s="434"/>
      <c r="G1733" s="435"/>
    </row>
    <row r="1734" spans="3:7" ht="14.5">
      <c r="C1734" s="433"/>
      <c r="D1734" s="433"/>
      <c r="E1734" s="433"/>
      <c r="F1734" s="434"/>
      <c r="G1734" s="435"/>
    </row>
    <row r="1735" spans="3:7" ht="14.5">
      <c r="C1735" s="433"/>
      <c r="D1735" s="433"/>
      <c r="E1735" s="433"/>
      <c r="F1735" s="434"/>
      <c r="G1735" s="435"/>
    </row>
    <row r="1736" spans="3:7" ht="14.5">
      <c r="C1736" s="433"/>
      <c r="D1736" s="433"/>
      <c r="E1736" s="433"/>
      <c r="F1736" s="434"/>
      <c r="G1736" s="435"/>
    </row>
    <row r="1737" spans="3:7" ht="14.5">
      <c r="C1737" s="433"/>
      <c r="D1737" s="433"/>
      <c r="E1737" s="433"/>
      <c r="F1737" s="434"/>
      <c r="G1737" s="435"/>
    </row>
    <row r="1738" spans="3:7" ht="14.5">
      <c r="C1738" s="433"/>
      <c r="D1738" s="433"/>
      <c r="E1738" s="433"/>
      <c r="F1738" s="434"/>
      <c r="G1738" s="435"/>
    </row>
    <row r="1739" spans="3:7" ht="14.5">
      <c r="C1739" s="433"/>
      <c r="D1739" s="433"/>
      <c r="E1739" s="433"/>
      <c r="F1739" s="434"/>
      <c r="G1739" s="435"/>
    </row>
    <row r="1740" spans="3:7" ht="14.5">
      <c r="C1740" s="433"/>
      <c r="D1740" s="433"/>
      <c r="E1740" s="433"/>
      <c r="F1740" s="434"/>
      <c r="G1740" s="435"/>
    </row>
    <row r="1741" spans="3:7" ht="14.5">
      <c r="C1741" s="433"/>
      <c r="D1741" s="433"/>
      <c r="E1741" s="433"/>
      <c r="F1741" s="434"/>
      <c r="G1741" s="435"/>
    </row>
    <row r="1742" spans="3:7" ht="14.5">
      <c r="C1742" s="433"/>
      <c r="D1742" s="433"/>
      <c r="E1742" s="433"/>
      <c r="F1742" s="434"/>
      <c r="G1742" s="435"/>
    </row>
    <row r="1743" spans="3:7" ht="14.5">
      <c r="C1743" s="433"/>
      <c r="D1743" s="433"/>
      <c r="E1743" s="433"/>
      <c r="F1743" s="434"/>
      <c r="G1743" s="435"/>
    </row>
    <row r="1744" spans="3:7" ht="14.5">
      <c r="C1744" s="433"/>
      <c r="D1744" s="433"/>
      <c r="E1744" s="433"/>
      <c r="F1744" s="434"/>
      <c r="G1744" s="435"/>
    </row>
    <row r="1745" spans="3:7" ht="14.5">
      <c r="C1745" s="433"/>
      <c r="D1745" s="433"/>
      <c r="E1745" s="433"/>
      <c r="F1745" s="434"/>
      <c r="G1745" s="435"/>
    </row>
    <row r="1746" spans="3:7" ht="14.5">
      <c r="C1746" s="433"/>
      <c r="D1746" s="433"/>
      <c r="E1746" s="433"/>
      <c r="F1746" s="434"/>
      <c r="G1746" s="435"/>
    </row>
    <row r="1747" spans="3:7" ht="14.5">
      <c r="C1747" s="433"/>
      <c r="D1747" s="433"/>
      <c r="E1747" s="433"/>
      <c r="F1747" s="434"/>
      <c r="G1747" s="435"/>
    </row>
    <row r="1748" spans="3:7" ht="14.5">
      <c r="C1748" s="433"/>
      <c r="D1748" s="433"/>
      <c r="E1748" s="433"/>
      <c r="F1748" s="434"/>
      <c r="G1748" s="435"/>
    </row>
    <row r="1749" spans="3:7" ht="14.5">
      <c r="C1749" s="433"/>
      <c r="D1749" s="433"/>
      <c r="E1749" s="433"/>
      <c r="F1749" s="434"/>
      <c r="G1749" s="435"/>
    </row>
    <row r="1750" spans="3:7" ht="14.5">
      <c r="C1750" s="433"/>
      <c r="D1750" s="433"/>
      <c r="E1750" s="433"/>
      <c r="F1750" s="434"/>
      <c r="G1750" s="435"/>
    </row>
    <row r="1751" spans="3:7" ht="14.5">
      <c r="C1751" s="433"/>
      <c r="D1751" s="433"/>
      <c r="E1751" s="433"/>
      <c r="F1751" s="434"/>
      <c r="G1751" s="435"/>
    </row>
    <row r="1752" spans="3:7" ht="14.5">
      <c r="C1752" s="433"/>
      <c r="D1752" s="433"/>
      <c r="E1752" s="433"/>
      <c r="F1752" s="434"/>
      <c r="G1752" s="435"/>
    </row>
    <row r="1753" spans="3:7" ht="14.5">
      <c r="C1753" s="433"/>
      <c r="D1753" s="433"/>
      <c r="E1753" s="433"/>
      <c r="F1753" s="434"/>
      <c r="G1753" s="435"/>
    </row>
    <row r="1754" spans="3:7" ht="14.5">
      <c r="C1754" s="433"/>
      <c r="D1754" s="433"/>
      <c r="E1754" s="433"/>
      <c r="F1754" s="434"/>
      <c r="G1754" s="435"/>
    </row>
    <row r="1755" spans="3:7" ht="14.5">
      <c r="C1755" s="433"/>
      <c r="D1755" s="433"/>
      <c r="E1755" s="433"/>
      <c r="F1755" s="434"/>
      <c r="G1755" s="435"/>
    </row>
    <row r="1756" spans="3:7" ht="14.5">
      <c r="C1756" s="433"/>
      <c r="D1756" s="433"/>
      <c r="E1756" s="433"/>
      <c r="F1756" s="434"/>
      <c r="G1756" s="435"/>
    </row>
    <row r="1757" spans="3:7" ht="14.5">
      <c r="C1757" s="433"/>
      <c r="D1757" s="433"/>
      <c r="E1757" s="433"/>
      <c r="F1757" s="434"/>
      <c r="G1757" s="435"/>
    </row>
    <row r="1758" spans="3:7" ht="14.5">
      <c r="C1758" s="433"/>
      <c r="D1758" s="433"/>
      <c r="E1758" s="433"/>
      <c r="F1758" s="434"/>
      <c r="G1758" s="435"/>
    </row>
    <row r="1759" spans="3:7" ht="14.5">
      <c r="C1759" s="433"/>
      <c r="D1759" s="433"/>
      <c r="E1759" s="433"/>
      <c r="F1759" s="434"/>
      <c r="G1759" s="435"/>
    </row>
    <row r="1760" spans="3:7" ht="14.5">
      <c r="C1760" s="433"/>
      <c r="D1760" s="433"/>
      <c r="E1760" s="433"/>
      <c r="F1760" s="434"/>
      <c r="G1760" s="435"/>
    </row>
    <row r="1761" spans="3:7" ht="14.5">
      <c r="C1761" s="433"/>
      <c r="D1761" s="433"/>
      <c r="E1761" s="433"/>
      <c r="F1761" s="434"/>
      <c r="G1761" s="435"/>
    </row>
    <row r="1762" spans="3:7" ht="14.5">
      <c r="C1762" s="433"/>
      <c r="D1762" s="433"/>
      <c r="E1762" s="433"/>
      <c r="F1762" s="434"/>
      <c r="G1762" s="435"/>
    </row>
    <row r="1763" spans="3:7" ht="14.5">
      <c r="C1763" s="433"/>
      <c r="D1763" s="433"/>
      <c r="E1763" s="433"/>
      <c r="F1763" s="434"/>
      <c r="G1763" s="435"/>
    </row>
    <row r="1764" spans="3:7" ht="14.5">
      <c r="C1764" s="433"/>
      <c r="D1764" s="433"/>
      <c r="E1764" s="433"/>
      <c r="F1764" s="434"/>
      <c r="G1764" s="435"/>
    </row>
    <row r="1765" spans="3:7" ht="14.5">
      <c r="C1765" s="433"/>
      <c r="D1765" s="433"/>
      <c r="E1765" s="433"/>
      <c r="F1765" s="434"/>
      <c r="G1765" s="435"/>
    </row>
    <row r="1766" spans="3:7" ht="14.5">
      <c r="C1766" s="433"/>
      <c r="D1766" s="433"/>
      <c r="E1766" s="433"/>
      <c r="F1766" s="434"/>
      <c r="G1766" s="435"/>
    </row>
    <row r="1767" spans="3:7" ht="14.5">
      <c r="C1767" s="433"/>
      <c r="D1767" s="433"/>
      <c r="E1767" s="433"/>
      <c r="F1767" s="434"/>
      <c r="G1767" s="435"/>
    </row>
    <row r="1768" spans="3:7" ht="14.5">
      <c r="C1768" s="433"/>
      <c r="D1768" s="433"/>
      <c r="E1768" s="433"/>
      <c r="F1768" s="434"/>
      <c r="G1768" s="435"/>
    </row>
    <row r="1769" spans="3:7" ht="14.5">
      <c r="C1769" s="433"/>
      <c r="D1769" s="433"/>
      <c r="E1769" s="433"/>
      <c r="F1769" s="434"/>
      <c r="G1769" s="435"/>
    </row>
    <row r="1770" spans="3:7" ht="14.5">
      <c r="C1770" s="433"/>
      <c r="D1770" s="433"/>
      <c r="E1770" s="433"/>
      <c r="F1770" s="434"/>
      <c r="G1770" s="435"/>
    </row>
    <row r="1771" spans="3:7" ht="14.5">
      <c r="C1771" s="433"/>
      <c r="D1771" s="433"/>
      <c r="E1771" s="433"/>
      <c r="F1771" s="434"/>
      <c r="G1771" s="435"/>
    </row>
    <row r="1772" spans="3:7" ht="14.5">
      <c r="C1772" s="433"/>
      <c r="D1772" s="433"/>
      <c r="E1772" s="433"/>
      <c r="F1772" s="434"/>
      <c r="G1772" s="435"/>
    </row>
    <row r="1773" spans="3:7" ht="14.5">
      <c r="C1773" s="433"/>
      <c r="D1773" s="433"/>
      <c r="E1773" s="433"/>
      <c r="F1773" s="434"/>
      <c r="G1773" s="435"/>
    </row>
    <row r="1774" spans="3:7" ht="14.5">
      <c r="C1774" s="433"/>
      <c r="D1774" s="433"/>
      <c r="E1774" s="433"/>
      <c r="F1774" s="434"/>
      <c r="G1774" s="435"/>
    </row>
    <row r="1775" spans="3:7" ht="14.5">
      <c r="C1775" s="433"/>
      <c r="D1775" s="433"/>
      <c r="E1775" s="433"/>
      <c r="F1775" s="434"/>
      <c r="G1775" s="435"/>
    </row>
    <row r="1776" spans="3:7" ht="14.5">
      <c r="C1776" s="433"/>
      <c r="D1776" s="433"/>
      <c r="E1776" s="433"/>
      <c r="F1776" s="434"/>
      <c r="G1776" s="435"/>
    </row>
    <row r="1777" spans="3:7" ht="14.5">
      <c r="C1777" s="433"/>
      <c r="D1777" s="433"/>
      <c r="E1777" s="433"/>
      <c r="F1777" s="434"/>
      <c r="G1777" s="435"/>
    </row>
    <row r="1778" spans="3:7" ht="14.5">
      <c r="C1778" s="433"/>
      <c r="D1778" s="433"/>
      <c r="E1778" s="433"/>
      <c r="F1778" s="434"/>
      <c r="G1778" s="435"/>
    </row>
    <row r="1779" spans="3:7" ht="14.5">
      <c r="C1779" s="433"/>
      <c r="D1779" s="433"/>
      <c r="E1779" s="433"/>
      <c r="F1779" s="434"/>
      <c r="G1779" s="435"/>
    </row>
    <row r="1780" spans="3:7" ht="14.5">
      <c r="C1780" s="433"/>
      <c r="D1780" s="433"/>
      <c r="E1780" s="433"/>
      <c r="F1780" s="434"/>
      <c r="G1780" s="435"/>
    </row>
    <row r="1781" spans="3:7" ht="14.5">
      <c r="C1781" s="433"/>
      <c r="D1781" s="433"/>
      <c r="E1781" s="433"/>
      <c r="F1781" s="434"/>
      <c r="G1781" s="435"/>
    </row>
    <row r="1782" spans="3:7" ht="14.5">
      <c r="C1782" s="433"/>
      <c r="D1782" s="433"/>
      <c r="E1782" s="433"/>
      <c r="F1782" s="434"/>
      <c r="G1782" s="435"/>
    </row>
    <row r="1783" spans="3:7" ht="14.5">
      <c r="C1783" s="433"/>
      <c r="D1783" s="433"/>
      <c r="E1783" s="433"/>
      <c r="F1783" s="434"/>
      <c r="G1783" s="435"/>
    </row>
    <row r="1784" spans="3:7" ht="14.5">
      <c r="C1784" s="433"/>
      <c r="D1784" s="433"/>
      <c r="E1784" s="433"/>
      <c r="F1784" s="434"/>
      <c r="G1784" s="435"/>
    </row>
    <row r="1785" spans="3:7" ht="14.5">
      <c r="C1785" s="433"/>
      <c r="D1785" s="433"/>
      <c r="E1785" s="433"/>
      <c r="F1785" s="434"/>
      <c r="G1785" s="435"/>
    </row>
    <row r="1786" spans="3:7" ht="14.5">
      <c r="C1786" s="433"/>
      <c r="D1786" s="433"/>
      <c r="E1786" s="433"/>
      <c r="F1786" s="434"/>
      <c r="G1786" s="435"/>
    </row>
    <row r="1787" spans="3:7" ht="14.5">
      <c r="C1787" s="433"/>
      <c r="D1787" s="433"/>
      <c r="E1787" s="433"/>
      <c r="F1787" s="434"/>
      <c r="G1787" s="435"/>
    </row>
    <row r="1788" spans="3:7" ht="14.5">
      <c r="C1788" s="433"/>
      <c r="D1788" s="433"/>
      <c r="E1788" s="433"/>
      <c r="F1788" s="434"/>
      <c r="G1788" s="435"/>
    </row>
    <row r="1789" spans="3:7" ht="14.5">
      <c r="C1789" s="433"/>
      <c r="D1789" s="433"/>
      <c r="E1789" s="433"/>
      <c r="F1789" s="434"/>
      <c r="G1789" s="435"/>
    </row>
    <row r="1790" spans="3:7" ht="14.5">
      <c r="C1790" s="433"/>
      <c r="D1790" s="433"/>
      <c r="E1790" s="433"/>
      <c r="F1790" s="434"/>
      <c r="G1790" s="435"/>
    </row>
    <row r="1791" spans="3:7" ht="14.5">
      <c r="C1791" s="433"/>
      <c r="D1791" s="433"/>
      <c r="E1791" s="433"/>
      <c r="F1791" s="434"/>
      <c r="G1791" s="435"/>
    </row>
    <row r="1792" spans="3:7" ht="14.5">
      <c r="C1792" s="433"/>
      <c r="D1792" s="433"/>
      <c r="E1792" s="433"/>
      <c r="F1792" s="434"/>
      <c r="G1792" s="435"/>
    </row>
    <row r="1793" spans="3:7" ht="14.5">
      <c r="C1793" s="433"/>
      <c r="D1793" s="433"/>
      <c r="E1793" s="433"/>
      <c r="F1793" s="434"/>
      <c r="G1793" s="435"/>
    </row>
    <row r="1794" spans="3:7" ht="14.5">
      <c r="C1794" s="433"/>
      <c r="D1794" s="433"/>
      <c r="E1794" s="433"/>
      <c r="F1794" s="434"/>
      <c r="G1794" s="435"/>
    </row>
    <row r="1795" spans="3:7" ht="14.5">
      <c r="C1795" s="433"/>
      <c r="D1795" s="433"/>
      <c r="E1795" s="433"/>
      <c r="F1795" s="434"/>
      <c r="G1795" s="435"/>
    </row>
    <row r="1796" spans="3:7" ht="14.5">
      <c r="C1796" s="433"/>
      <c r="D1796" s="433"/>
      <c r="E1796" s="433"/>
      <c r="F1796" s="434"/>
      <c r="G1796" s="435"/>
    </row>
    <row r="1797" spans="3:7" ht="14.5">
      <c r="C1797" s="433"/>
      <c r="D1797" s="433"/>
      <c r="E1797" s="433"/>
      <c r="F1797" s="434"/>
      <c r="G1797" s="435"/>
    </row>
    <row r="1798" spans="3:7" ht="14.5">
      <c r="C1798" s="433"/>
      <c r="D1798" s="433"/>
      <c r="E1798" s="433"/>
      <c r="F1798" s="434"/>
      <c r="G1798" s="435"/>
    </row>
    <row r="1799" spans="3:7" ht="14.5">
      <c r="C1799" s="433"/>
      <c r="D1799" s="433"/>
      <c r="E1799" s="433"/>
      <c r="F1799" s="434"/>
      <c r="G1799" s="435"/>
    </row>
    <row r="1800" spans="3:7" ht="14.5">
      <c r="C1800" s="433"/>
      <c r="D1800" s="433"/>
      <c r="E1800" s="433"/>
      <c r="F1800" s="434"/>
      <c r="G1800" s="435"/>
    </row>
    <row r="1801" spans="3:7" ht="14.5">
      <c r="C1801" s="433"/>
      <c r="D1801" s="433"/>
      <c r="E1801" s="433"/>
      <c r="F1801" s="434"/>
      <c r="G1801" s="435"/>
    </row>
    <row r="1802" spans="3:7" ht="14.5">
      <c r="C1802" s="433"/>
      <c r="D1802" s="433"/>
      <c r="E1802" s="433"/>
      <c r="F1802" s="434"/>
      <c r="G1802" s="435"/>
    </row>
    <row r="1803" spans="3:7" ht="14.5">
      <c r="C1803" s="433"/>
      <c r="D1803" s="433"/>
      <c r="E1803" s="433"/>
      <c r="F1803" s="434"/>
      <c r="G1803" s="435"/>
    </row>
    <row r="1804" spans="3:7" ht="14.5">
      <c r="C1804" s="433"/>
      <c r="D1804" s="433"/>
      <c r="E1804" s="433"/>
      <c r="F1804" s="434"/>
      <c r="G1804" s="435"/>
    </row>
    <row r="1805" spans="3:7" ht="14.5">
      <c r="C1805" s="433"/>
      <c r="D1805" s="433"/>
      <c r="E1805" s="433"/>
      <c r="F1805" s="434"/>
      <c r="G1805" s="435"/>
    </row>
    <row r="1806" spans="3:7" ht="14.5">
      <c r="C1806" s="433"/>
      <c r="D1806" s="433"/>
      <c r="E1806" s="433"/>
      <c r="F1806" s="434"/>
      <c r="G1806" s="435"/>
    </row>
    <row r="1807" spans="3:7" ht="14.5">
      <c r="C1807" s="433"/>
      <c r="D1807" s="433"/>
      <c r="E1807" s="433"/>
      <c r="F1807" s="434"/>
      <c r="G1807" s="435"/>
    </row>
    <row r="1808" spans="3:7" ht="14.5">
      <c r="C1808" s="433"/>
      <c r="D1808" s="433"/>
      <c r="E1808" s="433"/>
      <c r="F1808" s="434"/>
      <c r="G1808" s="435"/>
    </row>
    <row r="1809" spans="3:7" ht="14.5">
      <c r="C1809" s="433"/>
      <c r="D1809" s="433"/>
      <c r="E1809" s="433"/>
      <c r="F1809" s="434"/>
      <c r="G1809" s="435"/>
    </row>
    <row r="1810" spans="3:7" ht="14.5">
      <c r="C1810" s="433"/>
      <c r="D1810" s="433"/>
      <c r="E1810" s="433"/>
      <c r="F1810" s="434"/>
      <c r="G1810" s="435"/>
    </row>
    <row r="1811" spans="3:7" ht="14.5">
      <c r="C1811" s="433"/>
      <c r="D1811" s="433"/>
      <c r="E1811" s="433"/>
      <c r="F1811" s="434"/>
      <c r="G1811" s="435"/>
    </row>
    <row r="1812" spans="3:7" ht="14.5">
      <c r="C1812" s="433"/>
      <c r="D1812" s="433"/>
      <c r="E1812" s="433"/>
      <c r="F1812" s="434"/>
      <c r="G1812" s="435"/>
    </row>
    <row r="1813" spans="3:7" ht="14.5">
      <c r="C1813" s="433"/>
      <c r="D1813" s="433"/>
      <c r="E1813" s="433"/>
      <c r="F1813" s="434"/>
      <c r="G1813" s="435"/>
    </row>
    <row r="1814" spans="3:7" ht="14.5">
      <c r="C1814" s="433"/>
      <c r="D1814" s="433"/>
      <c r="E1814" s="433"/>
      <c r="F1814" s="434"/>
      <c r="G1814" s="435"/>
    </row>
    <row r="1815" spans="3:7" ht="14.5">
      <c r="C1815" s="433"/>
      <c r="D1815" s="433"/>
      <c r="E1815" s="433"/>
      <c r="F1815" s="434"/>
      <c r="G1815" s="435"/>
    </row>
    <row r="1816" spans="3:7" ht="14.5">
      <c r="C1816" s="433"/>
      <c r="D1816" s="433"/>
      <c r="E1816" s="433"/>
      <c r="F1816" s="434"/>
      <c r="G1816" s="435"/>
    </row>
    <row r="1817" spans="3:7" ht="14.5">
      <c r="C1817" s="433"/>
      <c r="D1817" s="433"/>
      <c r="E1817" s="433"/>
      <c r="F1817" s="434"/>
      <c r="G1817" s="435"/>
    </row>
    <row r="1818" spans="3:7" ht="14.5">
      <c r="C1818" s="433"/>
      <c r="D1818" s="433"/>
      <c r="E1818" s="433"/>
      <c r="F1818" s="434"/>
      <c r="G1818" s="435"/>
    </row>
    <row r="1819" spans="3:7" ht="14.5">
      <c r="C1819" s="433"/>
      <c r="D1819" s="433"/>
      <c r="E1819" s="433"/>
      <c r="F1819" s="434"/>
      <c r="G1819" s="435"/>
    </row>
    <row r="1820" spans="3:7" ht="14.5">
      <c r="C1820" s="433"/>
      <c r="D1820" s="433"/>
      <c r="E1820" s="433"/>
      <c r="F1820" s="434"/>
      <c r="G1820" s="435"/>
    </row>
    <row r="1821" spans="3:7" ht="14.5">
      <c r="C1821" s="433"/>
      <c r="D1821" s="433"/>
      <c r="E1821" s="433"/>
      <c r="F1821" s="434"/>
      <c r="G1821" s="435"/>
    </row>
    <row r="1822" spans="3:7" ht="14.5">
      <c r="C1822" s="433"/>
      <c r="D1822" s="433"/>
      <c r="E1822" s="433"/>
      <c r="F1822" s="434"/>
      <c r="G1822" s="435"/>
    </row>
    <row r="1823" spans="3:7" ht="14.5">
      <c r="C1823" s="433"/>
      <c r="D1823" s="433"/>
      <c r="E1823" s="433"/>
      <c r="F1823" s="434"/>
      <c r="G1823" s="435"/>
    </row>
    <row r="1824" spans="3:7" ht="14.5">
      <c r="C1824" s="433"/>
      <c r="D1824" s="433"/>
      <c r="E1824" s="433"/>
      <c r="F1824" s="434"/>
      <c r="G1824" s="435"/>
    </row>
    <row r="1825" spans="3:7" ht="14.5">
      <c r="C1825" s="433"/>
      <c r="D1825" s="433"/>
      <c r="E1825" s="433"/>
      <c r="F1825" s="434"/>
      <c r="G1825" s="435"/>
    </row>
    <row r="1826" spans="3:7" ht="14.5">
      <c r="C1826" s="433"/>
      <c r="D1826" s="433"/>
      <c r="E1826" s="433"/>
      <c r="F1826" s="434"/>
      <c r="G1826" s="435"/>
    </row>
    <row r="1827" spans="3:7" ht="14.5">
      <c r="C1827" s="433"/>
      <c r="D1827" s="433"/>
      <c r="E1827" s="433"/>
      <c r="F1827" s="434"/>
      <c r="G1827" s="435"/>
    </row>
    <row r="1828" spans="3:7" ht="14.5">
      <c r="C1828" s="433"/>
      <c r="D1828" s="433"/>
      <c r="E1828" s="433"/>
      <c r="F1828" s="434"/>
      <c r="G1828" s="435"/>
    </row>
    <row r="1829" spans="3:7" ht="14.5">
      <c r="C1829" s="433"/>
      <c r="D1829" s="433"/>
      <c r="E1829" s="433"/>
      <c r="F1829" s="434"/>
      <c r="G1829" s="435"/>
    </row>
    <row r="1830" spans="3:7" ht="14.5">
      <c r="C1830" s="433"/>
      <c r="D1830" s="433"/>
      <c r="E1830" s="433"/>
      <c r="F1830" s="434"/>
      <c r="G1830" s="435"/>
    </row>
    <row r="1831" spans="3:7" ht="14.5">
      <c r="C1831" s="433"/>
      <c r="D1831" s="433"/>
      <c r="E1831" s="433"/>
      <c r="F1831" s="434"/>
      <c r="G1831" s="435"/>
    </row>
    <row r="1832" spans="3:7" ht="14.5">
      <c r="C1832" s="433"/>
      <c r="D1832" s="433"/>
      <c r="E1832" s="433"/>
      <c r="F1832" s="434"/>
      <c r="G1832" s="435"/>
    </row>
    <row r="1833" spans="3:7" ht="14.5">
      <c r="C1833" s="433"/>
      <c r="D1833" s="433"/>
      <c r="E1833" s="433"/>
      <c r="F1833" s="434"/>
      <c r="G1833" s="435"/>
    </row>
    <row r="1834" spans="3:7" ht="14.5">
      <c r="C1834" s="433"/>
      <c r="D1834" s="433"/>
      <c r="E1834" s="433"/>
      <c r="F1834" s="434"/>
      <c r="G1834" s="435"/>
    </row>
    <row r="1835" spans="3:7" ht="14.5">
      <c r="C1835" s="433"/>
      <c r="D1835" s="433"/>
      <c r="E1835" s="433"/>
      <c r="F1835" s="434"/>
      <c r="G1835" s="435"/>
    </row>
    <row r="1836" spans="3:7" ht="14.5">
      <c r="C1836" s="433"/>
      <c r="D1836" s="433"/>
      <c r="E1836" s="433"/>
      <c r="F1836" s="434"/>
      <c r="G1836" s="435"/>
    </row>
    <row r="1837" spans="3:7" ht="14.5">
      <c r="C1837" s="433"/>
      <c r="D1837" s="433"/>
      <c r="E1837" s="433"/>
      <c r="F1837" s="434"/>
      <c r="G1837" s="435"/>
    </row>
    <row r="1838" spans="3:7" ht="14.5">
      <c r="C1838" s="433"/>
      <c r="D1838" s="433"/>
      <c r="E1838" s="433"/>
      <c r="F1838" s="434"/>
      <c r="G1838" s="435"/>
    </row>
    <row r="1839" spans="3:7" ht="14.5">
      <c r="C1839" s="433"/>
      <c r="D1839" s="433"/>
      <c r="E1839" s="433"/>
      <c r="F1839" s="434"/>
      <c r="G1839" s="435"/>
    </row>
    <row r="1840" spans="3:7" ht="14.5">
      <c r="C1840" s="433"/>
      <c r="D1840" s="433"/>
      <c r="E1840" s="433"/>
      <c r="F1840" s="434"/>
      <c r="G1840" s="435"/>
    </row>
    <row r="1841" spans="3:7" ht="14.5">
      <c r="C1841" s="433"/>
      <c r="D1841" s="433"/>
      <c r="E1841" s="433"/>
      <c r="F1841" s="434"/>
      <c r="G1841" s="435"/>
    </row>
    <row r="1842" spans="3:7" ht="14.5">
      <c r="C1842" s="433"/>
      <c r="D1842" s="433"/>
      <c r="E1842" s="433"/>
      <c r="F1842" s="434"/>
      <c r="G1842" s="435"/>
    </row>
    <row r="1843" spans="3:7" ht="14.5">
      <c r="C1843" s="433"/>
      <c r="D1843" s="433"/>
      <c r="E1843" s="433"/>
      <c r="F1843" s="434"/>
      <c r="G1843" s="435"/>
    </row>
    <row r="1844" spans="3:7" ht="14.5">
      <c r="C1844" s="433"/>
      <c r="D1844" s="433"/>
      <c r="E1844" s="433"/>
      <c r="F1844" s="434"/>
      <c r="G1844" s="435"/>
    </row>
    <row r="1845" spans="3:7" ht="14.5">
      <c r="C1845" s="433"/>
      <c r="D1845" s="433"/>
      <c r="E1845" s="433"/>
      <c r="F1845" s="434"/>
      <c r="G1845" s="435"/>
    </row>
    <row r="1846" spans="3:7" ht="14.5">
      <c r="C1846" s="433"/>
      <c r="D1846" s="433"/>
      <c r="E1846" s="433"/>
      <c r="F1846" s="434"/>
      <c r="G1846" s="435"/>
    </row>
    <row r="1847" spans="3:7" ht="14.5">
      <c r="C1847" s="433"/>
      <c r="D1847" s="433"/>
      <c r="E1847" s="433"/>
      <c r="F1847" s="434"/>
      <c r="G1847" s="435"/>
    </row>
    <row r="1848" spans="3:7" ht="14.5">
      <c r="C1848" s="433"/>
      <c r="D1848" s="433"/>
      <c r="E1848" s="433"/>
      <c r="F1848" s="434"/>
      <c r="G1848" s="435"/>
    </row>
    <row r="1849" spans="3:7" ht="14.5">
      <c r="C1849" s="433"/>
      <c r="D1849" s="433"/>
      <c r="E1849" s="433"/>
      <c r="F1849" s="434"/>
      <c r="G1849" s="435"/>
    </row>
    <row r="1850" spans="3:7" ht="14.5">
      <c r="C1850" s="433"/>
      <c r="D1850" s="433"/>
      <c r="E1850" s="433"/>
      <c r="F1850" s="434"/>
      <c r="G1850" s="435"/>
    </row>
    <row r="1851" spans="3:7" ht="14.5">
      <c r="C1851" s="433"/>
      <c r="D1851" s="433"/>
      <c r="E1851" s="433"/>
      <c r="F1851" s="434"/>
      <c r="G1851" s="435"/>
    </row>
    <row r="1852" spans="3:7" ht="14.5">
      <c r="C1852" s="433"/>
      <c r="D1852" s="433"/>
      <c r="E1852" s="433"/>
      <c r="F1852" s="434"/>
      <c r="G1852" s="435"/>
    </row>
    <row r="1853" spans="3:7" ht="14.5">
      <c r="C1853" s="433"/>
      <c r="D1853" s="433"/>
      <c r="E1853" s="433"/>
      <c r="F1853" s="434"/>
      <c r="G1853" s="435"/>
    </row>
    <row r="1854" spans="3:7" ht="14.5">
      <c r="C1854" s="433"/>
      <c r="D1854" s="433"/>
      <c r="E1854" s="433"/>
      <c r="F1854" s="434"/>
      <c r="G1854" s="435"/>
    </row>
    <row r="1855" spans="3:7" ht="14.5">
      <c r="C1855" s="433"/>
      <c r="D1855" s="433"/>
      <c r="E1855" s="433"/>
      <c r="F1855" s="434"/>
      <c r="G1855" s="435"/>
    </row>
    <row r="1856" spans="3:7" ht="14.5">
      <c r="C1856" s="433"/>
      <c r="D1856" s="433"/>
      <c r="E1856" s="433"/>
      <c r="F1856" s="434"/>
      <c r="G1856" s="435"/>
    </row>
    <row r="1857" spans="3:7" ht="14.5">
      <c r="C1857" s="433"/>
      <c r="D1857" s="433"/>
      <c r="E1857" s="433"/>
      <c r="F1857" s="434"/>
      <c r="G1857" s="435"/>
    </row>
    <row r="1858" spans="3:7" ht="14.5">
      <c r="C1858" s="433"/>
      <c r="D1858" s="433"/>
      <c r="E1858" s="433"/>
      <c r="F1858" s="434"/>
      <c r="G1858" s="435"/>
    </row>
    <row r="1859" spans="3:7" ht="14.5">
      <c r="C1859" s="433"/>
      <c r="D1859" s="433"/>
      <c r="E1859" s="433"/>
      <c r="F1859" s="434"/>
      <c r="G1859" s="435"/>
    </row>
    <row r="1860" spans="3:7" ht="14.5">
      <c r="C1860" s="433"/>
      <c r="D1860" s="433"/>
      <c r="E1860" s="433"/>
      <c r="F1860" s="434"/>
      <c r="G1860" s="435"/>
    </row>
    <row r="1861" spans="3:7" ht="14.5">
      <c r="C1861" s="433"/>
      <c r="D1861" s="433"/>
      <c r="E1861" s="433"/>
      <c r="F1861" s="434"/>
      <c r="G1861" s="435"/>
    </row>
    <row r="1862" spans="3:7" ht="14.5">
      <c r="C1862" s="433"/>
      <c r="D1862" s="433"/>
      <c r="E1862" s="433"/>
      <c r="F1862" s="434"/>
      <c r="G1862" s="435"/>
    </row>
    <row r="1863" spans="3:7" ht="14.5">
      <c r="C1863" s="433"/>
      <c r="D1863" s="433"/>
      <c r="E1863" s="433"/>
      <c r="F1863" s="434"/>
      <c r="G1863" s="435"/>
    </row>
    <row r="1864" spans="3:7" ht="14.5">
      <c r="C1864" s="433"/>
      <c r="D1864" s="433"/>
      <c r="E1864" s="433"/>
      <c r="F1864" s="434"/>
      <c r="G1864" s="435"/>
    </row>
    <row r="1865" spans="3:7" ht="14.5">
      <c r="C1865" s="433"/>
      <c r="D1865" s="433"/>
      <c r="E1865" s="433"/>
      <c r="F1865" s="434"/>
      <c r="G1865" s="435"/>
    </row>
    <row r="1866" spans="3:7" ht="14.5">
      <c r="C1866" s="433"/>
      <c r="D1866" s="433"/>
      <c r="E1866" s="433"/>
      <c r="F1866" s="434"/>
      <c r="G1866" s="435"/>
    </row>
    <row r="1867" spans="3:7" ht="14.5">
      <c r="C1867" s="433"/>
      <c r="D1867" s="433"/>
      <c r="E1867" s="433"/>
      <c r="F1867" s="434"/>
      <c r="G1867" s="435"/>
    </row>
    <row r="1868" spans="3:7" ht="14.5">
      <c r="C1868" s="433"/>
      <c r="D1868" s="433"/>
      <c r="E1868" s="433"/>
      <c r="F1868" s="434"/>
      <c r="G1868" s="435"/>
    </row>
    <row r="1869" spans="3:7" ht="14.5">
      <c r="C1869" s="433"/>
      <c r="D1869" s="433"/>
      <c r="E1869" s="433"/>
      <c r="F1869" s="434"/>
      <c r="G1869" s="435"/>
    </row>
    <row r="1870" spans="3:7" ht="14.5">
      <c r="C1870" s="433"/>
      <c r="D1870" s="433"/>
      <c r="E1870" s="433"/>
      <c r="F1870" s="434"/>
      <c r="G1870" s="435"/>
    </row>
    <row r="1871" spans="3:7" ht="14.5">
      <c r="C1871" s="433"/>
      <c r="D1871" s="433"/>
      <c r="E1871" s="433"/>
      <c r="F1871" s="434"/>
      <c r="G1871" s="435"/>
    </row>
    <row r="1872" spans="3:7" ht="14.5">
      <c r="C1872" s="433"/>
      <c r="D1872" s="433"/>
      <c r="E1872" s="433"/>
      <c r="F1872" s="434"/>
      <c r="G1872" s="435"/>
    </row>
    <row r="1873" spans="3:7" ht="14.5">
      <c r="C1873" s="433"/>
      <c r="D1873" s="433"/>
      <c r="E1873" s="433"/>
      <c r="F1873" s="434"/>
      <c r="G1873" s="435"/>
    </row>
    <row r="1874" spans="3:7" ht="14.5">
      <c r="C1874" s="433"/>
      <c r="D1874" s="433"/>
      <c r="E1874" s="433"/>
      <c r="F1874" s="434"/>
      <c r="G1874" s="435"/>
    </row>
    <row r="1875" spans="3:7" ht="14.5">
      <c r="C1875" s="433"/>
      <c r="D1875" s="433"/>
      <c r="E1875" s="433"/>
      <c r="F1875" s="434"/>
      <c r="G1875" s="435"/>
    </row>
    <row r="1876" spans="3:7" ht="14.5">
      <c r="C1876" s="433"/>
      <c r="D1876" s="433"/>
      <c r="E1876" s="433"/>
      <c r="F1876" s="434"/>
      <c r="G1876" s="435"/>
    </row>
    <row r="1877" spans="3:7" ht="14.5">
      <c r="C1877" s="433"/>
      <c r="D1877" s="433"/>
      <c r="E1877" s="433"/>
      <c r="F1877" s="434"/>
      <c r="G1877" s="435"/>
    </row>
    <row r="1878" spans="3:7" ht="14.5">
      <c r="C1878" s="433"/>
      <c r="D1878" s="433"/>
      <c r="E1878" s="433"/>
      <c r="F1878" s="434"/>
      <c r="G1878" s="435"/>
    </row>
    <row r="1879" spans="3:7" ht="14.5">
      <c r="C1879" s="433"/>
      <c r="D1879" s="433"/>
      <c r="E1879" s="433"/>
      <c r="F1879" s="434"/>
      <c r="G1879" s="435"/>
    </row>
    <row r="1880" spans="3:7" ht="14.5">
      <c r="C1880" s="433"/>
      <c r="D1880" s="433"/>
      <c r="E1880" s="433"/>
      <c r="F1880" s="434"/>
      <c r="G1880" s="435"/>
    </row>
    <row r="1881" spans="3:7" ht="14.5">
      <c r="C1881" s="433"/>
      <c r="D1881" s="433"/>
      <c r="E1881" s="433"/>
      <c r="F1881" s="434"/>
      <c r="G1881" s="435"/>
    </row>
    <row r="1882" spans="3:7" ht="14.5">
      <c r="C1882" s="433"/>
      <c r="D1882" s="433"/>
      <c r="E1882" s="433"/>
      <c r="F1882" s="434"/>
      <c r="G1882" s="435"/>
    </row>
    <row r="1883" spans="3:7" ht="14.5">
      <c r="C1883" s="433"/>
      <c r="D1883" s="433"/>
      <c r="E1883" s="433"/>
      <c r="F1883" s="434"/>
      <c r="G1883" s="435"/>
    </row>
    <row r="1884" spans="3:7" ht="14.5">
      <c r="C1884" s="433"/>
      <c r="D1884" s="433"/>
      <c r="E1884" s="433"/>
      <c r="F1884" s="434"/>
      <c r="G1884" s="435"/>
    </row>
    <row r="1885" spans="3:7" ht="14.5">
      <c r="C1885" s="433"/>
      <c r="D1885" s="433"/>
      <c r="E1885" s="433"/>
      <c r="F1885" s="434"/>
      <c r="G1885" s="435"/>
    </row>
    <row r="1886" spans="3:7" ht="14.5">
      <c r="C1886" s="433"/>
      <c r="D1886" s="433"/>
      <c r="E1886" s="433"/>
      <c r="F1886" s="434"/>
      <c r="G1886" s="435"/>
    </row>
    <row r="1887" spans="3:7" ht="14.5">
      <c r="C1887" s="433"/>
      <c r="D1887" s="433"/>
      <c r="E1887" s="433"/>
      <c r="F1887" s="434"/>
      <c r="G1887" s="435"/>
    </row>
    <row r="1888" spans="3:7" ht="14.5">
      <c r="C1888" s="433"/>
      <c r="D1888" s="433"/>
      <c r="E1888" s="433"/>
      <c r="F1888" s="434"/>
      <c r="G1888" s="435"/>
    </row>
    <row r="1889" spans="3:7" ht="14.5">
      <c r="C1889" s="433"/>
      <c r="D1889" s="433"/>
      <c r="E1889" s="433"/>
      <c r="F1889" s="434"/>
      <c r="G1889" s="435"/>
    </row>
    <row r="1890" spans="3:7" ht="14.5">
      <c r="C1890" s="433"/>
      <c r="D1890" s="433"/>
      <c r="E1890" s="433"/>
      <c r="F1890" s="434"/>
      <c r="G1890" s="435"/>
    </row>
    <row r="1891" spans="3:7" ht="14.5">
      <c r="C1891" s="433"/>
      <c r="D1891" s="433"/>
      <c r="E1891" s="433"/>
      <c r="F1891" s="434"/>
      <c r="G1891" s="435"/>
    </row>
    <row r="1892" spans="3:7" ht="14.5">
      <c r="C1892" s="433"/>
      <c r="D1892" s="433"/>
      <c r="E1892" s="433"/>
      <c r="F1892" s="434"/>
      <c r="G1892" s="435"/>
    </row>
    <row r="1893" spans="3:7" ht="14.5">
      <c r="C1893" s="433"/>
      <c r="D1893" s="433"/>
      <c r="E1893" s="433"/>
      <c r="F1893" s="434"/>
      <c r="G1893" s="435"/>
    </row>
    <row r="1894" spans="3:7" ht="14.5">
      <c r="C1894" s="433"/>
      <c r="D1894" s="433"/>
      <c r="E1894" s="433"/>
      <c r="F1894" s="434"/>
      <c r="G1894" s="435"/>
    </row>
    <row r="1895" spans="3:7" ht="14.5">
      <c r="C1895" s="433"/>
      <c r="D1895" s="433"/>
      <c r="E1895" s="433"/>
      <c r="F1895" s="434"/>
      <c r="G1895" s="435"/>
    </row>
    <row r="1896" spans="3:7" ht="14.5">
      <c r="C1896" s="433"/>
      <c r="D1896" s="433"/>
      <c r="E1896" s="433"/>
      <c r="F1896" s="434"/>
      <c r="G1896" s="435"/>
    </row>
    <row r="1897" spans="3:7" ht="14.5">
      <c r="C1897" s="433"/>
      <c r="D1897" s="433"/>
      <c r="E1897" s="433"/>
      <c r="F1897" s="434"/>
      <c r="G1897" s="435"/>
    </row>
    <row r="1898" spans="3:7" ht="14.5">
      <c r="C1898" s="433"/>
      <c r="D1898" s="433"/>
      <c r="E1898" s="433"/>
      <c r="F1898" s="434"/>
      <c r="G1898" s="435"/>
    </row>
    <row r="1899" spans="3:7" ht="14.5">
      <c r="C1899" s="433"/>
      <c r="D1899" s="433"/>
      <c r="E1899" s="433"/>
      <c r="F1899" s="434"/>
      <c r="G1899" s="435"/>
    </row>
    <row r="1900" spans="3:7" ht="14.5">
      <c r="C1900" s="433"/>
      <c r="D1900" s="433"/>
      <c r="E1900" s="433"/>
      <c r="F1900" s="434"/>
      <c r="G1900" s="435"/>
    </row>
    <row r="1901" spans="3:7" ht="14.5">
      <c r="C1901" s="433"/>
      <c r="D1901" s="433"/>
      <c r="E1901" s="433"/>
      <c r="F1901" s="434"/>
      <c r="G1901" s="435"/>
    </row>
    <row r="1902" spans="3:7" ht="14.5">
      <c r="C1902" s="433"/>
      <c r="D1902" s="433"/>
      <c r="E1902" s="433"/>
      <c r="F1902" s="434"/>
      <c r="G1902" s="435"/>
    </row>
    <row r="1903" spans="3:7" ht="14.5">
      <c r="C1903" s="433"/>
      <c r="D1903" s="433"/>
      <c r="E1903" s="433"/>
      <c r="F1903" s="434"/>
      <c r="G1903" s="435"/>
    </row>
    <row r="1904" spans="3:7" ht="14.5">
      <c r="C1904" s="433"/>
      <c r="D1904" s="433"/>
      <c r="E1904" s="433"/>
      <c r="F1904" s="434"/>
      <c r="G1904" s="435"/>
    </row>
    <row r="1905" spans="3:7" ht="14.5">
      <c r="C1905" s="433"/>
      <c r="D1905" s="433"/>
      <c r="E1905" s="433"/>
      <c r="F1905" s="434"/>
      <c r="G1905" s="435"/>
    </row>
    <row r="1906" spans="3:7" ht="14.5">
      <c r="C1906" s="433"/>
      <c r="D1906" s="433"/>
      <c r="E1906" s="433"/>
      <c r="F1906" s="434"/>
      <c r="G1906" s="435"/>
    </row>
    <row r="1907" spans="3:7" ht="14.5">
      <c r="C1907" s="433"/>
      <c r="D1907" s="433"/>
      <c r="E1907" s="433"/>
      <c r="F1907" s="434"/>
      <c r="G1907" s="435"/>
    </row>
    <row r="1908" spans="3:7" ht="14.5">
      <c r="C1908" s="433"/>
      <c r="D1908" s="433"/>
      <c r="E1908" s="433"/>
      <c r="F1908" s="434"/>
      <c r="G1908" s="435"/>
    </row>
    <row r="1909" spans="3:7" ht="14.5">
      <c r="C1909" s="433"/>
      <c r="D1909" s="433"/>
      <c r="E1909" s="433"/>
      <c r="F1909" s="434"/>
      <c r="G1909" s="435"/>
    </row>
    <row r="1910" spans="3:7" ht="14.5">
      <c r="C1910" s="433"/>
      <c r="D1910" s="433"/>
      <c r="E1910" s="433"/>
      <c r="F1910" s="434"/>
      <c r="G1910" s="435"/>
    </row>
    <row r="1911" spans="3:7" ht="14.5">
      <c r="C1911" s="433"/>
      <c r="D1911" s="433"/>
      <c r="E1911" s="433"/>
      <c r="F1911" s="434"/>
      <c r="G1911" s="435"/>
    </row>
    <row r="1912" spans="3:7" ht="14.5">
      <c r="C1912" s="433"/>
      <c r="D1912" s="433"/>
      <c r="E1912" s="433"/>
      <c r="F1912" s="434"/>
      <c r="G1912" s="435"/>
    </row>
    <row r="1913" spans="3:7" ht="14.5">
      <c r="C1913" s="433"/>
      <c r="D1913" s="433"/>
      <c r="E1913" s="433"/>
      <c r="F1913" s="434"/>
      <c r="G1913" s="435"/>
    </row>
    <row r="1914" spans="3:7" ht="14.5">
      <c r="C1914" s="433"/>
      <c r="D1914" s="433"/>
      <c r="E1914" s="433"/>
      <c r="F1914" s="434"/>
      <c r="G1914" s="435"/>
    </row>
    <row r="1915" spans="3:7" ht="14.5">
      <c r="C1915" s="433"/>
      <c r="D1915" s="433"/>
      <c r="E1915" s="433"/>
      <c r="F1915" s="434"/>
      <c r="G1915" s="435"/>
    </row>
    <row r="1916" spans="3:7" ht="14.5">
      <c r="C1916" s="433"/>
      <c r="D1916" s="433"/>
      <c r="E1916" s="433"/>
      <c r="F1916" s="434"/>
      <c r="G1916" s="435"/>
    </row>
    <row r="1917" spans="3:7" ht="14.5">
      <c r="C1917" s="433"/>
      <c r="D1917" s="433"/>
      <c r="E1917" s="433"/>
      <c r="F1917" s="434"/>
      <c r="G1917" s="435"/>
    </row>
    <row r="1918" spans="3:7" ht="14.5">
      <c r="C1918" s="433"/>
      <c r="D1918" s="433"/>
      <c r="E1918" s="433"/>
      <c r="F1918" s="434"/>
      <c r="G1918" s="435"/>
    </row>
    <row r="1919" spans="3:7" ht="14.5">
      <c r="C1919" s="433"/>
      <c r="D1919" s="433"/>
      <c r="E1919" s="433"/>
      <c r="F1919" s="434"/>
      <c r="G1919" s="435"/>
    </row>
    <row r="1920" spans="3:7" ht="14.5">
      <c r="C1920" s="433"/>
      <c r="D1920" s="433"/>
      <c r="E1920" s="433"/>
      <c r="F1920" s="434"/>
      <c r="G1920" s="435"/>
    </row>
    <row r="1921" spans="3:7" ht="14.5">
      <c r="C1921" s="433"/>
      <c r="D1921" s="433"/>
      <c r="E1921" s="433"/>
      <c r="F1921" s="434"/>
      <c r="G1921" s="435"/>
    </row>
    <row r="1922" spans="3:7" ht="14.5">
      <c r="C1922" s="433"/>
      <c r="D1922" s="433"/>
      <c r="E1922" s="433"/>
      <c r="F1922" s="434"/>
      <c r="G1922" s="435"/>
    </row>
    <row r="1923" spans="3:7" ht="14.5">
      <c r="C1923" s="433"/>
      <c r="D1923" s="433"/>
      <c r="E1923" s="433"/>
      <c r="F1923" s="434"/>
      <c r="G1923" s="435"/>
    </row>
    <row r="1924" spans="3:7" ht="14.5">
      <c r="C1924" s="433"/>
      <c r="D1924" s="433"/>
      <c r="E1924" s="433"/>
      <c r="F1924" s="434"/>
      <c r="G1924" s="435"/>
    </row>
    <row r="1925" spans="3:7" ht="14.5">
      <c r="C1925" s="433"/>
      <c r="D1925" s="433"/>
      <c r="E1925" s="433"/>
      <c r="F1925" s="434"/>
      <c r="G1925" s="435"/>
    </row>
    <row r="1926" spans="3:7" ht="14.5">
      <c r="C1926" s="433"/>
      <c r="D1926" s="433"/>
      <c r="E1926" s="433"/>
      <c r="F1926" s="434"/>
      <c r="G1926" s="435"/>
    </row>
    <row r="1927" spans="3:7" ht="14.5">
      <c r="C1927" s="433"/>
      <c r="D1927" s="433"/>
      <c r="E1927" s="433"/>
      <c r="F1927" s="434"/>
      <c r="G1927" s="435"/>
    </row>
    <row r="1928" spans="3:7" ht="14.5">
      <c r="C1928" s="433"/>
      <c r="D1928" s="433"/>
      <c r="E1928" s="433"/>
      <c r="F1928" s="434"/>
      <c r="G1928" s="435"/>
    </row>
    <row r="1929" spans="3:7" ht="14.5">
      <c r="C1929" s="433"/>
      <c r="D1929" s="433"/>
      <c r="E1929" s="433"/>
      <c r="F1929" s="434"/>
      <c r="G1929" s="435"/>
    </row>
    <row r="1930" spans="3:7" ht="14.5">
      <c r="C1930" s="433"/>
      <c r="D1930" s="433"/>
      <c r="E1930" s="433"/>
      <c r="F1930" s="434"/>
      <c r="G1930" s="435"/>
    </row>
    <row r="1931" spans="3:7" ht="14.5">
      <c r="C1931" s="433"/>
      <c r="D1931" s="433"/>
      <c r="E1931" s="433"/>
      <c r="F1931" s="434"/>
      <c r="G1931" s="435"/>
    </row>
    <row r="1932" spans="3:7" ht="14.5">
      <c r="C1932" s="433"/>
      <c r="D1932" s="433"/>
      <c r="E1932" s="433"/>
      <c r="F1932" s="434"/>
      <c r="G1932" s="435"/>
    </row>
    <row r="1933" spans="3:7" ht="14.5">
      <c r="C1933" s="433"/>
      <c r="D1933" s="433"/>
      <c r="E1933" s="433"/>
      <c r="F1933" s="434"/>
      <c r="G1933" s="435"/>
    </row>
    <row r="1934" spans="3:7" ht="14.5">
      <c r="C1934" s="433"/>
      <c r="D1934" s="433"/>
      <c r="E1934" s="433"/>
      <c r="F1934" s="434"/>
      <c r="G1934" s="435"/>
    </row>
    <row r="1935" spans="3:7" ht="14.5">
      <c r="C1935" s="433"/>
      <c r="D1935" s="433"/>
      <c r="E1935" s="433"/>
      <c r="F1935" s="434"/>
      <c r="G1935" s="435"/>
    </row>
    <row r="1936" spans="3:7" ht="14.5">
      <c r="C1936" s="433"/>
      <c r="D1936" s="433"/>
      <c r="E1936" s="433"/>
      <c r="F1936" s="434"/>
      <c r="G1936" s="435"/>
    </row>
    <row r="1937" spans="3:7" ht="14.5">
      <c r="C1937" s="433"/>
      <c r="D1937" s="433"/>
      <c r="E1937" s="433"/>
      <c r="F1937" s="434"/>
      <c r="G1937" s="435"/>
    </row>
    <row r="1938" spans="3:7" ht="14.5">
      <c r="C1938" s="433"/>
      <c r="D1938" s="433"/>
      <c r="E1938" s="433"/>
      <c r="F1938" s="434"/>
      <c r="G1938" s="435"/>
    </row>
    <row r="1939" spans="3:7" ht="14.5">
      <c r="C1939" s="433"/>
      <c r="D1939" s="433"/>
      <c r="E1939" s="433"/>
      <c r="F1939" s="434"/>
      <c r="G1939" s="435"/>
    </row>
    <row r="1940" spans="3:7" ht="14.5">
      <c r="C1940" s="433"/>
      <c r="D1940" s="433"/>
      <c r="E1940" s="433"/>
      <c r="F1940" s="434"/>
      <c r="G1940" s="435"/>
    </row>
    <row r="1941" spans="3:7" ht="14.5">
      <c r="C1941" s="433"/>
      <c r="D1941" s="433"/>
      <c r="E1941" s="433"/>
      <c r="F1941" s="434"/>
      <c r="G1941" s="435"/>
    </row>
    <row r="1942" spans="3:7" ht="14.5">
      <c r="C1942" s="433"/>
      <c r="D1942" s="433"/>
      <c r="E1942" s="433"/>
      <c r="F1942" s="434"/>
      <c r="G1942" s="435"/>
    </row>
    <row r="1943" spans="3:7" ht="14.5">
      <c r="C1943" s="433"/>
      <c r="D1943" s="433"/>
      <c r="E1943" s="433"/>
      <c r="F1943" s="434"/>
      <c r="G1943" s="435"/>
    </row>
    <row r="1944" spans="3:7" ht="14.5">
      <c r="C1944" s="433"/>
      <c r="D1944" s="433"/>
      <c r="E1944" s="433"/>
      <c r="F1944" s="434"/>
      <c r="G1944" s="435"/>
    </row>
    <row r="1945" spans="3:7" ht="14.5">
      <c r="C1945" s="433"/>
      <c r="D1945" s="433"/>
      <c r="E1945" s="433"/>
      <c r="F1945" s="434"/>
      <c r="G1945" s="435"/>
    </row>
    <row r="1946" spans="3:7" ht="14.5">
      <c r="C1946" s="433"/>
      <c r="D1946" s="433"/>
      <c r="E1946" s="433"/>
      <c r="F1946" s="434"/>
      <c r="G1946" s="435"/>
    </row>
    <row r="1947" spans="3:7" ht="14.5">
      <c r="C1947" s="433"/>
      <c r="D1947" s="433"/>
      <c r="E1947" s="433"/>
      <c r="F1947" s="434"/>
      <c r="G1947" s="435"/>
    </row>
    <row r="1948" spans="3:7" ht="14.5">
      <c r="C1948" s="433"/>
      <c r="D1948" s="433"/>
      <c r="E1948" s="433"/>
      <c r="F1948" s="434"/>
      <c r="G1948" s="435"/>
    </row>
    <row r="1949" spans="3:7" ht="14.5">
      <c r="C1949" s="433"/>
      <c r="D1949" s="433"/>
      <c r="E1949" s="433"/>
      <c r="F1949" s="434"/>
      <c r="G1949" s="435"/>
    </row>
    <row r="1950" spans="3:7" ht="14.5">
      <c r="C1950" s="433"/>
      <c r="D1950" s="433"/>
      <c r="E1950" s="433"/>
      <c r="F1950" s="434"/>
      <c r="G1950" s="435"/>
    </row>
    <row r="1951" spans="3:7" ht="14.5">
      <c r="C1951" s="433"/>
      <c r="D1951" s="433"/>
      <c r="E1951" s="433"/>
      <c r="F1951" s="434"/>
      <c r="G1951" s="435"/>
    </row>
    <row r="1952" spans="3:7" ht="14.5">
      <c r="C1952" s="433"/>
      <c r="D1952" s="433"/>
      <c r="E1952" s="433"/>
      <c r="F1952" s="434"/>
      <c r="G1952" s="435"/>
    </row>
    <row r="1953" spans="3:7" ht="14.5">
      <c r="C1953" s="433"/>
      <c r="D1953" s="433"/>
      <c r="E1953" s="433"/>
      <c r="F1953" s="434"/>
      <c r="G1953" s="435"/>
    </row>
    <row r="1954" spans="3:7" ht="14.5">
      <c r="C1954" s="433"/>
      <c r="D1954" s="433"/>
      <c r="E1954" s="433"/>
      <c r="F1954" s="434"/>
      <c r="G1954" s="435"/>
    </row>
    <row r="1955" spans="3:7" ht="14.5">
      <c r="C1955" s="433"/>
      <c r="D1955" s="433"/>
      <c r="E1955" s="433"/>
      <c r="F1955" s="434"/>
      <c r="G1955" s="435"/>
    </row>
    <row r="1956" spans="3:7" ht="14.5">
      <c r="C1956" s="433"/>
      <c r="D1956" s="433"/>
      <c r="E1956" s="433"/>
      <c r="F1956" s="434"/>
      <c r="G1956" s="435"/>
    </row>
    <row r="1957" spans="3:7" ht="14.5">
      <c r="C1957" s="433"/>
      <c r="D1957" s="433"/>
      <c r="E1957" s="433"/>
      <c r="F1957" s="434"/>
      <c r="G1957" s="435"/>
    </row>
    <row r="1958" spans="3:7" ht="14.5">
      <c r="C1958" s="433"/>
      <c r="D1958" s="433"/>
      <c r="E1958" s="433"/>
      <c r="F1958" s="434"/>
      <c r="G1958" s="435"/>
    </row>
    <row r="1959" spans="3:7" ht="14.5">
      <c r="C1959" s="433"/>
      <c r="D1959" s="433"/>
      <c r="E1959" s="433"/>
      <c r="F1959" s="434"/>
      <c r="G1959" s="435"/>
    </row>
    <row r="1960" spans="3:7" ht="14.5">
      <c r="C1960" s="433"/>
      <c r="D1960" s="433"/>
      <c r="E1960" s="433"/>
      <c r="F1960" s="434"/>
      <c r="G1960" s="435"/>
    </row>
    <row r="1961" spans="3:7" ht="14.5">
      <c r="C1961" s="433"/>
      <c r="D1961" s="433"/>
      <c r="E1961" s="433"/>
      <c r="F1961" s="434"/>
      <c r="G1961" s="435"/>
    </row>
    <row r="1962" spans="3:7" ht="14.5">
      <c r="C1962" s="433"/>
      <c r="D1962" s="433"/>
      <c r="E1962" s="433"/>
      <c r="F1962" s="434"/>
      <c r="G1962" s="435"/>
    </row>
    <row r="1963" spans="3:7" ht="14.5">
      <c r="C1963" s="433"/>
      <c r="D1963" s="433"/>
      <c r="E1963" s="433"/>
      <c r="F1963" s="434"/>
      <c r="G1963" s="435"/>
    </row>
    <row r="1964" spans="3:7" ht="14.5">
      <c r="C1964" s="433"/>
      <c r="D1964" s="433"/>
      <c r="E1964" s="433"/>
      <c r="F1964" s="434"/>
      <c r="G1964" s="435"/>
    </row>
    <row r="1965" spans="3:7" ht="14.5">
      <c r="C1965" s="433"/>
      <c r="D1965" s="433"/>
      <c r="E1965" s="433"/>
      <c r="F1965" s="434"/>
      <c r="G1965" s="435"/>
    </row>
    <row r="1966" spans="3:7" ht="14.5">
      <c r="C1966" s="433"/>
      <c r="D1966" s="433"/>
      <c r="E1966" s="433"/>
      <c r="F1966" s="434"/>
      <c r="G1966" s="435"/>
    </row>
    <row r="1967" spans="3:7" ht="14.5">
      <c r="C1967" s="433"/>
      <c r="D1967" s="433"/>
      <c r="E1967" s="433"/>
      <c r="F1967" s="434"/>
      <c r="G1967" s="435"/>
    </row>
    <row r="1968" spans="3:7" ht="14.5">
      <c r="C1968" s="433"/>
      <c r="D1968" s="433"/>
      <c r="E1968" s="433"/>
      <c r="F1968" s="434"/>
      <c r="G1968" s="435"/>
    </row>
    <row r="1969" spans="3:7" ht="14.5">
      <c r="C1969" s="433"/>
      <c r="D1969" s="433"/>
      <c r="E1969" s="433"/>
      <c r="F1969" s="434"/>
      <c r="G1969" s="435"/>
    </row>
    <row r="1970" spans="3:7" ht="14.5">
      <c r="C1970" s="433"/>
      <c r="D1970" s="433"/>
      <c r="E1970" s="433"/>
      <c r="F1970" s="434"/>
      <c r="G1970" s="435"/>
    </row>
    <row r="1971" spans="3:7" ht="14.5">
      <c r="C1971" s="433"/>
      <c r="D1971" s="433"/>
      <c r="E1971" s="433"/>
      <c r="F1971" s="434"/>
      <c r="G1971" s="435"/>
    </row>
    <row r="1972" spans="3:7" ht="14.5">
      <c r="C1972" s="433"/>
      <c r="D1972" s="433"/>
      <c r="E1972" s="433"/>
      <c r="F1972" s="434"/>
      <c r="G1972" s="435"/>
    </row>
    <row r="1973" spans="3:7" ht="14.5">
      <c r="C1973" s="433"/>
      <c r="D1973" s="433"/>
      <c r="E1973" s="433"/>
      <c r="F1973" s="434"/>
      <c r="G1973" s="435"/>
    </row>
    <row r="1974" spans="3:7" ht="14.5">
      <c r="C1974" s="433"/>
      <c r="D1974" s="433"/>
      <c r="E1974" s="433"/>
      <c r="F1974" s="434"/>
      <c r="G1974" s="435"/>
    </row>
    <row r="1975" spans="3:7" ht="14.5">
      <c r="C1975" s="433"/>
      <c r="D1975" s="433"/>
      <c r="E1975" s="433"/>
      <c r="F1975" s="434"/>
      <c r="G1975" s="435"/>
    </row>
    <row r="1976" spans="3:7" ht="14.5">
      <c r="C1976" s="433"/>
      <c r="D1976" s="433"/>
      <c r="E1976" s="433"/>
      <c r="F1976" s="434"/>
      <c r="G1976" s="435"/>
    </row>
    <row r="1977" spans="3:7" ht="14.5">
      <c r="C1977" s="433"/>
      <c r="D1977" s="433"/>
      <c r="E1977" s="433"/>
      <c r="F1977" s="434"/>
      <c r="G1977" s="435"/>
    </row>
    <row r="1978" spans="3:7" ht="14.5">
      <c r="C1978" s="433"/>
      <c r="D1978" s="433"/>
      <c r="E1978" s="433"/>
      <c r="F1978" s="434"/>
      <c r="G1978" s="435"/>
    </row>
    <row r="1979" spans="3:7" ht="14.5">
      <c r="C1979" s="433"/>
      <c r="D1979" s="433"/>
      <c r="E1979" s="433"/>
      <c r="F1979" s="434"/>
      <c r="G1979" s="435"/>
    </row>
    <row r="1980" spans="3:7" ht="14.5">
      <c r="C1980" s="433"/>
      <c r="D1980" s="433"/>
      <c r="E1980" s="433"/>
      <c r="F1980" s="434"/>
      <c r="G1980" s="435"/>
    </row>
    <row r="1981" spans="3:7" ht="14.5">
      <c r="C1981" s="433"/>
      <c r="D1981" s="433"/>
      <c r="E1981" s="433"/>
      <c r="F1981" s="434"/>
      <c r="G1981" s="435"/>
    </row>
    <row r="1982" spans="3:7" ht="14.5">
      <c r="C1982" s="433"/>
      <c r="D1982" s="433"/>
      <c r="E1982" s="433"/>
      <c r="F1982" s="434"/>
      <c r="G1982" s="435"/>
    </row>
    <row r="1983" spans="3:7" ht="14.5">
      <c r="C1983" s="433"/>
      <c r="D1983" s="433"/>
      <c r="E1983" s="433"/>
      <c r="F1983" s="434"/>
      <c r="G1983" s="435"/>
    </row>
    <row r="1984" spans="3:7" ht="14.5">
      <c r="C1984" s="433"/>
      <c r="D1984" s="433"/>
      <c r="E1984" s="433"/>
      <c r="F1984" s="434"/>
      <c r="G1984" s="435"/>
    </row>
    <row r="1985" spans="3:7" ht="14.5">
      <c r="C1985" s="433"/>
      <c r="D1985" s="433"/>
      <c r="E1985" s="433"/>
      <c r="F1985" s="434"/>
      <c r="G1985" s="435"/>
    </row>
    <row r="1986" spans="3:7" ht="14.5">
      <c r="C1986" s="433"/>
      <c r="D1986" s="433"/>
      <c r="E1986" s="433"/>
      <c r="F1986" s="434"/>
      <c r="G1986" s="435"/>
    </row>
    <row r="1987" spans="3:7" ht="14.5">
      <c r="C1987" s="433"/>
      <c r="D1987" s="433"/>
      <c r="E1987" s="433"/>
      <c r="F1987" s="434"/>
      <c r="G1987" s="435"/>
    </row>
    <row r="1988" spans="3:7" ht="14.5">
      <c r="C1988" s="433"/>
      <c r="D1988" s="433"/>
      <c r="E1988" s="433"/>
      <c r="F1988" s="434"/>
      <c r="G1988" s="435"/>
    </row>
    <row r="1989" spans="3:7" ht="14.5">
      <c r="C1989" s="433"/>
      <c r="D1989" s="433"/>
      <c r="E1989" s="433"/>
      <c r="F1989" s="434"/>
      <c r="G1989" s="435"/>
    </row>
    <row r="1990" spans="3:7" ht="14.5">
      <c r="C1990" s="433"/>
      <c r="D1990" s="433"/>
      <c r="E1990" s="433"/>
      <c r="F1990" s="434"/>
      <c r="G1990" s="435"/>
    </row>
    <row r="1991" spans="3:7" ht="14.5">
      <c r="C1991" s="433"/>
      <c r="D1991" s="433"/>
      <c r="E1991" s="433"/>
      <c r="F1991" s="434"/>
      <c r="G1991" s="435"/>
    </row>
    <row r="1992" spans="3:7" ht="14.5">
      <c r="C1992" s="433"/>
      <c r="D1992" s="433"/>
      <c r="E1992" s="433"/>
      <c r="F1992" s="434"/>
      <c r="G1992" s="435"/>
    </row>
    <row r="1993" spans="3:7" ht="14.5">
      <c r="C1993" s="433"/>
      <c r="D1993" s="433"/>
      <c r="E1993" s="433"/>
      <c r="F1993" s="434"/>
      <c r="G1993" s="435"/>
    </row>
    <row r="1994" spans="3:7" ht="14.5">
      <c r="C1994" s="433"/>
      <c r="D1994" s="433"/>
      <c r="E1994" s="433"/>
      <c r="F1994" s="434"/>
      <c r="G1994" s="435"/>
    </row>
    <row r="1995" spans="3:7" ht="14.5">
      <c r="C1995" s="433"/>
      <c r="D1995" s="433"/>
      <c r="E1995" s="433"/>
      <c r="F1995" s="434"/>
      <c r="G1995" s="435"/>
    </row>
    <row r="1996" spans="3:7" ht="14.5">
      <c r="C1996" s="433"/>
      <c r="D1996" s="433"/>
      <c r="E1996" s="433"/>
      <c r="F1996" s="434"/>
      <c r="G1996" s="435"/>
    </row>
    <row r="1997" spans="3:7" ht="14.5">
      <c r="C1997" s="433"/>
      <c r="D1997" s="433"/>
      <c r="E1997" s="433"/>
      <c r="F1997" s="434"/>
      <c r="G1997" s="435"/>
    </row>
    <row r="1998" spans="3:7" ht="14.5">
      <c r="C1998" s="433"/>
      <c r="D1998" s="433"/>
      <c r="E1998" s="433"/>
      <c r="F1998" s="434"/>
      <c r="G1998" s="435"/>
    </row>
    <row r="1999" spans="3:7" ht="14.5">
      <c r="C1999" s="433"/>
      <c r="D1999" s="433"/>
      <c r="E1999" s="433"/>
      <c r="F1999" s="434"/>
      <c r="G1999" s="435"/>
    </row>
    <row r="2000" spans="3:7" ht="14.5">
      <c r="C2000" s="433"/>
      <c r="D2000" s="433"/>
      <c r="E2000" s="433"/>
      <c r="F2000" s="434"/>
      <c r="G2000" s="435"/>
    </row>
    <row r="2001" spans="3:7" ht="14.5">
      <c r="C2001" s="433"/>
      <c r="D2001" s="433"/>
      <c r="E2001" s="433"/>
      <c r="F2001" s="434"/>
      <c r="G2001" s="435"/>
    </row>
    <row r="2002" spans="3:7" ht="14.5">
      <c r="C2002" s="433"/>
      <c r="D2002" s="433"/>
      <c r="E2002" s="433"/>
      <c r="F2002" s="434"/>
      <c r="G2002" s="435"/>
    </row>
    <row r="2003" spans="3:7" ht="14.5">
      <c r="C2003" s="433"/>
      <c r="D2003" s="433"/>
      <c r="E2003" s="433"/>
      <c r="F2003" s="434"/>
      <c r="G2003" s="435"/>
    </row>
    <row r="2004" spans="3:7" ht="14.5">
      <c r="C2004" s="433"/>
      <c r="D2004" s="433"/>
      <c r="E2004" s="433"/>
      <c r="F2004" s="434"/>
      <c r="G2004" s="435"/>
    </row>
    <row r="2005" spans="3:7" ht="14.5">
      <c r="C2005" s="433"/>
      <c r="D2005" s="433"/>
      <c r="E2005" s="433"/>
      <c r="F2005" s="434"/>
      <c r="G2005" s="435"/>
    </row>
    <row r="2006" spans="3:7" ht="14.5">
      <c r="C2006" s="433"/>
      <c r="D2006" s="433"/>
      <c r="E2006" s="433"/>
      <c r="F2006" s="434"/>
      <c r="G2006" s="435"/>
    </row>
    <row r="2007" spans="3:7" ht="14.5">
      <c r="C2007" s="433"/>
      <c r="D2007" s="433"/>
      <c r="E2007" s="433"/>
      <c r="F2007" s="434"/>
      <c r="G2007" s="435"/>
    </row>
    <row r="2008" spans="3:7" ht="14.5">
      <c r="C2008" s="433"/>
      <c r="D2008" s="433"/>
      <c r="E2008" s="433"/>
      <c r="F2008" s="434"/>
      <c r="G2008" s="435"/>
    </row>
    <row r="2009" spans="3:7" ht="14.5">
      <c r="C2009" s="433"/>
      <c r="D2009" s="433"/>
      <c r="E2009" s="433"/>
      <c r="F2009" s="434"/>
      <c r="G2009" s="435"/>
    </row>
    <row r="2010" spans="3:7" ht="14.5">
      <c r="C2010" s="433"/>
      <c r="D2010" s="433"/>
      <c r="E2010" s="433"/>
      <c r="F2010" s="434"/>
      <c r="G2010" s="435"/>
    </row>
    <row r="2011" spans="3:7" ht="14.5">
      <c r="C2011" s="433"/>
      <c r="D2011" s="433"/>
      <c r="E2011" s="433"/>
      <c r="F2011" s="434"/>
      <c r="G2011" s="435"/>
    </row>
    <row r="2012" spans="3:7" ht="14.5">
      <c r="C2012" s="433"/>
      <c r="D2012" s="433"/>
      <c r="E2012" s="433"/>
      <c r="F2012" s="434"/>
      <c r="G2012" s="435"/>
    </row>
    <row r="2013" spans="3:7" ht="14.5">
      <c r="C2013" s="433"/>
      <c r="D2013" s="433"/>
      <c r="E2013" s="433"/>
      <c r="F2013" s="434"/>
      <c r="G2013" s="435"/>
    </row>
    <row r="2014" spans="3:7" ht="14.5">
      <c r="C2014" s="433"/>
      <c r="D2014" s="433"/>
      <c r="E2014" s="433"/>
      <c r="F2014" s="434"/>
      <c r="G2014" s="435"/>
    </row>
    <row r="2015" spans="3:7" ht="14.5">
      <c r="C2015" s="433"/>
      <c r="D2015" s="433"/>
      <c r="E2015" s="433"/>
      <c r="F2015" s="434"/>
      <c r="G2015" s="435"/>
    </row>
    <row r="2016" spans="3:7" ht="14.5">
      <c r="C2016" s="433"/>
      <c r="D2016" s="433"/>
      <c r="E2016" s="433"/>
      <c r="F2016" s="434"/>
      <c r="G2016" s="435"/>
    </row>
    <row r="2017" spans="3:7" ht="14.5">
      <c r="C2017" s="433"/>
      <c r="D2017" s="433"/>
      <c r="E2017" s="433"/>
      <c r="F2017" s="434"/>
      <c r="G2017" s="435"/>
    </row>
    <row r="2018" spans="3:7" ht="14.5">
      <c r="C2018" s="433"/>
      <c r="D2018" s="433"/>
      <c r="E2018" s="433"/>
      <c r="F2018" s="434"/>
      <c r="G2018" s="435"/>
    </row>
    <row r="2019" spans="3:7" ht="14.5">
      <c r="C2019" s="433"/>
      <c r="D2019" s="433"/>
      <c r="E2019" s="433"/>
      <c r="F2019" s="434"/>
      <c r="G2019" s="435"/>
    </row>
    <row r="2020" spans="3:7" ht="14.5">
      <c r="C2020" s="433"/>
      <c r="D2020" s="433"/>
      <c r="E2020" s="433"/>
      <c r="F2020" s="434"/>
      <c r="G2020" s="435"/>
    </row>
    <row r="2021" spans="3:7" ht="14.5">
      <c r="C2021" s="433"/>
      <c r="D2021" s="433"/>
      <c r="E2021" s="433"/>
      <c r="F2021" s="434"/>
      <c r="G2021" s="435"/>
    </row>
    <row r="2022" spans="3:7" ht="14.5">
      <c r="C2022" s="433"/>
      <c r="D2022" s="433"/>
      <c r="E2022" s="433"/>
      <c r="F2022" s="434"/>
      <c r="G2022" s="435"/>
    </row>
    <row r="2023" spans="3:7" ht="14.5">
      <c r="C2023" s="433"/>
      <c r="D2023" s="433"/>
      <c r="E2023" s="433"/>
      <c r="F2023" s="434"/>
      <c r="G2023" s="435"/>
    </row>
    <row r="2024" spans="3:7" ht="14.5">
      <c r="C2024" s="433"/>
      <c r="D2024" s="433"/>
      <c r="E2024" s="433"/>
      <c r="F2024" s="434"/>
      <c r="G2024" s="435"/>
    </row>
    <row r="2025" spans="3:7" ht="14.5">
      <c r="C2025" s="433"/>
      <c r="D2025" s="433"/>
      <c r="E2025" s="433"/>
      <c r="F2025" s="434"/>
      <c r="G2025" s="435"/>
    </row>
    <row r="2026" spans="3:7" ht="14.5">
      <c r="C2026" s="433"/>
      <c r="D2026" s="433"/>
      <c r="E2026" s="433"/>
      <c r="F2026" s="434"/>
      <c r="G2026" s="435"/>
    </row>
    <row r="2027" spans="3:7" ht="14.5">
      <c r="C2027" s="433"/>
      <c r="D2027" s="433"/>
      <c r="E2027" s="433"/>
      <c r="F2027" s="434"/>
      <c r="G2027" s="435"/>
    </row>
    <row r="2028" spans="3:7" ht="14.5">
      <c r="C2028" s="433"/>
      <c r="D2028" s="433"/>
      <c r="E2028" s="433"/>
      <c r="F2028" s="434"/>
      <c r="G2028" s="435"/>
    </row>
    <row r="2029" spans="3:7" ht="14.5">
      <c r="C2029" s="433"/>
      <c r="D2029" s="433"/>
      <c r="E2029" s="433"/>
      <c r="F2029" s="434"/>
      <c r="G2029" s="435"/>
    </row>
    <row r="2030" spans="3:7" ht="14.5">
      <c r="C2030" s="433"/>
      <c r="D2030" s="433"/>
      <c r="E2030" s="433"/>
      <c r="F2030" s="434"/>
      <c r="G2030" s="435"/>
    </row>
    <row r="2031" spans="3:7" ht="14.5">
      <c r="C2031" s="433"/>
      <c r="D2031" s="433"/>
      <c r="E2031" s="433"/>
      <c r="F2031" s="434"/>
      <c r="G2031" s="435"/>
    </row>
    <row r="2032" spans="3:7" ht="14.5">
      <c r="C2032" s="433"/>
      <c r="D2032" s="433"/>
      <c r="E2032" s="433"/>
      <c r="F2032" s="434"/>
      <c r="G2032" s="435"/>
    </row>
    <row r="2033" spans="3:7" ht="14.5">
      <c r="C2033" s="433"/>
      <c r="D2033" s="433"/>
      <c r="E2033" s="433"/>
      <c r="F2033" s="434"/>
      <c r="G2033" s="435"/>
    </row>
    <row r="2034" spans="3:7" ht="14.5">
      <c r="C2034" s="433"/>
      <c r="D2034" s="433"/>
      <c r="E2034" s="433"/>
      <c r="F2034" s="434"/>
      <c r="G2034" s="435"/>
    </row>
    <row r="2035" spans="3:7" ht="14.5">
      <c r="C2035" s="433"/>
      <c r="D2035" s="433"/>
      <c r="E2035" s="433"/>
      <c r="F2035" s="434"/>
      <c r="G2035" s="435"/>
    </row>
    <row r="2036" spans="3:7" ht="14.5">
      <c r="C2036" s="433"/>
      <c r="D2036" s="433"/>
      <c r="E2036" s="433"/>
      <c r="F2036" s="434"/>
      <c r="G2036" s="435"/>
    </row>
    <row r="2037" spans="3:7" ht="14.5">
      <c r="C2037" s="433"/>
      <c r="D2037" s="433"/>
      <c r="E2037" s="433"/>
      <c r="F2037" s="434"/>
      <c r="G2037" s="435"/>
    </row>
    <row r="2038" spans="3:7" ht="14.5">
      <c r="C2038" s="433"/>
      <c r="D2038" s="433"/>
      <c r="E2038" s="433"/>
      <c r="F2038" s="434"/>
      <c r="G2038" s="435"/>
    </row>
    <row r="2039" spans="3:7" ht="14.5">
      <c r="C2039" s="433"/>
      <c r="D2039" s="433"/>
      <c r="E2039" s="433"/>
      <c r="F2039" s="434"/>
      <c r="G2039" s="435"/>
    </row>
    <row r="2040" spans="3:7" ht="14.5">
      <c r="C2040" s="433"/>
      <c r="D2040" s="433"/>
      <c r="E2040" s="433"/>
      <c r="F2040" s="434"/>
      <c r="G2040" s="435"/>
    </row>
    <row r="2041" spans="3:7" ht="14.5">
      <c r="C2041" s="433"/>
      <c r="D2041" s="433"/>
      <c r="E2041" s="433"/>
      <c r="F2041" s="434"/>
      <c r="G2041" s="435"/>
    </row>
    <row r="2042" spans="3:7" ht="14.5">
      <c r="C2042" s="433"/>
      <c r="D2042" s="433"/>
      <c r="E2042" s="433"/>
      <c r="F2042" s="434"/>
      <c r="G2042" s="435"/>
    </row>
    <row r="2043" spans="3:7" ht="14.5">
      <c r="C2043" s="433"/>
      <c r="D2043" s="433"/>
      <c r="E2043" s="433"/>
      <c r="F2043" s="434"/>
      <c r="G2043" s="435"/>
    </row>
    <row r="2044" spans="3:7" ht="14.5">
      <c r="C2044" s="433"/>
      <c r="D2044" s="433"/>
      <c r="E2044" s="433"/>
      <c r="F2044" s="434"/>
      <c r="G2044" s="435"/>
    </row>
    <row r="2045" spans="3:7" ht="14.5">
      <c r="C2045" s="433"/>
      <c r="D2045" s="433"/>
      <c r="E2045" s="433"/>
      <c r="F2045" s="434"/>
      <c r="G2045" s="435"/>
    </row>
    <row r="2046" spans="3:7" ht="14.5">
      <c r="C2046" s="433"/>
      <c r="D2046" s="433"/>
      <c r="E2046" s="433"/>
      <c r="F2046" s="434"/>
      <c r="G2046" s="435"/>
    </row>
    <row r="2047" spans="3:7" ht="14.5">
      <c r="C2047" s="433"/>
      <c r="D2047" s="433"/>
      <c r="E2047" s="433"/>
      <c r="F2047" s="434"/>
      <c r="G2047" s="435"/>
    </row>
    <row r="2048" spans="3:7" ht="14.5">
      <c r="C2048" s="433"/>
      <c r="D2048" s="433"/>
      <c r="E2048" s="433"/>
      <c r="F2048" s="434"/>
      <c r="G2048" s="435"/>
    </row>
    <row r="2049" spans="3:7" ht="14.5">
      <c r="C2049" s="433"/>
      <c r="D2049" s="433"/>
      <c r="E2049" s="433"/>
      <c r="F2049" s="434"/>
      <c r="G2049" s="435"/>
    </row>
    <row r="2050" spans="3:7" ht="14.5">
      <c r="C2050" s="433"/>
      <c r="D2050" s="433"/>
      <c r="E2050" s="433"/>
      <c r="F2050" s="434"/>
      <c r="G2050" s="435"/>
    </row>
    <row r="2051" spans="3:7" ht="14.5">
      <c r="C2051" s="433"/>
      <c r="D2051" s="433"/>
      <c r="E2051" s="433"/>
      <c r="F2051" s="434"/>
      <c r="G2051" s="435"/>
    </row>
    <row r="2052" spans="3:7" ht="14.5">
      <c r="C2052" s="433"/>
      <c r="D2052" s="433"/>
      <c r="E2052" s="433"/>
      <c r="F2052" s="434"/>
      <c r="G2052" s="435"/>
    </row>
    <row r="2053" spans="3:7" ht="14.5">
      <c r="C2053" s="433"/>
      <c r="D2053" s="433"/>
      <c r="E2053" s="433"/>
      <c r="F2053" s="434"/>
      <c r="G2053" s="435"/>
    </row>
    <row r="2054" spans="3:7" ht="14.5">
      <c r="C2054" s="433"/>
      <c r="D2054" s="433"/>
      <c r="E2054" s="433"/>
      <c r="F2054" s="434"/>
      <c r="G2054" s="435"/>
    </row>
    <row r="2055" spans="3:7" ht="14.5">
      <c r="C2055" s="433"/>
      <c r="D2055" s="433"/>
      <c r="E2055" s="433"/>
      <c r="F2055" s="434"/>
      <c r="G2055" s="435"/>
    </row>
    <row r="2056" spans="3:7" ht="14.5">
      <c r="C2056" s="433"/>
      <c r="D2056" s="433"/>
      <c r="E2056" s="433"/>
      <c r="F2056" s="434"/>
      <c r="G2056" s="435"/>
    </row>
    <row r="2057" spans="3:7" ht="14.5">
      <c r="C2057" s="433"/>
      <c r="D2057" s="433"/>
      <c r="E2057" s="433"/>
      <c r="F2057" s="434"/>
      <c r="G2057" s="435"/>
    </row>
    <row r="2058" spans="3:7" ht="14.5">
      <c r="C2058" s="433"/>
      <c r="D2058" s="433"/>
      <c r="E2058" s="433"/>
      <c r="F2058" s="434"/>
      <c r="G2058" s="435"/>
    </row>
    <row r="2059" spans="3:7" ht="14.5">
      <c r="C2059" s="433"/>
      <c r="D2059" s="433"/>
      <c r="E2059" s="433"/>
      <c r="F2059" s="434"/>
      <c r="G2059" s="435"/>
    </row>
    <row r="2060" spans="3:7" ht="14.5">
      <c r="C2060" s="433"/>
      <c r="D2060" s="433"/>
      <c r="E2060" s="433"/>
      <c r="F2060" s="434"/>
      <c r="G2060" s="435"/>
    </row>
    <row r="2061" spans="3:7" ht="14.5">
      <c r="C2061" s="433"/>
      <c r="D2061" s="433"/>
      <c r="E2061" s="433"/>
      <c r="F2061" s="434"/>
      <c r="G2061" s="435"/>
    </row>
    <row r="2062" spans="3:7" ht="14.5">
      <c r="C2062" s="433"/>
      <c r="D2062" s="433"/>
      <c r="E2062" s="433"/>
      <c r="F2062" s="434"/>
      <c r="G2062" s="435"/>
    </row>
    <row r="2063" spans="3:7" ht="14.5">
      <c r="C2063" s="433"/>
      <c r="D2063" s="433"/>
      <c r="E2063" s="433"/>
      <c r="F2063" s="434"/>
      <c r="G2063" s="435"/>
    </row>
    <row r="2064" spans="3:7" ht="14.5">
      <c r="C2064" s="433"/>
      <c r="D2064" s="433"/>
      <c r="E2064" s="433"/>
      <c r="F2064" s="434"/>
      <c r="G2064" s="435"/>
    </row>
    <row r="2065" spans="3:7" ht="14.5">
      <c r="C2065" s="433"/>
      <c r="D2065" s="433"/>
      <c r="E2065" s="433"/>
      <c r="F2065" s="434"/>
      <c r="G2065" s="435"/>
    </row>
    <row r="2066" spans="3:7" ht="14.5">
      <c r="C2066" s="433"/>
      <c r="D2066" s="433"/>
      <c r="E2066" s="433"/>
      <c r="F2066" s="434"/>
      <c r="G2066" s="435"/>
    </row>
    <row r="2067" spans="3:7" ht="14.5">
      <c r="C2067" s="433"/>
      <c r="D2067" s="433"/>
      <c r="E2067" s="433"/>
      <c r="F2067" s="434"/>
      <c r="G2067" s="435"/>
    </row>
    <row r="2068" spans="3:7" ht="14.5">
      <c r="C2068" s="433"/>
      <c r="D2068" s="433"/>
      <c r="E2068" s="433"/>
      <c r="F2068" s="434"/>
      <c r="G2068" s="435"/>
    </row>
    <row r="2069" spans="3:7" ht="14.5">
      <c r="C2069" s="433"/>
      <c r="D2069" s="433"/>
      <c r="E2069" s="433"/>
      <c r="F2069" s="434"/>
      <c r="G2069" s="435"/>
    </row>
    <row r="2070" spans="3:7" ht="14.5">
      <c r="C2070" s="433"/>
      <c r="D2070" s="433"/>
      <c r="E2070" s="433"/>
      <c r="F2070" s="434"/>
      <c r="G2070" s="435"/>
    </row>
    <row r="2071" spans="3:7" ht="14.5">
      <c r="C2071" s="433"/>
      <c r="D2071" s="433"/>
      <c r="E2071" s="433"/>
      <c r="F2071" s="434"/>
      <c r="G2071" s="435"/>
    </row>
    <row r="2072" spans="3:7" ht="14.5">
      <c r="C2072" s="433"/>
      <c r="D2072" s="433"/>
      <c r="E2072" s="433"/>
      <c r="F2072" s="434"/>
      <c r="G2072" s="435"/>
    </row>
    <row r="2073" spans="3:7" ht="14.5">
      <c r="C2073" s="433"/>
      <c r="D2073" s="433"/>
      <c r="E2073" s="433"/>
      <c r="F2073" s="434"/>
      <c r="G2073" s="435"/>
    </row>
    <row r="2074" spans="3:7" ht="14.5">
      <c r="C2074" s="433"/>
      <c r="D2074" s="433"/>
      <c r="E2074" s="433"/>
      <c r="F2074" s="434"/>
      <c r="G2074" s="435"/>
    </row>
    <row r="2075" spans="3:7" ht="14.5">
      <c r="C2075" s="433"/>
      <c r="D2075" s="433"/>
      <c r="E2075" s="433"/>
      <c r="F2075" s="434"/>
      <c r="G2075" s="435"/>
    </row>
    <row r="2076" spans="3:7" ht="14.5">
      <c r="C2076" s="433"/>
      <c r="D2076" s="433"/>
      <c r="E2076" s="433"/>
      <c r="F2076" s="434"/>
      <c r="G2076" s="435"/>
    </row>
    <row r="2077" spans="3:7" ht="14.5">
      <c r="C2077" s="433"/>
      <c r="D2077" s="433"/>
      <c r="E2077" s="433"/>
      <c r="F2077" s="434"/>
      <c r="G2077" s="435"/>
    </row>
    <row r="2078" spans="3:7" ht="14.5">
      <c r="C2078" s="433"/>
      <c r="D2078" s="433"/>
      <c r="E2078" s="433"/>
      <c r="F2078" s="434"/>
      <c r="G2078" s="435"/>
    </row>
    <row r="2079" spans="3:7" ht="14.5">
      <c r="C2079" s="433"/>
      <c r="D2079" s="433"/>
      <c r="E2079" s="433"/>
      <c r="F2079" s="434"/>
      <c r="G2079" s="435"/>
    </row>
    <row r="2080" spans="3:7" ht="14.5">
      <c r="C2080" s="433"/>
      <c r="D2080" s="433"/>
      <c r="E2080" s="433"/>
      <c r="F2080" s="434"/>
      <c r="G2080" s="435"/>
    </row>
    <row r="2081" spans="3:7" ht="14.5">
      <c r="C2081" s="433"/>
      <c r="D2081" s="433"/>
      <c r="E2081" s="433"/>
      <c r="F2081" s="434"/>
      <c r="G2081" s="435"/>
    </row>
    <row r="2082" spans="3:7" ht="14.5">
      <c r="C2082" s="433"/>
      <c r="D2082" s="433"/>
      <c r="E2082" s="433"/>
      <c r="F2082" s="434"/>
      <c r="G2082" s="435"/>
    </row>
    <row r="2083" spans="3:7" ht="14.5">
      <c r="C2083" s="433"/>
      <c r="D2083" s="433"/>
      <c r="E2083" s="433"/>
      <c r="F2083" s="434"/>
      <c r="G2083" s="435"/>
    </row>
    <row r="2084" spans="3:7" ht="14.5">
      <c r="C2084" s="433"/>
      <c r="D2084" s="433"/>
      <c r="E2084" s="433"/>
      <c r="F2084" s="434"/>
      <c r="G2084" s="435"/>
    </row>
    <row r="2085" spans="3:7" ht="14.5">
      <c r="C2085" s="433"/>
      <c r="D2085" s="433"/>
      <c r="E2085" s="433"/>
      <c r="F2085" s="434"/>
      <c r="G2085" s="435"/>
    </row>
    <row r="2086" spans="3:7" ht="14.5">
      <c r="C2086" s="433"/>
      <c r="D2086" s="433"/>
      <c r="E2086" s="433"/>
      <c r="F2086" s="434"/>
      <c r="G2086" s="435"/>
    </row>
    <row r="2087" spans="3:7" ht="14.5">
      <c r="C2087" s="433"/>
      <c r="D2087" s="433"/>
      <c r="E2087" s="433"/>
      <c r="F2087" s="434"/>
      <c r="G2087" s="435"/>
    </row>
    <row r="2088" spans="3:7" ht="14.5">
      <c r="C2088" s="433"/>
      <c r="D2088" s="433"/>
      <c r="E2088" s="433"/>
      <c r="F2088" s="434"/>
      <c r="G2088" s="435"/>
    </row>
    <row r="2089" spans="3:7" ht="14.5">
      <c r="C2089" s="433"/>
      <c r="D2089" s="433"/>
      <c r="E2089" s="433"/>
      <c r="F2089" s="434"/>
      <c r="G2089" s="435"/>
    </row>
    <row r="2090" spans="3:7" ht="14.5">
      <c r="C2090" s="433"/>
      <c r="D2090" s="433"/>
      <c r="E2090" s="433"/>
      <c r="F2090" s="434"/>
      <c r="G2090" s="435"/>
    </row>
    <row r="2091" spans="3:7" ht="14.5">
      <c r="C2091" s="433"/>
      <c r="D2091" s="433"/>
      <c r="E2091" s="433"/>
      <c r="F2091" s="434"/>
      <c r="G2091" s="435"/>
    </row>
    <row r="2092" spans="3:7" ht="14.5">
      <c r="C2092" s="433"/>
      <c r="D2092" s="433"/>
      <c r="E2092" s="433"/>
      <c r="F2092" s="434"/>
      <c r="G2092" s="435"/>
    </row>
    <row r="2093" spans="3:7" ht="14.5">
      <c r="C2093" s="433"/>
      <c r="D2093" s="433"/>
      <c r="E2093" s="433"/>
      <c r="F2093" s="434"/>
      <c r="G2093" s="435"/>
    </row>
    <row r="2094" spans="3:7" ht="14.5">
      <c r="C2094" s="433"/>
      <c r="D2094" s="433"/>
      <c r="E2094" s="433"/>
      <c r="F2094" s="434"/>
      <c r="G2094" s="435"/>
    </row>
    <row r="2095" spans="3:7" ht="14.5">
      <c r="C2095" s="433"/>
      <c r="D2095" s="433"/>
      <c r="E2095" s="433"/>
      <c r="F2095" s="434"/>
      <c r="G2095" s="435"/>
    </row>
    <row r="2096" spans="3:7" ht="14.5">
      <c r="C2096" s="433"/>
      <c r="D2096" s="433"/>
      <c r="E2096" s="433"/>
      <c r="F2096" s="434"/>
      <c r="G2096" s="435"/>
    </row>
    <row r="2097" spans="3:7" ht="14.5">
      <c r="C2097" s="433"/>
      <c r="D2097" s="433"/>
      <c r="E2097" s="433"/>
      <c r="F2097" s="434"/>
      <c r="G2097" s="435"/>
    </row>
    <row r="2098" spans="3:7" ht="14.5">
      <c r="C2098" s="433"/>
      <c r="D2098" s="433"/>
      <c r="E2098" s="433"/>
      <c r="F2098" s="434"/>
      <c r="G2098" s="435"/>
    </row>
    <row r="2099" spans="3:7" ht="14.5">
      <c r="C2099" s="433"/>
      <c r="D2099" s="433"/>
      <c r="E2099" s="433"/>
      <c r="F2099" s="434"/>
      <c r="G2099" s="435"/>
    </row>
    <row r="2100" spans="3:7" ht="14.5">
      <c r="C2100" s="433"/>
      <c r="D2100" s="433"/>
      <c r="E2100" s="433"/>
      <c r="F2100" s="434"/>
      <c r="G2100" s="435"/>
    </row>
    <row r="2101" spans="3:7" ht="14.5">
      <c r="C2101" s="433"/>
      <c r="D2101" s="433"/>
      <c r="E2101" s="433"/>
      <c r="F2101" s="434"/>
      <c r="G2101" s="435"/>
    </row>
    <row r="2102" spans="3:7" ht="14.5">
      <c r="C2102" s="433"/>
      <c r="D2102" s="433"/>
      <c r="E2102" s="433"/>
      <c r="F2102" s="434"/>
      <c r="G2102" s="435"/>
    </row>
    <row r="2103" spans="3:7" ht="14.5">
      <c r="C2103" s="433"/>
      <c r="D2103" s="433"/>
      <c r="E2103" s="433"/>
      <c r="F2103" s="434"/>
      <c r="G2103" s="435"/>
    </row>
    <row r="2104" spans="3:7" ht="14.5">
      <c r="C2104" s="433"/>
      <c r="D2104" s="433"/>
      <c r="E2104" s="433"/>
      <c r="F2104" s="434"/>
      <c r="G2104" s="435"/>
    </row>
    <row r="2105" spans="3:7" ht="14.5">
      <c r="C2105" s="433"/>
      <c r="D2105" s="433"/>
      <c r="E2105" s="433"/>
      <c r="F2105" s="434"/>
      <c r="G2105" s="435"/>
    </row>
    <row r="2106" spans="3:7" ht="14.5">
      <c r="C2106" s="433"/>
      <c r="D2106" s="433"/>
      <c r="E2106" s="433"/>
      <c r="F2106" s="434"/>
      <c r="G2106" s="435"/>
    </row>
    <row r="2107" spans="3:7" ht="14.5">
      <c r="C2107" s="433"/>
      <c r="D2107" s="433"/>
      <c r="E2107" s="433"/>
      <c r="F2107" s="434"/>
      <c r="G2107" s="435"/>
    </row>
    <row r="2108" spans="3:7" ht="14.5">
      <c r="C2108" s="433"/>
      <c r="D2108" s="433"/>
      <c r="E2108" s="433"/>
      <c r="F2108" s="434"/>
      <c r="G2108" s="435"/>
    </row>
    <row r="2109" spans="3:7" ht="14.5">
      <c r="C2109" s="433"/>
      <c r="D2109" s="433"/>
      <c r="E2109" s="433"/>
      <c r="F2109" s="434"/>
      <c r="G2109" s="435"/>
    </row>
    <row r="2110" spans="3:7" ht="14.5">
      <c r="C2110" s="433"/>
      <c r="D2110" s="433"/>
      <c r="E2110" s="433"/>
      <c r="F2110" s="434"/>
      <c r="G2110" s="435"/>
    </row>
    <row r="2111" spans="3:7" ht="14.5">
      <c r="C2111" s="433"/>
      <c r="D2111" s="433"/>
      <c r="E2111" s="433"/>
      <c r="F2111" s="434"/>
      <c r="G2111" s="435"/>
    </row>
    <row r="2112" spans="3:7" ht="14.5">
      <c r="C2112" s="433"/>
      <c r="D2112" s="433"/>
      <c r="E2112" s="433"/>
      <c r="F2112" s="434"/>
      <c r="G2112" s="435"/>
    </row>
    <row r="2113" spans="3:7" ht="14.5">
      <c r="C2113" s="433"/>
      <c r="D2113" s="433"/>
      <c r="E2113" s="433"/>
      <c r="F2113" s="434"/>
      <c r="G2113" s="435"/>
    </row>
    <row r="2114" spans="3:7" ht="14.5">
      <c r="C2114" s="433"/>
      <c r="D2114" s="433"/>
      <c r="E2114" s="433"/>
      <c r="F2114" s="434"/>
      <c r="G2114" s="435"/>
    </row>
    <row r="2115" spans="3:7" ht="14.5">
      <c r="C2115" s="433"/>
      <c r="D2115" s="433"/>
      <c r="E2115" s="433"/>
      <c r="F2115" s="434"/>
      <c r="G2115" s="435"/>
    </row>
    <row r="2116" spans="3:7" ht="14.5">
      <c r="C2116" s="433"/>
      <c r="D2116" s="433"/>
      <c r="E2116" s="433"/>
      <c r="F2116" s="434"/>
      <c r="G2116" s="435"/>
    </row>
    <row r="2117" spans="3:7" ht="14.5">
      <c r="C2117" s="433"/>
      <c r="D2117" s="433"/>
      <c r="E2117" s="433"/>
      <c r="F2117" s="434"/>
      <c r="G2117" s="435"/>
    </row>
    <row r="2118" spans="3:7" ht="14.5">
      <c r="C2118" s="433"/>
      <c r="D2118" s="433"/>
      <c r="E2118" s="433"/>
      <c r="F2118" s="434"/>
      <c r="G2118" s="435"/>
    </row>
    <row r="2119" spans="3:7" ht="14.5">
      <c r="C2119" s="433"/>
      <c r="D2119" s="433"/>
      <c r="E2119" s="433"/>
      <c r="F2119" s="434"/>
      <c r="G2119" s="435"/>
    </row>
    <row r="2120" spans="3:7" ht="14.5">
      <c r="C2120" s="433"/>
      <c r="D2120" s="433"/>
      <c r="E2120" s="433"/>
      <c r="F2120" s="434"/>
      <c r="G2120" s="435"/>
    </row>
    <row r="2121" spans="3:7" ht="14.5">
      <c r="C2121" s="433"/>
      <c r="D2121" s="433"/>
      <c r="E2121" s="433"/>
      <c r="F2121" s="434"/>
      <c r="G2121" s="435"/>
    </row>
    <row r="2122" spans="3:7" ht="14.5">
      <c r="C2122" s="433"/>
      <c r="D2122" s="433"/>
      <c r="E2122" s="433"/>
      <c r="F2122" s="434"/>
      <c r="G2122" s="435"/>
    </row>
    <row r="2123" spans="3:7" ht="14.5">
      <c r="C2123" s="433"/>
      <c r="D2123" s="433"/>
      <c r="E2123" s="433"/>
      <c r="F2123" s="434"/>
      <c r="G2123" s="435"/>
    </row>
    <row r="2124" spans="3:7" ht="14.5">
      <c r="C2124" s="433"/>
      <c r="D2124" s="433"/>
      <c r="E2124" s="433"/>
      <c r="F2124" s="434"/>
      <c r="G2124" s="435"/>
    </row>
    <row r="2125" spans="3:7" ht="14.5">
      <c r="C2125" s="433"/>
      <c r="D2125" s="433"/>
      <c r="E2125" s="433"/>
      <c r="F2125" s="434"/>
      <c r="G2125" s="435"/>
    </row>
    <row r="2126" spans="3:7" ht="14.5">
      <c r="C2126" s="433"/>
      <c r="D2126" s="433"/>
      <c r="E2126" s="433"/>
      <c r="F2126" s="434"/>
      <c r="G2126" s="435"/>
    </row>
    <row r="2127" spans="3:7" ht="14.5">
      <c r="C2127" s="433"/>
      <c r="D2127" s="433"/>
      <c r="E2127" s="433"/>
      <c r="F2127" s="434"/>
      <c r="G2127" s="435"/>
    </row>
    <row r="2128" spans="3:7" ht="14.5">
      <c r="C2128" s="433"/>
      <c r="D2128" s="433"/>
      <c r="E2128" s="433"/>
      <c r="F2128" s="434"/>
      <c r="G2128" s="435"/>
    </row>
    <row r="2129" spans="3:7" ht="14.5">
      <c r="C2129" s="433"/>
      <c r="D2129" s="433"/>
      <c r="E2129" s="433"/>
      <c r="F2129" s="434"/>
      <c r="G2129" s="435"/>
    </row>
    <row r="2130" spans="3:7" ht="14.5">
      <c r="C2130" s="433"/>
      <c r="D2130" s="433"/>
      <c r="E2130" s="433"/>
      <c r="F2130" s="434"/>
      <c r="G2130" s="435"/>
    </row>
    <row r="2131" spans="3:7" ht="14.5">
      <c r="C2131" s="433"/>
      <c r="D2131" s="433"/>
      <c r="E2131" s="433"/>
      <c r="F2131" s="434"/>
      <c r="G2131" s="435"/>
    </row>
    <row r="2132" spans="3:7" ht="14.5">
      <c r="C2132" s="433"/>
      <c r="D2132" s="433"/>
      <c r="E2132" s="433"/>
      <c r="F2132" s="434"/>
      <c r="G2132" s="435"/>
    </row>
    <row r="2133" spans="3:7" ht="14.5">
      <c r="C2133" s="433"/>
      <c r="D2133" s="433"/>
      <c r="E2133" s="433"/>
      <c r="F2133" s="434"/>
      <c r="G2133" s="435"/>
    </row>
    <row r="2134" spans="3:7" ht="14.5">
      <c r="C2134" s="433"/>
      <c r="D2134" s="433"/>
      <c r="E2134" s="433"/>
      <c r="F2134" s="434"/>
      <c r="G2134" s="435"/>
    </row>
    <row r="2135" spans="3:7" ht="14.5">
      <c r="C2135" s="433"/>
      <c r="D2135" s="433"/>
      <c r="E2135" s="433"/>
      <c r="F2135" s="434"/>
      <c r="G2135" s="435"/>
    </row>
    <row r="2136" spans="3:7" ht="14.5">
      <c r="C2136" s="433"/>
      <c r="D2136" s="433"/>
      <c r="E2136" s="433"/>
      <c r="F2136" s="434"/>
      <c r="G2136" s="435"/>
    </row>
    <row r="2137" spans="3:7" ht="14.5">
      <c r="C2137" s="433"/>
      <c r="D2137" s="433"/>
      <c r="E2137" s="433"/>
      <c r="F2137" s="434"/>
      <c r="G2137" s="435"/>
    </row>
    <row r="2138" spans="3:7" ht="14.5">
      <c r="C2138" s="433"/>
      <c r="D2138" s="433"/>
      <c r="E2138" s="433"/>
      <c r="F2138" s="434"/>
      <c r="G2138" s="435"/>
    </row>
    <row r="2139" spans="3:7" ht="14.5">
      <c r="C2139" s="433"/>
      <c r="D2139" s="433"/>
      <c r="E2139" s="433"/>
      <c r="F2139" s="434"/>
      <c r="G2139" s="435"/>
    </row>
    <row r="2140" spans="3:7" ht="14.5">
      <c r="C2140" s="433"/>
      <c r="D2140" s="433"/>
      <c r="E2140" s="433"/>
      <c r="F2140" s="434"/>
      <c r="G2140" s="435"/>
    </row>
    <row r="2141" spans="3:7" ht="14.5">
      <c r="C2141" s="433"/>
      <c r="D2141" s="433"/>
      <c r="E2141" s="433"/>
      <c r="F2141" s="434"/>
      <c r="G2141" s="435"/>
    </row>
    <row r="2142" spans="3:7" ht="14.5">
      <c r="C2142" s="433"/>
      <c r="D2142" s="433"/>
      <c r="E2142" s="433"/>
      <c r="F2142" s="434"/>
      <c r="G2142" s="435"/>
    </row>
    <row r="2143" spans="3:7" ht="14.5">
      <c r="C2143" s="433"/>
      <c r="D2143" s="433"/>
      <c r="E2143" s="433"/>
      <c r="F2143" s="434"/>
      <c r="G2143" s="435"/>
    </row>
    <row r="2144" spans="3:7" ht="14.5">
      <c r="C2144" s="433"/>
      <c r="D2144" s="433"/>
      <c r="E2144" s="433"/>
      <c r="F2144" s="434"/>
      <c r="G2144" s="435"/>
    </row>
    <row r="2145" spans="3:7" ht="14.5">
      <c r="C2145" s="433"/>
      <c r="D2145" s="433"/>
      <c r="E2145" s="433"/>
      <c r="F2145" s="434"/>
      <c r="G2145" s="435"/>
    </row>
    <row r="2146" spans="3:7" ht="14.5">
      <c r="C2146" s="433"/>
      <c r="D2146" s="433"/>
      <c r="E2146" s="433"/>
      <c r="F2146" s="434"/>
      <c r="G2146" s="435"/>
    </row>
    <row r="2147" spans="3:7" ht="14.5">
      <c r="C2147" s="433"/>
      <c r="D2147" s="433"/>
      <c r="E2147" s="433"/>
      <c r="F2147" s="434"/>
      <c r="G2147" s="435"/>
    </row>
    <row r="2148" spans="3:7" ht="14.5">
      <c r="C2148" s="433"/>
      <c r="D2148" s="433"/>
      <c r="E2148" s="433"/>
      <c r="F2148" s="434"/>
      <c r="G2148" s="435"/>
    </row>
    <row r="2149" spans="3:7" ht="14.5">
      <c r="C2149" s="433"/>
      <c r="D2149" s="433"/>
      <c r="E2149" s="433"/>
      <c r="F2149" s="434"/>
      <c r="G2149" s="435"/>
    </row>
    <row r="2150" spans="3:7" ht="14.5">
      <c r="C2150" s="433"/>
      <c r="D2150" s="433"/>
      <c r="E2150" s="433"/>
      <c r="F2150" s="434"/>
      <c r="G2150" s="435"/>
    </row>
    <row r="2151" spans="3:7" ht="14.5">
      <c r="C2151" s="433"/>
      <c r="D2151" s="433"/>
      <c r="E2151" s="433"/>
      <c r="F2151" s="434"/>
      <c r="G2151" s="435"/>
    </row>
    <row r="2152" spans="3:7" ht="14.5">
      <c r="C2152" s="433"/>
      <c r="D2152" s="433"/>
      <c r="E2152" s="433"/>
      <c r="F2152" s="434"/>
      <c r="G2152" s="435"/>
    </row>
    <row r="2153" spans="3:7" ht="14.5">
      <c r="C2153" s="433"/>
      <c r="D2153" s="433"/>
      <c r="E2153" s="433"/>
      <c r="F2153" s="434"/>
      <c r="G2153" s="435"/>
    </row>
    <row r="2154" spans="3:7" ht="14.5">
      <c r="C2154" s="433"/>
      <c r="D2154" s="433"/>
      <c r="E2154" s="433"/>
      <c r="F2154" s="434"/>
      <c r="G2154" s="435"/>
    </row>
    <row r="2155" spans="3:7" ht="14.5">
      <c r="C2155" s="433"/>
      <c r="D2155" s="433"/>
      <c r="E2155" s="433"/>
      <c r="F2155" s="434"/>
      <c r="G2155" s="435"/>
    </row>
    <row r="2156" spans="3:7" ht="14.5">
      <c r="D2156" s="433"/>
      <c r="E2156" s="433"/>
      <c r="F2156" s="434"/>
      <c r="G2156" s="435"/>
    </row>
    <row r="2157" spans="3:7" ht="14.5">
      <c r="D2157" s="433"/>
      <c r="E2157" s="433"/>
      <c r="F2157" s="434"/>
      <c r="G2157" s="435"/>
    </row>
    <row r="2158" spans="3:7" ht="14.5">
      <c r="D2158" s="433"/>
      <c r="E2158" s="433"/>
      <c r="F2158" s="434"/>
      <c r="G2158" s="435"/>
    </row>
    <row r="2159" spans="3:7" ht="14.5">
      <c r="D2159" s="433"/>
      <c r="E2159" s="433"/>
      <c r="F2159" s="434"/>
      <c r="G2159" s="435"/>
    </row>
    <row r="2160" spans="3:7" ht="14.5">
      <c r="D2160" s="433"/>
      <c r="E2160" s="433"/>
      <c r="F2160" s="434"/>
      <c r="G2160" s="435"/>
    </row>
    <row r="2161" spans="4:7" ht="14.5">
      <c r="D2161" s="433"/>
      <c r="E2161" s="433"/>
      <c r="F2161" s="434"/>
      <c r="G2161" s="435"/>
    </row>
    <row r="2162" spans="4:7" ht="14.5">
      <c r="D2162" s="433"/>
      <c r="E2162" s="433"/>
      <c r="F2162" s="434"/>
      <c r="G2162" s="435"/>
    </row>
    <row r="2163" spans="4:7" ht="14.5">
      <c r="D2163" s="433"/>
      <c r="E2163" s="433"/>
      <c r="F2163" s="434"/>
      <c r="G2163" s="435"/>
    </row>
    <row r="2164" spans="4:7" ht="14.5">
      <c r="D2164" s="433"/>
      <c r="E2164" s="433"/>
      <c r="F2164" s="434"/>
      <c r="G2164" s="435"/>
    </row>
    <row r="2165" spans="4:7" ht="14.5">
      <c r="D2165" s="433"/>
      <c r="E2165" s="433"/>
      <c r="F2165" s="434"/>
      <c r="G2165" s="435"/>
    </row>
    <row r="2166" spans="4:7" ht="14.5">
      <c r="D2166" s="433"/>
      <c r="E2166" s="433"/>
      <c r="F2166" s="434"/>
      <c r="G2166" s="435"/>
    </row>
    <row r="2167" spans="4:7" ht="14.5">
      <c r="D2167" s="433"/>
      <c r="E2167" s="433"/>
      <c r="F2167" s="434"/>
      <c r="G2167" s="435"/>
    </row>
    <row r="2168" spans="4:7" ht="14.5">
      <c r="D2168" s="433"/>
      <c r="E2168" s="433"/>
      <c r="F2168" s="434"/>
      <c r="G2168" s="435"/>
    </row>
    <row r="2169" spans="4:7" ht="14.5">
      <c r="D2169" s="433"/>
      <c r="E2169" s="433"/>
      <c r="F2169" s="434"/>
      <c r="G2169" s="435"/>
    </row>
    <row r="2170" spans="4:7" ht="14.5">
      <c r="D2170" s="433"/>
      <c r="E2170" s="433"/>
      <c r="F2170" s="434"/>
      <c r="G2170" s="435"/>
    </row>
    <row r="2171" spans="4:7" ht="14.5">
      <c r="D2171" s="433"/>
      <c r="E2171" s="433"/>
      <c r="F2171" s="434"/>
      <c r="G2171" s="435"/>
    </row>
    <row r="2172" spans="4:7" ht="14.5">
      <c r="D2172" s="433"/>
      <c r="E2172" s="433"/>
      <c r="F2172" s="434"/>
      <c r="G2172" s="435"/>
    </row>
    <row r="2173" spans="4:7" ht="14.5">
      <c r="D2173" s="433"/>
      <c r="E2173" s="433"/>
      <c r="F2173" s="434"/>
      <c r="G2173" s="435"/>
    </row>
    <row r="2174" spans="4:7" ht="14.5">
      <c r="D2174" s="433"/>
      <c r="E2174" s="433"/>
      <c r="F2174" s="434"/>
      <c r="G2174" s="435"/>
    </row>
    <row r="2175" spans="4:7" ht="14.5">
      <c r="D2175" s="433"/>
      <c r="E2175" s="433"/>
      <c r="F2175" s="434"/>
      <c r="G2175" s="435"/>
    </row>
    <row r="2176" spans="4:7" ht="14.5">
      <c r="D2176" s="433"/>
      <c r="E2176" s="433"/>
      <c r="F2176" s="434"/>
      <c r="G2176" s="435"/>
    </row>
    <row r="2177" spans="4:7" ht="14.5">
      <c r="D2177" s="433"/>
      <c r="E2177" s="433"/>
      <c r="F2177" s="434"/>
      <c r="G2177" s="435"/>
    </row>
    <row r="2178" spans="4:7" ht="14.5">
      <c r="D2178" s="433"/>
      <c r="E2178" s="433"/>
      <c r="F2178" s="434"/>
      <c r="G2178" s="435"/>
    </row>
    <row r="2179" spans="4:7" ht="14.5">
      <c r="D2179" s="433"/>
      <c r="E2179" s="433"/>
      <c r="F2179" s="434"/>
      <c r="G2179" s="435"/>
    </row>
    <row r="2180" spans="4:7" ht="14.5">
      <c r="D2180" s="433"/>
      <c r="E2180" s="433"/>
      <c r="F2180" s="434"/>
      <c r="G2180" s="435"/>
    </row>
    <row r="2181" spans="4:7" ht="14.5">
      <c r="D2181" s="433"/>
      <c r="E2181" s="433"/>
      <c r="F2181" s="434"/>
      <c r="G2181" s="435"/>
    </row>
    <row r="2182" spans="4:7" ht="14.5">
      <c r="D2182" s="433"/>
      <c r="E2182" s="433"/>
      <c r="F2182" s="434"/>
      <c r="G2182" s="435"/>
    </row>
    <row r="2183" spans="4:7" ht="14.5">
      <c r="D2183" s="433"/>
      <c r="E2183" s="433"/>
      <c r="F2183" s="434"/>
      <c r="G2183" s="435"/>
    </row>
    <row r="2184" spans="4:7" ht="14.5">
      <c r="D2184" s="433"/>
      <c r="E2184" s="433"/>
      <c r="F2184" s="434"/>
      <c r="G2184" s="435"/>
    </row>
    <row r="2185" spans="4:7" ht="14.5">
      <c r="D2185" s="433"/>
      <c r="E2185" s="433"/>
      <c r="F2185" s="434"/>
      <c r="G2185" s="435"/>
    </row>
    <row r="2186" spans="4:7" ht="14.5">
      <c r="D2186" s="433"/>
      <c r="E2186" s="433"/>
      <c r="F2186" s="434"/>
      <c r="G2186" s="435"/>
    </row>
    <row r="2187" spans="4:7" ht="14.5">
      <c r="D2187" s="433"/>
      <c r="E2187" s="433"/>
      <c r="F2187" s="434"/>
      <c r="G2187" s="435"/>
    </row>
    <row r="2188" spans="4:7" ht="14.5">
      <c r="D2188" s="433"/>
      <c r="E2188" s="433"/>
      <c r="F2188" s="434"/>
      <c r="G2188" s="435"/>
    </row>
    <row r="2189" spans="4:7" ht="14.5">
      <c r="D2189" s="433"/>
      <c r="E2189" s="433"/>
      <c r="F2189" s="434"/>
      <c r="G2189" s="435"/>
    </row>
    <row r="2190" spans="4:7" ht="14.5">
      <c r="D2190" s="433"/>
      <c r="E2190" s="433"/>
      <c r="F2190" s="434"/>
      <c r="G2190" s="435"/>
    </row>
    <row r="2191" spans="4:7" ht="14.5">
      <c r="D2191" s="433"/>
      <c r="E2191" s="433"/>
      <c r="F2191" s="434"/>
      <c r="G2191" s="435"/>
    </row>
    <row r="2192" spans="4:7" ht="14.5">
      <c r="D2192" s="433"/>
      <c r="E2192" s="433"/>
      <c r="F2192" s="434"/>
      <c r="G2192" s="435"/>
    </row>
    <row r="2193" spans="4:7" ht="14.5">
      <c r="D2193" s="433"/>
      <c r="E2193" s="433"/>
      <c r="F2193" s="434"/>
      <c r="G2193" s="435"/>
    </row>
    <row r="2194" spans="4:7" ht="14.5">
      <c r="D2194" s="433"/>
      <c r="E2194" s="433"/>
      <c r="F2194" s="434"/>
      <c r="G2194" s="435"/>
    </row>
    <row r="2195" spans="4:7" ht="14.5">
      <c r="D2195" s="433"/>
      <c r="E2195" s="433"/>
      <c r="F2195" s="434"/>
      <c r="G2195" s="435"/>
    </row>
    <row r="2196" spans="4:7" ht="14.5">
      <c r="D2196" s="433"/>
      <c r="E2196" s="433"/>
      <c r="F2196" s="434"/>
      <c r="G2196" s="435"/>
    </row>
    <row r="2197" spans="4:7" ht="14.5">
      <c r="D2197" s="433"/>
      <c r="E2197" s="433"/>
      <c r="F2197" s="434"/>
      <c r="G2197" s="435"/>
    </row>
    <row r="2198" spans="4:7" ht="14.5">
      <c r="D2198" s="433"/>
      <c r="E2198" s="433"/>
      <c r="F2198" s="434"/>
      <c r="G2198" s="435"/>
    </row>
    <row r="2199" spans="4:7" ht="14.5">
      <c r="D2199" s="433"/>
      <c r="E2199" s="433"/>
      <c r="F2199" s="434"/>
      <c r="G2199" s="435"/>
    </row>
    <row r="2200" spans="4:7" ht="14.5">
      <c r="D2200" s="433"/>
      <c r="E2200" s="433"/>
      <c r="F2200" s="434"/>
      <c r="G2200" s="435"/>
    </row>
    <row r="2201" spans="4:7" ht="14.5">
      <c r="D2201" s="433"/>
      <c r="E2201" s="433"/>
      <c r="F2201" s="434"/>
      <c r="G2201" s="435"/>
    </row>
    <row r="2202" spans="4:7" ht="14.5">
      <c r="D2202" s="433"/>
      <c r="E2202" s="433"/>
      <c r="F2202" s="434"/>
      <c r="G2202" s="435"/>
    </row>
    <row r="2203" spans="4:7" ht="14.5">
      <c r="D2203" s="433"/>
      <c r="E2203" s="433"/>
      <c r="F2203" s="434"/>
      <c r="G2203" s="435"/>
    </row>
    <row r="2204" spans="4:7" ht="14.5">
      <c r="D2204" s="433"/>
      <c r="E2204" s="433"/>
      <c r="F2204" s="434"/>
      <c r="G2204" s="435"/>
    </row>
    <row r="2205" spans="4:7" ht="14.5">
      <c r="D2205" s="433"/>
      <c r="E2205" s="433"/>
      <c r="F2205" s="434"/>
      <c r="G2205" s="435"/>
    </row>
    <row r="2206" spans="4:7" ht="14.5">
      <c r="D2206" s="433"/>
      <c r="E2206" s="433"/>
      <c r="F2206" s="434"/>
      <c r="G2206" s="435"/>
    </row>
    <row r="2207" spans="4:7" ht="14.5">
      <c r="D2207" s="433"/>
      <c r="E2207" s="433"/>
      <c r="F2207" s="434"/>
      <c r="G2207" s="435"/>
    </row>
    <row r="2208" spans="4:7" ht="14.5">
      <c r="D2208" s="433"/>
      <c r="E2208" s="433"/>
      <c r="F2208" s="434"/>
      <c r="G2208" s="435"/>
    </row>
    <row r="2209" spans="4:7" ht="14.5">
      <c r="D2209" s="433"/>
      <c r="E2209" s="433"/>
      <c r="F2209" s="434"/>
      <c r="G2209" s="435"/>
    </row>
    <row r="2210" spans="4:7" ht="14.5">
      <c r="D2210" s="433"/>
      <c r="E2210" s="433"/>
      <c r="F2210" s="434"/>
      <c r="G2210" s="435"/>
    </row>
    <row r="2211" spans="4:7" ht="14.5">
      <c r="D2211" s="433"/>
      <c r="E2211" s="433"/>
      <c r="F2211" s="434"/>
      <c r="G2211" s="435"/>
    </row>
    <row r="2212" spans="4:7" ht="14.5">
      <c r="D2212" s="433"/>
      <c r="E2212" s="433"/>
      <c r="F2212" s="434"/>
      <c r="G2212" s="435"/>
    </row>
    <row r="2213" spans="4:7" ht="14.5">
      <c r="D2213" s="433"/>
      <c r="E2213" s="433"/>
      <c r="F2213" s="434"/>
      <c r="G2213" s="435"/>
    </row>
    <row r="2214" spans="4:7" ht="14.5">
      <c r="D2214" s="433"/>
      <c r="E2214" s="433"/>
      <c r="F2214" s="434"/>
      <c r="G2214" s="435"/>
    </row>
    <row r="2215" spans="4:7" ht="14.5">
      <c r="D2215" s="433"/>
      <c r="E2215" s="433"/>
      <c r="F2215" s="434"/>
      <c r="G2215" s="435"/>
    </row>
    <row r="2216" spans="4:7" ht="14.5">
      <c r="D2216" s="433"/>
      <c r="E2216" s="433"/>
      <c r="F2216" s="434"/>
      <c r="G2216" s="435"/>
    </row>
    <row r="2217" spans="4:7" ht="14.5">
      <c r="D2217" s="433"/>
      <c r="E2217" s="433"/>
      <c r="F2217" s="434"/>
      <c r="G2217" s="435"/>
    </row>
    <row r="2218" spans="4:7" ht="14.5">
      <c r="D2218" s="433"/>
      <c r="E2218" s="433"/>
      <c r="F2218" s="434"/>
      <c r="G2218" s="435"/>
    </row>
    <row r="2219" spans="4:7" ht="14.5">
      <c r="D2219" s="433"/>
      <c r="E2219" s="433"/>
      <c r="F2219" s="434"/>
      <c r="G2219" s="435"/>
    </row>
    <row r="2220" spans="4:7" ht="14.5">
      <c r="D2220" s="433"/>
      <c r="E2220" s="433"/>
      <c r="F2220" s="434"/>
      <c r="G2220" s="435"/>
    </row>
    <row r="2221" spans="4:7" ht="14.5">
      <c r="D2221" s="433"/>
      <c r="E2221" s="433"/>
      <c r="F2221" s="434"/>
      <c r="G2221" s="435"/>
    </row>
    <row r="2222" spans="4:7" ht="14.5">
      <c r="D2222" s="433"/>
      <c r="E2222" s="433"/>
      <c r="F2222" s="434"/>
      <c r="G2222" s="435"/>
    </row>
    <row r="2223" spans="4:7" ht="14.5">
      <c r="D2223" s="433"/>
      <c r="E2223" s="433"/>
      <c r="F2223" s="434"/>
      <c r="G2223" s="435"/>
    </row>
    <row r="2224" spans="4:7" ht="14.5">
      <c r="D2224" s="433"/>
      <c r="E2224" s="433"/>
      <c r="F2224" s="434"/>
      <c r="G2224" s="435"/>
    </row>
    <row r="2225" spans="4:7" ht="14.5">
      <c r="D2225" s="433"/>
      <c r="E2225" s="433"/>
      <c r="F2225" s="434"/>
      <c r="G2225" s="435"/>
    </row>
    <row r="2226" spans="4:7" ht="14.5">
      <c r="D2226" s="433"/>
      <c r="E2226" s="433"/>
      <c r="F2226" s="434"/>
      <c r="G2226" s="435"/>
    </row>
    <row r="2227" spans="4:7" ht="14.5">
      <c r="D2227" s="433"/>
      <c r="E2227" s="433"/>
      <c r="F2227" s="434"/>
      <c r="G2227" s="435"/>
    </row>
    <row r="2228" spans="4:7" ht="14.5">
      <c r="D2228" s="433"/>
      <c r="E2228" s="433"/>
      <c r="F2228" s="434"/>
      <c r="G2228" s="435"/>
    </row>
    <row r="2229" spans="4:7" ht="14.5">
      <c r="D2229" s="433"/>
      <c r="E2229" s="433"/>
      <c r="F2229" s="434"/>
      <c r="G2229" s="435"/>
    </row>
    <row r="2230" spans="4:7" ht="14.5">
      <c r="D2230" s="433"/>
      <c r="E2230" s="433"/>
      <c r="F2230" s="434"/>
      <c r="G2230" s="435"/>
    </row>
    <row r="2231" spans="4:7" ht="14.5">
      <c r="D2231" s="433"/>
      <c r="E2231" s="433"/>
      <c r="F2231" s="434"/>
      <c r="G2231" s="435"/>
    </row>
    <row r="2232" spans="4:7" ht="14.5">
      <c r="D2232" s="433"/>
      <c r="E2232" s="433"/>
      <c r="F2232" s="434"/>
      <c r="G2232" s="435"/>
    </row>
    <row r="2233" spans="4:7" ht="14.5">
      <c r="D2233" s="433"/>
      <c r="E2233" s="433"/>
      <c r="F2233" s="434"/>
      <c r="G2233" s="435"/>
    </row>
    <row r="2234" spans="4:7" ht="14.5">
      <c r="D2234" s="433"/>
      <c r="E2234" s="433"/>
      <c r="F2234" s="434"/>
      <c r="G2234" s="435"/>
    </row>
    <row r="2235" spans="4:7" ht="14.5">
      <c r="D2235" s="433"/>
      <c r="E2235" s="433"/>
      <c r="F2235" s="434"/>
      <c r="G2235" s="435"/>
    </row>
    <row r="2236" spans="4:7" ht="14.5">
      <c r="D2236" s="433"/>
      <c r="E2236" s="433"/>
      <c r="F2236" s="434"/>
      <c r="G2236" s="435"/>
    </row>
    <row r="2237" spans="4:7" ht="14.5">
      <c r="D2237" s="433"/>
      <c r="E2237" s="433"/>
      <c r="F2237" s="434"/>
      <c r="G2237" s="435"/>
    </row>
    <row r="2238" spans="4:7" ht="14.5">
      <c r="D2238" s="433"/>
      <c r="E2238" s="433"/>
      <c r="F2238" s="434"/>
      <c r="G2238" s="435"/>
    </row>
    <row r="2239" spans="4:7" ht="14.5">
      <c r="D2239" s="433"/>
      <c r="E2239" s="433"/>
      <c r="F2239" s="434"/>
      <c r="G2239" s="435"/>
    </row>
    <row r="2240" spans="4:7" ht="14.5">
      <c r="D2240" s="433"/>
      <c r="E2240" s="433"/>
      <c r="F2240" s="434"/>
    </row>
    <row r="2241" spans="4:6" ht="14.5">
      <c r="D2241" s="433"/>
      <c r="E2241" s="433"/>
      <c r="F2241" s="434"/>
    </row>
    <row r="2242" spans="4:6" ht="14.5">
      <c r="D2242" s="433"/>
      <c r="E2242" s="433"/>
      <c r="F2242" s="434"/>
    </row>
    <row r="2243" spans="4:6" ht="14.5">
      <c r="D2243" s="433"/>
      <c r="E2243" s="433"/>
      <c r="F2243" s="434"/>
    </row>
    <row r="2244" spans="4:6" ht="14.5">
      <c r="D2244" s="433"/>
      <c r="E2244" s="433"/>
      <c r="F2244" s="434"/>
    </row>
    <row r="2245" spans="4:6" ht="14.5">
      <c r="D2245" s="433"/>
      <c r="E2245" s="433"/>
      <c r="F2245" s="434"/>
    </row>
    <row r="2246" spans="4:6" ht="14.5">
      <c r="D2246" s="433"/>
      <c r="E2246" s="433"/>
      <c r="F2246" s="434"/>
    </row>
    <row r="2247" spans="4:6" ht="14.5">
      <c r="D2247" s="433"/>
      <c r="E2247" s="433"/>
      <c r="F2247" s="434"/>
    </row>
    <row r="2248" spans="4:6" ht="14.5">
      <c r="D2248" s="433"/>
      <c r="E2248" s="433"/>
      <c r="F2248" s="434"/>
    </row>
    <row r="2249" spans="4:6" ht="14.5">
      <c r="D2249" s="433"/>
      <c r="E2249" s="433"/>
      <c r="F2249" s="434"/>
    </row>
    <row r="2250" spans="4:6" ht="14.5">
      <c r="D2250" s="433"/>
      <c r="E2250" s="433"/>
      <c r="F2250" s="434"/>
    </row>
    <row r="2251" spans="4:6" ht="14.5">
      <c r="D2251" s="433"/>
      <c r="E2251" s="433"/>
      <c r="F2251" s="434"/>
    </row>
    <row r="2252" spans="4:6" ht="14.5">
      <c r="D2252" s="433"/>
      <c r="E2252" s="433"/>
      <c r="F2252" s="434"/>
    </row>
    <row r="2253" spans="4:6" ht="14.5">
      <c r="D2253" s="433"/>
      <c r="E2253" s="433"/>
      <c r="F2253" s="434"/>
    </row>
    <row r="2254" spans="4:6" ht="14.5">
      <c r="D2254" s="433"/>
      <c r="E2254" s="433"/>
      <c r="F2254" s="434"/>
    </row>
    <row r="2255" spans="4:6" ht="14.5">
      <c r="D2255" s="433"/>
      <c r="E2255" s="433"/>
      <c r="F2255" s="434"/>
    </row>
    <row r="2256" spans="4:6" ht="14.5">
      <c r="D2256" s="433"/>
      <c r="E2256" s="433"/>
      <c r="F2256" s="434"/>
    </row>
    <row r="2257" spans="4:6" ht="14.5">
      <c r="D2257" s="433"/>
      <c r="E2257" s="433"/>
      <c r="F2257" s="434"/>
    </row>
    <row r="2258" spans="4:6" ht="14.5">
      <c r="D2258" s="433"/>
      <c r="E2258" s="433"/>
      <c r="F2258" s="434"/>
    </row>
    <row r="2259" spans="4:6" ht="14.5">
      <c r="E2259" s="433"/>
      <c r="F2259" s="434"/>
    </row>
    <row r="2260" spans="4:6" ht="14.5">
      <c r="E2260" s="433"/>
      <c r="F2260" s="434"/>
    </row>
    <row r="2261" spans="4:6" ht="14.5">
      <c r="E2261" s="433"/>
      <c r="F2261" s="434"/>
    </row>
    <row r="2262" spans="4:6" ht="14.5">
      <c r="E2262" s="433"/>
      <c r="F2262" s="434"/>
    </row>
    <row r="2263" spans="4:6" ht="14.5">
      <c r="E2263" s="433"/>
      <c r="F2263" s="434"/>
    </row>
  </sheetData>
  <autoFilter ref="A3:T1028"/>
  <pageMargins left="0.23622047244094499" right="0.23622047244094499" top="0.74803149606299202" bottom="0.74803149606299202" header="0.31496062992126" footer="0.31496062992126"/>
  <pageSetup paperSize="9" scale="6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Button 1">
              <controlPr defaultSize="0" print="0" autoFill="0" autoPict="0" macro="[0]!GoToWorksheet">
                <anchor>
                  <from>
                    <xdr:col>10</xdr:col>
                    <xdr:colOff>50800</xdr:colOff>
                    <xdr:row>0</xdr:row>
                    <xdr:rowOff>50800</xdr:rowOff>
                  </from>
                  <to>
                    <xdr:col>14</xdr:col>
                    <xdr:colOff>19050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R32"/>
  <sheetViews>
    <sheetView workbookViewId="0">
      <selection activeCell="A6" sqref="A6"/>
    </sheetView>
  </sheetViews>
  <sheetFormatPr defaultColWidth="9" defaultRowHeight="12.75" customHeight="1" outlineLevelCol="1"/>
  <cols>
    <col min="1" max="1" width="35.1796875" customWidth="1"/>
    <col min="2" max="2" width="6" customWidth="1"/>
    <col min="3" max="3" width="15.81640625" style="189" customWidth="1"/>
    <col min="5" max="5" width="16" customWidth="1"/>
    <col min="6" max="9" width="12.453125" customWidth="1"/>
    <col min="10" max="17" width="12.453125" hidden="1" customWidth="1" outlineLevel="1"/>
    <col min="18" max="18" width="9.1796875" customWidth="1" collapsed="1"/>
  </cols>
  <sheetData>
    <row r="1" spans="1:17" ht="12.75" customHeight="1">
      <c r="A1" s="473" t="s">
        <v>364</v>
      </c>
      <c r="B1" s="473"/>
      <c r="C1" s="473"/>
    </row>
    <row r="3" spans="1:17" ht="12.75" customHeight="1">
      <c r="A3" s="5" t="str">
        <f>'Cash at Bank-1020.100'!A3</f>
        <v xml:space="preserve">BALANCE AS AT </v>
      </c>
    </row>
    <row r="5" spans="1:17" ht="12.75" customHeight="1">
      <c r="A5" s="5" t="s">
        <v>365</v>
      </c>
    </row>
    <row r="6" spans="1:17" ht="12.75" customHeight="1">
      <c r="A6" s="5"/>
    </row>
    <row r="7" spans="1:17" ht="12.75" customHeight="1">
      <c r="A7" s="5" t="s">
        <v>366</v>
      </c>
    </row>
    <row r="8" spans="1:17" ht="12.75" customHeight="1">
      <c r="A8" s="5"/>
      <c r="B8" s="5"/>
      <c r="C8" s="190"/>
      <c r="E8" s="6"/>
      <c r="F8" s="7">
        <v>43739</v>
      </c>
      <c r="G8" s="7">
        <v>43770</v>
      </c>
      <c r="H8" s="7">
        <v>43800</v>
      </c>
      <c r="I8" s="7">
        <v>43831</v>
      </c>
      <c r="J8" s="7">
        <v>43862</v>
      </c>
      <c r="K8" s="7">
        <v>43891</v>
      </c>
      <c r="L8" s="7">
        <v>43922</v>
      </c>
      <c r="M8" s="7">
        <v>43952</v>
      </c>
      <c r="N8" s="7">
        <v>43983</v>
      </c>
      <c r="O8" s="7">
        <v>44013</v>
      </c>
      <c r="P8" s="7">
        <v>44044</v>
      </c>
      <c r="Q8" s="7">
        <v>44075</v>
      </c>
    </row>
    <row r="9" spans="1:17" ht="12.75" customHeight="1">
      <c r="A9" s="5" t="s">
        <v>367</v>
      </c>
      <c r="B9" s="5"/>
      <c r="C9" s="190" t="e">
        <f>'Trial Balance'!#REF!</f>
        <v>#REF!</v>
      </c>
      <c r="E9" s="9"/>
      <c r="F9" s="116">
        <v>0</v>
      </c>
      <c r="G9" s="116">
        <f>D8</f>
        <v>0</v>
      </c>
      <c r="H9" s="116">
        <v>0</v>
      </c>
      <c r="I9" s="116" t="e">
        <f>C9</f>
        <v>#REF!</v>
      </c>
      <c r="J9" s="116"/>
      <c r="K9" s="116"/>
      <c r="L9" s="116"/>
      <c r="M9" s="116"/>
      <c r="N9" s="116"/>
      <c r="O9" s="116"/>
      <c r="P9" s="116"/>
      <c r="Q9" s="116"/>
    </row>
    <row r="10" spans="1:17" ht="12.75" customHeight="1"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</row>
    <row r="11" spans="1:17" ht="12.75" customHeight="1">
      <c r="A11" s="5" t="s">
        <v>368</v>
      </c>
      <c r="E11" s="9" t="s">
        <v>369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ht="12.75" customHeight="1">
      <c r="A12" s="24"/>
      <c r="E12" s="9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ht="12.75" customHeight="1">
      <c r="A13" s="24"/>
      <c r="E13" s="9"/>
      <c r="F13" s="360"/>
      <c r="G13" s="360"/>
      <c r="H13" s="360"/>
      <c r="I13" s="360"/>
      <c r="J13" s="360"/>
      <c r="K13" s="360"/>
      <c r="L13" s="360"/>
      <c r="M13" s="360"/>
      <c r="N13" s="360"/>
      <c r="O13" s="360"/>
      <c r="P13" s="360"/>
      <c r="Q13" s="360"/>
    </row>
    <row r="14" spans="1:17" ht="12.75" customHeight="1">
      <c r="A14" s="24"/>
      <c r="E14" s="47" t="s">
        <v>362</v>
      </c>
      <c r="F14" s="23">
        <f t="shared" ref="F14:Q14" si="0">SUM(F11:F12)</f>
        <v>0</v>
      </c>
      <c r="G14" s="23">
        <f t="shared" si="0"/>
        <v>0</v>
      </c>
      <c r="H14" s="23">
        <f t="shared" si="0"/>
        <v>0</v>
      </c>
      <c r="I14" s="23">
        <f t="shared" si="0"/>
        <v>0</v>
      </c>
      <c r="J14" s="23">
        <f t="shared" si="0"/>
        <v>0</v>
      </c>
      <c r="K14" s="23">
        <f t="shared" si="0"/>
        <v>0</v>
      </c>
      <c r="L14" s="23">
        <f t="shared" si="0"/>
        <v>0</v>
      </c>
      <c r="M14" s="23">
        <f t="shared" si="0"/>
        <v>0</v>
      </c>
      <c r="N14" s="23">
        <f t="shared" si="0"/>
        <v>0</v>
      </c>
      <c r="O14" s="23">
        <f t="shared" si="0"/>
        <v>0</v>
      </c>
      <c r="P14" s="23">
        <f t="shared" si="0"/>
        <v>0</v>
      </c>
      <c r="Q14" s="23">
        <f t="shared" si="0"/>
        <v>0</v>
      </c>
    </row>
    <row r="15" spans="1:17" ht="12.75" customHeight="1">
      <c r="A15" s="24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6" spans="1:17" ht="12.75" customHeight="1">
      <c r="A16" s="24"/>
      <c r="E16" s="47" t="s">
        <v>370</v>
      </c>
      <c r="F16" s="23">
        <f t="shared" ref="F16:Q16" si="1">F14-F9</f>
        <v>0</v>
      </c>
      <c r="G16" s="23">
        <f t="shared" si="1"/>
        <v>0</v>
      </c>
      <c r="H16" s="23">
        <f t="shared" si="1"/>
        <v>0</v>
      </c>
      <c r="I16" s="23" t="e">
        <f t="shared" si="1"/>
        <v>#REF!</v>
      </c>
      <c r="J16" s="23">
        <f t="shared" si="1"/>
        <v>0</v>
      </c>
      <c r="K16" s="23">
        <f t="shared" si="1"/>
        <v>0</v>
      </c>
      <c r="L16" s="23">
        <f t="shared" si="1"/>
        <v>0</v>
      </c>
      <c r="M16" s="23">
        <f t="shared" si="1"/>
        <v>0</v>
      </c>
      <c r="N16" s="23">
        <f t="shared" si="1"/>
        <v>0</v>
      </c>
      <c r="O16" s="23">
        <f t="shared" si="1"/>
        <v>0</v>
      </c>
      <c r="P16" s="23">
        <f t="shared" si="1"/>
        <v>0</v>
      </c>
      <c r="Q16" s="23">
        <f t="shared" si="1"/>
        <v>0</v>
      </c>
    </row>
    <row r="17" spans="1:3" ht="12.75" customHeight="1">
      <c r="A17" s="24"/>
    </row>
    <row r="19" spans="1:3" ht="12.75" customHeight="1">
      <c r="A19" s="5" t="s">
        <v>362</v>
      </c>
      <c r="C19" s="190">
        <f>SUM(C12:C18)</f>
        <v>0</v>
      </c>
    </row>
    <row r="21" spans="1:3" ht="12.75" customHeight="1">
      <c r="A21" s="13" t="s">
        <v>370</v>
      </c>
      <c r="B21" s="271"/>
      <c r="C21" s="361" t="e">
        <f>+C9-C19</f>
        <v>#REF!</v>
      </c>
    </row>
    <row r="26" spans="1:3" ht="12.75" customHeight="1">
      <c r="A26" s="25" t="s">
        <v>371</v>
      </c>
    </row>
    <row r="27" spans="1:3" ht="12.75" customHeight="1">
      <c r="A27" s="5" t="s">
        <v>372</v>
      </c>
    </row>
    <row r="28" spans="1:3" ht="12.75" customHeight="1">
      <c r="A28" s="5"/>
    </row>
    <row r="29" spans="1:3" ht="12.75" customHeight="1">
      <c r="A29" s="5"/>
    </row>
    <row r="30" spans="1:3" ht="12.75" customHeight="1">
      <c r="A30" s="5"/>
    </row>
    <row r="31" spans="1:3" ht="12.75" customHeight="1">
      <c r="A31" s="25"/>
    </row>
    <row r="32" spans="1:3" ht="12.75" customHeight="1">
      <c r="A32" s="5" t="s">
        <v>373</v>
      </c>
    </row>
  </sheetData>
  <mergeCells count="1">
    <mergeCell ref="A1:C1"/>
  </mergeCells>
  <pageMargins left="0.75" right="0.75" top="1" bottom="1" header="0.5" footer="0.5"/>
  <pageSetup scale="3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G32"/>
  <sheetViews>
    <sheetView tabSelected="1" workbookViewId="0">
      <selection activeCell="K27" sqref="K27"/>
    </sheetView>
  </sheetViews>
  <sheetFormatPr defaultColWidth="9" defaultRowHeight="12.75" customHeight="1"/>
  <cols>
    <col min="1" max="1" width="36.81640625" customWidth="1"/>
    <col min="2" max="2" width="3" customWidth="1"/>
    <col min="3" max="3" width="15.81640625" style="1" customWidth="1"/>
    <col min="4" max="4" width="11.54296875" customWidth="1"/>
    <col min="6" max="6" width="12.54296875" hidden="1" customWidth="1"/>
    <col min="7" max="7" width="12.54296875" customWidth="1"/>
  </cols>
  <sheetData>
    <row r="1" spans="1:7" ht="12.75" customHeight="1">
      <c r="A1" s="473" t="s">
        <v>364</v>
      </c>
      <c r="B1" s="473"/>
      <c r="C1" s="473"/>
      <c r="D1" s="3">
        <f>'Trial Balance'!I1</f>
        <v>44835</v>
      </c>
    </row>
    <row r="3" spans="1:7" ht="12.75" customHeight="1">
      <c r="A3" s="5" t="str">
        <f>"BALANCE AS AT "&amp;'Trial Balance'!K1</f>
        <v xml:space="preserve">BALANCE AS AT </v>
      </c>
    </row>
    <row r="5" spans="1:7" ht="12.75" customHeight="1">
      <c r="A5" s="5" t="s">
        <v>374</v>
      </c>
      <c r="B5" s="5"/>
      <c r="C5" s="22"/>
    </row>
    <row r="6" spans="1:7" ht="12.75" customHeight="1">
      <c r="A6" s="5" t="s">
        <v>375</v>
      </c>
      <c r="B6" s="5"/>
      <c r="C6" s="22"/>
    </row>
    <row r="7" spans="1:7" ht="12.75" customHeight="1">
      <c r="A7" s="5" t="s">
        <v>376</v>
      </c>
      <c r="B7" s="5"/>
      <c r="C7" s="22"/>
    </row>
    <row r="8" spans="1:7" ht="12.75" customHeight="1">
      <c r="A8" s="5" t="s">
        <v>377</v>
      </c>
      <c r="B8" s="5"/>
      <c r="C8" s="22"/>
    </row>
    <row r="9" spans="1:7" ht="12.75" customHeight="1">
      <c r="A9" s="5"/>
      <c r="B9" s="5"/>
      <c r="C9" s="22"/>
    </row>
    <row r="10" spans="1:7" ht="12.75" customHeight="1">
      <c r="A10" s="5" t="s">
        <v>378</v>
      </c>
      <c r="B10" s="5"/>
      <c r="C10" s="22"/>
    </row>
    <row r="11" spans="1:7" ht="12.75" customHeight="1">
      <c r="E11" s="26"/>
      <c r="F11" s="7">
        <v>44805</v>
      </c>
      <c r="G11" s="7">
        <f>F11+30</f>
        <v>44835</v>
      </c>
    </row>
    <row r="12" spans="1:7" ht="12.75" customHeight="1">
      <c r="A12" s="5" t="s">
        <v>367</v>
      </c>
      <c r="B12" s="5"/>
      <c r="C12" s="8">
        <f>'Trial Balance'!F4</f>
        <v>370371.69</v>
      </c>
      <c r="E12" s="26"/>
      <c r="F12" s="116">
        <v>370371.69</v>
      </c>
      <c r="G12" s="116">
        <f>$C$12</f>
        <v>370371.69</v>
      </c>
    </row>
    <row r="13" spans="1:7" ht="12.75" customHeight="1">
      <c r="E13" s="26"/>
      <c r="F13" s="12"/>
      <c r="G13" s="12"/>
    </row>
    <row r="14" spans="1:7" ht="12.75" customHeight="1">
      <c r="A14" t="s">
        <v>379</v>
      </c>
      <c r="C14" s="54">
        <f>SUMIF(F11:YW11,D1,F14:YW14)</f>
        <v>370371.69</v>
      </c>
      <c r="E14" s="26"/>
      <c r="F14" s="10">
        <v>370371.69</v>
      </c>
      <c r="G14" s="10">
        <f>[1]JDE!$C$13</f>
        <v>370371.69</v>
      </c>
    </row>
    <row r="15" spans="1:7" ht="12.75" customHeight="1">
      <c r="A15" s="175"/>
      <c r="C15" s="54"/>
      <c r="E15" s="26"/>
      <c r="F15" s="12"/>
      <c r="G15" s="12"/>
    </row>
    <row r="16" spans="1:7" ht="12.75" customHeight="1">
      <c r="C16"/>
      <c r="E16" s="26"/>
      <c r="F16" s="12"/>
      <c r="G16" s="12"/>
    </row>
    <row r="17" spans="1:7" ht="12.75" customHeight="1">
      <c r="A17" s="264" t="s">
        <v>370</v>
      </c>
      <c r="B17" s="271"/>
      <c r="C17" s="361">
        <f>+C12-C14</f>
        <v>0</v>
      </c>
      <c r="E17" s="26"/>
      <c r="F17" s="17">
        <v>0</v>
      </c>
      <c r="G17" s="17">
        <f t="shared" ref="G17" si="0">G14-G12</f>
        <v>0</v>
      </c>
    </row>
    <row r="18" spans="1:7" ht="12.75" customHeight="1">
      <c r="C18" s="54"/>
    </row>
    <row r="19" spans="1:7" ht="12.75" customHeight="1">
      <c r="A19" s="5"/>
      <c r="C19" s="190"/>
    </row>
    <row r="26" spans="1:7" ht="12.75" customHeight="1">
      <c r="A26" s="25" t="str">
        <f>'Cash in Hand-1020'!A26</f>
        <v>Charmaine Chan</v>
      </c>
    </row>
    <row r="27" spans="1:7" ht="12.75" customHeight="1">
      <c r="A27" s="5" t="s">
        <v>372</v>
      </c>
    </row>
    <row r="28" spans="1:7" ht="12.75" customHeight="1">
      <c r="A28" s="5"/>
    </row>
    <row r="29" spans="1:7" ht="12.75" customHeight="1">
      <c r="A29" s="5"/>
    </row>
    <row r="30" spans="1:7" ht="12.75" customHeight="1">
      <c r="A30" s="5"/>
    </row>
    <row r="31" spans="1:7" ht="12.75" customHeight="1">
      <c r="A31" s="25"/>
    </row>
    <row r="32" spans="1:7" ht="12.75" customHeight="1">
      <c r="A32" s="5" t="s">
        <v>373</v>
      </c>
    </row>
  </sheetData>
  <mergeCells count="1">
    <mergeCell ref="A1:C1"/>
  </mergeCells>
  <pageMargins left="0.75" right="0.75" top="1" bottom="1" header="0.5" footer="0.5"/>
  <pageSetup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locked="0" defaultSize="0" print="0" autoPict="0" macro="[0]!RecRollOver">
                <anchor>
                  <from>
                    <xdr:col>6</xdr:col>
                    <xdr:colOff>12700</xdr:colOff>
                    <xdr:row>0</xdr:row>
                    <xdr:rowOff>19050</xdr:rowOff>
                  </from>
                  <to>
                    <xdr:col>9</xdr:col>
                    <xdr:colOff>419100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F32"/>
  <sheetViews>
    <sheetView workbookViewId="0">
      <selection activeCell="P1" sqref="P1:P1048576"/>
    </sheetView>
  </sheetViews>
  <sheetFormatPr defaultColWidth="9" defaultRowHeight="12.75" customHeight="1"/>
  <cols>
    <col min="1" max="1" width="40.1796875" customWidth="1"/>
    <col min="2" max="2" width="15.81640625" customWidth="1"/>
    <col min="3" max="3" width="15.81640625" style="1" customWidth="1"/>
    <col min="5" max="5" width="12.81640625" hidden="1" customWidth="1"/>
    <col min="6" max="6" width="12.81640625" customWidth="1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2" spans="1:6" ht="12.75" customHeight="1">
      <c r="A2" s="5"/>
      <c r="B2" s="5"/>
      <c r="C2" s="22"/>
    </row>
    <row r="3" spans="1:6" ht="12.75" customHeight="1">
      <c r="A3" s="5" t="str">
        <f>'Cash at Bank-1020.100'!A3</f>
        <v xml:space="preserve">BALANCE AS AT </v>
      </c>
      <c r="B3" s="5"/>
      <c r="C3" s="22"/>
    </row>
    <row r="4" spans="1:6" ht="12.75" customHeight="1">
      <c r="A4" s="5"/>
      <c r="B4" s="5"/>
      <c r="C4" s="22"/>
    </row>
    <row r="5" spans="1:6" ht="12.75" customHeight="1">
      <c r="A5" s="5" t="s">
        <v>380</v>
      </c>
    </row>
    <row r="6" spans="1:6" ht="12.75" customHeight="1">
      <c r="A6" s="5"/>
    </row>
    <row r="7" spans="1:6" ht="12.75" customHeight="1">
      <c r="A7" s="5" t="s">
        <v>381</v>
      </c>
    </row>
    <row r="8" spans="1:6" ht="12.75" customHeight="1">
      <c r="C8" s="54"/>
      <c r="E8" s="7">
        <v>44805</v>
      </c>
      <c r="F8" s="7">
        <f>E8+30</f>
        <v>44835</v>
      </c>
    </row>
    <row r="9" spans="1:6" ht="12.75" customHeight="1">
      <c r="A9" s="5" t="s">
        <v>382</v>
      </c>
      <c r="B9" s="5"/>
      <c r="C9" s="8">
        <f>'Trial Balance'!F5</f>
        <v>174817.61</v>
      </c>
      <c r="D9" s="26"/>
      <c r="E9" s="116">
        <v>174817.61</v>
      </c>
      <c r="F9" s="116">
        <f>$C$9</f>
        <v>174817.61</v>
      </c>
    </row>
    <row r="10" spans="1:6" ht="12.75" customHeight="1">
      <c r="C10" s="54"/>
      <c r="D10" s="26"/>
      <c r="E10" s="9"/>
      <c r="F10" s="9"/>
    </row>
    <row r="11" spans="1:6" ht="12.75" customHeight="1">
      <c r="B11" s="354" t="s">
        <v>383</v>
      </c>
      <c r="C11" s="162"/>
      <c r="D11" s="26"/>
      <c r="E11" s="12"/>
      <c r="F11" s="12"/>
    </row>
    <row r="12" spans="1:6" ht="12.75" customHeight="1">
      <c r="A12" t="s">
        <v>384</v>
      </c>
      <c r="B12" s="309">
        <f>'Accrued Revenue-1140'!I11</f>
        <v>44999</v>
      </c>
      <c r="C12" s="19">
        <f>SUMIF(E8:IO8,D1,E12:YX12)</f>
        <v>145453.10999999999</v>
      </c>
      <c r="D12" s="26"/>
      <c r="E12" s="10">
        <v>145453.10999999999</v>
      </c>
      <c r="F12" s="10">
        <f t="shared" ref="F12" si="0">145453.11</f>
        <v>145453.10999999999</v>
      </c>
    </row>
    <row r="13" spans="1:6" ht="12.75" customHeight="1">
      <c r="A13" s="24" t="s">
        <v>385</v>
      </c>
      <c r="B13" s="309">
        <f>'Accrued Revenue-1140'!I13</f>
        <v>45035</v>
      </c>
      <c r="C13" s="162">
        <f>SUMIF(E8:YX8,D1,E13:YX13)</f>
        <v>29364.5</v>
      </c>
      <c r="D13" s="26"/>
      <c r="E13" s="10">
        <v>29364.5</v>
      </c>
      <c r="F13" s="10">
        <f t="shared" ref="F13" si="1">29364.5</f>
        <v>29364.5</v>
      </c>
    </row>
    <row r="14" spans="1:6" ht="12.75" customHeight="1">
      <c r="C14" s="54"/>
      <c r="D14" s="26"/>
      <c r="E14" s="360"/>
      <c r="F14" s="360"/>
    </row>
    <row r="15" spans="1:6" ht="12.75" customHeight="1">
      <c r="A15" s="5" t="s">
        <v>362</v>
      </c>
      <c r="B15" s="5"/>
      <c r="C15" s="8">
        <f>+C12+C13</f>
        <v>174817.61</v>
      </c>
      <c r="D15" s="26"/>
      <c r="E15" s="23">
        <v>174817.61</v>
      </c>
      <c r="F15" s="23">
        <f t="shared" ref="F15" si="2">SUM(F12:F13)</f>
        <v>174817.61</v>
      </c>
    </row>
    <row r="16" spans="1:6" ht="12.75" customHeight="1">
      <c r="C16" s="54"/>
      <c r="D16" s="26"/>
      <c r="E16" s="9"/>
      <c r="F16" s="9"/>
    </row>
    <row r="17" spans="1:6" ht="12.75" customHeight="1">
      <c r="A17" s="13" t="s">
        <v>370</v>
      </c>
      <c r="B17" s="271"/>
      <c r="C17" s="361">
        <f>+C9-C15</f>
        <v>0</v>
      </c>
      <c r="D17" s="26"/>
      <c r="E17" s="23">
        <v>0</v>
      </c>
      <c r="F17" s="23">
        <f t="shared" ref="F17" si="3">F15-F9</f>
        <v>0</v>
      </c>
    </row>
    <row r="26" spans="1:6" ht="12.75" customHeight="1">
      <c r="A26" s="25" t="str">
        <f>'Cash in Hand-1020'!A26</f>
        <v>Charmaine Chan</v>
      </c>
    </row>
    <row r="27" spans="1:6" ht="12.75" customHeight="1">
      <c r="A27" s="5" t="s">
        <v>372</v>
      </c>
    </row>
    <row r="28" spans="1:6" ht="12.75" customHeight="1">
      <c r="A28" s="5"/>
    </row>
    <row r="29" spans="1:6" ht="12.75" customHeight="1">
      <c r="A29" s="5"/>
    </row>
    <row r="30" spans="1:6" ht="12.75" customHeight="1">
      <c r="A30" s="5"/>
    </row>
    <row r="31" spans="1:6" ht="12.75" customHeight="1">
      <c r="A31" s="25"/>
    </row>
    <row r="32" spans="1:6" ht="12.75" customHeight="1">
      <c r="A32" s="5" t="s">
        <v>373</v>
      </c>
    </row>
  </sheetData>
  <mergeCells count="1">
    <mergeCell ref="A1:C1"/>
  </mergeCells>
  <pageMargins left="0.75" right="0.75" top="1" bottom="1" header="0.5" footer="0.5"/>
  <pageSetup paperSize="9" orientation="landscape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Q39"/>
  <sheetViews>
    <sheetView workbookViewId="0">
      <selection activeCell="S18" sqref="S18"/>
    </sheetView>
  </sheetViews>
  <sheetFormatPr defaultColWidth="9" defaultRowHeight="12.75" customHeight="1" outlineLevelCol="1"/>
  <cols>
    <col min="1" max="1" width="40.81640625" customWidth="1"/>
    <col min="2" max="2" width="15.81640625" customWidth="1"/>
    <col min="3" max="3" width="15.81640625" style="1" customWidth="1"/>
    <col min="5" max="7" width="11" customWidth="1"/>
    <col min="8" max="16" width="11" hidden="1" customWidth="1" outlineLevel="1"/>
    <col min="17" max="17" width="9.1796875" customWidth="1" collapsed="1"/>
  </cols>
  <sheetData>
    <row r="1" spans="1:16" ht="12.75" customHeight="1">
      <c r="A1" s="473" t="s">
        <v>364</v>
      </c>
      <c r="B1" s="473"/>
      <c r="C1" s="473"/>
      <c r="D1" s="3">
        <f>'Cash at Bank-1020.100'!D1</f>
        <v>44835</v>
      </c>
    </row>
    <row r="3" spans="1:16" ht="12.75" customHeight="1">
      <c r="A3" s="5" t="str">
        <f>+'Cash at Bank-1020.100'!A3</f>
        <v xml:space="preserve">BALANCE AS AT </v>
      </c>
    </row>
    <row r="5" spans="1:16" ht="12.75" customHeight="1">
      <c r="A5" s="5" t="s">
        <v>386</v>
      </c>
      <c r="B5" s="5"/>
      <c r="C5" s="22"/>
    </row>
    <row r="6" spans="1:16" ht="12.75" customHeight="1">
      <c r="A6" s="5" t="s">
        <v>375</v>
      </c>
      <c r="B6" s="5"/>
      <c r="C6" s="22"/>
    </row>
    <row r="7" spans="1:16" ht="12.75" customHeight="1">
      <c r="A7" s="5" t="s">
        <v>387</v>
      </c>
      <c r="B7" s="5"/>
      <c r="C7" s="22"/>
    </row>
    <row r="8" spans="1:16" ht="12.75" customHeight="1">
      <c r="A8" s="5" t="s">
        <v>377</v>
      </c>
      <c r="B8" s="5"/>
      <c r="C8" s="22"/>
    </row>
    <row r="9" spans="1:16" ht="12.75" customHeight="1">
      <c r="A9" s="5"/>
      <c r="B9" s="5"/>
      <c r="C9" s="22"/>
    </row>
    <row r="10" spans="1:16" ht="12.75" customHeight="1">
      <c r="A10" s="5" t="s">
        <v>388</v>
      </c>
      <c r="B10" s="5"/>
      <c r="C10" s="22"/>
    </row>
    <row r="11" spans="1:16" ht="12.75" customHeight="1">
      <c r="A11" s="5"/>
      <c r="B11" s="5"/>
      <c r="C11" s="22"/>
      <c r="D11" s="26"/>
      <c r="E11" s="7">
        <v>44470</v>
      </c>
      <c r="F11" s="7">
        <v>44501</v>
      </c>
      <c r="G11" s="7">
        <v>44531</v>
      </c>
      <c r="H11" s="7">
        <v>44562</v>
      </c>
      <c r="I11" s="7">
        <v>44593</v>
      </c>
      <c r="J11" s="7">
        <v>44621</v>
      </c>
      <c r="K11" s="7">
        <v>44652</v>
      </c>
      <c r="L11" s="7">
        <v>44682</v>
      </c>
      <c r="M11" s="7">
        <v>44713</v>
      </c>
      <c r="N11" s="7">
        <v>44743</v>
      </c>
      <c r="O11" s="7">
        <v>44774</v>
      </c>
      <c r="P11" s="7">
        <v>44805</v>
      </c>
    </row>
    <row r="12" spans="1:16" ht="12.75" customHeight="1">
      <c r="A12" s="5" t="s">
        <v>367</v>
      </c>
      <c r="B12" s="5"/>
      <c r="C12" s="8" t="e">
        <f>'Trial Balance'!#REF!</f>
        <v>#REF!</v>
      </c>
      <c r="D12" s="26"/>
      <c r="E12" s="116">
        <v>0</v>
      </c>
      <c r="F12" s="116">
        <v>0</v>
      </c>
      <c r="G12" s="116" t="e">
        <f>C12</f>
        <v>#REF!</v>
      </c>
      <c r="H12" s="116"/>
      <c r="I12" s="116"/>
      <c r="J12" s="116"/>
      <c r="K12" s="116"/>
      <c r="L12" s="116"/>
      <c r="M12" s="116"/>
      <c r="N12" s="116"/>
      <c r="O12" s="116"/>
      <c r="P12" s="116"/>
    </row>
    <row r="13" spans="1:16" ht="12.75" customHeight="1">
      <c r="C13" s="54"/>
      <c r="D13" s="26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</row>
    <row r="14" spans="1:16" ht="12.75" customHeight="1">
      <c r="A14" s="24" t="s">
        <v>389</v>
      </c>
      <c r="C14" s="8">
        <f>SUMIF(E11:P11,D1,E14:P14)</f>
        <v>0</v>
      </c>
      <c r="D14" s="26"/>
      <c r="E14" s="10">
        <v>0</v>
      </c>
      <c r="F14" s="10">
        <v>0</v>
      </c>
      <c r="G14" s="10">
        <v>0</v>
      </c>
      <c r="H14" s="10"/>
      <c r="I14" s="10"/>
      <c r="J14" s="10"/>
      <c r="K14" s="10"/>
      <c r="L14" s="10"/>
      <c r="M14" s="10"/>
      <c r="N14" s="10"/>
      <c r="O14" s="10"/>
      <c r="P14" s="10"/>
    </row>
    <row r="15" spans="1:16" ht="12.75" customHeight="1">
      <c r="A15" s="425" t="s">
        <v>390</v>
      </c>
      <c r="D15" s="26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</row>
    <row r="16" spans="1:16" ht="12.75" customHeight="1">
      <c r="A16" s="425"/>
      <c r="D16" s="26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</row>
    <row r="17" spans="1:16" ht="12.75" customHeight="1">
      <c r="A17" s="24"/>
      <c r="D17" s="26"/>
      <c r="E17" s="17">
        <f t="shared" ref="E17:P17" si="0">E14-E12</f>
        <v>0</v>
      </c>
      <c r="F17" s="17">
        <f t="shared" si="0"/>
        <v>0</v>
      </c>
      <c r="G17" s="17" t="e">
        <f t="shared" si="0"/>
        <v>#REF!</v>
      </c>
      <c r="H17" s="17">
        <f t="shared" si="0"/>
        <v>0</v>
      </c>
      <c r="I17" s="17">
        <f t="shared" si="0"/>
        <v>0</v>
      </c>
      <c r="J17" s="17">
        <f t="shared" si="0"/>
        <v>0</v>
      </c>
      <c r="K17" s="17">
        <f t="shared" si="0"/>
        <v>0</v>
      </c>
      <c r="L17" s="17">
        <f t="shared" si="0"/>
        <v>0</v>
      </c>
      <c r="M17" s="17">
        <f t="shared" si="0"/>
        <v>0</v>
      </c>
      <c r="N17" s="17">
        <f t="shared" si="0"/>
        <v>0</v>
      </c>
      <c r="O17" s="17">
        <f t="shared" si="0"/>
        <v>0</v>
      </c>
      <c r="P17" s="17">
        <f t="shared" si="0"/>
        <v>0</v>
      </c>
    </row>
    <row r="20" spans="1:16" ht="12.75" customHeight="1">
      <c r="A20" s="5" t="s">
        <v>362</v>
      </c>
      <c r="B20" s="5"/>
      <c r="C20" s="22">
        <f>C14+C17</f>
        <v>0</v>
      </c>
    </row>
    <row r="22" spans="1:16" ht="12.75" customHeight="1">
      <c r="A22" s="13" t="s">
        <v>370</v>
      </c>
      <c r="B22" s="271"/>
      <c r="C22" s="361" t="e">
        <f>+C12-C14-C17</f>
        <v>#REF!</v>
      </c>
    </row>
    <row r="25" spans="1:16" ht="12.75" customHeight="1">
      <c r="A25" s="25" t="str">
        <f>'Cash in Hand-1020'!A26</f>
        <v>Charmaine Chan</v>
      </c>
    </row>
    <row r="26" spans="1:16" ht="12.75" customHeight="1">
      <c r="A26" s="5" t="s">
        <v>372</v>
      </c>
    </row>
    <row r="27" spans="1:16" ht="12.75" customHeight="1">
      <c r="A27" s="5"/>
    </row>
    <row r="28" spans="1:16" ht="12.75" customHeight="1">
      <c r="A28" s="5"/>
    </row>
    <row r="29" spans="1:16" ht="12.75" customHeight="1">
      <c r="A29" s="5"/>
      <c r="G29" s="151"/>
    </row>
    <row r="30" spans="1:16" ht="12.75" customHeight="1">
      <c r="A30" s="25"/>
      <c r="G30" s="151"/>
    </row>
    <row r="31" spans="1:16" ht="12.75" customHeight="1">
      <c r="A31" s="5" t="s">
        <v>373</v>
      </c>
      <c r="G31" s="151"/>
    </row>
    <row r="32" spans="1:16" ht="12.75" customHeight="1">
      <c r="G32" s="151"/>
    </row>
    <row r="33" spans="6:7" ht="12.75" customHeight="1">
      <c r="G33" s="151"/>
    </row>
    <row r="38" spans="6:7" ht="12.75" customHeight="1">
      <c r="G38" s="151"/>
    </row>
    <row r="39" spans="6:7" ht="12.75" customHeight="1">
      <c r="F39" s="151"/>
    </row>
  </sheetData>
  <mergeCells count="1">
    <mergeCell ref="A1:C1"/>
  </mergeCells>
  <pageMargins left="0.75" right="0.75" top="1" bottom="1" header="0.5" footer="0.5"/>
  <pageSetup scale="68" orientation="landscape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55"/>
  <sheetViews>
    <sheetView zoomScale="90" zoomScaleNormal="90" workbookViewId="0">
      <selection activeCell="G30" sqref="G30"/>
    </sheetView>
  </sheetViews>
  <sheetFormatPr defaultColWidth="9" defaultRowHeight="12.75" customHeight="1"/>
  <cols>
    <col min="1" max="1" width="55.81640625" customWidth="1"/>
    <col min="2" max="2" width="10.81640625" customWidth="1"/>
    <col min="3" max="3" width="16.1796875" style="1" customWidth="1"/>
    <col min="4" max="4" width="14.453125" customWidth="1"/>
    <col min="5" max="5" width="34.453125" customWidth="1"/>
    <col min="6" max="6" width="14.1796875" hidden="1" customWidth="1"/>
    <col min="7" max="7" width="14.1796875" customWidth="1"/>
  </cols>
  <sheetData>
    <row r="1" spans="1:7" ht="12.75" customHeight="1">
      <c r="A1" s="473" t="s">
        <v>364</v>
      </c>
      <c r="B1" s="473"/>
      <c r="C1" s="473"/>
      <c r="D1" s="3">
        <f>'Cash at Bank-1020.100'!D1</f>
        <v>44835</v>
      </c>
      <c r="E1" s="3"/>
    </row>
    <row r="2" spans="1:7" ht="12.75" customHeight="1">
      <c r="A2" s="2"/>
      <c r="B2" s="2"/>
      <c r="C2" s="4"/>
    </row>
    <row r="3" spans="1:7" ht="12.75" customHeight="1">
      <c r="A3" s="5" t="str">
        <f>+'Rental Bond-1030.110'!A3</f>
        <v xml:space="preserve">BALANCE AS AT </v>
      </c>
    </row>
    <row r="5" spans="1:7" ht="12.75" customHeight="1">
      <c r="A5" s="5" t="s">
        <v>391</v>
      </c>
      <c r="E5" s="6"/>
      <c r="F5" s="7">
        <v>44805</v>
      </c>
      <c r="G5" s="7">
        <f>F5+30</f>
        <v>44835</v>
      </c>
    </row>
    <row r="6" spans="1:7" ht="12.75" customHeight="1">
      <c r="A6" s="24" t="s">
        <v>392</v>
      </c>
      <c r="C6" s="417">
        <f>'Trial Balance'!F7</f>
        <v>3843724.34</v>
      </c>
      <c r="E6" s="418" t="s">
        <v>382</v>
      </c>
      <c r="F6" s="142">
        <v>3843724.34</v>
      </c>
      <c r="G6" s="142">
        <f>$C$6</f>
        <v>3843724.34</v>
      </c>
    </row>
    <row r="7" spans="1:7" ht="12.75" customHeight="1">
      <c r="A7" s="5" t="s">
        <v>393</v>
      </c>
      <c r="C7" s="8">
        <f>C6</f>
        <v>3843724.34</v>
      </c>
      <c r="E7" s="9"/>
      <c r="F7" s="12"/>
      <c r="G7" s="12"/>
    </row>
    <row r="8" spans="1:7" ht="12.75" customHeight="1">
      <c r="A8" s="5" t="s">
        <v>394</v>
      </c>
      <c r="C8" s="8"/>
      <c r="E8" s="9"/>
      <c r="F8" s="12"/>
      <c r="G8" s="12"/>
    </row>
    <row r="9" spans="1:7" ht="12.75" customHeight="1">
      <c r="A9" s="24" t="s">
        <v>395</v>
      </c>
      <c r="C9" s="419">
        <f t="shared" ref="C9:C23" si="0">SUMIF($F$5:$YW$5,$D$1,F9:YW9)</f>
        <v>0</v>
      </c>
      <c r="E9" s="53" t="s">
        <v>396</v>
      </c>
      <c r="F9" s="131"/>
      <c r="G9" s="131"/>
    </row>
    <row r="10" spans="1:7" ht="12.75" customHeight="1">
      <c r="A10" s="24" t="s">
        <v>397</v>
      </c>
      <c r="C10" s="419">
        <f t="shared" si="0"/>
        <v>0</v>
      </c>
      <c r="E10" s="53" t="s">
        <v>398</v>
      </c>
      <c r="F10" s="10">
        <v>-4122.13</v>
      </c>
      <c r="G10" s="10"/>
    </row>
    <row r="11" spans="1:7" ht="12.75" customHeight="1">
      <c r="A11" s="24" t="s">
        <v>399</v>
      </c>
      <c r="C11" s="419">
        <f t="shared" si="0"/>
        <v>0</v>
      </c>
      <c r="E11" s="53" t="s">
        <v>400</v>
      </c>
      <c r="F11" s="10">
        <v>47306.39</v>
      </c>
      <c r="G11" s="10"/>
    </row>
    <row r="12" spans="1:7" ht="12.75" customHeight="1">
      <c r="A12" s="24" t="s">
        <v>401</v>
      </c>
      <c r="C12" s="419">
        <f t="shared" si="0"/>
        <v>0</v>
      </c>
      <c r="E12" s="53" t="s">
        <v>402</v>
      </c>
      <c r="F12" s="10"/>
      <c r="G12" s="10"/>
    </row>
    <row r="13" spans="1:7" ht="12.75" customHeight="1">
      <c r="A13" s="24" t="s">
        <v>403</v>
      </c>
      <c r="C13" s="419">
        <f t="shared" si="0"/>
        <v>0</v>
      </c>
      <c r="E13" s="53" t="s">
        <v>404</v>
      </c>
      <c r="F13" s="10">
        <v>17589</v>
      </c>
      <c r="G13" s="10"/>
    </row>
    <row r="14" spans="1:7" ht="12.75" customHeight="1">
      <c r="A14" s="24" t="s">
        <v>405</v>
      </c>
      <c r="C14" s="419">
        <f t="shared" si="0"/>
        <v>0</v>
      </c>
      <c r="E14" s="53" t="s">
        <v>406</v>
      </c>
      <c r="F14" s="10"/>
      <c r="G14" s="10"/>
    </row>
    <row r="15" spans="1:7" ht="12.75" customHeight="1">
      <c r="A15" s="24" t="s">
        <v>407</v>
      </c>
      <c r="C15" s="419">
        <f t="shared" si="0"/>
        <v>0</v>
      </c>
      <c r="E15" s="53" t="s">
        <v>408</v>
      </c>
      <c r="F15" s="10"/>
      <c r="G15" s="10"/>
    </row>
    <row r="16" spans="1:7" ht="12.75" customHeight="1">
      <c r="A16" s="24" t="s">
        <v>409</v>
      </c>
      <c r="C16" s="419">
        <f t="shared" si="0"/>
        <v>0</v>
      </c>
      <c r="E16" s="53" t="s">
        <v>410</v>
      </c>
      <c r="F16" s="10"/>
      <c r="G16" s="10"/>
    </row>
    <row r="17" spans="1:7" ht="12.75" customHeight="1">
      <c r="A17" s="24" t="s">
        <v>411</v>
      </c>
      <c r="C17" s="419">
        <f t="shared" si="0"/>
        <v>0</v>
      </c>
      <c r="E17" s="53" t="s">
        <v>412</v>
      </c>
      <c r="F17" s="10"/>
      <c r="G17" s="10"/>
    </row>
    <row r="18" spans="1:7" ht="12.75" customHeight="1">
      <c r="A18" s="24" t="s">
        <v>413</v>
      </c>
      <c r="C18" s="419">
        <f t="shared" si="0"/>
        <v>0</v>
      </c>
      <c r="E18" s="53" t="s">
        <v>414</v>
      </c>
      <c r="F18" s="10"/>
      <c r="G18" s="10"/>
    </row>
    <row r="19" spans="1:7" ht="12.75" customHeight="1">
      <c r="A19" s="24" t="s">
        <v>415</v>
      </c>
      <c r="C19" s="419">
        <f t="shared" si="0"/>
        <v>0</v>
      </c>
      <c r="E19" s="53" t="s">
        <v>416</v>
      </c>
      <c r="F19" s="10">
        <v>100</v>
      </c>
      <c r="G19" s="10"/>
    </row>
    <row r="20" spans="1:7" ht="12.75" customHeight="1">
      <c r="A20" s="24" t="s">
        <v>853</v>
      </c>
      <c r="C20" s="419">
        <f t="shared" si="0"/>
        <v>0</v>
      </c>
      <c r="E20" s="53" t="s">
        <v>854</v>
      </c>
      <c r="F20" s="10">
        <v>2448.13</v>
      </c>
      <c r="G20" s="10"/>
    </row>
    <row r="21" spans="1:7" ht="12.75" customHeight="1">
      <c r="A21" s="24" t="s">
        <v>417</v>
      </c>
      <c r="C21" s="419">
        <f t="shared" si="0"/>
        <v>0</v>
      </c>
      <c r="E21" s="53" t="s">
        <v>418</v>
      </c>
      <c r="F21" s="10"/>
      <c r="G21" s="10"/>
    </row>
    <row r="22" spans="1:7" ht="12.75" customHeight="1">
      <c r="A22" s="24" t="s">
        <v>419</v>
      </c>
      <c r="C22" s="419">
        <f t="shared" si="0"/>
        <v>0</v>
      </c>
      <c r="E22" s="53" t="s">
        <v>420</v>
      </c>
      <c r="F22" s="10"/>
      <c r="G22" s="10"/>
    </row>
    <row r="23" spans="1:7" ht="12.75" customHeight="1">
      <c r="A23" s="24" t="s">
        <v>421</v>
      </c>
      <c r="C23" s="419">
        <f t="shared" si="0"/>
        <v>0</v>
      </c>
      <c r="E23" s="53" t="s">
        <v>422</v>
      </c>
      <c r="F23" s="10">
        <v>-129.38999999999999</v>
      </c>
      <c r="G23" s="10"/>
    </row>
    <row r="24" spans="1:7" ht="12.75" customHeight="1">
      <c r="A24" s="24"/>
      <c r="C24" s="164"/>
      <c r="E24" s="53"/>
      <c r="F24" s="420"/>
      <c r="G24" s="420"/>
    </row>
    <row r="25" spans="1:7" ht="12.75" customHeight="1">
      <c r="A25" s="24"/>
      <c r="C25" s="164"/>
      <c r="E25" s="418" t="s">
        <v>423</v>
      </c>
      <c r="F25" s="21">
        <v>63192</v>
      </c>
      <c r="G25" s="21">
        <f t="shared" ref="G25" si="1">SUM(G9:G24)</f>
        <v>0</v>
      </c>
    </row>
    <row r="26" spans="1:7" ht="12.75" customHeight="1">
      <c r="D26" s="1"/>
      <c r="E26" s="9"/>
      <c r="F26" s="12"/>
      <c r="G26" s="12"/>
    </row>
    <row r="27" spans="1:7" ht="12.75" customHeight="1">
      <c r="A27" s="5" t="s">
        <v>424</v>
      </c>
      <c r="C27" s="8">
        <f>SUM(C9:C23)</f>
        <v>0</v>
      </c>
      <c r="E27" s="418" t="s">
        <v>425</v>
      </c>
      <c r="F27" s="12">
        <v>3906916.34</v>
      </c>
      <c r="G27" s="12">
        <f t="shared" ref="G27" si="2">G6+G25</f>
        <v>3843724.34</v>
      </c>
    </row>
    <row r="28" spans="1:7" ht="12.75" customHeight="1">
      <c r="D28" s="1"/>
      <c r="E28" s="9"/>
      <c r="F28" s="12"/>
      <c r="G28" s="12"/>
    </row>
    <row r="29" spans="1:7" ht="12.75" customHeight="1">
      <c r="A29" s="5" t="s">
        <v>425</v>
      </c>
      <c r="C29" s="8">
        <f>C7+C27+C25</f>
        <v>3843724.34</v>
      </c>
      <c r="E29" s="421" t="s">
        <v>426</v>
      </c>
      <c r="F29" s="12">
        <v>3906916.24</v>
      </c>
      <c r="G29" s="12">
        <f>'[2]ARTB Provision September 2022'!$D$589</f>
        <v>3906916.24</v>
      </c>
    </row>
    <row r="30" spans="1:7" ht="12.75" customHeight="1">
      <c r="C30" s="32"/>
      <c r="E30" s="9"/>
      <c r="F30" s="11"/>
      <c r="G30" s="11"/>
    </row>
    <row r="31" spans="1:7" ht="12.75" customHeight="1">
      <c r="A31" s="422"/>
      <c r="C31" s="1">
        <f>SUMIF(F5:YW5,D1,F29:YW29)</f>
        <v>3906916.24</v>
      </c>
      <c r="E31" s="9"/>
      <c r="F31" s="9"/>
      <c r="G31" s="9"/>
    </row>
    <row r="32" spans="1:7" ht="12.75" customHeight="1">
      <c r="A32" s="24"/>
      <c r="C32" s="8"/>
      <c r="E32" s="9"/>
      <c r="F32" s="9"/>
      <c r="G32" s="9"/>
    </row>
    <row r="33" spans="1:7" ht="12.75" customHeight="1">
      <c r="A33" s="28" t="s">
        <v>427</v>
      </c>
      <c r="C33" s="32"/>
      <c r="E33" s="9"/>
      <c r="F33" s="9"/>
      <c r="G33" s="9"/>
    </row>
    <row r="34" spans="1:7" ht="12.75" customHeight="1">
      <c r="A34" t="s">
        <v>428</v>
      </c>
      <c r="C34" s="32"/>
      <c r="E34" s="9"/>
      <c r="F34" s="9"/>
      <c r="G34" s="9"/>
    </row>
    <row r="35" spans="1:7" ht="12.75" customHeight="1">
      <c r="C35" s="32"/>
      <c r="E35" s="9"/>
      <c r="F35" s="9"/>
      <c r="G35" s="9"/>
    </row>
    <row r="36" spans="1:7" ht="12.75" customHeight="1">
      <c r="A36" s="24"/>
      <c r="C36" s="32"/>
      <c r="E36" s="9"/>
      <c r="F36" s="9"/>
      <c r="G36" s="9"/>
    </row>
    <row r="37" spans="1:7" ht="12.75" customHeight="1">
      <c r="A37" s="24" t="s">
        <v>429</v>
      </c>
      <c r="C37" s="162"/>
      <c r="D37" s="24"/>
      <c r="E37" s="423" t="s">
        <v>430</v>
      </c>
      <c r="F37" s="424">
        <v>-9.999999962747097E-2</v>
      </c>
      <c r="G37" s="424">
        <f t="shared" ref="G37" si="3">G29-G27</f>
        <v>63191.900000000373</v>
      </c>
    </row>
    <row r="38" spans="1:7" ht="12.75" customHeight="1">
      <c r="A38" s="24" t="s">
        <v>431</v>
      </c>
    </row>
    <row r="39" spans="1:7" ht="12.75" customHeight="1">
      <c r="A39" s="322"/>
      <c r="C39" s="32"/>
      <c r="D39" s="24"/>
    </row>
    <row r="40" spans="1:7" ht="12.75" customHeight="1">
      <c r="A40" s="24"/>
      <c r="C40" s="32"/>
    </row>
    <row r="41" spans="1:7" s="60" customFormat="1" ht="12.75" customHeight="1">
      <c r="A41" s="322"/>
      <c r="B41"/>
      <c r="C41" s="32"/>
    </row>
    <row r="42" spans="1:7" ht="12.75" customHeight="1">
      <c r="E42" s="24"/>
    </row>
    <row r="43" spans="1:7" ht="12.75" customHeight="1">
      <c r="A43" s="68"/>
      <c r="B43" s="60"/>
      <c r="C43" s="34"/>
      <c r="E43" t="str">
        <f t="array" ref="E43">INDEX(A1:A10,SMALL(IF($A$1:$A$10&lt;&gt;"",ROW($A$1:$A$10)-ROW($A$1)+1),2))</f>
        <v xml:space="preserve">BALANCE AS AT </v>
      </c>
    </row>
    <row r="44" spans="1:7" ht="12.75" customHeight="1">
      <c r="A44" s="24" t="s">
        <v>362</v>
      </c>
      <c r="C44" s="8">
        <f>SUM(C37:C41)</f>
        <v>0</v>
      </c>
    </row>
    <row r="45" spans="1:7" ht="12.75" customHeight="1">
      <c r="A45" s="28"/>
      <c r="C45" s="32"/>
    </row>
    <row r="46" spans="1:7" ht="12.75" customHeight="1">
      <c r="A46" s="13" t="s">
        <v>370</v>
      </c>
      <c r="B46" s="271"/>
      <c r="C46" s="361">
        <f>+C29-C31-C44</f>
        <v>-63191.900000000373</v>
      </c>
    </row>
    <row r="47" spans="1:7" ht="12.75" customHeight="1">
      <c r="A47" s="18"/>
      <c r="B47" s="31"/>
      <c r="C47" s="316"/>
    </row>
    <row r="49" spans="1:1" ht="12.75" customHeight="1">
      <c r="A49" s="25" t="str">
        <f>'Cash in Hand-1020'!A26</f>
        <v>Charmaine Chan</v>
      </c>
    </row>
    <row r="50" spans="1:1" ht="12.75" customHeight="1">
      <c r="A50" s="5" t="s">
        <v>372</v>
      </c>
    </row>
    <row r="51" spans="1:1" ht="12.75" customHeight="1">
      <c r="A51" s="5"/>
    </row>
    <row r="52" spans="1:1" ht="12.75" customHeight="1">
      <c r="A52" s="5"/>
    </row>
    <row r="53" spans="1:1" ht="12.75" customHeight="1">
      <c r="A53" s="5"/>
    </row>
    <row r="54" spans="1:1" ht="12.75" customHeight="1">
      <c r="A54" s="25"/>
    </row>
    <row r="55" spans="1:1" ht="12.75" customHeight="1">
      <c r="A55" s="5" t="s">
        <v>373</v>
      </c>
    </row>
  </sheetData>
  <mergeCells count="1">
    <mergeCell ref="A1:C1"/>
  </mergeCells>
  <pageMargins left="0.7" right="0.7" top="0.75" bottom="0.75" header="0.3" footer="0.3"/>
  <pageSetup scale="71" orientation="landscape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D37"/>
  <sheetViews>
    <sheetView workbookViewId="0">
      <selection activeCell="C28" sqref="C28"/>
    </sheetView>
  </sheetViews>
  <sheetFormatPr defaultColWidth="9" defaultRowHeight="12.75" customHeight="1"/>
  <cols>
    <col min="1" max="1" width="45.453125" customWidth="1"/>
    <col min="2" max="2" width="37" style="188" customWidth="1"/>
    <col min="3" max="3" width="19.1796875" style="310" customWidth="1"/>
  </cols>
  <sheetData>
    <row r="1" spans="1:4" ht="12.75" customHeight="1">
      <c r="A1" s="473" t="s">
        <v>364</v>
      </c>
      <c r="B1" s="473"/>
      <c r="C1" s="473"/>
      <c r="D1" s="3">
        <f>'Cash at Bank-1020.100'!D1</f>
        <v>44835</v>
      </c>
    </row>
    <row r="2" spans="1:4" ht="12.75" customHeight="1">
      <c r="A2" s="5"/>
      <c r="B2" s="137"/>
      <c r="C2" s="408"/>
    </row>
    <row r="3" spans="1:4" ht="12.75" customHeight="1">
      <c r="A3" s="5" t="str">
        <f>+'AR FX-1050.200'!A3</f>
        <v xml:space="preserve">BALANCE AS AT </v>
      </c>
    </row>
    <row r="4" spans="1:4" ht="12.75" customHeight="1">
      <c r="A4" s="5"/>
    </row>
    <row r="5" spans="1:4" ht="12.75" customHeight="1">
      <c r="A5" s="5" t="s">
        <v>358</v>
      </c>
    </row>
    <row r="6" spans="1:4" ht="12.75" customHeight="1">
      <c r="A6" s="5"/>
    </row>
    <row r="7" spans="1:4" ht="12.75" customHeight="1">
      <c r="A7" s="5" t="s">
        <v>432</v>
      </c>
    </row>
    <row r="9" spans="1:4" ht="12.75" customHeight="1">
      <c r="A9" s="5" t="s">
        <v>367</v>
      </c>
      <c r="C9" s="409">
        <f>'Trial Balance'!F6</f>
        <v>-16.350000000000001</v>
      </c>
    </row>
    <row r="10" spans="1:4" ht="12.75" customHeight="1">
      <c r="A10" s="24"/>
      <c r="C10" s="410"/>
    </row>
    <row r="11" spans="1:4" ht="12.75" customHeight="1">
      <c r="A11" s="5" t="s">
        <v>433</v>
      </c>
      <c r="C11" s="410"/>
    </row>
    <row r="12" spans="1:4" ht="12.75" customHeight="1">
      <c r="A12" s="24"/>
      <c r="C12" s="410"/>
    </row>
    <row r="13" spans="1:4" s="188" customFormat="1" ht="12.75" customHeight="1">
      <c r="A13" s="137" t="s">
        <v>434</v>
      </c>
      <c r="B13" s="408" t="s">
        <v>435</v>
      </c>
      <c r="C13" s="411" t="s">
        <v>436</v>
      </c>
    </row>
    <row r="14" spans="1:4" s="407" customFormat="1" ht="13">
      <c r="A14" s="407" t="s">
        <v>855</v>
      </c>
      <c r="B14" s="412">
        <v>44817</v>
      </c>
      <c r="C14" s="409">
        <v>-16.350000000000001</v>
      </c>
    </row>
    <row r="15" spans="1:4" s="188" customFormat="1" ht="12.75" customHeight="1">
      <c r="B15" s="309"/>
      <c r="C15" s="413"/>
    </row>
    <row r="16" spans="1:4" s="188" customFormat="1" ht="12.75" customHeight="1">
      <c r="B16" s="372"/>
      <c r="C16" s="413"/>
    </row>
    <row r="17" spans="1:3" s="188" customFormat="1" ht="12.75" customHeight="1">
      <c r="B17" s="372"/>
      <c r="C17" s="413"/>
    </row>
    <row r="18" spans="1:3" s="188" customFormat="1" ht="12.75" customHeight="1">
      <c r="A18" s="5" t="s">
        <v>362</v>
      </c>
      <c r="B18" s="137"/>
      <c r="C18" s="409">
        <f>SUM(C14:C16)</f>
        <v>-16.350000000000001</v>
      </c>
    </row>
    <row r="19" spans="1:3" s="188" customFormat="1" ht="12.75" customHeight="1">
      <c r="A19" s="372"/>
      <c r="B19" s="414"/>
      <c r="C19" s="310"/>
    </row>
    <row r="20" spans="1:3" s="188" customFormat="1" ht="12.75" customHeight="1">
      <c r="A20" s="13" t="s">
        <v>370</v>
      </c>
      <c r="B20" s="358"/>
      <c r="C20" s="415">
        <f>+C9-C18</f>
        <v>0</v>
      </c>
    </row>
    <row r="21" spans="1:3" s="188" customFormat="1" ht="12.75" customHeight="1">
      <c r="A21" s="322"/>
      <c r="C21" s="410"/>
    </row>
    <row r="22" spans="1:3" ht="12.75" customHeight="1">
      <c r="A22" s="322"/>
      <c r="C22" s="410"/>
    </row>
    <row r="23" spans="1:3" ht="12.75" customHeight="1">
      <c r="A23" s="322"/>
      <c r="C23" s="410"/>
    </row>
    <row r="25" spans="1:3" ht="12.75" customHeight="1">
      <c r="A25" s="25" t="str">
        <f>'Cash in Hand-1020'!A26</f>
        <v>Charmaine Chan</v>
      </c>
    </row>
    <row r="26" spans="1:3" ht="12.75" customHeight="1">
      <c r="A26" s="5" t="s">
        <v>372</v>
      </c>
    </row>
    <row r="27" spans="1:3" ht="12.75" customHeight="1">
      <c r="A27" s="5"/>
    </row>
    <row r="28" spans="1:3" ht="12.75" customHeight="1">
      <c r="A28" s="5"/>
    </row>
    <row r="29" spans="1:3" ht="12.75" customHeight="1">
      <c r="A29" s="5"/>
    </row>
    <row r="30" spans="1:3" ht="12.75" customHeight="1">
      <c r="A30" s="25"/>
    </row>
    <row r="31" spans="1:3" ht="12.75" customHeight="1">
      <c r="A31" s="5" t="s">
        <v>373</v>
      </c>
    </row>
    <row r="34" spans="1:3" s="24" customFormat="1" ht="12.75" customHeight="1">
      <c r="A34"/>
      <c r="B34" s="188"/>
      <c r="C34" s="310"/>
    </row>
    <row r="35" spans="1:3" ht="12.75" customHeight="1">
      <c r="A35" s="5" t="s">
        <v>357</v>
      </c>
    </row>
    <row r="36" spans="1:3" ht="12.75" customHeight="1">
      <c r="A36" t="s">
        <v>437</v>
      </c>
      <c r="B36" s="322"/>
      <c r="C36" s="416"/>
    </row>
    <row r="37" spans="1:3" ht="12.75" customHeight="1">
      <c r="A37" t="s">
        <v>438</v>
      </c>
    </row>
  </sheetData>
  <mergeCells count="1">
    <mergeCell ref="A1:C1"/>
  </mergeCells>
  <pageMargins left="0.75" right="0.75" top="1" bottom="1" header="0.5" footer="0.5"/>
  <pageSetup paperSize="9" scale="98" orientation="landscape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D25"/>
  <sheetViews>
    <sheetView zoomScale="98" zoomScaleNormal="98" zoomScaleSheetLayoutView="98" workbookViewId="0">
      <selection activeCell="D1" sqref="D1"/>
    </sheetView>
  </sheetViews>
  <sheetFormatPr defaultColWidth="9" defaultRowHeight="12.75" customHeight="1"/>
  <cols>
    <col min="1" max="1" width="40.81640625" customWidth="1"/>
    <col min="2" max="2" width="15.81640625" customWidth="1"/>
    <col min="3" max="3" width="15.81640625" style="1" customWidth="1"/>
  </cols>
  <sheetData>
    <row r="1" spans="1:4" ht="12.75" customHeight="1">
      <c r="A1" s="473" t="s">
        <v>364</v>
      </c>
      <c r="B1" s="473"/>
      <c r="C1" s="473"/>
      <c r="D1" s="3">
        <f>'Cash at Bank-1020.100'!D1</f>
        <v>44835</v>
      </c>
    </row>
    <row r="2" spans="1:4" ht="12.75" customHeight="1">
      <c r="A2" s="5"/>
      <c r="B2" s="5"/>
      <c r="C2" s="22"/>
    </row>
    <row r="3" spans="1:4" ht="12.75" customHeight="1">
      <c r="A3" s="5" t="str">
        <f>+'AR Control-1050'!A3</f>
        <v xml:space="preserve">BALANCE AS AT </v>
      </c>
      <c r="B3" s="5"/>
      <c r="C3" s="22"/>
    </row>
    <row r="4" spans="1:4" ht="12.75" customHeight="1">
      <c r="A4" s="5"/>
      <c r="B4" s="5"/>
      <c r="C4" s="22"/>
    </row>
    <row r="5" spans="1:4" ht="12.75" customHeight="1">
      <c r="A5" s="5" t="s">
        <v>439</v>
      </c>
    </row>
    <row r="6" spans="1:4" ht="12.75" customHeight="1">
      <c r="A6" s="5"/>
    </row>
    <row r="7" spans="1:4" ht="12.75" customHeight="1">
      <c r="A7" s="5" t="s">
        <v>440</v>
      </c>
    </row>
    <row r="8" spans="1:4" ht="12.75" customHeight="1">
      <c r="C8" s="54"/>
    </row>
    <row r="9" spans="1:4" ht="12.75" customHeight="1">
      <c r="A9" s="5" t="s">
        <v>367</v>
      </c>
      <c r="B9" s="5"/>
      <c r="C9" s="8">
        <v>0</v>
      </c>
    </row>
    <row r="10" spans="1:4" ht="12.75" customHeight="1">
      <c r="C10" s="54"/>
    </row>
    <row r="11" spans="1:4" ht="12.75" customHeight="1">
      <c r="A11" s="24" t="s">
        <v>441</v>
      </c>
      <c r="C11" s="8">
        <v>0</v>
      </c>
    </row>
    <row r="12" spans="1:4" ht="12.75" customHeight="1">
      <c r="A12" t="s">
        <v>442</v>
      </c>
      <c r="C12" s="54"/>
    </row>
    <row r="13" spans="1:4" ht="12.75" customHeight="1">
      <c r="C13" s="54"/>
    </row>
    <row r="14" spans="1:4" ht="12.75" customHeight="1">
      <c r="A14" s="18" t="s">
        <v>370</v>
      </c>
      <c r="B14" s="31"/>
      <c r="C14" s="316">
        <f>+C9-C11</f>
        <v>0</v>
      </c>
    </row>
    <row r="19" spans="1:1" ht="12.75" customHeight="1">
      <c r="A19" s="25" t="str">
        <f>'Cash in Hand-1020'!A26</f>
        <v>Charmaine Chan</v>
      </c>
    </row>
    <row r="20" spans="1:1" ht="12.75" customHeight="1">
      <c r="A20" s="5" t="s">
        <v>372</v>
      </c>
    </row>
    <row r="21" spans="1:1" ht="12.75" customHeight="1">
      <c r="A21" s="5"/>
    </row>
    <row r="22" spans="1:1" ht="12.75" customHeight="1">
      <c r="A22" s="5"/>
    </row>
    <row r="23" spans="1:1" ht="12.75" customHeight="1">
      <c r="A23" s="5"/>
    </row>
    <row r="24" spans="1:1" ht="12.75" customHeight="1">
      <c r="A24" s="25"/>
    </row>
    <row r="25" spans="1:1" ht="12.75" customHeight="1">
      <c r="A25" s="5" t="s">
        <v>373</v>
      </c>
    </row>
  </sheetData>
  <mergeCells count="1">
    <mergeCell ref="A1:C1"/>
  </mergeCells>
  <pageMargins left="0.75" right="0.75" top="1" bottom="1" header="0.5" footer="0.5"/>
  <pageSetup scale="71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35"/>
  <sheetViews>
    <sheetView workbookViewId="0">
      <selection activeCell="G9" sqref="G9"/>
    </sheetView>
  </sheetViews>
  <sheetFormatPr defaultColWidth="9" defaultRowHeight="12.75" customHeight="1"/>
  <cols>
    <col min="1" max="1" width="45.54296875" customWidth="1"/>
    <col min="2" max="2" width="0.1796875" customWidth="1"/>
    <col min="3" max="3" width="15.81640625" style="1" customWidth="1"/>
    <col min="4" max="4" width="9.1796875" style="31" customWidth="1"/>
    <col min="5" max="5" width="3.81640625" customWidth="1"/>
    <col min="6" max="6" width="13.453125" hidden="1" customWidth="1"/>
    <col min="7" max="7" width="13.453125" customWidth="1"/>
  </cols>
  <sheetData>
    <row r="1" spans="1:7" ht="12.75" customHeight="1">
      <c r="A1" s="473" t="s">
        <v>364</v>
      </c>
      <c r="B1" s="473"/>
      <c r="C1" s="473"/>
      <c r="D1" s="3">
        <f>'Cash at Bank-1020.100'!D1</f>
        <v>44835</v>
      </c>
    </row>
    <row r="2" spans="1:7" ht="12.75" customHeight="1">
      <c r="A2" s="2"/>
      <c r="B2" s="2"/>
      <c r="C2" s="4"/>
    </row>
    <row r="3" spans="1:7" ht="12.75" customHeight="1">
      <c r="A3" s="5" t="str">
        <f>+'Logged Receipts-1050.300'!A3</f>
        <v xml:space="preserve">BALANCE AS AT </v>
      </c>
    </row>
    <row r="5" spans="1:7" ht="12.75" customHeight="1">
      <c r="A5" s="5" t="s">
        <v>443</v>
      </c>
    </row>
    <row r="7" spans="1:7" ht="12.75" customHeight="1">
      <c r="A7" s="5" t="s">
        <v>444</v>
      </c>
    </row>
    <row r="8" spans="1:7" ht="12.75" customHeight="1">
      <c r="A8" s="5"/>
      <c r="E8" s="26"/>
      <c r="F8" s="7">
        <v>44805</v>
      </c>
      <c r="G8" s="7">
        <f>F8+30</f>
        <v>44835</v>
      </c>
    </row>
    <row r="9" spans="1:7" ht="12.75" customHeight="1">
      <c r="A9" s="5" t="s">
        <v>367</v>
      </c>
      <c r="C9" s="8">
        <f>'Trial Balance'!F8</f>
        <v>79282.77</v>
      </c>
      <c r="E9" s="26"/>
      <c r="F9" s="116">
        <v>79282.77</v>
      </c>
      <c r="G9" s="116">
        <f>$C$9</f>
        <v>79282.77</v>
      </c>
    </row>
    <row r="10" spans="1:7" ht="12.75" customHeight="1">
      <c r="A10" s="24"/>
      <c r="E10" s="26"/>
      <c r="F10" s="12"/>
      <c r="G10" s="12"/>
    </row>
    <row r="11" spans="1:7" ht="12.75" customHeight="1">
      <c r="A11" s="24" t="s">
        <v>445</v>
      </c>
      <c r="C11" s="104">
        <f t="shared" ref="C11:C21" si="0">SUMIF($F$8:$YY$8,$D$1,F11:YY11)</f>
        <v>0</v>
      </c>
      <c r="D11" s="24" t="s">
        <v>446</v>
      </c>
      <c r="E11" s="26"/>
      <c r="F11" s="131">
        <v>64469</v>
      </c>
      <c r="G11" s="131"/>
    </row>
    <row r="12" spans="1:7" ht="12.75" customHeight="1">
      <c r="A12" s="24" t="s">
        <v>447</v>
      </c>
      <c r="C12" s="104">
        <f t="shared" si="0"/>
        <v>0</v>
      </c>
      <c r="D12" s="24" t="s">
        <v>446</v>
      </c>
      <c r="E12" s="26"/>
      <c r="F12" s="10"/>
      <c r="G12" s="10"/>
    </row>
    <row r="13" spans="1:7" ht="12.75" customHeight="1">
      <c r="A13" s="24" t="s">
        <v>448</v>
      </c>
      <c r="C13" s="104">
        <f t="shared" si="0"/>
        <v>0</v>
      </c>
      <c r="D13" s="24" t="s">
        <v>446</v>
      </c>
      <c r="E13" s="26"/>
      <c r="F13" s="10"/>
      <c r="G13" s="10"/>
    </row>
    <row r="14" spans="1:7" ht="12.75" customHeight="1">
      <c r="A14" s="175" t="s">
        <v>449</v>
      </c>
      <c r="C14" s="104">
        <f t="shared" si="0"/>
        <v>0</v>
      </c>
      <c r="D14" s="24" t="s">
        <v>446</v>
      </c>
      <c r="E14" s="38"/>
      <c r="F14" s="10"/>
      <c r="G14" s="10"/>
    </row>
    <row r="15" spans="1:7" ht="12.75" customHeight="1">
      <c r="A15" s="175" t="s">
        <v>450</v>
      </c>
      <c r="C15" s="104">
        <f t="shared" si="0"/>
        <v>0</v>
      </c>
      <c r="D15" s="24" t="s">
        <v>446</v>
      </c>
      <c r="E15" s="38"/>
      <c r="F15" s="10"/>
      <c r="G15" s="10"/>
    </row>
    <row r="16" spans="1:7" ht="12.75" customHeight="1">
      <c r="A16" s="372" t="s">
        <v>451</v>
      </c>
      <c r="C16" s="104">
        <f t="shared" si="0"/>
        <v>0</v>
      </c>
      <c r="D16" s="24" t="s">
        <v>446</v>
      </c>
      <c r="E16" s="38"/>
      <c r="F16" s="10"/>
      <c r="G16" s="10"/>
    </row>
    <row r="17" spans="1:7" ht="12.75" customHeight="1">
      <c r="A17" s="372" t="s">
        <v>452</v>
      </c>
      <c r="C17" s="104">
        <f t="shared" si="0"/>
        <v>0</v>
      </c>
      <c r="D17" s="24" t="s">
        <v>446</v>
      </c>
      <c r="E17" s="38"/>
      <c r="F17" s="10">
        <v>12662.67</v>
      </c>
      <c r="G17" s="10"/>
    </row>
    <row r="18" spans="1:7" s="24" customFormat="1" ht="12.75" customHeight="1">
      <c r="A18" s="372" t="s">
        <v>453</v>
      </c>
      <c r="C18" s="104">
        <f t="shared" si="0"/>
        <v>0</v>
      </c>
      <c r="D18" s="24" t="s">
        <v>446</v>
      </c>
      <c r="E18" s="266"/>
      <c r="F18" s="10">
        <v>0</v>
      </c>
      <c r="G18" s="10"/>
    </row>
    <row r="19" spans="1:7" s="24" customFormat="1" ht="12.75" customHeight="1">
      <c r="A19" s="372" t="s">
        <v>454</v>
      </c>
      <c r="C19" s="104">
        <f t="shared" si="0"/>
        <v>0</v>
      </c>
      <c r="D19" s="24" t="s">
        <v>446</v>
      </c>
      <c r="E19" s="266"/>
      <c r="F19" s="10"/>
      <c r="G19" s="10"/>
    </row>
    <row r="20" spans="1:7" ht="12.75" customHeight="1">
      <c r="A20" s="372" t="s">
        <v>455</v>
      </c>
      <c r="C20" s="104">
        <f t="shared" si="0"/>
        <v>0</v>
      </c>
      <c r="D20" s="24" t="s">
        <v>446</v>
      </c>
      <c r="E20" s="38"/>
      <c r="F20" s="10">
        <v>934.5</v>
      </c>
      <c r="G20" s="10"/>
    </row>
    <row r="21" spans="1:7" ht="12.75" customHeight="1">
      <c r="A21" s="405" t="s">
        <v>456</v>
      </c>
      <c r="C21" s="104">
        <f t="shared" si="0"/>
        <v>79282.77</v>
      </c>
      <c r="D21" s="24"/>
      <c r="E21" s="26"/>
      <c r="F21" s="406">
        <v>1216.6000000000058</v>
      </c>
      <c r="G21" s="406">
        <f t="shared" ref="G21" si="1">G9-SUM(G11:G20)</f>
        <v>79282.77</v>
      </c>
    </row>
    <row r="22" spans="1:7" ht="12.75" customHeight="1">
      <c r="A22" s="405"/>
      <c r="C22" s="164"/>
      <c r="E22" s="26"/>
      <c r="F22" s="12"/>
      <c r="G22" s="12"/>
    </row>
    <row r="23" spans="1:7" ht="12.75" customHeight="1">
      <c r="A23" s="5" t="s">
        <v>362</v>
      </c>
      <c r="C23" s="171">
        <f>SUM(C11:C21)</f>
        <v>79282.77</v>
      </c>
      <c r="E23" s="26"/>
      <c r="F23" s="17">
        <v>79282.77</v>
      </c>
      <c r="G23" s="17">
        <f t="shared" ref="G23" si="2">SUM(G11:G21)</f>
        <v>79282.77</v>
      </c>
    </row>
    <row r="24" spans="1:7" ht="12.75" customHeight="1">
      <c r="A24" s="218"/>
      <c r="C24" s="29"/>
      <c r="E24" s="26"/>
      <c r="F24" s="12"/>
      <c r="G24" s="12"/>
    </row>
    <row r="25" spans="1:7" ht="12.75" customHeight="1">
      <c r="A25" s="13" t="s">
        <v>370</v>
      </c>
      <c r="B25" s="271"/>
      <c r="C25" s="361">
        <f>+C9-C23</f>
        <v>0</v>
      </c>
      <c r="E25" s="26"/>
      <c r="F25" s="17">
        <v>0</v>
      </c>
      <c r="G25" s="17">
        <f t="shared" ref="G25" si="3">G23-G9</f>
        <v>0</v>
      </c>
    </row>
    <row r="26" spans="1:7" ht="12.75" customHeight="1">
      <c r="A26" s="18"/>
      <c r="B26" s="31"/>
      <c r="C26" s="316"/>
    </row>
    <row r="27" spans="1:7" ht="12.75" customHeight="1">
      <c r="A27" s="365"/>
      <c r="B27" s="31"/>
      <c r="C27" s="316"/>
    </row>
    <row r="29" spans="1:7" ht="12.75" customHeight="1">
      <c r="A29" s="25" t="str">
        <f>'Cash in Hand-1020'!A26</f>
        <v>Charmaine Chan</v>
      </c>
    </row>
    <row r="30" spans="1:7" ht="12.75" customHeight="1">
      <c r="A30" s="5" t="s">
        <v>372</v>
      </c>
    </row>
    <row r="31" spans="1:7" ht="12.75" customHeight="1">
      <c r="A31" s="5"/>
    </row>
    <row r="32" spans="1:7" ht="12.75" customHeight="1">
      <c r="A32" s="5"/>
    </row>
    <row r="33" spans="1:1" ht="12.75" customHeight="1">
      <c r="A33" s="5"/>
    </row>
    <row r="34" spans="1:1" ht="12.75" customHeight="1">
      <c r="A34" s="25"/>
    </row>
    <row r="35" spans="1:1" ht="12.75" customHeight="1">
      <c r="A35" s="5" t="s">
        <v>373</v>
      </c>
    </row>
  </sheetData>
  <mergeCells count="1">
    <mergeCell ref="A1:C1"/>
  </mergeCells>
  <pageMargins left="0.75" right="0.75" top="1" bottom="1" header="0.5" footer="0.5"/>
  <pageSetup orientation="landscape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I73"/>
  <sheetViews>
    <sheetView zoomScaleNormal="100" workbookViewId="0">
      <selection activeCell="I16" sqref="I16"/>
    </sheetView>
  </sheetViews>
  <sheetFormatPr defaultColWidth="9" defaultRowHeight="12.75" customHeight="1" outlineLevelRow="1"/>
  <cols>
    <col min="1" max="1" width="33.81640625" customWidth="1"/>
    <col min="2" max="2" width="13.81640625" customWidth="1"/>
    <col min="3" max="3" width="20.54296875" customWidth="1"/>
    <col min="4" max="4" width="14.7265625" style="373" bestFit="1" customWidth="1"/>
    <col min="5" max="5" width="7.54296875" customWidth="1"/>
    <col min="6" max="6" width="16" customWidth="1"/>
    <col min="7" max="7" width="27.81640625" customWidth="1"/>
    <col min="8" max="8" width="12.81640625" hidden="1" customWidth="1"/>
    <col min="9" max="9" width="12.81640625" customWidth="1"/>
  </cols>
  <sheetData>
    <row r="1" spans="1:9" ht="12.75" customHeight="1">
      <c r="A1" s="473" t="s">
        <v>364</v>
      </c>
      <c r="B1" s="473"/>
      <c r="C1" s="473"/>
      <c r="D1" s="473"/>
      <c r="E1" s="3">
        <f>'Cash at Bank-1020.100'!D1</f>
        <v>44835</v>
      </c>
      <c r="F1" s="3"/>
    </row>
    <row r="3" spans="1:9" ht="12.75" customHeight="1">
      <c r="A3" s="5" t="str">
        <f>+'Inv to Issue-1060'!A3</f>
        <v xml:space="preserve">BALANCE AS AT </v>
      </c>
    </row>
    <row r="4" spans="1:9" ht="12.75" customHeight="1">
      <c r="A4" s="5"/>
    </row>
    <row r="5" spans="1:9" ht="12.75" customHeight="1">
      <c r="A5" s="5" t="s">
        <v>457</v>
      </c>
    </row>
    <row r="6" spans="1:9" ht="12.75" customHeight="1">
      <c r="A6" s="5"/>
    </row>
    <row r="7" spans="1:9" ht="15.75" customHeight="1">
      <c r="A7" s="5" t="s">
        <v>458</v>
      </c>
      <c r="F7" s="60"/>
    </row>
    <row r="8" spans="1:9" ht="12.75" customHeight="1">
      <c r="E8" s="60"/>
      <c r="F8" s="60"/>
      <c r="G8" s="60"/>
      <c r="H8" s="7">
        <v>44805</v>
      </c>
      <c r="I8" s="7">
        <f>H8+30</f>
        <v>44835</v>
      </c>
    </row>
    <row r="9" spans="1:9" ht="12.75" customHeight="1">
      <c r="A9" s="5" t="str">
        <f>+'Inv to Issue-1060'!A3</f>
        <v xml:space="preserve">BALANCE AS AT </v>
      </c>
      <c r="B9" s="5"/>
      <c r="C9" s="5"/>
      <c r="D9" s="374">
        <f>'Trial Balance'!F9</f>
        <v>-26804.55</v>
      </c>
      <c r="E9" s="60"/>
      <c r="G9" s="20" t="s">
        <v>382</v>
      </c>
      <c r="H9" s="125">
        <v>-26804.55</v>
      </c>
      <c r="I9" s="125">
        <f>$D$9</f>
        <v>-26804.55</v>
      </c>
    </row>
    <row r="10" spans="1:9" ht="12.75" customHeight="1">
      <c r="A10" s="5" t="s">
        <v>459</v>
      </c>
      <c r="E10" s="60"/>
      <c r="F10" s="375"/>
      <c r="G10" s="376"/>
      <c r="H10" s="6"/>
      <c r="I10" s="6"/>
    </row>
    <row r="11" spans="1:9" ht="12.75" hidden="1" customHeight="1" outlineLevel="1">
      <c r="E11" s="377"/>
      <c r="F11" s="474" t="s">
        <v>460</v>
      </c>
      <c r="G11" s="378" t="s">
        <v>461</v>
      </c>
      <c r="H11" s="57">
        <v>-20276.065039999943</v>
      </c>
      <c r="I11" s="57">
        <f>H13+SUMIF($A$22:$A$33,I8,$B$22:$B$33)</f>
        <v>-32830.065039999943</v>
      </c>
    </row>
    <row r="12" spans="1:9" ht="12.75" hidden="1" customHeight="1" outlineLevel="1">
      <c r="B12" s="379"/>
      <c r="C12" s="380"/>
      <c r="F12" s="475"/>
      <c r="G12" s="53" t="s">
        <v>462</v>
      </c>
      <c r="H12" s="10"/>
      <c r="I12" s="10"/>
    </row>
    <row r="13" spans="1:9" ht="12.75" customHeight="1" collapsed="1">
      <c r="F13" s="476"/>
      <c r="G13" s="381" t="s">
        <v>463</v>
      </c>
      <c r="H13" s="57">
        <v>-20276.065039999943</v>
      </c>
      <c r="I13" s="57">
        <f t="shared" ref="I13" si="0">I11+I12</f>
        <v>-32830.065039999943</v>
      </c>
    </row>
    <row r="14" spans="1:9" ht="12.75" customHeight="1">
      <c r="F14" s="382"/>
      <c r="G14" s="60"/>
      <c r="H14" s="53"/>
      <c r="I14" s="53"/>
    </row>
    <row r="15" spans="1:9" ht="12.75" customHeight="1">
      <c r="F15" s="383" t="s">
        <v>464</v>
      </c>
      <c r="G15" s="384" t="s">
        <v>465</v>
      </c>
      <c r="H15" s="10">
        <v>-6527.27</v>
      </c>
      <c r="I15" s="10"/>
    </row>
    <row r="16" spans="1:9" ht="12.75" customHeight="1">
      <c r="E16" s="60"/>
      <c r="F16" s="385"/>
      <c r="G16" s="266"/>
      <c r="H16" s="57"/>
      <c r="I16" s="57"/>
    </row>
    <row r="17" spans="1:9" ht="12.75" customHeight="1">
      <c r="A17" s="5" t="s">
        <v>466</v>
      </c>
      <c r="E17" s="377"/>
      <c r="F17" s="60"/>
      <c r="G17" s="386" t="s">
        <v>362</v>
      </c>
      <c r="H17" s="387">
        <v>-26803.335039999944</v>
      </c>
      <c r="I17" s="387">
        <f t="shared" ref="I17" si="1">I13+I15</f>
        <v>-32830.065039999943</v>
      </c>
    </row>
    <row r="18" spans="1:9" ht="12.75" customHeight="1">
      <c r="F18" s="26"/>
      <c r="G18" s="115"/>
      <c r="H18" s="9"/>
      <c r="I18" s="9"/>
    </row>
    <row r="19" spans="1:9" ht="12.75" customHeight="1">
      <c r="F19" s="26"/>
      <c r="G19" s="388" t="s">
        <v>370</v>
      </c>
      <c r="H19" s="23">
        <v>-1.2149600000557257</v>
      </c>
      <c r="I19" s="23">
        <f t="shared" ref="I19" si="2">I9-I17</f>
        <v>6025.5150399999438</v>
      </c>
    </row>
    <row r="20" spans="1:9" ht="12.75" customHeight="1">
      <c r="A20" t="s">
        <v>467</v>
      </c>
      <c r="C20" s="31">
        <v>-34350.07</v>
      </c>
      <c r="G20" s="272"/>
      <c r="H20" s="389"/>
      <c r="I20" s="389"/>
    </row>
    <row r="21" spans="1:9" ht="12.75" customHeight="1">
      <c r="A21" s="24" t="s">
        <v>468</v>
      </c>
      <c r="C21" s="99">
        <f>SUM(B22:B33)</f>
        <v>-12554</v>
      </c>
      <c r="E21" s="24"/>
      <c r="G21" s="272"/>
      <c r="H21" s="389"/>
      <c r="I21" s="389"/>
    </row>
    <row r="22" spans="1:9" ht="12.75" customHeight="1" outlineLevel="1">
      <c r="A22" s="161">
        <v>44835</v>
      </c>
      <c r="B22" s="390">
        <v>-12554</v>
      </c>
      <c r="E22" s="24"/>
      <c r="G22" s="272"/>
      <c r="H22" s="389"/>
      <c r="I22" s="389"/>
    </row>
    <row r="23" spans="1:9" ht="12.75" customHeight="1" outlineLevel="1">
      <c r="A23" s="161">
        <v>44866</v>
      </c>
      <c r="B23" s="390"/>
      <c r="E23" s="24"/>
      <c r="G23" s="272"/>
      <c r="H23" s="389"/>
      <c r="I23" s="389"/>
    </row>
    <row r="24" spans="1:9" ht="12.75" customHeight="1" outlineLevel="1">
      <c r="A24" s="161">
        <v>44896</v>
      </c>
      <c r="B24" s="390"/>
      <c r="G24" s="272"/>
      <c r="H24" s="389"/>
      <c r="I24" s="389"/>
    </row>
    <row r="25" spans="1:9" ht="12.75" customHeight="1" outlineLevel="1">
      <c r="A25" s="161">
        <v>44927</v>
      </c>
      <c r="B25" s="390"/>
    </row>
    <row r="26" spans="1:9" ht="12.75" customHeight="1" outlineLevel="1">
      <c r="A26" s="161">
        <v>44958</v>
      </c>
      <c r="B26" s="390"/>
    </row>
    <row r="27" spans="1:9" ht="12.75" customHeight="1" outlineLevel="1">
      <c r="A27" s="161">
        <v>44986</v>
      </c>
      <c r="B27" s="390"/>
    </row>
    <row r="28" spans="1:9" ht="12.75" customHeight="1" outlineLevel="1">
      <c r="A28" s="161">
        <v>45017</v>
      </c>
      <c r="B28" s="390"/>
    </row>
    <row r="29" spans="1:9" ht="12.75" customHeight="1" outlineLevel="1">
      <c r="A29" s="161">
        <v>45047</v>
      </c>
      <c r="B29" s="390"/>
    </row>
    <row r="30" spans="1:9" ht="12.75" customHeight="1" outlineLevel="1">
      <c r="A30" s="161">
        <v>45078</v>
      </c>
      <c r="B30" s="390"/>
    </row>
    <row r="31" spans="1:9" ht="12.75" customHeight="1" outlineLevel="1">
      <c r="A31" s="161">
        <v>45108</v>
      </c>
      <c r="B31" s="390"/>
    </row>
    <row r="32" spans="1:9" ht="12.75" customHeight="1" outlineLevel="1">
      <c r="A32" s="161">
        <v>45139</v>
      </c>
      <c r="B32" s="390"/>
    </row>
    <row r="33" spans="1:7" ht="12.75" customHeight="1" outlineLevel="1">
      <c r="A33" s="161">
        <v>45170</v>
      </c>
      <c r="B33" s="390"/>
    </row>
    <row r="34" spans="1:7" ht="12.75" customHeight="1">
      <c r="A34" s="157"/>
      <c r="B34" s="31"/>
    </row>
    <row r="35" spans="1:7" ht="12.75" customHeight="1">
      <c r="A35" t="s">
        <v>469</v>
      </c>
      <c r="C35" s="99">
        <f>SUM(H12:ZA12)</f>
        <v>0</v>
      </c>
    </row>
    <row r="37" spans="1:7" ht="12.75" customHeight="1">
      <c r="A37" s="5" t="s">
        <v>470</v>
      </c>
      <c r="B37" s="5"/>
      <c r="C37" s="391">
        <f>C20+C21+C35</f>
        <v>-46904.07</v>
      </c>
    </row>
    <row r="40" spans="1:7" ht="12.75" customHeight="1">
      <c r="A40" s="5" t="s">
        <v>471</v>
      </c>
      <c r="C40" s="274">
        <f>-SUM(B41:B58)</f>
        <v>-6527.27</v>
      </c>
    </row>
    <row r="41" spans="1:7" ht="12.75" customHeight="1">
      <c r="A41" s="24"/>
    </row>
    <row r="42" spans="1:7" s="28" customFormat="1" ht="12.75" customHeight="1">
      <c r="A42" s="33" t="s">
        <v>472</v>
      </c>
      <c r="B42" s="31">
        <v>1000</v>
      </c>
      <c r="C42" s="392"/>
      <c r="D42" s="393"/>
      <c r="E42" s="33"/>
      <c r="F42" s="394"/>
      <c r="G42" s="395"/>
    </row>
    <row r="43" spans="1:7" s="28" customFormat="1" ht="12.75" customHeight="1">
      <c r="A43" s="396" t="s">
        <v>473</v>
      </c>
      <c r="B43" s="51">
        <v>2000</v>
      </c>
      <c r="C43" s="392"/>
      <c r="D43" s="397"/>
      <c r="G43" s="395"/>
    </row>
    <row r="44" spans="1:7" s="28" customFormat="1" ht="12.75" customHeight="1">
      <c r="A44" s="396" t="s">
        <v>474</v>
      </c>
      <c r="B44" s="51">
        <v>205</v>
      </c>
      <c r="C44" s="393"/>
      <c r="E44" s="33"/>
      <c r="F44" s="398"/>
      <c r="G44" s="395"/>
    </row>
    <row r="45" spans="1:7" ht="12.75" customHeight="1">
      <c r="A45" s="205" t="s">
        <v>475</v>
      </c>
      <c r="B45" s="51">
        <v>20.3</v>
      </c>
      <c r="C45" s="393"/>
      <c r="E45" s="33"/>
      <c r="F45" s="398"/>
      <c r="G45" s="399"/>
    </row>
    <row r="46" spans="1:7" ht="12.75" customHeight="1">
      <c r="A46" s="205" t="s">
        <v>867</v>
      </c>
      <c r="B46" s="51">
        <v>1056.8399999999999</v>
      </c>
      <c r="C46" s="400"/>
      <c r="D46" s="393"/>
      <c r="E46" s="33"/>
      <c r="F46" s="398"/>
      <c r="G46" s="399"/>
    </row>
    <row r="47" spans="1:7" ht="12.75" customHeight="1">
      <c r="A47" s="401" t="s">
        <v>476</v>
      </c>
      <c r="B47" s="51">
        <v>259.88</v>
      </c>
      <c r="C47" s="400"/>
      <c r="D47" s="393"/>
      <c r="E47" s="33"/>
      <c r="F47" s="398"/>
      <c r="G47" s="399"/>
    </row>
    <row r="48" spans="1:7" ht="12.75" customHeight="1">
      <c r="A48" s="454" t="s">
        <v>868</v>
      </c>
      <c r="B48" s="51">
        <v>525.34</v>
      </c>
      <c r="C48" s="402"/>
      <c r="G48" s="399"/>
    </row>
    <row r="49" spans="1:7" ht="12.75" customHeight="1">
      <c r="A49" s="401" t="s">
        <v>868</v>
      </c>
      <c r="B49" s="51">
        <v>575.61</v>
      </c>
      <c r="C49" s="372"/>
      <c r="G49" s="399"/>
    </row>
    <row r="50" spans="1:7" ht="12.75" customHeight="1">
      <c r="A50" s="401" t="s">
        <v>868</v>
      </c>
      <c r="B50" s="51">
        <v>884.3</v>
      </c>
      <c r="C50" s="372"/>
      <c r="G50" s="399"/>
    </row>
    <row r="51" spans="1:7" ht="12.75" customHeight="1">
      <c r="A51" s="401"/>
      <c r="B51" s="51"/>
      <c r="C51" s="372"/>
      <c r="G51" s="399"/>
    </row>
    <row r="52" spans="1:7" ht="12.75" customHeight="1">
      <c r="A52" s="401"/>
      <c r="B52" s="28"/>
      <c r="C52" s="372"/>
      <c r="G52" s="399"/>
    </row>
    <row r="53" spans="1:7" ht="12.75" customHeight="1">
      <c r="A53" s="401"/>
      <c r="B53" s="28"/>
      <c r="C53" s="372"/>
      <c r="G53" s="399"/>
    </row>
    <row r="54" spans="1:7" ht="12.75" customHeight="1">
      <c r="A54" s="401"/>
      <c r="B54" s="28"/>
      <c r="C54" s="372"/>
      <c r="G54" s="399"/>
    </row>
    <row r="55" spans="1:7" ht="12.75" customHeight="1">
      <c r="A55" s="401"/>
      <c r="B55" s="28"/>
      <c r="C55" s="372"/>
      <c r="G55" s="399"/>
    </row>
    <row r="56" spans="1:7" ht="12.75" customHeight="1">
      <c r="A56" s="401"/>
      <c r="B56" s="28"/>
      <c r="C56" s="372"/>
      <c r="G56" s="399"/>
    </row>
    <row r="57" spans="1:7" ht="12.75" customHeight="1">
      <c r="A57" s="401"/>
      <c r="B57" s="310"/>
      <c r="C57" s="372"/>
      <c r="G57" s="399"/>
    </row>
    <row r="58" spans="1:7" ht="12.75" customHeight="1">
      <c r="A58" s="401"/>
      <c r="B58" s="310"/>
      <c r="C58" s="372"/>
      <c r="G58" s="399"/>
    </row>
    <row r="59" spans="1:7" ht="12.75" customHeight="1">
      <c r="A59" s="401"/>
      <c r="B59" s="401"/>
      <c r="D59" s="374">
        <f>C37+C40</f>
        <v>-53431.34</v>
      </c>
    </row>
    <row r="60" spans="1:7" ht="12.75" customHeight="1">
      <c r="C60" s="5"/>
    </row>
    <row r="61" spans="1:7" ht="12.75" customHeight="1">
      <c r="A61" s="13" t="s">
        <v>370</v>
      </c>
      <c r="B61" s="14"/>
      <c r="D61" s="403">
        <f>+D9-D59</f>
        <v>26626.789999999997</v>
      </c>
    </row>
    <row r="62" spans="1:7" ht="12.75" customHeight="1">
      <c r="C62" s="14"/>
    </row>
    <row r="64" spans="1:7" ht="12.75" customHeight="1">
      <c r="A64" s="25" t="str">
        <f>'Cash in Hand-1020'!A26</f>
        <v>Charmaine Chan</v>
      </c>
    </row>
    <row r="65" spans="1:3" ht="12.75" customHeight="1">
      <c r="A65" s="5" t="s">
        <v>372</v>
      </c>
    </row>
    <row r="66" spans="1:3" ht="12.75" customHeight="1">
      <c r="A66" s="5"/>
    </row>
    <row r="67" spans="1:3" ht="12.75" customHeight="1">
      <c r="A67" s="5"/>
    </row>
    <row r="68" spans="1:3" ht="12.75" customHeight="1">
      <c r="A68" s="5"/>
    </row>
    <row r="69" spans="1:3" ht="12.75" customHeight="1">
      <c r="A69" s="25"/>
    </row>
    <row r="70" spans="1:3" ht="12.75" customHeight="1">
      <c r="A70" s="5" t="s">
        <v>373</v>
      </c>
    </row>
    <row r="71" spans="1:3" ht="12.75" customHeight="1">
      <c r="A71" s="322"/>
      <c r="B71" s="178"/>
      <c r="C71" s="31"/>
    </row>
    <row r="72" spans="1:3" ht="12.75" customHeight="1">
      <c r="A72" s="161"/>
      <c r="C72" s="404"/>
    </row>
    <row r="73" spans="1:3" ht="12.75" customHeight="1">
      <c r="C73" s="31"/>
    </row>
  </sheetData>
  <mergeCells count="2">
    <mergeCell ref="A1:D1"/>
    <mergeCell ref="F11:F13"/>
  </mergeCells>
  <pageMargins left="0.75" right="0.75" top="1" bottom="1" header="0.5" footer="0.5"/>
  <pageSetup scale="55" orientation="landscape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G29"/>
  <sheetViews>
    <sheetView workbookViewId="0">
      <selection activeCell="Q1" sqref="Q1:Q1048576"/>
    </sheetView>
  </sheetViews>
  <sheetFormatPr defaultColWidth="9" defaultRowHeight="12.75" customHeight="1"/>
  <cols>
    <col min="1" max="1" width="40.453125" customWidth="1"/>
    <col min="2" max="2" width="14.81640625" customWidth="1"/>
    <col min="3" max="3" width="14.54296875" style="1" customWidth="1"/>
    <col min="5" max="5" width="4.81640625" customWidth="1"/>
    <col min="6" max="6" width="12.1796875" hidden="1" customWidth="1"/>
    <col min="7" max="7" width="12.1796875" customWidth="1"/>
  </cols>
  <sheetData>
    <row r="1" spans="1:7" ht="12.75" customHeight="1">
      <c r="A1" s="473" t="s">
        <v>364</v>
      </c>
      <c r="B1" s="473"/>
      <c r="C1" s="473"/>
      <c r="D1" s="3">
        <f>'Cash at Bank-1020.100'!D1</f>
        <v>44835</v>
      </c>
    </row>
    <row r="2" spans="1:7" ht="12.75" customHeight="1">
      <c r="B2" s="314"/>
    </row>
    <row r="3" spans="1:7" ht="12.75" customHeight="1">
      <c r="A3" s="5" t="str">
        <f>+'Credit Notes to Issue-1070'!A3</f>
        <v xml:space="preserve">BALANCE AS AT </v>
      </c>
      <c r="B3" s="314"/>
    </row>
    <row r="4" spans="1:7" ht="12.75" customHeight="1">
      <c r="A4" s="5"/>
      <c r="B4" s="314"/>
    </row>
    <row r="5" spans="1:7" ht="12.75" customHeight="1">
      <c r="A5" s="5" t="s">
        <v>477</v>
      </c>
      <c r="B5" s="314"/>
    </row>
    <row r="6" spans="1:7" ht="12.75" customHeight="1">
      <c r="A6" s="5"/>
      <c r="B6" s="314"/>
    </row>
    <row r="7" spans="1:7" ht="12.75" customHeight="1">
      <c r="A7" s="5" t="s">
        <v>478</v>
      </c>
      <c r="B7" s="314"/>
    </row>
    <row r="8" spans="1:7" ht="12.75" customHeight="1">
      <c r="B8" s="314"/>
      <c r="E8" s="26"/>
      <c r="F8" s="7">
        <v>44805</v>
      </c>
      <c r="G8" s="7">
        <f>F8+30</f>
        <v>44835</v>
      </c>
    </row>
    <row r="9" spans="1:7" ht="12.75" customHeight="1">
      <c r="A9" s="5" t="s">
        <v>367</v>
      </c>
      <c r="B9" s="270"/>
      <c r="C9" s="8">
        <f>'Trial Balance'!F10</f>
        <v>-23800.79</v>
      </c>
      <c r="E9" s="26"/>
      <c r="F9" s="116">
        <v>-23800.79</v>
      </c>
      <c r="G9" s="116">
        <f>$C$9</f>
        <v>-23800.79</v>
      </c>
    </row>
    <row r="10" spans="1:7" ht="12.75" customHeight="1">
      <c r="B10" s="314"/>
      <c r="C10" s="54"/>
      <c r="E10" s="26"/>
      <c r="F10" s="12"/>
      <c r="G10" s="12"/>
    </row>
    <row r="11" spans="1:7" ht="12.75" customHeight="1">
      <c r="A11" s="477" t="s">
        <v>479</v>
      </c>
      <c r="B11" s="477"/>
      <c r="C11"/>
      <c r="E11" s="26"/>
      <c r="F11" s="12"/>
      <c r="G11" s="12"/>
    </row>
    <row r="12" spans="1:7" ht="12.75" customHeight="1">
      <c r="A12" s="477"/>
      <c r="B12" s="477"/>
      <c r="C12" s="162">
        <f>SUMIF(F8:ZA8,D1,F12:ZA12)</f>
        <v>-23800.786363636362</v>
      </c>
      <c r="E12" s="26"/>
      <c r="F12" s="131">
        <v>-23800.786363636362</v>
      </c>
      <c r="G12" s="131">
        <f>-'[2]ARTB Provision September 2022'!$O$592</f>
        <v>-23800.786363636362</v>
      </c>
    </row>
    <row r="13" spans="1:7" ht="12.75" customHeight="1">
      <c r="A13" s="5"/>
      <c r="B13" s="314"/>
      <c r="C13" s="54"/>
      <c r="E13" s="26"/>
      <c r="F13" s="57"/>
      <c r="G13" s="57"/>
    </row>
    <row r="14" spans="1:7" ht="12.75" customHeight="1">
      <c r="A14" s="5" t="s">
        <v>480</v>
      </c>
      <c r="B14" s="314"/>
      <c r="C14" s="172">
        <f>C9-C12</f>
        <v>-3.6363636390888132E-3</v>
      </c>
      <c r="E14" s="26"/>
      <c r="F14" s="370">
        <v>-3.6363636390888132E-3</v>
      </c>
      <c r="G14" s="370">
        <f t="shared" ref="G14" si="0">G9-G12</f>
        <v>-3.6363636390888132E-3</v>
      </c>
    </row>
    <row r="15" spans="1:7" ht="12.75" customHeight="1">
      <c r="A15" s="33"/>
      <c r="B15" s="369"/>
      <c r="C15" s="55"/>
      <c r="E15" s="26"/>
      <c r="F15" s="12"/>
      <c r="G15" s="12"/>
    </row>
    <row r="16" spans="1:7" ht="12.75" customHeight="1">
      <c r="A16" s="30" t="s">
        <v>362</v>
      </c>
      <c r="B16" s="371"/>
      <c r="C16" s="171">
        <f>SUM(C12:C15)</f>
        <v>-23800.79</v>
      </c>
      <c r="E16" s="26"/>
      <c r="F16" s="21">
        <v>-23800.79</v>
      </c>
      <c r="G16" s="21">
        <f t="shared" ref="G16" si="1">SUM(G12:G14)</f>
        <v>-23800.79</v>
      </c>
    </row>
    <row r="17" spans="1:7" ht="12.75" customHeight="1">
      <c r="A17" s="28"/>
      <c r="B17" s="369"/>
      <c r="C17" s="171"/>
      <c r="E17" s="26"/>
      <c r="F17" s="12"/>
      <c r="G17" s="12"/>
    </row>
    <row r="18" spans="1:7" ht="12.75" customHeight="1">
      <c r="A18" s="13" t="s">
        <v>370</v>
      </c>
      <c r="B18" s="352"/>
      <c r="C18" s="160">
        <f>C9-C16</f>
        <v>0</v>
      </c>
      <c r="E18" s="26"/>
      <c r="F18" s="17">
        <v>0</v>
      </c>
      <c r="G18" s="17">
        <f t="shared" ref="G18" si="2">G9-G16</f>
        <v>0</v>
      </c>
    </row>
    <row r="19" spans="1:7" ht="12.75" customHeight="1">
      <c r="A19" s="30"/>
      <c r="B19" s="369"/>
      <c r="C19" s="104"/>
    </row>
    <row r="22" spans="1:7" ht="12.75" customHeight="1">
      <c r="B22" s="314"/>
    </row>
    <row r="23" spans="1:7" ht="12.75" customHeight="1">
      <c r="A23" s="25" t="str">
        <f>'Cash in Hand-1020'!A26</f>
        <v>Charmaine Chan</v>
      </c>
      <c r="B23" s="314"/>
    </row>
    <row r="24" spans="1:7" ht="12.75" customHeight="1">
      <c r="A24" s="5" t="s">
        <v>372</v>
      </c>
      <c r="B24" s="314"/>
    </row>
    <row r="25" spans="1:7" ht="12.75" customHeight="1">
      <c r="A25" s="5"/>
    </row>
    <row r="26" spans="1:7" ht="12.75" customHeight="1">
      <c r="A26" s="5"/>
    </row>
    <row r="27" spans="1:7" ht="12.75" customHeight="1">
      <c r="A27" s="5"/>
    </row>
    <row r="28" spans="1:7" ht="12.75" customHeight="1">
      <c r="A28" s="25"/>
    </row>
    <row r="29" spans="1:7" ht="12.75" customHeight="1">
      <c r="A29" s="5" t="s">
        <v>373</v>
      </c>
    </row>
  </sheetData>
  <mergeCells count="2">
    <mergeCell ref="A1:C1"/>
    <mergeCell ref="A11:B12"/>
  </mergeCells>
  <pageMargins left="0.75" right="0.75" top="1" bottom="1" header="0.5" footer="0.5"/>
  <pageSetup orientation="landscape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I41"/>
  <sheetViews>
    <sheetView workbookViewId="0">
      <selection activeCell="G31" sqref="G31"/>
    </sheetView>
  </sheetViews>
  <sheetFormatPr defaultColWidth="9" defaultRowHeight="12.75" customHeight="1"/>
  <cols>
    <col min="1" max="1" width="27.453125" customWidth="1"/>
    <col min="2" max="2" width="31.54296875" style="151" customWidth="1"/>
    <col min="3" max="3" width="15.81640625" style="1" customWidth="1"/>
    <col min="4" max="4" width="17.453125" customWidth="1"/>
    <col min="6" max="6" width="13.81640625" customWidth="1"/>
  </cols>
  <sheetData>
    <row r="1" spans="1:9" ht="12.75" customHeight="1">
      <c r="A1" s="473" t="s">
        <v>364</v>
      </c>
      <c r="B1" s="473"/>
      <c r="C1" s="473"/>
    </row>
    <row r="3" spans="1:9" ht="12.75" customHeight="1">
      <c r="A3" s="5" t="str">
        <f>+'Provision for Bad Debts-1080'!A3</f>
        <v xml:space="preserve">BALANCE AS AT </v>
      </c>
    </row>
    <row r="4" spans="1:9" ht="12.75" customHeight="1">
      <c r="A4" s="5"/>
    </row>
    <row r="5" spans="1:9" ht="12.75" customHeight="1">
      <c r="A5" s="5" t="s">
        <v>481</v>
      </c>
    </row>
    <row r="6" spans="1:9" ht="12.75" customHeight="1">
      <c r="A6" s="5"/>
    </row>
    <row r="7" spans="1:9" ht="12.75" customHeight="1">
      <c r="A7" s="448" t="s">
        <v>482</v>
      </c>
    </row>
    <row r="8" spans="1:9" ht="12.75" customHeight="1">
      <c r="A8" s="137"/>
    </row>
    <row r="9" spans="1:9" ht="12.75" customHeight="1">
      <c r="A9" s="5" t="s">
        <v>367</v>
      </c>
      <c r="B9" s="153"/>
      <c r="C9" s="22" t="e">
        <f>'Trial Balance'!#REF!</f>
        <v>#REF!</v>
      </c>
    </row>
    <row r="11" spans="1:9" ht="12.75" customHeight="1">
      <c r="A11" s="5" t="s">
        <v>483</v>
      </c>
    </row>
    <row r="12" spans="1:9" ht="12.75" customHeight="1">
      <c r="A12" s="362"/>
      <c r="B12" s="363"/>
      <c r="C12" s="104"/>
      <c r="D12" s="315"/>
    </row>
    <row r="14" spans="1:9" ht="12.75" customHeight="1">
      <c r="A14" s="105"/>
      <c r="B14" s="363"/>
      <c r="C14" s="104"/>
    </row>
    <row r="15" spans="1:9" ht="12.75" customHeight="1">
      <c r="A15" s="105"/>
      <c r="B15" s="363"/>
      <c r="C15" s="104"/>
      <c r="D15" s="364"/>
      <c r="F15" s="315"/>
    </row>
    <row r="16" spans="1:9" ht="12.75" customHeight="1">
      <c r="A16" s="105"/>
      <c r="B16" s="363"/>
      <c r="C16" s="104"/>
      <c r="D16" s="364"/>
      <c r="H16" s="365"/>
      <c r="I16" s="365"/>
    </row>
    <row r="17" spans="1:4" ht="12.75" customHeight="1">
      <c r="A17" s="105"/>
      <c r="B17" s="363"/>
      <c r="C17" s="104"/>
      <c r="D17" s="364"/>
    </row>
    <row r="18" spans="1:4" ht="12.75" customHeight="1">
      <c r="A18" s="366"/>
      <c r="B18" s="367"/>
      <c r="C18" s="154"/>
    </row>
    <row r="19" spans="1:4" ht="12.75" customHeight="1">
      <c r="A19" s="5" t="s">
        <v>362</v>
      </c>
      <c r="B19" s="368"/>
      <c r="C19" s="155">
        <f>SUM(C10:C18)</f>
        <v>0</v>
      </c>
    </row>
    <row r="20" spans="1:4" ht="12.75" customHeight="1">
      <c r="A20" s="5"/>
    </row>
    <row r="21" spans="1:4" ht="12.75" customHeight="1">
      <c r="A21" s="18" t="s">
        <v>370</v>
      </c>
      <c r="B21" s="369"/>
      <c r="C21" s="55" t="e">
        <f>C9-C19</f>
        <v>#REF!</v>
      </c>
    </row>
    <row r="22" spans="1:4" ht="12.75" customHeight="1">
      <c r="A22" s="175"/>
    </row>
    <row r="26" spans="1:4" ht="12.75" customHeight="1">
      <c r="A26" s="25" t="str">
        <f>'Cash in Hand-1020'!A26</f>
        <v>Charmaine Chan</v>
      </c>
    </row>
    <row r="27" spans="1:4" ht="12.75" customHeight="1">
      <c r="A27" s="5" t="s">
        <v>372</v>
      </c>
    </row>
    <row r="28" spans="1:4" ht="12.75" customHeight="1">
      <c r="A28" s="5"/>
    </row>
    <row r="29" spans="1:4" ht="12.75" customHeight="1">
      <c r="A29" s="5"/>
    </row>
    <row r="30" spans="1:4" ht="12.75" customHeight="1">
      <c r="A30" s="5"/>
    </row>
    <row r="31" spans="1:4" ht="12.75" customHeight="1">
      <c r="A31" s="25"/>
    </row>
    <row r="32" spans="1:4" ht="12.75" customHeight="1">
      <c r="A32" s="5" t="s">
        <v>373</v>
      </c>
    </row>
    <row r="36" spans="1:2" ht="12.75" customHeight="1">
      <c r="A36" s="105"/>
      <c r="B36" s="363"/>
    </row>
    <row r="41" spans="1:2" ht="12.75" customHeight="1">
      <c r="A41" s="105"/>
      <c r="B41" s="363"/>
    </row>
  </sheetData>
  <mergeCells count="1">
    <mergeCell ref="A1:C1"/>
  </mergeCells>
  <pageMargins left="0.74803149606299202" right="0.74803149606299202" top="0.98425196850393704" bottom="0.98425196850393704" header="0.511811023622047" footer="0.511811023622047"/>
  <pageSetup paperSize="9" orientation="portrait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R32"/>
  <sheetViews>
    <sheetView workbookViewId="0">
      <selection activeCell="T20" sqref="T20"/>
    </sheetView>
  </sheetViews>
  <sheetFormatPr defaultColWidth="9" defaultRowHeight="12.5" outlineLevelCol="1"/>
  <cols>
    <col min="1" max="1" width="35.1796875" customWidth="1"/>
    <col min="2" max="2" width="6" customWidth="1"/>
    <col min="3" max="3" width="15.81640625" style="189" customWidth="1"/>
    <col min="5" max="5" width="16" customWidth="1"/>
    <col min="6" max="12" width="12.453125" customWidth="1"/>
    <col min="13" max="17" width="12.453125" hidden="1" customWidth="1" outlineLevel="1"/>
    <col min="18" max="18" width="9.1796875" customWidth="1" collapsed="1"/>
  </cols>
  <sheetData>
    <row r="1" spans="1:17" ht="12.75" customHeight="1">
      <c r="A1" s="473" t="s">
        <v>364</v>
      </c>
      <c r="B1" s="473"/>
      <c r="C1" s="473"/>
    </row>
    <row r="2" spans="1:17" ht="12.75" customHeight="1"/>
    <row r="3" spans="1:17" ht="12.75" customHeight="1">
      <c r="A3" s="5" t="str">
        <f>'Cash at Bank-1020.100'!A3</f>
        <v xml:space="preserve">BALANCE AS AT </v>
      </c>
    </row>
    <row r="4" spans="1:17" ht="12.75" customHeight="1"/>
    <row r="5" spans="1:17" ht="12.75" customHeight="1">
      <c r="A5" s="5" t="s">
        <v>484</v>
      </c>
    </row>
    <row r="6" spans="1:17" ht="12.75" customHeight="1">
      <c r="A6" s="5"/>
    </row>
    <row r="7" spans="1:17" ht="12.75" customHeight="1">
      <c r="A7" s="5" t="s">
        <v>485</v>
      </c>
    </row>
    <row r="8" spans="1:17" ht="12.75" customHeight="1">
      <c r="A8" s="5"/>
      <c r="B8" s="5"/>
      <c r="C8" s="190"/>
      <c r="E8" s="6"/>
      <c r="F8" s="7">
        <v>43739</v>
      </c>
      <c r="G8" s="7">
        <v>43770</v>
      </c>
      <c r="H8" s="7">
        <v>43800</v>
      </c>
      <c r="I8" s="7">
        <v>43831</v>
      </c>
      <c r="J8" s="7">
        <v>43862</v>
      </c>
      <c r="K8" s="7">
        <v>43891</v>
      </c>
      <c r="L8" s="7">
        <v>43922</v>
      </c>
      <c r="M8" s="7">
        <v>43952</v>
      </c>
      <c r="N8" s="7">
        <v>43983</v>
      </c>
      <c r="O8" s="7">
        <v>44013</v>
      </c>
      <c r="P8" s="7">
        <v>44044</v>
      </c>
      <c r="Q8" s="7">
        <v>44075</v>
      </c>
    </row>
    <row r="9" spans="1:17" ht="12.75" customHeight="1">
      <c r="A9" s="5" t="s">
        <v>367</v>
      </c>
      <c r="B9" s="5"/>
      <c r="C9" s="190" t="e">
        <f>'Trial Balance'!#REF!</f>
        <v>#REF!</v>
      </c>
      <c r="E9" s="9"/>
      <c r="F9" s="116">
        <v>0</v>
      </c>
      <c r="G9" s="116">
        <f>D8</f>
        <v>0</v>
      </c>
      <c r="H9" s="116">
        <v>0</v>
      </c>
      <c r="I9" s="116">
        <v>-1679.7</v>
      </c>
      <c r="J9" s="116">
        <v>-2057.6999999999998</v>
      </c>
      <c r="K9" s="116">
        <v>-2057.6999999999998</v>
      </c>
      <c r="L9" s="116" t="e">
        <f>C9</f>
        <v>#REF!</v>
      </c>
      <c r="M9" s="116"/>
      <c r="N9" s="116"/>
      <c r="O9" s="116"/>
      <c r="P9" s="116"/>
      <c r="Q9" s="116"/>
    </row>
    <row r="10" spans="1:17" ht="12.75" customHeight="1"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</row>
    <row r="11" spans="1:17" ht="12.75" customHeight="1">
      <c r="A11" s="5" t="s">
        <v>486</v>
      </c>
      <c r="E11" s="9" t="s">
        <v>369</v>
      </c>
      <c r="F11" s="10"/>
      <c r="G11" s="10"/>
      <c r="H11" s="10"/>
      <c r="I11" s="10">
        <v>-1679.7</v>
      </c>
      <c r="J11" s="10">
        <v>-2057.6999999999998</v>
      </c>
      <c r="K11" s="10">
        <v>-2057.6999999999998</v>
      </c>
      <c r="L11" s="10">
        <v>0</v>
      </c>
      <c r="M11" s="10"/>
      <c r="N11" s="10"/>
      <c r="O11" s="10"/>
      <c r="P11" s="10"/>
      <c r="Q11" s="10"/>
    </row>
    <row r="12" spans="1:17" ht="12.75" customHeight="1">
      <c r="A12" s="24"/>
      <c r="E12" s="9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ht="12.75" customHeight="1">
      <c r="A13" s="24"/>
      <c r="E13" s="9"/>
      <c r="F13" s="360"/>
      <c r="G13" s="360"/>
      <c r="H13" s="360"/>
      <c r="I13" s="360"/>
      <c r="J13" s="360"/>
      <c r="K13" s="360"/>
      <c r="L13" s="360"/>
      <c r="M13" s="360"/>
      <c r="N13" s="360"/>
      <c r="O13" s="360"/>
      <c r="P13" s="360"/>
      <c r="Q13" s="360"/>
    </row>
    <row r="14" spans="1:17" ht="12.75" customHeight="1">
      <c r="A14" s="24"/>
      <c r="E14" s="47" t="s">
        <v>362</v>
      </c>
      <c r="F14" s="23">
        <f t="shared" ref="F14:Q14" si="0">SUM(F11:F12)</f>
        <v>0</v>
      </c>
      <c r="G14" s="23">
        <f t="shared" si="0"/>
        <v>0</v>
      </c>
      <c r="H14" s="23">
        <f t="shared" si="0"/>
        <v>0</v>
      </c>
      <c r="I14" s="23">
        <f t="shared" si="0"/>
        <v>-1679.7</v>
      </c>
      <c r="J14" s="23">
        <f t="shared" si="0"/>
        <v>-2057.6999999999998</v>
      </c>
      <c r="K14" s="23">
        <f t="shared" si="0"/>
        <v>-2057.6999999999998</v>
      </c>
      <c r="L14" s="23">
        <f t="shared" si="0"/>
        <v>0</v>
      </c>
      <c r="M14" s="23">
        <f t="shared" si="0"/>
        <v>0</v>
      </c>
      <c r="N14" s="23">
        <f t="shared" si="0"/>
        <v>0</v>
      </c>
      <c r="O14" s="23">
        <f t="shared" si="0"/>
        <v>0</v>
      </c>
      <c r="P14" s="23">
        <f t="shared" si="0"/>
        <v>0</v>
      </c>
      <c r="Q14" s="23">
        <f t="shared" si="0"/>
        <v>0</v>
      </c>
    </row>
    <row r="15" spans="1:17" ht="12.75" customHeight="1">
      <c r="A15" s="24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6" spans="1:17" ht="12.75" customHeight="1">
      <c r="A16" s="24"/>
      <c r="E16" s="47" t="s">
        <v>370</v>
      </c>
      <c r="F16" s="23">
        <f t="shared" ref="F16:Q16" si="1">F14-F9</f>
        <v>0</v>
      </c>
      <c r="G16" s="23">
        <f t="shared" si="1"/>
        <v>0</v>
      </c>
      <c r="H16" s="23">
        <f t="shared" si="1"/>
        <v>0</v>
      </c>
      <c r="I16" s="23">
        <f t="shared" si="1"/>
        <v>0</v>
      </c>
      <c r="J16" s="23">
        <f t="shared" si="1"/>
        <v>0</v>
      </c>
      <c r="K16" s="23">
        <f t="shared" si="1"/>
        <v>0</v>
      </c>
      <c r="L16" s="23" t="e">
        <f t="shared" si="1"/>
        <v>#REF!</v>
      </c>
      <c r="M16" s="23">
        <f t="shared" si="1"/>
        <v>0</v>
      </c>
      <c r="N16" s="23">
        <f t="shared" si="1"/>
        <v>0</v>
      </c>
      <c r="O16" s="23">
        <f t="shared" si="1"/>
        <v>0</v>
      </c>
      <c r="P16" s="23">
        <f t="shared" si="1"/>
        <v>0</v>
      </c>
      <c r="Q16" s="23">
        <f t="shared" si="1"/>
        <v>0</v>
      </c>
    </row>
    <row r="17" spans="1:3" ht="12.75" customHeight="1">
      <c r="A17" s="24"/>
    </row>
    <row r="18" spans="1:3" ht="12.75" customHeight="1"/>
    <row r="19" spans="1:3" ht="12.75" customHeight="1">
      <c r="A19" s="5" t="s">
        <v>362</v>
      </c>
      <c r="C19" s="190">
        <f>SUM(C12:C18)</f>
        <v>0</v>
      </c>
    </row>
    <row r="20" spans="1:3" ht="12.75" customHeight="1"/>
    <row r="21" spans="1:3" ht="12.75" customHeight="1">
      <c r="A21" s="13" t="s">
        <v>370</v>
      </c>
      <c r="B21" s="271"/>
      <c r="C21" s="361" t="e">
        <f>+C9-C19</f>
        <v>#REF!</v>
      </c>
    </row>
    <row r="22" spans="1:3" ht="12.75" customHeight="1"/>
    <row r="23" spans="1:3" ht="12.75" customHeight="1"/>
    <row r="24" spans="1:3" ht="12.75" customHeight="1"/>
    <row r="25" spans="1:3" ht="12.75" customHeight="1"/>
    <row r="26" spans="1:3" ht="12.75" customHeight="1">
      <c r="A26" s="25" t="s">
        <v>371</v>
      </c>
    </row>
    <row r="27" spans="1:3" ht="12.75" customHeight="1">
      <c r="A27" s="5" t="s">
        <v>372</v>
      </c>
    </row>
    <row r="28" spans="1:3" ht="12.75" customHeight="1">
      <c r="A28" s="5"/>
    </row>
    <row r="29" spans="1:3" ht="12.75" customHeight="1">
      <c r="A29" s="5"/>
    </row>
    <row r="30" spans="1:3" ht="12.75" customHeight="1">
      <c r="A30" s="5"/>
    </row>
    <row r="31" spans="1:3" ht="12.75" customHeight="1">
      <c r="A31" s="25"/>
    </row>
    <row r="32" spans="1:3" ht="12.75" customHeight="1">
      <c r="A32" s="5" t="s">
        <v>373</v>
      </c>
    </row>
  </sheetData>
  <mergeCells count="1">
    <mergeCell ref="A1:C1"/>
  </mergeCell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30"/>
  <sheetViews>
    <sheetView zoomScale="90" zoomScaleNormal="90" workbookViewId="0">
      <selection activeCell="I12" sqref="I12"/>
    </sheetView>
  </sheetViews>
  <sheetFormatPr defaultColWidth="9" defaultRowHeight="12.75" customHeight="1"/>
  <cols>
    <col min="1" max="1" width="30.54296875" customWidth="1"/>
    <col min="2" max="2" width="3" customWidth="1"/>
    <col min="3" max="3" width="11.81640625" style="291" customWidth="1"/>
    <col min="4" max="4" width="3.54296875" customWidth="1"/>
    <col min="5" max="5" width="11.81640625" style="188" customWidth="1"/>
    <col min="6" max="6" width="10.1796875" style="188" customWidth="1"/>
    <col min="7" max="7" width="18.54296875" style="188" customWidth="1"/>
    <col min="8" max="8" width="11.54296875" style="188" customWidth="1"/>
    <col min="9" max="9" width="12.81640625" style="188" customWidth="1"/>
    <col min="10" max="10" width="13.1796875" style="188" customWidth="1"/>
    <col min="11" max="11" width="10.453125" style="188" customWidth="1"/>
    <col min="12" max="12" width="5.1796875" style="188" customWidth="1"/>
    <col min="13" max="13" width="12.81640625" style="188" customWidth="1"/>
    <col min="14" max="14" width="5" customWidth="1"/>
    <col min="15" max="15" width="31.81640625" customWidth="1"/>
    <col min="16" max="16" width="10.54296875" hidden="1" customWidth="1" collapsed="1"/>
    <col min="17" max="17" width="10.54296875" customWidth="1" collapsed="1"/>
  </cols>
  <sheetData>
    <row r="1" spans="1:17" ht="12.75" customHeight="1">
      <c r="A1" s="473" t="s">
        <v>364</v>
      </c>
      <c r="B1" s="473"/>
      <c r="C1" s="473"/>
      <c r="D1" s="117"/>
      <c r="E1" s="3">
        <f>'Cash at Bank-1020.100'!D1</f>
        <v>44835</v>
      </c>
    </row>
    <row r="2" spans="1:17" ht="12.75" customHeight="1">
      <c r="A2" s="5"/>
      <c r="B2" s="5"/>
      <c r="C2" s="4"/>
    </row>
    <row r="3" spans="1:17" ht="12.75" customHeight="1">
      <c r="A3" s="5" t="str">
        <f>+'Advances to Suppliers-1120'!A3</f>
        <v xml:space="preserve">BALANCE AS AT </v>
      </c>
      <c r="B3" s="5"/>
      <c r="C3" s="4"/>
    </row>
    <row r="4" spans="1:17" ht="12.75" customHeight="1">
      <c r="A4" s="5"/>
      <c r="B4" s="5"/>
      <c r="C4" s="4"/>
    </row>
    <row r="5" spans="1:17" ht="12.75" customHeight="1">
      <c r="A5" s="5" t="s">
        <v>487</v>
      </c>
      <c r="B5" s="5"/>
      <c r="C5" s="4"/>
    </row>
    <row r="6" spans="1:17" ht="12.75" customHeight="1">
      <c r="A6" s="5"/>
      <c r="B6" s="5"/>
      <c r="C6" s="4"/>
    </row>
    <row r="7" spans="1:17" ht="12.75" customHeight="1">
      <c r="A7" s="5" t="s">
        <v>488</v>
      </c>
      <c r="B7" s="5"/>
      <c r="C7" s="4"/>
      <c r="G7" s="137"/>
      <c r="H7" s="137"/>
      <c r="I7" s="137"/>
      <c r="J7" s="137"/>
      <c r="K7" s="137"/>
      <c r="L7" s="137"/>
      <c r="M7" s="137"/>
    </row>
    <row r="8" spans="1:17" ht="12.75" customHeight="1">
      <c r="A8" s="5"/>
      <c r="B8" s="5"/>
      <c r="C8" s="4"/>
      <c r="G8" s="137"/>
      <c r="H8" s="137"/>
      <c r="I8" s="137"/>
      <c r="J8" s="137"/>
      <c r="K8" s="137"/>
      <c r="L8" s="137"/>
      <c r="M8" s="137"/>
    </row>
    <row r="9" spans="1:17" ht="39.5">
      <c r="A9" s="5" t="s">
        <v>367</v>
      </c>
      <c r="B9" s="5"/>
      <c r="C9" s="339">
        <f>'Trial Balance'!F20</f>
        <v>136.94</v>
      </c>
      <c r="E9" s="340" t="s">
        <v>436</v>
      </c>
      <c r="F9" s="340" t="s">
        <v>489</v>
      </c>
      <c r="G9" s="340" t="s">
        <v>490</v>
      </c>
      <c r="H9" s="340" t="s">
        <v>491</v>
      </c>
      <c r="I9" s="354" t="s">
        <v>383</v>
      </c>
      <c r="J9" s="340"/>
      <c r="K9" s="340" t="s">
        <v>492</v>
      </c>
      <c r="L9" s="340"/>
      <c r="M9" s="340" t="s">
        <v>493</v>
      </c>
      <c r="O9" s="47"/>
      <c r="P9" s="7">
        <v>44805</v>
      </c>
      <c r="Q9" s="7">
        <f>P9+30</f>
        <v>44835</v>
      </c>
    </row>
    <row r="10" spans="1:17" ht="12.75" customHeight="1">
      <c r="E10" s="137"/>
      <c r="O10" s="53" t="s">
        <v>382</v>
      </c>
      <c r="P10" s="10">
        <v>136.94</v>
      </c>
      <c r="Q10" s="10">
        <f>$C$9</f>
        <v>136.94</v>
      </c>
    </row>
    <row r="11" spans="1:17" ht="12.75" customHeight="1">
      <c r="A11" t="s">
        <v>384</v>
      </c>
      <c r="C11" s="341">
        <f>+M11</f>
        <v>586.59</v>
      </c>
      <c r="E11" s="342">
        <f>'Rental Bond-1030.110'!C12</f>
        <v>145453.10999999999</v>
      </c>
      <c r="F11" s="322" t="s">
        <v>494</v>
      </c>
      <c r="G11" s="343">
        <v>8.0000000000000002E-3</v>
      </c>
      <c r="H11" s="309">
        <v>44634</v>
      </c>
      <c r="I11" s="217">
        <v>44999</v>
      </c>
      <c r="J11" s="355">
        <v>44818</v>
      </c>
      <c r="K11" s="356">
        <f>+J11-H11</f>
        <v>184</v>
      </c>
      <c r="L11" s="357">
        <v>365</v>
      </c>
      <c r="M11" s="358">
        <f>ROUND(E11*G11/L11*K11,2)</f>
        <v>586.59</v>
      </c>
      <c r="O11" s="9" t="s">
        <v>384</v>
      </c>
      <c r="P11" s="10">
        <v>109.99</v>
      </c>
      <c r="Q11" s="10">
        <f>$C$11</f>
        <v>586.59</v>
      </c>
    </row>
    <row r="12" spans="1:17" ht="12.75" customHeight="1">
      <c r="C12" s="341"/>
      <c r="D12" s="344"/>
      <c r="E12" s="322"/>
      <c r="J12" s="217"/>
      <c r="L12" s="357"/>
      <c r="M12" s="358"/>
      <c r="O12" s="9"/>
      <c r="P12" s="10"/>
      <c r="Q12" s="10"/>
    </row>
    <row r="13" spans="1:17" ht="12.75" customHeight="1">
      <c r="A13" s="24" t="s">
        <v>385</v>
      </c>
      <c r="C13" s="341">
        <f>+M13</f>
        <v>26.95</v>
      </c>
      <c r="E13" s="205">
        <f>'Rental Bond-1030.110'!C13</f>
        <v>29364.5</v>
      </c>
      <c r="F13" s="322" t="s">
        <v>495</v>
      </c>
      <c r="G13" s="343">
        <v>2.5000000000000001E-3</v>
      </c>
      <c r="H13" s="309">
        <v>44700</v>
      </c>
      <c r="I13" s="309">
        <v>45035</v>
      </c>
      <c r="J13" s="355">
        <v>44834</v>
      </c>
      <c r="K13" s="356">
        <f>+J13-H13</f>
        <v>134</v>
      </c>
      <c r="L13" s="357">
        <v>365</v>
      </c>
      <c r="M13" s="358">
        <f>ROUND(E13*G13/L13*K13,2)</f>
        <v>26.95</v>
      </c>
      <c r="O13" s="53" t="s">
        <v>385</v>
      </c>
      <c r="P13" s="10">
        <v>26.95</v>
      </c>
      <c r="Q13" s="10">
        <f>$C$13</f>
        <v>26.95</v>
      </c>
    </row>
    <row r="14" spans="1:17" ht="12.75" customHeight="1">
      <c r="A14" s="24"/>
      <c r="C14" s="341"/>
      <c r="E14" s="345"/>
      <c r="F14" s="322"/>
      <c r="G14" s="343"/>
      <c r="H14" s="309"/>
      <c r="I14" s="309"/>
      <c r="J14" s="309"/>
      <c r="K14" s="356"/>
      <c r="L14" s="357"/>
      <c r="M14" s="358"/>
      <c r="O14" s="20" t="s">
        <v>362</v>
      </c>
      <c r="P14" s="21">
        <v>136.94</v>
      </c>
      <c r="Q14" s="21">
        <f t="shared" ref="Q14" si="0">SUM(Q11:Q13)</f>
        <v>613.54000000000008</v>
      </c>
    </row>
    <row r="15" spans="1:17" ht="12.75" customHeight="1">
      <c r="A15" s="24" t="s">
        <v>496</v>
      </c>
      <c r="C15" s="341">
        <f>C9-SUM(C11:C13)</f>
        <v>-476.60000000000008</v>
      </c>
      <c r="E15" s="345"/>
      <c r="F15" s="322"/>
      <c r="G15" s="346"/>
      <c r="H15" s="217"/>
      <c r="I15" s="309"/>
      <c r="J15" s="309"/>
      <c r="K15" s="356"/>
      <c r="L15" s="357"/>
      <c r="M15" s="358"/>
      <c r="O15" s="9"/>
      <c r="P15" s="12"/>
      <c r="Q15" s="12"/>
    </row>
    <row r="16" spans="1:17" ht="12.75" customHeight="1">
      <c r="A16" s="24"/>
      <c r="C16" s="347"/>
      <c r="E16" s="322"/>
      <c r="F16" s="322"/>
      <c r="G16" s="449" t="s">
        <v>497</v>
      </c>
      <c r="H16" s="348">
        <f>-C15</f>
        <v>476.60000000000008</v>
      </c>
      <c r="I16" s="322"/>
      <c r="M16" s="359">
        <f>SUM(M11:M14)</f>
        <v>613.54000000000008</v>
      </c>
      <c r="O16" s="16" t="s">
        <v>370</v>
      </c>
      <c r="P16" s="17">
        <v>0</v>
      </c>
      <c r="Q16" s="17">
        <f t="shared" ref="Q16" si="1">Q14-Q10</f>
        <v>476.60000000000008</v>
      </c>
    </row>
    <row r="17" spans="1:13" ht="12.75" customHeight="1">
      <c r="A17" s="5" t="s">
        <v>362</v>
      </c>
      <c r="C17" s="339">
        <f>SUM(C11:C16)</f>
        <v>136.94</v>
      </c>
      <c r="E17" s="322"/>
      <c r="F17" s="322"/>
      <c r="G17" s="450" t="s">
        <v>498</v>
      </c>
      <c r="H17" s="349">
        <f>-H16</f>
        <v>-476.60000000000008</v>
      </c>
      <c r="I17" s="322"/>
    </row>
    <row r="18" spans="1:13" ht="12.75" customHeight="1">
      <c r="A18" s="24"/>
      <c r="E18" s="322"/>
      <c r="G18" s="350" t="s">
        <v>499</v>
      </c>
      <c r="H18" s="351"/>
      <c r="I18" s="322"/>
    </row>
    <row r="19" spans="1:13" ht="12.75" customHeight="1">
      <c r="A19" s="13" t="s">
        <v>370</v>
      </c>
      <c r="B19" s="352"/>
      <c r="C19" s="160">
        <f>SUM(P16:P16)</f>
        <v>0</v>
      </c>
      <c r="E19" s="322"/>
      <c r="F19" s="322"/>
      <c r="G19" s="322"/>
      <c r="H19" s="322"/>
      <c r="I19" s="322"/>
    </row>
    <row r="20" spans="1:13" ht="12.75" customHeight="1">
      <c r="A20" s="175"/>
      <c r="B20" s="151"/>
      <c r="C20" s="1"/>
      <c r="E20" s="353"/>
      <c r="F20" s="322"/>
      <c r="G20" s="346"/>
      <c r="H20" s="217"/>
      <c r="I20" s="309"/>
      <c r="J20" s="309"/>
      <c r="K20" s="356"/>
      <c r="L20" s="357"/>
      <c r="M20" s="358"/>
    </row>
    <row r="21" spans="1:13" ht="12.75" customHeight="1">
      <c r="B21" s="151"/>
      <c r="C21" s="1"/>
      <c r="E21" s="322"/>
      <c r="L21" s="357"/>
      <c r="M21" s="358"/>
    </row>
    <row r="22" spans="1:13" ht="12.75" customHeight="1">
      <c r="B22" s="151"/>
      <c r="C22" s="1"/>
      <c r="E22" s="345"/>
      <c r="F22" s="322"/>
      <c r="G22" s="343"/>
      <c r="H22" s="309"/>
      <c r="I22" s="309"/>
      <c r="J22" s="309"/>
      <c r="K22" s="356"/>
      <c r="L22" s="357"/>
      <c r="M22" s="358"/>
    </row>
    <row r="23" spans="1:13" ht="12.75" customHeight="1">
      <c r="B23" s="151"/>
      <c r="C23" s="1"/>
      <c r="E23" s="345"/>
      <c r="F23" s="322"/>
      <c r="G23" s="343"/>
      <c r="H23" s="309"/>
      <c r="I23" s="309"/>
      <c r="J23" s="309"/>
      <c r="K23" s="356"/>
      <c r="L23" s="357"/>
      <c r="M23" s="358"/>
    </row>
    <row r="24" spans="1:13" ht="12.75" customHeight="1">
      <c r="A24" s="25" t="s">
        <v>371</v>
      </c>
      <c r="B24" s="151"/>
      <c r="C24" s="1"/>
      <c r="E24" s="345"/>
      <c r="F24" s="322"/>
      <c r="G24" s="343"/>
      <c r="H24" s="309"/>
      <c r="I24" s="309"/>
      <c r="J24" s="309"/>
      <c r="K24" s="356"/>
      <c r="L24" s="357"/>
      <c r="M24" s="358"/>
    </row>
    <row r="25" spans="1:13" ht="12.75" customHeight="1">
      <c r="A25" s="5" t="s">
        <v>372</v>
      </c>
      <c r="B25" s="151"/>
      <c r="C25" s="1"/>
      <c r="E25" s="345"/>
      <c r="F25" s="322"/>
      <c r="G25" s="343"/>
      <c r="H25" s="309"/>
      <c r="I25" s="309"/>
      <c r="J25" s="309"/>
      <c r="K25" s="356"/>
      <c r="L25" s="357"/>
      <c r="M25" s="358"/>
    </row>
    <row r="26" spans="1:13" ht="12.75" customHeight="1">
      <c r="A26" s="5"/>
      <c r="B26" s="151"/>
      <c r="C26" s="1"/>
      <c r="E26" s="345"/>
      <c r="F26" s="322"/>
      <c r="G26" s="343"/>
      <c r="H26" s="309"/>
      <c r="I26" s="309"/>
      <c r="J26" s="309"/>
      <c r="K26" s="356"/>
      <c r="L26" s="357"/>
      <c r="M26" s="358"/>
    </row>
    <row r="27" spans="1:13" ht="12.75" customHeight="1">
      <c r="A27" s="5"/>
      <c r="B27" s="151"/>
      <c r="C27" s="1"/>
      <c r="E27" s="345"/>
      <c r="I27" s="161"/>
    </row>
    <row r="28" spans="1:13" ht="12.75" customHeight="1">
      <c r="A28" s="5"/>
      <c r="B28" s="151"/>
      <c r="C28" s="1"/>
      <c r="E28" s="345"/>
    </row>
    <row r="29" spans="1:13" ht="12.75" customHeight="1">
      <c r="A29" s="25"/>
      <c r="B29" s="151"/>
      <c r="C29" s="1"/>
    </row>
    <row r="30" spans="1:13" ht="12.75" customHeight="1">
      <c r="A30" s="5" t="s">
        <v>373</v>
      </c>
      <c r="B30" s="151"/>
      <c r="C30" s="1"/>
    </row>
  </sheetData>
  <mergeCells count="1">
    <mergeCell ref="A1:C1"/>
  </mergeCells>
  <pageMargins left="0.75" right="0.75" top="1" bottom="1" header="0.5" footer="0.5"/>
  <pageSetup paperSize="9" scale="59" orientation="landscape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pageSetUpPr fitToPage="1"/>
  </sheetPr>
  <dimension ref="A1:C31"/>
  <sheetViews>
    <sheetView workbookViewId="0">
      <selection activeCell="C9" sqref="C9"/>
    </sheetView>
  </sheetViews>
  <sheetFormatPr defaultColWidth="9.1796875" defaultRowHeight="12.75" customHeight="1"/>
  <cols>
    <col min="1" max="1" width="40.81640625" style="326" customWidth="1"/>
    <col min="2" max="2" width="15.81640625" style="326" customWidth="1"/>
    <col min="3" max="3" width="15.81640625" style="327" customWidth="1"/>
    <col min="4" max="16384" width="9.1796875" style="326"/>
  </cols>
  <sheetData>
    <row r="1" spans="1:3" ht="12.75" customHeight="1">
      <c r="A1" s="478" t="s">
        <v>364</v>
      </c>
      <c r="B1" s="478"/>
      <c r="C1" s="478"/>
    </row>
    <row r="3" spans="1:3" ht="12.75" customHeight="1">
      <c r="A3" s="5" t="str">
        <f>+'Advances to Suppliers-1120'!A3</f>
        <v xml:space="preserve">BALANCE AS AT </v>
      </c>
    </row>
    <row r="4" spans="1:3" ht="12.75" customHeight="1">
      <c r="A4" s="328"/>
    </row>
    <row r="5" spans="1:3" ht="12.75" customHeight="1">
      <c r="A5" s="328" t="s">
        <v>500</v>
      </c>
    </row>
    <row r="6" spans="1:3" ht="12.75" customHeight="1">
      <c r="A6" s="328"/>
    </row>
    <row r="7" spans="1:3" ht="12.75" customHeight="1">
      <c r="A7" s="451" t="s">
        <v>501</v>
      </c>
    </row>
    <row r="8" spans="1:3" ht="12.75" customHeight="1">
      <c r="A8" s="329"/>
    </row>
    <row r="9" spans="1:3" ht="12.75" customHeight="1">
      <c r="A9" s="328" t="s">
        <v>367</v>
      </c>
      <c r="B9" s="328"/>
      <c r="C9" s="330"/>
    </row>
    <row r="10" spans="1:3" ht="12.75" customHeight="1">
      <c r="C10" s="331"/>
    </row>
    <row r="11" spans="1:3" s="325" customFormat="1" ht="12.75" customHeight="1">
      <c r="A11" s="329" t="s">
        <v>483</v>
      </c>
      <c r="C11" s="331"/>
    </row>
    <row r="12" spans="1:3" s="325" customFormat="1" ht="12.75" customHeight="1">
      <c r="A12" s="332"/>
      <c r="C12" s="331"/>
    </row>
    <row r="13" spans="1:3" s="325" customFormat="1" ht="12.75" customHeight="1">
      <c r="A13" s="332"/>
      <c r="C13" s="331"/>
    </row>
    <row r="14" spans="1:3" s="325" customFormat="1" ht="12.75" customHeight="1">
      <c r="A14" s="332"/>
      <c r="C14" s="331"/>
    </row>
    <row r="15" spans="1:3" s="325" customFormat="1" ht="12.75" customHeight="1">
      <c r="A15" s="332"/>
      <c r="C15" s="331"/>
    </row>
    <row r="16" spans="1:3" s="325" customFormat="1" ht="12.75" customHeight="1">
      <c r="A16" s="333"/>
      <c r="C16" s="331"/>
    </row>
    <row r="17" spans="1:3" s="325" customFormat="1" ht="12.75" customHeight="1">
      <c r="A17" s="334"/>
      <c r="B17" s="335"/>
      <c r="C17" s="331"/>
    </row>
    <row r="18" spans="1:3" s="325" customFormat="1" ht="12.75" customHeight="1">
      <c r="A18" s="328" t="s">
        <v>362</v>
      </c>
      <c r="C18" s="330">
        <f>SUM(C12:C17)</f>
        <v>0</v>
      </c>
    </row>
    <row r="19" spans="1:3" ht="12.75" customHeight="1">
      <c r="A19" s="328"/>
      <c r="C19" s="331"/>
    </row>
    <row r="20" spans="1:3" ht="12.75" customHeight="1">
      <c r="A20" s="336" t="s">
        <v>370</v>
      </c>
      <c r="C20" s="337">
        <f>C9-C18</f>
        <v>0</v>
      </c>
    </row>
    <row r="21" spans="1:3" ht="12.75" customHeight="1">
      <c r="C21" s="331"/>
    </row>
    <row r="22" spans="1:3" ht="12.75" customHeight="1">
      <c r="C22" s="331"/>
    </row>
    <row r="25" spans="1:3" ht="12.75" customHeight="1">
      <c r="A25" s="338" t="s">
        <v>371</v>
      </c>
    </row>
    <row r="26" spans="1:3" ht="12.75" customHeight="1">
      <c r="A26" s="328" t="s">
        <v>372</v>
      </c>
    </row>
    <row r="27" spans="1:3" ht="12.75" customHeight="1">
      <c r="A27" s="328"/>
    </row>
    <row r="28" spans="1:3" ht="12.75" customHeight="1">
      <c r="A28" s="328"/>
    </row>
    <row r="29" spans="1:3" ht="12.75" customHeight="1">
      <c r="A29" s="328"/>
    </row>
    <row r="30" spans="1:3" ht="12.75" customHeight="1">
      <c r="A30" s="338"/>
    </row>
    <row r="31" spans="1:3" ht="12.75" customHeight="1">
      <c r="A31" s="328" t="s">
        <v>373</v>
      </c>
    </row>
  </sheetData>
  <mergeCells count="1">
    <mergeCell ref="A1:C1"/>
  </mergeCells>
  <pageMargins left="0.75" right="0.75" top="1" bottom="1" header="0.5" footer="0.5"/>
  <pageSetup paperSize="9" orientation="portrait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G50"/>
  <sheetViews>
    <sheetView workbookViewId="0">
      <selection activeCell="Q1" sqref="Q1:Q1048576"/>
    </sheetView>
  </sheetViews>
  <sheetFormatPr defaultColWidth="9" defaultRowHeight="12.75" customHeight="1"/>
  <cols>
    <col min="1" max="1" width="32.54296875" customWidth="1"/>
    <col min="2" max="2" width="30" customWidth="1"/>
    <col min="3" max="3" width="15.81640625" style="189" customWidth="1"/>
    <col min="5" max="5" width="24.81640625" customWidth="1"/>
    <col min="6" max="6" width="9.81640625" hidden="1" customWidth="1" collapsed="1"/>
    <col min="7" max="7" width="9.81640625" customWidth="1" collapsed="1"/>
  </cols>
  <sheetData>
    <row r="1" spans="1:7" ht="12.75" customHeight="1">
      <c r="A1" s="473" t="s">
        <v>364</v>
      </c>
      <c r="B1" s="473"/>
      <c r="C1" s="473"/>
      <c r="D1" s="3">
        <f>'Cash at Bank-1020.100'!D1</f>
        <v>44835</v>
      </c>
      <c r="E1" s="3"/>
    </row>
    <row r="3" spans="1:7" ht="12.75" customHeight="1">
      <c r="A3" s="5" t="str">
        <f>+'Provision for Bad Debts-1080'!A3</f>
        <v xml:space="preserve">BALANCE AS AT </v>
      </c>
    </row>
    <row r="4" spans="1:7" ht="12.75" customHeight="1">
      <c r="A4" s="5"/>
    </row>
    <row r="5" spans="1:7" ht="12.75" customHeight="1">
      <c r="A5" s="5" t="s">
        <v>502</v>
      </c>
    </row>
    <row r="6" spans="1:7" ht="12.75" customHeight="1">
      <c r="A6" s="5"/>
    </row>
    <row r="7" spans="1:7" ht="12.75" customHeight="1">
      <c r="A7" s="448" t="s">
        <v>503</v>
      </c>
      <c r="D7" s="3"/>
      <c r="E7" s="3"/>
    </row>
    <row r="8" spans="1:7" ht="12.75" customHeight="1">
      <c r="A8" s="137"/>
      <c r="E8" s="47"/>
      <c r="F8" s="7">
        <v>44805</v>
      </c>
      <c r="G8" s="7">
        <f>F8+30</f>
        <v>44835</v>
      </c>
    </row>
    <row r="9" spans="1:7" ht="12.75" customHeight="1">
      <c r="A9" s="5" t="s">
        <v>367</v>
      </c>
      <c r="B9" s="5"/>
      <c r="C9" s="316">
        <f>'Trial Balance'!F21</f>
        <v>1580.5</v>
      </c>
      <c r="E9" s="53" t="s">
        <v>382</v>
      </c>
      <c r="F9" s="10">
        <v>1580.5</v>
      </c>
      <c r="G9" s="10">
        <f>$C$9</f>
        <v>1580.5</v>
      </c>
    </row>
    <row r="10" spans="1:7" ht="12.75" customHeight="1">
      <c r="E10" s="53" t="s">
        <v>504</v>
      </c>
      <c r="F10" s="10">
        <v>1580.5</v>
      </c>
      <c r="G10" s="10">
        <f>$C$37</f>
        <v>1580.5</v>
      </c>
    </row>
    <row r="11" spans="1:7" s="188" customFormat="1" ht="12.75" customHeight="1">
      <c r="A11" s="137" t="s">
        <v>483</v>
      </c>
      <c r="E11" s="143"/>
      <c r="F11" s="195"/>
      <c r="G11" s="195"/>
    </row>
    <row r="12" spans="1:7" s="188" customFormat="1" ht="12.75" customHeight="1">
      <c r="A12" s="68"/>
      <c r="B12" s="317"/>
      <c r="C12" s="316"/>
      <c r="E12" s="318" t="s">
        <v>370</v>
      </c>
      <c r="F12" s="213">
        <v>0</v>
      </c>
      <c r="G12" s="213">
        <f t="shared" ref="G12" si="0">G10-G9</f>
        <v>0</v>
      </c>
    </row>
    <row r="13" spans="1:7" s="188" customFormat="1" ht="12.75" customHeight="1">
      <c r="A13" s="319" t="s">
        <v>865</v>
      </c>
      <c r="B13" s="317">
        <v>44832</v>
      </c>
      <c r="C13" s="316">
        <v>1580.5</v>
      </c>
      <c r="E13" s="134"/>
      <c r="F13" s="320"/>
      <c r="G13" s="320"/>
    </row>
    <row r="14" spans="1:7" s="188" customFormat="1" ht="12.75" customHeight="1">
      <c r="A14" s="319"/>
      <c r="B14" s="317"/>
      <c r="C14" s="316"/>
      <c r="E14" s="134"/>
      <c r="F14" s="320"/>
      <c r="G14" s="320"/>
    </row>
    <row r="15" spans="1:7" s="188" customFormat="1" ht="12.75" customHeight="1">
      <c r="A15" s="319"/>
      <c r="B15" s="317"/>
      <c r="C15" s="316"/>
      <c r="E15" s="134"/>
      <c r="F15" s="320"/>
      <c r="G15" s="320"/>
    </row>
    <row r="16" spans="1:7" s="188" customFormat="1" ht="12.75" customHeight="1">
      <c r="A16" s="319"/>
      <c r="B16" s="317"/>
      <c r="C16" s="316"/>
      <c r="E16" s="134"/>
      <c r="F16" s="320"/>
      <c r="G16" s="320"/>
    </row>
    <row r="17" spans="1:7" s="188" customFormat="1" ht="12.75" customHeight="1">
      <c r="A17" s="319"/>
      <c r="B17" s="317"/>
      <c r="C17" s="316"/>
      <c r="E17" s="134"/>
      <c r="F17" s="320"/>
      <c r="G17" s="320"/>
    </row>
    <row r="18" spans="1:7" s="188" customFormat="1" ht="12.75" customHeight="1">
      <c r="A18" s="319"/>
      <c r="B18" s="317"/>
      <c r="C18" s="316"/>
      <c r="E18" s="134"/>
      <c r="F18" s="320"/>
      <c r="G18" s="320"/>
    </row>
    <row r="19" spans="1:7" s="188" customFormat="1" ht="12.75" customHeight="1">
      <c r="A19" s="319"/>
      <c r="B19" s="317"/>
      <c r="C19" s="316"/>
      <c r="E19" s="134"/>
      <c r="F19" s="320"/>
      <c r="G19" s="320"/>
    </row>
    <row r="20" spans="1:7" s="188" customFormat="1" ht="12.75" customHeight="1">
      <c r="A20" s="319"/>
      <c r="B20" s="317"/>
      <c r="C20" s="321"/>
      <c r="E20" s="134"/>
      <c r="F20" s="320"/>
      <c r="G20" s="320"/>
    </row>
    <row r="21" spans="1:7" s="188" customFormat="1" ht="12.75" customHeight="1">
      <c r="A21" s="319"/>
      <c r="B21" s="317"/>
      <c r="C21" s="316"/>
      <c r="D21" s="322"/>
      <c r="E21" s="322"/>
    </row>
    <row r="22" spans="1:7" s="188" customFormat="1" ht="12.75" customHeight="1">
      <c r="A22" s="319"/>
      <c r="B22" s="317"/>
      <c r="C22" s="316"/>
      <c r="E22" s="134"/>
      <c r="F22" s="320"/>
      <c r="G22" s="320"/>
    </row>
    <row r="23" spans="1:7" s="188" customFormat="1" ht="12.75" customHeight="1">
      <c r="A23" s="319"/>
      <c r="B23" s="317"/>
      <c r="C23" s="316"/>
      <c r="E23" s="134"/>
      <c r="F23" s="320"/>
      <c r="G23" s="320"/>
    </row>
    <row r="24" spans="1:7" s="188" customFormat="1" ht="12.75" customHeight="1">
      <c r="E24" s="134"/>
      <c r="F24" s="320"/>
      <c r="G24" s="320"/>
    </row>
    <row r="25" spans="1:7" s="188" customFormat="1" ht="12.75" customHeight="1">
      <c r="E25" s="134"/>
      <c r="F25" s="320"/>
      <c r="G25" s="320"/>
    </row>
    <row r="26" spans="1:7" s="188" customFormat="1" ht="12.75" customHeight="1">
      <c r="E26" s="134"/>
      <c r="F26" s="320"/>
      <c r="G26" s="320"/>
    </row>
    <row r="27" spans="1:7" s="188" customFormat="1" ht="12.75" customHeight="1">
      <c r="E27" s="134"/>
      <c r="F27" s="320"/>
      <c r="G27" s="320"/>
    </row>
    <row r="28" spans="1:7" s="188" customFormat="1" ht="12.75" customHeight="1">
      <c r="E28" s="134"/>
      <c r="F28" s="320"/>
      <c r="G28" s="320"/>
    </row>
    <row r="29" spans="1:7" s="188" customFormat="1" ht="12.75" customHeight="1">
      <c r="E29" s="134"/>
      <c r="F29" s="320"/>
      <c r="G29" s="320"/>
    </row>
    <row r="30" spans="1:7" s="188" customFormat="1" ht="12.75" customHeight="1">
      <c r="D30" s="322"/>
      <c r="E30" s="322"/>
    </row>
    <row r="31" spans="1:7" s="188" customFormat="1" ht="12.75" customHeight="1">
      <c r="E31" s="134"/>
      <c r="F31" s="320"/>
      <c r="G31" s="320"/>
    </row>
    <row r="32" spans="1:7" s="188" customFormat="1" ht="12.75" customHeight="1">
      <c r="E32" s="134"/>
      <c r="F32" s="320"/>
      <c r="G32" s="320"/>
    </row>
    <row r="33" spans="1:7" s="188" customFormat="1" ht="12.75" customHeight="1">
      <c r="A33" s="68"/>
      <c r="B33" s="317"/>
      <c r="C33" s="316"/>
      <c r="E33" s="134"/>
      <c r="F33" s="320"/>
      <c r="G33" s="320"/>
    </row>
    <row r="34" spans="1:7" s="188" customFormat="1" ht="12.75" customHeight="1">
      <c r="A34" s="322"/>
      <c r="C34" s="323"/>
    </row>
    <row r="35" spans="1:7" s="188" customFormat="1" ht="12.75" customHeight="1">
      <c r="A35" s="309"/>
      <c r="B35" s="211"/>
      <c r="C35" s="316"/>
    </row>
    <row r="36" spans="1:7" s="188" customFormat="1" ht="12.75" customHeight="1">
      <c r="A36" s="309"/>
      <c r="B36" s="211"/>
      <c r="C36" s="316"/>
    </row>
    <row r="37" spans="1:7" s="188" customFormat="1" ht="12.75" customHeight="1">
      <c r="A37" s="5" t="s">
        <v>362</v>
      </c>
      <c r="C37" s="324">
        <f>SUM(C12:C36)</f>
        <v>1580.5</v>
      </c>
      <c r="D37" s="322"/>
      <c r="E37" s="322"/>
    </row>
    <row r="38" spans="1:7" ht="12.75" customHeight="1">
      <c r="A38" s="5"/>
      <c r="C38" s="316"/>
    </row>
    <row r="39" spans="1:7" ht="12.75" customHeight="1">
      <c r="A39" s="13" t="s">
        <v>370</v>
      </c>
      <c r="B39" s="14"/>
      <c r="C39" s="160">
        <f>C9-C37</f>
        <v>0</v>
      </c>
    </row>
    <row r="40" spans="1:7" ht="12.75" customHeight="1">
      <c r="C40" s="316"/>
    </row>
    <row r="41" spans="1:7" ht="12.75" customHeight="1">
      <c r="C41" s="316"/>
    </row>
    <row r="44" spans="1:7" ht="12.75" customHeight="1">
      <c r="A44" s="25" t="str">
        <f>'Cash in Hand-1020'!A26</f>
        <v>Charmaine Chan</v>
      </c>
    </row>
    <row r="45" spans="1:7" ht="12.75" customHeight="1">
      <c r="A45" s="5" t="s">
        <v>372</v>
      </c>
    </row>
    <row r="46" spans="1:7" ht="12.75" customHeight="1">
      <c r="A46" s="5"/>
    </row>
    <row r="47" spans="1:7" ht="12.75" customHeight="1">
      <c r="A47" s="5"/>
    </row>
    <row r="48" spans="1:7" ht="12.75" customHeight="1">
      <c r="A48" s="5"/>
    </row>
    <row r="49" spans="1:1" ht="12.75" customHeight="1">
      <c r="A49" s="25"/>
    </row>
    <row r="50" spans="1:1" ht="12.75" customHeight="1">
      <c r="A50" s="5" t="s">
        <v>373</v>
      </c>
    </row>
  </sheetData>
  <mergeCells count="1">
    <mergeCell ref="A1:C1"/>
  </mergeCells>
  <pageMargins left="0.75" right="0.75" top="1" bottom="1" header="0.5" footer="0.5"/>
  <pageSetup scale="75" orientation="landscape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G55"/>
  <sheetViews>
    <sheetView workbookViewId="0">
      <selection activeCell="Q1" sqref="Q1:Q1048576"/>
    </sheetView>
  </sheetViews>
  <sheetFormatPr defaultColWidth="9" defaultRowHeight="12.75" customHeight="1" outlineLevelRow="1"/>
  <cols>
    <col min="1" max="1" width="29.1796875" customWidth="1"/>
    <col min="2" max="2" width="31.453125" customWidth="1"/>
    <col min="3" max="3" width="11.453125" style="1" customWidth="1"/>
    <col min="4" max="4" width="13.54296875" customWidth="1"/>
    <col min="5" max="5" width="30.54296875" customWidth="1"/>
    <col min="6" max="6" width="12.81640625" hidden="1" customWidth="1" collapsed="1"/>
    <col min="7" max="7" width="12.81640625" customWidth="1" collapsed="1"/>
  </cols>
  <sheetData>
    <row r="1" spans="1:7" ht="12.75" customHeight="1">
      <c r="A1" s="473" t="s">
        <v>364</v>
      </c>
      <c r="B1" s="473"/>
      <c r="C1" s="473"/>
      <c r="D1" s="3">
        <f>'Cash at Bank-1020.100'!D1</f>
        <v>44835</v>
      </c>
    </row>
    <row r="2" spans="1:7" ht="12.75" customHeight="1">
      <c r="A2" s="2"/>
      <c r="B2" s="2"/>
      <c r="C2" s="4"/>
    </row>
    <row r="3" spans="1:7" ht="12.75" customHeight="1">
      <c r="A3" s="5" t="str">
        <f>+'Accrued Revenue-1140'!A3</f>
        <v xml:space="preserve">BALANCE AS AT </v>
      </c>
      <c r="B3" s="2"/>
      <c r="C3" s="170"/>
    </row>
    <row r="4" spans="1:7" ht="12.75" customHeight="1">
      <c r="A4" s="5"/>
      <c r="B4" s="2"/>
      <c r="C4" s="170"/>
    </row>
    <row r="5" spans="1:7" ht="12.75" customHeight="1">
      <c r="A5" s="5" t="s">
        <v>505</v>
      </c>
      <c r="C5" s="54"/>
    </row>
    <row r="6" spans="1:7" ht="12.75" customHeight="1">
      <c r="C6" s="54"/>
      <c r="E6" s="26"/>
      <c r="F6" s="7">
        <v>44805</v>
      </c>
      <c r="G6" s="7">
        <f>F6+30</f>
        <v>44835</v>
      </c>
    </row>
    <row r="7" spans="1:7" ht="12.75" customHeight="1">
      <c r="A7" s="5" t="s">
        <v>506</v>
      </c>
      <c r="D7" s="8">
        <f>'Trial Balance'!F22</f>
        <v>598715.79</v>
      </c>
      <c r="E7" s="26"/>
      <c r="F7" s="116">
        <v>598715.79</v>
      </c>
      <c r="G7" s="116">
        <f>$D$7</f>
        <v>598715.79</v>
      </c>
    </row>
    <row r="8" spans="1:7" ht="12.75" customHeight="1">
      <c r="A8" s="5"/>
      <c r="D8" s="54"/>
      <c r="E8" s="26"/>
      <c r="F8" s="12"/>
      <c r="G8" s="12"/>
    </row>
    <row r="9" spans="1:7" ht="12.75" customHeight="1">
      <c r="A9" s="278" t="s">
        <v>507</v>
      </c>
      <c r="B9" s="303"/>
      <c r="D9" s="304"/>
      <c r="E9" s="26"/>
      <c r="F9" s="50"/>
      <c r="G9" s="50"/>
    </row>
    <row r="10" spans="1:7" ht="12.75" customHeight="1">
      <c r="A10" s="278" t="s">
        <v>508</v>
      </c>
      <c r="B10" s="303"/>
      <c r="D10" s="1">
        <f>SUMIF($F$6:$YX$6,$D$1,F10:YX10)</f>
        <v>524150.03878196015</v>
      </c>
      <c r="E10" s="26"/>
      <c r="F10" s="10">
        <v>524150.03878196015</v>
      </c>
      <c r="G10" s="10">
        <f>[3]Summary!$B$3+[3]Summary!$B$8+[3]Summary!$B$13+[3]Summary!$B$18</f>
        <v>524150.03878196015</v>
      </c>
    </row>
    <row r="11" spans="1:7" ht="12.75" customHeight="1">
      <c r="A11" s="278" t="s">
        <v>509</v>
      </c>
      <c r="D11" s="1">
        <f>SUMIF($F$6:$YX$6,$D$1,F11:YX11)</f>
        <v>68041.685000000012</v>
      </c>
      <c r="E11" s="26"/>
      <c r="F11" s="10">
        <v>68041.685000000012</v>
      </c>
      <c r="G11" s="10">
        <f>[3]Summary!$B$4+[3]Summary!$B$9+[3]Summary!$B$14+[3]Summary!$B$19</f>
        <v>68041.685000000012</v>
      </c>
    </row>
    <row r="12" spans="1:7" ht="12.75" customHeight="1">
      <c r="A12" s="278" t="s">
        <v>510</v>
      </c>
      <c r="D12" s="1">
        <f>SUMIF($F$6:$YX$6,$D$1,F12:YX12)</f>
        <v>6524.02</v>
      </c>
      <c r="E12" s="26"/>
      <c r="F12" s="10">
        <v>6524.02</v>
      </c>
      <c r="G12" s="10">
        <f>[3]Summary!$B$5+[3]Summary!$B$10+[3]Summary!$B$15+[3]Summary!$B$20</f>
        <v>6524.02</v>
      </c>
    </row>
    <row r="13" spans="1:7" ht="12.75" customHeight="1">
      <c r="A13" s="278"/>
      <c r="B13" s="24"/>
      <c r="D13" s="54"/>
      <c r="E13" s="26"/>
      <c r="F13" s="12"/>
      <c r="G13" s="12"/>
    </row>
    <row r="14" spans="1:7" ht="12.75" customHeight="1">
      <c r="A14" s="305"/>
      <c r="B14" s="74"/>
      <c r="D14" s="31"/>
      <c r="E14" s="26"/>
      <c r="F14" s="12"/>
      <c r="G14" s="12"/>
    </row>
    <row r="15" spans="1:7" ht="12.75" customHeight="1">
      <c r="A15" s="305" t="s">
        <v>511</v>
      </c>
      <c r="D15" s="1">
        <f>SUMIF($F$6:$YX$6,$D$1,F15:YX15)</f>
        <v>0</v>
      </c>
      <c r="E15" s="26"/>
      <c r="F15" s="10"/>
      <c r="G15" s="10"/>
    </row>
    <row r="16" spans="1:7" ht="12.75" customHeight="1">
      <c r="A16" s="305"/>
      <c r="B16" s="139"/>
      <c r="C16" s="31"/>
      <c r="D16" s="24"/>
      <c r="E16" s="26"/>
      <c r="F16" s="12"/>
      <c r="G16" s="12"/>
    </row>
    <row r="17" spans="1:7" ht="12.75" customHeight="1">
      <c r="A17" s="305"/>
      <c r="B17" s="139"/>
      <c r="C17" s="31"/>
      <c r="E17" s="26"/>
      <c r="F17" s="12"/>
      <c r="G17" s="12"/>
    </row>
    <row r="18" spans="1:7" ht="12.75" customHeight="1">
      <c r="A18" s="306"/>
      <c r="B18" s="307"/>
      <c r="C18" s="308"/>
      <c r="E18" s="26"/>
      <c r="F18" s="17">
        <v>598715.74378196022</v>
      </c>
      <c r="G18" s="17">
        <f t="shared" ref="G18" si="0">SUM(G10:G15)</f>
        <v>598715.74378196022</v>
      </c>
    </row>
    <row r="19" spans="1:7" ht="12.75" customHeight="1">
      <c r="A19" s="306"/>
      <c r="B19" s="307"/>
      <c r="C19" s="308"/>
      <c r="E19" s="26"/>
      <c r="F19" s="12"/>
      <c r="G19" s="12"/>
    </row>
    <row r="20" spans="1:7" ht="12.75" customHeight="1">
      <c r="A20" s="306"/>
      <c r="B20" s="307"/>
      <c r="C20" s="308"/>
      <c r="E20" s="26"/>
      <c r="F20" s="17">
        <v>-4.6218039817176759E-2</v>
      </c>
      <c r="G20" s="17">
        <f t="shared" ref="G20" si="1">G18-G7</f>
        <v>-4.6218039817176759E-2</v>
      </c>
    </row>
    <row r="21" spans="1:7" ht="12.75" customHeight="1">
      <c r="A21" s="306"/>
      <c r="B21" s="307"/>
      <c r="C21" s="308"/>
    </row>
    <row r="22" spans="1:7" ht="12.75" customHeight="1">
      <c r="A22" s="306"/>
      <c r="B22" s="307"/>
      <c r="C22" s="308"/>
    </row>
    <row r="23" spans="1:7" ht="12.75" customHeight="1">
      <c r="A23" s="272"/>
      <c r="B23" s="31"/>
      <c r="C23" s="31"/>
    </row>
    <row r="24" spans="1:7" ht="12.75" customHeight="1">
      <c r="A24" s="188"/>
      <c r="B24" s="309"/>
      <c r="C24" s="310"/>
    </row>
    <row r="25" spans="1:7" ht="12.75" customHeight="1">
      <c r="B25" s="311"/>
    </row>
    <row r="29" spans="1:7" ht="12.75" customHeight="1">
      <c r="A29" s="5" t="s">
        <v>362</v>
      </c>
      <c r="B29" s="31"/>
      <c r="D29" s="74">
        <f>SUM(D10:D25)</f>
        <v>598715.74378196022</v>
      </c>
    </row>
    <row r="30" spans="1:7" ht="12.75" customHeight="1">
      <c r="D30" s="1"/>
    </row>
    <row r="31" spans="1:7" ht="12.75" customHeight="1">
      <c r="D31" s="54"/>
    </row>
    <row r="32" spans="1:7" ht="12.75" customHeight="1">
      <c r="A32" s="13" t="s">
        <v>370</v>
      </c>
      <c r="B32" s="271"/>
      <c r="D32" s="312">
        <f>D7-D29</f>
        <v>4.6218039817176759E-2</v>
      </c>
    </row>
    <row r="33" spans="1:7" ht="12.75" customHeight="1">
      <c r="D33" s="54"/>
    </row>
    <row r="34" spans="1:7" ht="12.75" customHeight="1">
      <c r="C34" s="54"/>
    </row>
    <row r="35" spans="1:7" ht="12.75" customHeight="1">
      <c r="A35" s="25" t="str">
        <f>'Cash in Hand-1020'!A26</f>
        <v>Charmaine Chan</v>
      </c>
      <c r="C35" s="54"/>
    </row>
    <row r="36" spans="1:7" ht="12.75" customHeight="1" outlineLevel="1">
      <c r="A36" s="5" t="s">
        <v>372</v>
      </c>
      <c r="F36" s="31"/>
      <c r="G36" s="31"/>
    </row>
    <row r="37" spans="1:7" ht="12.75" customHeight="1" outlineLevel="1">
      <c r="A37" s="5"/>
      <c r="F37" s="5"/>
      <c r="G37" s="5"/>
    </row>
    <row r="38" spans="1:7" ht="12.75" customHeight="1" outlineLevel="1">
      <c r="A38" s="5"/>
      <c r="E38" s="24"/>
      <c r="F38" s="31"/>
      <c r="G38" s="31"/>
    </row>
    <row r="39" spans="1:7" ht="12.75" customHeight="1" outlineLevel="1">
      <c r="A39" s="5"/>
      <c r="E39" s="24"/>
      <c r="F39" s="31"/>
      <c r="G39" s="31"/>
    </row>
    <row r="40" spans="1:7" ht="12.75" customHeight="1" outlineLevel="1">
      <c r="A40" s="25"/>
      <c r="E40" s="24"/>
      <c r="F40" s="31"/>
      <c r="G40" s="31"/>
    </row>
    <row r="41" spans="1:7" ht="12.75" customHeight="1" outlineLevel="1">
      <c r="A41" s="5" t="s">
        <v>373</v>
      </c>
      <c r="E41" s="313"/>
      <c r="F41" s="31"/>
      <c r="G41" s="31"/>
    </row>
    <row r="42" spans="1:7" ht="12.75" customHeight="1" outlineLevel="1">
      <c r="E42" s="313"/>
      <c r="F42" s="31"/>
      <c r="G42" s="31"/>
    </row>
    <row r="43" spans="1:7" ht="12.75" customHeight="1" outlineLevel="1">
      <c r="A43" s="5"/>
      <c r="B43" s="5"/>
      <c r="C43" s="22"/>
      <c r="E43" s="313"/>
      <c r="F43" s="31"/>
      <c r="G43" s="31"/>
    </row>
    <row r="44" spans="1:7" ht="12.75" customHeight="1" outlineLevel="1">
      <c r="A44" s="24"/>
      <c r="B44" s="314"/>
      <c r="E44" s="313"/>
      <c r="F44" s="31"/>
      <c r="G44" s="31"/>
    </row>
    <row r="45" spans="1:7" ht="12.75" customHeight="1" outlineLevel="1">
      <c r="A45" s="24"/>
      <c r="B45" s="314"/>
      <c r="E45" s="313"/>
      <c r="F45" s="31"/>
      <c r="G45" s="31"/>
    </row>
    <row r="46" spans="1:7" ht="12.75" customHeight="1" outlineLevel="1">
      <c r="B46" s="314"/>
      <c r="E46" s="313"/>
      <c r="F46" s="31"/>
      <c r="G46" s="31"/>
    </row>
    <row r="47" spans="1:7" ht="12.75" customHeight="1" outlineLevel="1">
      <c r="B47" s="314"/>
      <c r="E47" s="313"/>
      <c r="F47" s="31"/>
      <c r="G47" s="31"/>
    </row>
    <row r="48" spans="1:7" ht="12.75" customHeight="1" outlineLevel="1">
      <c r="A48" s="24"/>
      <c r="B48" s="314"/>
      <c r="E48" s="313"/>
      <c r="F48" s="31"/>
      <c r="G48" s="31"/>
    </row>
    <row r="49" spans="1:7" ht="12.75" customHeight="1" outlineLevel="1">
      <c r="A49" s="24"/>
      <c r="B49" s="314"/>
      <c r="F49" s="31"/>
      <c r="G49" s="31"/>
    </row>
    <row r="50" spans="1:7" ht="12.75" customHeight="1" outlineLevel="1">
      <c r="B50" s="314"/>
      <c r="F50" s="74"/>
      <c r="G50" s="74"/>
    </row>
    <row r="51" spans="1:7" ht="12.75" customHeight="1" outlineLevel="1">
      <c r="B51" s="314"/>
    </row>
    <row r="52" spans="1:7" ht="12.75" customHeight="1">
      <c r="A52" s="24"/>
      <c r="B52" s="314"/>
    </row>
    <row r="53" spans="1:7" ht="12.75" customHeight="1">
      <c r="B53" s="314"/>
    </row>
    <row r="54" spans="1:7" ht="12.75" customHeight="1">
      <c r="B54" s="314"/>
    </row>
    <row r="55" spans="1:7" ht="12.75" customHeight="1">
      <c r="A55" s="315"/>
    </row>
  </sheetData>
  <mergeCells count="1">
    <mergeCell ref="A1:C1"/>
  </mergeCells>
  <pageMargins left="0.75" right="0.75" top="1" bottom="1" header="0.5" footer="0.5"/>
  <pageSetup scale="79" orientation="landscape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F95"/>
  <sheetViews>
    <sheetView workbookViewId="0">
      <selection activeCell="P1" sqref="P1:P1048576"/>
    </sheetView>
  </sheetViews>
  <sheetFormatPr defaultColWidth="9" defaultRowHeight="12.75" customHeight="1"/>
  <cols>
    <col min="1" max="1" width="40.81640625" customWidth="1"/>
    <col min="2" max="2" width="15.81640625" customWidth="1"/>
    <col min="3" max="3" width="15.81640625" style="1" customWidth="1"/>
    <col min="4" max="4" width="10.1796875" customWidth="1"/>
    <col min="5" max="5" width="12.81640625" hidden="1" customWidth="1" collapsed="1"/>
    <col min="6" max="6" width="12.81640625" customWidth="1" collapsed="1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3" spans="1:6" ht="12.75" customHeight="1">
      <c r="A3" s="5" t="str">
        <f>+'Stock-1220'!A3</f>
        <v xml:space="preserve">BALANCE AS AT </v>
      </c>
    </row>
    <row r="5" spans="1:6" ht="12.75" customHeight="1">
      <c r="A5" s="5" t="s">
        <v>512</v>
      </c>
      <c r="B5" s="5"/>
      <c r="C5" s="22"/>
    </row>
    <row r="6" spans="1:6" ht="12.75" customHeight="1">
      <c r="A6" s="5"/>
      <c r="B6" s="5"/>
      <c r="C6" s="8"/>
    </row>
    <row r="7" spans="1:6" ht="12.75" customHeight="1">
      <c r="A7" s="5" t="s">
        <v>513</v>
      </c>
      <c r="B7" s="5"/>
      <c r="C7" s="8"/>
    </row>
    <row r="8" spans="1:6" ht="12.75" customHeight="1">
      <c r="A8" s="5"/>
      <c r="B8" s="5"/>
      <c r="C8" s="8"/>
      <c r="D8" s="26"/>
      <c r="E8" s="7">
        <v>44805</v>
      </c>
      <c r="F8" s="7">
        <f>E8+30</f>
        <v>44835</v>
      </c>
    </row>
    <row r="9" spans="1:6" ht="12.75" customHeight="1">
      <c r="A9" s="5" t="s">
        <v>367</v>
      </c>
      <c r="B9" s="5"/>
      <c r="C9" s="8">
        <f>'Trial Balance'!F23</f>
        <v>169936.3</v>
      </c>
      <c r="D9" s="26"/>
      <c r="E9" s="116">
        <v>169936.3</v>
      </c>
      <c r="F9" s="116">
        <f>$C$9</f>
        <v>169936.3</v>
      </c>
    </row>
    <row r="10" spans="1:6" ht="12.75" customHeight="1">
      <c r="C10" s="54"/>
      <c r="D10" s="26"/>
      <c r="E10" s="12"/>
      <c r="F10" s="12"/>
    </row>
    <row r="11" spans="1:6" ht="12.75" customHeight="1">
      <c r="A11" s="5" t="s">
        <v>514</v>
      </c>
      <c r="C11" s="54"/>
      <c r="D11" s="26"/>
      <c r="E11" s="12"/>
      <c r="F11" s="12"/>
    </row>
    <row r="12" spans="1:6" ht="12.75" customHeight="1">
      <c r="A12" s="24" t="s">
        <v>515</v>
      </c>
      <c r="C12" s="1">
        <f>SUMIF(E8:YW8,D1,E12:YW12)</f>
        <v>169936.26172727274</v>
      </c>
      <c r="D12" s="26"/>
      <c r="E12" s="10">
        <v>169936.26172727274</v>
      </c>
      <c r="F12" s="10">
        <f>[4]Schedule!$T$1339</f>
        <v>169936.26172727274</v>
      </c>
    </row>
    <row r="13" spans="1:6" ht="12.75" customHeight="1">
      <c r="C13" s="54"/>
      <c r="D13" s="26"/>
      <c r="E13" s="12"/>
      <c r="F13" s="12"/>
    </row>
    <row r="14" spans="1:6" s="5" customFormat="1" ht="12.75" customHeight="1">
      <c r="A14" s="5" t="s">
        <v>362</v>
      </c>
      <c r="C14" s="171">
        <f>SUM(C12:C13)</f>
        <v>169936.26172727274</v>
      </c>
      <c r="D14" s="300"/>
      <c r="E14" s="21">
        <v>169936.26172727274</v>
      </c>
      <c r="F14" s="21">
        <f t="shared" ref="F14" si="0">F12</f>
        <v>169936.26172727274</v>
      </c>
    </row>
    <row r="15" spans="1:6" ht="12.75" customHeight="1">
      <c r="A15" s="218"/>
      <c r="C15" s="55"/>
      <c r="D15" s="26"/>
      <c r="E15" s="12"/>
      <c r="F15" s="12"/>
    </row>
    <row r="16" spans="1:6" ht="12.75" customHeight="1">
      <c r="A16" s="13" t="s">
        <v>370</v>
      </c>
      <c r="B16" s="14"/>
      <c r="C16" s="160">
        <f>C9-C14</f>
        <v>3.8272727251751348E-2</v>
      </c>
      <c r="D16" s="26"/>
      <c r="E16" s="17">
        <v>-3.8272727251751348E-2</v>
      </c>
      <c r="F16" s="17">
        <f t="shared" ref="F16" si="1">F14-F9</f>
        <v>-3.8272727251751348E-2</v>
      </c>
    </row>
    <row r="17" spans="1:4" ht="12.75" customHeight="1">
      <c r="C17" s="55"/>
    </row>
    <row r="18" spans="1:4" ht="12.75" customHeight="1">
      <c r="C18" s="55"/>
    </row>
    <row r="19" spans="1:4" ht="12.75" customHeight="1">
      <c r="C19" s="104"/>
    </row>
    <row r="21" spans="1:4" ht="12.75" customHeight="1">
      <c r="A21" s="25" t="str">
        <f>'Cash in Hand-1020'!A26</f>
        <v>Charmaine Chan</v>
      </c>
    </row>
    <row r="22" spans="1:4" ht="12.75" customHeight="1">
      <c r="A22" s="5" t="s">
        <v>372</v>
      </c>
    </row>
    <row r="23" spans="1:4" ht="12.75" customHeight="1">
      <c r="A23" s="5"/>
    </row>
    <row r="24" spans="1:4" ht="12.75" customHeight="1">
      <c r="A24" s="5"/>
    </row>
    <row r="25" spans="1:4" ht="12.75" customHeight="1">
      <c r="A25" s="5"/>
    </row>
    <row r="26" spans="1:4" ht="12.75" customHeight="1">
      <c r="A26" s="25"/>
    </row>
    <row r="27" spans="1:4" ht="12.75" customHeight="1">
      <c r="A27" s="5" t="s">
        <v>373</v>
      </c>
    </row>
    <row r="28" spans="1:4" ht="12.5">
      <c r="B28" s="24"/>
      <c r="C28" s="19"/>
      <c r="D28" s="301"/>
    </row>
    <row r="30" spans="1:4" ht="12.75" customHeight="1">
      <c r="A30" s="24"/>
      <c r="B30" s="302"/>
      <c r="D30" s="105"/>
    </row>
    <row r="31" spans="1:4" ht="12.75" customHeight="1">
      <c r="B31" s="302"/>
      <c r="D31" s="105"/>
    </row>
    <row r="32" spans="1:4" ht="12.75" customHeight="1">
      <c r="B32" s="302"/>
      <c r="D32" s="105"/>
    </row>
    <row r="33" spans="2:4" ht="12.75" customHeight="1">
      <c r="B33" s="302"/>
      <c r="D33" s="105"/>
    </row>
    <row r="34" spans="2:4" ht="12.75" customHeight="1">
      <c r="B34" s="302"/>
      <c r="D34" s="105"/>
    </row>
    <row r="35" spans="2:4" ht="12.75" customHeight="1">
      <c r="B35" s="302"/>
      <c r="D35" s="105"/>
    </row>
    <row r="36" spans="2:4" ht="12.75" customHeight="1">
      <c r="B36" s="302"/>
      <c r="D36" s="105"/>
    </row>
    <row r="37" spans="2:4" ht="12.75" customHeight="1">
      <c r="B37" s="302"/>
      <c r="D37" s="105"/>
    </row>
    <row r="38" spans="2:4" ht="12.75" customHeight="1">
      <c r="B38" s="302"/>
      <c r="D38" s="105"/>
    </row>
    <row r="39" spans="2:4" ht="12.75" customHeight="1">
      <c r="B39" s="302"/>
      <c r="D39" s="105"/>
    </row>
    <row r="40" spans="2:4" ht="12.75" customHeight="1">
      <c r="B40" s="302"/>
      <c r="D40" s="105"/>
    </row>
    <row r="41" spans="2:4" ht="12.75" customHeight="1">
      <c r="B41" s="302"/>
      <c r="D41" s="105"/>
    </row>
    <row r="42" spans="2:4" ht="12.75" customHeight="1">
      <c r="B42" s="302"/>
      <c r="D42" s="105"/>
    </row>
    <row r="43" spans="2:4" ht="12.75" customHeight="1">
      <c r="B43" s="302"/>
      <c r="D43" s="105"/>
    </row>
    <row r="44" spans="2:4" ht="12.75" customHeight="1">
      <c r="B44" s="302"/>
      <c r="D44" s="105"/>
    </row>
    <row r="45" spans="2:4" ht="12.75" customHeight="1">
      <c r="B45" s="302"/>
      <c r="D45" s="105"/>
    </row>
    <row r="46" spans="2:4" ht="12.75" customHeight="1">
      <c r="B46" s="302"/>
      <c r="D46" s="105"/>
    </row>
    <row r="47" spans="2:4" ht="12.75" customHeight="1">
      <c r="B47" s="302"/>
      <c r="D47" s="105"/>
    </row>
    <row r="48" spans="2:4" ht="12.75" customHeight="1">
      <c r="B48" s="302"/>
      <c r="D48" s="105"/>
    </row>
    <row r="49" spans="2:4" ht="12.75" customHeight="1">
      <c r="B49" s="302"/>
      <c r="D49" s="105"/>
    </row>
    <row r="50" spans="2:4" ht="12.75" customHeight="1">
      <c r="B50" s="302"/>
      <c r="D50" s="105"/>
    </row>
    <row r="51" spans="2:4" ht="12.75" customHeight="1">
      <c r="B51" s="302"/>
      <c r="D51" s="105"/>
    </row>
    <row r="52" spans="2:4" ht="12.75" customHeight="1">
      <c r="B52" s="302"/>
      <c r="D52" s="105"/>
    </row>
    <row r="53" spans="2:4" ht="12.75" customHeight="1">
      <c r="B53" s="302"/>
      <c r="D53" s="105"/>
    </row>
    <row r="54" spans="2:4" ht="12.75" customHeight="1">
      <c r="B54" s="302"/>
      <c r="D54" s="105"/>
    </row>
    <row r="55" spans="2:4" ht="12.75" customHeight="1">
      <c r="B55" s="302"/>
      <c r="D55" s="105"/>
    </row>
    <row r="56" spans="2:4" ht="12.75" customHeight="1">
      <c r="B56" s="302"/>
      <c r="D56" s="105"/>
    </row>
    <row r="57" spans="2:4" ht="12.75" customHeight="1">
      <c r="B57" s="302"/>
      <c r="D57" s="105"/>
    </row>
    <row r="58" spans="2:4" ht="12.75" customHeight="1">
      <c r="B58" s="302"/>
      <c r="D58" s="105"/>
    </row>
    <row r="59" spans="2:4" ht="12.75" customHeight="1">
      <c r="B59" s="302"/>
      <c r="D59" s="105"/>
    </row>
    <row r="60" spans="2:4" ht="12.75" customHeight="1">
      <c r="B60" s="302"/>
      <c r="D60" s="105"/>
    </row>
    <row r="61" spans="2:4" ht="12.75" customHeight="1">
      <c r="B61" s="302"/>
      <c r="D61" s="105"/>
    </row>
    <row r="62" spans="2:4" ht="12.75" customHeight="1">
      <c r="B62" s="302"/>
      <c r="D62" s="105"/>
    </row>
    <row r="63" spans="2:4" ht="12.75" customHeight="1">
      <c r="B63" s="302"/>
      <c r="D63" s="105"/>
    </row>
    <row r="64" spans="2:4" ht="12.75" customHeight="1">
      <c r="B64" s="302"/>
      <c r="D64" s="105"/>
    </row>
    <row r="65" spans="2:4" ht="12.75" customHeight="1">
      <c r="B65" s="302"/>
      <c r="D65" s="105"/>
    </row>
    <row r="66" spans="2:4" ht="12.75" customHeight="1">
      <c r="B66" s="302"/>
      <c r="D66" s="105"/>
    </row>
    <row r="67" spans="2:4" ht="12.75" customHeight="1">
      <c r="B67" s="302"/>
      <c r="D67" s="105"/>
    </row>
    <row r="68" spans="2:4" ht="12.75" customHeight="1">
      <c r="B68" s="302"/>
      <c r="D68" s="105"/>
    </row>
    <row r="69" spans="2:4" ht="12.75" customHeight="1">
      <c r="B69" s="302"/>
      <c r="D69" s="105"/>
    </row>
    <row r="70" spans="2:4" ht="12.75" customHeight="1">
      <c r="B70" s="302"/>
      <c r="D70" s="105"/>
    </row>
    <row r="71" spans="2:4" ht="12.75" customHeight="1">
      <c r="B71" s="302"/>
      <c r="D71" s="105"/>
    </row>
    <row r="72" spans="2:4" ht="12.75" customHeight="1">
      <c r="B72" s="302"/>
      <c r="D72" s="105"/>
    </row>
    <row r="73" spans="2:4" ht="12.75" customHeight="1">
      <c r="B73" s="302"/>
      <c r="D73" s="105"/>
    </row>
    <row r="74" spans="2:4" ht="12.75" customHeight="1">
      <c r="B74" s="302"/>
      <c r="D74" s="105"/>
    </row>
    <row r="75" spans="2:4" ht="12.75" customHeight="1">
      <c r="B75" s="302"/>
      <c r="D75" s="105"/>
    </row>
    <row r="76" spans="2:4" ht="12.75" customHeight="1">
      <c r="B76" s="302"/>
      <c r="D76" s="105"/>
    </row>
    <row r="77" spans="2:4" ht="12.75" customHeight="1">
      <c r="B77" s="302"/>
      <c r="D77" s="105"/>
    </row>
    <row r="78" spans="2:4" ht="12.75" customHeight="1">
      <c r="B78" s="302"/>
      <c r="D78" s="105"/>
    </row>
    <row r="79" spans="2:4" ht="12.75" customHeight="1">
      <c r="B79" s="302"/>
      <c r="D79" s="105"/>
    </row>
    <row r="80" spans="2:4" ht="12.75" customHeight="1">
      <c r="B80" s="302"/>
      <c r="D80" s="105"/>
    </row>
    <row r="81" spans="2:4" ht="12.75" customHeight="1">
      <c r="B81" s="302"/>
      <c r="D81" s="105"/>
    </row>
    <row r="82" spans="2:4" ht="12.75" customHeight="1">
      <c r="B82" s="302"/>
      <c r="D82" s="105"/>
    </row>
    <row r="83" spans="2:4" ht="12.75" customHeight="1">
      <c r="B83" s="302"/>
      <c r="D83" s="105"/>
    </row>
    <row r="84" spans="2:4" ht="12.75" customHeight="1">
      <c r="B84" s="302"/>
      <c r="D84" s="105"/>
    </row>
    <row r="85" spans="2:4" ht="12.75" customHeight="1">
      <c r="B85" s="302"/>
      <c r="D85" s="105"/>
    </row>
    <row r="86" spans="2:4" ht="12.75" customHeight="1">
      <c r="B86" s="302"/>
      <c r="C86" s="105"/>
    </row>
    <row r="87" spans="2:4" ht="12.75" customHeight="1">
      <c r="C87"/>
    </row>
    <row r="88" spans="2:4" ht="12.75" customHeight="1">
      <c r="C88"/>
    </row>
    <row r="89" spans="2:4" ht="12.75" customHeight="1">
      <c r="C89"/>
    </row>
    <row r="90" spans="2:4" ht="12.75" customHeight="1">
      <c r="C90"/>
    </row>
    <row r="91" spans="2:4" ht="12.75" customHeight="1">
      <c r="C91"/>
    </row>
    <row r="92" spans="2:4" ht="12.75" customHeight="1">
      <c r="C92"/>
    </row>
    <row r="93" spans="2:4" ht="12.75" customHeight="1">
      <c r="C93"/>
    </row>
    <row r="94" spans="2:4" ht="12.75" customHeight="1">
      <c r="C94"/>
    </row>
    <row r="95" spans="2:4" ht="12.75" customHeight="1">
      <c r="C95"/>
    </row>
  </sheetData>
  <mergeCells count="1">
    <mergeCell ref="A1:C1"/>
  </mergeCells>
  <pageMargins left="0.75" right="0.75" top="1" bottom="1" header="0.5" footer="0.5"/>
  <pageSetup orientation="landscape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F38"/>
  <sheetViews>
    <sheetView workbookViewId="0">
      <selection activeCell="P1" sqref="P1:P1048576"/>
    </sheetView>
  </sheetViews>
  <sheetFormatPr defaultColWidth="9" defaultRowHeight="12.75" customHeight="1"/>
  <cols>
    <col min="1" max="1" width="49.81640625" customWidth="1"/>
    <col min="2" max="2" width="6.81640625" customWidth="1"/>
    <col min="3" max="3" width="15.81640625" style="291" customWidth="1"/>
    <col min="4" max="4" width="10.1796875" customWidth="1"/>
    <col min="5" max="5" width="11.54296875" hidden="1" customWidth="1" collapsed="1"/>
    <col min="6" max="6" width="11.54296875" customWidth="1" collapsed="1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2" spans="1:6" ht="12.75" customHeight="1">
      <c r="C2" s="1"/>
    </row>
    <row r="3" spans="1:6" ht="12.75" customHeight="1">
      <c r="A3" s="5" t="str">
        <f>+'Stock-1220'!A3</f>
        <v xml:space="preserve">BALANCE AS AT </v>
      </c>
      <c r="C3" s="1"/>
    </row>
    <row r="4" spans="1:6" ht="12.75" customHeight="1">
      <c r="A4" s="5"/>
      <c r="B4" s="5"/>
      <c r="C4" s="4"/>
    </row>
    <row r="5" spans="1:6" ht="12.75" customHeight="1">
      <c r="A5" s="5" t="s">
        <v>516</v>
      </c>
      <c r="B5" s="5"/>
      <c r="C5" s="4"/>
    </row>
    <row r="6" spans="1:6" ht="12.75" customHeight="1">
      <c r="A6" s="5"/>
      <c r="B6" s="5"/>
      <c r="C6" s="4"/>
    </row>
    <row r="7" spans="1:6" ht="12.75" customHeight="1">
      <c r="A7" s="5" t="s">
        <v>517</v>
      </c>
      <c r="B7" s="5"/>
      <c r="C7" s="4"/>
    </row>
    <row r="8" spans="1:6" ht="12.75" customHeight="1">
      <c r="A8" s="5"/>
      <c r="B8" s="5"/>
      <c r="C8" s="190"/>
      <c r="D8" s="26"/>
      <c r="E8" s="7">
        <v>44805</v>
      </c>
      <c r="F8" s="7">
        <f>E8+30</f>
        <v>44835</v>
      </c>
    </row>
    <row r="9" spans="1:6" ht="12.75" customHeight="1">
      <c r="A9" s="5" t="s">
        <v>367</v>
      </c>
      <c r="B9" s="5"/>
      <c r="C9" s="190">
        <f>'Trial Balance'!F24</f>
        <v>9953.82</v>
      </c>
      <c r="D9" s="26"/>
      <c r="E9" s="292">
        <v>9953.82</v>
      </c>
      <c r="F9" s="292">
        <f>$C$9</f>
        <v>9953.82</v>
      </c>
    </row>
    <row r="10" spans="1:6" ht="12.75" customHeight="1">
      <c r="A10" s="278"/>
      <c r="C10" s="189"/>
      <c r="D10" s="26"/>
      <c r="E10" s="9"/>
      <c r="F10" s="9"/>
    </row>
    <row r="11" spans="1:6" ht="12.75" customHeight="1">
      <c r="A11" s="272" t="s">
        <v>856</v>
      </c>
      <c r="C11" s="293"/>
      <c r="D11" s="26"/>
      <c r="E11" s="9"/>
      <c r="F11" s="9"/>
    </row>
    <row r="12" spans="1:6" ht="12.75" customHeight="1">
      <c r="A12" s="272"/>
      <c r="C12" s="293"/>
      <c r="D12" s="26"/>
      <c r="E12" s="9"/>
      <c r="F12" s="9"/>
    </row>
    <row r="13" spans="1:6" ht="12.75" customHeight="1">
      <c r="A13" s="272" t="s">
        <v>518</v>
      </c>
      <c r="C13" s="294">
        <f>SUMIF($E$8:$YW$8,$D$1,E13:YW13)</f>
        <v>8756.3901150000038</v>
      </c>
      <c r="D13" s="295"/>
      <c r="E13" s="147">
        <v>8756.3901150000038</v>
      </c>
      <c r="F13" s="147">
        <f>'[5]Clac FY22'!$E$15</f>
        <v>8756.3901150000038</v>
      </c>
    </row>
    <row r="14" spans="1:6" ht="12.75" customHeight="1">
      <c r="A14" s="272" t="s">
        <v>519</v>
      </c>
      <c r="C14" s="294">
        <f>SUMIF($E$8:$YW$8,$D$1,E14:YW14)</f>
        <v>0</v>
      </c>
      <c r="D14" s="295"/>
      <c r="E14" s="147">
        <v>0</v>
      </c>
      <c r="F14" s="147">
        <f>'[6]Clac FY21'!$E$16</f>
        <v>0</v>
      </c>
    </row>
    <row r="15" spans="1:6" ht="12.75" customHeight="1">
      <c r="A15" s="272" t="s">
        <v>520</v>
      </c>
      <c r="B15" s="24"/>
      <c r="C15" s="294">
        <f>SUMIF($E$8:$YW$8,$D$1,E15:YW15)</f>
        <v>1197.1688999999985</v>
      </c>
      <c r="D15" s="295"/>
      <c r="E15" s="147">
        <v>1197.1688999999985</v>
      </c>
      <c r="F15" s="147">
        <f>'[5]Clac FY22'!$E$17</f>
        <v>1197.1688999999985</v>
      </c>
    </row>
    <row r="16" spans="1:6" ht="12.75" customHeight="1">
      <c r="A16" s="272" t="s">
        <v>521</v>
      </c>
      <c r="B16" s="24"/>
      <c r="C16" s="294">
        <f>SUMIF($E$8:$YW$8,$D$1,E16:YW16)</f>
        <v>0</v>
      </c>
      <c r="D16" s="295"/>
      <c r="E16" s="102"/>
      <c r="F16" s="102"/>
    </row>
    <row r="17" spans="1:6" ht="12.75" customHeight="1">
      <c r="A17" s="272"/>
      <c r="B17" s="24"/>
      <c r="C17" s="296"/>
      <c r="D17" s="295"/>
      <c r="E17" s="9"/>
      <c r="F17" s="9"/>
    </row>
    <row r="18" spans="1:6" s="5" customFormat="1" ht="12.75" customHeight="1">
      <c r="A18" s="5" t="s">
        <v>522</v>
      </c>
      <c r="C18" s="190">
        <f>SUM(C13:C17)</f>
        <v>9953.5590150000025</v>
      </c>
      <c r="D18" s="297"/>
      <c r="E18" s="123">
        <v>9953.5590150000025</v>
      </c>
      <c r="F18" s="123">
        <f t="shared" ref="F18" si="0">SUM(F13:F16)</f>
        <v>9953.5590150000025</v>
      </c>
    </row>
    <row r="19" spans="1:6" ht="12.75" customHeight="1">
      <c r="A19" s="24"/>
      <c r="C19" s="189"/>
      <c r="D19" s="26"/>
      <c r="E19" s="9"/>
      <c r="F19" s="9"/>
    </row>
    <row r="20" spans="1:6" ht="12.75" customHeight="1">
      <c r="A20" s="13" t="s">
        <v>370</v>
      </c>
      <c r="B20" s="14"/>
      <c r="C20" s="160">
        <f>C9-C18</f>
        <v>0.26098499999716296</v>
      </c>
      <c r="D20" s="26"/>
      <c r="E20" s="298">
        <v>-0.26098499999716296</v>
      </c>
      <c r="F20" s="298">
        <f t="shared" ref="F20" si="1">F18-F9</f>
        <v>-0.26098499999716296</v>
      </c>
    </row>
    <row r="22" spans="1:6" ht="12.75" customHeight="1">
      <c r="A22" s="24"/>
    </row>
    <row r="23" spans="1:6" ht="12.75" customHeight="1">
      <c r="C23" s="299"/>
      <c r="D23" s="24"/>
    </row>
    <row r="24" spans="1:6" ht="12.75" customHeight="1">
      <c r="C24" s="299"/>
      <c r="D24" s="24"/>
    </row>
    <row r="25" spans="1:6" ht="12.75" customHeight="1">
      <c r="A25" s="25" t="str">
        <f>'Cash in Hand-1020'!A26</f>
        <v>Charmaine Chan</v>
      </c>
      <c r="C25" s="299"/>
      <c r="D25" s="24"/>
    </row>
    <row r="26" spans="1:6" ht="12.75" customHeight="1">
      <c r="A26" s="5" t="s">
        <v>372</v>
      </c>
      <c r="C26" s="299"/>
      <c r="D26" s="24"/>
    </row>
    <row r="27" spans="1:6" ht="12.75" customHeight="1">
      <c r="A27" s="5"/>
      <c r="C27" s="299"/>
      <c r="D27" s="24"/>
    </row>
    <row r="28" spans="1:6" ht="12.75" customHeight="1">
      <c r="A28" s="5"/>
      <c r="C28" s="299"/>
      <c r="D28" s="24"/>
    </row>
    <row r="29" spans="1:6" ht="12.75" customHeight="1">
      <c r="A29" s="5"/>
      <c r="C29" s="299"/>
      <c r="D29" s="24"/>
    </row>
    <row r="30" spans="1:6" ht="12.75" customHeight="1">
      <c r="A30" s="25"/>
      <c r="C30" s="299"/>
      <c r="D30" s="24"/>
    </row>
    <row r="31" spans="1:6" ht="12.75" customHeight="1">
      <c r="A31" s="5" t="s">
        <v>373</v>
      </c>
      <c r="C31" s="299"/>
      <c r="D31" s="24"/>
    </row>
    <row r="32" spans="1:6" ht="12.75" customHeight="1">
      <c r="C32" s="299"/>
    </row>
    <row r="33" spans="3:3" ht="12.75" customHeight="1">
      <c r="C33" s="299"/>
    </row>
    <row r="34" spans="3:3" ht="12.75" customHeight="1">
      <c r="C34" s="299"/>
    </row>
    <row r="35" spans="3:3" ht="12.75" customHeight="1">
      <c r="C35" s="299"/>
    </row>
    <row r="36" spans="3:3" ht="12.75" customHeight="1">
      <c r="C36" s="299"/>
    </row>
    <row r="37" spans="3:3" ht="12.75" customHeight="1">
      <c r="C37" s="299"/>
    </row>
    <row r="38" spans="3:3" ht="12.75" customHeight="1">
      <c r="C38" s="299"/>
    </row>
  </sheetData>
  <mergeCells count="1">
    <mergeCell ref="A1:C1"/>
  </mergeCells>
  <pageMargins left="0.75" right="0.75" top="1" bottom="1" header="0.5" footer="0.5"/>
  <pageSetup orientation="landscape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F29"/>
  <sheetViews>
    <sheetView workbookViewId="0">
      <selection activeCell="P1" sqref="P1:P1048576"/>
    </sheetView>
  </sheetViews>
  <sheetFormatPr defaultColWidth="9" defaultRowHeight="12.75" customHeight="1"/>
  <cols>
    <col min="1" max="1" width="40.81640625" customWidth="1"/>
    <col min="2" max="2" width="6.81640625" customWidth="1"/>
    <col min="3" max="3" width="13" style="287" customWidth="1"/>
    <col min="5" max="5" width="14" hidden="1" customWidth="1" collapsed="1"/>
    <col min="6" max="6" width="14" customWidth="1" collapsed="1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2" spans="1:6" ht="12.75" customHeight="1">
      <c r="A2" s="2"/>
      <c r="B2" s="2"/>
      <c r="C2" s="288"/>
    </row>
    <row r="3" spans="1:6" ht="12.75" customHeight="1">
      <c r="A3" s="5" t="str">
        <f>+'WIP-1270'!A3</f>
        <v xml:space="preserve">BALANCE AS AT </v>
      </c>
      <c r="B3" s="2"/>
      <c r="C3" s="288"/>
    </row>
    <row r="4" spans="1:6" ht="12.75" customHeight="1">
      <c r="A4" s="5"/>
      <c r="B4" s="2"/>
      <c r="C4" s="288"/>
    </row>
    <row r="5" spans="1:6" ht="12.75" customHeight="1">
      <c r="A5" s="5" t="s">
        <v>523</v>
      </c>
      <c r="B5" s="5"/>
      <c r="C5" s="288"/>
    </row>
    <row r="6" spans="1:6" ht="12.75" customHeight="1">
      <c r="A6" s="5"/>
      <c r="B6" s="5"/>
      <c r="C6" s="288"/>
    </row>
    <row r="7" spans="1:6" ht="12.75" customHeight="1">
      <c r="A7" s="5" t="s">
        <v>524</v>
      </c>
      <c r="B7" s="5"/>
      <c r="C7" s="288"/>
    </row>
    <row r="8" spans="1:6" ht="12.75" customHeight="1">
      <c r="A8" s="5"/>
      <c r="B8" s="5"/>
      <c r="C8" s="288"/>
      <c r="D8" s="60"/>
      <c r="E8" s="7">
        <v>44805</v>
      </c>
      <c r="F8" s="7">
        <f>E8+30</f>
        <v>44835</v>
      </c>
    </row>
    <row r="9" spans="1:6" ht="12.75" customHeight="1">
      <c r="A9" s="5" t="s">
        <v>367</v>
      </c>
      <c r="B9" s="5"/>
      <c r="C9" s="288">
        <f>'Trial Balance'!F25</f>
        <v>2811315.67</v>
      </c>
      <c r="D9" s="60"/>
      <c r="E9" s="10">
        <v>2811315.67</v>
      </c>
      <c r="F9" s="10">
        <f>$C$9</f>
        <v>2811315.67</v>
      </c>
    </row>
    <row r="10" spans="1:6" ht="12.75" customHeight="1">
      <c r="D10" s="60"/>
      <c r="E10" s="12"/>
      <c r="F10" s="12"/>
    </row>
    <row r="11" spans="1:6" s="5" customFormat="1" ht="12.75" customHeight="1">
      <c r="A11" s="278" t="s">
        <v>525</v>
      </c>
      <c r="B11" s="289"/>
      <c r="C11" s="74">
        <f>SUMIF(E8:YW8,D1,E11:YW11)</f>
        <v>2811315.6719999998</v>
      </c>
      <c r="D11" s="115"/>
      <c r="E11" s="10">
        <v>2811315.6719999998</v>
      </c>
      <c r="F11" s="10">
        <f>'[7]Deferred Tax FY21'!$J$117</f>
        <v>2811315.6719999998</v>
      </c>
    </row>
    <row r="12" spans="1:6" ht="12.75" customHeight="1">
      <c r="D12" s="60"/>
      <c r="E12" s="12"/>
      <c r="F12" s="12"/>
    </row>
    <row r="13" spans="1:6" ht="12.75" customHeight="1">
      <c r="A13" s="5" t="s">
        <v>526</v>
      </c>
      <c r="C13" s="290">
        <f>SUMIF(E8:YW8,D1,E13:YW13)</f>
        <v>0</v>
      </c>
      <c r="D13" s="60"/>
      <c r="E13" s="10"/>
      <c r="F13" s="10"/>
    </row>
    <row r="14" spans="1:6" ht="12.75" customHeight="1">
      <c r="A14" s="5"/>
      <c r="C14" s="288"/>
      <c r="D14" s="60"/>
      <c r="E14" s="12"/>
      <c r="F14" s="12"/>
    </row>
    <row r="15" spans="1:6" ht="12.75" customHeight="1">
      <c r="A15" s="5"/>
      <c r="C15" s="288"/>
      <c r="D15" s="60"/>
      <c r="E15" s="12"/>
      <c r="F15" s="12"/>
    </row>
    <row r="16" spans="1:6" ht="12.75" customHeight="1">
      <c r="A16" s="5" t="s">
        <v>362</v>
      </c>
      <c r="C16" s="288">
        <f>SUM(C11:C15)</f>
        <v>2811315.6719999998</v>
      </c>
      <c r="D16" s="60"/>
      <c r="E16" s="279">
        <v>2811315.6719999998</v>
      </c>
      <c r="F16" s="279">
        <f t="shared" ref="F16" si="0">F11+F13</f>
        <v>2811315.6719999998</v>
      </c>
    </row>
    <row r="17" spans="1:6" ht="12.75" customHeight="1">
      <c r="A17" s="24"/>
      <c r="D17" s="60"/>
      <c r="E17" s="12"/>
      <c r="F17" s="12"/>
    </row>
    <row r="18" spans="1:6" ht="12.75" customHeight="1">
      <c r="A18" s="13" t="s">
        <v>370</v>
      </c>
      <c r="B18" s="14"/>
      <c r="C18" s="160">
        <f>C9-C16</f>
        <v>-1.999999862164259E-3</v>
      </c>
      <c r="D18" s="60"/>
      <c r="E18" s="17">
        <v>1.999999862164259E-3</v>
      </c>
      <c r="F18" s="17">
        <f t="shared" ref="F18" si="1">F16-F9</f>
        <v>1.999999862164259E-3</v>
      </c>
    </row>
    <row r="23" spans="1:6" ht="12.75" customHeight="1">
      <c r="A23" s="25" t="str">
        <f>'Cash in Hand-1020'!A26</f>
        <v>Charmaine Chan</v>
      </c>
    </row>
    <row r="24" spans="1:6" ht="12.75" customHeight="1">
      <c r="A24" s="5" t="s">
        <v>372</v>
      </c>
    </row>
    <row r="25" spans="1:6" ht="12.75" customHeight="1">
      <c r="A25" s="5"/>
    </row>
    <row r="26" spans="1:6" ht="12.75" customHeight="1">
      <c r="A26" s="5"/>
    </row>
    <row r="27" spans="1:6" ht="12.75" customHeight="1">
      <c r="A27" s="5"/>
    </row>
    <row r="28" spans="1:6" ht="12.75" customHeight="1">
      <c r="A28" s="25"/>
    </row>
    <row r="29" spans="1:6" ht="12.75" customHeight="1">
      <c r="A29" s="5" t="s">
        <v>373</v>
      </c>
    </row>
  </sheetData>
  <mergeCells count="1">
    <mergeCell ref="A1:C1"/>
  </mergeCells>
  <pageMargins left="0.75" right="0.75" top="1" bottom="1" header="0.5" footer="0.5"/>
  <pageSetup orientation="landscape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pageSetUpPr fitToPage="1"/>
  </sheetPr>
  <dimension ref="A1:G32"/>
  <sheetViews>
    <sheetView workbookViewId="0">
      <selection activeCell="L2" sqref="L2"/>
    </sheetView>
  </sheetViews>
  <sheetFormatPr defaultColWidth="9" defaultRowHeight="12.75" customHeight="1"/>
  <cols>
    <col min="1" max="1" width="40.81640625" customWidth="1"/>
    <col min="2" max="2" width="15.81640625" customWidth="1"/>
    <col min="3" max="3" width="15.81640625" style="1" customWidth="1"/>
    <col min="5" max="5" width="12.1796875" customWidth="1"/>
    <col min="7" max="7" width="10.1796875" customWidth="1"/>
  </cols>
  <sheetData>
    <row r="1" spans="1:7" ht="12.75" customHeight="1">
      <c r="A1" s="473" t="s">
        <v>364</v>
      </c>
      <c r="B1" s="473"/>
      <c r="C1" s="473"/>
    </row>
    <row r="3" spans="1:7" ht="12.75" customHeight="1">
      <c r="A3" s="5" t="str">
        <f>+'Def Tax Asset Current-1290'!A3</f>
        <v xml:space="preserve">BALANCE AS AT </v>
      </c>
    </row>
    <row r="5" spans="1:7" ht="12.75" customHeight="1">
      <c r="A5" s="5" t="s">
        <v>527</v>
      </c>
      <c r="B5" s="5"/>
      <c r="C5" s="22"/>
    </row>
    <row r="6" spans="1:7" ht="12.75" customHeight="1">
      <c r="A6" s="5"/>
      <c r="B6" s="5"/>
      <c r="C6" s="22"/>
    </row>
    <row r="7" spans="1:7" ht="12.75" customHeight="1">
      <c r="A7" s="5" t="s">
        <v>528</v>
      </c>
      <c r="B7" s="5"/>
      <c r="C7" s="22"/>
    </row>
    <row r="8" spans="1:7" ht="12.75" customHeight="1">
      <c r="A8" s="5"/>
      <c r="B8" s="5"/>
      <c r="C8" s="155"/>
    </row>
    <row r="9" spans="1:7" ht="12.75" customHeight="1">
      <c r="A9" s="5" t="s">
        <v>367</v>
      </c>
      <c r="B9" s="5"/>
      <c r="C9" s="171" t="e">
        <f>'Trial Balance'!#REF!</f>
        <v>#REF!</v>
      </c>
    </row>
    <row r="10" spans="1:7" ht="12.75" customHeight="1">
      <c r="A10" s="24"/>
      <c r="B10" s="5"/>
      <c r="C10" s="171"/>
    </row>
    <row r="11" spans="1:7" ht="12.75" customHeight="1">
      <c r="C11" s="164"/>
      <c r="E11" s="284"/>
    </row>
    <row r="12" spans="1:7" ht="12.75" customHeight="1">
      <c r="A12" s="24"/>
      <c r="C12" s="164"/>
      <c r="E12" s="284"/>
    </row>
    <row r="13" spans="1:7" ht="12.75" customHeight="1">
      <c r="A13" s="24"/>
      <c r="C13" s="285">
        <f>SUM(C10:C12)</f>
        <v>0</v>
      </c>
      <c r="E13" s="135"/>
      <c r="G13" s="135"/>
    </row>
    <row r="14" spans="1:7" ht="12.75" customHeight="1">
      <c r="A14" s="24"/>
      <c r="C14" s="286"/>
    </row>
    <row r="15" spans="1:7" ht="12.75" customHeight="1">
      <c r="A15" s="18" t="s">
        <v>370</v>
      </c>
      <c r="C15" s="55" t="e">
        <f>C9-C13</f>
        <v>#REF!</v>
      </c>
    </row>
    <row r="16" spans="1:7" ht="12.75" customHeight="1">
      <c r="C16" s="171"/>
    </row>
    <row r="17" spans="1:3" ht="12.75" customHeight="1">
      <c r="C17" s="155"/>
    </row>
    <row r="18" spans="1:3" ht="12.75" customHeight="1">
      <c r="C18" s="171"/>
    </row>
    <row r="19" spans="1:3" ht="12.75" customHeight="1">
      <c r="C19" s="155"/>
    </row>
    <row r="20" spans="1:3" ht="12.75" customHeight="1">
      <c r="C20" s="55"/>
    </row>
    <row r="21" spans="1:3" ht="12.75" customHeight="1">
      <c r="A21" s="18"/>
      <c r="C21" s="55"/>
    </row>
    <row r="22" spans="1:3" ht="12.75" customHeight="1">
      <c r="C22" s="155"/>
    </row>
    <row r="26" spans="1:3" ht="12.75" customHeight="1">
      <c r="A26" s="25" t="str">
        <f>'Cash in Hand-1020'!A26</f>
        <v>Charmaine Chan</v>
      </c>
    </row>
    <row r="27" spans="1:3" ht="12.75" customHeight="1">
      <c r="A27" s="5" t="s">
        <v>372</v>
      </c>
    </row>
    <row r="28" spans="1:3" ht="12.75" customHeight="1">
      <c r="A28" s="5"/>
      <c r="C28"/>
    </row>
    <row r="29" spans="1:3" ht="12.75" customHeight="1">
      <c r="A29" s="5"/>
      <c r="C29"/>
    </row>
    <row r="30" spans="1:3" ht="12.75" customHeight="1">
      <c r="A30" s="5"/>
      <c r="C30"/>
    </row>
    <row r="31" spans="1:3" ht="12.75" customHeight="1">
      <c r="A31" s="25"/>
      <c r="C31"/>
    </row>
    <row r="32" spans="1:3" ht="12.75" customHeight="1">
      <c r="A32" s="5" t="s">
        <v>373</v>
      </c>
      <c r="C32"/>
    </row>
  </sheetData>
  <mergeCells count="1">
    <mergeCell ref="A1:C1"/>
  </mergeCells>
  <pageMargins left="0.75" right="0.75" top="1" bottom="1" header="0.5" footer="0.5"/>
  <pageSetup orientation="portrait" cellComments="asDisplayed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F35"/>
  <sheetViews>
    <sheetView workbookViewId="0">
      <selection activeCell="P1" sqref="P1:P1048576"/>
    </sheetView>
  </sheetViews>
  <sheetFormatPr defaultColWidth="9" defaultRowHeight="12.75" customHeight="1"/>
  <cols>
    <col min="1" max="1" width="40.81640625" customWidth="1"/>
    <col min="2" max="2" width="6" customWidth="1"/>
    <col min="3" max="3" width="15.81640625" style="1" customWidth="1"/>
    <col min="4" max="4" width="7.81640625" customWidth="1"/>
    <col min="5" max="5" width="13.453125" hidden="1" customWidth="1" collapsed="1"/>
    <col min="6" max="6" width="13.453125" customWidth="1" collapsed="1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3" spans="1:6" ht="12.75" customHeight="1">
      <c r="A3" s="5" t="str">
        <f>+'Def Tax Asset Current-1290'!A3</f>
        <v xml:space="preserve">BALANCE AS AT </v>
      </c>
    </row>
    <row r="5" spans="1:6" ht="12.75" customHeight="1">
      <c r="A5" s="5" t="s">
        <v>529</v>
      </c>
      <c r="B5" s="5"/>
      <c r="C5" s="22"/>
    </row>
    <row r="6" spans="1:6" ht="12.75" customHeight="1">
      <c r="A6" s="5"/>
      <c r="B6" s="5"/>
      <c r="C6" s="22"/>
    </row>
    <row r="7" spans="1:6" ht="12.75" customHeight="1">
      <c r="A7" s="5" t="s">
        <v>530</v>
      </c>
      <c r="B7" s="5"/>
      <c r="C7" s="22"/>
    </row>
    <row r="8" spans="1:6" ht="12.75" customHeight="1">
      <c r="A8" s="5"/>
      <c r="B8" s="5"/>
      <c r="C8" s="155"/>
      <c r="D8" s="26"/>
      <c r="E8" s="7">
        <v>44805</v>
      </c>
      <c r="F8" s="7">
        <f>E8+30</f>
        <v>44835</v>
      </c>
    </row>
    <row r="9" spans="1:6" ht="12.75" customHeight="1">
      <c r="A9" s="5" t="s">
        <v>367</v>
      </c>
      <c r="B9" s="5"/>
      <c r="C9" s="171">
        <f>'Trial Balance'!F26</f>
        <v>3485920.43</v>
      </c>
      <c r="D9" s="26"/>
      <c r="E9" s="10">
        <v>3485920.43</v>
      </c>
      <c r="F9" s="10">
        <f>$C$9</f>
        <v>3485920.43</v>
      </c>
    </row>
    <row r="10" spans="1:6" ht="12.75" customHeight="1">
      <c r="A10" s="5"/>
      <c r="B10" s="5"/>
      <c r="C10" s="171"/>
      <c r="D10" s="26"/>
      <c r="E10" s="12"/>
      <c r="F10" s="12"/>
    </row>
    <row r="11" spans="1:6" ht="12.75" customHeight="1">
      <c r="A11" t="s">
        <v>531</v>
      </c>
      <c r="C11" s="1">
        <f>SUMIF(E8:YW8,D1,E11:YW11)</f>
        <v>3485920.43</v>
      </c>
      <c r="D11" s="26"/>
      <c r="E11" s="52">
        <v>3485920.43</v>
      </c>
      <c r="F11" s="52">
        <f>[8]Summary!$G$8</f>
        <v>3485920.43</v>
      </c>
    </row>
    <row r="12" spans="1:6" ht="12.75" customHeight="1">
      <c r="A12" t="s">
        <v>532</v>
      </c>
      <c r="C12" s="55"/>
      <c r="D12" s="26"/>
      <c r="E12" s="12"/>
      <c r="F12" s="12"/>
    </row>
    <row r="13" spans="1:6" ht="12.75" customHeight="1">
      <c r="A13" s="13" t="s">
        <v>370</v>
      </c>
      <c r="B13" s="14"/>
      <c r="C13" s="160">
        <f>C9-C11</f>
        <v>0</v>
      </c>
      <c r="D13" s="26"/>
      <c r="E13" s="17">
        <v>0</v>
      </c>
      <c r="F13" s="17">
        <f t="shared" ref="F13" si="0">F11-F9</f>
        <v>0</v>
      </c>
    </row>
    <row r="14" spans="1:6" ht="12.75" customHeight="1">
      <c r="C14" s="171"/>
    </row>
    <row r="15" spans="1:6" ht="12.75" customHeight="1">
      <c r="C15" s="171"/>
    </row>
    <row r="16" spans="1:6" ht="12.75" customHeight="1">
      <c r="A16" s="5" t="s">
        <v>533</v>
      </c>
      <c r="C16" s="171"/>
    </row>
    <row r="17" spans="1:6" ht="12.75" customHeight="1">
      <c r="A17" s="5"/>
      <c r="C17" s="171"/>
    </row>
    <row r="18" spans="1:6" ht="12.75" customHeight="1">
      <c r="A18" s="5" t="s">
        <v>534</v>
      </c>
      <c r="C18" s="171"/>
    </row>
    <row r="19" spans="1:6" ht="12.75" customHeight="1">
      <c r="C19" s="171"/>
      <c r="D19" s="26"/>
      <c r="E19" s="7">
        <v>44805</v>
      </c>
      <c r="F19" s="7">
        <f t="shared" ref="F19" si="1">F8</f>
        <v>44835</v>
      </c>
    </row>
    <row r="20" spans="1:6" ht="12.75" customHeight="1">
      <c r="A20" t="s">
        <v>367</v>
      </c>
      <c r="C20" s="155">
        <f>'Trial Balance'!F37</f>
        <v>-2817240.59</v>
      </c>
      <c r="D20" s="282"/>
      <c r="E20" s="10">
        <v>-2817240.59</v>
      </c>
      <c r="F20" s="10">
        <f>$C$20</f>
        <v>-2817240.59</v>
      </c>
    </row>
    <row r="21" spans="1:6" ht="12.75" customHeight="1">
      <c r="C21" s="171"/>
      <c r="D21" s="26"/>
      <c r="E21" s="12"/>
      <c r="F21" s="12"/>
    </row>
    <row r="22" spans="1:6" ht="12.75" customHeight="1">
      <c r="A22" t="s">
        <v>531</v>
      </c>
      <c r="C22" s="1">
        <f>SUMIF(E19:YW19,D1,E22:YW22)</f>
        <v>-2817240.59</v>
      </c>
      <c r="D22" s="26"/>
      <c r="E22" s="52">
        <v>-2817240.59</v>
      </c>
      <c r="F22" s="52">
        <f>[8]Summary!$N$8</f>
        <v>-2817240.59</v>
      </c>
    </row>
    <row r="23" spans="1:6" ht="12.75" customHeight="1">
      <c r="C23" s="55"/>
      <c r="D23" s="26"/>
      <c r="E23" s="12"/>
      <c r="F23" s="12"/>
    </row>
    <row r="24" spans="1:6" ht="12.75" customHeight="1">
      <c r="A24" s="13" t="s">
        <v>370</v>
      </c>
      <c r="B24" s="14"/>
      <c r="C24" s="160">
        <f>C20-C22</f>
        <v>0</v>
      </c>
      <c r="D24" s="26"/>
      <c r="E24" s="17">
        <v>0</v>
      </c>
      <c r="F24" s="17">
        <f t="shared" ref="F24" si="2">F22-F20</f>
        <v>0</v>
      </c>
    </row>
    <row r="25" spans="1:6" ht="12.75" customHeight="1">
      <c r="C25" s="155"/>
    </row>
    <row r="29" spans="1:6" ht="12.75" customHeight="1">
      <c r="A29" s="25" t="str">
        <f>'Cash in Hand-1020'!A26</f>
        <v>Charmaine Chan</v>
      </c>
    </row>
    <row r="30" spans="1:6" ht="12.75" customHeight="1">
      <c r="A30" s="5" t="s">
        <v>372</v>
      </c>
    </row>
    <row r="31" spans="1:6" ht="12.75" customHeight="1">
      <c r="A31" s="5"/>
    </row>
    <row r="32" spans="1:6" ht="12.75" customHeight="1">
      <c r="A32" s="5"/>
    </row>
    <row r="33" spans="1:1" ht="12.75" customHeight="1">
      <c r="A33" s="5"/>
    </row>
    <row r="34" spans="1:1" ht="12.75" customHeight="1">
      <c r="A34" s="25"/>
    </row>
    <row r="35" spans="1:1" ht="12.75" customHeight="1">
      <c r="A35" s="5" t="s">
        <v>373</v>
      </c>
    </row>
  </sheetData>
  <mergeCells count="1">
    <mergeCell ref="A1:C1"/>
  </mergeCells>
  <pageMargins left="0.75" right="0.75" top="1" bottom="1" header="0.5" footer="0.5"/>
  <pageSetup orientation="landscape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F35"/>
  <sheetViews>
    <sheetView workbookViewId="0">
      <selection activeCell="P1" sqref="P1:P1048576"/>
    </sheetView>
  </sheetViews>
  <sheetFormatPr defaultColWidth="9" defaultRowHeight="12.75" customHeight="1"/>
  <cols>
    <col min="1" max="1" width="40.81640625" customWidth="1"/>
    <col min="2" max="2" width="15.81640625" customWidth="1"/>
    <col min="3" max="3" width="15.81640625" style="1" customWidth="1"/>
    <col min="5" max="5" width="13.453125" hidden="1" customWidth="1" collapsed="1"/>
    <col min="6" max="6" width="13.453125" customWidth="1" collapsed="1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3" spans="1:6" ht="12.75" customHeight="1">
      <c r="A3" s="5" t="str">
        <f>+'LE-1370&amp;1520'!A3</f>
        <v xml:space="preserve">BALANCE AS AT </v>
      </c>
    </row>
    <row r="5" spans="1:6" ht="12.75" customHeight="1">
      <c r="A5" s="5" t="s">
        <v>535</v>
      </c>
      <c r="B5" s="5"/>
      <c r="C5" s="22"/>
    </row>
    <row r="6" spans="1:6" ht="12.75" customHeight="1">
      <c r="A6" s="5"/>
      <c r="B6" s="5"/>
      <c r="C6" s="22"/>
    </row>
    <row r="7" spans="1:6" ht="12.75" customHeight="1">
      <c r="A7" s="5" t="s">
        <v>536</v>
      </c>
      <c r="B7" s="5"/>
      <c r="C7" s="22"/>
    </row>
    <row r="8" spans="1:6" ht="12.75" customHeight="1">
      <c r="A8" s="5"/>
      <c r="B8" s="5"/>
      <c r="C8" s="22"/>
      <c r="D8" s="26"/>
      <c r="E8" s="7">
        <v>44805</v>
      </c>
      <c r="F8" s="7">
        <f>E8+30</f>
        <v>44835</v>
      </c>
    </row>
    <row r="9" spans="1:6" ht="12.75" customHeight="1">
      <c r="A9" s="5" t="s">
        <v>367</v>
      </c>
      <c r="B9" s="5"/>
      <c r="C9" s="8">
        <f>'Trial Balance'!F27</f>
        <v>7799</v>
      </c>
      <c r="D9" s="26"/>
      <c r="E9" s="10">
        <v>7799</v>
      </c>
      <c r="F9" s="10">
        <f>$C$9</f>
        <v>7799</v>
      </c>
    </row>
    <row r="10" spans="1:6" ht="12.75" customHeight="1">
      <c r="A10" s="5"/>
      <c r="B10" s="5"/>
      <c r="C10" s="8"/>
      <c r="D10" s="26"/>
      <c r="E10" s="12"/>
      <c r="F10" s="12"/>
    </row>
    <row r="11" spans="1:6" ht="12.75" customHeight="1">
      <c r="A11" t="s">
        <v>537</v>
      </c>
      <c r="C11" s="1">
        <f>SUMIF(E8:YW8,D1,E11:YW11)</f>
        <v>7799</v>
      </c>
      <c r="D11" s="26"/>
      <c r="E11" s="52">
        <v>7799</v>
      </c>
      <c r="F11" s="52">
        <f>[8]Summary!$G$10</f>
        <v>7799</v>
      </c>
    </row>
    <row r="12" spans="1:6" ht="12.75" customHeight="1">
      <c r="C12" s="8"/>
      <c r="D12" s="26"/>
      <c r="E12" s="12"/>
      <c r="F12" s="12"/>
    </row>
    <row r="13" spans="1:6" ht="12.75" customHeight="1">
      <c r="A13" s="13" t="s">
        <v>370</v>
      </c>
      <c r="B13" s="14"/>
      <c r="C13" s="160">
        <f>C9-C11</f>
        <v>0</v>
      </c>
      <c r="D13" s="26"/>
      <c r="E13" s="17">
        <v>0</v>
      </c>
      <c r="F13" s="17">
        <f t="shared" ref="F13" si="0">F11-F9</f>
        <v>0</v>
      </c>
    </row>
    <row r="14" spans="1:6" ht="12.75" customHeight="1">
      <c r="C14" s="8"/>
      <c r="D14" s="60"/>
      <c r="E14" s="60"/>
      <c r="F14" s="60"/>
    </row>
    <row r="15" spans="1:6" ht="12.75" customHeight="1">
      <c r="C15" s="8"/>
      <c r="D15" s="60"/>
      <c r="E15" s="60"/>
      <c r="F15" s="60"/>
    </row>
    <row r="16" spans="1:6" ht="12.75" customHeight="1">
      <c r="A16" s="5" t="s">
        <v>538</v>
      </c>
      <c r="C16" s="8"/>
      <c r="D16" s="60"/>
      <c r="E16" s="60"/>
      <c r="F16" s="60"/>
    </row>
    <row r="17" spans="1:6" ht="12.75" customHeight="1">
      <c r="A17" s="5"/>
      <c r="C17" s="8"/>
      <c r="D17" s="60"/>
      <c r="E17" s="60"/>
      <c r="F17" s="60"/>
    </row>
    <row r="18" spans="1:6" ht="12.75" customHeight="1">
      <c r="A18" s="5" t="s">
        <v>539</v>
      </c>
      <c r="C18" s="8"/>
      <c r="D18" s="60"/>
      <c r="E18" s="60"/>
      <c r="F18" s="60"/>
    </row>
    <row r="19" spans="1:6" ht="12.75" customHeight="1">
      <c r="C19" s="8"/>
      <c r="D19" s="26"/>
      <c r="E19" s="7">
        <v>44805</v>
      </c>
      <c r="F19" s="7">
        <f t="shared" ref="F19" si="1">F8</f>
        <v>44835</v>
      </c>
    </row>
    <row r="20" spans="1:6" ht="12.75" customHeight="1">
      <c r="A20" t="s">
        <v>367</v>
      </c>
      <c r="C20" s="8">
        <f>'Trial Balance'!F32</f>
        <v>-7799</v>
      </c>
      <c r="D20" s="26"/>
      <c r="E20" s="10">
        <v>-7799</v>
      </c>
      <c r="F20" s="10">
        <f>$C$20</f>
        <v>-7799</v>
      </c>
    </row>
    <row r="21" spans="1:6" ht="12.75" customHeight="1">
      <c r="C21" s="8"/>
      <c r="D21" s="26"/>
      <c r="E21" s="12"/>
      <c r="F21" s="12"/>
    </row>
    <row r="22" spans="1:6" ht="12.75" customHeight="1">
      <c r="A22" t="s">
        <v>537</v>
      </c>
      <c r="C22" s="1">
        <f>SUMIF(E19:YW19,D1,E22:YW22)</f>
        <v>-7799</v>
      </c>
      <c r="D22" s="26"/>
      <c r="E22" s="52">
        <v>-7799</v>
      </c>
      <c r="F22" s="52">
        <f>[8]Summary!$N$10</f>
        <v>-7799</v>
      </c>
    </row>
    <row r="23" spans="1:6" ht="12.75" customHeight="1">
      <c r="C23" s="22"/>
      <c r="D23" s="26"/>
      <c r="E23" s="12"/>
      <c r="F23" s="12"/>
    </row>
    <row r="24" spans="1:6" ht="12.75" customHeight="1">
      <c r="A24" s="13" t="s">
        <v>370</v>
      </c>
      <c r="B24" s="14"/>
      <c r="C24" s="160">
        <f>C20-C22</f>
        <v>0</v>
      </c>
      <c r="D24" s="26"/>
      <c r="E24" s="17">
        <v>0</v>
      </c>
      <c r="F24" s="17">
        <f t="shared" ref="F24" si="2">F22-F20</f>
        <v>0</v>
      </c>
    </row>
    <row r="25" spans="1:6" ht="12.75" customHeight="1">
      <c r="C25" s="22"/>
    </row>
    <row r="26" spans="1:6" ht="12.75" customHeight="1">
      <c r="C26" s="22"/>
    </row>
    <row r="27" spans="1:6" ht="12.75" customHeight="1">
      <c r="C27" s="22"/>
    </row>
    <row r="28" spans="1:6" ht="12.75" customHeight="1">
      <c r="C28" s="22"/>
    </row>
    <row r="29" spans="1:6" ht="12.75" customHeight="1">
      <c r="A29" s="25" t="str">
        <f>'Cash in Hand-1020'!A26</f>
        <v>Charmaine Chan</v>
      </c>
      <c r="C29" s="22"/>
    </row>
    <row r="30" spans="1:6" ht="12.75" customHeight="1">
      <c r="A30" s="5" t="s">
        <v>372</v>
      </c>
      <c r="C30" s="22"/>
    </row>
    <row r="31" spans="1:6" ht="12.75" customHeight="1">
      <c r="A31" s="5"/>
      <c r="C31" s="22"/>
    </row>
    <row r="32" spans="1:6" ht="12.75" customHeight="1">
      <c r="A32" s="5"/>
      <c r="C32" s="22"/>
    </row>
    <row r="33" spans="1:3" ht="12.75" customHeight="1">
      <c r="A33" s="5"/>
      <c r="C33" s="22"/>
    </row>
    <row r="34" spans="1:3" ht="12.75" customHeight="1">
      <c r="A34" s="25"/>
      <c r="C34" s="22"/>
    </row>
    <row r="35" spans="1:3" ht="12.75" customHeight="1">
      <c r="A35" s="5" t="s">
        <v>373</v>
      </c>
      <c r="C35" s="22"/>
    </row>
  </sheetData>
  <mergeCells count="1">
    <mergeCell ref="A1:C1"/>
  </mergeCells>
  <pageMargins left="0.75" right="0.75" top="1" bottom="1" header="0.5" footer="0.5"/>
  <pageSetup orientation="landscape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F35"/>
  <sheetViews>
    <sheetView topLeftCell="A2" workbookViewId="0">
      <selection activeCell="P1" sqref="P1:P1048576"/>
    </sheetView>
  </sheetViews>
  <sheetFormatPr defaultColWidth="9" defaultRowHeight="12.75" customHeight="1"/>
  <cols>
    <col min="1" max="1" width="40.81640625" customWidth="1"/>
    <col min="2" max="2" width="10.81640625" customWidth="1"/>
    <col min="3" max="3" width="13.453125" style="22" customWidth="1"/>
    <col min="5" max="5" width="13.81640625" hidden="1" customWidth="1" collapsed="1"/>
    <col min="6" max="6" width="13.81640625" customWidth="1" collapsed="1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3" spans="1:6" ht="12.75" customHeight="1">
      <c r="A3" s="5" t="str">
        <f>+'MV-1400&amp;1470'!A3</f>
        <v xml:space="preserve">BALANCE AS AT </v>
      </c>
    </row>
    <row r="5" spans="1:6" ht="12.75" customHeight="1">
      <c r="A5" s="5" t="s">
        <v>540</v>
      </c>
      <c r="B5" s="5"/>
    </row>
    <row r="6" spans="1:6" ht="12.75" customHeight="1">
      <c r="A6" s="5"/>
      <c r="B6" s="5"/>
    </row>
    <row r="7" spans="1:6" ht="12.75" customHeight="1">
      <c r="A7" s="5" t="s">
        <v>541</v>
      </c>
      <c r="B7" s="5"/>
    </row>
    <row r="8" spans="1:6" ht="12.75" customHeight="1">
      <c r="A8" s="5"/>
      <c r="B8" s="5"/>
      <c r="D8" s="26"/>
      <c r="E8" s="7">
        <v>44805</v>
      </c>
      <c r="F8" s="7">
        <f>E8+30</f>
        <v>44835</v>
      </c>
    </row>
    <row r="9" spans="1:6" ht="12.75" customHeight="1">
      <c r="A9" s="5" t="s">
        <v>367</v>
      </c>
      <c r="B9" s="5"/>
      <c r="C9" s="8">
        <f>'Trial Balance'!F28</f>
        <v>1286672.73</v>
      </c>
      <c r="D9" s="26"/>
      <c r="E9" s="10">
        <v>1286672.73</v>
      </c>
      <c r="F9" s="10">
        <f>$C$9</f>
        <v>1286672.73</v>
      </c>
    </row>
    <row r="10" spans="1:6" ht="12.75" customHeight="1">
      <c r="A10" s="5"/>
      <c r="B10" s="5"/>
      <c r="C10" s="8"/>
      <c r="D10" s="26"/>
      <c r="E10" s="12"/>
      <c r="F10" s="12"/>
    </row>
    <row r="11" spans="1:6" ht="12.75" customHeight="1">
      <c r="A11" t="s">
        <v>542</v>
      </c>
      <c r="C11" s="22">
        <f>SUMIF(E8:YW8,D1,E11:YW11)</f>
        <v>1286672.7299999997</v>
      </c>
      <c r="D11" s="26"/>
      <c r="E11" s="52">
        <v>1286672.7299999997</v>
      </c>
      <c r="F11" s="52">
        <f>[8]Summary!$G$11</f>
        <v>1286672.7299999997</v>
      </c>
    </row>
    <row r="12" spans="1:6" ht="12.75" customHeight="1">
      <c r="C12" s="8"/>
      <c r="D12" s="26"/>
      <c r="E12" s="12"/>
      <c r="F12" s="12"/>
    </row>
    <row r="13" spans="1:6" ht="12.75" customHeight="1">
      <c r="A13" s="13" t="s">
        <v>370</v>
      </c>
      <c r="B13" s="14"/>
      <c r="C13" s="283">
        <f>C9-C11</f>
        <v>0</v>
      </c>
      <c r="D13" s="26"/>
      <c r="E13" s="17">
        <v>0</v>
      </c>
      <c r="F13" s="17">
        <f t="shared" ref="F13" si="0">F11-F9</f>
        <v>0</v>
      </c>
    </row>
    <row r="14" spans="1:6" ht="12.75" customHeight="1">
      <c r="C14" s="8"/>
    </row>
    <row r="15" spans="1:6" ht="12.75" customHeight="1">
      <c r="C15" s="8"/>
    </row>
    <row r="16" spans="1:6" ht="12.75" customHeight="1">
      <c r="A16" s="5" t="s">
        <v>543</v>
      </c>
      <c r="C16" s="8"/>
    </row>
    <row r="17" spans="1:6" ht="12.75" customHeight="1">
      <c r="A17" s="5"/>
      <c r="C17" s="8"/>
    </row>
    <row r="18" spans="1:6" ht="12.75" customHeight="1">
      <c r="A18" s="5" t="s">
        <v>544</v>
      </c>
      <c r="C18" s="8"/>
    </row>
    <row r="19" spans="1:6" ht="12.75" customHeight="1">
      <c r="C19" s="8"/>
      <c r="D19" s="26"/>
      <c r="E19" s="7">
        <v>44805</v>
      </c>
      <c r="F19" s="7">
        <f t="shared" ref="F19" si="1">F8</f>
        <v>44835</v>
      </c>
    </row>
    <row r="20" spans="1:6" ht="12.75" customHeight="1">
      <c r="A20" t="s">
        <v>367</v>
      </c>
      <c r="C20" s="8">
        <f>'Trial Balance'!F33</f>
        <v>-1224555.71</v>
      </c>
      <c r="D20" s="26"/>
      <c r="E20" s="10">
        <v>-1224555.71</v>
      </c>
      <c r="F20" s="10">
        <f>$C$20</f>
        <v>-1224555.71</v>
      </c>
    </row>
    <row r="21" spans="1:6" ht="12.75" customHeight="1">
      <c r="C21" s="8"/>
      <c r="D21" s="26"/>
      <c r="E21" s="12"/>
      <c r="F21" s="12"/>
    </row>
    <row r="22" spans="1:6" ht="12.75" customHeight="1">
      <c r="A22" t="s">
        <v>542</v>
      </c>
      <c r="C22" s="22">
        <f>SUMIF(E19:YW19,D1,E22:YW22)</f>
        <v>-1224555.71</v>
      </c>
      <c r="D22" s="26"/>
      <c r="E22" s="52">
        <v>-1224555.71</v>
      </c>
      <c r="F22" s="52">
        <f>[8]Summary!$N$11</f>
        <v>-1224555.71</v>
      </c>
    </row>
    <row r="23" spans="1:6" ht="12.75" customHeight="1">
      <c r="C23" s="8"/>
      <c r="D23" s="26"/>
      <c r="E23" s="12"/>
      <c r="F23" s="12"/>
    </row>
    <row r="24" spans="1:6" ht="12.75" customHeight="1">
      <c r="A24" s="13" t="s">
        <v>370</v>
      </c>
      <c r="B24" s="14"/>
      <c r="C24" s="160">
        <f>C20-C22</f>
        <v>0</v>
      </c>
      <c r="D24" s="26"/>
      <c r="E24" s="17">
        <v>0</v>
      </c>
      <c r="F24" s="17">
        <f t="shared" ref="F24" si="2">F22-F20</f>
        <v>0</v>
      </c>
    </row>
    <row r="29" spans="1:6" ht="12.75" customHeight="1">
      <c r="A29" s="25" t="str">
        <f>'Cash in Hand-1020'!A26</f>
        <v>Charmaine Chan</v>
      </c>
    </row>
    <row r="30" spans="1:6" ht="12.75" customHeight="1">
      <c r="A30" s="5" t="s">
        <v>372</v>
      </c>
    </row>
    <row r="31" spans="1:6" ht="12.75" customHeight="1">
      <c r="A31" s="5"/>
    </row>
    <row r="32" spans="1:6" ht="12.75" customHeight="1">
      <c r="A32" s="5"/>
    </row>
    <row r="33" spans="1:1" ht="12.75" customHeight="1">
      <c r="A33" s="5"/>
    </row>
    <row r="34" spans="1:1" ht="12.75" customHeight="1">
      <c r="A34" s="25"/>
    </row>
    <row r="35" spans="1:1" ht="12.75" customHeight="1">
      <c r="A35" s="5" t="s">
        <v>373</v>
      </c>
    </row>
  </sheetData>
  <mergeCells count="1">
    <mergeCell ref="A1:C1"/>
  </mergeCells>
  <pageMargins left="0.75" right="0.75" top="1" bottom="1" header="0.5" footer="0.5"/>
  <pageSetup orientation="landscape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F35"/>
  <sheetViews>
    <sheetView workbookViewId="0">
      <selection activeCell="J36" sqref="J36"/>
    </sheetView>
  </sheetViews>
  <sheetFormatPr defaultColWidth="9" defaultRowHeight="12.75" customHeight="1"/>
  <cols>
    <col min="1" max="1" width="40.81640625" customWidth="1"/>
    <col min="2" max="2" width="10.453125" customWidth="1"/>
    <col min="3" max="3" width="15.81640625" style="22" customWidth="1"/>
    <col min="5" max="5" width="14.1796875" hidden="1" customWidth="1" collapsed="1"/>
    <col min="6" max="6" width="14.1796875" customWidth="1" collapsed="1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3" spans="1:6" ht="12.75" customHeight="1">
      <c r="A3" s="5" t="str">
        <f>+'CHware-1410&amp;1480'!A3</f>
        <v xml:space="preserve">BALANCE AS AT </v>
      </c>
    </row>
    <row r="5" spans="1:6" ht="12.75" customHeight="1">
      <c r="A5" s="5" t="s">
        <v>545</v>
      </c>
      <c r="B5" s="5"/>
    </row>
    <row r="6" spans="1:6" ht="12.75" customHeight="1">
      <c r="A6" s="5"/>
      <c r="B6" s="5"/>
    </row>
    <row r="7" spans="1:6" ht="12.75" customHeight="1">
      <c r="A7" s="5" t="s">
        <v>546</v>
      </c>
      <c r="B7" s="5"/>
    </row>
    <row r="8" spans="1:6" ht="12.75" customHeight="1">
      <c r="A8" s="5"/>
      <c r="B8" s="5"/>
      <c r="D8" s="26"/>
      <c r="E8" s="7">
        <v>44805</v>
      </c>
      <c r="F8" s="7">
        <f>E8+30</f>
        <v>44835</v>
      </c>
    </row>
    <row r="9" spans="1:6" ht="12.75" customHeight="1">
      <c r="A9" s="5" t="s">
        <v>367</v>
      </c>
      <c r="B9" s="5"/>
      <c r="C9" s="8">
        <f>'Trial Balance'!F29</f>
        <v>1560618.6</v>
      </c>
      <c r="D9" s="26"/>
      <c r="E9" s="10">
        <v>1560618.6</v>
      </c>
      <c r="F9" s="10">
        <f>$C$9</f>
        <v>1560618.6</v>
      </c>
    </row>
    <row r="10" spans="1:6" ht="12.75" customHeight="1">
      <c r="A10" s="5"/>
      <c r="B10" s="5"/>
      <c r="C10" s="8"/>
      <c r="D10" s="26"/>
      <c r="E10" s="12"/>
      <c r="F10" s="12"/>
    </row>
    <row r="11" spans="1:6" ht="12.75" customHeight="1">
      <c r="A11" t="s">
        <v>547</v>
      </c>
      <c r="C11" s="22">
        <f>SUMIF(E8:YX8,D1,E11:YX11)</f>
        <v>1560618.6</v>
      </c>
      <c r="D11" s="26"/>
      <c r="E11" s="52">
        <v>1560618.6</v>
      </c>
      <c r="F11" s="52">
        <f>[8]Summary!$G$12</f>
        <v>1560618.6</v>
      </c>
    </row>
    <row r="12" spans="1:6" ht="12.75" customHeight="1">
      <c r="C12" s="8"/>
      <c r="D12" s="26"/>
      <c r="E12" s="12"/>
      <c r="F12" s="12"/>
    </row>
    <row r="13" spans="1:6" ht="12.75" customHeight="1">
      <c r="A13" s="13" t="s">
        <v>370</v>
      </c>
      <c r="B13" s="14"/>
      <c r="C13" s="160">
        <f>C9-C11</f>
        <v>0</v>
      </c>
      <c r="D13" s="26"/>
      <c r="E13" s="17">
        <v>0</v>
      </c>
      <c r="F13" s="17">
        <f t="shared" ref="F13" si="0">F11-F9</f>
        <v>0</v>
      </c>
    </row>
    <row r="14" spans="1:6" ht="12.75" customHeight="1">
      <c r="C14" s="8"/>
    </row>
    <row r="15" spans="1:6" ht="12.75" customHeight="1">
      <c r="C15" s="8"/>
    </row>
    <row r="16" spans="1:6" ht="12.75" customHeight="1">
      <c r="A16" s="5" t="s">
        <v>548</v>
      </c>
      <c r="C16" s="8"/>
    </row>
    <row r="17" spans="1:6" ht="12.75" customHeight="1">
      <c r="A17" s="5"/>
      <c r="C17" s="8"/>
    </row>
    <row r="18" spans="1:6" ht="12.75" customHeight="1">
      <c r="A18" s="5" t="s">
        <v>549</v>
      </c>
      <c r="C18" s="8"/>
    </row>
    <row r="19" spans="1:6" ht="12.75" customHeight="1">
      <c r="C19" s="8"/>
      <c r="D19" s="26"/>
      <c r="E19" s="7">
        <v>44805</v>
      </c>
      <c r="F19" s="7">
        <f t="shared" ref="F19" si="1">F8</f>
        <v>44835</v>
      </c>
    </row>
    <row r="20" spans="1:6" ht="12.75" customHeight="1">
      <c r="A20" t="s">
        <v>367</v>
      </c>
      <c r="C20" s="8">
        <f>'Trial Balance'!F34</f>
        <v>-1551261.06</v>
      </c>
      <c r="D20" s="26"/>
      <c r="E20" s="10">
        <v>-1551261.06</v>
      </c>
      <c r="F20" s="10">
        <f>$C$20</f>
        <v>-1551261.06</v>
      </c>
    </row>
    <row r="21" spans="1:6" ht="12.75" customHeight="1">
      <c r="C21" s="8"/>
      <c r="D21" s="26"/>
      <c r="E21" s="12"/>
      <c r="F21" s="12"/>
    </row>
    <row r="22" spans="1:6" ht="12.75" customHeight="1">
      <c r="A22" t="s">
        <v>547</v>
      </c>
      <c r="C22" s="22">
        <f>SUMIF(E19:YW19,D1,E22:YW22)</f>
        <v>-1551261.06</v>
      </c>
      <c r="D22" s="26"/>
      <c r="E22" s="52">
        <v>-1551261.06</v>
      </c>
      <c r="F22" s="52">
        <f>[8]Summary!$N$12</f>
        <v>-1551261.06</v>
      </c>
    </row>
    <row r="23" spans="1:6" ht="12.75" customHeight="1">
      <c r="C23" s="8"/>
      <c r="D23" s="26"/>
      <c r="E23" s="12"/>
      <c r="F23" s="12"/>
    </row>
    <row r="24" spans="1:6" ht="12.75" customHeight="1">
      <c r="A24" s="13" t="s">
        <v>370</v>
      </c>
      <c r="B24" s="14"/>
      <c r="C24" s="160">
        <f>C20-C22</f>
        <v>0</v>
      </c>
      <c r="D24" s="26"/>
      <c r="E24" s="17">
        <v>0</v>
      </c>
      <c r="F24" s="17">
        <f t="shared" ref="F24" si="2">F22-F20</f>
        <v>0</v>
      </c>
    </row>
    <row r="29" spans="1:6" ht="12.75" customHeight="1">
      <c r="A29" s="25" t="str">
        <f>'Cash in Hand-1020'!A26</f>
        <v>Charmaine Chan</v>
      </c>
    </row>
    <row r="30" spans="1:6" ht="12.75" customHeight="1">
      <c r="A30" s="5" t="s">
        <v>372</v>
      </c>
    </row>
    <row r="31" spans="1:6" ht="12.75" customHeight="1">
      <c r="A31" s="5"/>
    </row>
    <row r="32" spans="1:6" ht="12.75" customHeight="1">
      <c r="A32" s="5"/>
    </row>
    <row r="33" spans="1:1" ht="12.75" customHeight="1">
      <c r="A33" s="5"/>
    </row>
    <row r="34" spans="1:1" ht="12.75" customHeight="1">
      <c r="A34" s="25"/>
    </row>
    <row r="35" spans="1:1" ht="12.75" customHeight="1">
      <c r="A35" s="5" t="s">
        <v>373</v>
      </c>
    </row>
  </sheetData>
  <mergeCells count="1">
    <mergeCell ref="A1:C1"/>
  </mergeCells>
  <pageMargins left="0.75" right="0.75" top="1" bottom="1" header="0.5" footer="0.5"/>
  <pageSetup orientation="landscape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F35"/>
  <sheetViews>
    <sheetView workbookViewId="0">
      <selection activeCell="F30" sqref="F30"/>
    </sheetView>
  </sheetViews>
  <sheetFormatPr defaultColWidth="9" defaultRowHeight="12.75" customHeight="1"/>
  <cols>
    <col min="1" max="1" width="40.81640625" customWidth="1"/>
    <col min="2" max="2" width="15.81640625" customWidth="1"/>
    <col min="3" max="3" width="15.81640625" style="22" customWidth="1"/>
    <col min="4" max="4" width="12.1796875" customWidth="1"/>
    <col min="5" max="5" width="13" hidden="1" customWidth="1" collapsed="1"/>
    <col min="6" max="6" width="13" customWidth="1" collapsed="1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3" spans="1:6" ht="12.75" customHeight="1">
      <c r="A3" s="5" t="str">
        <f>+'CSware-1420&amp;1490'!A3</f>
        <v xml:space="preserve">BALANCE AS AT </v>
      </c>
    </row>
    <row r="5" spans="1:6" ht="12.75" customHeight="1">
      <c r="A5" s="5" t="s">
        <v>550</v>
      </c>
      <c r="B5" s="5"/>
    </row>
    <row r="6" spans="1:6" ht="12.75" customHeight="1">
      <c r="A6" s="5"/>
      <c r="B6" s="5"/>
    </row>
    <row r="7" spans="1:6" ht="12.75" customHeight="1">
      <c r="A7" s="5" t="s">
        <v>551</v>
      </c>
      <c r="B7" s="5"/>
    </row>
    <row r="8" spans="1:6" ht="12.75" customHeight="1">
      <c r="A8" s="5"/>
      <c r="B8" s="5"/>
      <c r="D8" s="26"/>
      <c r="E8" s="7">
        <v>44805</v>
      </c>
      <c r="F8" s="7">
        <f>E8+30</f>
        <v>44835</v>
      </c>
    </row>
    <row r="9" spans="1:6" ht="12.75" customHeight="1">
      <c r="A9" s="5" t="s">
        <v>367</v>
      </c>
      <c r="B9" s="5"/>
      <c r="C9" s="8">
        <f>'Trial Balance'!F30</f>
        <v>5309608.78</v>
      </c>
      <c r="D9" s="26"/>
      <c r="E9" s="10">
        <v>5309608.78</v>
      </c>
      <c r="F9" s="10">
        <f>$C$9</f>
        <v>5309608.78</v>
      </c>
    </row>
    <row r="10" spans="1:6" ht="12.75" customHeight="1">
      <c r="A10" s="5"/>
      <c r="B10" s="5"/>
      <c r="C10" s="171"/>
      <c r="D10" s="26"/>
      <c r="E10" s="12"/>
      <c r="F10" s="12"/>
    </row>
    <row r="11" spans="1:6" ht="12.75" customHeight="1">
      <c r="A11" t="s">
        <v>552</v>
      </c>
      <c r="C11" s="22">
        <f>SUMIF(E8:YW8,D1,E11:YW11)</f>
        <v>5309609.75</v>
      </c>
      <c r="D11" s="26"/>
      <c r="E11" s="52">
        <v>5309609.75</v>
      </c>
      <c r="F11" s="52">
        <f>[8]Summary!$G$13</f>
        <v>5309609.75</v>
      </c>
    </row>
    <row r="12" spans="1:6" ht="12.75" customHeight="1">
      <c r="A12" s="24"/>
      <c r="C12" s="171"/>
      <c r="D12" s="26"/>
      <c r="E12" s="12"/>
      <c r="F12" s="12"/>
    </row>
    <row r="13" spans="1:6" ht="12.75" customHeight="1">
      <c r="A13" s="13" t="s">
        <v>370</v>
      </c>
      <c r="B13" s="14"/>
      <c r="C13" s="160">
        <f>C9-C11</f>
        <v>-0.96999999973922968</v>
      </c>
      <c r="D13" s="26"/>
      <c r="E13" s="17">
        <v>0.96999999973922968</v>
      </c>
      <c r="F13" s="17">
        <f t="shared" ref="F13" si="0">F11-F9</f>
        <v>0.96999999973922968</v>
      </c>
    </row>
    <row r="14" spans="1:6" ht="12.75" customHeight="1">
      <c r="A14" s="18"/>
      <c r="C14" s="55"/>
    </row>
    <row r="15" spans="1:6" ht="12.75" customHeight="1">
      <c r="C15" s="171"/>
    </row>
    <row r="16" spans="1:6" ht="12.75" customHeight="1">
      <c r="A16" s="5" t="s">
        <v>553</v>
      </c>
      <c r="C16" s="171"/>
    </row>
    <row r="17" spans="1:6" ht="12.75" customHeight="1">
      <c r="A17" s="5"/>
      <c r="C17" s="171"/>
    </row>
    <row r="18" spans="1:6" ht="12.75" customHeight="1">
      <c r="A18" s="5" t="s">
        <v>554</v>
      </c>
      <c r="C18" s="171"/>
    </row>
    <row r="19" spans="1:6" ht="12.75" customHeight="1">
      <c r="C19" s="171"/>
      <c r="D19" s="26"/>
      <c r="E19" s="7">
        <v>44805</v>
      </c>
      <c r="F19" s="7">
        <f t="shared" ref="F19" si="1">F8</f>
        <v>44835</v>
      </c>
    </row>
    <row r="20" spans="1:6" ht="12.75" customHeight="1">
      <c r="A20" s="5" t="s">
        <v>367</v>
      </c>
      <c r="C20" s="22">
        <f>'Trial Balance'!F35</f>
        <v>-4456056.8499999996</v>
      </c>
      <c r="D20" s="282"/>
      <c r="E20" s="10">
        <v>-4456056.8499999996</v>
      </c>
      <c r="F20" s="10">
        <f>$C$20</f>
        <v>-4456056.8499999996</v>
      </c>
    </row>
    <row r="21" spans="1:6" ht="12.75" customHeight="1">
      <c r="C21" s="171"/>
      <c r="D21" s="26"/>
      <c r="E21" s="12"/>
      <c r="F21" s="12"/>
    </row>
    <row r="22" spans="1:6" ht="12.75" customHeight="1">
      <c r="A22" t="s">
        <v>552</v>
      </c>
      <c r="C22" s="22">
        <f>SUMIF(E19:YW19,D1,E22:YW22)</f>
        <v>-4456056.8499999996</v>
      </c>
      <c r="D22" s="26"/>
      <c r="E22" s="52">
        <v>-4456056.8499999996</v>
      </c>
      <c r="F22" s="52">
        <f>[8]Summary!$N$13</f>
        <v>-4456056.8499999996</v>
      </c>
    </row>
    <row r="23" spans="1:6" ht="12.75" customHeight="1">
      <c r="C23" s="155"/>
      <c r="D23" s="26"/>
      <c r="E23" s="12"/>
      <c r="F23" s="12"/>
    </row>
    <row r="24" spans="1:6" ht="12.75" customHeight="1">
      <c r="A24" s="13" t="s">
        <v>370</v>
      </c>
      <c r="B24" s="14"/>
      <c r="C24" s="160">
        <f>C20-C22</f>
        <v>0</v>
      </c>
      <c r="D24" s="26"/>
      <c r="E24" s="17">
        <v>0</v>
      </c>
      <c r="F24" s="17">
        <f t="shared" ref="F24" si="2">F22-F20</f>
        <v>0</v>
      </c>
    </row>
    <row r="25" spans="1:6" ht="12.75" customHeight="1">
      <c r="C25" s="155"/>
    </row>
    <row r="26" spans="1:6" ht="12.75" customHeight="1">
      <c r="C26" s="155"/>
    </row>
    <row r="27" spans="1:6" ht="12.75" customHeight="1">
      <c r="C27" s="155"/>
    </row>
    <row r="29" spans="1:6" ht="12.75" customHeight="1">
      <c r="A29" s="25" t="str">
        <f>'Cash in Hand-1020'!A26</f>
        <v>Charmaine Chan</v>
      </c>
    </row>
    <row r="30" spans="1:6" ht="12.75" customHeight="1">
      <c r="A30" s="5" t="s">
        <v>372</v>
      </c>
    </row>
    <row r="31" spans="1:6" ht="12.75" customHeight="1">
      <c r="A31" s="5"/>
    </row>
    <row r="32" spans="1:6" ht="12.75" customHeight="1">
      <c r="A32" s="5"/>
    </row>
    <row r="33" spans="1:1" ht="12.75" customHeight="1">
      <c r="A33" s="5"/>
    </row>
    <row r="34" spans="1:1" ht="12.75" customHeight="1">
      <c r="A34" s="25"/>
    </row>
    <row r="35" spans="1:1" ht="12.75" customHeight="1">
      <c r="A35" s="5" t="s">
        <v>373</v>
      </c>
    </row>
  </sheetData>
  <mergeCells count="1">
    <mergeCell ref="A1:C1"/>
  </mergeCells>
  <pageMargins left="0.75" right="0.75" top="1" bottom="1" header="0.5" footer="0.5"/>
  <pageSetup orientation="landscape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F35"/>
  <sheetViews>
    <sheetView topLeftCell="A2" workbookViewId="0">
      <selection activeCell="N34" sqref="N34"/>
    </sheetView>
  </sheetViews>
  <sheetFormatPr defaultColWidth="9" defaultRowHeight="12.75" customHeight="1"/>
  <cols>
    <col min="1" max="1" width="40.81640625" customWidth="1"/>
    <col min="2" max="2" width="15.81640625" customWidth="1"/>
    <col min="3" max="3" width="15.81640625" style="22" customWidth="1"/>
    <col min="5" max="5" width="11.81640625" hidden="1" customWidth="1" collapsed="1"/>
    <col min="6" max="6" width="11.81640625" customWidth="1" collapsed="1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3" spans="1:6" ht="12.75" customHeight="1">
      <c r="A3" s="5" t="str">
        <f>+'P&amp;E-1430&amp;1500'!A3</f>
        <v xml:space="preserve">BALANCE AS AT </v>
      </c>
    </row>
    <row r="5" spans="1:6" ht="12.75" customHeight="1">
      <c r="A5" s="5" t="s">
        <v>555</v>
      </c>
      <c r="B5" s="5"/>
    </row>
    <row r="6" spans="1:6" ht="12.75" customHeight="1">
      <c r="A6" s="5"/>
      <c r="B6" s="5"/>
    </row>
    <row r="7" spans="1:6" ht="12.75" customHeight="1">
      <c r="A7" s="5" t="s">
        <v>556</v>
      </c>
      <c r="B7" s="5"/>
    </row>
    <row r="8" spans="1:6" ht="12.75" customHeight="1">
      <c r="A8" s="5"/>
      <c r="B8" s="5"/>
      <c r="D8" s="26"/>
      <c r="E8" s="7">
        <v>44805</v>
      </c>
      <c r="F8" s="7">
        <f>E8+30</f>
        <v>44835</v>
      </c>
    </row>
    <row r="9" spans="1:6" ht="12.75" customHeight="1">
      <c r="A9" s="5" t="s">
        <v>367</v>
      </c>
      <c r="B9" s="5"/>
      <c r="C9" s="8">
        <f>'Trial Balance'!F31</f>
        <v>386408.27</v>
      </c>
      <c r="D9" s="26"/>
      <c r="E9" s="10">
        <v>386408.27</v>
      </c>
      <c r="F9" s="10">
        <f>$C$9</f>
        <v>386408.27</v>
      </c>
    </row>
    <row r="10" spans="1:6" ht="12.75" customHeight="1">
      <c r="A10" s="5"/>
      <c r="B10" s="5"/>
      <c r="C10" s="8"/>
      <c r="D10" s="26"/>
      <c r="E10" s="12"/>
      <c r="F10" s="12"/>
    </row>
    <row r="11" spans="1:6" ht="12.75" customHeight="1">
      <c r="A11" t="s">
        <v>557</v>
      </c>
      <c r="C11" s="22">
        <f>SUMIF(E8:YW8,D1,E11:YW11)</f>
        <v>386408.85</v>
      </c>
      <c r="D11" s="26"/>
      <c r="E11" s="52">
        <v>386408.85</v>
      </c>
      <c r="F11" s="52">
        <f>[8]Summary!$G$14</f>
        <v>386408.85</v>
      </c>
    </row>
    <row r="12" spans="1:6" ht="12.75" customHeight="1">
      <c r="C12" s="171"/>
      <c r="D12" s="26"/>
      <c r="E12" s="12"/>
      <c r="F12" s="12"/>
    </row>
    <row r="13" spans="1:6" ht="12.75" customHeight="1">
      <c r="A13" s="13" t="s">
        <v>370</v>
      </c>
      <c r="B13" s="14"/>
      <c r="C13" s="160">
        <f>C9-C11</f>
        <v>-0.57999999995809048</v>
      </c>
      <c r="D13" s="26"/>
      <c r="E13" s="17">
        <v>0.57999999995809048</v>
      </c>
      <c r="F13" s="17">
        <f t="shared" ref="F13" si="0">F11-F9</f>
        <v>0.57999999995809048</v>
      </c>
    </row>
    <row r="14" spans="1:6" ht="12.75" customHeight="1">
      <c r="C14" s="171"/>
    </row>
    <row r="15" spans="1:6" ht="12.75" customHeight="1">
      <c r="C15" s="171"/>
    </row>
    <row r="16" spans="1:6" ht="12.75" customHeight="1">
      <c r="A16" s="5" t="s">
        <v>558</v>
      </c>
      <c r="C16" s="171"/>
    </row>
    <row r="17" spans="1:6" ht="12.75" customHeight="1">
      <c r="A17" s="5"/>
      <c r="C17" s="171"/>
    </row>
    <row r="18" spans="1:6" ht="12.75" customHeight="1">
      <c r="A18" s="5" t="s">
        <v>559</v>
      </c>
      <c r="C18" s="171"/>
    </row>
    <row r="19" spans="1:6" ht="12.75" customHeight="1">
      <c r="C19" s="171"/>
      <c r="D19" s="26"/>
      <c r="E19" s="7">
        <v>44805</v>
      </c>
      <c r="F19" s="7">
        <f t="shared" ref="F19" si="1">F8</f>
        <v>44835</v>
      </c>
    </row>
    <row r="20" spans="1:6" ht="12.75" customHeight="1">
      <c r="A20" t="s">
        <v>367</v>
      </c>
      <c r="C20" s="171">
        <f>'Trial Balance'!F36</f>
        <v>-379891.91</v>
      </c>
      <c r="D20" s="26"/>
      <c r="E20" s="10">
        <v>-379891.91</v>
      </c>
      <c r="F20" s="10">
        <f>$C$20</f>
        <v>-379891.91</v>
      </c>
    </row>
    <row r="21" spans="1:6" ht="12.75" customHeight="1">
      <c r="C21" s="171"/>
      <c r="D21" s="26"/>
      <c r="E21" s="12"/>
      <c r="F21" s="12"/>
    </row>
    <row r="22" spans="1:6" ht="12.75" customHeight="1">
      <c r="A22" t="s">
        <v>557</v>
      </c>
      <c r="C22" s="22">
        <f>SUMIF(E19:YW19,D1,E22:YW22)</f>
        <v>-379891.91</v>
      </c>
      <c r="D22" s="26"/>
      <c r="E22" s="52">
        <v>-379891.91</v>
      </c>
      <c r="F22" s="52">
        <f>[8]Summary!$N$14</f>
        <v>-379891.91</v>
      </c>
    </row>
    <row r="23" spans="1:6" ht="12.75" customHeight="1">
      <c r="C23" s="171"/>
      <c r="D23" s="26"/>
      <c r="E23" s="12"/>
      <c r="F23" s="12"/>
    </row>
    <row r="24" spans="1:6" ht="12.75" customHeight="1">
      <c r="A24" s="13" t="s">
        <v>370</v>
      </c>
      <c r="B24" s="14"/>
      <c r="C24" s="160">
        <f>C20-C22</f>
        <v>0</v>
      </c>
      <c r="D24" s="26"/>
      <c r="E24" s="17">
        <v>0</v>
      </c>
      <c r="F24" s="17">
        <f t="shared" ref="F24" si="2">F22-F20</f>
        <v>0</v>
      </c>
    </row>
    <row r="25" spans="1:6" ht="12.75" customHeight="1">
      <c r="C25" s="155"/>
    </row>
    <row r="26" spans="1:6" ht="12.75" customHeight="1">
      <c r="C26" s="155"/>
    </row>
    <row r="29" spans="1:6" ht="12.75" customHeight="1">
      <c r="A29" s="25" t="str">
        <f>'Cash in Hand-1020'!A26</f>
        <v>Charmaine Chan</v>
      </c>
    </row>
    <row r="30" spans="1:6" ht="12.75" customHeight="1">
      <c r="A30" s="5" t="s">
        <v>372</v>
      </c>
    </row>
    <row r="31" spans="1:6" ht="12.75" customHeight="1">
      <c r="A31" s="5"/>
    </row>
    <row r="32" spans="1:6" ht="12.75" customHeight="1">
      <c r="A32" s="5"/>
    </row>
    <row r="33" spans="1:1" ht="12.75" customHeight="1">
      <c r="A33" s="5"/>
    </row>
    <row r="34" spans="1:1" ht="12.75" customHeight="1">
      <c r="A34" s="25"/>
    </row>
    <row r="35" spans="1:1" ht="12.75" customHeight="1">
      <c r="A35" s="5" t="s">
        <v>373</v>
      </c>
    </row>
  </sheetData>
  <mergeCells count="1">
    <mergeCell ref="A1:C1"/>
  </mergeCells>
  <pageMargins left="0.75" right="0.75" top="1" bottom="1" header="0.5" footer="0.5"/>
  <pageSetup orientation="landscape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Q51"/>
  <sheetViews>
    <sheetView topLeftCell="A4" workbookViewId="0">
      <selection activeCell="X21" sqref="X21"/>
    </sheetView>
  </sheetViews>
  <sheetFormatPr defaultColWidth="9" defaultRowHeight="12.75" customHeight="1" outlineLevelCol="1"/>
  <cols>
    <col min="1" max="1" width="40.81640625" customWidth="1"/>
    <col min="2" max="2" width="15.81640625" customWidth="1"/>
    <col min="3" max="3" width="15.81640625" style="189" customWidth="1"/>
    <col min="4" max="4" width="10.81640625" customWidth="1"/>
    <col min="5" max="5" width="25.1796875" customWidth="1"/>
    <col min="6" max="14" width="14.1796875" hidden="1" customWidth="1" outlineLevel="1"/>
    <col min="15" max="15" width="14.1796875" customWidth="1" collapsed="1"/>
    <col min="16" max="17" width="14.1796875" customWidth="1"/>
    <col min="18" max="18" width="9.1796875" customWidth="1"/>
  </cols>
  <sheetData>
    <row r="1" spans="1:17" ht="12.75" customHeight="1">
      <c r="A1" s="473" t="s">
        <v>364</v>
      </c>
      <c r="B1" s="473"/>
      <c r="C1" s="473"/>
      <c r="D1" s="3">
        <f>'Cash at Bank-1020.100'!D1</f>
        <v>44835</v>
      </c>
    </row>
    <row r="3" spans="1:17" ht="12.75" customHeight="1">
      <c r="A3" s="5" t="str">
        <f>+'F&amp;F-1450&amp;1510'!A3</f>
        <v xml:space="preserve">BALANCE AS AT </v>
      </c>
    </row>
    <row r="4" spans="1:17" ht="12.75" customHeight="1">
      <c r="A4" s="5"/>
      <c r="B4" s="5"/>
      <c r="C4" s="190"/>
    </row>
    <row r="5" spans="1:17" ht="12.75" customHeight="1">
      <c r="A5" s="5" t="s">
        <v>560</v>
      </c>
      <c r="B5" s="5"/>
      <c r="C5" s="190"/>
    </row>
    <row r="6" spans="1:17" ht="12.75" customHeight="1">
      <c r="A6" s="5"/>
      <c r="B6" s="5"/>
      <c r="C6" s="190"/>
    </row>
    <row r="7" spans="1:17" ht="12.75" customHeight="1">
      <c r="A7" s="5" t="s">
        <v>561</v>
      </c>
      <c r="B7" s="5"/>
      <c r="C7" s="190"/>
    </row>
    <row r="8" spans="1:17" ht="12.75" customHeight="1">
      <c r="A8" s="5"/>
      <c r="B8" s="5"/>
      <c r="C8" s="190"/>
    </row>
    <row r="9" spans="1:17" ht="12.75" customHeight="1">
      <c r="A9" s="5" t="s">
        <v>367</v>
      </c>
      <c r="B9" s="5"/>
      <c r="C9" s="190" t="e">
        <f>'Trial Balance'!#REF!</f>
        <v>#REF!</v>
      </c>
      <c r="F9" s="7">
        <v>43739</v>
      </c>
      <c r="G9" s="7">
        <v>43770</v>
      </c>
      <c r="H9" s="7">
        <v>43800</v>
      </c>
      <c r="I9" s="7">
        <v>43831</v>
      </c>
      <c r="J9" s="7">
        <v>43862</v>
      </c>
      <c r="K9" s="7">
        <v>43891</v>
      </c>
      <c r="L9" s="7">
        <v>43922</v>
      </c>
      <c r="M9" s="7">
        <v>43952</v>
      </c>
      <c r="N9" s="7">
        <v>43983</v>
      </c>
      <c r="O9" s="7">
        <v>44013</v>
      </c>
      <c r="P9" s="7">
        <v>44044</v>
      </c>
      <c r="Q9" s="7">
        <v>44075</v>
      </c>
    </row>
    <row r="10" spans="1:17" ht="12.75" customHeight="1">
      <c r="A10" s="5"/>
      <c r="E10" s="220" t="s">
        <v>382</v>
      </c>
      <c r="F10" s="52">
        <v>4224962.54</v>
      </c>
      <c r="G10" s="52">
        <v>4224962.54</v>
      </c>
      <c r="H10" s="52">
        <v>4224962.54</v>
      </c>
      <c r="I10" s="52">
        <v>4224962.54</v>
      </c>
      <c r="J10" s="52">
        <v>4224962.54</v>
      </c>
      <c r="K10" s="52">
        <v>4224962.54</v>
      </c>
      <c r="L10" s="52">
        <v>4224962.54</v>
      </c>
      <c r="M10" s="52">
        <v>4224962.54</v>
      </c>
      <c r="N10" s="52">
        <v>4224962.54</v>
      </c>
      <c r="O10" s="52">
        <v>4224962.54</v>
      </c>
      <c r="P10" s="52">
        <v>4224962.54</v>
      </c>
      <c r="Q10" s="52" t="e">
        <f>C9</f>
        <v>#REF!</v>
      </c>
    </row>
    <row r="11" spans="1:17" ht="12.75" customHeight="1">
      <c r="A11" s="278" t="s">
        <v>562</v>
      </c>
      <c r="D11" s="60"/>
      <c r="E11" s="68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</row>
    <row r="12" spans="1:17" ht="12.75" customHeight="1">
      <c r="A12" s="278" t="s">
        <v>563</v>
      </c>
      <c r="D12" s="60"/>
      <c r="E12" t="s">
        <v>563</v>
      </c>
      <c r="F12" s="10">
        <v>55016</v>
      </c>
      <c r="G12" s="10">
        <v>55016</v>
      </c>
      <c r="H12" s="10">
        <v>55016</v>
      </c>
      <c r="I12" s="10">
        <v>55016</v>
      </c>
      <c r="J12" s="10">
        <v>55016</v>
      </c>
      <c r="K12" s="10">
        <v>55016</v>
      </c>
      <c r="L12" s="10">
        <v>55016</v>
      </c>
      <c r="M12" s="10">
        <v>55016</v>
      </c>
      <c r="N12" s="10">
        <v>55016</v>
      </c>
      <c r="O12" s="10">
        <v>55016</v>
      </c>
      <c r="P12" s="10">
        <v>55016</v>
      </c>
      <c r="Q12" s="10"/>
    </row>
    <row r="13" spans="1:17" ht="12.75" customHeight="1">
      <c r="A13" s="278" t="s">
        <v>564</v>
      </c>
      <c r="D13" s="60"/>
      <c r="E13" t="s">
        <v>564</v>
      </c>
      <c r="F13" s="10">
        <v>176626</v>
      </c>
      <c r="G13" s="10">
        <v>176626</v>
      </c>
      <c r="H13" s="10">
        <v>176626</v>
      </c>
      <c r="I13" s="10">
        <v>176626</v>
      </c>
      <c r="J13" s="10">
        <v>176626</v>
      </c>
      <c r="K13" s="10">
        <v>176626</v>
      </c>
      <c r="L13" s="10">
        <v>176626</v>
      </c>
      <c r="M13" s="10">
        <v>176626</v>
      </c>
      <c r="N13" s="10">
        <v>176626</v>
      </c>
      <c r="O13" s="10">
        <v>176626</v>
      </c>
      <c r="P13" s="10">
        <v>176626</v>
      </c>
      <c r="Q13" s="10"/>
    </row>
    <row r="14" spans="1:17" ht="12.75" customHeight="1">
      <c r="A14" s="278" t="s">
        <v>565</v>
      </c>
      <c r="D14" s="60"/>
      <c r="E14" t="s">
        <v>565</v>
      </c>
      <c r="F14" s="10">
        <v>457389.87</v>
      </c>
      <c r="G14" s="10">
        <v>457389.87</v>
      </c>
      <c r="H14" s="10">
        <v>457389.87</v>
      </c>
      <c r="I14" s="10">
        <v>457389.87</v>
      </c>
      <c r="J14" s="10">
        <v>457389.87</v>
      </c>
      <c r="K14" s="10">
        <v>457389.87</v>
      </c>
      <c r="L14" s="10">
        <v>457389.87</v>
      </c>
      <c r="M14" s="10">
        <v>457389.87</v>
      </c>
      <c r="N14" s="10">
        <v>457389.87</v>
      </c>
      <c r="O14" s="10">
        <v>457389.87</v>
      </c>
      <c r="P14" s="10">
        <v>457389.87</v>
      </c>
      <c r="Q14" s="10"/>
    </row>
    <row r="15" spans="1:17" ht="12.75" customHeight="1">
      <c r="A15" s="278" t="s">
        <v>566</v>
      </c>
      <c r="D15" s="60"/>
      <c r="E15" t="s">
        <v>566</v>
      </c>
      <c r="F15" s="10">
        <v>80220</v>
      </c>
      <c r="G15" s="10">
        <v>80220</v>
      </c>
      <c r="H15" s="10">
        <v>80220</v>
      </c>
      <c r="I15" s="10">
        <v>80220</v>
      </c>
      <c r="J15" s="10">
        <v>80220</v>
      </c>
      <c r="K15" s="10">
        <v>80220</v>
      </c>
      <c r="L15" s="10">
        <v>80220</v>
      </c>
      <c r="M15" s="10">
        <v>80220</v>
      </c>
      <c r="N15" s="10">
        <v>80220</v>
      </c>
      <c r="O15" s="10">
        <v>80220</v>
      </c>
      <c r="P15" s="10">
        <v>80220</v>
      </c>
      <c r="Q15" s="10"/>
    </row>
    <row r="16" spans="1:17" ht="12.75" customHeight="1">
      <c r="A16" s="278" t="s">
        <v>567</v>
      </c>
      <c r="D16" s="60"/>
      <c r="E16" t="s">
        <v>567</v>
      </c>
      <c r="F16" s="10">
        <v>270000</v>
      </c>
      <c r="G16" s="10">
        <v>270000</v>
      </c>
      <c r="H16" s="10">
        <v>270000</v>
      </c>
      <c r="I16" s="10">
        <v>270000</v>
      </c>
      <c r="J16" s="10">
        <v>270000</v>
      </c>
      <c r="K16" s="10">
        <v>270000</v>
      </c>
      <c r="L16" s="10">
        <v>270000</v>
      </c>
      <c r="M16" s="10">
        <v>270000</v>
      </c>
      <c r="N16" s="10">
        <v>270000</v>
      </c>
      <c r="O16" s="10">
        <v>270000</v>
      </c>
      <c r="P16" s="10">
        <v>270000</v>
      </c>
      <c r="Q16" s="10"/>
    </row>
    <row r="17" spans="1:17" ht="12.75" customHeight="1">
      <c r="A17" s="278" t="s">
        <v>568</v>
      </c>
      <c r="D17" s="60"/>
      <c r="E17" t="s">
        <v>568</v>
      </c>
      <c r="F17" s="10">
        <v>108342.62</v>
      </c>
      <c r="G17" s="10">
        <v>108342.62</v>
      </c>
      <c r="H17" s="10">
        <v>108342.62</v>
      </c>
      <c r="I17" s="10">
        <v>108342.62</v>
      </c>
      <c r="J17" s="10">
        <v>108342.62</v>
      </c>
      <c r="K17" s="10">
        <v>108342.62</v>
      </c>
      <c r="L17" s="10">
        <v>108342.62</v>
      </c>
      <c r="M17" s="10">
        <v>108342.62</v>
      </c>
      <c r="N17" s="10">
        <v>108342.62</v>
      </c>
      <c r="O17" s="10">
        <v>108342.62</v>
      </c>
      <c r="P17" s="10">
        <v>108342.62</v>
      </c>
      <c r="Q17" s="10"/>
    </row>
    <row r="18" spans="1:17" ht="12.75" customHeight="1">
      <c r="A18" s="278" t="s">
        <v>569</v>
      </c>
      <c r="D18" s="60"/>
      <c r="E18" t="s">
        <v>569</v>
      </c>
      <c r="F18" s="10">
        <v>988896.38</v>
      </c>
      <c r="G18" s="10">
        <v>988896.38</v>
      </c>
      <c r="H18" s="10">
        <v>988896.38</v>
      </c>
      <c r="I18" s="10">
        <v>988896.38</v>
      </c>
      <c r="J18" s="10">
        <v>988896.38</v>
      </c>
      <c r="K18" s="10">
        <v>988896.38</v>
      </c>
      <c r="L18" s="10">
        <v>988896.38</v>
      </c>
      <c r="M18" s="10">
        <v>988896.38</v>
      </c>
      <c r="N18" s="10">
        <v>988896.38</v>
      </c>
      <c r="O18" s="10">
        <v>988896.38</v>
      </c>
      <c r="P18" s="10">
        <v>988896.38</v>
      </c>
      <c r="Q18" s="10"/>
    </row>
    <row r="19" spans="1:17" ht="12.75" customHeight="1">
      <c r="A19" s="278" t="s">
        <v>570</v>
      </c>
      <c r="B19" t="s">
        <v>571</v>
      </c>
      <c r="D19" s="60"/>
      <c r="E19" t="s">
        <v>570</v>
      </c>
      <c r="F19" s="10">
        <v>2088471.67</v>
      </c>
      <c r="G19" s="10">
        <v>2088471.67</v>
      </c>
      <c r="H19" s="10">
        <v>2088471.67</v>
      </c>
      <c r="I19" s="10">
        <v>2088471.67</v>
      </c>
      <c r="J19" s="10">
        <v>2088471.67</v>
      </c>
      <c r="K19" s="10">
        <v>2088471.67</v>
      </c>
      <c r="L19" s="10">
        <v>2088471.67</v>
      </c>
      <c r="M19" s="10">
        <v>2088471.67</v>
      </c>
      <c r="N19" s="10">
        <v>2088471.67</v>
      </c>
      <c r="O19" s="10">
        <v>2088471.67</v>
      </c>
      <c r="P19" s="10">
        <v>2088471.67</v>
      </c>
      <c r="Q19" s="10"/>
    </row>
    <row r="20" spans="1:17" ht="12.75" customHeight="1">
      <c r="A20" s="5" t="s">
        <v>362</v>
      </c>
      <c r="C20" s="190">
        <f>SUM(C11:C19)</f>
        <v>0</v>
      </c>
      <c r="D20" s="60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ht="12.75" customHeight="1">
      <c r="A21" s="24"/>
      <c r="D21" s="60"/>
      <c r="E21" s="24" t="s">
        <v>362</v>
      </c>
      <c r="F21" s="279">
        <f t="shared" ref="F21:Q21" si="0">SUM(F12:F19)</f>
        <v>4224962.54</v>
      </c>
      <c r="G21" s="279">
        <f t="shared" si="0"/>
        <v>4224962.54</v>
      </c>
      <c r="H21" s="279">
        <f t="shared" si="0"/>
        <v>4224962.54</v>
      </c>
      <c r="I21" s="279">
        <f t="shared" si="0"/>
        <v>4224962.54</v>
      </c>
      <c r="J21" s="279">
        <f t="shared" si="0"/>
        <v>4224962.54</v>
      </c>
      <c r="K21" s="279">
        <f t="shared" si="0"/>
        <v>4224962.54</v>
      </c>
      <c r="L21" s="279">
        <f t="shared" si="0"/>
        <v>4224962.54</v>
      </c>
      <c r="M21" s="279">
        <f t="shared" si="0"/>
        <v>4224962.54</v>
      </c>
      <c r="N21" s="279">
        <f t="shared" si="0"/>
        <v>4224962.54</v>
      </c>
      <c r="O21" s="279">
        <f t="shared" si="0"/>
        <v>4224962.54</v>
      </c>
      <c r="P21" s="279">
        <f t="shared" si="0"/>
        <v>4224962.54</v>
      </c>
      <c r="Q21" s="279">
        <f t="shared" si="0"/>
        <v>0</v>
      </c>
    </row>
    <row r="22" spans="1:17" ht="12.75" customHeight="1">
      <c r="A22" s="13" t="s">
        <v>370</v>
      </c>
      <c r="B22" s="14"/>
      <c r="C22" s="160" t="e">
        <f>C9-C20</f>
        <v>#REF!</v>
      </c>
      <c r="D22" s="60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ht="12.75" customHeight="1">
      <c r="D23" s="60"/>
      <c r="E23" s="24" t="s">
        <v>370</v>
      </c>
      <c r="F23" s="17">
        <f t="shared" ref="F23:Q23" si="1">F21-F10</f>
        <v>0</v>
      </c>
      <c r="G23" s="17">
        <f t="shared" si="1"/>
        <v>0</v>
      </c>
      <c r="H23" s="17">
        <f t="shared" si="1"/>
        <v>0</v>
      </c>
      <c r="I23" s="17">
        <f t="shared" si="1"/>
        <v>0</v>
      </c>
      <c r="J23" s="17">
        <f t="shared" si="1"/>
        <v>0</v>
      </c>
      <c r="K23" s="17">
        <f t="shared" si="1"/>
        <v>0</v>
      </c>
      <c r="L23" s="17">
        <f t="shared" si="1"/>
        <v>0</v>
      </c>
      <c r="M23" s="17">
        <f t="shared" si="1"/>
        <v>0</v>
      </c>
      <c r="N23" s="17">
        <f t="shared" si="1"/>
        <v>0</v>
      </c>
      <c r="O23" s="17">
        <f t="shared" si="1"/>
        <v>0</v>
      </c>
      <c r="P23" s="17">
        <f t="shared" si="1"/>
        <v>0</v>
      </c>
      <c r="Q23" s="17" t="e">
        <f t="shared" si="1"/>
        <v>#REF!</v>
      </c>
    </row>
    <row r="24" spans="1:17" ht="12.75" customHeight="1">
      <c r="A24" s="5" t="s">
        <v>572</v>
      </c>
      <c r="D24" s="60"/>
    </row>
    <row r="25" spans="1:17" ht="12.75" customHeight="1">
      <c r="A25" s="5"/>
      <c r="D25" s="60"/>
    </row>
    <row r="26" spans="1:17" ht="12.75" customHeight="1">
      <c r="A26" s="5" t="s">
        <v>573</v>
      </c>
      <c r="D26" s="60"/>
      <c r="N26" s="60"/>
    </row>
    <row r="27" spans="1:17" ht="12.75" customHeight="1">
      <c r="A27" s="5"/>
      <c r="D27" s="60"/>
      <c r="F27" s="7">
        <v>43739</v>
      </c>
      <c r="G27" s="7">
        <v>43770</v>
      </c>
      <c r="H27" s="7">
        <v>43800</v>
      </c>
      <c r="I27" s="7">
        <v>43831</v>
      </c>
      <c r="J27" s="7">
        <v>43862</v>
      </c>
      <c r="K27" s="7">
        <v>43891</v>
      </c>
      <c r="L27" s="7">
        <v>43922</v>
      </c>
      <c r="M27" s="7">
        <v>43952</v>
      </c>
      <c r="N27" s="7">
        <v>43983</v>
      </c>
      <c r="O27" s="7">
        <v>44013</v>
      </c>
      <c r="P27" s="7">
        <v>44044</v>
      </c>
      <c r="Q27" s="7">
        <v>44075</v>
      </c>
    </row>
    <row r="28" spans="1:17" ht="12.75" customHeight="1">
      <c r="A28" s="5" t="s">
        <v>563</v>
      </c>
      <c r="B28" s="1"/>
      <c r="D28" s="280"/>
      <c r="E28" s="220" t="s">
        <v>382</v>
      </c>
      <c r="F28" s="52">
        <v>-427917</v>
      </c>
      <c r="G28" s="52">
        <v>-427917</v>
      </c>
      <c r="H28" s="52">
        <v>-427917</v>
      </c>
      <c r="I28" s="52">
        <v>-427917</v>
      </c>
      <c r="J28" s="52">
        <v>-427917</v>
      </c>
      <c r="K28" s="52">
        <v>-427917</v>
      </c>
      <c r="L28" s="52">
        <v>-427917</v>
      </c>
      <c r="M28" s="52">
        <v>-427917</v>
      </c>
      <c r="N28" s="52">
        <v>-427917</v>
      </c>
      <c r="O28" s="52">
        <v>-427917</v>
      </c>
      <c r="P28" s="52">
        <v>-427917</v>
      </c>
      <c r="Q28" s="52" t="e">
        <f>C36</f>
        <v>#REF!</v>
      </c>
    </row>
    <row r="29" spans="1:17" ht="12.75" customHeight="1">
      <c r="A29" s="5" t="s">
        <v>564</v>
      </c>
      <c r="B29" s="1"/>
      <c r="D29" s="280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2.75" customHeight="1">
      <c r="A30" s="5" t="s">
        <v>565</v>
      </c>
      <c r="B30" s="1"/>
      <c r="D30" s="189"/>
      <c r="E30" t="s">
        <v>563</v>
      </c>
      <c r="F30" s="10">
        <v>-8040</v>
      </c>
      <c r="G30" s="10">
        <v>-8040</v>
      </c>
      <c r="H30" s="10">
        <v>-8040</v>
      </c>
      <c r="I30" s="10">
        <v>-8040</v>
      </c>
      <c r="J30" s="10">
        <v>-8040</v>
      </c>
      <c r="K30" s="10">
        <v>-8040</v>
      </c>
      <c r="L30" s="10">
        <v>-8040</v>
      </c>
      <c r="M30" s="10">
        <v>-8040</v>
      </c>
      <c r="N30" s="10">
        <v>-8040</v>
      </c>
      <c r="O30" s="10">
        <v>-8040</v>
      </c>
      <c r="P30" s="10">
        <v>-8040</v>
      </c>
      <c r="Q30" s="10"/>
    </row>
    <row r="31" spans="1:17" ht="12.75" customHeight="1">
      <c r="A31" s="5" t="s">
        <v>567</v>
      </c>
      <c r="B31" s="1"/>
      <c r="D31" s="189"/>
      <c r="E31" t="s">
        <v>564</v>
      </c>
      <c r="F31" s="10">
        <v>-64851</v>
      </c>
      <c r="G31" s="10">
        <v>-64851</v>
      </c>
      <c r="H31" s="10">
        <v>-64851</v>
      </c>
      <c r="I31" s="10">
        <v>-64851</v>
      </c>
      <c r="J31" s="10">
        <v>-64851</v>
      </c>
      <c r="K31" s="10">
        <v>-64851</v>
      </c>
      <c r="L31" s="10">
        <v>-64851</v>
      </c>
      <c r="M31" s="10">
        <v>-64851</v>
      </c>
      <c r="N31" s="10">
        <v>-64851</v>
      </c>
      <c r="O31" s="10">
        <v>-64851</v>
      </c>
      <c r="P31" s="10">
        <v>-64851</v>
      </c>
      <c r="Q31" s="10"/>
    </row>
    <row r="32" spans="1:17" ht="12.75" customHeight="1">
      <c r="A32" s="5" t="s">
        <v>568</v>
      </c>
      <c r="B32" s="1"/>
      <c r="D32" s="189"/>
      <c r="E32" t="s">
        <v>565</v>
      </c>
      <c r="F32" s="10">
        <v>-149746</v>
      </c>
      <c r="G32" s="10">
        <v>-149746</v>
      </c>
      <c r="H32" s="10">
        <v>-149746</v>
      </c>
      <c r="I32" s="10">
        <v>-149746</v>
      </c>
      <c r="J32" s="10">
        <v>-149746</v>
      </c>
      <c r="K32" s="10">
        <v>-149746</v>
      </c>
      <c r="L32" s="10">
        <v>-149746</v>
      </c>
      <c r="M32" s="10">
        <v>-149746</v>
      </c>
      <c r="N32" s="10">
        <v>-149746</v>
      </c>
      <c r="O32" s="10">
        <v>-149746</v>
      </c>
      <c r="P32" s="10">
        <v>-149746</v>
      </c>
      <c r="Q32" s="10"/>
    </row>
    <row r="33" spans="1:17" ht="12.75" customHeight="1">
      <c r="A33" s="5" t="s">
        <v>569</v>
      </c>
      <c r="D33" s="189"/>
      <c r="E33" t="s">
        <v>567</v>
      </c>
      <c r="F33" s="10">
        <v>-150056</v>
      </c>
      <c r="G33" s="10">
        <v>-150056</v>
      </c>
      <c r="H33" s="10">
        <v>-150056</v>
      </c>
      <c r="I33" s="10">
        <v>-150056</v>
      </c>
      <c r="J33" s="10">
        <v>-150056</v>
      </c>
      <c r="K33" s="10">
        <v>-150056</v>
      </c>
      <c r="L33" s="10">
        <v>-150056</v>
      </c>
      <c r="M33" s="10">
        <v>-150056</v>
      </c>
      <c r="N33" s="10">
        <v>-150056</v>
      </c>
      <c r="O33" s="10">
        <v>-150056</v>
      </c>
      <c r="P33" s="10">
        <v>-150056</v>
      </c>
      <c r="Q33" s="10"/>
    </row>
    <row r="34" spans="1:17" ht="12.75" customHeight="1">
      <c r="A34" s="5"/>
      <c r="E34" t="s">
        <v>568</v>
      </c>
      <c r="F34" s="10">
        <v>-55224</v>
      </c>
      <c r="G34" s="10">
        <v>-55224</v>
      </c>
      <c r="H34" s="10">
        <v>-55224</v>
      </c>
      <c r="I34" s="10">
        <v>-55224</v>
      </c>
      <c r="J34" s="10">
        <v>-55224</v>
      </c>
      <c r="K34" s="10">
        <v>-55224</v>
      </c>
      <c r="L34" s="10">
        <v>-55224</v>
      </c>
      <c r="M34" s="10">
        <v>-55224</v>
      </c>
      <c r="N34" s="10">
        <v>-55224</v>
      </c>
      <c r="O34" s="10">
        <v>-55224</v>
      </c>
      <c r="P34" s="10">
        <v>-55224</v>
      </c>
      <c r="Q34" s="10"/>
    </row>
    <row r="35" spans="1:17" ht="12.75" customHeight="1">
      <c r="A35" s="5"/>
      <c r="E35" t="s">
        <v>569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</row>
    <row r="36" spans="1:17" ht="12.75" customHeight="1">
      <c r="A36" s="272" t="s">
        <v>574</v>
      </c>
      <c r="C36" s="189" t="e">
        <f>'Trial Balance'!#REF!</f>
        <v>#REF!</v>
      </c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</row>
    <row r="37" spans="1:17" ht="12.75" customHeight="1">
      <c r="A37" s="272"/>
      <c r="E37" t="s">
        <v>362</v>
      </c>
      <c r="F37" s="281">
        <f t="shared" ref="F37:Q37" si="2">SUM(F30:F34)</f>
        <v>-427917</v>
      </c>
      <c r="G37" s="281">
        <f t="shared" si="2"/>
        <v>-427917</v>
      </c>
      <c r="H37" s="281">
        <f t="shared" si="2"/>
        <v>-427917</v>
      </c>
      <c r="I37" s="281">
        <f t="shared" si="2"/>
        <v>-427917</v>
      </c>
      <c r="J37" s="281">
        <f t="shared" si="2"/>
        <v>-427917</v>
      </c>
      <c r="K37" s="281">
        <f t="shared" si="2"/>
        <v>-427917</v>
      </c>
      <c r="L37" s="281">
        <f t="shared" si="2"/>
        <v>-427917</v>
      </c>
      <c r="M37" s="281">
        <f t="shared" si="2"/>
        <v>-427917</v>
      </c>
      <c r="N37" s="281">
        <f t="shared" si="2"/>
        <v>-427917</v>
      </c>
      <c r="O37" s="281">
        <f t="shared" si="2"/>
        <v>-427917</v>
      </c>
      <c r="P37" s="281">
        <f t="shared" si="2"/>
        <v>-427917</v>
      </c>
      <c r="Q37" s="281">
        <f t="shared" si="2"/>
        <v>0</v>
      </c>
    </row>
    <row r="38" spans="1:17" ht="12.75" customHeight="1">
      <c r="A38" s="5" t="s">
        <v>362</v>
      </c>
      <c r="C38" s="190" t="e">
        <f>SUM(C36:C36)</f>
        <v>#REF!</v>
      </c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2.75" customHeight="1">
      <c r="E39" s="24" t="s">
        <v>370</v>
      </c>
      <c r="F39" s="17">
        <f t="shared" ref="F39:Q39" si="3">F28-F37</f>
        <v>0</v>
      </c>
      <c r="G39" s="17">
        <f t="shared" si="3"/>
        <v>0</v>
      </c>
      <c r="H39" s="17">
        <f t="shared" si="3"/>
        <v>0</v>
      </c>
      <c r="I39" s="17">
        <f t="shared" si="3"/>
        <v>0</v>
      </c>
      <c r="J39" s="17">
        <f t="shared" si="3"/>
        <v>0</v>
      </c>
      <c r="K39" s="17">
        <f t="shared" si="3"/>
        <v>0</v>
      </c>
      <c r="L39" s="17">
        <f t="shared" si="3"/>
        <v>0</v>
      </c>
      <c r="M39" s="17">
        <f t="shared" si="3"/>
        <v>0</v>
      </c>
      <c r="N39" s="17">
        <f t="shared" si="3"/>
        <v>0</v>
      </c>
      <c r="O39" s="17">
        <f t="shared" si="3"/>
        <v>0</v>
      </c>
      <c r="P39" s="17">
        <f t="shared" si="3"/>
        <v>0</v>
      </c>
      <c r="Q39" s="17" t="e">
        <f t="shared" si="3"/>
        <v>#REF!</v>
      </c>
    </row>
    <row r="40" spans="1:17" ht="12.75" customHeight="1">
      <c r="A40" s="13" t="s">
        <v>370</v>
      </c>
      <c r="B40" s="14"/>
      <c r="C40" s="160" t="e">
        <f>C36-C38</f>
        <v>#REF!</v>
      </c>
    </row>
    <row r="41" spans="1:17" ht="12.75" customHeight="1">
      <c r="C41" s="190"/>
    </row>
    <row r="42" spans="1:17" ht="12.75" customHeight="1">
      <c r="A42" t="s">
        <v>575</v>
      </c>
    </row>
    <row r="45" spans="1:17" ht="12.75" customHeight="1">
      <c r="A45" s="25" t="str">
        <f>'Cash in Hand-1020'!A26</f>
        <v>Charmaine Chan</v>
      </c>
    </row>
    <row r="46" spans="1:17" ht="12.75" customHeight="1">
      <c r="A46" s="5" t="s">
        <v>372</v>
      </c>
    </row>
    <row r="47" spans="1:17" ht="12.75" customHeight="1">
      <c r="A47" s="5"/>
    </row>
    <row r="48" spans="1:17" ht="12.75" customHeight="1">
      <c r="A48" s="5"/>
    </row>
    <row r="49" spans="1:1" ht="12.75" customHeight="1">
      <c r="A49" s="5"/>
    </row>
    <row r="50" spans="1:1" ht="12.75" customHeight="1">
      <c r="A50" s="25"/>
    </row>
    <row r="51" spans="1:1" ht="12.75" customHeight="1">
      <c r="A51" s="5" t="s">
        <v>373</v>
      </c>
    </row>
  </sheetData>
  <mergeCells count="1">
    <mergeCell ref="A1:C1"/>
  </mergeCells>
  <pageMargins left="0.75" right="0.75" top="1" bottom="1" header="0.5" footer="0.5"/>
  <pageSetup scale="60" orientation="portrait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F24"/>
  <sheetViews>
    <sheetView workbookViewId="0">
      <selection activeCell="P1" sqref="P1:P1048576"/>
    </sheetView>
  </sheetViews>
  <sheetFormatPr defaultColWidth="9" defaultRowHeight="12.75" customHeight="1"/>
  <cols>
    <col min="1" max="1" width="40.81640625" customWidth="1"/>
    <col min="2" max="2" width="15.81640625" customWidth="1"/>
    <col min="3" max="3" width="15.81640625" style="1" customWidth="1"/>
    <col min="5" max="5" width="11.81640625" hidden="1" customWidth="1" collapsed="1"/>
    <col min="6" max="6" width="11.81640625" customWidth="1" collapsed="1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3" spans="1:6" ht="12.75" customHeight="1">
      <c r="A3" s="5" t="str">
        <f>+'Goodwill-1560&amp;1570'!A3</f>
        <v xml:space="preserve">BALANCE AS AT </v>
      </c>
    </row>
    <row r="5" spans="1:6" ht="12.75" customHeight="1">
      <c r="A5" s="5" t="s">
        <v>576</v>
      </c>
      <c r="B5" s="5"/>
      <c r="C5" s="22"/>
    </row>
    <row r="6" spans="1:6" ht="12.75" customHeight="1">
      <c r="A6" s="5"/>
      <c r="B6" s="5"/>
      <c r="C6" s="22"/>
    </row>
    <row r="7" spans="1:6" ht="12.75" customHeight="1">
      <c r="A7" s="5" t="s">
        <v>577</v>
      </c>
      <c r="B7" s="5"/>
      <c r="C7" s="22"/>
    </row>
    <row r="8" spans="1:6" ht="12.75" customHeight="1">
      <c r="A8" s="5"/>
      <c r="B8" s="5"/>
      <c r="C8" s="22"/>
      <c r="D8" s="26"/>
      <c r="E8" s="7">
        <v>44805</v>
      </c>
      <c r="F8" s="7">
        <f>E8+30</f>
        <v>44835</v>
      </c>
    </row>
    <row r="9" spans="1:6" ht="12.75" customHeight="1">
      <c r="A9" s="5" t="s">
        <v>367</v>
      </c>
      <c r="B9" s="5"/>
      <c r="C9" s="171">
        <f>'Trial Balance'!F38</f>
        <v>640171.71</v>
      </c>
      <c r="D9" s="26"/>
      <c r="E9" s="10">
        <v>640171.71</v>
      </c>
      <c r="F9" s="10">
        <f>$C$9</f>
        <v>640171.71</v>
      </c>
    </row>
    <row r="10" spans="1:6" ht="12.75" customHeight="1">
      <c r="A10" s="5"/>
      <c r="B10" s="5"/>
      <c r="C10" s="171"/>
      <c r="D10" s="26"/>
      <c r="E10" s="12"/>
      <c r="F10" s="12"/>
    </row>
    <row r="11" spans="1:6" ht="12.75" customHeight="1">
      <c r="A11" s="278" t="s">
        <v>525</v>
      </c>
      <c r="C11" s="1">
        <f>SUMIF(E8:YW8,D1,E11:YW11)</f>
        <v>640171.70641874953</v>
      </c>
      <c r="D11" s="26"/>
      <c r="E11" s="52">
        <v>640171.70641874953</v>
      </c>
      <c r="F11" s="52">
        <f>'[7]Deferred Tax FY21'!$J$118</f>
        <v>640171.70641874953</v>
      </c>
    </row>
    <row r="12" spans="1:6" ht="12.75" customHeight="1">
      <c r="A12" s="98"/>
      <c r="C12" s="32"/>
      <c r="D12" s="26"/>
      <c r="E12" s="12"/>
      <c r="F12" s="12"/>
    </row>
    <row r="13" spans="1:6" ht="12.75" customHeight="1">
      <c r="A13" s="13" t="s">
        <v>370</v>
      </c>
      <c r="B13" s="14"/>
      <c r="C13" s="160">
        <f>C9-C11</f>
        <v>3.5812504356727004E-3</v>
      </c>
      <c r="D13" s="26"/>
      <c r="E13" s="17">
        <v>-3.5812504356727004E-3</v>
      </c>
      <c r="F13" s="17">
        <f t="shared" ref="F13" si="0">F11-F9</f>
        <v>-3.5812504356727004E-3</v>
      </c>
    </row>
    <row r="14" spans="1:6" ht="12.75" customHeight="1">
      <c r="A14" s="98"/>
      <c r="C14" s="32"/>
    </row>
    <row r="15" spans="1:6" ht="12.75" customHeight="1">
      <c r="A15" s="98"/>
      <c r="C15" s="32"/>
    </row>
    <row r="16" spans="1:6" ht="12.75" customHeight="1">
      <c r="A16" s="98"/>
      <c r="C16" s="32"/>
    </row>
    <row r="18" spans="1:1" ht="12.75" customHeight="1">
      <c r="A18" s="25" t="str">
        <f>'Cash in Hand-1020'!A26</f>
        <v>Charmaine Chan</v>
      </c>
    </row>
    <row r="19" spans="1:1" ht="12.75" customHeight="1">
      <c r="A19" s="5" t="s">
        <v>372</v>
      </c>
    </row>
    <row r="20" spans="1:1" ht="12.75" customHeight="1">
      <c r="A20" s="5"/>
    </row>
    <row r="21" spans="1:1" ht="12.75" customHeight="1">
      <c r="A21" s="5"/>
    </row>
    <row r="22" spans="1:1" ht="12.75" customHeight="1">
      <c r="A22" s="5"/>
    </row>
    <row r="23" spans="1:1" ht="12.75" customHeight="1">
      <c r="A23" s="25"/>
    </row>
    <row r="24" spans="1:1" ht="12.75" customHeight="1">
      <c r="A24" s="5" t="s">
        <v>373</v>
      </c>
    </row>
  </sheetData>
  <mergeCells count="1">
    <mergeCell ref="A1:C1"/>
  </mergeCells>
  <pageMargins left="0.75" right="0.75" top="1" bottom="1" header="0.5" footer="0.5"/>
  <pageSetup orientation="landscape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pageSetUpPr fitToPage="1"/>
  </sheetPr>
  <dimension ref="A1:F48"/>
  <sheetViews>
    <sheetView workbookViewId="0">
      <selection activeCell="P1" sqref="P1:P1048576"/>
    </sheetView>
  </sheetViews>
  <sheetFormatPr defaultColWidth="9" defaultRowHeight="12.5"/>
  <cols>
    <col min="1" max="1" width="39.453125" customWidth="1"/>
    <col min="2" max="2" width="16.453125" customWidth="1"/>
    <col min="3" max="3" width="12.1796875" customWidth="1"/>
    <col min="4" max="4" width="25.1796875" customWidth="1"/>
    <col min="5" max="5" width="13.1796875" hidden="1" customWidth="1" collapsed="1"/>
    <col min="6" max="6" width="13.1796875" customWidth="1" collapsed="1"/>
  </cols>
  <sheetData>
    <row r="1" spans="1:6" ht="13">
      <c r="A1" s="473" t="s">
        <v>364</v>
      </c>
      <c r="B1" s="473"/>
      <c r="C1" s="473"/>
      <c r="D1" s="3">
        <f>'Cash at Bank-1020.100'!D1</f>
        <v>44835</v>
      </c>
    </row>
    <row r="2" spans="1:6">
      <c r="C2" s="1"/>
    </row>
    <row r="3" spans="1:6" ht="13">
      <c r="A3" s="5" t="str">
        <f>+'Goodwill-1560&amp;1570'!A3</f>
        <v xml:space="preserve">BALANCE AS AT </v>
      </c>
      <c r="C3" s="1"/>
    </row>
    <row r="5" spans="1:6" ht="13">
      <c r="A5" s="5" t="s">
        <v>578</v>
      </c>
    </row>
    <row r="7" spans="1:6" ht="13">
      <c r="A7" s="5" t="s">
        <v>579</v>
      </c>
    </row>
    <row r="8" spans="1:6" ht="14.5">
      <c r="D8" s="6"/>
      <c r="E8" s="7">
        <v>44805</v>
      </c>
      <c r="F8" s="7">
        <f>E8+30</f>
        <v>44835</v>
      </c>
    </row>
    <row r="9" spans="1:6" ht="13">
      <c r="A9" s="5" t="s">
        <v>367</v>
      </c>
      <c r="B9" s="74">
        <f>'Trial Balance'!F39</f>
        <v>7515834.21</v>
      </c>
      <c r="D9" s="53" t="s">
        <v>382</v>
      </c>
      <c r="E9" s="10">
        <v>7515834.21</v>
      </c>
      <c r="F9" s="10">
        <f>$B$9</f>
        <v>7515834.21</v>
      </c>
    </row>
    <row r="10" spans="1:6" ht="13">
      <c r="B10" s="5"/>
      <c r="D10" s="9"/>
      <c r="E10" s="12"/>
      <c r="F10" s="12"/>
    </row>
    <row r="11" spans="1:6">
      <c r="A11" s="24" t="s">
        <v>580</v>
      </c>
      <c r="B11" s="31">
        <f>SUMIF(E8:YW8,D1,E11:YW11)</f>
        <v>7515835.0978683997</v>
      </c>
      <c r="D11" s="9" t="s">
        <v>581</v>
      </c>
      <c r="E11" s="10">
        <v>7515835.0978683997</v>
      </c>
      <c r="F11" s="10">
        <f>'[9]1663737443289'!$AI$9</f>
        <v>7515835.0978683997</v>
      </c>
    </row>
    <row r="12" spans="1:6" ht="13">
      <c r="B12" s="5"/>
      <c r="D12" s="9"/>
      <c r="E12" s="12"/>
      <c r="F12" s="12"/>
    </row>
    <row r="13" spans="1:6" ht="13">
      <c r="A13" s="24" t="s">
        <v>582</v>
      </c>
      <c r="B13" s="5">
        <v>-0.41</v>
      </c>
      <c r="D13" s="16" t="s">
        <v>370</v>
      </c>
      <c r="E13" s="17">
        <v>0.88786839973181486</v>
      </c>
      <c r="F13" s="17">
        <f t="shared" ref="F13" si="0">F11-F9</f>
        <v>0.88786839973181486</v>
      </c>
    </row>
    <row r="14" spans="1:6" ht="13">
      <c r="A14" s="24"/>
      <c r="B14" s="5"/>
    </row>
    <row r="15" spans="1:6" ht="13">
      <c r="A15" s="24" t="s">
        <v>362</v>
      </c>
      <c r="B15" s="276">
        <f>SUM(B11:B14)</f>
        <v>7515834.6878683995</v>
      </c>
    </row>
    <row r="16" spans="1:6" ht="13">
      <c r="B16" s="5"/>
    </row>
    <row r="17" spans="1:6" ht="13">
      <c r="A17" s="13" t="s">
        <v>370</v>
      </c>
      <c r="B17" s="219">
        <f>B9-B15</f>
        <v>-0.47786839958280325</v>
      </c>
    </row>
    <row r="18" spans="1:6" ht="13">
      <c r="B18" s="5"/>
    </row>
    <row r="19" spans="1:6" ht="13">
      <c r="B19" s="5"/>
    </row>
    <row r="20" spans="1:6" ht="13">
      <c r="A20" s="5" t="s">
        <v>583</v>
      </c>
      <c r="B20" s="5"/>
    </row>
    <row r="21" spans="1:6" ht="13">
      <c r="B21" s="5"/>
    </row>
    <row r="22" spans="1:6" ht="13">
      <c r="A22" s="5" t="s">
        <v>584</v>
      </c>
      <c r="B22" s="5"/>
    </row>
    <row r="23" spans="1:6" ht="14.5">
      <c r="B23" s="5"/>
      <c r="D23" s="6"/>
      <c r="E23" s="7">
        <v>44805</v>
      </c>
      <c r="F23" s="7">
        <f t="shared" ref="F23" si="1">F8</f>
        <v>44835</v>
      </c>
    </row>
    <row r="24" spans="1:6" ht="13">
      <c r="A24" s="5" t="s">
        <v>367</v>
      </c>
      <c r="B24" s="74">
        <f>'Trial Balance'!F42</f>
        <v>-5349873.8099999996</v>
      </c>
      <c r="D24" s="53" t="s">
        <v>382</v>
      </c>
      <c r="E24" s="10">
        <v>-5349873.8099999996</v>
      </c>
      <c r="F24" s="10">
        <f>$B$24</f>
        <v>-5349873.8099999996</v>
      </c>
    </row>
    <row r="25" spans="1:6" ht="13">
      <c r="B25" s="5"/>
      <c r="D25" s="9"/>
      <c r="E25" s="12"/>
      <c r="F25" s="12"/>
    </row>
    <row r="26" spans="1:6">
      <c r="A26" s="24" t="s">
        <v>580</v>
      </c>
      <c r="B26">
        <f>SUMIF(E23:YW23,D1,E26:YW26)</f>
        <v>-5349873.0158021199</v>
      </c>
      <c r="D26" s="9" t="s">
        <v>581</v>
      </c>
      <c r="E26" s="10">
        <v>-5349873.0158021199</v>
      </c>
      <c r="F26" s="10">
        <f>'[9]1663737443289'!$AI$12</f>
        <v>-5349873.0158021199</v>
      </c>
    </row>
    <row r="27" spans="1:6" ht="13">
      <c r="B27" s="5"/>
      <c r="D27" s="9"/>
      <c r="E27" s="12"/>
      <c r="F27" s="12"/>
    </row>
    <row r="28" spans="1:6" ht="13">
      <c r="A28" s="277"/>
      <c r="B28" s="273"/>
      <c r="D28" s="53" t="s">
        <v>585</v>
      </c>
      <c r="E28" s="10"/>
      <c r="F28" s="10"/>
    </row>
    <row r="29" spans="1:6" ht="13">
      <c r="A29" s="62"/>
      <c r="B29" s="5"/>
      <c r="C29" s="135"/>
      <c r="D29" s="9"/>
      <c r="E29" s="12"/>
      <c r="F29" s="12"/>
    </row>
    <row r="30" spans="1:6" ht="13">
      <c r="A30" s="24" t="s">
        <v>582</v>
      </c>
      <c r="B30" s="5">
        <v>-0.02</v>
      </c>
      <c r="D30" s="20" t="s">
        <v>522</v>
      </c>
      <c r="E30" s="21">
        <v>-5349873.0158021199</v>
      </c>
      <c r="F30" s="21">
        <f t="shared" ref="F30" si="2">F28+F26</f>
        <v>-5349873.0158021199</v>
      </c>
    </row>
    <row r="31" spans="1:6" ht="13">
      <c r="B31" s="5"/>
      <c r="D31" s="9"/>
      <c r="E31" s="12"/>
      <c r="F31" s="12"/>
    </row>
    <row r="32" spans="1:6" ht="13">
      <c r="A32" s="24" t="s">
        <v>362</v>
      </c>
      <c r="B32" s="274">
        <f>SUM(B26)+B28+B30</f>
        <v>-5349873.0358021194</v>
      </c>
      <c r="D32" s="16" t="s">
        <v>370</v>
      </c>
      <c r="E32" s="17">
        <v>0.79419787973165512</v>
      </c>
      <c r="F32" s="17">
        <f t="shared" ref="F32" si="3">F30-F24</f>
        <v>0.79419787973165512</v>
      </c>
    </row>
    <row r="33" spans="1:2" ht="13">
      <c r="B33" s="5"/>
    </row>
    <row r="34" spans="1:2" ht="13">
      <c r="B34" s="5"/>
    </row>
    <row r="35" spans="1:2" ht="13">
      <c r="A35" s="13" t="s">
        <v>370</v>
      </c>
      <c r="B35" s="219">
        <f>B24-B32</f>
        <v>-0.77419788017868996</v>
      </c>
    </row>
    <row r="42" spans="1:2" ht="13">
      <c r="A42" s="25" t="str">
        <f>'Cash in Hand-1020'!A26</f>
        <v>Charmaine Chan</v>
      </c>
    </row>
    <row r="43" spans="1:2" ht="13">
      <c r="A43" s="5" t="s">
        <v>372</v>
      </c>
    </row>
    <row r="44" spans="1:2" ht="13">
      <c r="A44" s="5"/>
    </row>
    <row r="45" spans="1:2" ht="13">
      <c r="A45" s="5"/>
    </row>
    <row r="46" spans="1:2" ht="13">
      <c r="A46" s="5"/>
    </row>
    <row r="47" spans="1:2" ht="13">
      <c r="A47" s="25"/>
    </row>
    <row r="48" spans="1:2" ht="13">
      <c r="A48" s="5" t="s">
        <v>373</v>
      </c>
    </row>
  </sheetData>
  <mergeCells count="1">
    <mergeCell ref="A1:C1"/>
  </mergeCells>
  <pageMargins left="0.7" right="0.7" top="0.75" bottom="0.75" header="0.3" footer="0.3"/>
  <pageSetup paperSize="9" scale="81" orientation="landscape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pageSetUpPr fitToPage="1"/>
  </sheetPr>
  <dimension ref="A1:F46"/>
  <sheetViews>
    <sheetView workbookViewId="0">
      <selection activeCell="P1" sqref="P1:P1048576"/>
    </sheetView>
  </sheetViews>
  <sheetFormatPr defaultColWidth="9" defaultRowHeight="12.5"/>
  <cols>
    <col min="1" max="1" width="38.81640625" customWidth="1"/>
    <col min="2" max="2" width="13.81640625" customWidth="1"/>
    <col min="4" max="4" width="25.1796875" customWidth="1"/>
    <col min="5" max="5" width="11.453125" hidden="1" customWidth="1" collapsed="1"/>
    <col min="6" max="6" width="11.453125" customWidth="1" collapsed="1"/>
  </cols>
  <sheetData>
    <row r="1" spans="1:6" ht="13">
      <c r="A1" s="473" t="s">
        <v>364</v>
      </c>
      <c r="B1" s="473"/>
      <c r="C1" s="473"/>
      <c r="D1" s="3">
        <f>'Cash at Bank-1020.100'!D1</f>
        <v>44835</v>
      </c>
    </row>
    <row r="2" spans="1:6">
      <c r="C2" s="1"/>
    </row>
    <row r="3" spans="1:6" ht="13">
      <c r="A3" s="5" t="str">
        <f>+'Goodwill-1560&amp;1570'!A3</f>
        <v xml:space="preserve">BALANCE AS AT </v>
      </c>
      <c r="C3" s="1"/>
    </row>
    <row r="5" spans="1:6" ht="13">
      <c r="A5" s="5" t="s">
        <v>586</v>
      </c>
    </row>
    <row r="7" spans="1:6" ht="13">
      <c r="A7" s="5" t="s">
        <v>587</v>
      </c>
    </row>
    <row r="8" spans="1:6" ht="14.5">
      <c r="B8" s="74"/>
      <c r="D8" s="6"/>
      <c r="E8" s="7">
        <v>44805</v>
      </c>
      <c r="F8" s="7">
        <f>E8+30</f>
        <v>44835</v>
      </c>
    </row>
    <row r="9" spans="1:6" ht="13">
      <c r="A9" s="5" t="s">
        <v>367</v>
      </c>
      <c r="B9" s="74">
        <f>'Trial Balance'!F40</f>
        <v>163573.54999999999</v>
      </c>
      <c r="D9" s="53" t="s">
        <v>382</v>
      </c>
      <c r="E9" s="10">
        <v>163573.54999999999</v>
      </c>
      <c r="F9" s="10">
        <f>$B$9</f>
        <v>163573.54999999999</v>
      </c>
    </row>
    <row r="10" spans="1:6" ht="13">
      <c r="B10" s="74"/>
      <c r="D10" s="9"/>
      <c r="E10" s="12"/>
      <c r="F10" s="12"/>
    </row>
    <row r="11" spans="1:6">
      <c r="A11" s="24" t="s">
        <v>580</v>
      </c>
      <c r="B11">
        <f>SUMIF(E8:YW8,D1,E11:YW11)</f>
        <v>163574.72986827101</v>
      </c>
      <c r="D11" s="9" t="s">
        <v>581</v>
      </c>
      <c r="E11" s="10">
        <v>163574.72986827101</v>
      </c>
      <c r="F11" s="10">
        <f>'[9]1663737443289'!$AI$11</f>
        <v>163574.72986827101</v>
      </c>
    </row>
    <row r="12" spans="1:6" ht="13">
      <c r="B12" s="74"/>
      <c r="D12" s="9"/>
      <c r="E12" s="12"/>
      <c r="F12" s="12"/>
    </row>
    <row r="13" spans="1:6" ht="13">
      <c r="A13" s="24" t="s">
        <v>582</v>
      </c>
      <c r="B13" s="74">
        <v>-0.13</v>
      </c>
      <c r="D13" s="16" t="s">
        <v>370</v>
      </c>
      <c r="E13" s="17">
        <v>1.1798682710214052</v>
      </c>
      <c r="F13" s="17">
        <f t="shared" ref="F13" si="0">F11-F9</f>
        <v>1.1798682710214052</v>
      </c>
    </row>
    <row r="14" spans="1:6" ht="13">
      <c r="B14" s="74"/>
    </row>
    <row r="15" spans="1:6" ht="13">
      <c r="A15" s="24" t="s">
        <v>362</v>
      </c>
      <c r="B15" s="74">
        <f>SUM(B11:B13)</f>
        <v>163574.59986827101</v>
      </c>
    </row>
    <row r="16" spans="1:6" ht="13">
      <c r="B16" s="74"/>
    </row>
    <row r="17" spans="1:6" ht="13">
      <c r="A17" s="13" t="s">
        <v>370</v>
      </c>
      <c r="B17" s="271">
        <f>B9-B15</f>
        <v>-1.0498682710167486</v>
      </c>
    </row>
    <row r="18" spans="1:6" ht="13">
      <c r="B18" s="74"/>
    </row>
    <row r="19" spans="1:6" ht="13">
      <c r="B19" s="74"/>
    </row>
    <row r="20" spans="1:6" ht="13">
      <c r="A20" s="5" t="s">
        <v>588</v>
      </c>
      <c r="B20" s="74"/>
    </row>
    <row r="21" spans="1:6" ht="13">
      <c r="B21" s="74"/>
    </row>
    <row r="22" spans="1:6" ht="13">
      <c r="A22" s="5" t="s">
        <v>589</v>
      </c>
    </row>
    <row r="23" spans="1:6" ht="14.5">
      <c r="B23" s="74"/>
      <c r="D23" s="6"/>
      <c r="E23" s="7">
        <v>44805</v>
      </c>
      <c r="F23" s="7">
        <f t="shared" ref="F23" si="1">F8</f>
        <v>44835</v>
      </c>
    </row>
    <row r="24" spans="1:6" ht="13">
      <c r="A24" s="5" t="s">
        <v>367</v>
      </c>
      <c r="B24" s="74">
        <f>'Trial Balance'!F43</f>
        <v>-100296.04</v>
      </c>
      <c r="D24" s="53" t="s">
        <v>382</v>
      </c>
      <c r="E24" s="10">
        <v>-100296.04</v>
      </c>
      <c r="F24" s="10">
        <f>$B$24</f>
        <v>-100296.04</v>
      </c>
    </row>
    <row r="25" spans="1:6" ht="13">
      <c r="A25" s="5"/>
      <c r="B25" s="5"/>
      <c r="D25" s="9"/>
      <c r="E25" s="12"/>
      <c r="F25" s="12"/>
    </row>
    <row r="26" spans="1:6">
      <c r="A26" s="24" t="s">
        <v>580</v>
      </c>
      <c r="B26" s="31">
        <f>SUMIF(E23:YW23,D1,E26:YW26)</f>
        <v>-100293.720914606</v>
      </c>
      <c r="D26" s="9" t="s">
        <v>581</v>
      </c>
      <c r="E26" s="10">
        <v>-100293.720914606</v>
      </c>
      <c r="F26" s="10">
        <f>'[9]1663737443289'!$AI$14</f>
        <v>-100293.720914606</v>
      </c>
    </row>
    <row r="27" spans="1:6">
      <c r="D27" s="9"/>
      <c r="E27" s="12"/>
      <c r="F27" s="12"/>
    </row>
    <row r="28" spans="1:6" ht="13">
      <c r="A28" s="275"/>
      <c r="B28" s="273"/>
      <c r="D28" s="53" t="s">
        <v>585</v>
      </c>
      <c r="E28" s="10"/>
      <c r="F28" s="10"/>
    </row>
    <row r="29" spans="1:6" ht="13">
      <c r="B29" s="5"/>
      <c r="D29" s="9"/>
      <c r="E29" s="12"/>
      <c r="F29" s="12"/>
    </row>
    <row r="30" spans="1:6" ht="13">
      <c r="A30" s="24" t="s">
        <v>582</v>
      </c>
      <c r="B30" s="274"/>
      <c r="D30" s="20" t="s">
        <v>522</v>
      </c>
      <c r="E30" s="21">
        <v>-100293.720914606</v>
      </c>
      <c r="F30" s="21">
        <f t="shared" ref="F30" si="2">F26+F28</f>
        <v>-100293.720914606</v>
      </c>
    </row>
    <row r="31" spans="1:6" ht="13">
      <c r="B31" s="5"/>
      <c r="D31" s="9"/>
      <c r="E31" s="12"/>
      <c r="F31" s="12"/>
    </row>
    <row r="32" spans="1:6" ht="13">
      <c r="A32" s="24" t="s">
        <v>362</v>
      </c>
      <c r="B32" s="122">
        <f>SUM(B26)+B28</f>
        <v>-100293.720914606</v>
      </c>
      <c r="D32" s="16" t="s">
        <v>370</v>
      </c>
      <c r="E32" s="17">
        <v>2.3190853939886438</v>
      </c>
      <c r="F32" s="17">
        <f t="shared" ref="F32" si="3">F30-F24</f>
        <v>2.3190853939886438</v>
      </c>
    </row>
    <row r="33" spans="1:2" ht="13">
      <c r="B33" s="5"/>
    </row>
    <row r="34" spans="1:2" ht="13">
      <c r="A34" s="13" t="s">
        <v>370</v>
      </c>
      <c r="B34" s="219">
        <f>B24-B32</f>
        <v>-2.3190853939886438</v>
      </c>
    </row>
    <row r="40" spans="1:2" ht="13">
      <c r="A40" s="25" t="str">
        <f>'Cash in Hand-1020'!A26</f>
        <v>Charmaine Chan</v>
      </c>
    </row>
    <row r="41" spans="1:2" ht="13">
      <c r="A41" s="5" t="s">
        <v>372</v>
      </c>
    </row>
    <row r="42" spans="1:2" ht="13">
      <c r="A42" s="5"/>
    </row>
    <row r="43" spans="1:2" ht="13">
      <c r="A43" s="5"/>
    </row>
    <row r="44" spans="1:2" ht="13">
      <c r="A44" s="5"/>
    </row>
    <row r="45" spans="1:2" ht="13">
      <c r="A45" s="25"/>
    </row>
    <row r="46" spans="1:2" ht="13">
      <c r="A46" s="5" t="s">
        <v>373</v>
      </c>
    </row>
  </sheetData>
  <mergeCells count="1">
    <mergeCell ref="A1:C1"/>
  </mergeCells>
  <pageMargins left="0.7" right="0.7" top="0.75" bottom="0.75" header="0.3" footer="0.3"/>
  <pageSetup paperSize="9" scale="84" orientation="landscape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>
    <pageSetUpPr fitToPage="1"/>
  </sheetPr>
  <dimension ref="A1:F45"/>
  <sheetViews>
    <sheetView workbookViewId="0">
      <selection activeCell="P1" sqref="P1:P1048576"/>
    </sheetView>
  </sheetViews>
  <sheetFormatPr defaultColWidth="9" defaultRowHeight="13"/>
  <cols>
    <col min="1" max="1" width="44.453125" customWidth="1"/>
    <col min="2" max="2" width="13" style="5" customWidth="1"/>
    <col min="4" max="4" width="25.1796875" customWidth="1"/>
    <col min="5" max="5" width="11" hidden="1" customWidth="1" collapsed="1"/>
    <col min="6" max="6" width="11" customWidth="1" collapsed="1"/>
  </cols>
  <sheetData>
    <row r="1" spans="1:6">
      <c r="A1" s="473" t="s">
        <v>364</v>
      </c>
      <c r="B1" s="473"/>
      <c r="C1" s="473"/>
      <c r="D1" s="3">
        <f>'Cash at Bank-1020.100'!D1</f>
        <v>44835</v>
      </c>
    </row>
    <row r="2" spans="1:6">
      <c r="C2" s="1"/>
    </row>
    <row r="3" spans="1:6">
      <c r="A3" s="5" t="str">
        <f>+'Goodwill-1560&amp;1570'!A3</f>
        <v xml:space="preserve">BALANCE AS AT </v>
      </c>
      <c r="C3" s="1"/>
    </row>
    <row r="5" spans="1:6">
      <c r="A5" s="5" t="s">
        <v>590</v>
      </c>
    </row>
    <row r="7" spans="1:6">
      <c r="A7" s="5" t="s">
        <v>591</v>
      </c>
    </row>
    <row r="8" spans="1:6" ht="14.5">
      <c r="B8" s="74"/>
      <c r="D8" s="6"/>
      <c r="E8" s="7">
        <v>44805</v>
      </c>
      <c r="F8" s="7">
        <f>E8+30</f>
        <v>44835</v>
      </c>
    </row>
    <row r="9" spans="1:6">
      <c r="A9" s="5" t="s">
        <v>367</v>
      </c>
      <c r="B9" s="74">
        <f>'Trial Balance'!F41</f>
        <v>82557.440000000002</v>
      </c>
      <c r="D9" s="53" t="s">
        <v>382</v>
      </c>
      <c r="E9" s="10">
        <v>82557.440000000002</v>
      </c>
      <c r="F9" s="10">
        <f>$B$9</f>
        <v>82557.440000000002</v>
      </c>
    </row>
    <row r="10" spans="1:6">
      <c r="B10" s="74"/>
      <c r="D10" s="9"/>
      <c r="E10" s="12"/>
      <c r="F10" s="12"/>
    </row>
    <row r="11" spans="1:6">
      <c r="A11" s="24" t="s">
        <v>580</v>
      </c>
      <c r="B11" s="270">
        <f>SUMIF($E$8:$YT$8,$D$1,E11:YT11)</f>
        <v>82557.016958250897</v>
      </c>
      <c r="D11" s="9" t="s">
        <v>581</v>
      </c>
      <c r="E11" s="10">
        <v>82557.016958250897</v>
      </c>
      <c r="F11" s="10">
        <f>'[9]1663737443289'!$AI$10</f>
        <v>82557.016958250897</v>
      </c>
    </row>
    <row r="12" spans="1:6">
      <c r="A12" s="24"/>
      <c r="B12" s="74"/>
      <c r="D12" s="9"/>
      <c r="E12" s="12"/>
      <c r="F12" s="12"/>
    </row>
    <row r="13" spans="1:6">
      <c r="A13" s="24" t="s">
        <v>582</v>
      </c>
      <c r="B13" s="74">
        <v>0.21</v>
      </c>
      <c r="D13" s="16" t="s">
        <v>370</v>
      </c>
      <c r="E13" s="17">
        <v>-0.42304174910532311</v>
      </c>
      <c r="F13" s="17">
        <f t="shared" ref="F13" si="0">F11-F9</f>
        <v>-0.42304174910532311</v>
      </c>
    </row>
    <row r="14" spans="1:6">
      <c r="A14" s="24"/>
      <c r="B14" s="74"/>
    </row>
    <row r="15" spans="1:6">
      <c r="A15" s="24" t="s">
        <v>362</v>
      </c>
      <c r="B15" s="74">
        <f>SUM(B11:B13)</f>
        <v>82557.226958250903</v>
      </c>
    </row>
    <row r="16" spans="1:6">
      <c r="B16" s="74"/>
    </row>
    <row r="17" spans="1:6">
      <c r="A17" s="13" t="s">
        <v>370</v>
      </c>
      <c r="B17" s="271">
        <f>B9-B15</f>
        <v>0.21304174909892026</v>
      </c>
    </row>
    <row r="18" spans="1:6">
      <c r="B18" s="74"/>
    </row>
    <row r="19" spans="1:6">
      <c r="B19" s="74"/>
    </row>
    <row r="20" spans="1:6">
      <c r="A20" s="5" t="s">
        <v>592</v>
      </c>
      <c r="B20" s="74"/>
    </row>
    <row r="21" spans="1:6">
      <c r="B21" s="74"/>
    </row>
    <row r="22" spans="1:6">
      <c r="A22" s="5" t="s">
        <v>593</v>
      </c>
    </row>
    <row r="23" spans="1:6" ht="14.5">
      <c r="B23" s="74"/>
      <c r="D23" s="6"/>
      <c r="E23" s="7">
        <v>44805</v>
      </c>
      <c r="F23" s="7">
        <f t="shared" ref="F23" si="1">F8</f>
        <v>44835</v>
      </c>
    </row>
    <row r="24" spans="1:6">
      <c r="A24" s="5" t="s">
        <v>367</v>
      </c>
      <c r="B24" s="74">
        <f>'Trial Balance'!F44</f>
        <v>-76785.06</v>
      </c>
      <c r="D24" s="53" t="s">
        <v>382</v>
      </c>
      <c r="E24" s="10">
        <v>-76785.06</v>
      </c>
      <c r="F24" s="10">
        <f>$B$24</f>
        <v>-76785.06</v>
      </c>
    </row>
    <row r="25" spans="1:6">
      <c r="D25" s="9"/>
      <c r="E25" s="12"/>
      <c r="F25" s="12"/>
    </row>
    <row r="26" spans="1:6">
      <c r="A26" s="24" t="s">
        <v>580</v>
      </c>
      <c r="B26" s="270">
        <f>SUMIF($E$8:$YT$8,$D$1,E26:YT26)</f>
        <v>-76783.873948981098</v>
      </c>
      <c r="D26" s="9" t="s">
        <v>581</v>
      </c>
      <c r="E26" s="10">
        <v>-76783.873948981098</v>
      </c>
      <c r="F26" s="10">
        <f>'[9]1663737443289'!$AI$13</f>
        <v>-76783.873948981098</v>
      </c>
    </row>
    <row r="27" spans="1:6">
      <c r="D27" s="9"/>
      <c r="E27" s="12"/>
      <c r="F27" s="12"/>
    </row>
    <row r="28" spans="1:6">
      <c r="A28" s="272"/>
      <c r="B28" s="273"/>
      <c r="D28" s="53" t="s">
        <v>585</v>
      </c>
      <c r="E28" s="10"/>
      <c r="F28" s="10"/>
    </row>
    <row r="29" spans="1:6">
      <c r="D29" s="9"/>
      <c r="E29" s="12"/>
      <c r="F29" s="12"/>
    </row>
    <row r="30" spans="1:6">
      <c r="A30" s="24" t="s">
        <v>582</v>
      </c>
      <c r="B30" s="5">
        <v>0.01</v>
      </c>
      <c r="D30" s="20" t="s">
        <v>522</v>
      </c>
      <c r="E30" s="21">
        <v>-76783.873948981098</v>
      </c>
      <c r="F30" s="21">
        <f t="shared" ref="F30" si="2">SUM(F26+F28)</f>
        <v>-76783.873948981098</v>
      </c>
    </row>
    <row r="31" spans="1:6">
      <c r="A31" s="24"/>
      <c r="D31" s="9"/>
      <c r="E31" s="12"/>
      <c r="F31" s="12"/>
    </row>
    <row r="32" spans="1:6">
      <c r="A32" s="24" t="s">
        <v>362</v>
      </c>
      <c r="B32" s="274">
        <f>SUM(B26)+B28+B30</f>
        <v>-76783.863948981103</v>
      </c>
      <c r="D32" s="16" t="s">
        <v>370</v>
      </c>
      <c r="E32" s="17">
        <v>1.1860510188998887</v>
      </c>
      <c r="F32" s="17">
        <f t="shared" ref="F32" si="3">F30-F24</f>
        <v>1.1860510188998887</v>
      </c>
    </row>
    <row r="33" spans="1:2" ht="12.5">
      <c r="B33" s="24"/>
    </row>
    <row r="34" spans="1:2">
      <c r="A34" s="13" t="s">
        <v>370</v>
      </c>
      <c r="B34" s="219">
        <f>B24-B32</f>
        <v>-1.19605101889465</v>
      </c>
    </row>
    <row r="39" spans="1:2">
      <c r="A39" s="25" t="str">
        <f>'Cash in Hand-1020'!A26</f>
        <v>Charmaine Chan</v>
      </c>
    </row>
    <row r="40" spans="1:2">
      <c r="A40" s="5" t="s">
        <v>372</v>
      </c>
    </row>
    <row r="41" spans="1:2">
      <c r="A41" s="5"/>
    </row>
    <row r="42" spans="1:2">
      <c r="A42" s="5"/>
    </row>
    <row r="43" spans="1:2">
      <c r="A43" s="5"/>
    </row>
    <row r="44" spans="1:2">
      <c r="A44" s="25"/>
    </row>
    <row r="45" spans="1:2">
      <c r="A45" s="5" t="s">
        <v>373</v>
      </c>
    </row>
  </sheetData>
  <mergeCells count="1">
    <mergeCell ref="A1:C1"/>
  </mergeCells>
  <pageMargins left="0.7" right="0.7" top="0.75" bottom="0.75" header="0.3" footer="0.3"/>
  <pageSetup paperSize="9" scale="86" orientation="landscape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F50"/>
  <sheetViews>
    <sheetView topLeftCell="A4" zoomScaleNormal="100" workbookViewId="0">
      <selection activeCell="P1" sqref="P1:P1048576"/>
    </sheetView>
  </sheetViews>
  <sheetFormatPr defaultColWidth="9" defaultRowHeight="12.75" customHeight="1"/>
  <cols>
    <col min="1" max="1" width="40.81640625" customWidth="1"/>
    <col min="2" max="2" width="15.81640625" customWidth="1"/>
    <col min="3" max="3" width="15.81640625" style="54" customWidth="1"/>
    <col min="4" max="4" width="7.81640625" customWidth="1"/>
    <col min="5" max="5" width="15.1796875" hidden="1" customWidth="1"/>
    <col min="6" max="6" width="15.1796875" customWidth="1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3" spans="1:6" ht="12.75" customHeight="1">
      <c r="A3" s="5" t="str">
        <f>'Cash at Bank-1020.100'!A3</f>
        <v xml:space="preserve">BALANCE AS AT </v>
      </c>
    </row>
    <row r="4" spans="1:6" ht="12.75" customHeight="1">
      <c r="D4" s="28"/>
      <c r="E4" s="28"/>
      <c r="F4" s="28"/>
    </row>
    <row r="5" spans="1:6" ht="12.75" customHeight="1">
      <c r="A5" s="5" t="s">
        <v>594</v>
      </c>
      <c r="B5" s="5"/>
      <c r="C5" s="8"/>
      <c r="D5" s="28"/>
      <c r="E5" s="28"/>
      <c r="F5" s="28"/>
    </row>
    <row r="6" spans="1:6" ht="12.75" customHeight="1">
      <c r="A6" s="5"/>
      <c r="B6" s="5"/>
      <c r="C6" s="8"/>
      <c r="D6" s="28"/>
      <c r="E6" s="28"/>
      <c r="F6" s="28"/>
    </row>
    <row r="7" spans="1:6" ht="12.75" customHeight="1">
      <c r="A7" s="5" t="s">
        <v>595</v>
      </c>
      <c r="B7" s="5"/>
      <c r="C7" s="8"/>
      <c r="D7" s="28"/>
      <c r="E7" s="28"/>
      <c r="F7" s="28"/>
    </row>
    <row r="8" spans="1:6" ht="12.75" customHeight="1">
      <c r="A8" s="5"/>
      <c r="B8" s="5"/>
      <c r="C8" s="171"/>
      <c r="D8" s="28"/>
      <c r="E8" s="28"/>
      <c r="F8" s="28"/>
    </row>
    <row r="9" spans="1:6" ht="12.75" customHeight="1">
      <c r="A9" s="5" t="s">
        <v>367</v>
      </c>
      <c r="B9" s="5"/>
      <c r="C9" s="55"/>
      <c r="D9" s="38"/>
      <c r="E9" s="7">
        <v>44805</v>
      </c>
      <c r="F9" s="7">
        <f>E9+30</f>
        <v>44835</v>
      </c>
    </row>
    <row r="10" spans="1:6" ht="12.75" customHeight="1">
      <c r="A10" s="24" t="s">
        <v>596</v>
      </c>
      <c r="B10" s="5"/>
      <c r="C10" s="164">
        <f>'Trial Balance'!F45</f>
        <v>-911315.94</v>
      </c>
      <c r="D10" s="265"/>
      <c r="E10" s="131">
        <v>-911315.94</v>
      </c>
      <c r="F10" s="131">
        <f>$C$10</f>
        <v>-911315.94</v>
      </c>
    </row>
    <row r="11" spans="1:6" ht="12.75" customHeight="1">
      <c r="A11" s="24" t="s">
        <v>597</v>
      </c>
      <c r="B11" s="5"/>
      <c r="C11" s="54">
        <v>0</v>
      </c>
      <c r="D11" s="266"/>
      <c r="E11" s="10"/>
      <c r="F11" s="10"/>
    </row>
    <row r="12" spans="1:6" ht="12.75" customHeight="1">
      <c r="A12" s="24" t="s">
        <v>598</v>
      </c>
      <c r="B12" s="5"/>
      <c r="C12" s="164">
        <v>0</v>
      </c>
      <c r="D12" s="38"/>
      <c r="E12" s="10"/>
      <c r="F12" s="10"/>
    </row>
    <row r="13" spans="1:6" ht="12.75" customHeight="1">
      <c r="A13" s="24" t="s">
        <v>599</v>
      </c>
      <c r="B13" s="5"/>
      <c r="C13" s="55">
        <v>0</v>
      </c>
      <c r="D13" s="26"/>
      <c r="E13" s="10"/>
      <c r="F13" s="10"/>
    </row>
    <row r="14" spans="1:6" ht="12.75" customHeight="1">
      <c r="A14" s="5" t="s">
        <v>600</v>
      </c>
      <c r="B14" s="30"/>
      <c r="C14" s="171">
        <f>SUM(C10:C13)</f>
        <v>-911315.94</v>
      </c>
      <c r="D14" s="38"/>
      <c r="E14" s="17">
        <v>-911315.94</v>
      </c>
      <c r="F14" s="17">
        <f t="shared" ref="F14" si="0">SUM(F10:F12)</f>
        <v>-911315.94</v>
      </c>
    </row>
    <row r="15" spans="1:6" ht="12.75" customHeight="1">
      <c r="A15" s="24" t="s">
        <v>601</v>
      </c>
      <c r="B15" s="30"/>
      <c r="C15" s="54">
        <f t="shared" ref="C15:C32" si="1">SUMIF($E$9:$YW$9,$D$1,E15:YW15)</f>
        <v>0</v>
      </c>
      <c r="D15" s="266"/>
      <c r="E15" s="10">
        <v>-283.91000000000003</v>
      </c>
      <c r="F15" s="10"/>
    </row>
    <row r="16" spans="1:6" ht="12.75" customHeight="1">
      <c r="A16" s="24" t="s">
        <v>602</v>
      </c>
      <c r="B16" s="30"/>
      <c r="C16" s="54">
        <f t="shared" si="1"/>
        <v>0</v>
      </c>
      <c r="D16" s="266"/>
      <c r="E16" s="10"/>
      <c r="F16" s="10"/>
    </row>
    <row r="17" spans="1:6" ht="12.75" customHeight="1">
      <c r="A17" s="24" t="s">
        <v>603</v>
      </c>
      <c r="B17" s="30"/>
      <c r="C17" s="54">
        <f t="shared" si="1"/>
        <v>0</v>
      </c>
      <c r="D17" s="266"/>
      <c r="E17" s="10"/>
      <c r="F17" s="10"/>
    </row>
    <row r="18" spans="1:6" ht="12.75" customHeight="1">
      <c r="A18" s="24" t="s">
        <v>604</v>
      </c>
      <c r="B18" s="30"/>
      <c r="C18" s="54">
        <f t="shared" si="1"/>
        <v>0</v>
      </c>
      <c r="D18" s="266"/>
      <c r="E18" s="10">
        <v>-12586.16</v>
      </c>
      <c r="F18" s="10"/>
    </row>
    <row r="19" spans="1:6" ht="12.75" customHeight="1">
      <c r="A19" s="24" t="s">
        <v>605</v>
      </c>
      <c r="B19" s="5"/>
      <c r="C19" s="54">
        <f t="shared" si="1"/>
        <v>0</v>
      </c>
      <c r="D19" s="266"/>
      <c r="E19" s="10">
        <v>-835877.97</v>
      </c>
      <c r="F19" s="10"/>
    </row>
    <row r="20" spans="1:6" ht="12.75" customHeight="1">
      <c r="A20" s="24" t="s">
        <v>606</v>
      </c>
      <c r="B20" s="5"/>
      <c r="C20" s="54">
        <f t="shared" si="1"/>
        <v>0</v>
      </c>
      <c r="D20" s="266"/>
      <c r="E20" s="10"/>
      <c r="F20" s="10"/>
    </row>
    <row r="21" spans="1:6" ht="12.75" customHeight="1">
      <c r="A21" s="24" t="s">
        <v>607</v>
      </c>
      <c r="B21" s="5"/>
      <c r="C21" s="54">
        <f t="shared" si="1"/>
        <v>0</v>
      </c>
      <c r="D21" s="266"/>
      <c r="E21" s="10"/>
      <c r="F21" s="10"/>
    </row>
    <row r="22" spans="1:6" ht="12.75" customHeight="1">
      <c r="A22" s="24" t="s">
        <v>608</v>
      </c>
      <c r="B22" s="5"/>
      <c r="C22" s="54">
        <f t="shared" si="1"/>
        <v>0</v>
      </c>
      <c r="D22" s="266"/>
      <c r="E22" s="10"/>
      <c r="F22" s="10"/>
    </row>
    <row r="23" spans="1:6" ht="12.75" customHeight="1">
      <c r="A23" s="24" t="s">
        <v>609</v>
      </c>
      <c r="B23" s="5"/>
      <c r="C23" s="54">
        <f t="shared" si="1"/>
        <v>0</v>
      </c>
      <c r="D23" s="266"/>
      <c r="E23" s="10">
        <v>-1615.52</v>
      </c>
      <c r="F23" s="10"/>
    </row>
    <row r="24" spans="1:6" ht="12.75" customHeight="1">
      <c r="A24" s="24" t="s">
        <v>610</v>
      </c>
      <c r="B24" s="5"/>
      <c r="C24" s="54">
        <f t="shared" si="1"/>
        <v>0</v>
      </c>
      <c r="D24" s="266"/>
      <c r="E24" s="10"/>
      <c r="F24" s="10"/>
    </row>
    <row r="25" spans="1:6" ht="12.75" customHeight="1">
      <c r="A25" s="24" t="s">
        <v>611</v>
      </c>
      <c r="B25" s="5"/>
      <c r="C25" s="54">
        <f t="shared" si="1"/>
        <v>0</v>
      </c>
      <c r="D25" s="266"/>
      <c r="E25" s="10"/>
      <c r="F25" s="10"/>
    </row>
    <row r="26" spans="1:6" ht="12.75" customHeight="1">
      <c r="A26" s="24" t="s">
        <v>612</v>
      </c>
      <c r="B26" s="5"/>
      <c r="C26" s="54">
        <f t="shared" si="1"/>
        <v>0</v>
      </c>
      <c r="D26" s="266"/>
      <c r="E26" s="10"/>
      <c r="F26" s="10"/>
    </row>
    <row r="27" spans="1:6" ht="12.75" customHeight="1">
      <c r="A27" s="24" t="s">
        <v>613</v>
      </c>
      <c r="B27" s="5"/>
      <c r="C27" s="54">
        <f t="shared" si="1"/>
        <v>0</v>
      </c>
      <c r="D27" s="266"/>
      <c r="E27" s="10"/>
      <c r="F27" s="10"/>
    </row>
    <row r="28" spans="1:6" ht="12.75" customHeight="1">
      <c r="A28" s="24" t="s">
        <v>614</v>
      </c>
      <c r="B28" s="5"/>
      <c r="C28" s="54">
        <f t="shared" si="1"/>
        <v>0</v>
      </c>
      <c r="D28" s="266"/>
      <c r="E28" s="10"/>
      <c r="F28" s="10"/>
    </row>
    <row r="29" spans="1:6" ht="12.75" customHeight="1">
      <c r="A29" s="24" t="s">
        <v>615</v>
      </c>
      <c r="B29" s="5"/>
      <c r="C29" s="54">
        <f t="shared" si="1"/>
        <v>0</v>
      </c>
      <c r="D29" s="266"/>
      <c r="E29" s="10"/>
      <c r="F29" s="10"/>
    </row>
    <row r="30" spans="1:6" ht="12.75" customHeight="1">
      <c r="A30" s="24" t="s">
        <v>616</v>
      </c>
      <c r="B30" s="5"/>
      <c r="C30" s="54">
        <f t="shared" si="1"/>
        <v>0</v>
      </c>
      <c r="D30" s="266"/>
      <c r="E30" s="10"/>
      <c r="F30" s="10"/>
    </row>
    <row r="31" spans="1:6" ht="13" customHeight="1">
      <c r="A31" s="24" t="s">
        <v>617</v>
      </c>
      <c r="B31" s="5"/>
      <c r="C31" s="54">
        <f t="shared" si="1"/>
        <v>0</v>
      </c>
      <c r="D31" s="266"/>
      <c r="E31" s="10">
        <v>-3946.84</v>
      </c>
      <c r="F31" s="10"/>
    </row>
    <row r="32" spans="1:6" ht="12.75" customHeight="1">
      <c r="A32" s="24" t="s">
        <v>618</v>
      </c>
      <c r="B32" s="5"/>
      <c r="C32" s="54">
        <f t="shared" si="1"/>
        <v>0</v>
      </c>
      <c r="D32" s="266"/>
      <c r="E32" s="10"/>
      <c r="F32" s="10"/>
    </row>
    <row r="33" spans="1:6" ht="12.75" customHeight="1">
      <c r="A33" s="24"/>
      <c r="B33" s="5"/>
      <c r="D33" s="38"/>
      <c r="E33" s="50"/>
      <c r="F33" s="50"/>
    </row>
    <row r="34" spans="1:6" s="5" customFormat="1" ht="12.75" customHeight="1">
      <c r="A34" s="5" t="s">
        <v>600</v>
      </c>
      <c r="C34" s="171">
        <f>SUM(C14:C32)</f>
        <v>-911315.94</v>
      </c>
      <c r="D34" s="267"/>
      <c r="E34" s="21">
        <v>-1765626.34</v>
      </c>
      <c r="F34" s="21">
        <f t="shared" ref="F34" si="2">SUM(F14:F32)</f>
        <v>-911315.94</v>
      </c>
    </row>
    <row r="35" spans="1:6" ht="12.75" customHeight="1">
      <c r="C35" s="55"/>
      <c r="D35" s="38"/>
      <c r="E35" s="50"/>
      <c r="F35" s="50"/>
    </row>
    <row r="36" spans="1:6" ht="12.75" customHeight="1">
      <c r="A36" t="s">
        <v>619</v>
      </c>
      <c r="D36" s="38"/>
      <c r="E36" s="50"/>
      <c r="F36" s="50"/>
    </row>
    <row r="37" spans="1:6" ht="12.75" customHeight="1">
      <c r="A37" s="163" t="str">
        <f>+A3</f>
        <v xml:space="preserve">BALANCE AS AT </v>
      </c>
      <c r="C37" s="54">
        <f>SUMIF($E$9:$YW$9,$D$1,E37:YW37)</f>
        <v>-1765626.34</v>
      </c>
      <c r="D37" s="268"/>
      <c r="E37" s="269">
        <v>-1765626.34</v>
      </c>
      <c r="F37" s="269">
        <f>-'[10]APTB as at 30 Sep 2022'!$F$131</f>
        <v>-1765626.34</v>
      </c>
    </row>
    <row r="38" spans="1:6" ht="12.75" customHeight="1">
      <c r="C38" s="8"/>
      <c r="D38" s="38"/>
      <c r="E38" s="50"/>
      <c r="F38" s="50"/>
    </row>
    <row r="39" spans="1:6" ht="12.75" customHeight="1">
      <c r="A39" s="264" t="s">
        <v>370</v>
      </c>
      <c r="B39" s="14"/>
      <c r="C39" s="160">
        <f>C34-C37</f>
        <v>854310.40000000014</v>
      </c>
      <c r="D39" s="38"/>
      <c r="E39" s="17">
        <v>0</v>
      </c>
      <c r="F39" s="17">
        <f t="shared" ref="F39" si="3">F37-F34</f>
        <v>-854310.40000000014</v>
      </c>
    </row>
    <row r="40" spans="1:6" ht="12.75" customHeight="1">
      <c r="A40" s="98"/>
      <c r="C40" s="171"/>
      <c r="D40" s="28"/>
      <c r="E40" s="28"/>
      <c r="F40" s="28"/>
    </row>
    <row r="41" spans="1:6" ht="12.75" customHeight="1">
      <c r="A41" s="98"/>
      <c r="C41" s="8"/>
      <c r="D41" s="28"/>
      <c r="E41" s="28"/>
      <c r="F41" s="28"/>
    </row>
    <row r="42" spans="1:6" ht="12.75" customHeight="1">
      <c r="A42" s="98"/>
      <c r="C42" s="8"/>
      <c r="D42" s="28"/>
      <c r="E42" s="28"/>
      <c r="F42" s="28"/>
    </row>
    <row r="44" spans="1:6" ht="12.75" customHeight="1">
      <c r="A44" s="25" t="str">
        <f>'Cash in Hand-1020'!A26</f>
        <v>Charmaine Chan</v>
      </c>
      <c r="C44" s="55"/>
    </row>
    <row r="45" spans="1:6" ht="12.75" customHeight="1">
      <c r="A45" s="5" t="s">
        <v>372</v>
      </c>
    </row>
    <row r="46" spans="1:6" ht="12.75" customHeight="1">
      <c r="A46" s="5"/>
    </row>
    <row r="47" spans="1:6" ht="12.75" customHeight="1">
      <c r="A47" s="5"/>
    </row>
    <row r="48" spans="1:6" ht="12.75" customHeight="1">
      <c r="A48" s="5"/>
    </row>
    <row r="49" spans="1:1" ht="12.75" customHeight="1">
      <c r="A49" s="25"/>
    </row>
    <row r="50" spans="1:1" ht="12.75" customHeight="1">
      <c r="A50" s="5" t="s">
        <v>373</v>
      </c>
    </row>
  </sheetData>
  <mergeCells count="1">
    <mergeCell ref="A1:C1"/>
  </mergeCells>
  <pageMargins left="0.75" right="0.75" top="1" bottom="1" header="0.5" footer="0.5"/>
  <pageSetup paperSize="9" scale="73" orientation="landscape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C27"/>
  <sheetViews>
    <sheetView topLeftCell="A3" workbookViewId="0">
      <selection activeCell="G44" sqref="G44"/>
    </sheetView>
  </sheetViews>
  <sheetFormatPr defaultColWidth="9" defaultRowHeight="12.75" customHeight="1"/>
  <cols>
    <col min="1" max="1" width="40.81640625" customWidth="1"/>
    <col min="2" max="2" width="15.81640625" customWidth="1"/>
    <col min="3" max="3" width="15.81640625" style="54" customWidth="1"/>
  </cols>
  <sheetData>
    <row r="1" spans="1:3" ht="12.75" customHeight="1">
      <c r="A1" s="473" t="s">
        <v>364</v>
      </c>
      <c r="B1" s="473"/>
      <c r="C1" s="473"/>
    </row>
    <row r="3" spans="1:3" ht="12.75" customHeight="1">
      <c r="A3" s="5" t="str">
        <f>+'Creditor Control-2020'!A3</f>
        <v xml:space="preserve">BALANCE AS AT </v>
      </c>
    </row>
    <row r="5" spans="1:3" ht="12.75" customHeight="1">
      <c r="A5" s="5" t="s">
        <v>620</v>
      </c>
      <c r="B5" s="5"/>
      <c r="C5" s="8"/>
    </row>
    <row r="6" spans="1:3" ht="12.75" customHeight="1">
      <c r="A6" s="5"/>
      <c r="B6" s="5"/>
      <c r="C6" s="8"/>
    </row>
    <row r="7" spans="1:3" ht="12.75" customHeight="1">
      <c r="A7" s="5" t="s">
        <v>621</v>
      </c>
      <c r="B7" s="5"/>
      <c r="C7" s="8"/>
    </row>
    <row r="8" spans="1:3" ht="12.75" customHeight="1">
      <c r="A8" s="5"/>
      <c r="B8" s="5"/>
      <c r="C8" s="171"/>
    </row>
    <row r="9" spans="1:3" ht="12.75" customHeight="1">
      <c r="A9" s="5" t="s">
        <v>367</v>
      </c>
      <c r="B9" s="5"/>
      <c r="C9" s="171">
        <v>0</v>
      </c>
    </row>
    <row r="10" spans="1:3" ht="12.75" customHeight="1">
      <c r="A10" s="24"/>
      <c r="B10" s="5"/>
      <c r="C10" s="55"/>
    </row>
    <row r="11" spans="1:3" ht="12.75" customHeight="1">
      <c r="A11" s="24" t="s">
        <v>622</v>
      </c>
      <c r="B11" s="5"/>
      <c r="C11" s="55">
        <v>0</v>
      </c>
    </row>
    <row r="12" spans="1:3" ht="12.75" customHeight="1">
      <c r="A12" t="s">
        <v>442</v>
      </c>
      <c r="B12" s="5"/>
      <c r="C12" s="55"/>
    </row>
    <row r="13" spans="1:3" ht="12.75" customHeight="1">
      <c r="A13" s="175"/>
      <c r="B13" s="30"/>
      <c r="C13" s="55"/>
    </row>
    <row r="14" spans="1:3" ht="12.75" customHeight="1">
      <c r="A14" s="5" t="s">
        <v>362</v>
      </c>
      <c r="B14" s="30"/>
      <c r="C14" s="171">
        <f>SUM(C10:C13)</f>
        <v>0</v>
      </c>
    </row>
    <row r="15" spans="1:3" ht="12.75" customHeight="1">
      <c r="A15" s="5"/>
      <c r="C15" s="171"/>
    </row>
    <row r="16" spans="1:3" ht="12.75" customHeight="1">
      <c r="A16" s="18" t="s">
        <v>370</v>
      </c>
      <c r="C16" s="55">
        <f>C9-C14</f>
        <v>0</v>
      </c>
    </row>
    <row r="17" spans="1:3" ht="12.75" customHeight="1">
      <c r="A17" s="98"/>
      <c r="C17" s="171"/>
    </row>
    <row r="18" spans="1:3" ht="12.75" customHeight="1">
      <c r="A18" s="98"/>
      <c r="C18" s="171"/>
    </row>
    <row r="19" spans="1:3" ht="12.75" customHeight="1">
      <c r="A19" s="98"/>
      <c r="C19" s="171"/>
    </row>
    <row r="20" spans="1:3" ht="12.75" customHeight="1">
      <c r="C20" s="55"/>
    </row>
    <row r="21" spans="1:3" ht="12.75" customHeight="1">
      <c r="A21" s="25" t="str">
        <f>'Cash in Hand-1020'!A26</f>
        <v>Charmaine Chan</v>
      </c>
      <c r="C21" s="55"/>
    </row>
    <row r="22" spans="1:3" ht="12.75" customHeight="1">
      <c r="A22" s="5" t="s">
        <v>372</v>
      </c>
      <c r="C22" s="55"/>
    </row>
    <row r="23" spans="1:3" ht="12.75" customHeight="1">
      <c r="A23" s="5"/>
    </row>
    <row r="24" spans="1:3" ht="12.75" customHeight="1">
      <c r="A24" s="5"/>
    </row>
    <row r="25" spans="1:3" ht="12.75" customHeight="1">
      <c r="A25" s="5"/>
    </row>
    <row r="26" spans="1:3" ht="12.75" customHeight="1">
      <c r="A26" s="25"/>
    </row>
    <row r="27" spans="1:3" ht="12.75" customHeight="1">
      <c r="A27" s="5" t="s">
        <v>373</v>
      </c>
    </row>
  </sheetData>
  <mergeCells count="1">
    <mergeCell ref="A1:C1"/>
  </mergeCells>
  <pageMargins left="0.75" right="0.75" top="1" bottom="1" header="0.5" footer="0.5"/>
  <pageSetup paperSize="9" orientation="portrait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G108"/>
  <sheetViews>
    <sheetView workbookViewId="0">
      <selection activeCell="Q1" sqref="Q1:Q1048576"/>
    </sheetView>
  </sheetViews>
  <sheetFormatPr defaultColWidth="9" defaultRowHeight="12.75" customHeight="1"/>
  <cols>
    <col min="1" max="1" width="33.54296875" customWidth="1"/>
    <col min="2" max="2" width="15.81640625" customWidth="1"/>
    <col min="3" max="3" width="15.81640625" style="1" customWidth="1"/>
    <col min="4" max="4" width="7.81640625" customWidth="1"/>
    <col min="5" max="5" width="26.81640625" customWidth="1"/>
    <col min="6" max="6" width="12" hidden="1" customWidth="1" collapsed="1"/>
    <col min="7" max="7" width="12" customWidth="1" collapsed="1"/>
  </cols>
  <sheetData>
    <row r="1" spans="1:7" ht="12.75" customHeight="1">
      <c r="A1" s="473" t="s">
        <v>364</v>
      </c>
      <c r="B1" s="473"/>
      <c r="C1" s="473"/>
      <c r="D1" s="3">
        <f>'Cash at Bank-1020.100'!D1</f>
        <v>44835</v>
      </c>
    </row>
    <row r="2" spans="1:7" ht="12.75" customHeight="1">
      <c r="A2" s="2"/>
      <c r="B2" s="2"/>
      <c r="C2" s="4"/>
    </row>
    <row r="3" spans="1:7" ht="12.75" customHeight="1">
      <c r="A3" s="5" t="str">
        <f>+'GRNV-2055'!A3</f>
        <v xml:space="preserve">BALANCE AS AT </v>
      </c>
      <c r="B3" s="2"/>
      <c r="C3" s="4"/>
    </row>
    <row r="5" spans="1:7" ht="12.75" customHeight="1">
      <c r="A5" s="5" t="s">
        <v>623</v>
      </c>
      <c r="B5" s="5"/>
      <c r="C5" s="22"/>
    </row>
    <row r="6" spans="1:7" ht="12.75" customHeight="1">
      <c r="A6" s="5"/>
      <c r="B6" s="5"/>
      <c r="C6" s="22"/>
    </row>
    <row r="7" spans="1:7" ht="12.75" customHeight="1">
      <c r="A7" s="5" t="s">
        <v>624</v>
      </c>
      <c r="B7" s="5"/>
      <c r="C7" s="22"/>
    </row>
    <row r="8" spans="1:7" ht="12.75" customHeight="1">
      <c r="A8" s="5"/>
      <c r="B8" s="5"/>
      <c r="C8" s="22"/>
      <c r="E8" s="6"/>
      <c r="F8" s="7">
        <v>44805</v>
      </c>
      <c r="G8" s="7">
        <f>F8+30</f>
        <v>44835</v>
      </c>
    </row>
    <row r="9" spans="1:7" ht="12.75" customHeight="1">
      <c r="A9" s="5" t="s">
        <v>367</v>
      </c>
      <c r="B9" s="5"/>
      <c r="C9" s="8">
        <f>'Trial Balance'!F46</f>
        <v>-910267.33</v>
      </c>
      <c r="E9" s="53" t="s">
        <v>382</v>
      </c>
      <c r="F9" s="10">
        <v>-910267.33</v>
      </c>
      <c r="G9" s="10">
        <f>$C$9</f>
        <v>-910267.33</v>
      </c>
    </row>
    <row r="10" spans="1:7" ht="12.75" customHeight="1">
      <c r="A10" s="5"/>
      <c r="B10" s="5"/>
      <c r="C10" s="22"/>
      <c r="E10" s="9"/>
      <c r="F10" s="12"/>
      <c r="G10" s="12"/>
    </row>
    <row r="11" spans="1:7" ht="12.75" customHeight="1">
      <c r="A11" s="5"/>
      <c r="B11" s="5"/>
      <c r="C11" s="22"/>
      <c r="E11" s="9"/>
      <c r="F11" s="12"/>
      <c r="G11" s="12"/>
    </row>
    <row r="12" spans="1:7" ht="12.75" customHeight="1">
      <c r="A12" s="263" t="s">
        <v>625</v>
      </c>
      <c r="B12" s="115"/>
      <c r="C12" s="1">
        <f>SUMIF($F$8:$YX$8,$D$1,F12:YX12)</f>
        <v>-910267.32751818199</v>
      </c>
      <c r="E12" s="53" t="s">
        <v>625</v>
      </c>
      <c r="F12" s="10">
        <v>-910267.32751818199</v>
      </c>
      <c r="G12" s="10">
        <f>'[11]Accrual Rec'!$BJ$77</f>
        <v>-910267.32751818199</v>
      </c>
    </row>
    <row r="13" spans="1:7" ht="12.75" customHeight="1">
      <c r="A13" s="5"/>
      <c r="B13" s="5"/>
      <c r="E13" s="53"/>
      <c r="F13" s="10"/>
      <c r="G13" s="10"/>
    </row>
    <row r="14" spans="1:7" ht="12.75" customHeight="1">
      <c r="A14" s="5"/>
      <c r="B14" s="5"/>
      <c r="C14" s="22"/>
      <c r="E14" s="20" t="s">
        <v>362</v>
      </c>
      <c r="F14" s="21">
        <v>-910267.32751818199</v>
      </c>
      <c r="G14" s="21">
        <f t="shared" ref="G14" si="0">SUM(G12:G13)</f>
        <v>-910267.32751818199</v>
      </c>
    </row>
    <row r="15" spans="1:7" ht="12.75" customHeight="1">
      <c r="C15" s="22"/>
      <c r="E15" s="9"/>
      <c r="F15" s="12"/>
      <c r="G15" s="12"/>
    </row>
    <row r="16" spans="1:7" ht="12.75" customHeight="1">
      <c r="C16" s="22"/>
      <c r="E16" s="16" t="s">
        <v>370</v>
      </c>
      <c r="F16" s="17">
        <v>2.4818179663270712E-3</v>
      </c>
      <c r="G16" s="17">
        <f t="shared" ref="G16" si="1">G14-G9</f>
        <v>2.4818179663270712E-3</v>
      </c>
    </row>
    <row r="17" spans="1:3" ht="12.75" customHeight="1">
      <c r="A17" s="5"/>
      <c r="B17" s="5"/>
      <c r="C17" s="22"/>
    </row>
    <row r="18" spans="1:3" ht="12.75" customHeight="1">
      <c r="A18" s="5"/>
      <c r="B18" s="5"/>
      <c r="C18" s="22"/>
    </row>
    <row r="19" spans="1:3" ht="12.75" customHeight="1">
      <c r="A19" s="5" t="s">
        <v>362</v>
      </c>
      <c r="B19" s="5"/>
      <c r="C19" s="8">
        <f>SUM(C11:C13)</f>
        <v>-910267.32751818199</v>
      </c>
    </row>
    <row r="20" spans="1:3" ht="12.75" customHeight="1">
      <c r="A20" s="5"/>
      <c r="B20" s="5"/>
      <c r="C20" s="22"/>
    </row>
    <row r="21" spans="1:3" ht="12.75" customHeight="1">
      <c r="A21" s="264" t="s">
        <v>370</v>
      </c>
      <c r="B21" s="14"/>
      <c r="C21" s="160">
        <f>C9-C19</f>
        <v>-2.4818179663270712E-3</v>
      </c>
    </row>
    <row r="26" spans="1:3" ht="12.75" customHeight="1">
      <c r="A26" s="25" t="str">
        <f>'Cash in Hand-1020'!A26</f>
        <v>Charmaine Chan</v>
      </c>
    </row>
    <row r="27" spans="1:3" ht="12.75" customHeight="1">
      <c r="A27" s="5" t="s">
        <v>372</v>
      </c>
    </row>
    <row r="28" spans="1:3" ht="12.75" customHeight="1">
      <c r="A28" s="5"/>
    </row>
    <row r="29" spans="1:3" ht="12.75" customHeight="1">
      <c r="A29" s="5"/>
    </row>
    <row r="30" spans="1:3" ht="12.75" customHeight="1">
      <c r="A30" s="5"/>
    </row>
    <row r="31" spans="1:3" ht="12.75" customHeight="1">
      <c r="A31" s="25"/>
    </row>
    <row r="32" spans="1:3" ht="12.75" customHeight="1">
      <c r="A32" s="5" t="s">
        <v>373</v>
      </c>
    </row>
    <row r="34" spans="1:3" ht="12.75" customHeight="1">
      <c r="A34" s="60"/>
      <c r="B34" s="60"/>
      <c r="C34" s="114"/>
    </row>
    <row r="35" spans="1:3" ht="12.75" customHeight="1">
      <c r="A35" s="60"/>
      <c r="B35" s="60"/>
      <c r="C35" s="114"/>
    </row>
    <row r="36" spans="1:3" ht="12.75" customHeight="1">
      <c r="A36" s="60"/>
      <c r="B36" s="60"/>
      <c r="C36" s="114"/>
    </row>
    <row r="37" spans="1:3" ht="12.75" customHeight="1">
      <c r="A37" s="60"/>
      <c r="B37" s="60"/>
      <c r="C37" s="114"/>
    </row>
    <row r="38" spans="1:3" ht="12.75" customHeight="1">
      <c r="A38" s="60"/>
      <c r="B38" s="60"/>
      <c r="C38" s="114"/>
    </row>
    <row r="39" spans="1:3" ht="12.75" customHeight="1">
      <c r="A39" s="60"/>
      <c r="B39" s="60"/>
      <c r="C39" s="114"/>
    </row>
    <row r="40" spans="1:3" ht="12.75" customHeight="1">
      <c r="A40" s="60"/>
      <c r="B40" s="60"/>
      <c r="C40" s="114"/>
    </row>
    <row r="41" spans="1:3" ht="12.75" customHeight="1">
      <c r="A41" s="60"/>
      <c r="B41" s="60"/>
      <c r="C41" s="114"/>
    </row>
    <row r="42" spans="1:3" ht="12.75" customHeight="1">
      <c r="A42" s="60"/>
      <c r="B42" s="60"/>
      <c r="C42" s="114"/>
    </row>
    <row r="43" spans="1:3" ht="12.75" customHeight="1">
      <c r="A43" s="60"/>
      <c r="B43" s="60"/>
      <c r="C43" s="114"/>
    </row>
    <row r="44" spans="1:3" ht="12.75" customHeight="1">
      <c r="A44" s="60"/>
      <c r="B44" s="60"/>
      <c r="C44" s="114"/>
    </row>
    <row r="45" spans="1:3" ht="12.75" customHeight="1">
      <c r="A45" s="60"/>
      <c r="B45" s="60"/>
      <c r="C45" s="114"/>
    </row>
    <row r="46" spans="1:3" ht="12.75" customHeight="1">
      <c r="A46" s="60"/>
      <c r="B46" s="60"/>
      <c r="C46" s="114"/>
    </row>
    <row r="47" spans="1:3" ht="12.75" customHeight="1">
      <c r="A47" s="60"/>
      <c r="B47" s="60"/>
      <c r="C47" s="114"/>
    </row>
    <row r="48" spans="1:3" ht="12.75" customHeight="1">
      <c r="A48" s="60"/>
      <c r="B48" s="60"/>
      <c r="C48" s="114"/>
    </row>
    <row r="49" spans="1:3" ht="12.75" customHeight="1">
      <c r="A49" s="60"/>
      <c r="B49" s="60"/>
      <c r="C49" s="114"/>
    </row>
    <row r="50" spans="1:3" ht="12.75" customHeight="1">
      <c r="A50" s="60"/>
      <c r="B50" s="60"/>
      <c r="C50" s="114"/>
    </row>
    <row r="51" spans="1:3" ht="12.75" customHeight="1">
      <c r="A51" s="60"/>
      <c r="B51" s="60"/>
      <c r="C51" s="114"/>
    </row>
    <row r="52" spans="1:3" ht="12.75" customHeight="1">
      <c r="A52" s="60"/>
      <c r="B52" s="60"/>
      <c r="C52" s="114"/>
    </row>
    <row r="53" spans="1:3" ht="12.75" customHeight="1">
      <c r="A53" s="60"/>
      <c r="B53" s="60"/>
      <c r="C53" s="114"/>
    </row>
    <row r="54" spans="1:3" ht="12.75" customHeight="1">
      <c r="A54" s="60"/>
      <c r="B54" s="60"/>
      <c r="C54" s="114"/>
    </row>
    <row r="55" spans="1:3" ht="12.75" customHeight="1">
      <c r="A55" s="60"/>
      <c r="B55" s="60"/>
      <c r="C55" s="114"/>
    </row>
    <row r="56" spans="1:3" ht="12.75" customHeight="1">
      <c r="A56" s="60"/>
      <c r="B56" s="60"/>
      <c r="C56" s="114"/>
    </row>
    <row r="57" spans="1:3" ht="12.75" customHeight="1">
      <c r="A57" s="60"/>
      <c r="B57" s="60"/>
      <c r="C57" s="114"/>
    </row>
    <row r="58" spans="1:3" ht="12.75" customHeight="1">
      <c r="A58" s="60"/>
      <c r="B58" s="60"/>
      <c r="C58" s="114"/>
    </row>
    <row r="59" spans="1:3" ht="12.75" customHeight="1">
      <c r="A59" s="60"/>
      <c r="B59" s="60"/>
      <c r="C59" s="114"/>
    </row>
    <row r="60" spans="1:3" ht="12.75" customHeight="1">
      <c r="A60" s="60"/>
      <c r="B60" s="60"/>
      <c r="C60" s="114"/>
    </row>
    <row r="61" spans="1:3" ht="12.75" customHeight="1">
      <c r="A61" s="60"/>
      <c r="B61" s="60"/>
      <c r="C61" s="114"/>
    </row>
    <row r="62" spans="1:3" ht="12.75" customHeight="1">
      <c r="A62" s="60"/>
      <c r="B62" s="60"/>
      <c r="C62" s="114"/>
    </row>
    <row r="63" spans="1:3" ht="12.75" customHeight="1">
      <c r="A63" s="60"/>
      <c r="B63" s="60"/>
      <c r="C63" s="114"/>
    </row>
    <row r="64" spans="1:3" ht="12.75" customHeight="1">
      <c r="A64" s="60"/>
      <c r="B64" s="60"/>
      <c r="C64" s="114"/>
    </row>
    <row r="65" spans="1:3" ht="12.75" customHeight="1">
      <c r="A65" s="60"/>
      <c r="B65" s="60"/>
      <c r="C65" s="114"/>
    </row>
    <row r="66" spans="1:3" ht="12.75" customHeight="1">
      <c r="A66" s="60"/>
      <c r="B66" s="60"/>
      <c r="C66" s="114"/>
    </row>
    <row r="67" spans="1:3" ht="12.75" customHeight="1">
      <c r="A67" s="60"/>
      <c r="B67" s="60"/>
      <c r="C67" s="114"/>
    </row>
    <row r="68" spans="1:3" ht="12.75" customHeight="1">
      <c r="A68" s="60"/>
      <c r="B68" s="60"/>
      <c r="C68" s="114"/>
    </row>
    <row r="69" spans="1:3" ht="12.75" customHeight="1">
      <c r="A69" s="60"/>
      <c r="B69" s="60"/>
      <c r="C69" s="114"/>
    </row>
    <row r="70" spans="1:3" ht="12.75" customHeight="1">
      <c r="A70" s="60"/>
      <c r="B70" s="60"/>
      <c r="C70" s="114"/>
    </row>
    <row r="71" spans="1:3" ht="12.75" customHeight="1">
      <c r="A71" s="60"/>
      <c r="B71" s="60"/>
      <c r="C71" s="114"/>
    </row>
    <row r="72" spans="1:3" ht="12.75" customHeight="1">
      <c r="A72" s="60"/>
      <c r="B72" s="60"/>
      <c r="C72" s="114"/>
    </row>
    <row r="73" spans="1:3" ht="12.75" customHeight="1">
      <c r="A73" s="60"/>
      <c r="B73" s="60"/>
      <c r="C73" s="114"/>
    </row>
    <row r="74" spans="1:3" ht="12.75" customHeight="1">
      <c r="A74" s="60"/>
      <c r="B74" s="60"/>
      <c r="C74" s="114"/>
    </row>
    <row r="75" spans="1:3" ht="12.75" customHeight="1">
      <c r="A75" s="60"/>
      <c r="B75" s="60"/>
      <c r="C75" s="114"/>
    </row>
    <row r="76" spans="1:3" ht="12.75" customHeight="1">
      <c r="A76" s="60"/>
      <c r="B76" s="60"/>
      <c r="C76" s="114"/>
    </row>
    <row r="77" spans="1:3" ht="12.75" customHeight="1">
      <c r="A77" s="60"/>
      <c r="B77" s="60"/>
      <c r="C77" s="114"/>
    </row>
    <row r="78" spans="1:3" ht="12.75" customHeight="1">
      <c r="A78" s="60"/>
      <c r="B78" s="60"/>
      <c r="C78" s="114"/>
    </row>
    <row r="79" spans="1:3" ht="12.75" customHeight="1">
      <c r="A79" s="60"/>
      <c r="B79" s="60"/>
      <c r="C79" s="114"/>
    </row>
    <row r="80" spans="1:3" ht="12.75" customHeight="1">
      <c r="A80" s="60"/>
      <c r="B80" s="60"/>
      <c r="C80" s="114"/>
    </row>
    <row r="81" spans="1:3" ht="12.75" customHeight="1">
      <c r="A81" s="60"/>
      <c r="B81" s="60"/>
      <c r="C81" s="114"/>
    </row>
    <row r="82" spans="1:3" ht="12.75" customHeight="1">
      <c r="A82" s="60"/>
      <c r="B82" s="60"/>
      <c r="C82" s="114"/>
    </row>
    <row r="83" spans="1:3" ht="12.75" customHeight="1">
      <c r="A83" s="60"/>
      <c r="B83" s="60"/>
      <c r="C83" s="114"/>
    </row>
    <row r="84" spans="1:3" ht="12.75" customHeight="1">
      <c r="A84" s="60"/>
      <c r="B84" s="60"/>
      <c r="C84" s="114"/>
    </row>
    <row r="85" spans="1:3" ht="12.75" customHeight="1">
      <c r="A85" s="60"/>
      <c r="B85" s="60"/>
      <c r="C85" s="114"/>
    </row>
    <row r="86" spans="1:3" ht="12.75" customHeight="1">
      <c r="A86" s="60"/>
      <c r="B86" s="60"/>
      <c r="C86" s="114"/>
    </row>
    <row r="87" spans="1:3" ht="12.75" customHeight="1">
      <c r="A87" s="60"/>
      <c r="B87" s="60"/>
      <c r="C87" s="114"/>
    </row>
    <row r="88" spans="1:3" ht="12.75" customHeight="1">
      <c r="A88" s="60"/>
      <c r="B88" s="60"/>
      <c r="C88" s="114"/>
    </row>
    <row r="89" spans="1:3" ht="12.75" customHeight="1">
      <c r="A89" s="60"/>
      <c r="B89" s="60"/>
      <c r="C89" s="114"/>
    </row>
    <row r="90" spans="1:3" ht="12.75" customHeight="1">
      <c r="A90" s="60"/>
      <c r="B90" s="60"/>
      <c r="C90" s="114"/>
    </row>
    <row r="91" spans="1:3" ht="12.75" customHeight="1">
      <c r="A91" s="60"/>
      <c r="B91" s="60"/>
      <c r="C91" s="114"/>
    </row>
    <row r="92" spans="1:3" ht="12.75" customHeight="1">
      <c r="A92" s="60"/>
      <c r="B92" s="60"/>
      <c r="C92" s="114"/>
    </row>
    <row r="93" spans="1:3" ht="12.75" customHeight="1">
      <c r="A93" s="60"/>
      <c r="B93" s="60"/>
      <c r="C93" s="114"/>
    </row>
    <row r="94" spans="1:3" ht="12.75" customHeight="1">
      <c r="A94" s="60"/>
      <c r="B94" s="60"/>
      <c r="C94" s="114"/>
    </row>
    <row r="95" spans="1:3" ht="12.75" customHeight="1">
      <c r="A95" s="60"/>
      <c r="B95" s="60"/>
      <c r="C95" s="114"/>
    </row>
    <row r="96" spans="1:3" ht="12.75" customHeight="1">
      <c r="A96" s="60"/>
      <c r="B96" s="60"/>
      <c r="C96" s="114"/>
    </row>
    <row r="97" spans="1:3" ht="12.75" customHeight="1">
      <c r="A97" s="60"/>
      <c r="B97" s="60"/>
      <c r="C97" s="114"/>
    </row>
    <row r="98" spans="1:3" ht="12.75" customHeight="1">
      <c r="A98" s="60"/>
      <c r="B98" s="60"/>
      <c r="C98" s="114"/>
    </row>
    <row r="99" spans="1:3" ht="12.75" customHeight="1">
      <c r="A99" s="60"/>
      <c r="B99" s="60"/>
      <c r="C99" s="114"/>
    </row>
    <row r="100" spans="1:3" ht="12.75" customHeight="1">
      <c r="A100" s="60"/>
      <c r="B100" s="60"/>
      <c r="C100" s="114"/>
    </row>
    <row r="101" spans="1:3" ht="12.75" customHeight="1">
      <c r="A101" s="60"/>
      <c r="B101" s="60"/>
      <c r="C101" s="114"/>
    </row>
    <row r="102" spans="1:3" ht="12.75" customHeight="1">
      <c r="A102" s="60"/>
      <c r="B102" s="60"/>
      <c r="C102" s="114"/>
    </row>
    <row r="103" spans="1:3" ht="12.75" customHeight="1">
      <c r="A103" s="60"/>
      <c r="B103" s="60"/>
      <c r="C103" s="114"/>
    </row>
    <row r="104" spans="1:3" ht="12.75" customHeight="1">
      <c r="A104" s="60"/>
      <c r="B104" s="60"/>
      <c r="C104" s="114"/>
    </row>
    <row r="105" spans="1:3" ht="12.75" customHeight="1">
      <c r="A105" s="60"/>
      <c r="B105" s="60"/>
      <c r="C105" s="114"/>
    </row>
    <row r="106" spans="1:3" ht="12.75" customHeight="1">
      <c r="A106" s="60"/>
      <c r="B106" s="60"/>
      <c r="C106" s="114"/>
    </row>
    <row r="107" spans="1:3" ht="12.75" customHeight="1">
      <c r="A107" s="60"/>
      <c r="B107" s="60"/>
      <c r="C107" s="114"/>
    </row>
    <row r="108" spans="1:3" ht="12.75" customHeight="1">
      <c r="A108" s="60"/>
      <c r="B108" s="60"/>
      <c r="C108" s="114"/>
    </row>
  </sheetData>
  <mergeCells count="1">
    <mergeCell ref="A1:C1"/>
  </mergeCells>
  <pageMargins left="0.75" right="0.75" top="1" bottom="1" header="0.5" footer="0.5"/>
  <pageSetup scale="91" orientation="landscape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pageSetUpPr fitToPage="1"/>
  </sheetPr>
  <dimension ref="A1:G42"/>
  <sheetViews>
    <sheetView workbookViewId="0">
      <selection activeCell="Q1" sqref="Q1:Q1048576"/>
    </sheetView>
  </sheetViews>
  <sheetFormatPr defaultColWidth="9" defaultRowHeight="12.75" customHeight="1"/>
  <cols>
    <col min="1" max="1" width="56.7265625" bestFit="1" customWidth="1"/>
    <col min="2" max="2" width="13.1796875" customWidth="1"/>
    <col min="3" max="3" width="15.81640625" style="1" customWidth="1"/>
    <col min="4" max="4" width="10" customWidth="1"/>
    <col min="5" max="5" width="32.81640625" customWidth="1"/>
    <col min="6" max="6" width="11" hidden="1" customWidth="1" collapsed="1"/>
    <col min="7" max="7" width="11" customWidth="1" collapsed="1"/>
  </cols>
  <sheetData>
    <row r="1" spans="1:7" ht="12.75" customHeight="1">
      <c r="A1" s="473" t="s">
        <v>364</v>
      </c>
      <c r="B1" s="473"/>
      <c r="C1" s="473"/>
      <c r="D1" s="3">
        <f>'Cash at Bank-1020.100'!D1</f>
        <v>44835</v>
      </c>
    </row>
    <row r="2" spans="1:7" ht="12.75" customHeight="1">
      <c r="A2" s="2"/>
      <c r="B2" s="2"/>
      <c r="C2" s="4"/>
    </row>
    <row r="3" spans="1:7" ht="12.75" customHeight="1">
      <c r="A3" s="5" t="str">
        <f>+'GRNV-2055'!A3</f>
        <v xml:space="preserve">BALANCE AS AT </v>
      </c>
      <c r="B3" s="2"/>
      <c r="C3" s="4"/>
    </row>
    <row r="5" spans="1:7" ht="12.75" customHeight="1">
      <c r="A5" s="5" t="s">
        <v>626</v>
      </c>
      <c r="B5" s="5"/>
      <c r="C5" s="22"/>
    </row>
    <row r="6" spans="1:7" ht="12.75" customHeight="1">
      <c r="A6" s="5"/>
      <c r="B6" s="5"/>
      <c r="C6" s="22"/>
    </row>
    <row r="7" spans="1:7" ht="12.75" customHeight="1">
      <c r="A7" s="5" t="s">
        <v>627</v>
      </c>
      <c r="B7" s="5"/>
      <c r="C7" s="22"/>
    </row>
    <row r="8" spans="1:7" ht="12.75" customHeight="1">
      <c r="A8" s="5"/>
      <c r="B8" s="5"/>
      <c r="C8" s="22"/>
      <c r="E8" s="6"/>
      <c r="F8" s="7">
        <v>44805</v>
      </c>
      <c r="G8" s="7">
        <f>F8+30</f>
        <v>44835</v>
      </c>
    </row>
    <row r="9" spans="1:7" ht="12.75" customHeight="1">
      <c r="A9" s="5" t="s">
        <v>367</v>
      </c>
      <c r="B9" s="5"/>
      <c r="C9" s="8">
        <f>'Trial Balance'!F47</f>
        <v>-49360</v>
      </c>
      <c r="E9" s="53" t="s">
        <v>382</v>
      </c>
      <c r="F9" s="10">
        <v>-49360</v>
      </c>
      <c r="G9" s="10">
        <f>$C$9</f>
        <v>-49360</v>
      </c>
    </row>
    <row r="10" spans="1:7" ht="12.75" customHeight="1">
      <c r="A10" s="5"/>
      <c r="B10" s="5"/>
      <c r="C10" s="22"/>
      <c r="E10" s="9"/>
      <c r="F10" s="12"/>
      <c r="G10" s="12"/>
    </row>
    <row r="11" spans="1:7" ht="12.75" customHeight="1">
      <c r="A11" s="5" t="s">
        <v>628</v>
      </c>
      <c r="B11" s="5"/>
      <c r="C11" s="1">
        <v>-21290</v>
      </c>
      <c r="E11" s="53" t="s">
        <v>629</v>
      </c>
      <c r="F11" s="12">
        <v>-43810</v>
      </c>
      <c r="G11" s="12">
        <f t="shared" ref="G11" si="0">F14</f>
        <v>-49360</v>
      </c>
    </row>
    <row r="12" spans="1:7" ht="12.75" customHeight="1">
      <c r="A12" s="5" t="s">
        <v>630</v>
      </c>
      <c r="B12" s="5"/>
      <c r="C12" s="1">
        <f>SUM(F12:YX12)</f>
        <v>-5550</v>
      </c>
      <c r="E12" s="257" t="s">
        <v>631</v>
      </c>
      <c r="F12" s="10">
        <v>-5550</v>
      </c>
      <c r="G12" s="10"/>
    </row>
    <row r="13" spans="1:7" ht="12.75" customHeight="1">
      <c r="A13" s="5"/>
      <c r="E13" s="53" t="s">
        <v>632</v>
      </c>
      <c r="F13" s="10"/>
      <c r="G13" s="10"/>
    </row>
    <row r="14" spans="1:7" ht="12.75" customHeight="1">
      <c r="A14" s="5" t="s">
        <v>633</v>
      </c>
      <c r="E14" s="20" t="s">
        <v>362</v>
      </c>
      <c r="F14" s="21">
        <v>-49360</v>
      </c>
      <c r="G14" s="21">
        <f t="shared" ref="G14" si="1">SUM(G11:G13)</f>
        <v>-49360</v>
      </c>
    </row>
    <row r="15" spans="1:7" ht="12.75" customHeight="1">
      <c r="A15" s="24" t="s">
        <v>634</v>
      </c>
      <c r="C15" s="1">
        <f>15848+6240</f>
        <v>22088</v>
      </c>
      <c r="E15" s="9"/>
      <c r="F15" s="12"/>
      <c r="G15" s="12"/>
    </row>
    <row r="16" spans="1:7" ht="12.75" customHeight="1">
      <c r="A16" s="24" t="s">
        <v>635</v>
      </c>
      <c r="C16" s="1">
        <v>5442</v>
      </c>
      <c r="E16" s="16" t="s">
        <v>370</v>
      </c>
      <c r="F16" s="17">
        <v>0</v>
      </c>
      <c r="G16" s="17">
        <f t="shared" ref="G16" si="2">G14-G9</f>
        <v>0</v>
      </c>
    </row>
    <row r="17" spans="1:3" ht="12.75" customHeight="1">
      <c r="B17" s="5"/>
    </row>
    <row r="18" spans="1:3" ht="12.75" customHeight="1">
      <c r="C18" s="258">
        <f>SUM(C11:C16)</f>
        <v>690</v>
      </c>
    </row>
    <row r="22" spans="1:3" ht="12.75" customHeight="1">
      <c r="A22" s="5"/>
      <c r="B22" s="5"/>
      <c r="C22" s="22"/>
    </row>
    <row r="23" spans="1:3" ht="12.75" customHeight="1">
      <c r="A23" s="259" t="s">
        <v>857</v>
      </c>
      <c r="B23" s="260">
        <f>40500+6000</f>
        <v>46500</v>
      </c>
      <c r="C23" s="22"/>
    </row>
    <row r="24" spans="1:3" ht="12.75" customHeight="1">
      <c r="A24" s="259" t="s">
        <v>636</v>
      </c>
      <c r="B24" s="261">
        <f>C18</f>
        <v>690</v>
      </c>
      <c r="C24" s="22"/>
    </row>
    <row r="25" spans="1:3" ht="12.75" customHeight="1">
      <c r="A25" s="259" t="s">
        <v>637</v>
      </c>
      <c r="B25" s="262">
        <f>SUM(B23:B24)</f>
        <v>47190</v>
      </c>
      <c r="C25" s="22"/>
    </row>
    <row r="26" spans="1:3" ht="12.75" customHeight="1">
      <c r="A26" s="5"/>
      <c r="B26" s="5"/>
      <c r="C26" s="22"/>
    </row>
    <row r="27" spans="1:3" ht="12.75" customHeight="1">
      <c r="A27" s="5"/>
      <c r="B27" s="5"/>
      <c r="C27" s="22"/>
    </row>
    <row r="28" spans="1:3" ht="12.75" customHeight="1">
      <c r="A28" s="5"/>
      <c r="B28" s="5"/>
      <c r="C28" s="22"/>
    </row>
    <row r="29" spans="1:3" ht="12.75" customHeight="1">
      <c r="A29" s="5"/>
      <c r="B29" s="5"/>
      <c r="C29" s="22"/>
    </row>
    <row r="30" spans="1:3" ht="12.75" customHeight="1">
      <c r="A30" s="5" t="s">
        <v>362</v>
      </c>
      <c r="B30" s="5"/>
      <c r="C30" s="8">
        <f>C18</f>
        <v>690</v>
      </c>
    </row>
    <row r="31" spans="1:3" ht="12.75" customHeight="1">
      <c r="A31" s="5"/>
      <c r="B31" s="5"/>
      <c r="C31" s="22"/>
    </row>
    <row r="32" spans="1:3" ht="12.75" customHeight="1">
      <c r="A32" s="13" t="s">
        <v>370</v>
      </c>
      <c r="B32" s="14"/>
      <c r="C32" s="160">
        <f>C30-C9</f>
        <v>50050</v>
      </c>
    </row>
    <row r="36" spans="1:1" ht="12.75" customHeight="1">
      <c r="A36" s="25" t="str">
        <f>'Cash in Hand-1020'!A26</f>
        <v>Charmaine Chan</v>
      </c>
    </row>
    <row r="37" spans="1:1" ht="12.75" customHeight="1">
      <c r="A37" s="5" t="s">
        <v>372</v>
      </c>
    </row>
    <row r="38" spans="1:1" ht="12.75" customHeight="1">
      <c r="A38" s="5"/>
    </row>
    <row r="39" spans="1:1" ht="12.75" customHeight="1">
      <c r="A39" s="5"/>
    </row>
    <row r="40" spans="1:1" ht="12.75" customHeight="1">
      <c r="A40" s="5"/>
    </row>
    <row r="41" spans="1:1" ht="12.75" customHeight="1">
      <c r="A41" s="25"/>
    </row>
    <row r="42" spans="1:1" ht="12.75" customHeight="1">
      <c r="A42" s="5" t="s">
        <v>373</v>
      </c>
    </row>
  </sheetData>
  <mergeCells count="1">
    <mergeCell ref="A1:C1"/>
  </mergeCells>
  <pageMargins left="0.75" right="0.75" top="1" bottom="1" header="0.5" footer="0.5"/>
  <pageSetup paperSize="9" scale="86" orientation="landscape"/>
  <headerFooter alignWithMargins="0"/>
  <drawing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pageSetUpPr fitToPage="1"/>
  </sheetPr>
  <dimension ref="A1:P77"/>
  <sheetViews>
    <sheetView topLeftCell="A37" workbookViewId="0">
      <selection activeCell="G74" sqref="G74"/>
    </sheetView>
  </sheetViews>
  <sheetFormatPr defaultColWidth="9" defaultRowHeight="12.75" customHeight="1"/>
  <cols>
    <col min="1" max="1" width="40.81640625" customWidth="1"/>
    <col min="2" max="2" width="15.81640625" customWidth="1"/>
    <col min="3" max="3" width="15.81640625" style="1" customWidth="1"/>
    <col min="4" max="4" width="10" customWidth="1"/>
    <col min="6" max="6" width="25.81640625" customWidth="1"/>
    <col min="7" max="7" width="10.81640625" customWidth="1"/>
    <col min="8" max="8" width="7.81640625" customWidth="1"/>
    <col min="9" max="9" width="15.1796875" customWidth="1"/>
    <col min="10" max="10" width="12.54296875" style="24" customWidth="1"/>
    <col min="11" max="11" width="24.453125" style="24" customWidth="1"/>
    <col min="12" max="12" width="15.1796875" customWidth="1"/>
    <col min="13" max="13" width="9.1796875" customWidth="1"/>
    <col min="14" max="14" width="10.1796875" customWidth="1"/>
  </cols>
  <sheetData>
    <row r="1" spans="1:16" ht="12.75" customHeight="1">
      <c r="A1" s="473" t="s">
        <v>364</v>
      </c>
      <c r="B1" s="473"/>
      <c r="C1" s="473"/>
      <c r="F1" s="222" t="s">
        <v>638</v>
      </c>
      <c r="G1" s="222" t="s">
        <v>639</v>
      </c>
      <c r="H1" s="222"/>
      <c r="I1" s="222"/>
      <c r="J1" s="222" t="s">
        <v>640</v>
      </c>
      <c r="K1" s="222" t="s">
        <v>641</v>
      </c>
      <c r="L1" s="222"/>
    </row>
    <row r="2" spans="1:16" ht="12.75" customHeight="1">
      <c r="A2" s="2"/>
      <c r="B2" s="2"/>
      <c r="C2" s="4"/>
      <c r="F2" s="222" t="s">
        <v>642</v>
      </c>
      <c r="G2" s="223">
        <v>41883</v>
      </c>
      <c r="H2" s="222"/>
      <c r="I2" s="222"/>
      <c r="J2" s="222" t="s">
        <v>643</v>
      </c>
      <c r="K2" s="236">
        <f>I15</f>
        <v>0</v>
      </c>
      <c r="L2" s="222"/>
      <c r="M2">
        <v>1</v>
      </c>
    </row>
    <row r="3" spans="1:16" ht="12.75" customHeight="1">
      <c r="A3" s="5" t="str">
        <f>+'GRNV-2055'!A3</f>
        <v xml:space="preserve">BALANCE AS AT </v>
      </c>
      <c r="B3" s="2"/>
      <c r="C3" s="4"/>
      <c r="F3" s="222" t="s">
        <v>644</v>
      </c>
      <c r="G3" s="222" t="s">
        <v>645</v>
      </c>
      <c r="H3" s="222"/>
      <c r="I3" s="222"/>
      <c r="J3" s="222" t="s">
        <v>646</v>
      </c>
      <c r="K3" s="236">
        <f>SUM(I16:I27)</f>
        <v>53389.999999999978</v>
      </c>
      <c r="L3" s="236"/>
      <c r="M3">
        <v>12</v>
      </c>
    </row>
    <row r="4" spans="1:16" ht="12.75" customHeight="1">
      <c r="F4" s="222" t="s">
        <v>647</v>
      </c>
      <c r="G4" s="222">
        <v>106780</v>
      </c>
      <c r="H4" s="222"/>
      <c r="I4" s="222"/>
      <c r="J4" s="222" t="s">
        <v>648</v>
      </c>
      <c r="K4" s="236">
        <f>SUM(I28:I39)</f>
        <v>106779.99999999996</v>
      </c>
      <c r="L4" s="236"/>
      <c r="M4">
        <v>12</v>
      </c>
    </row>
    <row r="5" spans="1:16" ht="12.75" customHeight="1">
      <c r="A5" s="5" t="s">
        <v>649</v>
      </c>
      <c r="B5" s="5"/>
      <c r="C5" s="22"/>
      <c r="F5" s="222" t="s">
        <v>650</v>
      </c>
      <c r="G5" s="224">
        <v>0.03</v>
      </c>
      <c r="H5" s="222"/>
      <c r="I5" s="222"/>
      <c r="J5" s="222" t="s">
        <v>651</v>
      </c>
      <c r="K5" s="236">
        <f>SUM(I40:I51)</f>
        <v>106779.99999999996</v>
      </c>
      <c r="L5" s="236"/>
      <c r="M5">
        <v>12</v>
      </c>
    </row>
    <row r="6" spans="1:16" ht="12.75" customHeight="1">
      <c r="A6" s="5"/>
      <c r="B6" s="5"/>
      <c r="C6" s="22"/>
      <c r="F6" s="222" t="s">
        <v>652</v>
      </c>
      <c r="G6" s="222">
        <v>7</v>
      </c>
      <c r="H6" s="222" t="s">
        <v>653</v>
      </c>
      <c r="I6" s="222"/>
      <c r="J6" s="222" t="s">
        <v>654</v>
      </c>
      <c r="K6" s="236">
        <f>SUM(I52:I63)</f>
        <v>106779.99999999996</v>
      </c>
      <c r="L6" s="236"/>
      <c r="M6">
        <v>12</v>
      </c>
    </row>
    <row r="7" spans="1:16" ht="12.75" customHeight="1">
      <c r="A7" s="5" t="s">
        <v>655</v>
      </c>
      <c r="B7" s="5"/>
      <c r="C7" s="22"/>
      <c r="F7" s="222" t="s">
        <v>656</v>
      </c>
      <c r="G7" s="222">
        <v>62288.31</v>
      </c>
      <c r="H7" s="222"/>
      <c r="I7" s="222"/>
      <c r="J7" s="222" t="s">
        <v>657</v>
      </c>
      <c r="K7" s="236">
        <f>SUM(I64:I74)</f>
        <v>100551.16333333327</v>
      </c>
      <c r="L7" s="236"/>
      <c r="M7">
        <v>11</v>
      </c>
    </row>
    <row r="8" spans="1:16" ht="12.75" customHeight="1">
      <c r="A8" s="5"/>
      <c r="B8" s="5"/>
      <c r="C8" s="22"/>
      <c r="F8" s="222" t="s">
        <v>658</v>
      </c>
      <c r="G8" s="222">
        <v>8898.33</v>
      </c>
      <c r="H8" s="222"/>
      <c r="I8" s="222"/>
      <c r="J8" s="222"/>
      <c r="K8" s="237">
        <f>SUM(K2:K7)</f>
        <v>474281.1633333331</v>
      </c>
      <c r="L8" s="222"/>
      <c r="M8" s="238">
        <f>SUM(M2:M7)</f>
        <v>60</v>
      </c>
    </row>
    <row r="9" spans="1:16" ht="12.75" customHeight="1">
      <c r="A9" s="5" t="s">
        <v>367</v>
      </c>
      <c r="B9" s="5"/>
      <c r="C9" s="8" t="e">
        <f>'Trial Balance'!#REF!</f>
        <v>#REF!</v>
      </c>
      <c r="F9" s="222" t="s">
        <v>659</v>
      </c>
      <c r="G9" s="222"/>
      <c r="H9" s="222"/>
      <c r="I9" s="222"/>
      <c r="J9" s="222"/>
      <c r="K9" s="239">
        <f>K8/60</f>
        <v>7904.6860555555513</v>
      </c>
      <c r="L9" s="222"/>
    </row>
    <row r="10" spans="1:16" ht="12.75" customHeight="1">
      <c r="A10" s="5"/>
      <c r="B10" s="139"/>
      <c r="C10" s="22"/>
      <c r="D10" s="24"/>
      <c r="F10" s="222"/>
      <c r="G10" s="222"/>
      <c r="H10" s="222"/>
      <c r="I10" s="222"/>
      <c r="J10" s="222"/>
      <c r="K10" s="222"/>
      <c r="L10" s="222"/>
    </row>
    <row r="11" spans="1:16" ht="12.75" customHeight="1">
      <c r="A11" s="24" t="s">
        <v>660</v>
      </c>
      <c r="B11" s="139"/>
      <c r="C11" s="8">
        <f>-L64</f>
        <v>-19163.427366194694</v>
      </c>
      <c r="F11" s="222"/>
      <c r="G11" s="222"/>
      <c r="H11" s="222"/>
      <c r="I11" s="222"/>
      <c r="J11" s="222"/>
      <c r="K11" s="222"/>
      <c r="L11" s="222"/>
    </row>
    <row r="12" spans="1:16" ht="12.75" customHeight="1">
      <c r="A12" s="24"/>
      <c r="B12" s="139"/>
      <c r="C12" s="8"/>
      <c r="F12" s="222"/>
      <c r="G12" s="222"/>
      <c r="H12" s="222"/>
      <c r="I12" s="222"/>
      <c r="J12" s="222"/>
      <c r="K12" s="222"/>
      <c r="L12" s="222"/>
    </row>
    <row r="13" spans="1:16" ht="12.75" customHeight="1">
      <c r="A13" s="24"/>
      <c r="B13" s="139"/>
      <c r="C13" s="8"/>
      <c r="F13" s="225" t="s">
        <v>661</v>
      </c>
      <c r="G13" s="226" t="s">
        <v>662</v>
      </c>
      <c r="H13" s="226"/>
      <c r="I13" s="226" t="s">
        <v>663</v>
      </c>
      <c r="J13" s="226" t="s">
        <v>664</v>
      </c>
      <c r="K13" s="226" t="s">
        <v>665</v>
      </c>
      <c r="L13" s="240" t="s">
        <v>666</v>
      </c>
    </row>
    <row r="14" spans="1:16" ht="12.75" customHeight="1">
      <c r="A14" s="24"/>
      <c r="B14" s="139"/>
      <c r="C14" s="8"/>
      <c r="F14" s="227"/>
      <c r="G14" s="228"/>
      <c r="H14" s="228"/>
      <c r="I14" s="228"/>
      <c r="J14" s="228"/>
      <c r="K14" s="228"/>
      <c r="L14" s="241"/>
    </row>
    <row r="15" spans="1:16" ht="12.75" customHeight="1">
      <c r="A15" s="5"/>
      <c r="B15" s="139"/>
      <c r="C15" s="22"/>
      <c r="F15" s="227">
        <v>1</v>
      </c>
      <c r="G15" s="229">
        <v>41912</v>
      </c>
      <c r="H15" s="228"/>
      <c r="I15" s="242">
        <v>0</v>
      </c>
      <c r="J15" s="243">
        <v>8558.33</v>
      </c>
      <c r="K15" s="243">
        <f>J15-I15</f>
        <v>8558.33</v>
      </c>
      <c r="L15" s="244">
        <f>K15</f>
        <v>8558.33</v>
      </c>
      <c r="P15" s="245"/>
    </row>
    <row r="16" spans="1:16" ht="12.75" customHeight="1">
      <c r="A16" s="5" t="s">
        <v>362</v>
      </c>
      <c r="B16" s="5"/>
      <c r="C16" s="8">
        <f>SUM(C11:C15)</f>
        <v>-19163.427366194694</v>
      </c>
      <c r="F16" s="227">
        <v>2</v>
      </c>
      <c r="G16" s="229">
        <v>41943</v>
      </c>
      <c r="H16" s="228"/>
      <c r="I16" s="246">
        <v>0</v>
      </c>
      <c r="J16" s="243">
        <v>8558</v>
      </c>
      <c r="K16" s="243">
        <f t="shared" ref="K16:K74" si="0">J16-I16</f>
        <v>8558</v>
      </c>
      <c r="L16" s="244">
        <f>K16+L15</f>
        <v>17116.330000000002</v>
      </c>
      <c r="P16" s="245"/>
    </row>
    <row r="17" spans="1:16" ht="12.75" customHeight="1">
      <c r="B17" s="5"/>
      <c r="C17" s="19"/>
      <c r="F17" s="227">
        <v>3</v>
      </c>
      <c r="G17" s="229">
        <v>41973</v>
      </c>
      <c r="H17" s="228"/>
      <c r="I17" s="246">
        <v>0</v>
      </c>
      <c r="J17" s="243">
        <v>8558</v>
      </c>
      <c r="K17" s="243">
        <f t="shared" si="0"/>
        <v>8558</v>
      </c>
      <c r="L17" s="244">
        <f t="shared" ref="L17:L74" si="1">K17+L16</f>
        <v>25674.33</v>
      </c>
      <c r="P17" s="245"/>
    </row>
    <row r="18" spans="1:16" ht="12.75" customHeight="1">
      <c r="A18" s="18" t="s">
        <v>370</v>
      </c>
      <c r="C18" s="55" t="e">
        <f>C9-C16</f>
        <v>#REF!</v>
      </c>
      <c r="F18" s="227">
        <v>4</v>
      </c>
      <c r="G18" s="229">
        <v>42004</v>
      </c>
      <c r="H18" s="228"/>
      <c r="I18" s="246">
        <v>0</v>
      </c>
      <c r="J18" s="243">
        <v>8558</v>
      </c>
      <c r="K18" s="243">
        <f t="shared" si="0"/>
        <v>8558</v>
      </c>
      <c r="L18" s="244">
        <f t="shared" si="1"/>
        <v>34232.33</v>
      </c>
      <c r="P18" s="245"/>
    </row>
    <row r="19" spans="1:16" ht="12.75" customHeight="1">
      <c r="F19" s="227">
        <v>5</v>
      </c>
      <c r="G19" s="229">
        <v>42035</v>
      </c>
      <c r="H19" s="228"/>
      <c r="I19" s="246">
        <v>0</v>
      </c>
      <c r="J19" s="243">
        <v>8558.33</v>
      </c>
      <c r="K19" s="243">
        <f t="shared" si="0"/>
        <v>8558.33</v>
      </c>
      <c r="L19" s="244">
        <f t="shared" si="1"/>
        <v>42790.66</v>
      </c>
      <c r="P19" s="245"/>
    </row>
    <row r="20" spans="1:16" ht="12.75" customHeight="1">
      <c r="F20" s="227">
        <v>6</v>
      </c>
      <c r="G20" s="229">
        <v>42063</v>
      </c>
      <c r="H20" s="228"/>
      <c r="I20" s="246">
        <v>0</v>
      </c>
      <c r="J20" s="243">
        <v>8558.33</v>
      </c>
      <c r="K20" s="243">
        <f t="shared" si="0"/>
        <v>8558.33</v>
      </c>
      <c r="L20" s="244">
        <f t="shared" si="1"/>
        <v>51348.990000000005</v>
      </c>
      <c r="P20" s="245"/>
    </row>
    <row r="21" spans="1:16" ht="12.75" customHeight="1">
      <c r="F21" s="227">
        <v>7</v>
      </c>
      <c r="G21" s="229">
        <v>42094</v>
      </c>
      <c r="H21" s="228"/>
      <c r="I21" s="246">
        <v>0</v>
      </c>
      <c r="J21" s="243">
        <v>8558.33</v>
      </c>
      <c r="K21" s="243">
        <f t="shared" si="0"/>
        <v>8558.33</v>
      </c>
      <c r="L21" s="244">
        <f t="shared" si="1"/>
        <v>59907.320000000007</v>
      </c>
      <c r="P21" s="245"/>
    </row>
    <row r="22" spans="1:16" ht="12.75" customHeight="1">
      <c r="F22" s="227">
        <v>8</v>
      </c>
      <c r="G22" s="229">
        <v>42124</v>
      </c>
      <c r="H22" s="228"/>
      <c r="I22" s="246">
        <v>8898.3333333333303</v>
      </c>
      <c r="J22" s="243">
        <v>8558.33</v>
      </c>
      <c r="K22" s="243">
        <f t="shared" si="0"/>
        <v>-340.00333333333037</v>
      </c>
      <c r="L22" s="244">
        <f t="shared" si="1"/>
        <v>59567.31666666668</v>
      </c>
      <c r="P22" s="245"/>
    </row>
    <row r="23" spans="1:16" ht="12.75" customHeight="1">
      <c r="A23" s="25" t="str">
        <f>'Cash in Hand-1020'!A26</f>
        <v>Charmaine Chan</v>
      </c>
      <c r="F23" s="227">
        <v>9</v>
      </c>
      <c r="G23" s="229">
        <v>42155</v>
      </c>
      <c r="H23" s="228"/>
      <c r="I23" s="246">
        <v>8898.3333333333303</v>
      </c>
      <c r="J23" s="243">
        <v>8558.33</v>
      </c>
      <c r="K23" s="243">
        <f t="shared" si="0"/>
        <v>-340.00333333333037</v>
      </c>
      <c r="L23" s="244">
        <f t="shared" si="1"/>
        <v>59227.313333333354</v>
      </c>
      <c r="P23" s="245"/>
    </row>
    <row r="24" spans="1:16" ht="12.75" customHeight="1">
      <c r="A24" s="5" t="s">
        <v>372</v>
      </c>
      <c r="F24" s="227">
        <v>10</v>
      </c>
      <c r="G24" s="229">
        <v>42185</v>
      </c>
      <c r="H24" s="228"/>
      <c r="I24" s="246">
        <v>8898.3333333333303</v>
      </c>
      <c r="J24" s="243">
        <v>8558.33</v>
      </c>
      <c r="K24" s="243">
        <f t="shared" si="0"/>
        <v>-340.00333333333037</v>
      </c>
      <c r="L24" s="244">
        <f t="shared" si="1"/>
        <v>58887.310000000027</v>
      </c>
      <c r="P24" s="245"/>
    </row>
    <row r="25" spans="1:16" ht="12.75" customHeight="1">
      <c r="A25" s="5"/>
      <c r="F25" s="227">
        <v>11</v>
      </c>
      <c r="G25" s="229">
        <v>42216</v>
      </c>
      <c r="H25" s="228"/>
      <c r="I25" s="246">
        <v>8898.3333333333303</v>
      </c>
      <c r="J25" s="243">
        <v>8558.33</v>
      </c>
      <c r="K25" s="243">
        <f t="shared" si="0"/>
        <v>-340.00333333333037</v>
      </c>
      <c r="L25" s="244">
        <f t="shared" si="1"/>
        <v>58547.3066666667</v>
      </c>
      <c r="P25" s="245"/>
    </row>
    <row r="26" spans="1:16" ht="12.75" customHeight="1">
      <c r="A26" s="5"/>
      <c r="F26" s="227">
        <v>12</v>
      </c>
      <c r="G26" s="229">
        <v>42247</v>
      </c>
      <c r="H26" s="228"/>
      <c r="I26" s="246">
        <v>8898.3333333333303</v>
      </c>
      <c r="J26" s="243">
        <v>8558.33</v>
      </c>
      <c r="K26" s="243">
        <f t="shared" si="0"/>
        <v>-340.00333333333037</v>
      </c>
      <c r="L26" s="244">
        <f t="shared" si="1"/>
        <v>58207.303333333373</v>
      </c>
      <c r="M26" s="245"/>
      <c r="P26" s="245"/>
    </row>
    <row r="27" spans="1:16" ht="12.75" customHeight="1">
      <c r="A27" s="5"/>
      <c r="F27" s="230">
        <v>13</v>
      </c>
      <c r="G27" s="229">
        <v>42277</v>
      </c>
      <c r="H27" s="231"/>
      <c r="I27" s="246">
        <v>8898.3333333333303</v>
      </c>
      <c r="J27" s="242">
        <v>8558.33</v>
      </c>
      <c r="K27" s="242">
        <f t="shared" si="0"/>
        <v>-340.00333333333037</v>
      </c>
      <c r="L27" s="247">
        <f t="shared" si="1"/>
        <v>57867.300000000047</v>
      </c>
      <c r="M27">
        <v>57868.31</v>
      </c>
      <c r="P27" s="245"/>
    </row>
    <row r="28" spans="1:16" ht="12.75" customHeight="1">
      <c r="A28" s="25"/>
      <c r="F28" s="227">
        <v>14</v>
      </c>
      <c r="G28" s="229">
        <v>42308</v>
      </c>
      <c r="H28" s="228"/>
      <c r="I28" s="246">
        <v>8898.3333333333303</v>
      </c>
      <c r="J28" s="243">
        <v>8558.33</v>
      </c>
      <c r="K28" s="243">
        <f t="shared" si="0"/>
        <v>-340.00333333333037</v>
      </c>
      <c r="L28" s="244">
        <f t="shared" si="1"/>
        <v>57527.29666666672</v>
      </c>
      <c r="P28" s="245"/>
    </row>
    <row r="29" spans="1:16" ht="12.75" customHeight="1">
      <c r="A29" s="5" t="s">
        <v>373</v>
      </c>
      <c r="F29" s="227">
        <v>15</v>
      </c>
      <c r="G29" s="229">
        <v>42338</v>
      </c>
      <c r="H29" s="228"/>
      <c r="I29" s="246">
        <v>8898.3333333333303</v>
      </c>
      <c r="J29" s="243">
        <v>8558.33</v>
      </c>
      <c r="K29" s="243">
        <f t="shared" si="0"/>
        <v>-340.00333333333037</v>
      </c>
      <c r="L29" s="244">
        <f t="shared" si="1"/>
        <v>57187.293333333393</v>
      </c>
      <c r="P29" s="245"/>
    </row>
    <row r="30" spans="1:16" ht="12.75" customHeight="1">
      <c r="A30" s="5"/>
      <c r="F30" s="227">
        <v>16</v>
      </c>
      <c r="G30" s="229">
        <v>42369</v>
      </c>
      <c r="H30" s="228"/>
      <c r="I30" s="246">
        <v>8898.3333333333303</v>
      </c>
      <c r="J30" s="243">
        <v>8558.33</v>
      </c>
      <c r="K30" s="243">
        <f t="shared" si="0"/>
        <v>-340.00333333333037</v>
      </c>
      <c r="L30" s="244">
        <f t="shared" si="1"/>
        <v>56847.290000000066</v>
      </c>
      <c r="P30" s="245"/>
    </row>
    <row r="31" spans="1:16" ht="12.75" customHeight="1">
      <c r="F31" s="227">
        <v>17</v>
      </c>
      <c r="G31" s="229">
        <v>42400</v>
      </c>
      <c r="H31" s="228"/>
      <c r="I31" s="246">
        <v>8898.3333333333303</v>
      </c>
      <c r="J31" s="243">
        <v>8558.33</v>
      </c>
      <c r="K31" s="243">
        <f t="shared" si="0"/>
        <v>-340.00333333333037</v>
      </c>
      <c r="L31" s="244">
        <f t="shared" si="1"/>
        <v>56507.28666666674</v>
      </c>
      <c r="P31" s="245"/>
    </row>
    <row r="32" spans="1:16" ht="12.75" customHeight="1">
      <c r="F32" s="227">
        <v>18</v>
      </c>
      <c r="G32" s="229">
        <v>42429</v>
      </c>
      <c r="H32" s="228"/>
      <c r="I32" s="246">
        <v>8898.3333333333303</v>
      </c>
      <c r="J32" s="243">
        <v>8558.33</v>
      </c>
      <c r="K32" s="243">
        <f t="shared" si="0"/>
        <v>-340.00333333333037</v>
      </c>
      <c r="L32" s="244">
        <f t="shared" si="1"/>
        <v>56167.283333333413</v>
      </c>
      <c r="P32" s="245"/>
    </row>
    <row r="33" spans="2:16" ht="12.75" customHeight="1">
      <c r="F33" s="227">
        <v>19</v>
      </c>
      <c r="G33" s="229">
        <v>42460</v>
      </c>
      <c r="H33" s="228"/>
      <c r="I33" s="246">
        <v>8898.3333333333303</v>
      </c>
      <c r="J33" s="243">
        <v>8558.33</v>
      </c>
      <c r="K33" s="243">
        <f t="shared" si="0"/>
        <v>-340.00333333333037</v>
      </c>
      <c r="L33" s="244">
        <f t="shared" si="1"/>
        <v>55827.280000000086</v>
      </c>
      <c r="P33" s="245"/>
    </row>
    <row r="34" spans="2:16" ht="12.75" customHeight="1">
      <c r="F34" s="227">
        <v>20</v>
      </c>
      <c r="G34" s="229">
        <v>42490</v>
      </c>
      <c r="H34" s="228"/>
      <c r="I34" s="246">
        <v>8898.3333333333303</v>
      </c>
      <c r="J34" s="243">
        <v>8558.33</v>
      </c>
      <c r="K34" s="243">
        <f t="shared" si="0"/>
        <v>-340.00333333333037</v>
      </c>
      <c r="L34" s="244">
        <f t="shared" si="1"/>
        <v>55487.276666666759</v>
      </c>
      <c r="P34" s="245"/>
    </row>
    <row r="35" spans="2:16" ht="12.75" customHeight="1">
      <c r="F35" s="227">
        <v>21</v>
      </c>
      <c r="G35" s="229">
        <v>42521</v>
      </c>
      <c r="H35" s="228"/>
      <c r="I35" s="246">
        <v>8898.3333333333303</v>
      </c>
      <c r="J35" s="243">
        <v>8558.33</v>
      </c>
      <c r="K35" s="243">
        <f t="shared" si="0"/>
        <v>-340.00333333333037</v>
      </c>
      <c r="L35" s="244">
        <f t="shared" si="1"/>
        <v>55147.273333333433</v>
      </c>
      <c r="P35" s="245"/>
    </row>
    <row r="36" spans="2:16" ht="12.75" customHeight="1">
      <c r="F36" s="230">
        <v>22</v>
      </c>
      <c r="G36" s="229">
        <v>42551</v>
      </c>
      <c r="H36" s="231"/>
      <c r="I36" s="246">
        <v>8898.3333333333303</v>
      </c>
      <c r="J36" s="242">
        <v>8558.33</v>
      </c>
      <c r="K36" s="242">
        <f t="shared" si="0"/>
        <v>-340.00333333333037</v>
      </c>
      <c r="L36" s="247">
        <f t="shared" si="1"/>
        <v>54807.270000000106</v>
      </c>
      <c r="P36" s="245"/>
    </row>
    <row r="37" spans="2:16" ht="12.75" customHeight="1">
      <c r="F37" s="230">
        <v>23</v>
      </c>
      <c r="G37" s="232">
        <v>42582</v>
      </c>
      <c r="H37" s="231"/>
      <c r="I37" s="246">
        <v>8898.3333333333303</v>
      </c>
      <c r="J37" s="242">
        <v>8558.33</v>
      </c>
      <c r="K37" s="242">
        <f t="shared" si="0"/>
        <v>-340.00333333333037</v>
      </c>
      <c r="L37" s="247">
        <f t="shared" si="1"/>
        <v>54467.266666666779</v>
      </c>
      <c r="P37" s="245"/>
    </row>
    <row r="38" spans="2:16" ht="12.75" customHeight="1">
      <c r="F38" s="230">
        <v>24</v>
      </c>
      <c r="G38" s="232">
        <v>42613</v>
      </c>
      <c r="H38" s="231"/>
      <c r="I38" s="246">
        <v>8898.3333333333303</v>
      </c>
      <c r="J38" s="242">
        <v>8558.33</v>
      </c>
      <c r="K38" s="242">
        <f t="shared" si="0"/>
        <v>-340.00333333333037</v>
      </c>
      <c r="L38" s="247">
        <f t="shared" si="1"/>
        <v>54127.263333333452</v>
      </c>
      <c r="P38" s="245"/>
    </row>
    <row r="39" spans="2:16" ht="12.75" customHeight="1">
      <c r="F39" s="230">
        <v>25</v>
      </c>
      <c r="G39" s="232">
        <v>42643</v>
      </c>
      <c r="H39" s="231"/>
      <c r="I39" s="246">
        <v>8898.3333333333303</v>
      </c>
      <c r="J39" s="242">
        <f>8173.23736619445-9241.23</f>
        <v>-1067.9926338055493</v>
      </c>
      <c r="K39" s="242">
        <f t="shared" si="0"/>
        <v>-9966.3259671388805</v>
      </c>
      <c r="L39" s="247">
        <f t="shared" si="1"/>
        <v>44160.937366194572</v>
      </c>
      <c r="P39" s="245"/>
    </row>
    <row r="40" spans="2:16" ht="12.75" customHeight="1">
      <c r="B40" s="24"/>
      <c r="F40" s="230">
        <v>26</v>
      </c>
      <c r="G40" s="232">
        <v>42674</v>
      </c>
      <c r="H40" s="231"/>
      <c r="I40" s="246">
        <v>8898.3333333333303</v>
      </c>
      <c r="J40" s="242">
        <v>7898.5</v>
      </c>
      <c r="K40" s="242">
        <f t="shared" si="0"/>
        <v>-999.8333333333303</v>
      </c>
      <c r="L40" s="247">
        <f t="shared" si="1"/>
        <v>43161.104032861243</v>
      </c>
    </row>
    <row r="41" spans="2:16" ht="12.75" customHeight="1">
      <c r="F41" s="230">
        <v>27</v>
      </c>
      <c r="G41" s="232">
        <v>42704</v>
      </c>
      <c r="H41" s="231"/>
      <c r="I41" s="246">
        <v>8898.3333333333303</v>
      </c>
      <c r="J41" s="242">
        <v>7898.43</v>
      </c>
      <c r="K41" s="242">
        <f t="shared" si="0"/>
        <v>-999.90333333333001</v>
      </c>
      <c r="L41" s="247">
        <f t="shared" si="1"/>
        <v>42161.200699527915</v>
      </c>
    </row>
    <row r="42" spans="2:16" ht="12.75" customHeight="1">
      <c r="F42" s="230">
        <v>28</v>
      </c>
      <c r="G42" s="232">
        <v>42735</v>
      </c>
      <c r="H42" s="231"/>
      <c r="I42" s="246">
        <v>8898.3333333333303</v>
      </c>
      <c r="J42" s="242">
        <v>7898.43</v>
      </c>
      <c r="K42" s="242">
        <f t="shared" si="0"/>
        <v>-999.90333333333001</v>
      </c>
      <c r="L42" s="247">
        <f t="shared" si="1"/>
        <v>41161.297366194587</v>
      </c>
    </row>
    <row r="43" spans="2:16" ht="12.75" customHeight="1">
      <c r="F43" s="230">
        <v>29</v>
      </c>
      <c r="G43" s="232">
        <v>42766</v>
      </c>
      <c r="H43" s="231"/>
      <c r="I43" s="246">
        <f>8898.33333333333</f>
        <v>8898.3333333333303</v>
      </c>
      <c r="J43" s="242">
        <v>7898.43</v>
      </c>
      <c r="K43" s="242">
        <f t="shared" si="0"/>
        <v>-999.90333333333001</v>
      </c>
      <c r="L43" s="247">
        <f t="shared" si="1"/>
        <v>40161.394032861259</v>
      </c>
    </row>
    <row r="44" spans="2:16" ht="12.75" customHeight="1">
      <c r="F44" s="230">
        <v>30</v>
      </c>
      <c r="G44" s="232">
        <v>42794</v>
      </c>
      <c r="H44" s="231"/>
      <c r="I44" s="246">
        <v>8898.3333333333303</v>
      </c>
      <c r="J44" s="242">
        <v>7898.43</v>
      </c>
      <c r="K44" s="242">
        <f t="shared" si="0"/>
        <v>-999.90333333333001</v>
      </c>
      <c r="L44" s="247">
        <f t="shared" si="1"/>
        <v>39161.490699527931</v>
      </c>
    </row>
    <row r="45" spans="2:16" ht="12.75" customHeight="1">
      <c r="F45" s="230">
        <v>31</v>
      </c>
      <c r="G45" s="232">
        <v>42825</v>
      </c>
      <c r="H45" s="231"/>
      <c r="I45" s="246">
        <v>8898.3333333333303</v>
      </c>
      <c r="J45" s="242">
        <v>7898.43</v>
      </c>
      <c r="K45" s="242">
        <f t="shared" si="0"/>
        <v>-999.90333333333001</v>
      </c>
      <c r="L45" s="247">
        <f t="shared" si="1"/>
        <v>38161.587366194603</v>
      </c>
    </row>
    <row r="46" spans="2:16" ht="12.75" customHeight="1">
      <c r="F46" s="230">
        <v>32</v>
      </c>
      <c r="G46" s="232">
        <v>42855</v>
      </c>
      <c r="H46" s="231"/>
      <c r="I46" s="246">
        <v>8898.3333333333303</v>
      </c>
      <c r="J46" s="242">
        <v>7898.43</v>
      </c>
      <c r="K46" s="242">
        <f t="shared" si="0"/>
        <v>-999.90333333333001</v>
      </c>
      <c r="L46" s="247">
        <f t="shared" si="1"/>
        <v>37161.684032861274</v>
      </c>
    </row>
    <row r="47" spans="2:16" ht="12.75" customHeight="1">
      <c r="F47" s="230">
        <v>33</v>
      </c>
      <c r="G47" s="232">
        <v>42886</v>
      </c>
      <c r="H47" s="231"/>
      <c r="I47" s="246">
        <v>8898.3333333333303</v>
      </c>
      <c r="J47" s="242">
        <v>7898.43</v>
      </c>
      <c r="K47" s="242">
        <f t="shared" si="0"/>
        <v>-999.90333333333001</v>
      </c>
      <c r="L47" s="247">
        <f t="shared" si="1"/>
        <v>36161.780699527946</v>
      </c>
    </row>
    <row r="48" spans="2:16" ht="12.75" customHeight="1">
      <c r="F48" s="230">
        <v>34</v>
      </c>
      <c r="G48" s="232">
        <v>42916</v>
      </c>
      <c r="H48" s="231"/>
      <c r="I48" s="246">
        <v>8898.3333333333303</v>
      </c>
      <c r="J48" s="242">
        <v>7898.43</v>
      </c>
      <c r="K48" s="242">
        <f t="shared" si="0"/>
        <v>-999.90333333333001</v>
      </c>
      <c r="L48" s="247">
        <f t="shared" si="1"/>
        <v>35161.877366194618</v>
      </c>
    </row>
    <row r="49" spans="6:13" ht="12.75" customHeight="1">
      <c r="F49" s="230">
        <v>35</v>
      </c>
      <c r="G49" s="232">
        <v>42947</v>
      </c>
      <c r="H49" s="231"/>
      <c r="I49" s="246">
        <v>8898.3333333333303</v>
      </c>
      <c r="J49" s="242">
        <v>7898.43</v>
      </c>
      <c r="K49" s="242">
        <f t="shared" si="0"/>
        <v>-999.90333333333001</v>
      </c>
      <c r="L49" s="247">
        <f t="shared" si="1"/>
        <v>34161.97403286129</v>
      </c>
    </row>
    <row r="50" spans="6:13" ht="12.75" customHeight="1">
      <c r="F50" s="230">
        <v>36</v>
      </c>
      <c r="G50" s="232">
        <v>42978</v>
      </c>
      <c r="H50" s="231"/>
      <c r="I50" s="246">
        <v>8898.3333333333303</v>
      </c>
      <c r="J50" s="242">
        <v>7898.43</v>
      </c>
      <c r="K50" s="242">
        <f t="shared" si="0"/>
        <v>-999.90333333333001</v>
      </c>
      <c r="L50" s="247">
        <f t="shared" si="1"/>
        <v>33162.070699527962</v>
      </c>
    </row>
    <row r="51" spans="6:13" ht="12.75" customHeight="1">
      <c r="F51" s="230">
        <v>37</v>
      </c>
      <c r="G51" s="232">
        <v>43008</v>
      </c>
      <c r="H51" s="231"/>
      <c r="I51" s="246">
        <v>8898.3333333333303</v>
      </c>
      <c r="J51" s="242">
        <v>7898.43</v>
      </c>
      <c r="K51" s="242">
        <f t="shared" si="0"/>
        <v>-999.90333333333001</v>
      </c>
      <c r="L51" s="247">
        <f t="shared" si="1"/>
        <v>32162.167366194633</v>
      </c>
    </row>
    <row r="52" spans="6:13" ht="12.75" customHeight="1">
      <c r="F52" s="230">
        <v>38</v>
      </c>
      <c r="G52" s="232">
        <v>43039</v>
      </c>
      <c r="H52" s="231"/>
      <c r="I52" s="246">
        <v>8898.3333333333303</v>
      </c>
      <c r="J52" s="242">
        <v>7898.43</v>
      </c>
      <c r="K52" s="242">
        <f t="shared" si="0"/>
        <v>-999.90333333333001</v>
      </c>
      <c r="L52" s="247">
        <f t="shared" si="1"/>
        <v>31162.264032861305</v>
      </c>
    </row>
    <row r="53" spans="6:13" ht="12.75" customHeight="1">
      <c r="F53" s="230">
        <v>39</v>
      </c>
      <c r="G53" s="232">
        <v>43069</v>
      </c>
      <c r="H53" s="231"/>
      <c r="I53" s="246">
        <v>8898.3333333333303</v>
      </c>
      <c r="J53" s="242">
        <v>7898.43</v>
      </c>
      <c r="K53" s="242">
        <f t="shared" si="0"/>
        <v>-999.90333333333001</v>
      </c>
      <c r="L53" s="247">
        <f t="shared" si="1"/>
        <v>30162.360699527977</v>
      </c>
    </row>
    <row r="54" spans="6:13" ht="12.75" customHeight="1">
      <c r="F54" s="230">
        <v>40</v>
      </c>
      <c r="G54" s="232">
        <v>43100</v>
      </c>
      <c r="H54" s="231"/>
      <c r="I54" s="246">
        <v>8898.3333333333303</v>
      </c>
      <c r="J54" s="242">
        <v>7898.43</v>
      </c>
      <c r="K54" s="242">
        <f t="shared" si="0"/>
        <v>-999.90333333333001</v>
      </c>
      <c r="L54" s="247">
        <f t="shared" si="1"/>
        <v>29162.457366194649</v>
      </c>
    </row>
    <row r="55" spans="6:13" ht="12.75" customHeight="1">
      <c r="F55" s="230">
        <v>41</v>
      </c>
      <c r="G55" s="232">
        <v>43131</v>
      </c>
      <c r="H55" s="231"/>
      <c r="I55" s="246">
        <v>8898.3333333333303</v>
      </c>
      <c r="J55" s="242">
        <v>7898.43</v>
      </c>
      <c r="K55" s="242">
        <f t="shared" si="0"/>
        <v>-999.90333333333001</v>
      </c>
      <c r="L55" s="247">
        <f t="shared" si="1"/>
        <v>28162.554032861321</v>
      </c>
    </row>
    <row r="56" spans="6:13" ht="12.75" customHeight="1">
      <c r="F56" s="230">
        <v>42</v>
      </c>
      <c r="G56" s="232">
        <v>43159</v>
      </c>
      <c r="H56" s="231"/>
      <c r="I56" s="246">
        <v>8898.3333333333303</v>
      </c>
      <c r="J56" s="242">
        <v>7898.43</v>
      </c>
      <c r="K56" s="242">
        <f t="shared" si="0"/>
        <v>-999.90333333333001</v>
      </c>
      <c r="L56" s="247">
        <f t="shared" si="1"/>
        <v>27162.650699527992</v>
      </c>
    </row>
    <row r="57" spans="6:13" ht="12.75" customHeight="1">
      <c r="F57" s="230">
        <v>43</v>
      </c>
      <c r="G57" s="232">
        <v>43190</v>
      </c>
      <c r="H57" s="231"/>
      <c r="I57" s="246">
        <v>8898.3333333333303</v>
      </c>
      <c r="J57" s="242">
        <v>7898.43</v>
      </c>
      <c r="K57" s="242">
        <f t="shared" si="0"/>
        <v>-999.90333333333001</v>
      </c>
      <c r="L57" s="247">
        <f t="shared" si="1"/>
        <v>26162.747366194664</v>
      </c>
    </row>
    <row r="58" spans="6:13" ht="12.75" customHeight="1">
      <c r="F58" s="230">
        <v>44</v>
      </c>
      <c r="G58" s="232">
        <v>43220</v>
      </c>
      <c r="H58" s="231"/>
      <c r="I58" s="246">
        <v>8898.3333333333303</v>
      </c>
      <c r="J58" s="242">
        <v>7898.43</v>
      </c>
      <c r="K58" s="242">
        <f t="shared" si="0"/>
        <v>-999.90333333333001</v>
      </c>
      <c r="L58" s="247">
        <f t="shared" si="1"/>
        <v>25162.844032861336</v>
      </c>
    </row>
    <row r="59" spans="6:13" ht="12.75" customHeight="1">
      <c r="F59" s="230">
        <v>45</v>
      </c>
      <c r="G59" s="232">
        <v>43251</v>
      </c>
      <c r="H59" s="231"/>
      <c r="I59" s="246">
        <v>8898.3333333333303</v>
      </c>
      <c r="J59" s="242">
        <v>7898.43</v>
      </c>
      <c r="K59" s="242">
        <f t="shared" si="0"/>
        <v>-999.90333333333001</v>
      </c>
      <c r="L59" s="247">
        <f t="shared" si="1"/>
        <v>24162.940699528008</v>
      </c>
    </row>
    <row r="60" spans="6:13" ht="12.75" customHeight="1">
      <c r="F60" s="230">
        <v>46</v>
      </c>
      <c r="G60" s="232">
        <v>43281</v>
      </c>
      <c r="H60" s="231"/>
      <c r="I60" s="246">
        <v>8898.3333333333303</v>
      </c>
      <c r="J60" s="242">
        <v>7898.43</v>
      </c>
      <c r="K60" s="242">
        <f t="shared" si="0"/>
        <v>-999.90333333333001</v>
      </c>
      <c r="L60" s="247">
        <f t="shared" si="1"/>
        <v>23163.03736619468</v>
      </c>
    </row>
    <row r="61" spans="6:13" ht="12.75" customHeight="1">
      <c r="F61" s="230">
        <v>47</v>
      </c>
      <c r="G61" s="232">
        <v>43312</v>
      </c>
      <c r="H61" s="231"/>
      <c r="I61" s="246">
        <v>8898.3333333333303</v>
      </c>
      <c r="J61" s="242">
        <v>7898.43</v>
      </c>
      <c r="K61" s="242">
        <f t="shared" si="0"/>
        <v>-999.90333333333001</v>
      </c>
      <c r="L61" s="247">
        <f t="shared" si="1"/>
        <v>22163.134032861351</v>
      </c>
    </row>
    <row r="62" spans="6:13" ht="12.75" customHeight="1">
      <c r="F62" s="230">
        <v>48</v>
      </c>
      <c r="G62" s="232">
        <v>43343</v>
      </c>
      <c r="H62" s="231"/>
      <c r="I62" s="246">
        <v>8898.3333333333303</v>
      </c>
      <c r="J62" s="242">
        <v>7898.43</v>
      </c>
      <c r="K62" s="242">
        <f t="shared" si="0"/>
        <v>-999.90333333333001</v>
      </c>
      <c r="L62" s="247">
        <f t="shared" si="1"/>
        <v>21163.230699528023</v>
      </c>
    </row>
    <row r="63" spans="6:13" ht="12.75" customHeight="1">
      <c r="F63" s="230">
        <v>49</v>
      </c>
      <c r="G63" s="232">
        <v>43373</v>
      </c>
      <c r="H63" s="231"/>
      <c r="I63" s="246">
        <v>8898.3333333333303</v>
      </c>
      <c r="J63" s="242">
        <v>7898.43</v>
      </c>
      <c r="K63" s="242">
        <f t="shared" si="0"/>
        <v>-999.90333333333001</v>
      </c>
      <c r="L63" s="247">
        <f t="shared" si="1"/>
        <v>20163.327366194695</v>
      </c>
    </row>
    <row r="64" spans="6:13" ht="12.75" customHeight="1">
      <c r="F64" s="233">
        <v>50</v>
      </c>
      <c r="G64" s="234">
        <v>43404</v>
      </c>
      <c r="H64" s="235"/>
      <c r="I64" s="248">
        <v>8898.33</v>
      </c>
      <c r="J64" s="249">
        <v>7898.43</v>
      </c>
      <c r="K64" s="249">
        <f t="shared" si="0"/>
        <v>-999.89999999999964</v>
      </c>
      <c r="L64" s="250">
        <f t="shared" si="1"/>
        <v>19163.427366194694</v>
      </c>
      <c r="M64" t="s">
        <v>667</v>
      </c>
    </row>
    <row r="65" spans="6:12" ht="12.75" customHeight="1">
      <c r="F65" s="227">
        <v>51</v>
      </c>
      <c r="G65" s="229">
        <v>43434</v>
      </c>
      <c r="H65" s="228"/>
      <c r="I65" s="246">
        <v>9165.2833333333292</v>
      </c>
      <c r="J65" s="243">
        <v>7898.43</v>
      </c>
      <c r="K65" s="243">
        <f t="shared" si="0"/>
        <v>-1266.8533333333289</v>
      </c>
      <c r="L65" s="244">
        <f t="shared" si="1"/>
        <v>17896.574032861365</v>
      </c>
    </row>
    <row r="66" spans="6:12" ht="12.75" customHeight="1">
      <c r="F66" s="227">
        <v>52</v>
      </c>
      <c r="G66" s="229">
        <v>43465</v>
      </c>
      <c r="H66" s="228"/>
      <c r="I66" s="246">
        <v>9165.2833333333292</v>
      </c>
      <c r="J66" s="243">
        <v>7898.43</v>
      </c>
      <c r="K66" s="243">
        <f t="shared" si="0"/>
        <v>-1266.8533333333289</v>
      </c>
      <c r="L66" s="244">
        <f t="shared" si="1"/>
        <v>16629.720699528036</v>
      </c>
    </row>
    <row r="67" spans="6:12" ht="12.75" customHeight="1">
      <c r="F67" s="227">
        <v>53</v>
      </c>
      <c r="G67" s="229">
        <v>43496</v>
      </c>
      <c r="H67" s="228"/>
      <c r="I67" s="246">
        <v>9165.2833333333292</v>
      </c>
      <c r="J67" s="243">
        <v>7898.43</v>
      </c>
      <c r="K67" s="243">
        <f t="shared" si="0"/>
        <v>-1266.8533333333289</v>
      </c>
      <c r="L67" s="244">
        <f t="shared" si="1"/>
        <v>15362.867366194707</v>
      </c>
    </row>
    <row r="68" spans="6:12" ht="12.75" customHeight="1">
      <c r="F68" s="227">
        <v>54</v>
      </c>
      <c r="G68" s="229">
        <v>43524</v>
      </c>
      <c r="H68" s="228"/>
      <c r="I68" s="246">
        <v>9165.2833333333292</v>
      </c>
      <c r="J68" s="243">
        <v>7898.43</v>
      </c>
      <c r="K68" s="243">
        <f t="shared" si="0"/>
        <v>-1266.8533333333289</v>
      </c>
      <c r="L68" s="244">
        <f t="shared" si="1"/>
        <v>14096.014032861378</v>
      </c>
    </row>
    <row r="69" spans="6:12" ht="12.75" customHeight="1">
      <c r="F69" s="227">
        <v>55</v>
      </c>
      <c r="G69" s="229">
        <v>43555</v>
      </c>
      <c r="H69" s="228"/>
      <c r="I69" s="246">
        <v>9165.2833333333292</v>
      </c>
      <c r="J69" s="243">
        <v>7898.43</v>
      </c>
      <c r="K69" s="243">
        <f t="shared" si="0"/>
        <v>-1266.8533333333289</v>
      </c>
      <c r="L69" s="244">
        <f t="shared" si="1"/>
        <v>12829.160699528049</v>
      </c>
    </row>
    <row r="70" spans="6:12" ht="12.75" customHeight="1">
      <c r="F70" s="227">
        <v>56</v>
      </c>
      <c r="G70" s="229">
        <v>43585</v>
      </c>
      <c r="H70" s="228"/>
      <c r="I70" s="246">
        <v>9165.2833333333292</v>
      </c>
      <c r="J70" s="243">
        <v>7898.43</v>
      </c>
      <c r="K70" s="243">
        <f t="shared" si="0"/>
        <v>-1266.8533333333289</v>
      </c>
      <c r="L70" s="244">
        <f t="shared" si="1"/>
        <v>11562.30736619472</v>
      </c>
    </row>
    <row r="71" spans="6:12" ht="12.75" customHeight="1">
      <c r="F71" s="227">
        <v>57</v>
      </c>
      <c r="G71" s="229">
        <v>43616</v>
      </c>
      <c r="H71" s="228"/>
      <c r="I71" s="246">
        <v>9165.2833333333292</v>
      </c>
      <c r="J71" s="243">
        <v>7898.43</v>
      </c>
      <c r="K71" s="243">
        <f t="shared" si="0"/>
        <v>-1266.8533333333289</v>
      </c>
      <c r="L71" s="244">
        <f t="shared" si="1"/>
        <v>10295.454032861391</v>
      </c>
    </row>
    <row r="72" spans="6:12" ht="12.75" customHeight="1">
      <c r="F72" s="227">
        <v>58</v>
      </c>
      <c r="G72" s="229">
        <v>43646</v>
      </c>
      <c r="H72" s="228"/>
      <c r="I72" s="246">
        <v>9165.2833333333292</v>
      </c>
      <c r="J72" s="243">
        <v>7898.43</v>
      </c>
      <c r="K72" s="243">
        <f t="shared" si="0"/>
        <v>-1266.8533333333289</v>
      </c>
      <c r="L72" s="244">
        <f t="shared" si="1"/>
        <v>9028.6006995280623</v>
      </c>
    </row>
    <row r="73" spans="6:12" ht="12.75" customHeight="1">
      <c r="F73" s="227">
        <v>59</v>
      </c>
      <c r="G73" s="229">
        <v>43677</v>
      </c>
      <c r="H73" s="228"/>
      <c r="I73" s="246">
        <v>9165.2833333333292</v>
      </c>
      <c r="J73" s="243">
        <v>7898.43</v>
      </c>
      <c r="K73" s="243">
        <f t="shared" si="0"/>
        <v>-1266.8533333333289</v>
      </c>
      <c r="L73" s="244">
        <f t="shared" si="1"/>
        <v>7761.7473661947333</v>
      </c>
    </row>
    <row r="74" spans="6:12" ht="12.75" customHeight="1">
      <c r="F74" s="251">
        <v>60</v>
      </c>
      <c r="G74" s="252">
        <v>43708</v>
      </c>
      <c r="H74" s="253"/>
      <c r="I74" s="254">
        <v>9165.2833333333292</v>
      </c>
      <c r="J74" s="255">
        <v>7898.43</v>
      </c>
      <c r="K74" s="255">
        <f t="shared" si="0"/>
        <v>-1266.8533333333289</v>
      </c>
      <c r="L74" s="256">
        <f t="shared" si="1"/>
        <v>6494.8940328614044</v>
      </c>
    </row>
    <row r="75" spans="6:12" ht="12.75" customHeight="1">
      <c r="F75" s="222"/>
      <c r="G75" s="222"/>
      <c r="H75" s="222"/>
      <c r="I75" s="236">
        <f>SUM(I15:I74)</f>
        <v>474281.1633333331</v>
      </c>
      <c r="J75" s="222"/>
      <c r="K75" s="222"/>
      <c r="L75" s="222"/>
    </row>
    <row r="77" spans="6:12" ht="12.75" customHeight="1">
      <c r="I77" s="245"/>
    </row>
  </sheetData>
  <mergeCells count="1">
    <mergeCell ref="A1:C1"/>
  </mergeCells>
  <pageMargins left="0.75" right="0.75" top="1" bottom="1" header="0.5" footer="0.5"/>
  <pageSetup scale="49" orientation="landscape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6"/>
  <sheetViews>
    <sheetView workbookViewId="0">
      <selection activeCell="L30" sqref="L30"/>
    </sheetView>
  </sheetViews>
  <sheetFormatPr defaultColWidth="9" defaultRowHeight="12.75" customHeight="1"/>
  <cols>
    <col min="1" max="1" width="40.81640625" customWidth="1"/>
    <col min="2" max="2" width="15.81640625" customWidth="1"/>
    <col min="3" max="3" width="15.81640625" style="54" customWidth="1"/>
  </cols>
  <sheetData>
    <row r="1" spans="1:3" ht="12.75" customHeight="1">
      <c r="A1" s="473" t="s">
        <v>364</v>
      </c>
      <c r="B1" s="473"/>
      <c r="C1" s="473"/>
    </row>
    <row r="3" spans="1:3" ht="12.75" customHeight="1">
      <c r="A3" s="5" t="str">
        <f>+'Creditor Control-2020'!A3</f>
        <v xml:space="preserve">BALANCE AS AT </v>
      </c>
    </row>
    <row r="5" spans="1:3" ht="12.75" customHeight="1">
      <c r="A5" s="5" t="s">
        <v>620</v>
      </c>
      <c r="B5" s="5"/>
      <c r="C5" s="8"/>
    </row>
    <row r="6" spans="1:3" ht="12.75" customHeight="1">
      <c r="A6" s="5"/>
      <c r="B6" s="5"/>
      <c r="C6" s="8"/>
    </row>
    <row r="7" spans="1:3" ht="12.75" customHeight="1">
      <c r="A7" s="5" t="s">
        <v>668</v>
      </c>
      <c r="B7" s="5"/>
      <c r="C7" s="8"/>
    </row>
    <row r="8" spans="1:3" ht="12.75" customHeight="1">
      <c r="A8" s="5"/>
      <c r="B8" s="5"/>
      <c r="C8" s="171"/>
    </row>
    <row r="9" spans="1:3" ht="12.75" customHeight="1">
      <c r="A9" s="5" t="s">
        <v>367</v>
      </c>
      <c r="B9" s="5"/>
      <c r="C9" s="171">
        <v>0</v>
      </c>
    </row>
    <row r="10" spans="1:3" ht="12.75" customHeight="1">
      <c r="A10" s="24"/>
      <c r="B10" s="5"/>
      <c r="C10" s="55"/>
    </row>
    <row r="11" spans="1:3" ht="12.75" customHeight="1">
      <c r="A11" s="24"/>
      <c r="B11" s="5"/>
      <c r="C11" s="55"/>
    </row>
    <row r="12" spans="1:3" ht="12.75" customHeight="1">
      <c r="A12" s="175"/>
      <c r="B12" s="30"/>
      <c r="C12" s="55"/>
    </row>
    <row r="13" spans="1:3" ht="12.75" customHeight="1">
      <c r="A13" s="5" t="s">
        <v>362</v>
      </c>
      <c r="B13" s="30"/>
      <c r="C13" s="171">
        <f>SUM(C10:C12)</f>
        <v>0</v>
      </c>
    </row>
    <row r="14" spans="1:3" ht="12.75" customHeight="1">
      <c r="A14" s="5"/>
      <c r="C14" s="171"/>
    </row>
    <row r="15" spans="1:3" ht="12.75" customHeight="1">
      <c r="A15" s="18" t="s">
        <v>370</v>
      </c>
      <c r="C15" s="55">
        <f>C9-C13</f>
        <v>0</v>
      </c>
    </row>
    <row r="16" spans="1:3" ht="12.75" customHeight="1">
      <c r="A16" s="98"/>
      <c r="C16" s="171"/>
    </row>
    <row r="17" spans="1:3" ht="12.75" customHeight="1">
      <c r="A17" s="98"/>
      <c r="C17" s="171"/>
    </row>
    <row r="18" spans="1:3" ht="12.75" customHeight="1">
      <c r="A18" s="98"/>
      <c r="C18" s="171"/>
    </row>
    <row r="19" spans="1:3" ht="12.75" customHeight="1">
      <c r="C19" s="55"/>
    </row>
    <row r="20" spans="1:3" ht="12.75" customHeight="1">
      <c r="A20" s="25" t="str">
        <f>'Cash in Hand-1020'!A26</f>
        <v>Charmaine Chan</v>
      </c>
      <c r="C20" s="55"/>
    </row>
    <row r="21" spans="1:3" ht="12.75" customHeight="1">
      <c r="A21" s="5" t="s">
        <v>372</v>
      </c>
      <c r="C21" s="55"/>
    </row>
    <row r="22" spans="1:3" ht="12.75" customHeight="1">
      <c r="A22" s="5"/>
    </row>
    <row r="23" spans="1:3" ht="12.75" customHeight="1">
      <c r="A23" s="5"/>
    </row>
    <row r="24" spans="1:3" ht="12.75" customHeight="1">
      <c r="A24" s="5"/>
    </row>
    <row r="25" spans="1:3" ht="12.75" customHeight="1">
      <c r="A25" s="25"/>
    </row>
    <row r="26" spans="1:3" ht="12.75" customHeight="1">
      <c r="A26" s="5" t="s">
        <v>373</v>
      </c>
    </row>
  </sheetData>
  <mergeCells count="1">
    <mergeCell ref="A1:C1"/>
  </mergeCells>
  <pageMargins left="0.75" right="0.75" top="1" bottom="1" header="0.5" footer="0.5"/>
  <pageSetup paperSize="9" orientation="portrait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G109"/>
  <sheetViews>
    <sheetView workbookViewId="0">
      <selection activeCell="Q1" sqref="Q1:Q1048576"/>
    </sheetView>
  </sheetViews>
  <sheetFormatPr defaultColWidth="9" defaultRowHeight="12.75" customHeight="1"/>
  <cols>
    <col min="1" max="1" width="40.81640625" customWidth="1"/>
    <col min="2" max="2" width="8" customWidth="1"/>
    <col min="3" max="3" width="15.81640625" style="1" customWidth="1"/>
    <col min="5" max="5" width="24.81640625" customWidth="1"/>
    <col min="6" max="6" width="12.1796875" hidden="1" customWidth="1" collapsed="1"/>
    <col min="7" max="7" width="12.1796875" customWidth="1" collapsed="1"/>
  </cols>
  <sheetData>
    <row r="1" spans="1:7" ht="12.75" customHeight="1">
      <c r="A1" s="473" t="s">
        <v>364</v>
      </c>
      <c r="B1" s="473"/>
      <c r="C1" s="473"/>
      <c r="D1" s="3">
        <f>'Cash at Bank-1020.100'!D1</f>
        <v>44835</v>
      </c>
    </row>
    <row r="2" spans="1:7" ht="12.75" customHeight="1">
      <c r="A2" s="2"/>
      <c r="B2" s="2"/>
      <c r="C2" s="4"/>
    </row>
    <row r="3" spans="1:7" ht="12.75" customHeight="1">
      <c r="A3" s="5" t="str">
        <f>+'AP FX Rev. Offset-2020.200'!A3</f>
        <v xml:space="preserve">BALANCE AS AT </v>
      </c>
      <c r="B3" s="2"/>
      <c r="C3" s="4"/>
    </row>
    <row r="5" spans="1:7" ht="12.75" customHeight="1">
      <c r="A5" s="5" t="s">
        <v>669</v>
      </c>
    </row>
    <row r="6" spans="1:7" ht="12.75" customHeight="1">
      <c r="A6" s="5"/>
      <c r="C6" s="54"/>
    </row>
    <row r="7" spans="1:7" ht="12.75" customHeight="1">
      <c r="A7" s="5" t="s">
        <v>670</v>
      </c>
      <c r="C7" s="54"/>
    </row>
    <row r="8" spans="1:7" ht="12.75" customHeight="1">
      <c r="C8" s="54"/>
      <c r="E8" s="26"/>
      <c r="F8" s="7">
        <v>44805</v>
      </c>
      <c r="G8" s="7">
        <f>F8+30</f>
        <v>44835</v>
      </c>
    </row>
    <row r="9" spans="1:7" ht="12.75" customHeight="1">
      <c r="A9" s="5" t="s">
        <v>367</v>
      </c>
      <c r="C9" s="8">
        <f>'Trial Balance'!F48</f>
        <v>-347678.52</v>
      </c>
      <c r="E9" s="220" t="s">
        <v>382</v>
      </c>
      <c r="F9" s="10">
        <v>-347678.52</v>
      </c>
      <c r="G9" s="10">
        <f>$C$9</f>
        <v>-347678.52</v>
      </c>
    </row>
    <row r="10" spans="1:7" ht="12.75" customHeight="1">
      <c r="C10" s="32"/>
      <c r="E10" s="26"/>
      <c r="F10" s="12"/>
      <c r="G10" s="12"/>
    </row>
    <row r="11" spans="1:7" ht="12.75" customHeight="1">
      <c r="A11" s="5" t="s">
        <v>671</v>
      </c>
      <c r="C11" s="32"/>
      <c r="E11" s="26"/>
      <c r="F11" s="12"/>
      <c r="G11" s="12"/>
    </row>
    <row r="12" spans="1:7" ht="12.75" customHeight="1">
      <c r="A12" t="s">
        <v>672</v>
      </c>
      <c r="C12" s="1">
        <f>SUMIF(F8:YX8,D1,F12:YX12)</f>
        <v>-347678.43999999977</v>
      </c>
      <c r="E12" s="220" t="s">
        <v>673</v>
      </c>
      <c r="F12" s="10">
        <v>-347678.43999999977</v>
      </c>
      <c r="G12" s="10">
        <f>'[12]2055 - GRNV'!$F$1989</f>
        <v>-347678.43999999977</v>
      </c>
    </row>
    <row r="13" spans="1:7" ht="12.75" customHeight="1">
      <c r="C13" s="54"/>
      <c r="E13" s="26"/>
      <c r="F13" s="12"/>
      <c r="G13" s="12"/>
    </row>
    <row r="14" spans="1:7" ht="12.75" customHeight="1">
      <c r="C14" s="54"/>
      <c r="E14" s="26"/>
      <c r="F14" s="12"/>
      <c r="G14" s="12"/>
    </row>
    <row r="15" spans="1:7" ht="12.75" customHeight="1">
      <c r="A15" s="5" t="s">
        <v>362</v>
      </c>
      <c r="C15" s="8">
        <f>SUM(C12:C13)</f>
        <v>-347678.43999999977</v>
      </c>
      <c r="E15" s="220" t="s">
        <v>362</v>
      </c>
      <c r="F15" s="17">
        <v>-347678.43999999977</v>
      </c>
      <c r="G15" s="17">
        <f t="shared" ref="G15" si="0">G12</f>
        <v>-347678.43999999977</v>
      </c>
    </row>
    <row r="16" spans="1:7" ht="12.75" customHeight="1">
      <c r="E16" s="26"/>
      <c r="F16" s="12"/>
      <c r="G16" s="12"/>
    </row>
    <row r="17" spans="1:7" ht="12.75" customHeight="1">
      <c r="A17" s="13" t="s">
        <v>370</v>
      </c>
      <c r="B17" s="14"/>
      <c r="C17" s="160">
        <f>C9-C15</f>
        <v>-8.0000000249128789E-2</v>
      </c>
      <c r="E17" s="220" t="s">
        <v>370</v>
      </c>
      <c r="F17" s="17">
        <v>8.0000000249128789E-2</v>
      </c>
      <c r="G17" s="17">
        <f t="shared" ref="G17" si="1">G15-G9</f>
        <v>8.0000000249128789E-2</v>
      </c>
    </row>
    <row r="22" spans="1:7" ht="12.75" customHeight="1">
      <c r="A22" s="25" t="str">
        <f>'Cash in Hand-1020'!A26</f>
        <v>Charmaine Chan</v>
      </c>
    </row>
    <row r="23" spans="1:7" ht="12.75" customHeight="1">
      <c r="A23" s="5" t="s">
        <v>372</v>
      </c>
    </row>
    <row r="24" spans="1:7" ht="12.75" customHeight="1">
      <c r="A24" s="5"/>
    </row>
    <row r="25" spans="1:7" ht="12.75" customHeight="1">
      <c r="A25" s="5"/>
    </row>
    <row r="26" spans="1:7" ht="12.75" customHeight="1">
      <c r="A26" s="5"/>
    </row>
    <row r="27" spans="1:7" ht="12.75" customHeight="1">
      <c r="A27" s="25"/>
    </row>
    <row r="28" spans="1:7" ht="12.75" customHeight="1">
      <c r="A28" s="5" t="s">
        <v>373</v>
      </c>
    </row>
    <row r="31" spans="1:7" ht="12.75" customHeight="1">
      <c r="B31" s="221"/>
    </row>
    <row r="32" spans="1:7" ht="12.75" customHeight="1">
      <c r="B32" s="221"/>
    </row>
    <row r="33" spans="2:2" ht="12.75" customHeight="1">
      <c r="B33" s="221"/>
    </row>
    <row r="34" spans="2:2" ht="12.75" customHeight="1">
      <c r="B34" s="221"/>
    </row>
    <row r="35" spans="2:2" ht="12.75" customHeight="1">
      <c r="B35" s="221"/>
    </row>
    <row r="36" spans="2:2" ht="12.75" customHeight="1">
      <c r="B36" s="221"/>
    </row>
    <row r="40" spans="2:2" ht="12.75" customHeight="1">
      <c r="B40" s="221"/>
    </row>
    <row r="41" spans="2:2" ht="12.75" customHeight="1">
      <c r="B41" s="221"/>
    </row>
    <row r="42" spans="2:2" ht="12.75" customHeight="1">
      <c r="B42" s="221"/>
    </row>
    <row r="43" spans="2:2" ht="12.75" customHeight="1">
      <c r="B43" s="221"/>
    </row>
    <row r="46" spans="2:2" ht="12.75" customHeight="1">
      <c r="B46" s="221"/>
    </row>
    <row r="47" spans="2:2" ht="12.75" customHeight="1">
      <c r="B47" s="221"/>
    </row>
    <row r="48" spans="2:2" ht="12.75" customHeight="1">
      <c r="B48" s="221"/>
    </row>
    <row r="51" spans="2:2" ht="12.75" customHeight="1">
      <c r="B51" s="221"/>
    </row>
    <row r="54" spans="2:2" ht="12.75" customHeight="1">
      <c r="B54" s="221"/>
    </row>
    <row r="56" spans="2:2" ht="12.75" customHeight="1">
      <c r="B56" s="221"/>
    </row>
    <row r="58" spans="2:2" ht="12.75" customHeight="1">
      <c r="B58" s="221"/>
    </row>
    <row r="59" spans="2:2" ht="12.75" customHeight="1">
      <c r="B59" s="221"/>
    </row>
    <row r="60" spans="2:2" ht="12.75" customHeight="1">
      <c r="B60" s="1"/>
    </row>
    <row r="61" spans="2:2" ht="12.75" customHeight="1">
      <c r="B61" s="221"/>
    </row>
    <row r="62" spans="2:2" ht="12.75" customHeight="1">
      <c r="B62" s="221"/>
    </row>
    <row r="65" spans="2:2" ht="12.75" customHeight="1">
      <c r="B65" s="221"/>
    </row>
    <row r="69" spans="2:2" ht="12.75" customHeight="1">
      <c r="B69" s="221"/>
    </row>
    <row r="72" spans="2:2" ht="12.75" customHeight="1">
      <c r="B72" s="221"/>
    </row>
    <row r="78" spans="2:2" ht="12.75" customHeight="1">
      <c r="B78" s="221"/>
    </row>
    <row r="80" spans="2:2" ht="12.75" customHeight="1">
      <c r="B80" s="221"/>
    </row>
    <row r="83" spans="2:2" ht="12.75" customHeight="1">
      <c r="B83" s="221"/>
    </row>
    <row r="88" spans="2:2" ht="12.75" customHeight="1">
      <c r="B88" s="221"/>
    </row>
    <row r="89" spans="2:2" ht="12.75" customHeight="1">
      <c r="B89" s="221"/>
    </row>
    <row r="90" spans="2:2" ht="12.75" customHeight="1">
      <c r="B90" s="221"/>
    </row>
    <row r="92" spans="2:2" ht="12.75" customHeight="1">
      <c r="B92" s="221"/>
    </row>
    <row r="96" spans="2:2" ht="12.75" customHeight="1">
      <c r="B96" s="221"/>
    </row>
    <row r="98" spans="2:3" ht="12.75" customHeight="1">
      <c r="B98" s="221"/>
    </row>
    <row r="100" spans="2:3" ht="12.75" customHeight="1">
      <c r="B100" s="221"/>
    </row>
    <row r="101" spans="2:3" ht="12.75" customHeight="1">
      <c r="B101" s="221"/>
    </row>
    <row r="104" spans="2:3" ht="12.75" customHeight="1">
      <c r="B104" s="1"/>
      <c r="C104"/>
    </row>
    <row r="105" spans="2:3" ht="12.75" customHeight="1">
      <c r="B105" s="1"/>
      <c r="C105"/>
    </row>
    <row r="106" spans="2:3" ht="12.75" customHeight="1">
      <c r="B106" s="1"/>
      <c r="C106"/>
    </row>
    <row r="107" spans="2:3" ht="12.75" customHeight="1">
      <c r="B107" s="1"/>
      <c r="C107"/>
    </row>
    <row r="108" spans="2:3" ht="12.75" customHeight="1">
      <c r="B108" s="1"/>
      <c r="C108"/>
    </row>
    <row r="109" spans="2:3" ht="12.75" customHeight="1">
      <c r="B109" s="1"/>
      <c r="C109"/>
    </row>
  </sheetData>
  <mergeCells count="1">
    <mergeCell ref="A1:C1"/>
  </mergeCells>
  <pageMargins left="0.75" right="0.75" top="1" bottom="1" header="0.5" footer="0.5"/>
  <pageSetup paperSize="9" scale="98" orientation="landscape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pageSetUpPr fitToPage="1"/>
  </sheetPr>
  <dimension ref="A1:F28"/>
  <sheetViews>
    <sheetView workbookViewId="0">
      <selection activeCell="P1" sqref="P1:P1048576"/>
    </sheetView>
  </sheetViews>
  <sheetFormatPr defaultColWidth="9" defaultRowHeight="12.5"/>
  <cols>
    <col min="1" max="1" width="38.54296875" customWidth="1"/>
    <col min="2" max="2" width="12.1796875" customWidth="1"/>
    <col min="3" max="3" width="4.1796875" customWidth="1"/>
    <col min="5" max="5" width="13.1796875" hidden="1" customWidth="1" collapsed="1"/>
    <col min="6" max="6" width="13.1796875" customWidth="1" collapsed="1"/>
  </cols>
  <sheetData>
    <row r="1" spans="1:6" ht="13">
      <c r="A1" s="473" t="s">
        <v>364</v>
      </c>
      <c r="B1" s="473"/>
      <c r="C1" s="473"/>
      <c r="D1" s="3">
        <f>'Cash at Bank-1020.100'!D1</f>
        <v>44835</v>
      </c>
    </row>
    <row r="2" spans="1:6" ht="13">
      <c r="A2" s="2"/>
      <c r="B2" s="2"/>
      <c r="C2" s="4"/>
    </row>
    <row r="3" spans="1:6" ht="13">
      <c r="A3" s="5" t="str">
        <f>+'AP FX Rev. Offset-2020.200'!A3</f>
        <v xml:space="preserve">BALANCE AS AT </v>
      </c>
      <c r="B3" s="2"/>
      <c r="C3" s="4"/>
    </row>
    <row r="4" spans="1:6">
      <c r="C4" s="1"/>
    </row>
    <row r="5" spans="1:6" ht="13">
      <c r="A5" s="5" t="s">
        <v>57</v>
      </c>
      <c r="C5" s="1"/>
    </row>
    <row r="6" spans="1:6" ht="13">
      <c r="A6" s="5"/>
      <c r="C6" s="54"/>
    </row>
    <row r="7" spans="1:6" ht="13">
      <c r="A7" s="5" t="s">
        <v>674</v>
      </c>
      <c r="C7" s="54"/>
    </row>
    <row r="8" spans="1:6" ht="14.5">
      <c r="C8" s="54"/>
      <c r="D8" s="26"/>
      <c r="E8" s="7">
        <v>44805</v>
      </c>
      <c r="F8" s="7">
        <f>E8+30</f>
        <v>44835</v>
      </c>
    </row>
    <row r="9" spans="1:6" ht="13">
      <c r="A9" s="5" t="s">
        <v>367</v>
      </c>
      <c r="B9" s="31">
        <f>'Trial Balance'!F61</f>
        <v>-684966.68</v>
      </c>
      <c r="C9" s="8"/>
      <c r="D9" s="26"/>
      <c r="E9" s="10">
        <v>-684966.68</v>
      </c>
      <c r="F9" s="10">
        <f>$B$9</f>
        <v>-684966.68</v>
      </c>
    </row>
    <row r="10" spans="1:6">
      <c r="C10" s="32"/>
      <c r="D10" s="26"/>
      <c r="E10" s="12"/>
      <c r="F10" s="12"/>
    </row>
    <row r="11" spans="1:6" ht="13">
      <c r="A11" s="5" t="s">
        <v>671</v>
      </c>
      <c r="C11" s="32"/>
      <c r="D11" s="26"/>
      <c r="E11" s="12"/>
      <c r="F11" s="12"/>
    </row>
    <row r="12" spans="1:6">
      <c r="A12" t="s">
        <v>672</v>
      </c>
      <c r="B12">
        <f>SUMIF(E8:YW8,D1,E12:YW12)</f>
        <v>-684966.43491354864</v>
      </c>
      <c r="C12" s="54"/>
      <c r="D12" s="26"/>
      <c r="E12" s="10">
        <v>-684966.43491354864</v>
      </c>
      <c r="F12" s="10">
        <f>-('[9]1663737443289'!$AI$23+'[9]1663737443289'!$AI$24)</f>
        <v>-684966.43491354864</v>
      </c>
    </row>
    <row r="13" spans="1:6">
      <c r="A13" s="218"/>
      <c r="C13" s="32"/>
      <c r="D13" s="26"/>
      <c r="E13" s="12"/>
      <c r="F13" s="12"/>
    </row>
    <row r="14" spans="1:6" ht="13">
      <c r="A14" s="5" t="s">
        <v>362</v>
      </c>
      <c r="B14" s="135">
        <f>B12</f>
        <v>-684966.43491354864</v>
      </c>
      <c r="C14" s="8"/>
      <c r="D14" s="26"/>
      <c r="E14" s="21">
        <v>-684966.43491354864</v>
      </c>
      <c r="F14" s="21">
        <f t="shared" ref="F14" si="0">F12</f>
        <v>-684966.43491354864</v>
      </c>
    </row>
    <row r="15" spans="1:6">
      <c r="C15" s="54"/>
      <c r="D15" s="26"/>
      <c r="E15" s="12"/>
      <c r="F15" s="12"/>
    </row>
    <row r="16" spans="1:6" ht="13">
      <c r="A16" s="13" t="s">
        <v>370</v>
      </c>
      <c r="B16" s="219">
        <f>B9-B12</f>
        <v>-0.24508645141031593</v>
      </c>
      <c r="C16" s="55"/>
      <c r="D16" s="26"/>
      <c r="E16" s="17">
        <v>0.24508645141031593</v>
      </c>
      <c r="F16" s="17">
        <f t="shared" ref="F16" si="1">F14-F9</f>
        <v>0.24508645141031593</v>
      </c>
    </row>
    <row r="17" spans="1:3">
      <c r="C17" s="1"/>
    </row>
    <row r="18" spans="1:3">
      <c r="C18" s="1"/>
    </row>
    <row r="19" spans="1:3">
      <c r="C19" s="1"/>
    </row>
    <row r="20" spans="1:3">
      <c r="C20" s="1"/>
    </row>
    <row r="21" spans="1:3" ht="13">
      <c r="A21" s="25" t="str">
        <f>'Cash in Hand-1020'!A26</f>
        <v>Charmaine Chan</v>
      </c>
      <c r="C21" s="1"/>
    </row>
    <row r="22" spans="1:3" ht="13">
      <c r="A22" s="5" t="s">
        <v>372</v>
      </c>
      <c r="C22" s="1"/>
    </row>
    <row r="23" spans="1:3" ht="13">
      <c r="A23" s="5"/>
      <c r="C23" s="1"/>
    </row>
    <row r="24" spans="1:3" ht="13">
      <c r="A24" s="5"/>
      <c r="C24" s="1"/>
    </row>
    <row r="25" spans="1:3" ht="13">
      <c r="A25" s="5"/>
      <c r="C25" s="1"/>
    </row>
    <row r="26" spans="1:3" ht="13">
      <c r="A26" s="25"/>
      <c r="C26" s="1"/>
    </row>
    <row r="27" spans="1:3" ht="13">
      <c r="A27" s="5" t="s">
        <v>373</v>
      </c>
      <c r="C27" s="1"/>
    </row>
    <row r="28" spans="1:3">
      <c r="C28" s="1"/>
    </row>
  </sheetData>
  <mergeCells count="1">
    <mergeCell ref="A1:C1"/>
  </mergeCells>
  <pageMargins left="0.7" right="0.7" top="0.75" bottom="0.75" header="0.3" footer="0.3"/>
  <pageSetup paperSize="9" orientation="landscape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pageSetUpPr fitToPage="1"/>
  </sheetPr>
  <dimension ref="A1:F27"/>
  <sheetViews>
    <sheetView workbookViewId="0">
      <selection activeCell="P1" sqref="P1:P1048576"/>
    </sheetView>
  </sheetViews>
  <sheetFormatPr defaultColWidth="9" defaultRowHeight="12.75" customHeight="1"/>
  <cols>
    <col min="1" max="1" width="32.1796875" customWidth="1"/>
    <col min="2" max="2" width="15.81640625" customWidth="1"/>
    <col min="3" max="3" width="15.81640625" style="1" customWidth="1"/>
    <col min="4" max="4" width="8.453125" customWidth="1"/>
    <col min="5" max="5" width="11" hidden="1" customWidth="1" collapsed="1"/>
    <col min="6" max="6" width="11" customWidth="1" collapsed="1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2" spans="1:6" ht="12.75" customHeight="1">
      <c r="A2" s="2"/>
      <c r="B2" s="2"/>
      <c r="C2" s="4"/>
    </row>
    <row r="3" spans="1:6" ht="12.75" customHeight="1">
      <c r="A3" s="5" t="str">
        <f>+'Prov for Audit Fees-2040.200'!A3</f>
        <v xml:space="preserve">BALANCE AS AT </v>
      </c>
      <c r="B3" s="2"/>
      <c r="C3" s="4"/>
    </row>
    <row r="5" spans="1:6" ht="12.75" customHeight="1">
      <c r="A5" s="5" t="s">
        <v>675</v>
      </c>
    </row>
    <row r="6" spans="1:6" ht="12.75" customHeight="1">
      <c r="A6" s="5"/>
    </row>
    <row r="7" spans="1:6" ht="12.75" customHeight="1">
      <c r="A7" s="5" t="s">
        <v>676</v>
      </c>
    </row>
    <row r="8" spans="1:6" ht="12.75" customHeight="1">
      <c r="D8" s="26"/>
      <c r="E8" s="7">
        <v>44805</v>
      </c>
      <c r="F8" s="7">
        <f>E8+30</f>
        <v>44835</v>
      </c>
    </row>
    <row r="9" spans="1:6" ht="12.75" customHeight="1">
      <c r="A9" s="5" t="s">
        <v>367</v>
      </c>
      <c r="C9" s="8">
        <f>'Trial Balance'!F62</f>
        <v>-93090</v>
      </c>
      <c r="D9" s="26"/>
      <c r="E9" s="10">
        <v>-93090</v>
      </c>
      <c r="F9" s="10">
        <f>$C$9</f>
        <v>-93090</v>
      </c>
    </row>
    <row r="10" spans="1:6" ht="12.75" customHeight="1">
      <c r="A10" s="216"/>
      <c r="C10" s="54"/>
      <c r="D10" s="26"/>
      <c r="E10" s="12"/>
      <c r="F10" s="12"/>
    </row>
    <row r="11" spans="1:6" s="24" customFormat="1" ht="12.75" customHeight="1">
      <c r="A11" s="175" t="s">
        <v>858</v>
      </c>
      <c r="B11" s="217"/>
      <c r="C11" s="162">
        <v>-93090</v>
      </c>
      <c r="D11" s="26"/>
      <c r="E11" s="10">
        <v>-93090</v>
      </c>
      <c r="F11" s="10"/>
    </row>
    <row r="12" spans="1:6" s="24" customFormat="1" ht="12.75" customHeight="1">
      <c r="A12" s="177"/>
      <c r="C12" s="162"/>
      <c r="D12" s="26"/>
      <c r="E12" s="67"/>
      <c r="F12" s="67"/>
    </row>
    <row r="13" spans="1:6" s="28" customFormat="1" ht="12.75" customHeight="1">
      <c r="A13" s="177"/>
      <c r="C13" s="55"/>
      <c r="D13" s="38"/>
      <c r="E13" s="50"/>
      <c r="F13" s="50"/>
    </row>
    <row r="14" spans="1:6" ht="12.75" customHeight="1">
      <c r="D14" s="26"/>
      <c r="E14" s="17">
        <v>-93090</v>
      </c>
      <c r="F14" s="17">
        <f t="shared" ref="F14" si="0">SUM(F11:F13)</f>
        <v>0</v>
      </c>
    </row>
    <row r="15" spans="1:6" ht="12.75" customHeight="1">
      <c r="A15" s="5" t="s">
        <v>362</v>
      </c>
      <c r="C15" s="8">
        <f>SUM(C10:C14)</f>
        <v>-93090</v>
      </c>
      <c r="D15" s="26"/>
      <c r="E15" s="12"/>
      <c r="F15" s="12"/>
    </row>
    <row r="16" spans="1:6" ht="12.75" customHeight="1">
      <c r="A16" s="24"/>
      <c r="C16" s="8"/>
      <c r="D16" s="26"/>
      <c r="E16" s="17">
        <v>0</v>
      </c>
      <c r="F16" s="17">
        <f t="shared" ref="F16" si="1">F14-F9</f>
        <v>93090</v>
      </c>
    </row>
    <row r="17" spans="1:3" ht="12.75" customHeight="1">
      <c r="A17" s="13" t="s">
        <v>370</v>
      </c>
      <c r="B17" s="14"/>
      <c r="C17" s="160">
        <f>C9-C15</f>
        <v>0</v>
      </c>
    </row>
    <row r="21" spans="1:3" ht="12.75" customHeight="1">
      <c r="A21" s="25" t="str">
        <f>'Cash in Hand-1020'!A26</f>
        <v>Charmaine Chan</v>
      </c>
    </row>
    <row r="22" spans="1:3" ht="12.75" customHeight="1">
      <c r="A22" s="5" t="s">
        <v>372</v>
      </c>
    </row>
    <row r="23" spans="1:3" ht="12.75" customHeight="1">
      <c r="A23" s="5"/>
    </row>
    <row r="24" spans="1:3" ht="12.75" customHeight="1">
      <c r="A24" s="5"/>
    </row>
    <row r="25" spans="1:3" ht="12.75" customHeight="1">
      <c r="A25" s="5"/>
    </row>
    <row r="26" spans="1:3" ht="12.75" customHeight="1">
      <c r="A26" s="25"/>
    </row>
    <row r="27" spans="1:3" ht="12.75" customHeight="1">
      <c r="A27" s="5" t="s">
        <v>373</v>
      </c>
    </row>
  </sheetData>
  <mergeCells count="1">
    <mergeCell ref="A1:C1"/>
  </mergeCells>
  <pageMargins left="0.75" right="0.75" top="1" bottom="1" header="0.5" footer="0.5"/>
  <pageSetup paperSize="9" fitToHeight="5" orientation="landscape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pageSetUpPr fitToPage="1"/>
  </sheetPr>
  <dimension ref="A1:F46"/>
  <sheetViews>
    <sheetView workbookViewId="0">
      <selection activeCell="P1" sqref="P1:P1048576"/>
    </sheetView>
  </sheetViews>
  <sheetFormatPr defaultColWidth="9.1796875" defaultRowHeight="12.75" customHeight="1" outlineLevelRow="1"/>
  <cols>
    <col min="1" max="1" width="36.453125" style="188" customWidth="1"/>
    <col min="2" max="2" width="12.453125" style="188" customWidth="1"/>
    <col min="3" max="3" width="12.453125" style="189" customWidth="1"/>
    <col min="4" max="4" width="9.81640625" style="188" customWidth="1"/>
    <col min="5" max="5" width="12" style="188" hidden="1" customWidth="1" collapsed="1"/>
    <col min="6" max="6" width="12" style="188" customWidth="1" collapsed="1"/>
    <col min="7" max="16384" width="9.1796875" style="188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2" spans="1:6" ht="12.75" customHeight="1">
      <c r="A2" s="137"/>
      <c r="B2" s="137"/>
      <c r="C2" s="190"/>
    </row>
    <row r="3" spans="1:6" ht="12.75" customHeight="1">
      <c r="A3" s="137" t="str">
        <f>+'PAYG clg-2150'!A3</f>
        <v xml:space="preserve">BALANCE AS AT </v>
      </c>
      <c r="B3" s="137"/>
      <c r="C3" s="190"/>
    </row>
    <row r="5" spans="1:6" ht="12.75" customHeight="1">
      <c r="A5" s="137" t="s">
        <v>677</v>
      </c>
    </row>
    <row r="6" spans="1:6" ht="12.75" customHeight="1">
      <c r="A6" s="137"/>
    </row>
    <row r="7" spans="1:6" ht="12.75" customHeight="1">
      <c r="A7" s="137" t="s">
        <v>678</v>
      </c>
    </row>
    <row r="8" spans="1:6" ht="12.75" customHeight="1">
      <c r="D8" s="191"/>
      <c r="E8" s="7">
        <v>44805</v>
      </c>
      <c r="F8" s="7">
        <f>E8+30</f>
        <v>44835</v>
      </c>
    </row>
    <row r="9" spans="1:6" ht="12.75" customHeight="1">
      <c r="A9" s="137" t="s">
        <v>367</v>
      </c>
      <c r="C9" s="192">
        <f>'Trial Balance'!F63</f>
        <v>-127198.52</v>
      </c>
      <c r="D9" s="191"/>
      <c r="E9" s="193">
        <v>-127198.52</v>
      </c>
      <c r="F9" s="193">
        <f>$C$9</f>
        <v>-127198.52</v>
      </c>
    </row>
    <row r="10" spans="1:6" ht="12.75" customHeight="1">
      <c r="C10" s="194"/>
      <c r="D10" s="191"/>
      <c r="E10" s="195"/>
      <c r="F10" s="195"/>
    </row>
    <row r="11" spans="1:6" ht="12.75" customHeight="1">
      <c r="A11" s="196" t="s">
        <v>859</v>
      </c>
      <c r="B11" s="197"/>
      <c r="C11" s="198">
        <v>-127198.52</v>
      </c>
      <c r="D11" s="191"/>
      <c r="E11" s="193">
        <v>-127198.52</v>
      </c>
      <c r="F11" s="193"/>
    </row>
    <row r="12" spans="1:6" s="187" customFormat="1" ht="12.75" customHeight="1">
      <c r="A12" s="199"/>
      <c r="B12" s="200"/>
      <c r="C12" s="198"/>
      <c r="D12" s="201"/>
      <c r="E12" s="202"/>
      <c r="F12" s="202"/>
    </row>
    <row r="13" spans="1:6" s="187" customFormat="1" ht="12.75" customHeight="1">
      <c r="A13" s="196"/>
      <c r="B13" s="200"/>
      <c r="C13" s="203"/>
      <c r="D13" s="204"/>
      <c r="E13" s="202"/>
      <c r="F13" s="202"/>
    </row>
    <row r="14" spans="1:6" s="187" customFormat="1" ht="12.75" hidden="1" customHeight="1" outlineLevel="1">
      <c r="A14" s="199"/>
      <c r="B14" s="205"/>
      <c r="C14" s="198"/>
      <c r="D14" s="204"/>
      <c r="E14" s="202"/>
      <c r="F14" s="202"/>
    </row>
    <row r="15" spans="1:6" s="187" customFormat="1" ht="12.75" hidden="1" customHeight="1" outlineLevel="1">
      <c r="A15" s="199"/>
      <c r="B15" s="205"/>
      <c r="C15" s="198"/>
      <c r="D15" s="204"/>
      <c r="E15" s="202"/>
      <c r="F15" s="202"/>
    </row>
    <row r="16" spans="1:6" s="187" customFormat="1" ht="12.75" hidden="1" customHeight="1" outlineLevel="1">
      <c r="A16" s="199"/>
      <c r="B16" s="205"/>
      <c r="C16" s="198"/>
      <c r="D16" s="204"/>
      <c r="E16" s="202"/>
      <c r="F16" s="202"/>
    </row>
    <row r="17" spans="1:6" s="187" customFormat="1" ht="12.75" hidden="1" customHeight="1" outlineLevel="1">
      <c r="A17" s="199"/>
      <c r="B17" s="206"/>
      <c r="C17" s="198"/>
      <c r="D17" s="204"/>
      <c r="E17" s="202"/>
      <c r="F17" s="202"/>
    </row>
    <row r="18" spans="1:6" s="187" customFormat="1" ht="12.75" hidden="1" customHeight="1" outlineLevel="1">
      <c r="A18" s="199"/>
      <c r="B18" s="206"/>
      <c r="C18" s="198"/>
      <c r="D18" s="204"/>
      <c r="E18" s="202"/>
      <c r="F18" s="202"/>
    </row>
    <row r="19" spans="1:6" s="187" customFormat="1" ht="12.75" hidden="1" customHeight="1" outlineLevel="1">
      <c r="A19" s="199"/>
      <c r="B19" s="206"/>
      <c r="C19" s="198"/>
      <c r="D19" s="204"/>
      <c r="E19" s="202"/>
      <c r="F19" s="202"/>
    </row>
    <row r="20" spans="1:6" s="187" customFormat="1" ht="12.75" hidden="1" customHeight="1" outlineLevel="1">
      <c r="A20" s="199"/>
      <c r="B20" s="206"/>
      <c r="C20" s="198"/>
      <c r="D20" s="204"/>
      <c r="E20" s="202"/>
      <c r="F20" s="202"/>
    </row>
    <row r="21" spans="1:6" s="187" customFormat="1" ht="12.75" hidden="1" customHeight="1" outlineLevel="1">
      <c r="A21" s="199"/>
      <c r="B21" s="206"/>
      <c r="C21" s="198"/>
      <c r="D21" s="204"/>
      <c r="E21" s="202"/>
      <c r="F21" s="202"/>
    </row>
    <row r="22" spans="1:6" s="187" customFormat="1" ht="12.75" hidden="1" customHeight="1" outlineLevel="1">
      <c r="A22" s="199"/>
      <c r="B22" s="206"/>
      <c r="C22" s="198"/>
      <c r="D22" s="204"/>
      <c r="E22" s="202"/>
      <c r="F22" s="202"/>
    </row>
    <row r="23" spans="1:6" s="187" customFormat="1" ht="12.75" hidden="1" customHeight="1" outlineLevel="1">
      <c r="A23" s="199"/>
      <c r="B23" s="206"/>
      <c r="C23" s="198"/>
      <c r="D23" s="204"/>
      <c r="E23" s="202"/>
      <c r="F23" s="202"/>
    </row>
    <row r="24" spans="1:6" s="187" customFormat="1" ht="12.75" hidden="1" customHeight="1" outlineLevel="1">
      <c r="A24" s="199"/>
      <c r="B24" s="206"/>
      <c r="C24" s="198"/>
      <c r="D24" s="204"/>
      <c r="E24" s="202"/>
      <c r="F24" s="202"/>
    </row>
    <row r="25" spans="1:6" s="187" customFormat="1" ht="12.75" hidden="1" customHeight="1" outlineLevel="1">
      <c r="A25" s="199"/>
      <c r="B25" s="207"/>
      <c r="C25" s="198"/>
      <c r="D25" s="204"/>
      <c r="E25" s="202"/>
      <c r="F25" s="202"/>
    </row>
    <row r="26" spans="1:6" s="187" customFormat="1" ht="12.75" hidden="1" customHeight="1" outlineLevel="1">
      <c r="A26" s="199"/>
      <c r="B26" s="208"/>
      <c r="C26" s="198"/>
      <c r="D26" s="209"/>
      <c r="E26" s="202"/>
      <c r="F26" s="202"/>
    </row>
    <row r="27" spans="1:6" s="187" customFormat="1" ht="12.75" customHeight="1" collapsed="1">
      <c r="D27" s="209"/>
      <c r="E27" s="202"/>
      <c r="F27" s="202"/>
    </row>
    <row r="28" spans="1:6" s="187" customFormat="1" ht="12.75" customHeight="1">
      <c r="A28" s="199"/>
      <c r="B28" s="208"/>
      <c r="C28" s="198"/>
      <c r="D28" s="209"/>
      <c r="E28" s="202"/>
      <c r="F28" s="202"/>
    </row>
    <row r="29" spans="1:6" ht="12.75" customHeight="1">
      <c r="A29" s="210"/>
      <c r="B29" s="211"/>
      <c r="D29" s="191"/>
      <c r="E29" s="195"/>
      <c r="F29" s="195"/>
    </row>
    <row r="30" spans="1:6" ht="12.75" customHeight="1">
      <c r="A30" s="212" t="s">
        <v>362</v>
      </c>
      <c r="B30" s="187"/>
      <c r="C30" s="190">
        <f>SUM(C11:C28)</f>
        <v>-127198.52</v>
      </c>
      <c r="D30" s="191"/>
      <c r="E30" s="213">
        <v>-127198.52</v>
      </c>
      <c r="F30" s="213">
        <f t="shared" ref="F30" si="0">SUM(F11:F29)</f>
        <v>0</v>
      </c>
    </row>
    <row r="31" spans="1:6" ht="12.75" customHeight="1">
      <c r="A31" s="187"/>
      <c r="B31" s="187"/>
      <c r="C31" s="214"/>
      <c r="D31" s="191"/>
      <c r="E31" s="195"/>
      <c r="F31" s="195"/>
    </row>
    <row r="32" spans="1:6" ht="12.75" customHeight="1">
      <c r="A32" s="13" t="s">
        <v>370</v>
      </c>
      <c r="B32" s="14"/>
      <c r="C32" s="160">
        <f>C9-C30</f>
        <v>0</v>
      </c>
      <c r="D32" s="191"/>
      <c r="E32" s="213">
        <v>0</v>
      </c>
      <c r="F32" s="213">
        <f t="shared" ref="F32" si="1">F30-F9</f>
        <v>127198.52</v>
      </c>
    </row>
    <row r="40" spans="1:1" ht="12.75" customHeight="1">
      <c r="A40" s="25" t="str">
        <f>'Cash in Hand-1020'!A26</f>
        <v>Charmaine Chan</v>
      </c>
    </row>
    <row r="41" spans="1:1" ht="12.75" customHeight="1">
      <c r="A41" s="137" t="s">
        <v>372</v>
      </c>
    </row>
    <row r="42" spans="1:1" ht="12.75" customHeight="1">
      <c r="A42" s="137"/>
    </row>
    <row r="43" spans="1:1" ht="12.75" customHeight="1">
      <c r="A43" s="137"/>
    </row>
    <row r="44" spans="1:1" ht="12.75" customHeight="1">
      <c r="A44" s="137"/>
    </row>
    <row r="45" spans="1:1" ht="12.75" customHeight="1">
      <c r="A45" s="215"/>
    </row>
    <row r="46" spans="1:1" ht="12.75" customHeight="1">
      <c r="A46" s="137" t="s">
        <v>373</v>
      </c>
    </row>
  </sheetData>
  <mergeCells count="1">
    <mergeCell ref="A1:C1"/>
  </mergeCells>
  <pageMargins left="0.75" right="0.75" top="1" bottom="1" header="0.5" footer="0.5"/>
  <pageSetup paperSize="9" orientation="landscape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pageSetUpPr fitToPage="1"/>
  </sheetPr>
  <dimension ref="A1:G41"/>
  <sheetViews>
    <sheetView workbookViewId="0">
      <selection activeCell="Q1" sqref="Q1:Q1048576"/>
    </sheetView>
  </sheetViews>
  <sheetFormatPr defaultColWidth="9" defaultRowHeight="12.75" customHeight="1"/>
  <cols>
    <col min="1" max="1" width="40.1796875" customWidth="1"/>
    <col min="2" max="2" width="25.54296875" customWidth="1"/>
    <col min="3" max="3" width="12.1796875" style="1" customWidth="1"/>
    <col min="4" max="4" width="12.54296875" customWidth="1"/>
    <col min="5" max="5" width="28.81640625" customWidth="1"/>
    <col min="6" max="6" width="11.453125" hidden="1" customWidth="1" collapsed="1"/>
    <col min="7" max="7" width="11.453125" customWidth="1" collapsed="1"/>
  </cols>
  <sheetData>
    <row r="1" spans="1:7" ht="12.75" customHeight="1">
      <c r="A1" s="473" t="s">
        <v>364</v>
      </c>
      <c r="B1" s="473"/>
      <c r="C1" s="473"/>
      <c r="D1" s="3">
        <f>'Cash at Bank-1020.100'!D1</f>
        <v>44835</v>
      </c>
    </row>
    <row r="2" spans="1:7" ht="12.75" customHeight="1">
      <c r="A2" s="2"/>
      <c r="B2" s="2"/>
      <c r="C2" s="4"/>
    </row>
    <row r="3" spans="1:7" ht="12.75" customHeight="1">
      <c r="A3" s="5" t="str">
        <f>'Accrued Payroll-2160'!A3</f>
        <v xml:space="preserve">BALANCE AS AT </v>
      </c>
      <c r="B3" s="2"/>
      <c r="C3" s="4"/>
    </row>
    <row r="5" spans="1:7" ht="12.75" customHeight="1">
      <c r="A5" s="5" t="s">
        <v>679</v>
      </c>
    </row>
    <row r="6" spans="1:7" ht="12.75" customHeight="1">
      <c r="A6" s="5"/>
    </row>
    <row r="7" spans="1:7" ht="12.75" customHeight="1">
      <c r="A7" s="5" t="s">
        <v>680</v>
      </c>
    </row>
    <row r="8" spans="1:7" ht="12.75" customHeight="1">
      <c r="C8" s="54"/>
      <c r="E8" s="6"/>
      <c r="F8" s="7">
        <v>44805</v>
      </c>
      <c r="G8" s="7">
        <f>F8+30</f>
        <v>44835</v>
      </c>
    </row>
    <row r="9" spans="1:7" ht="12.75" customHeight="1">
      <c r="A9" s="5" t="s">
        <v>367</v>
      </c>
      <c r="C9" s="8">
        <f>'Trial Balance'!F64</f>
        <v>0</v>
      </c>
      <c r="E9" s="53" t="s">
        <v>382</v>
      </c>
      <c r="F9" s="10">
        <v>0</v>
      </c>
      <c r="G9" s="10">
        <f>$C$9</f>
        <v>0</v>
      </c>
    </row>
    <row r="10" spans="1:7" ht="12.75" customHeight="1">
      <c r="A10" s="5"/>
      <c r="C10" s="8"/>
      <c r="E10" s="53" t="s">
        <v>504</v>
      </c>
      <c r="F10" s="10"/>
      <c r="G10" s="10"/>
    </row>
    <row r="11" spans="1:7" ht="12.75" customHeight="1">
      <c r="A11" s="24"/>
      <c r="B11" s="135"/>
      <c r="C11" s="162">
        <f>SUM(B11:B19)</f>
        <v>0</v>
      </c>
      <c r="D11" s="1"/>
      <c r="E11" s="9"/>
      <c r="F11" s="12"/>
      <c r="G11" s="12"/>
    </row>
    <row r="12" spans="1:7" ht="12.75" customHeight="1">
      <c r="A12" s="178"/>
      <c r="B12" s="179"/>
      <c r="E12" s="180" t="s">
        <v>370</v>
      </c>
      <c r="F12" s="17">
        <v>0</v>
      </c>
      <c r="G12" s="17">
        <f t="shared" ref="G12" si="0">G10-G9</f>
        <v>0</v>
      </c>
    </row>
    <row r="13" spans="1:7" ht="12.75" customHeight="1">
      <c r="A13" s="178"/>
      <c r="B13" s="179"/>
    </row>
    <row r="14" spans="1:7" ht="12.75" customHeight="1">
      <c r="A14" s="33"/>
      <c r="B14" s="148"/>
      <c r="D14" s="28"/>
      <c r="E14" s="28"/>
    </row>
    <row r="15" spans="1:7" ht="12.75" customHeight="1">
      <c r="B15" s="464"/>
      <c r="D15" s="28"/>
      <c r="E15" s="28"/>
    </row>
    <row r="16" spans="1:7" ht="12.75" customHeight="1">
      <c r="B16" s="464"/>
      <c r="C16" s="19"/>
      <c r="D16" s="28"/>
      <c r="E16" s="28"/>
    </row>
    <row r="17" spans="1:7" ht="12.75" customHeight="1">
      <c r="A17" s="33"/>
      <c r="B17" s="181"/>
      <c r="D17" s="28"/>
      <c r="E17" s="28"/>
    </row>
    <row r="18" spans="1:7" ht="12.75" customHeight="1">
      <c r="A18" s="33"/>
      <c r="B18" s="181"/>
      <c r="C18" s="171"/>
      <c r="D18" s="28"/>
      <c r="E18" s="28"/>
    </row>
    <row r="19" spans="1:7" ht="12.75" customHeight="1">
      <c r="A19" s="33"/>
      <c r="B19" s="181"/>
      <c r="C19" s="182"/>
      <c r="D19" s="28"/>
      <c r="E19" s="33" t="s">
        <v>681</v>
      </c>
    </row>
    <row r="20" spans="1:7" ht="12.75" customHeight="1">
      <c r="A20" s="5" t="s">
        <v>362</v>
      </c>
      <c r="B20" s="183"/>
      <c r="C20" s="184">
        <f>SUM(C11:C19)</f>
        <v>0</v>
      </c>
      <c r="E20" s="185" t="s">
        <v>682</v>
      </c>
    </row>
    <row r="21" spans="1:7" ht="12.75" customHeight="1">
      <c r="B21" s="183"/>
      <c r="C21" s="54"/>
      <c r="F21" s="24"/>
      <c r="G21" s="24"/>
    </row>
    <row r="22" spans="1:7" ht="12.75" customHeight="1">
      <c r="A22" s="13" t="s">
        <v>370</v>
      </c>
      <c r="B22" s="183"/>
      <c r="C22" s="160">
        <f>C9-C20</f>
        <v>0</v>
      </c>
      <c r="F22" s="24"/>
      <c r="G22" s="24"/>
    </row>
    <row r="23" spans="1:7" ht="12.75" customHeight="1">
      <c r="B23" s="183"/>
      <c r="F23" s="24"/>
      <c r="G23" s="24"/>
    </row>
    <row r="24" spans="1:7" ht="12.75" customHeight="1">
      <c r="F24" s="24"/>
      <c r="G24" s="24"/>
    </row>
    <row r="25" spans="1:7" ht="12.75" customHeight="1">
      <c r="D25" s="177"/>
      <c r="F25" s="24"/>
      <c r="G25" s="24"/>
    </row>
    <row r="26" spans="1:7" ht="12.75" customHeight="1">
      <c r="F26" s="24"/>
      <c r="G26" s="24"/>
    </row>
    <row r="27" spans="1:7" ht="12.75" customHeight="1">
      <c r="A27" s="25" t="str">
        <f>'Cash in Hand-1020'!A26</f>
        <v>Charmaine Chan</v>
      </c>
    </row>
    <row r="28" spans="1:7" ht="12.75" customHeight="1">
      <c r="A28" s="5" t="s">
        <v>372</v>
      </c>
    </row>
    <row r="29" spans="1:7" ht="12.75" customHeight="1">
      <c r="A29" s="5"/>
    </row>
    <row r="30" spans="1:7" ht="12.75" customHeight="1">
      <c r="A30" s="5"/>
    </row>
    <row r="31" spans="1:7" ht="12.75" customHeight="1">
      <c r="A31" s="5"/>
    </row>
    <row r="32" spans="1:7" ht="12.75" customHeight="1">
      <c r="A32" s="25"/>
    </row>
    <row r="33" spans="1:7" ht="12.75" customHeight="1">
      <c r="A33" s="5" t="s">
        <v>373</v>
      </c>
    </row>
    <row r="35" spans="1:7" ht="12.75" customHeight="1">
      <c r="B35" s="28"/>
      <c r="C35" s="104"/>
      <c r="D35" s="28"/>
      <c r="E35" s="28"/>
      <c r="F35" s="28"/>
      <c r="G35" s="28"/>
    </row>
    <row r="36" spans="1:7" ht="12.75" customHeight="1">
      <c r="B36" s="28"/>
      <c r="C36" s="104"/>
      <c r="D36" s="28"/>
      <c r="E36" s="28"/>
      <c r="F36" s="33"/>
      <c r="G36" s="33"/>
    </row>
    <row r="37" spans="1:7" ht="12.75" customHeight="1">
      <c r="A37" s="28"/>
      <c r="B37" s="28"/>
      <c r="C37" s="104"/>
    </row>
    <row r="38" spans="1:7" ht="12.75" customHeight="1">
      <c r="A38" s="186"/>
      <c r="B38" s="28"/>
      <c r="C38" s="104"/>
    </row>
    <row r="39" spans="1:7" ht="12.75" customHeight="1">
      <c r="A39" s="186"/>
      <c r="B39" s="28"/>
      <c r="C39" s="104"/>
    </row>
    <row r="40" spans="1:7" ht="12.75" customHeight="1">
      <c r="A40" s="28"/>
      <c r="B40" s="28"/>
      <c r="C40" s="104"/>
    </row>
    <row r="41" spans="1:7" ht="12.75" customHeight="1">
      <c r="A41" s="28"/>
      <c r="B41" s="28"/>
      <c r="C41" s="104"/>
    </row>
  </sheetData>
  <mergeCells count="1">
    <mergeCell ref="A1:C1"/>
  </mergeCells>
  <pageMargins left="0.75" right="0.75" top="1" bottom="1" header="0.5" footer="0.5"/>
  <pageSetup scale="80" orientation="landscape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pageSetUpPr fitToPage="1"/>
  </sheetPr>
  <dimension ref="A1:G68"/>
  <sheetViews>
    <sheetView workbookViewId="0">
      <selection activeCell="Q1" sqref="Q1:Q1048576"/>
    </sheetView>
  </sheetViews>
  <sheetFormatPr defaultColWidth="9" defaultRowHeight="12.75" customHeight="1"/>
  <cols>
    <col min="1" max="1" width="41.1796875" customWidth="1"/>
    <col min="2" max="2" width="25.1796875" customWidth="1"/>
    <col min="3" max="3" width="49.81640625" style="54" bestFit="1" customWidth="1"/>
    <col min="4" max="4" width="8.81640625" customWidth="1"/>
    <col min="5" max="5" width="12.54296875" customWidth="1"/>
    <col min="6" max="6" width="12" hidden="1" customWidth="1" collapsed="1"/>
    <col min="7" max="7" width="12" customWidth="1" collapsed="1"/>
  </cols>
  <sheetData>
    <row r="1" spans="1:7" ht="12.75" customHeight="1">
      <c r="A1" s="473" t="s">
        <v>364</v>
      </c>
      <c r="B1" s="473"/>
      <c r="C1" s="473"/>
      <c r="D1" s="3">
        <f>'Cash at Bank-1020.100'!D1</f>
        <v>44835</v>
      </c>
      <c r="E1" s="3"/>
    </row>
    <row r="2" spans="1:7" ht="12.75" customHeight="1">
      <c r="A2" s="2"/>
      <c r="B2" s="2"/>
      <c r="C2" s="170"/>
    </row>
    <row r="3" spans="1:7" ht="12.75" customHeight="1">
      <c r="A3" s="5" t="str">
        <f>'Payroll Clearing-2160.100'!A3</f>
        <v xml:space="preserve">BALANCE AS AT </v>
      </c>
      <c r="B3" s="2"/>
      <c r="C3" s="170"/>
    </row>
    <row r="4" spans="1:7" ht="12.75" customHeight="1">
      <c r="A4" s="2"/>
      <c r="B4" s="2"/>
      <c r="C4" s="170"/>
    </row>
    <row r="5" spans="1:7" ht="12.75" customHeight="1">
      <c r="A5" s="5" t="s">
        <v>683</v>
      </c>
    </row>
    <row r="6" spans="1:7" ht="12.75" customHeight="1">
      <c r="A6" s="5"/>
    </row>
    <row r="7" spans="1:7" ht="12.75" customHeight="1">
      <c r="A7" s="5" t="s">
        <v>684</v>
      </c>
      <c r="C7" s="55"/>
    </row>
    <row r="8" spans="1:7" ht="12.75" customHeight="1">
      <c r="C8" s="55"/>
      <c r="D8" s="60"/>
      <c r="E8" s="60"/>
      <c r="F8" s="7">
        <v>44805</v>
      </c>
      <c r="G8" s="7">
        <f>F8+30</f>
        <v>44835</v>
      </c>
    </row>
    <row r="9" spans="1:7" ht="12.75" customHeight="1">
      <c r="A9" s="5" t="s">
        <v>367</v>
      </c>
      <c r="B9" s="5"/>
      <c r="C9" s="171">
        <f>'Trial Balance'!F65</f>
        <v>-247152.2</v>
      </c>
      <c r="D9" s="60"/>
      <c r="E9" s="60"/>
      <c r="F9" s="10">
        <v>-247152.2</v>
      </c>
      <c r="G9" s="10">
        <f>$C$9</f>
        <v>-247152.2</v>
      </c>
    </row>
    <row r="10" spans="1:7" ht="12.75" customHeight="1">
      <c r="C10" s="171"/>
      <c r="D10" s="60"/>
      <c r="E10" s="60"/>
      <c r="F10" s="12"/>
      <c r="G10" s="12"/>
    </row>
    <row r="11" spans="1:7" ht="12.75" customHeight="1">
      <c r="A11" s="75"/>
      <c r="B11" s="24"/>
      <c r="C11" s="171"/>
      <c r="D11" s="60"/>
      <c r="E11" s="68" t="s">
        <v>504</v>
      </c>
      <c r="F11" s="10"/>
      <c r="G11" s="10"/>
    </row>
    <row r="12" spans="1:7" ht="12.75" customHeight="1">
      <c r="A12" s="5"/>
      <c r="B12" s="24"/>
      <c r="C12" s="172"/>
      <c r="D12" s="60"/>
      <c r="E12" s="60"/>
      <c r="F12" s="12"/>
      <c r="G12" s="12"/>
    </row>
    <row r="13" spans="1:7" ht="12.75" customHeight="1">
      <c r="A13" s="5"/>
      <c r="B13" s="24"/>
      <c r="C13" s="172"/>
      <c r="D13" s="60"/>
      <c r="E13" s="60"/>
      <c r="F13" s="17">
        <v>247152.2</v>
      </c>
      <c r="G13" s="17">
        <f t="shared" ref="G13" si="0">G11-G9</f>
        <v>247152.2</v>
      </c>
    </row>
    <row r="14" spans="1:7" ht="12.75" customHeight="1">
      <c r="A14" s="24" t="s">
        <v>685</v>
      </c>
      <c r="C14" s="8">
        <f>SUM(B16:B41)</f>
        <v>-247152.19999999998</v>
      </c>
    </row>
    <row r="16" spans="1:7" ht="12.75" customHeight="1">
      <c r="A16" s="137"/>
      <c r="C16" s="164"/>
    </row>
    <row r="17" spans="1:5" ht="12.75" customHeight="1">
      <c r="A17" s="173"/>
      <c r="B17" s="458"/>
      <c r="C17" s="164"/>
    </row>
    <row r="18" spans="1:5" ht="12.75" customHeight="1">
      <c r="A18" s="137" t="s">
        <v>686</v>
      </c>
      <c r="B18" s="31"/>
      <c r="C18" s="164"/>
    </row>
    <row r="19" spans="1:5" ht="12.75" customHeight="1">
      <c r="A19" t="s">
        <v>687</v>
      </c>
      <c r="B19" s="31">
        <v>-41354.65</v>
      </c>
      <c r="C19" s="164"/>
    </row>
    <row r="20" spans="1:5" ht="12.75" customHeight="1">
      <c r="A20" t="s">
        <v>688</v>
      </c>
      <c r="B20" s="31">
        <v>-40332.97</v>
      </c>
      <c r="C20" s="164"/>
    </row>
    <row r="21" spans="1:5" ht="12.75" customHeight="1">
      <c r="A21" t="s">
        <v>841</v>
      </c>
      <c r="B21" s="31">
        <v>-44852.98</v>
      </c>
      <c r="C21" s="164"/>
    </row>
    <row r="22" spans="1:5" ht="12.75" customHeight="1">
      <c r="A22" t="s">
        <v>839</v>
      </c>
      <c r="B22" s="31">
        <v>-40326.6</v>
      </c>
      <c r="C22" s="164"/>
    </row>
    <row r="23" spans="1:5" ht="12.75" customHeight="1">
      <c r="A23" t="s">
        <v>860</v>
      </c>
      <c r="B23" s="31">
        <v>-40218.050000000003</v>
      </c>
      <c r="C23" s="164"/>
    </row>
    <row r="24" spans="1:5" ht="12.75" customHeight="1">
      <c r="A24" t="s">
        <v>858</v>
      </c>
      <c r="B24" s="31">
        <v>-40106.660000000003</v>
      </c>
      <c r="C24" s="462"/>
    </row>
    <row r="25" spans="1:5" ht="12.75" customHeight="1">
      <c r="C25" s="462"/>
    </row>
    <row r="26" spans="1:5" ht="12.75" customHeight="1">
      <c r="C26"/>
      <c r="D26" s="31"/>
      <c r="E26" s="164"/>
    </row>
    <row r="27" spans="1:5" ht="12.75" customHeight="1">
      <c r="D27" s="31"/>
      <c r="E27" s="164"/>
    </row>
    <row r="28" spans="1:5" ht="12.75" customHeight="1">
      <c r="A28" s="455" t="s">
        <v>870</v>
      </c>
      <c r="B28" s="463"/>
      <c r="D28" s="31"/>
      <c r="E28" s="172"/>
    </row>
    <row r="29" spans="1:5" ht="12.75" customHeight="1">
      <c r="A29" s="470"/>
      <c r="B29" s="460"/>
      <c r="D29" s="51"/>
      <c r="E29" s="55"/>
    </row>
    <row r="30" spans="1:5" ht="12.75" customHeight="1">
      <c r="A30" s="24" t="s">
        <v>842</v>
      </c>
      <c r="B30" s="460">
        <v>-437.43</v>
      </c>
      <c r="C30" s="5"/>
      <c r="D30" s="51"/>
      <c r="E30" s="55"/>
    </row>
    <row r="31" spans="1:5" ht="12.75" customHeight="1">
      <c r="A31" s="471" t="s">
        <v>862</v>
      </c>
      <c r="B31" s="463">
        <v>752.7</v>
      </c>
      <c r="C31" s="5"/>
      <c r="D31" s="51"/>
      <c r="E31" s="55"/>
    </row>
    <row r="32" spans="1:5" ht="12.75" customHeight="1">
      <c r="A32" s="471" t="s">
        <v>864</v>
      </c>
      <c r="B32" s="463">
        <v>7.18</v>
      </c>
      <c r="C32"/>
      <c r="D32" s="459" t="s">
        <v>689</v>
      </c>
      <c r="E32" s="459" t="s">
        <v>690</v>
      </c>
    </row>
    <row r="33" spans="1:5" ht="12.75" customHeight="1">
      <c r="A33" s="24" t="s">
        <v>861</v>
      </c>
      <c r="B33" s="463">
        <v>-72.290000000000006</v>
      </c>
      <c r="C33" s="173"/>
      <c r="D33" s="459" t="s">
        <v>691</v>
      </c>
      <c r="E33" s="459" t="s">
        <v>692</v>
      </c>
    </row>
    <row r="34" spans="1:5" ht="12.75" customHeight="1">
      <c r="A34" s="24"/>
      <c r="B34" s="24"/>
      <c r="C34" s="28"/>
      <c r="D34" s="172"/>
      <c r="E34" s="1"/>
    </row>
    <row r="35" spans="1:5" ht="12.75" customHeight="1">
      <c r="A35" s="24" t="s">
        <v>840</v>
      </c>
      <c r="B35" s="460">
        <v>-40204.11</v>
      </c>
      <c r="D35" s="172"/>
      <c r="E35" s="1"/>
    </row>
    <row r="36" spans="1:5" ht="12.75" customHeight="1">
      <c r="A36" s="471" t="s">
        <v>863</v>
      </c>
      <c r="B36" s="463">
        <v>39993.660000000003</v>
      </c>
      <c r="D36" s="172"/>
      <c r="E36" s="1"/>
    </row>
    <row r="37" spans="1:5" ht="12.75" customHeight="1">
      <c r="A37" s="24"/>
      <c r="B37" s="24"/>
      <c r="D37" s="172"/>
      <c r="E37" s="1"/>
    </row>
    <row r="38" spans="1:5" ht="12.75" customHeight="1">
      <c r="D38" s="172"/>
      <c r="E38" s="1"/>
    </row>
    <row r="39" spans="1:5" ht="12.75" customHeight="1">
      <c r="E39" s="1"/>
    </row>
    <row r="40" spans="1:5" ht="12.75" customHeight="1">
      <c r="C40" s="461"/>
    </row>
    <row r="42" spans="1:5" ht="12.75" customHeight="1">
      <c r="A42" s="174" t="s">
        <v>362</v>
      </c>
      <c r="C42" s="171"/>
    </row>
    <row r="43" spans="1:5" ht="12.75" customHeight="1">
      <c r="C43" s="8"/>
    </row>
    <row r="44" spans="1:5" ht="12.75" customHeight="1">
      <c r="A44" s="13" t="s">
        <v>370</v>
      </c>
      <c r="B44" s="14"/>
      <c r="C44" s="160">
        <f>C9-C14</f>
        <v>0</v>
      </c>
    </row>
    <row r="45" spans="1:5" ht="12.75" customHeight="1">
      <c r="C45" s="175"/>
    </row>
    <row r="46" spans="1:5" ht="12.75" customHeight="1">
      <c r="C46" s="8"/>
    </row>
    <row r="47" spans="1:5" ht="12.75" customHeight="1">
      <c r="A47" s="25" t="str">
        <f>'Cash in Hand-1020'!A26</f>
        <v>Charmaine Chan</v>
      </c>
    </row>
    <row r="48" spans="1:5" ht="12.75" customHeight="1">
      <c r="A48" s="5" t="s">
        <v>372</v>
      </c>
    </row>
    <row r="49" spans="1:3" ht="12.75" customHeight="1">
      <c r="A49" s="5"/>
    </row>
    <row r="50" spans="1:3" ht="12.75" customHeight="1">
      <c r="A50" s="5"/>
    </row>
    <row r="51" spans="1:3" ht="12.75" customHeight="1">
      <c r="A51" s="5"/>
    </row>
    <row r="52" spans="1:3" ht="12.75" customHeight="1">
      <c r="A52" s="25"/>
    </row>
    <row r="53" spans="1:3" ht="12.75" customHeight="1">
      <c r="A53" s="5" t="s">
        <v>373</v>
      </c>
    </row>
    <row r="62" spans="1:3" ht="12.75" customHeight="1">
      <c r="B62" s="176"/>
      <c r="C62"/>
    </row>
    <row r="63" spans="1:3" ht="12.75" customHeight="1">
      <c r="A63" s="24"/>
      <c r="C63"/>
    </row>
    <row r="64" spans="1:3" ht="12.75" customHeight="1">
      <c r="A64" s="177"/>
      <c r="C64"/>
    </row>
    <row r="66" spans="1:3" ht="12.75" customHeight="1">
      <c r="A66" s="24"/>
      <c r="C66"/>
    </row>
    <row r="68" spans="1:3" ht="12.75" customHeight="1">
      <c r="A68" s="177"/>
      <c r="C68"/>
    </row>
  </sheetData>
  <mergeCells count="1">
    <mergeCell ref="A1:C1"/>
  </mergeCells>
  <pageMargins left="0.75" right="0.75" top="1" bottom="1" header="0.5" footer="0.5"/>
  <pageSetup paperSize="9" scale="81" orientation="landscape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pageSetUpPr fitToPage="1"/>
  </sheetPr>
  <dimension ref="A1:G57"/>
  <sheetViews>
    <sheetView workbookViewId="0">
      <selection activeCell="E66" sqref="E66"/>
    </sheetView>
  </sheetViews>
  <sheetFormatPr defaultColWidth="9" defaultRowHeight="12.75" customHeight="1" outlineLevelRow="1"/>
  <cols>
    <col min="1" max="1" width="45.453125" customWidth="1"/>
    <col min="2" max="2" width="18.453125" customWidth="1"/>
    <col min="3" max="3" width="15.81640625" style="1" customWidth="1"/>
    <col min="4" max="4" width="9.54296875" customWidth="1"/>
    <col min="5" max="5" width="25.1796875" customWidth="1"/>
    <col min="6" max="6" width="12.81640625" hidden="1" customWidth="1" collapsed="1"/>
    <col min="7" max="7" width="12.81640625" customWidth="1" collapsed="1"/>
  </cols>
  <sheetData>
    <row r="1" spans="1:7" ht="12.75" customHeight="1">
      <c r="A1" s="473" t="s">
        <v>364</v>
      </c>
      <c r="B1" s="473"/>
      <c r="C1" s="473"/>
      <c r="D1" s="3">
        <f>'Cash at Bank-1020.100'!D1</f>
        <v>44835</v>
      </c>
    </row>
    <row r="2" spans="1:7" ht="12.75" customHeight="1">
      <c r="A2" s="2"/>
      <c r="B2" s="2"/>
      <c r="C2" s="4"/>
    </row>
    <row r="3" spans="1:7" ht="12.75" customHeight="1">
      <c r="A3" s="5" t="str">
        <f>'Payroll Clearing-2160.100'!A3</f>
        <v xml:space="preserve">BALANCE AS AT </v>
      </c>
      <c r="B3" s="2"/>
      <c r="C3" s="4"/>
    </row>
    <row r="4" spans="1:7" ht="12.75" customHeight="1">
      <c r="C4" s="8"/>
    </row>
    <row r="5" spans="1:7" ht="12.75" customHeight="1">
      <c r="A5" s="5" t="s">
        <v>693</v>
      </c>
      <c r="B5" s="5"/>
      <c r="C5" s="8"/>
    </row>
    <row r="6" spans="1:7" ht="12.75" customHeight="1">
      <c r="A6" s="5"/>
      <c r="B6" s="5"/>
      <c r="C6" s="8"/>
    </row>
    <row r="7" spans="1:7" ht="12.75" customHeight="1">
      <c r="A7" s="5" t="s">
        <v>694</v>
      </c>
      <c r="B7" s="5"/>
      <c r="C7" s="8"/>
    </row>
    <row r="8" spans="1:7" ht="12.75" customHeight="1">
      <c r="A8" s="5"/>
      <c r="B8" s="5"/>
      <c r="C8" s="8"/>
      <c r="E8" s="6"/>
      <c r="F8" s="7">
        <v>44805</v>
      </c>
      <c r="G8" s="7">
        <f>F8+30</f>
        <v>44835</v>
      </c>
    </row>
    <row r="9" spans="1:7" ht="12.75" customHeight="1">
      <c r="A9" s="5" t="s">
        <v>367</v>
      </c>
      <c r="B9" s="5"/>
      <c r="C9" s="8">
        <f>'Trial Balance'!F66</f>
        <v>-49668.62</v>
      </c>
      <c r="E9" s="53" t="s">
        <v>382</v>
      </c>
      <c r="F9" s="10">
        <v>-49668.62</v>
      </c>
      <c r="G9" s="10">
        <f>$C$9</f>
        <v>-49668.62</v>
      </c>
    </row>
    <row r="10" spans="1:7" ht="12.75" customHeight="1">
      <c r="C10" s="8"/>
      <c r="E10" s="53" t="s">
        <v>695</v>
      </c>
      <c r="F10" s="10">
        <v>-49668.39</v>
      </c>
      <c r="G10" s="10"/>
    </row>
    <row r="11" spans="1:7" ht="12.75" customHeight="1">
      <c r="E11" s="53"/>
      <c r="F11" s="12"/>
      <c r="G11" s="12"/>
    </row>
    <row r="12" spans="1:7" ht="12.75" customHeight="1">
      <c r="C12" s="1">
        <f>SUM(B13:B23)</f>
        <v>-49668.389999999992</v>
      </c>
      <c r="E12" s="16" t="s">
        <v>370</v>
      </c>
      <c r="F12" s="17">
        <v>0.23000000000320142</v>
      </c>
      <c r="G12" s="17">
        <f t="shared" ref="G12" si="0">G10-G9+G11</f>
        <v>49668.62</v>
      </c>
    </row>
    <row r="13" spans="1:7" ht="12.75" customHeight="1">
      <c r="E13" s="68"/>
      <c r="F13" s="72"/>
      <c r="G13" s="72"/>
    </row>
    <row r="14" spans="1:7" ht="12.75" customHeight="1">
      <c r="B14" s="135"/>
      <c r="E14" s="68"/>
      <c r="F14" s="72"/>
      <c r="G14" s="72"/>
    </row>
    <row r="15" spans="1:7" ht="12.75" customHeight="1">
      <c r="A15" s="33" t="s">
        <v>859</v>
      </c>
      <c r="B15" s="162">
        <v>-7631.91</v>
      </c>
      <c r="E15" s="68"/>
      <c r="F15" s="72"/>
      <c r="G15" s="72"/>
    </row>
    <row r="16" spans="1:7" s="28" customFormat="1" ht="12.75" customHeight="1">
      <c r="A16" s="33" t="s">
        <v>869</v>
      </c>
      <c r="B16" s="51">
        <v>-41894.879999999997</v>
      </c>
      <c r="C16" s="104"/>
      <c r="E16" s="457"/>
      <c r="F16" s="456"/>
      <c r="G16" s="456"/>
    </row>
    <row r="17" spans="1:4" ht="12.75" customHeight="1">
      <c r="A17" s="33" t="s">
        <v>869</v>
      </c>
      <c r="B17" s="463">
        <v>-141.6</v>
      </c>
      <c r="D17" s="24"/>
    </row>
    <row r="18" spans="1:4" ht="12.75" customHeight="1">
      <c r="A18" s="24"/>
      <c r="B18" s="1"/>
    </row>
    <row r="19" spans="1:4" ht="12.75" customHeight="1">
      <c r="B19" s="135"/>
      <c r="C19" s="19"/>
    </row>
    <row r="20" spans="1:4" ht="12.75" customHeight="1">
      <c r="A20" s="33"/>
      <c r="B20" s="462"/>
    </row>
    <row r="21" spans="1:4" ht="12.75" customHeight="1">
      <c r="A21" s="33"/>
      <c r="B21" s="462"/>
      <c r="C21" s="162"/>
      <c r="D21" s="1">
        <f>SUM(C19:C21)</f>
        <v>0</v>
      </c>
    </row>
    <row r="22" spans="1:4" ht="12.75" customHeight="1">
      <c r="A22" s="33"/>
      <c r="C22" s="8"/>
    </row>
    <row r="23" spans="1:4" ht="12.75" customHeight="1">
      <c r="A23" s="5"/>
      <c r="B23" s="5"/>
      <c r="C23" s="8"/>
    </row>
    <row r="24" spans="1:4" ht="12.75" customHeight="1">
      <c r="C24" s="8"/>
    </row>
    <row r="25" spans="1:4" ht="12.75" customHeight="1">
      <c r="A25" s="13" t="s">
        <v>370</v>
      </c>
      <c r="B25" s="14"/>
      <c r="C25" s="160">
        <f>C9-SUM(C12:C19)</f>
        <v>-0.23000000001047738</v>
      </c>
    </row>
    <row r="26" spans="1:4" ht="12.75" customHeight="1">
      <c r="C26" s="8"/>
    </row>
    <row r="27" spans="1:4" ht="12.75" customHeight="1">
      <c r="C27" s="8"/>
    </row>
    <row r="28" spans="1:4" ht="12.75" customHeight="1">
      <c r="C28" s="8"/>
    </row>
    <row r="29" spans="1:4" ht="12.75" customHeight="1">
      <c r="C29" s="8"/>
    </row>
    <row r="30" spans="1:4" ht="12.75" customHeight="1">
      <c r="A30" s="25" t="str">
        <f>'Cash in Hand-1020'!A26</f>
        <v>Charmaine Chan</v>
      </c>
    </row>
    <row r="31" spans="1:4" ht="12.75" customHeight="1">
      <c r="A31" s="5" t="s">
        <v>372</v>
      </c>
    </row>
    <row r="32" spans="1:4" ht="12.75" customHeight="1">
      <c r="A32" s="5"/>
    </row>
    <row r="33" spans="1:5" ht="12.75" customHeight="1">
      <c r="A33" s="5"/>
    </row>
    <row r="34" spans="1:5" ht="12.75" customHeight="1">
      <c r="A34" s="5"/>
    </row>
    <row r="35" spans="1:5" ht="12.75" customHeight="1">
      <c r="A35" s="25"/>
    </row>
    <row r="36" spans="1:5" ht="12.75" customHeight="1">
      <c r="A36" s="5" t="s">
        <v>373</v>
      </c>
    </row>
    <row r="40" spans="1:5" ht="12.75" hidden="1" customHeight="1" outlineLevel="1">
      <c r="A40" t="s">
        <v>696</v>
      </c>
    </row>
    <row r="41" spans="1:5" ht="12.75" hidden="1" customHeight="1" outlineLevel="1"/>
    <row r="42" spans="1:5" ht="12.75" hidden="1" customHeight="1" outlineLevel="1">
      <c r="A42" s="165" t="s">
        <v>697</v>
      </c>
      <c r="B42" s="166"/>
      <c r="C42" s="167"/>
      <c r="D42" s="166"/>
      <c r="E42" s="166"/>
    </row>
    <row r="43" spans="1:5" ht="12.75" hidden="1" customHeight="1" outlineLevel="1">
      <c r="A43" s="166"/>
      <c r="B43" s="166" t="s">
        <v>698</v>
      </c>
      <c r="C43" s="167"/>
      <c r="D43" s="166"/>
      <c r="E43" s="166" t="s">
        <v>699</v>
      </c>
    </row>
    <row r="44" spans="1:5" ht="12.75" hidden="1" customHeight="1" outlineLevel="1">
      <c r="A44" s="166" t="s">
        <v>700</v>
      </c>
      <c r="B44" s="168">
        <v>-5666.27</v>
      </c>
      <c r="C44" s="167"/>
      <c r="D44" s="166" t="s">
        <v>701</v>
      </c>
      <c r="E44" s="168">
        <v>12293.23</v>
      </c>
    </row>
    <row r="45" spans="1:5" ht="12.75" hidden="1" customHeight="1" outlineLevel="1">
      <c r="A45" s="166" t="s">
        <v>702</v>
      </c>
      <c r="B45" s="168">
        <v>-3668.14</v>
      </c>
      <c r="C45" s="167"/>
      <c r="D45" s="166" t="s">
        <v>703</v>
      </c>
      <c r="E45" s="168">
        <v>11132.01</v>
      </c>
    </row>
    <row r="46" spans="1:5" ht="12.75" hidden="1" customHeight="1" outlineLevel="1">
      <c r="A46" s="166" t="s">
        <v>704</v>
      </c>
      <c r="B46" s="168">
        <v>-3809.12</v>
      </c>
      <c r="C46" s="167"/>
      <c r="D46" s="166" t="s">
        <v>705</v>
      </c>
      <c r="E46" s="168">
        <v>4732.9399999999996</v>
      </c>
    </row>
    <row r="47" spans="1:5" ht="12.75" hidden="1" customHeight="1" outlineLevel="1">
      <c r="A47" s="166" t="s">
        <v>706</v>
      </c>
      <c r="B47" s="168">
        <v>-3831.76</v>
      </c>
      <c r="C47" s="167"/>
      <c r="D47" s="166" t="s">
        <v>707</v>
      </c>
      <c r="E47" s="168">
        <v>16639.77</v>
      </c>
    </row>
    <row r="48" spans="1:5" ht="12.75" hidden="1" customHeight="1" outlineLevel="1">
      <c r="A48" s="166"/>
      <c r="B48" s="168"/>
      <c r="C48" s="167"/>
      <c r="D48" s="166"/>
      <c r="E48" s="166"/>
    </row>
    <row r="49" spans="1:5" ht="12.75" hidden="1" customHeight="1" outlineLevel="1">
      <c r="A49" s="166" t="s">
        <v>708</v>
      </c>
      <c r="B49" s="168">
        <f>-11476.84+0.07</f>
        <v>-11476.77</v>
      </c>
      <c r="C49" s="167"/>
      <c r="D49" s="166"/>
      <c r="E49" s="169" t="s">
        <v>709</v>
      </c>
    </row>
    <row r="50" spans="1:5" ht="12.75" hidden="1" customHeight="1" outlineLevel="1">
      <c r="A50" s="166" t="s">
        <v>710</v>
      </c>
      <c r="B50" s="168">
        <v>-17369.509999999998</v>
      </c>
      <c r="C50" s="167"/>
      <c r="D50" s="166"/>
      <c r="E50" s="166"/>
    </row>
    <row r="51" spans="1:5" ht="12.75" hidden="1" customHeight="1" outlineLevel="1">
      <c r="A51" s="166" t="s">
        <v>711</v>
      </c>
      <c r="B51" s="168">
        <v>-4914.01</v>
      </c>
      <c r="C51" s="167"/>
      <c r="D51" s="166"/>
      <c r="E51" s="166"/>
    </row>
    <row r="52" spans="1:5" ht="12.75" hidden="1" customHeight="1" outlineLevel="1">
      <c r="A52" s="166"/>
      <c r="B52" s="166"/>
      <c r="C52" s="167"/>
      <c r="D52" s="166"/>
      <c r="E52" s="166"/>
    </row>
    <row r="53" spans="1:5" ht="12.75" hidden="1" customHeight="1" outlineLevel="1">
      <c r="A53" s="166"/>
      <c r="B53" s="166"/>
      <c r="C53" s="167"/>
      <c r="D53" s="166"/>
      <c r="E53" s="166"/>
    </row>
    <row r="54" spans="1:5" ht="12.75" hidden="1" customHeight="1" outlineLevel="1">
      <c r="A54" s="166"/>
      <c r="B54" s="166"/>
      <c r="C54" s="167"/>
      <c r="D54" s="166"/>
      <c r="E54" s="166"/>
    </row>
    <row r="55" spans="1:5" ht="12.75" hidden="1" customHeight="1" outlineLevel="1"/>
    <row r="56" spans="1:5" ht="12.75" hidden="1" customHeight="1" outlineLevel="1"/>
    <row r="57" spans="1:5" ht="12.75" customHeight="1" collapsed="1"/>
  </sheetData>
  <mergeCells count="1">
    <mergeCell ref="A1:C1"/>
  </mergeCells>
  <pageMargins left="0.75" right="0.75" top="1" bottom="1" header="0.5" footer="0.5"/>
  <pageSetup scale="80" orientation="landscape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pageSetUpPr fitToPage="1"/>
  </sheetPr>
  <dimension ref="A1:G43"/>
  <sheetViews>
    <sheetView workbookViewId="0">
      <selection activeCell="E34" sqref="E34"/>
    </sheetView>
  </sheetViews>
  <sheetFormatPr defaultColWidth="9" defaultRowHeight="12.75" customHeight="1" outlineLevelRow="1"/>
  <cols>
    <col min="1" max="1" width="29" customWidth="1"/>
    <col min="2" max="2" width="18.81640625" style="151" customWidth="1"/>
    <col min="3" max="3" width="15.81640625" style="1" customWidth="1"/>
    <col min="4" max="4" width="9.81640625" customWidth="1"/>
    <col min="5" max="5" width="33.1796875" customWidth="1"/>
    <col min="6" max="6" width="10.81640625" hidden="1" customWidth="1" collapsed="1"/>
    <col min="7" max="7" width="10.81640625" customWidth="1" collapsed="1"/>
  </cols>
  <sheetData>
    <row r="1" spans="1:7" ht="12.75" customHeight="1">
      <c r="A1" s="473" t="s">
        <v>364</v>
      </c>
      <c r="B1" s="473"/>
      <c r="C1" s="473"/>
      <c r="D1" s="3">
        <f>'Cash at Bank-1020.100'!D1</f>
        <v>44835</v>
      </c>
    </row>
    <row r="2" spans="1:7" ht="12.75" customHeight="1">
      <c r="A2" s="2"/>
      <c r="B2" s="152"/>
      <c r="C2" s="4"/>
    </row>
    <row r="3" spans="1:7" ht="12.75" customHeight="1">
      <c r="A3" s="5" t="str">
        <f>'Accrued Payroll Taxes-2170'!A3</f>
        <v xml:space="preserve">BALANCE AS AT </v>
      </c>
      <c r="B3" s="152"/>
      <c r="C3" s="4"/>
    </row>
    <row r="6" spans="1:7" ht="12.75" customHeight="1">
      <c r="A6" s="5" t="s">
        <v>712</v>
      </c>
      <c r="B6" s="153"/>
      <c r="C6" s="22"/>
    </row>
    <row r="7" spans="1:7" ht="12.75" customHeight="1">
      <c r="A7" s="5"/>
      <c r="B7" s="153"/>
      <c r="C7" s="22"/>
      <c r="E7" s="6"/>
      <c r="F7" s="7">
        <v>44805</v>
      </c>
      <c r="G7" s="7">
        <f>F7+30</f>
        <v>44835</v>
      </c>
    </row>
    <row r="8" spans="1:7" ht="12.75" customHeight="1">
      <c r="A8" s="5" t="s">
        <v>713</v>
      </c>
      <c r="B8" s="153"/>
      <c r="C8" s="22">
        <f>'Trial Balance'!F67</f>
        <v>-2725</v>
      </c>
      <c r="E8" s="16" t="s">
        <v>382</v>
      </c>
      <c r="F8" s="116">
        <v>-2725</v>
      </c>
      <c r="G8" s="116">
        <f>$C$8</f>
        <v>-2725</v>
      </c>
    </row>
    <row r="9" spans="1:7" ht="12.75" customHeight="1">
      <c r="B9" s="154"/>
      <c r="C9" s="154"/>
      <c r="D9" s="28"/>
      <c r="E9" s="9"/>
      <c r="F9" s="12"/>
      <c r="G9" s="12"/>
    </row>
    <row r="10" spans="1:7" ht="12.75" customHeight="1">
      <c r="A10" s="5" t="s">
        <v>714</v>
      </c>
      <c r="B10" s="155" t="s">
        <v>715</v>
      </c>
      <c r="C10" s="1">
        <f>-12283.29-909-909-909-909+8228.29</f>
        <v>-7691</v>
      </c>
      <c r="D10" s="28"/>
      <c r="E10" s="53" t="s">
        <v>716</v>
      </c>
      <c r="F10" s="10">
        <v>-15919.29</v>
      </c>
      <c r="G10" s="10"/>
    </row>
    <row r="11" spans="1:7" ht="12.75" customHeight="1">
      <c r="D11" s="28"/>
      <c r="E11" s="53" t="s">
        <v>717</v>
      </c>
      <c r="F11" s="10">
        <v>4966</v>
      </c>
      <c r="G11" s="10"/>
    </row>
    <row r="12" spans="1:7" ht="12.75" customHeight="1">
      <c r="A12" s="5"/>
      <c r="B12" s="155"/>
      <c r="C12" s="155"/>
      <c r="D12" s="28"/>
      <c r="E12" s="66" t="s">
        <v>362</v>
      </c>
      <c r="F12" s="21">
        <v>-10953.29</v>
      </c>
      <c r="G12" s="21">
        <f t="shared" ref="G12" si="0">SUM(G10:G11)</f>
        <v>0</v>
      </c>
    </row>
    <row r="13" spans="1:7" ht="12.75" customHeight="1">
      <c r="B13" s="155"/>
      <c r="C13" s="156"/>
      <c r="D13" s="28"/>
      <c r="E13" s="9"/>
      <c r="F13" s="12"/>
      <c r="G13" s="12"/>
    </row>
    <row r="14" spans="1:7" ht="12.75" customHeight="1">
      <c r="B14" s="154"/>
      <c r="C14" s="154"/>
      <c r="D14" s="33"/>
      <c r="E14" s="16" t="s">
        <v>370</v>
      </c>
      <c r="F14" s="17">
        <v>-8228.2900000000009</v>
      </c>
      <c r="G14" s="17">
        <f t="shared" ref="G14" si="1">G12-G8</f>
        <v>2725</v>
      </c>
    </row>
    <row r="15" spans="1:7" ht="12.75" customHeight="1">
      <c r="B15" s="154"/>
      <c r="C15" s="154"/>
      <c r="D15" s="28"/>
    </row>
    <row r="16" spans="1:7" ht="12.75" hidden="1" customHeight="1" outlineLevel="1">
      <c r="A16" s="24" t="s">
        <v>718</v>
      </c>
      <c r="B16" s="154"/>
      <c r="C16" s="104"/>
      <c r="D16" s="28"/>
    </row>
    <row r="17" spans="1:5" ht="12.75" hidden="1" customHeight="1" outlineLevel="1">
      <c r="A17" s="452" t="s">
        <v>719</v>
      </c>
      <c r="B17" s="154">
        <v>4966</v>
      </c>
      <c r="C17" s="104"/>
      <c r="D17" s="28"/>
    </row>
    <row r="18" spans="1:5" ht="12.75" hidden="1" customHeight="1" outlineLevel="1">
      <c r="A18" s="452" t="s">
        <v>720</v>
      </c>
      <c r="B18" s="154">
        <v>4966</v>
      </c>
      <c r="C18" s="104"/>
      <c r="D18" s="28"/>
    </row>
    <row r="19" spans="1:5" ht="12.75" hidden="1" customHeight="1" outlineLevel="1">
      <c r="A19" s="452" t="s">
        <v>721</v>
      </c>
      <c r="B19" s="154">
        <v>4966</v>
      </c>
      <c r="C19" s="104"/>
      <c r="D19" s="28"/>
    </row>
    <row r="20" spans="1:5" ht="12.75" hidden="1" customHeight="1" outlineLevel="1">
      <c r="A20" s="452" t="s">
        <v>722</v>
      </c>
      <c r="B20" s="154">
        <v>4966</v>
      </c>
      <c r="C20" s="104"/>
      <c r="D20" s="28"/>
    </row>
    <row r="21" spans="1:5" ht="12.75" hidden="1" customHeight="1" outlineLevel="1">
      <c r="A21" s="157" t="s">
        <v>723</v>
      </c>
      <c r="B21" s="151">
        <v>-8963.2900000000009</v>
      </c>
      <c r="C21" s="104"/>
      <c r="D21" s="28"/>
    </row>
    <row r="22" spans="1:5" ht="12.75" hidden="1" customHeight="1" outlineLevel="1">
      <c r="A22" s="157"/>
      <c r="B22" s="158">
        <f>SUM(B17:B21)</f>
        <v>10900.71</v>
      </c>
      <c r="C22" s="104"/>
      <c r="D22" s="28"/>
      <c r="E22" s="75"/>
    </row>
    <row r="23" spans="1:5" ht="12.75" customHeight="1" collapsed="1">
      <c r="C23" s="104"/>
      <c r="D23" s="28"/>
      <c r="E23" s="75"/>
    </row>
    <row r="24" spans="1:5" ht="12.75" customHeight="1">
      <c r="A24" s="5" t="s">
        <v>718</v>
      </c>
      <c r="B24" s="153"/>
      <c r="C24" s="155">
        <f>SUM(B25:B29)</f>
        <v>4966</v>
      </c>
      <c r="D24" s="28"/>
    </row>
    <row r="25" spans="1:5" ht="12.75" customHeight="1">
      <c r="A25" s="452" t="s">
        <v>724</v>
      </c>
      <c r="B25" s="154">
        <v>4966</v>
      </c>
      <c r="C25" s="104"/>
      <c r="D25" s="28"/>
      <c r="E25" s="31"/>
    </row>
    <row r="26" spans="1:5" ht="12.75" customHeight="1">
      <c r="A26" s="452" t="s">
        <v>725</v>
      </c>
      <c r="B26" s="154"/>
      <c r="C26" s="104"/>
      <c r="D26" s="28"/>
      <c r="E26" s="99"/>
    </row>
    <row r="27" spans="1:5" ht="12.75" customHeight="1">
      <c r="A27" s="452" t="s">
        <v>726</v>
      </c>
      <c r="B27" s="154"/>
      <c r="C27" s="104"/>
      <c r="D27" s="28"/>
      <c r="E27" s="99"/>
    </row>
    <row r="28" spans="1:5" ht="12.75" customHeight="1">
      <c r="A28" s="452" t="s">
        <v>727</v>
      </c>
      <c r="B28" s="154"/>
      <c r="C28" s="155"/>
      <c r="D28" s="28"/>
    </row>
    <row r="29" spans="1:5" ht="12.75" customHeight="1">
      <c r="A29" s="452" t="s">
        <v>728</v>
      </c>
      <c r="B29" s="154"/>
      <c r="C29" s="104"/>
      <c r="E29" s="99"/>
    </row>
    <row r="30" spans="1:5" ht="12.75" customHeight="1">
      <c r="A30" s="5" t="s">
        <v>362</v>
      </c>
      <c r="B30" s="159"/>
      <c r="C30" s="155">
        <f>SUM(C10:C13)+C24</f>
        <v>-2725</v>
      </c>
    </row>
    <row r="31" spans="1:5" ht="12.75" customHeight="1">
      <c r="A31" s="98"/>
      <c r="B31" s="159"/>
      <c r="C31" s="104"/>
    </row>
    <row r="32" spans="1:5" ht="12.75" customHeight="1">
      <c r="A32" s="13" t="s">
        <v>370</v>
      </c>
      <c r="B32" s="14"/>
      <c r="C32" s="160">
        <f>C8-C30</f>
        <v>0</v>
      </c>
    </row>
    <row r="37" spans="1:1" ht="12.75" customHeight="1">
      <c r="A37" s="25" t="str">
        <f>'Cash in Hand-1020'!A26</f>
        <v>Charmaine Chan</v>
      </c>
    </row>
    <row r="38" spans="1:1" ht="12.75" customHeight="1">
      <c r="A38" s="5" t="s">
        <v>372</v>
      </c>
    </row>
    <row r="39" spans="1:1" ht="12.75" customHeight="1">
      <c r="A39" s="5"/>
    </row>
    <row r="40" spans="1:1" ht="12.75" customHeight="1">
      <c r="A40" s="5"/>
    </row>
    <row r="41" spans="1:1" ht="12.75" customHeight="1">
      <c r="A41" s="5"/>
    </row>
    <row r="42" spans="1:1" ht="12.75" customHeight="1">
      <c r="A42" s="25"/>
    </row>
    <row r="43" spans="1:1" ht="12.75" customHeight="1">
      <c r="A43" s="5" t="s">
        <v>373</v>
      </c>
    </row>
  </sheetData>
  <mergeCells count="1">
    <mergeCell ref="A1:C1"/>
  </mergeCells>
  <pageMargins left="0.75" right="0.75" top="1" bottom="1" header="0.5" footer="0.5"/>
  <pageSetup paperSize="9" scale="51" orientation="landscape"/>
  <headerFooter alignWithMargins="0"/>
  <drawing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>
    <pageSetUpPr fitToPage="1"/>
  </sheetPr>
  <dimension ref="A1:D75"/>
  <sheetViews>
    <sheetView topLeftCell="A13" workbookViewId="0">
      <selection activeCell="H40" sqref="H40"/>
    </sheetView>
  </sheetViews>
  <sheetFormatPr defaultColWidth="9" defaultRowHeight="12.75" customHeight="1"/>
  <cols>
    <col min="1" max="1" width="47.1796875" customWidth="1"/>
    <col min="2" max="2" width="15.81640625" customWidth="1"/>
    <col min="3" max="3" width="16.54296875" hidden="1" customWidth="1" collapsed="1"/>
    <col min="4" max="4" width="16.54296875" customWidth="1" collapsed="1"/>
  </cols>
  <sheetData>
    <row r="1" spans="1:4" ht="12.75" customHeight="1">
      <c r="A1" s="473" t="s">
        <v>364</v>
      </c>
      <c r="B1" s="473"/>
      <c r="C1" s="117"/>
      <c r="D1" s="117"/>
    </row>
    <row r="3" spans="1:4" ht="12.75" customHeight="1">
      <c r="A3" s="5" t="str">
        <f>+'Accrued FBT-2170.100'!A3</f>
        <v xml:space="preserve">BALANCE AS AT </v>
      </c>
      <c r="B3" s="3">
        <f>'Cash at Bank-1020.100'!D1</f>
        <v>44835</v>
      </c>
    </row>
    <row r="5" spans="1:4" ht="12.75" customHeight="1">
      <c r="A5" s="5" t="s">
        <v>729</v>
      </c>
    </row>
    <row r="6" spans="1:4" ht="12.75" customHeight="1">
      <c r="A6" s="5"/>
    </row>
    <row r="7" spans="1:4" ht="12.75" customHeight="1">
      <c r="A7" s="5" t="s">
        <v>730</v>
      </c>
    </row>
    <row r="8" spans="1:4" ht="12.75" customHeight="1">
      <c r="A8" s="5"/>
    </row>
    <row r="9" spans="1:4" ht="12.75" customHeight="1">
      <c r="A9" s="5" t="s">
        <v>731</v>
      </c>
    </row>
    <row r="11" spans="1:4" ht="12.75" customHeight="1">
      <c r="A11" s="5" t="s">
        <v>732</v>
      </c>
      <c r="B11" s="56">
        <f>'Trial Balance'!F68</f>
        <v>-715276.45</v>
      </c>
    </row>
    <row r="12" spans="1:4" ht="12.75" customHeight="1">
      <c r="A12" s="5" t="s">
        <v>733</v>
      </c>
      <c r="B12" s="139">
        <f>SUMIF(C16:YV16,B3,C21:YV21)</f>
        <v>-715276.45</v>
      </c>
    </row>
    <row r="13" spans="1:4" ht="12.75" customHeight="1">
      <c r="A13" s="5"/>
      <c r="B13" s="31"/>
    </row>
    <row r="14" spans="1:4" ht="12.75" customHeight="1">
      <c r="A14" s="120" t="s">
        <v>370</v>
      </c>
      <c r="B14" s="140">
        <f>B11-B12-B13</f>
        <v>0</v>
      </c>
    </row>
    <row r="16" spans="1:4" ht="12.75" customHeight="1">
      <c r="B16" s="6"/>
      <c r="C16" s="7">
        <v>44805</v>
      </c>
      <c r="D16" s="7">
        <f>C16+30</f>
        <v>44835</v>
      </c>
    </row>
    <row r="17" spans="1:4" ht="12.75" customHeight="1">
      <c r="B17" s="141" t="s">
        <v>734</v>
      </c>
      <c r="C17" s="142">
        <v>-726039.22</v>
      </c>
      <c r="D17" s="142">
        <f t="shared" ref="D17" si="0">C22</f>
        <v>-715276.45</v>
      </c>
    </row>
    <row r="18" spans="1:4" ht="12.75" customHeight="1">
      <c r="B18" s="124" t="s">
        <v>735</v>
      </c>
      <c r="C18" s="12">
        <v>-14342.03</v>
      </c>
      <c r="D18" s="12">
        <f>SUMIF($C$48:$YV$48,D16,$C$49:$YV$49)</f>
        <v>0</v>
      </c>
    </row>
    <row r="19" spans="1:4" ht="12.75" customHeight="1">
      <c r="B19" s="124" t="s">
        <v>736</v>
      </c>
      <c r="C19" s="12">
        <v>25104.799999999999</v>
      </c>
      <c r="D19" s="12">
        <f>SUMIF($C$52:$YV$52,D16,$C$53:$YV$53)</f>
        <v>0</v>
      </c>
    </row>
    <row r="20" spans="1:4" ht="12.75" customHeight="1">
      <c r="B20" s="124" t="s">
        <v>737</v>
      </c>
      <c r="C20" s="12"/>
      <c r="D20" s="12"/>
    </row>
    <row r="21" spans="1:4" s="5" customFormat="1" ht="12.75" customHeight="1">
      <c r="B21" s="126" t="s">
        <v>738</v>
      </c>
      <c r="C21" s="21">
        <v>-715276.45</v>
      </c>
      <c r="D21" s="21">
        <f t="shared" ref="D21" si="1">SUM(D17:D19)</f>
        <v>-715276.45</v>
      </c>
    </row>
    <row r="22" spans="1:4" ht="12.75" customHeight="1">
      <c r="B22" s="143" t="s">
        <v>739</v>
      </c>
      <c r="C22" s="10">
        <v>-715276.45</v>
      </c>
      <c r="D22" s="10">
        <f>$B$11</f>
        <v>-715276.45</v>
      </c>
    </row>
    <row r="23" spans="1:4" ht="12.75" customHeight="1">
      <c r="B23" s="144" t="s">
        <v>740</v>
      </c>
      <c r="C23" s="145">
        <v>0</v>
      </c>
      <c r="D23" s="145">
        <f t="shared" ref="D23" si="2">D22-D21</f>
        <v>0</v>
      </c>
    </row>
    <row r="24" spans="1:4" ht="12.75" customHeight="1">
      <c r="A24" s="5"/>
      <c r="B24" s="146" t="s">
        <v>741</v>
      </c>
      <c r="C24" s="147">
        <v>-715276.44866703509</v>
      </c>
      <c r="D24" s="147">
        <f>-'[13]All States'!$B$189</f>
        <v>-715276.44866703509</v>
      </c>
    </row>
    <row r="25" spans="1:4" ht="12.75" customHeight="1">
      <c r="A25" s="5"/>
      <c r="B25" s="132" t="s">
        <v>363</v>
      </c>
      <c r="C25" s="145">
        <v>1.3329648645594716E-3</v>
      </c>
      <c r="D25" s="145">
        <f t="shared" ref="D25" si="3">D24-D21</f>
        <v>1.3329648645594716E-3</v>
      </c>
    </row>
    <row r="26" spans="1:4" ht="12.75" customHeight="1">
      <c r="A26" s="5"/>
    </row>
    <row r="27" spans="1:4" ht="12.75" customHeight="1">
      <c r="A27" s="5" t="s">
        <v>742</v>
      </c>
      <c r="B27" s="119"/>
      <c r="C27" s="135"/>
      <c r="D27" s="135"/>
    </row>
    <row r="28" spans="1:4" ht="12.75" customHeight="1">
      <c r="C28" s="135"/>
      <c r="D28" s="135"/>
    </row>
    <row r="29" spans="1:4" ht="12.75" customHeight="1">
      <c r="A29" s="5" t="s">
        <v>732</v>
      </c>
      <c r="B29" s="122">
        <f>'Trial Balance'!F69</f>
        <v>-88303.84</v>
      </c>
      <c r="C29" s="135"/>
      <c r="D29" s="135"/>
    </row>
    <row r="30" spans="1:4" ht="12.75" customHeight="1">
      <c r="A30" s="5" t="s">
        <v>733</v>
      </c>
      <c r="B30" s="148">
        <f>SUMIF(C34:YV34,B3,C39:YV39)</f>
        <v>-88303.84</v>
      </c>
      <c r="C30" s="135"/>
      <c r="D30" s="135"/>
    </row>
    <row r="31" spans="1:4" ht="12.75" customHeight="1">
      <c r="A31" s="120" t="s">
        <v>370</v>
      </c>
      <c r="B31" s="149">
        <f>B29-B30</f>
        <v>0</v>
      </c>
      <c r="C31" s="135"/>
      <c r="D31" s="135"/>
    </row>
    <row r="32" spans="1:4" ht="12.75" customHeight="1">
      <c r="A32" s="150"/>
      <c r="B32" s="122"/>
      <c r="C32" s="135"/>
      <c r="D32" s="135"/>
    </row>
    <row r="33" spans="1:4" ht="12.75" customHeight="1">
      <c r="A33" s="24"/>
      <c r="B33" s="119"/>
      <c r="C33" s="135"/>
      <c r="D33" s="135"/>
    </row>
    <row r="34" spans="1:4" ht="12.75" customHeight="1">
      <c r="B34" s="16"/>
      <c r="C34" s="7">
        <v>44805</v>
      </c>
      <c r="D34" s="7">
        <f t="shared" ref="D34" si="4">D16</f>
        <v>44835</v>
      </c>
    </row>
    <row r="35" spans="1:4" ht="12.75" customHeight="1">
      <c r="B35" s="124" t="s">
        <v>734</v>
      </c>
      <c r="C35" s="142">
        <v>-77995.990000000005</v>
      </c>
      <c r="D35" s="142">
        <f t="shared" ref="D35" si="5">C40</f>
        <v>-88303.84</v>
      </c>
    </row>
    <row r="36" spans="1:4" ht="12.75" customHeight="1">
      <c r="B36" s="124" t="s">
        <v>735</v>
      </c>
      <c r="C36" s="9">
        <v>-14557.73</v>
      </c>
      <c r="D36" s="9">
        <f>SUMIF($C$59:$YV$59,D34,$C$60:$YV$60)</f>
        <v>0</v>
      </c>
    </row>
    <row r="37" spans="1:4" ht="12.75" customHeight="1">
      <c r="B37" s="124" t="s">
        <v>736</v>
      </c>
      <c r="C37" s="9">
        <v>4249.88</v>
      </c>
      <c r="D37" s="9">
        <f>SUMIF($C$63:$YV$63,D34,$C$64:$YV$64)</f>
        <v>0</v>
      </c>
    </row>
    <row r="38" spans="1:4" ht="12.75" customHeight="1">
      <c r="B38" s="124" t="s">
        <v>737</v>
      </c>
      <c r="C38" s="9"/>
      <c r="D38" s="9"/>
    </row>
    <row r="39" spans="1:4" ht="12.75" customHeight="1">
      <c r="B39" s="126" t="s">
        <v>738</v>
      </c>
      <c r="C39" s="21">
        <v>-88303.84</v>
      </c>
      <c r="D39" s="21">
        <f t="shared" ref="D39" si="6">SUM(D35:D38)</f>
        <v>-88303.84</v>
      </c>
    </row>
    <row r="40" spans="1:4" ht="12.75" customHeight="1">
      <c r="B40" s="143" t="s">
        <v>739</v>
      </c>
      <c r="C40" s="10">
        <v>-88303.84</v>
      </c>
      <c r="D40" s="10">
        <f>$B$29</f>
        <v>-88303.84</v>
      </c>
    </row>
    <row r="41" spans="1:4" ht="12.75" customHeight="1">
      <c r="B41" s="144" t="s">
        <v>740</v>
      </c>
      <c r="C41" s="145">
        <v>0</v>
      </c>
      <c r="D41" s="145">
        <f t="shared" ref="D41" si="7">(D40-D39)</f>
        <v>0</v>
      </c>
    </row>
    <row r="42" spans="1:4" ht="12.75" customHeight="1">
      <c r="B42" s="146" t="s">
        <v>741</v>
      </c>
      <c r="C42" s="147">
        <v>-88303.836389616496</v>
      </c>
      <c r="D42" s="147">
        <f>-'[13]All States'!$B$190</f>
        <v>-88303.836389616496</v>
      </c>
    </row>
    <row r="43" spans="1:4" ht="12.75" customHeight="1">
      <c r="B43" s="132" t="s">
        <v>363</v>
      </c>
      <c r="C43" s="145">
        <v>-3.6103835009271279E-3</v>
      </c>
      <c r="D43" s="145">
        <f t="shared" ref="D43" si="8">D39-D42</f>
        <v>-3.6103835009271279E-3</v>
      </c>
    </row>
    <row r="46" spans="1:4" s="5" customFormat="1" ht="12.75" customHeight="1">
      <c r="B46" s="453" t="s">
        <v>743</v>
      </c>
    </row>
    <row r="47" spans="1:4" s="5" customFormat="1" ht="12.75" customHeight="1">
      <c r="B47" s="5" t="s">
        <v>744</v>
      </c>
    </row>
    <row r="48" spans="1:4" s="5" customFormat="1" ht="12.75" customHeight="1">
      <c r="C48" s="61">
        <v>44805</v>
      </c>
      <c r="D48" s="61">
        <f t="shared" ref="D48" si="9">D34</f>
        <v>44835</v>
      </c>
    </row>
    <row r="49" spans="1:4" ht="12.75" customHeight="1">
      <c r="C49" s="136">
        <v>-14342.03</v>
      </c>
      <c r="D49" s="136"/>
    </row>
    <row r="51" spans="1:4" s="5" customFormat="1" ht="12.75" customHeight="1">
      <c r="B51" s="5" t="s">
        <v>699</v>
      </c>
    </row>
    <row r="52" spans="1:4" s="5" customFormat="1" ht="12.75" customHeight="1">
      <c r="C52" s="61">
        <v>44805</v>
      </c>
      <c r="D52" s="61">
        <f t="shared" ref="D52" si="10">D34</f>
        <v>44835</v>
      </c>
    </row>
    <row r="53" spans="1:4" ht="12.75" customHeight="1">
      <c r="C53" s="136">
        <v>25104.799999999999</v>
      </c>
      <c r="D53" s="136"/>
    </row>
    <row r="55" spans="1:4" ht="12.75" customHeight="1">
      <c r="A55" s="473" t="s">
        <v>745</v>
      </c>
      <c r="B55" s="473"/>
    </row>
    <row r="57" spans="1:4" ht="12.75" customHeight="1">
      <c r="B57" s="453" t="s">
        <v>746</v>
      </c>
      <c r="C57" s="5"/>
      <c r="D57" s="5"/>
    </row>
    <row r="58" spans="1:4" ht="12.75" customHeight="1">
      <c r="B58" s="5" t="s">
        <v>744</v>
      </c>
      <c r="C58" s="5"/>
      <c r="D58" s="5"/>
    </row>
    <row r="59" spans="1:4" s="5" customFormat="1" ht="12.75" customHeight="1">
      <c r="C59" s="61">
        <v>44805</v>
      </c>
      <c r="D59" s="61">
        <f t="shared" ref="D59" si="11">D48</f>
        <v>44835</v>
      </c>
    </row>
    <row r="60" spans="1:4" ht="12.75" customHeight="1">
      <c r="C60" s="136">
        <v>-14557.73</v>
      </c>
      <c r="D60" s="136"/>
    </row>
    <row r="62" spans="1:4" ht="12.75" customHeight="1">
      <c r="B62" s="5" t="s">
        <v>699</v>
      </c>
      <c r="C62" s="5"/>
      <c r="D62" s="5"/>
    </row>
    <row r="63" spans="1:4" s="5" customFormat="1" ht="12.75" customHeight="1">
      <c r="C63" s="61">
        <v>44805</v>
      </c>
      <c r="D63" s="61">
        <f t="shared" ref="D63" si="12">D48</f>
        <v>44835</v>
      </c>
    </row>
    <row r="64" spans="1:4" ht="12.75" customHeight="1">
      <c r="C64" s="136">
        <v>4249.88</v>
      </c>
      <c r="D64" s="136"/>
    </row>
    <row r="66" spans="1:4" ht="12.75" customHeight="1">
      <c r="C66" s="135"/>
      <c r="D66" s="135"/>
    </row>
    <row r="69" spans="1:4" ht="12.75" customHeight="1">
      <c r="A69" s="25" t="str">
        <f>'Cash in Hand-1020'!A26</f>
        <v>Charmaine Chan</v>
      </c>
    </row>
    <row r="70" spans="1:4" ht="12.75" customHeight="1">
      <c r="A70" s="5" t="s">
        <v>372</v>
      </c>
    </row>
    <row r="71" spans="1:4" ht="12.75" customHeight="1">
      <c r="A71" s="5"/>
    </row>
    <row r="72" spans="1:4" ht="12.75" customHeight="1">
      <c r="A72" s="5"/>
    </row>
    <row r="73" spans="1:4" ht="12.75" customHeight="1">
      <c r="A73" s="5"/>
    </row>
    <row r="74" spans="1:4" ht="12.75" customHeight="1">
      <c r="A74" s="25"/>
    </row>
    <row r="75" spans="1:4" ht="12.75" customHeight="1">
      <c r="A75" s="5" t="s">
        <v>373</v>
      </c>
    </row>
  </sheetData>
  <mergeCells count="2">
    <mergeCell ref="A1:B1"/>
    <mergeCell ref="A55:B55"/>
  </mergeCells>
  <pageMargins left="0.75" right="0.75" top="1" bottom="1" header="0.5" footer="0.5"/>
  <pageSetup paperSize="9" scale="78" fitToHeight="0" orientation="portrait"/>
  <headerFooter alignWithMargins="0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pageSetUpPr fitToPage="1"/>
  </sheetPr>
  <dimension ref="A1:D76"/>
  <sheetViews>
    <sheetView topLeftCell="A28" workbookViewId="0">
      <selection activeCell="D35" sqref="D35"/>
    </sheetView>
  </sheetViews>
  <sheetFormatPr defaultColWidth="10.81640625" defaultRowHeight="12.75" customHeight="1"/>
  <cols>
    <col min="1" max="1" width="48.1796875" customWidth="1"/>
    <col min="2" max="2" width="15.81640625" customWidth="1"/>
    <col min="3" max="3" width="15.81640625" hidden="1" customWidth="1"/>
    <col min="4" max="4" width="15.81640625" customWidth="1"/>
  </cols>
  <sheetData>
    <row r="1" spans="1:4" ht="12.75" customHeight="1">
      <c r="A1" s="473" t="s">
        <v>364</v>
      </c>
      <c r="B1" s="473"/>
      <c r="C1" s="117"/>
      <c r="D1" s="117"/>
    </row>
    <row r="3" spans="1:4" ht="12.75" customHeight="1">
      <c r="A3" s="5" t="str">
        <f>'AL&amp;Loading-2180.100&amp;2180.200'!A3</f>
        <v xml:space="preserve">BALANCE AS AT </v>
      </c>
      <c r="B3" s="3">
        <f>'Cash at Bank-1020.100'!D1</f>
        <v>44835</v>
      </c>
    </row>
    <row r="5" spans="1:4" ht="12.75" customHeight="1">
      <c r="A5" s="5" t="s">
        <v>747</v>
      </c>
    </row>
    <row r="6" spans="1:4" ht="12.75" customHeight="1">
      <c r="A6" s="5"/>
    </row>
    <row r="7" spans="1:4" ht="12.75" customHeight="1">
      <c r="A7" s="5" t="s">
        <v>748</v>
      </c>
    </row>
    <row r="8" spans="1:4" ht="12.75" customHeight="1">
      <c r="A8" s="5"/>
    </row>
    <row r="9" spans="1:4" ht="12.75" customHeight="1">
      <c r="A9" s="5" t="s">
        <v>749</v>
      </c>
      <c r="C9" s="118"/>
      <c r="D9" s="118"/>
    </row>
    <row r="10" spans="1:4" ht="12.75" customHeight="1">
      <c r="B10" s="119"/>
    </row>
    <row r="11" spans="1:4" ht="12.75" customHeight="1">
      <c r="A11" s="5" t="s">
        <v>732</v>
      </c>
      <c r="B11" s="56">
        <f>'Trial Balance'!F70</f>
        <v>-487725.03</v>
      </c>
    </row>
    <row r="12" spans="1:4" ht="12.75" customHeight="1">
      <c r="A12" s="5" t="s">
        <v>750</v>
      </c>
      <c r="B12" s="82">
        <f>SUMIF(C16:YV16,B3,C21:YV21)</f>
        <v>-487725.03</v>
      </c>
    </row>
    <row r="13" spans="1:4" ht="12.75" customHeight="1">
      <c r="A13" s="120" t="s">
        <v>370</v>
      </c>
      <c r="B13" s="121">
        <f>B11-B12</f>
        <v>0</v>
      </c>
    </row>
    <row r="14" spans="1:4" ht="12.75" customHeight="1">
      <c r="A14" s="122"/>
      <c r="B14" s="119"/>
    </row>
    <row r="16" spans="1:4" ht="12.75" customHeight="1">
      <c r="B16" s="123"/>
      <c r="C16" s="7">
        <v>44805</v>
      </c>
      <c r="D16" s="7">
        <f>C16+30</f>
        <v>44835</v>
      </c>
    </row>
    <row r="17" spans="1:4" ht="12.75" customHeight="1">
      <c r="B17" s="124" t="s">
        <v>734</v>
      </c>
      <c r="C17" s="125">
        <v>-472792.22</v>
      </c>
      <c r="D17" s="125">
        <f t="shared" ref="D17" si="0">C22</f>
        <v>-487725.03</v>
      </c>
    </row>
    <row r="18" spans="1:4" ht="12.75" customHeight="1">
      <c r="B18" s="124" t="s">
        <v>735</v>
      </c>
      <c r="C18" s="12">
        <v>-14932.81</v>
      </c>
      <c r="D18" s="12">
        <f>SUMIF($C$49:$YV$49,D16,$C$50:$YV$50)</f>
        <v>0</v>
      </c>
    </row>
    <row r="19" spans="1:4" ht="12.75" customHeight="1">
      <c r="B19" s="124" t="s">
        <v>736</v>
      </c>
      <c r="C19" s="12">
        <v>0</v>
      </c>
      <c r="D19" s="12">
        <f>SUMIF($C$53:$YV$53,D16,$C$54:$YV$54)</f>
        <v>0</v>
      </c>
    </row>
    <row r="20" spans="1:4" s="5" customFormat="1" ht="12.75" customHeight="1">
      <c r="B20" s="124" t="s">
        <v>737</v>
      </c>
      <c r="C20" s="12"/>
      <c r="D20" s="12"/>
    </row>
    <row r="21" spans="1:4" ht="12.75" customHeight="1">
      <c r="B21" s="126" t="s">
        <v>738</v>
      </c>
      <c r="C21" s="21">
        <v>-487725.02999999997</v>
      </c>
      <c r="D21" s="21">
        <f t="shared" ref="D21" si="1">SUM(D17:D20)</f>
        <v>-487725.03</v>
      </c>
    </row>
    <row r="22" spans="1:4" ht="12.75" customHeight="1">
      <c r="B22" s="127" t="s">
        <v>739</v>
      </c>
      <c r="C22" s="116">
        <v>-487725.03</v>
      </c>
      <c r="D22" s="116">
        <f>$B$11</f>
        <v>-487725.03</v>
      </c>
    </row>
    <row r="23" spans="1:4" ht="12.75" customHeight="1">
      <c r="B23" s="128" t="s">
        <v>740</v>
      </c>
      <c r="C23" s="129">
        <v>0</v>
      </c>
      <c r="D23" s="129">
        <f t="shared" ref="D23" si="2">D22-D21</f>
        <v>0</v>
      </c>
    </row>
    <row r="24" spans="1:4" ht="12.75" customHeight="1">
      <c r="B24" s="130" t="s">
        <v>751</v>
      </c>
      <c r="C24" s="131">
        <v>-487725.02707970259</v>
      </c>
      <c r="D24" s="131">
        <f>-'[14]LSL Calculation FY22'!$F$38</f>
        <v>-487725.02707970259</v>
      </c>
    </row>
    <row r="25" spans="1:4" ht="12.75" customHeight="1">
      <c r="B25" s="132" t="s">
        <v>363</v>
      </c>
      <c r="C25" s="133">
        <v>2.9202974401414394E-3</v>
      </c>
      <c r="D25" s="133">
        <f t="shared" ref="D25" si="3">D24-D22</f>
        <v>2.9202974401414394E-3</v>
      </c>
    </row>
    <row r="26" spans="1:4" ht="12.75" customHeight="1">
      <c r="B26" s="134"/>
      <c r="C26" s="60"/>
      <c r="D26" s="60"/>
    </row>
    <row r="27" spans="1:4" ht="12.75" customHeight="1">
      <c r="A27" s="5" t="s">
        <v>752</v>
      </c>
      <c r="B27" s="119"/>
      <c r="C27" s="122"/>
      <c r="D27" s="122"/>
    </row>
    <row r="29" spans="1:4" ht="12.75" customHeight="1">
      <c r="A29" s="5" t="s">
        <v>732</v>
      </c>
      <c r="B29" s="56">
        <f>'Trial Balance'!F71</f>
        <v>-140154.12</v>
      </c>
    </row>
    <row r="30" spans="1:4" ht="12.75" customHeight="1">
      <c r="A30" s="5" t="s">
        <v>753</v>
      </c>
      <c r="B30" s="82">
        <f>SUMIF(C34:YV34,B3,C39:YV39)</f>
        <v>-140154.12</v>
      </c>
    </row>
    <row r="31" spans="1:4" ht="12.75" customHeight="1">
      <c r="A31" s="120" t="s">
        <v>370</v>
      </c>
      <c r="B31" s="121">
        <f>B29-B30</f>
        <v>0</v>
      </c>
    </row>
    <row r="32" spans="1:4" ht="12.75" customHeight="1">
      <c r="A32" s="122"/>
    </row>
    <row r="33" spans="1:4" ht="12.75" customHeight="1">
      <c r="A33" s="122"/>
    </row>
    <row r="34" spans="1:4" ht="12.75" customHeight="1">
      <c r="B34" s="123"/>
      <c r="C34" s="7">
        <v>44805</v>
      </c>
      <c r="D34" s="7">
        <f t="shared" ref="D34" si="4">D16</f>
        <v>44835</v>
      </c>
    </row>
    <row r="35" spans="1:4" ht="12.75" customHeight="1">
      <c r="B35" s="124" t="s">
        <v>734</v>
      </c>
      <c r="C35" s="52">
        <v>-149266.13</v>
      </c>
      <c r="D35" s="52">
        <f t="shared" ref="D35" si="5">C40</f>
        <v>-140154.12</v>
      </c>
    </row>
    <row r="36" spans="1:4" ht="12.75" customHeight="1">
      <c r="B36" s="124" t="s">
        <v>735</v>
      </c>
      <c r="C36" s="12">
        <v>9112.01</v>
      </c>
      <c r="D36" s="12">
        <f>SUMIF($C$62:$YV$62,D34,$C$63:$YV$63)</f>
        <v>0</v>
      </c>
    </row>
    <row r="37" spans="1:4" ht="12.75" customHeight="1">
      <c r="B37" s="124" t="s">
        <v>736</v>
      </c>
      <c r="C37" s="12">
        <v>0</v>
      </c>
      <c r="D37" s="12">
        <f>SUMIF($C$66:$YV$66,D34,$C$67:$YV$67)</f>
        <v>0</v>
      </c>
    </row>
    <row r="38" spans="1:4" ht="12.75" customHeight="1">
      <c r="B38" s="124" t="s">
        <v>737</v>
      </c>
      <c r="C38" s="12"/>
      <c r="D38" s="12"/>
    </row>
    <row r="39" spans="1:4" ht="12.75" customHeight="1">
      <c r="B39" s="126" t="s">
        <v>738</v>
      </c>
      <c r="C39" s="21">
        <v>-140154.12</v>
      </c>
      <c r="D39" s="21">
        <f t="shared" ref="D39" si="6">SUM(D35:D38)</f>
        <v>-140154.12</v>
      </c>
    </row>
    <row r="40" spans="1:4" ht="12.75" customHeight="1">
      <c r="B40" s="127" t="s">
        <v>739</v>
      </c>
      <c r="C40" s="116">
        <v>-140154.12</v>
      </c>
      <c r="D40" s="116">
        <f>$B$29</f>
        <v>-140154.12</v>
      </c>
    </row>
    <row r="41" spans="1:4" ht="12.75" customHeight="1">
      <c r="B41" s="128" t="s">
        <v>740</v>
      </c>
      <c r="C41" s="129">
        <v>0</v>
      </c>
      <c r="D41" s="129">
        <f t="shared" ref="D41" si="7">D40-D39</f>
        <v>0</v>
      </c>
    </row>
    <row r="42" spans="1:4" ht="12.75" customHeight="1">
      <c r="B42" s="130" t="s">
        <v>751</v>
      </c>
      <c r="C42" s="131">
        <v>-140154.11917803742</v>
      </c>
      <c r="D42" s="131">
        <f>-'[14]LSL Calculation FY22'!$F$39</f>
        <v>-140154.11917803742</v>
      </c>
    </row>
    <row r="43" spans="1:4" ht="12.75" customHeight="1">
      <c r="B43" s="132" t="s">
        <v>363</v>
      </c>
      <c r="C43" s="133">
        <v>8.2196257426403463E-4</v>
      </c>
      <c r="D43" s="133">
        <f t="shared" ref="D43" si="8">D42-D39</f>
        <v>8.2196257426403463E-4</v>
      </c>
    </row>
    <row r="47" spans="1:4" ht="12.75" customHeight="1">
      <c r="B47" s="453" t="s">
        <v>754</v>
      </c>
      <c r="C47" s="5"/>
      <c r="D47" s="5"/>
    </row>
    <row r="48" spans="1:4" ht="12.75" customHeight="1">
      <c r="B48" s="5" t="s">
        <v>744</v>
      </c>
      <c r="C48" s="5"/>
      <c r="D48" s="5"/>
    </row>
    <row r="49" spans="1:4" s="5" customFormat="1" ht="12.75" customHeight="1">
      <c r="C49" s="61">
        <v>44805</v>
      </c>
      <c r="D49" s="61">
        <f t="shared" ref="D49" si="9">D34</f>
        <v>44835</v>
      </c>
    </row>
    <row r="50" spans="1:4" ht="12.75" customHeight="1">
      <c r="C50" s="136">
        <v>-14932.81</v>
      </c>
      <c r="D50" s="136"/>
    </row>
    <row r="52" spans="1:4" ht="12.75" customHeight="1">
      <c r="B52" s="5" t="s">
        <v>699</v>
      </c>
      <c r="C52" s="5"/>
      <c r="D52" s="5"/>
    </row>
    <row r="53" spans="1:4" s="5" customFormat="1" ht="12.75" customHeight="1">
      <c r="C53" s="61">
        <v>44805</v>
      </c>
      <c r="D53" s="61">
        <f t="shared" ref="D53" si="10">D34</f>
        <v>44835</v>
      </c>
    </row>
    <row r="54" spans="1:4" ht="12.75" customHeight="1">
      <c r="C54" s="136"/>
      <c r="D54" s="136"/>
    </row>
    <row r="56" spans="1:4" ht="12.75" customHeight="1">
      <c r="A56" s="479" t="s">
        <v>755</v>
      </c>
      <c r="B56" s="479"/>
    </row>
    <row r="57" spans="1:4" ht="12.75" customHeight="1">
      <c r="A57" s="75"/>
      <c r="B57" s="75"/>
      <c r="C57" s="75"/>
      <c r="D57" s="75"/>
    </row>
    <row r="58" spans="1:4" ht="12.75" customHeight="1">
      <c r="A58" s="138"/>
      <c r="B58" s="138"/>
      <c r="C58" s="138"/>
      <c r="D58" s="138"/>
    </row>
    <row r="60" spans="1:4" ht="12.75" customHeight="1">
      <c r="B60" s="453" t="s">
        <v>756</v>
      </c>
      <c r="C60" s="5"/>
      <c r="D60" s="5"/>
    </row>
    <row r="61" spans="1:4" ht="12.75" customHeight="1">
      <c r="B61" s="5" t="s">
        <v>744</v>
      </c>
      <c r="C61" s="5"/>
      <c r="D61" s="5"/>
    </row>
    <row r="62" spans="1:4" s="5" customFormat="1" ht="12.75" customHeight="1">
      <c r="C62" s="61">
        <v>44805</v>
      </c>
      <c r="D62" s="61">
        <f t="shared" ref="D62" si="11">D34</f>
        <v>44835</v>
      </c>
    </row>
    <row r="63" spans="1:4" ht="12.75" customHeight="1">
      <c r="C63" s="136">
        <v>9112.01</v>
      </c>
      <c r="D63" s="136"/>
    </row>
    <row r="65" spans="1:4" ht="12.75" customHeight="1">
      <c r="B65" s="5" t="s">
        <v>699</v>
      </c>
      <c r="C65" s="5"/>
      <c r="D65" s="5"/>
    </row>
    <row r="66" spans="1:4" s="5" customFormat="1" ht="12.75" customHeight="1">
      <c r="C66" s="61">
        <v>44805</v>
      </c>
      <c r="D66" s="61">
        <f t="shared" ref="D66" si="12">D34</f>
        <v>44835</v>
      </c>
    </row>
    <row r="67" spans="1:4" ht="12.75" customHeight="1">
      <c r="C67" s="136"/>
      <c r="D67" s="136"/>
    </row>
    <row r="70" spans="1:4" ht="12.75" customHeight="1">
      <c r="A70" s="25" t="str">
        <f>'Cash in Hand-1020'!A26</f>
        <v>Charmaine Chan</v>
      </c>
    </row>
    <row r="71" spans="1:4" ht="12.75" customHeight="1">
      <c r="A71" s="5" t="s">
        <v>372</v>
      </c>
    </row>
    <row r="72" spans="1:4" ht="12.75" customHeight="1">
      <c r="A72" s="5"/>
    </row>
    <row r="73" spans="1:4" ht="12.75" customHeight="1">
      <c r="A73" s="5"/>
    </row>
    <row r="74" spans="1:4" ht="12.75" customHeight="1">
      <c r="A74" s="5"/>
    </row>
    <row r="75" spans="1:4" ht="12.75" customHeight="1">
      <c r="A75" s="25"/>
    </row>
    <row r="76" spans="1:4" ht="12.75" customHeight="1">
      <c r="A76" s="5" t="s">
        <v>373</v>
      </c>
    </row>
  </sheetData>
  <mergeCells count="2">
    <mergeCell ref="A1:B1"/>
    <mergeCell ref="A56:B56"/>
  </mergeCells>
  <pageMargins left="0.75" right="0.75" top="1" bottom="1" header="0.5" footer="0.5"/>
  <pageSetup paperSize="9" scale="74" orientation="portrait"/>
  <headerFooter alignWithMargins="0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pageSetUpPr fitToPage="1"/>
  </sheetPr>
  <dimension ref="A1:J42"/>
  <sheetViews>
    <sheetView workbookViewId="0">
      <selection activeCell="H21" sqref="H21"/>
    </sheetView>
  </sheetViews>
  <sheetFormatPr defaultColWidth="9" defaultRowHeight="12.75" customHeight="1" outlineLevelRow="1"/>
  <cols>
    <col min="1" max="1" width="26.81640625" customWidth="1"/>
    <col min="2" max="4" width="11.54296875" customWidth="1"/>
    <col min="5" max="5" width="14" style="1" customWidth="1"/>
    <col min="6" max="6" width="11.54296875" customWidth="1"/>
    <col min="8" max="8" width="24.81640625" customWidth="1"/>
    <col min="9" max="9" width="11.26953125" hidden="1" customWidth="1" collapsed="1"/>
    <col min="10" max="10" width="11.26953125" customWidth="1" collapsed="1"/>
  </cols>
  <sheetData>
    <row r="1" spans="1:10" ht="12.75" customHeight="1">
      <c r="A1" s="473" t="s">
        <v>364</v>
      </c>
      <c r="B1" s="473"/>
      <c r="C1" s="473"/>
      <c r="D1" s="473"/>
      <c r="E1" s="473"/>
      <c r="H1" s="3">
        <f>'Cash at Bank-1020.100'!D1</f>
        <v>44835</v>
      </c>
    </row>
    <row r="2" spans="1:10" ht="12.75" customHeight="1">
      <c r="A2" s="2"/>
      <c r="B2" s="2"/>
      <c r="C2" s="2"/>
      <c r="D2" s="2"/>
      <c r="E2" s="4"/>
    </row>
    <row r="3" spans="1:10" ht="12.75" customHeight="1">
      <c r="A3" s="5" t="str">
        <f>+'LSL-2180.300&amp;2180.400'!A3</f>
        <v xml:space="preserve">BALANCE AS AT </v>
      </c>
      <c r="B3" s="5"/>
      <c r="C3" s="2"/>
      <c r="D3" s="2"/>
      <c r="E3" s="4"/>
    </row>
    <row r="5" spans="1:10" ht="12.75" customHeight="1">
      <c r="A5" s="5" t="s">
        <v>757</v>
      </c>
      <c r="B5" s="5"/>
    </row>
    <row r="6" spans="1:10" ht="12.75" customHeight="1">
      <c r="A6" s="5"/>
      <c r="B6" s="5"/>
      <c r="H6" s="6"/>
      <c r="I6" s="7">
        <v>44805</v>
      </c>
      <c r="J6" s="7">
        <f>I6+30</f>
        <v>44835</v>
      </c>
    </row>
    <row r="7" spans="1:10" ht="12.75" customHeight="1">
      <c r="A7" s="5" t="s">
        <v>758</v>
      </c>
      <c r="B7" s="5"/>
      <c r="E7" s="22">
        <f>'Trial Balance'!F72</f>
        <v>0</v>
      </c>
      <c r="H7" s="16" t="s">
        <v>759</v>
      </c>
      <c r="I7" s="116">
        <v>0</v>
      </c>
      <c r="J7" s="116">
        <f>$E$7</f>
        <v>0</v>
      </c>
    </row>
    <row r="8" spans="1:10" ht="12.75" customHeight="1">
      <c r="A8" s="5"/>
      <c r="B8" s="5"/>
      <c r="H8" s="53" t="s">
        <v>467</v>
      </c>
      <c r="I8" s="10">
        <v>0</v>
      </c>
      <c r="J8" s="10">
        <f t="shared" ref="J8" si="0">I10</f>
        <v>0</v>
      </c>
    </row>
    <row r="9" spans="1:10" ht="12.75" customHeight="1">
      <c r="A9" s="108"/>
      <c r="B9" s="109" t="s">
        <v>760</v>
      </c>
      <c r="C9" s="109" t="s">
        <v>761</v>
      </c>
      <c r="D9" s="109" t="s">
        <v>762</v>
      </c>
      <c r="E9" s="109" t="s">
        <v>362</v>
      </c>
      <c r="F9" s="109" t="s">
        <v>763</v>
      </c>
      <c r="H9" s="53" t="s">
        <v>764</v>
      </c>
      <c r="I9" s="10">
        <v>0</v>
      </c>
      <c r="J9" s="10">
        <f t="shared" ref="J9" si="1">SUMIF($A$12:$A$23,J6,$E$12:$E$23)</f>
        <v>0</v>
      </c>
    </row>
    <row r="10" spans="1:10" ht="12.75" customHeight="1">
      <c r="A10" s="108"/>
      <c r="B10" s="109" t="s">
        <v>872</v>
      </c>
      <c r="C10" s="109" t="s">
        <v>872</v>
      </c>
      <c r="D10" s="109" t="s">
        <v>872</v>
      </c>
      <c r="E10" s="109"/>
      <c r="F10" s="109"/>
      <c r="H10" s="16" t="s">
        <v>765</v>
      </c>
      <c r="I10" s="116">
        <v>0</v>
      </c>
      <c r="J10" s="116">
        <f t="shared" ref="J10" si="2">J8+J9</f>
        <v>0</v>
      </c>
    </row>
    <row r="11" spans="1:10" ht="12.75" customHeight="1">
      <c r="A11" s="108" t="s">
        <v>628</v>
      </c>
      <c r="B11" s="109"/>
      <c r="C11" s="109"/>
      <c r="D11" s="110"/>
      <c r="E11" s="109">
        <v>0</v>
      </c>
      <c r="F11" s="110">
        <f>SUM(B11:E11)+F10</f>
        <v>0</v>
      </c>
      <c r="H11" s="53"/>
      <c r="I11" s="12"/>
      <c r="J11" s="12"/>
    </row>
    <row r="12" spans="1:10" ht="12.75" customHeight="1" outlineLevel="1">
      <c r="A12" s="111">
        <v>44835</v>
      </c>
      <c r="B12" s="110"/>
      <c r="C12" s="110"/>
      <c r="D12" s="110"/>
      <c r="E12" s="110">
        <f>SUM(B12:D12)</f>
        <v>0</v>
      </c>
      <c r="F12" s="110">
        <f>SUM(B12:D12)+F11</f>
        <v>0</v>
      </c>
      <c r="H12" s="16" t="s">
        <v>370</v>
      </c>
      <c r="I12" s="17">
        <v>0</v>
      </c>
      <c r="J12" s="17">
        <f t="shared" ref="J12" si="3">J10-J7</f>
        <v>0</v>
      </c>
    </row>
    <row r="13" spans="1:10" ht="12.75" customHeight="1" outlineLevel="1">
      <c r="A13" s="111">
        <v>44866</v>
      </c>
      <c r="B13" s="110"/>
      <c r="C13" s="110"/>
      <c r="D13" s="110"/>
      <c r="E13" s="110">
        <f t="shared" ref="E13:E21" si="4">SUM(B13:D13)</f>
        <v>0</v>
      </c>
      <c r="F13" s="110">
        <f t="shared" ref="F13:F22" si="5">SUM(B13:D13)+F12</f>
        <v>0</v>
      </c>
      <c r="H13" s="24"/>
    </row>
    <row r="14" spans="1:10" ht="12.75" customHeight="1" outlineLevel="1">
      <c r="A14" s="111">
        <v>44896</v>
      </c>
      <c r="B14" s="110"/>
      <c r="C14" s="110"/>
      <c r="D14" s="110"/>
      <c r="E14" s="110">
        <f t="shared" si="4"/>
        <v>0</v>
      </c>
      <c r="F14" s="110">
        <f t="shared" si="5"/>
        <v>0</v>
      </c>
      <c r="H14" s="24"/>
    </row>
    <row r="15" spans="1:10" ht="12.75" customHeight="1" outlineLevel="1">
      <c r="A15" s="111">
        <v>44927</v>
      </c>
      <c r="B15" s="110"/>
      <c r="C15" s="110"/>
      <c r="D15" s="110"/>
      <c r="E15" s="110">
        <f t="shared" si="4"/>
        <v>0</v>
      </c>
      <c r="F15" s="110">
        <f t="shared" si="5"/>
        <v>0</v>
      </c>
    </row>
    <row r="16" spans="1:10" ht="12.75" customHeight="1" outlineLevel="1">
      <c r="A16" s="111">
        <v>44958</v>
      </c>
      <c r="B16" s="110"/>
      <c r="C16" s="110"/>
      <c r="D16" s="110"/>
      <c r="E16" s="110">
        <f t="shared" si="4"/>
        <v>0</v>
      </c>
      <c r="F16" s="110">
        <f t="shared" si="5"/>
        <v>0</v>
      </c>
    </row>
    <row r="17" spans="1:6" ht="12.75" customHeight="1" outlineLevel="1">
      <c r="A17" s="111">
        <v>44986</v>
      </c>
      <c r="B17" s="110"/>
      <c r="C17" s="110"/>
      <c r="D17" s="110"/>
      <c r="E17" s="110">
        <f t="shared" si="4"/>
        <v>0</v>
      </c>
      <c r="F17" s="110">
        <f t="shared" si="5"/>
        <v>0</v>
      </c>
    </row>
    <row r="18" spans="1:6" ht="12.75" customHeight="1" outlineLevel="1">
      <c r="A18" s="111">
        <v>45017</v>
      </c>
      <c r="B18" s="110"/>
      <c r="C18" s="110"/>
      <c r="D18" s="110"/>
      <c r="E18" s="110">
        <f t="shared" si="4"/>
        <v>0</v>
      </c>
      <c r="F18" s="110">
        <f t="shared" si="5"/>
        <v>0</v>
      </c>
    </row>
    <row r="19" spans="1:6" ht="12.75" customHeight="1" outlineLevel="1">
      <c r="A19" s="111">
        <v>45047</v>
      </c>
      <c r="B19" s="110"/>
      <c r="C19" s="110"/>
      <c r="D19" s="110"/>
      <c r="E19" s="110">
        <f t="shared" si="4"/>
        <v>0</v>
      </c>
      <c r="F19" s="110">
        <f t="shared" si="5"/>
        <v>0</v>
      </c>
    </row>
    <row r="20" spans="1:6" ht="12.75" customHeight="1" outlineLevel="1">
      <c r="A20" s="111">
        <v>45078</v>
      </c>
      <c r="B20" s="110"/>
      <c r="C20" s="110"/>
      <c r="D20" s="110"/>
      <c r="E20" s="110">
        <f t="shared" si="4"/>
        <v>0</v>
      </c>
      <c r="F20" s="110">
        <f t="shared" si="5"/>
        <v>0</v>
      </c>
    </row>
    <row r="21" spans="1:6" ht="12.75" customHeight="1" outlineLevel="1">
      <c r="A21" s="111">
        <v>45108</v>
      </c>
      <c r="B21" s="110"/>
      <c r="C21" s="110"/>
      <c r="D21" s="110"/>
      <c r="E21" s="110">
        <f t="shared" si="4"/>
        <v>0</v>
      </c>
      <c r="F21" s="110">
        <f t="shared" si="5"/>
        <v>0</v>
      </c>
    </row>
    <row r="22" spans="1:6" ht="12.75" customHeight="1" outlineLevel="1">
      <c r="A22" s="111">
        <v>45139</v>
      </c>
      <c r="B22" s="110"/>
      <c r="D22" s="110"/>
      <c r="E22" s="110">
        <f>SUM(B22:D22)</f>
        <v>0</v>
      </c>
      <c r="F22" s="110">
        <f t="shared" si="5"/>
        <v>0</v>
      </c>
    </row>
    <row r="23" spans="1:6" ht="12.75" customHeight="1" outlineLevel="1">
      <c r="A23" s="111">
        <v>45170</v>
      </c>
      <c r="C23" s="110"/>
      <c r="D23" s="110"/>
      <c r="E23" s="110">
        <f>SUM(C23:D23)</f>
        <v>0</v>
      </c>
      <c r="F23" s="110">
        <f>SUM(C23:D23)+F22</f>
        <v>0</v>
      </c>
    </row>
    <row r="24" spans="1:6" ht="12.75" customHeight="1">
      <c r="B24" s="110"/>
      <c r="C24" s="110"/>
      <c r="D24" s="110"/>
      <c r="E24" s="110"/>
      <c r="F24" s="110"/>
    </row>
    <row r="25" spans="1:6" ht="12.75" customHeight="1">
      <c r="B25" s="112">
        <f>SUM(B12:B24)</f>
        <v>0</v>
      </c>
      <c r="C25" s="112">
        <f>SUM(C12:C24)</f>
        <v>0</v>
      </c>
      <c r="D25" s="112">
        <f>SUM(D11:D24)</f>
        <v>0</v>
      </c>
      <c r="E25" s="112">
        <f>SUM(E11:E24)</f>
        <v>0</v>
      </c>
      <c r="F25" s="113"/>
    </row>
    <row r="26" spans="1:6" ht="12.75" customHeight="1">
      <c r="A26" s="5"/>
      <c r="B26" s="5"/>
      <c r="E26" s="19"/>
    </row>
    <row r="27" spans="1:6" ht="12.75" customHeight="1">
      <c r="A27" s="5"/>
      <c r="B27" s="5"/>
    </row>
    <row r="28" spans="1:6" ht="12.75" customHeight="1">
      <c r="A28" s="5" t="s">
        <v>362</v>
      </c>
      <c r="B28" s="5"/>
      <c r="E28" s="22">
        <f>F23</f>
        <v>0</v>
      </c>
    </row>
    <row r="29" spans="1:6" ht="12.75" customHeight="1">
      <c r="A29" s="5"/>
      <c r="B29" s="5"/>
      <c r="E29" s="54"/>
    </row>
    <row r="30" spans="1:6" ht="12.75" customHeight="1">
      <c r="A30" s="13" t="s">
        <v>370</v>
      </c>
      <c r="B30" s="13"/>
      <c r="C30" s="14"/>
      <c r="D30" s="14"/>
      <c r="E30" s="15">
        <f>E7-E28</f>
        <v>0</v>
      </c>
    </row>
    <row r="31" spans="1:6" ht="12.75" customHeight="1">
      <c r="A31" s="18"/>
      <c r="B31" s="18"/>
      <c r="E31" s="22"/>
    </row>
    <row r="32" spans="1:6" ht="12.75" customHeight="1">
      <c r="A32" s="18"/>
      <c r="B32" s="18"/>
      <c r="E32" s="22"/>
    </row>
    <row r="34" spans="1:6" ht="12.75" customHeight="1">
      <c r="A34" s="25" t="str">
        <f>'Cash in Hand-1020'!A26</f>
        <v>Charmaine Chan</v>
      </c>
      <c r="B34" s="60"/>
      <c r="C34" s="60"/>
      <c r="D34" s="60"/>
      <c r="E34" s="114"/>
      <c r="F34" s="60"/>
    </row>
    <row r="35" spans="1:6" ht="12.75" customHeight="1">
      <c r="A35" s="5" t="s">
        <v>372</v>
      </c>
      <c r="B35" s="115"/>
      <c r="C35" s="115"/>
      <c r="D35" s="115"/>
      <c r="E35" s="115"/>
      <c r="F35" s="60"/>
    </row>
    <row r="36" spans="1:6" ht="12.75" customHeight="1">
      <c r="A36" s="5"/>
      <c r="B36" s="115"/>
      <c r="C36" s="60"/>
      <c r="D36" s="60"/>
      <c r="E36" s="114"/>
      <c r="F36" s="60"/>
    </row>
    <row r="37" spans="1:6" ht="12.75" customHeight="1">
      <c r="A37" s="5"/>
      <c r="B37" s="115"/>
      <c r="C37" s="60"/>
      <c r="D37" s="60"/>
      <c r="E37" s="114"/>
      <c r="F37" s="60"/>
    </row>
    <row r="38" spans="1:6" ht="12.75" customHeight="1">
      <c r="A38" s="5"/>
      <c r="B38" s="115"/>
      <c r="C38" s="60"/>
      <c r="D38" s="60"/>
      <c r="E38" s="114"/>
      <c r="F38" s="60"/>
    </row>
    <row r="39" spans="1:6" ht="12.75" customHeight="1">
      <c r="A39" s="25"/>
      <c r="B39" s="115"/>
      <c r="C39" s="60"/>
      <c r="D39" s="60"/>
      <c r="E39" s="114"/>
      <c r="F39" s="60"/>
    </row>
    <row r="40" spans="1:6" ht="12.75" customHeight="1">
      <c r="A40" s="5" t="s">
        <v>373</v>
      </c>
      <c r="B40" s="115"/>
      <c r="C40" s="60"/>
      <c r="D40" s="60"/>
      <c r="E40" s="114"/>
      <c r="F40" s="60"/>
    </row>
    <row r="41" spans="1:6" ht="12.75" customHeight="1">
      <c r="B41" s="60"/>
      <c r="C41" s="60"/>
      <c r="D41" s="60"/>
      <c r="E41" s="114"/>
      <c r="F41" s="60"/>
    </row>
    <row r="42" spans="1:6" ht="12.75" customHeight="1">
      <c r="B42" s="60"/>
      <c r="C42" s="60"/>
      <c r="D42" s="60"/>
      <c r="E42" s="114"/>
      <c r="F42" s="60"/>
    </row>
  </sheetData>
  <mergeCells count="1">
    <mergeCell ref="A1:E1"/>
  </mergeCells>
  <pageMargins left="0.75" right="0.75" top="1" bottom="1" header="0.5" footer="0.5"/>
  <pageSetup paperSize="9" scale="85" orientation="landscape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G44"/>
  <sheetViews>
    <sheetView workbookViewId="0">
      <selection activeCell="E33" sqref="E33"/>
    </sheetView>
  </sheetViews>
  <sheetFormatPr defaultColWidth="9" defaultRowHeight="12.75" customHeight="1"/>
  <cols>
    <col min="1" max="1" width="46.81640625" customWidth="1"/>
    <col min="2" max="2" width="15.81640625" customWidth="1"/>
    <col min="3" max="3" width="15.81640625" style="1" customWidth="1"/>
    <col min="5" max="5" width="30.1796875" customWidth="1"/>
    <col min="6" max="6" width="13.54296875" hidden="1" customWidth="1" collapsed="1"/>
    <col min="7" max="7" width="13.54296875" customWidth="1" collapsed="1"/>
  </cols>
  <sheetData>
    <row r="1" spans="1:7" ht="12.75" customHeight="1">
      <c r="A1" s="473" t="s">
        <v>364</v>
      </c>
      <c r="B1" s="473"/>
      <c r="C1" s="473"/>
      <c r="D1" s="3">
        <f>'Cash at Bank-1020.100'!D1</f>
        <v>44835</v>
      </c>
    </row>
    <row r="3" spans="1:7" ht="12.75" customHeight="1">
      <c r="A3" s="5" t="str">
        <f>'Bonus Provision-2190.100'!A3</f>
        <v xml:space="preserve">BALANCE AS AT </v>
      </c>
    </row>
    <row r="5" spans="1:7" ht="12.75" customHeight="1">
      <c r="A5" s="5" t="s">
        <v>766</v>
      </c>
      <c r="B5" s="5"/>
      <c r="C5" s="22"/>
    </row>
    <row r="6" spans="1:7" ht="12.75" customHeight="1">
      <c r="A6" s="5"/>
      <c r="B6" s="5"/>
      <c r="C6" s="22"/>
    </row>
    <row r="7" spans="1:7" ht="12.75" customHeight="1">
      <c r="A7" s="5" t="s">
        <v>767</v>
      </c>
      <c r="B7" s="5"/>
      <c r="C7" s="22"/>
    </row>
    <row r="8" spans="1:7" ht="12.75" customHeight="1">
      <c r="A8" s="5"/>
      <c r="B8" s="5"/>
      <c r="C8" s="22"/>
      <c r="E8" s="47"/>
      <c r="F8" s="7">
        <v>44805</v>
      </c>
      <c r="G8" s="7">
        <f>F8+30</f>
        <v>44835</v>
      </c>
    </row>
    <row r="9" spans="1:7" ht="12.75" customHeight="1">
      <c r="A9" s="5" t="s">
        <v>367</v>
      </c>
      <c r="B9" s="5"/>
      <c r="C9" s="8">
        <f>'Trial Balance'!F73</f>
        <v>0</v>
      </c>
      <c r="E9" s="53" t="s">
        <v>382</v>
      </c>
      <c r="F9" s="100">
        <v>0</v>
      </c>
      <c r="G9" s="100">
        <f>$C$9</f>
        <v>0</v>
      </c>
    </row>
    <row r="10" spans="1:7" ht="12.75" customHeight="1">
      <c r="E10" s="53" t="s">
        <v>768</v>
      </c>
      <c r="F10" s="101"/>
      <c r="G10" s="101"/>
    </row>
    <row r="11" spans="1:7" ht="12.75" customHeight="1">
      <c r="A11" s="24"/>
      <c r="E11" s="53" t="s">
        <v>769</v>
      </c>
      <c r="F11" s="100"/>
      <c r="G11" s="100"/>
    </row>
    <row r="12" spans="1:7" ht="12.75" customHeight="1">
      <c r="E12" s="53" t="s">
        <v>770</v>
      </c>
      <c r="F12" s="10"/>
      <c r="G12" s="10"/>
    </row>
    <row r="13" spans="1:7" ht="12.75" customHeight="1">
      <c r="A13" s="24"/>
      <c r="E13" s="66" t="s">
        <v>362</v>
      </c>
      <c r="F13" s="21">
        <v>0</v>
      </c>
      <c r="G13" s="21">
        <f t="shared" ref="G13" si="0">G10+G11+G12</f>
        <v>0</v>
      </c>
    </row>
    <row r="14" spans="1:7" ht="12.75" customHeight="1">
      <c r="A14" s="24"/>
      <c r="E14" s="9"/>
      <c r="F14" s="9"/>
      <c r="G14" s="9"/>
    </row>
    <row r="15" spans="1:7" ht="12.75" customHeight="1">
      <c r="A15" s="24"/>
      <c r="E15" s="16" t="s">
        <v>370</v>
      </c>
      <c r="F15" s="23">
        <v>0</v>
      </c>
      <c r="G15" s="23">
        <f t="shared" ref="G15" si="1">G13-G9</f>
        <v>0</v>
      </c>
    </row>
    <row r="16" spans="1:7" ht="12.75" customHeight="1">
      <c r="A16" s="24"/>
    </row>
    <row r="17" spans="1:3" ht="12.75" customHeight="1">
      <c r="A17" s="24"/>
    </row>
    <row r="19" spans="1:3" ht="12.75" customHeight="1">
      <c r="A19" s="24"/>
    </row>
    <row r="20" spans="1:3" ht="12.75" customHeight="1">
      <c r="A20" s="24"/>
    </row>
    <row r="21" spans="1:3" ht="12.75" customHeight="1">
      <c r="A21" s="24"/>
    </row>
    <row r="22" spans="1:3" ht="12.75" customHeight="1">
      <c r="A22" s="24"/>
    </row>
    <row r="23" spans="1:3" ht="12.75" customHeight="1">
      <c r="A23" s="24"/>
    </row>
    <row r="24" spans="1:3" ht="12.75" customHeight="1">
      <c r="A24" s="5" t="s">
        <v>362</v>
      </c>
      <c r="B24" s="5"/>
      <c r="C24" s="103">
        <f>SUM(C13:C23)</f>
        <v>0</v>
      </c>
    </row>
    <row r="26" spans="1:3" ht="12.75" customHeight="1">
      <c r="A26" s="24"/>
      <c r="C26" s="104"/>
    </row>
    <row r="27" spans="1:3" ht="12.75" customHeight="1">
      <c r="A27" s="24" t="s">
        <v>771</v>
      </c>
      <c r="B27" s="105"/>
      <c r="C27" s="106">
        <f>SUM(12:12)</f>
        <v>0</v>
      </c>
    </row>
    <row r="28" spans="1:3" ht="12.75" customHeight="1">
      <c r="A28" s="24"/>
      <c r="B28" s="105"/>
      <c r="C28" s="106"/>
    </row>
    <row r="29" spans="1:3" ht="12.75" customHeight="1">
      <c r="A29" s="24" t="s">
        <v>582</v>
      </c>
      <c r="B29" s="65"/>
      <c r="C29" s="34"/>
    </row>
    <row r="30" spans="1:3" ht="12.75" customHeight="1">
      <c r="A30" s="24"/>
      <c r="B30" s="65"/>
      <c r="C30" s="34"/>
    </row>
    <row r="31" spans="1:3" ht="12.75" customHeight="1">
      <c r="A31" s="5" t="s">
        <v>362</v>
      </c>
      <c r="B31" s="60"/>
      <c r="C31" s="34">
        <f>SUM(C24:C29)</f>
        <v>0</v>
      </c>
    </row>
    <row r="32" spans="1:3" ht="12.75" customHeight="1">
      <c r="A32" s="24"/>
      <c r="B32" s="68"/>
    </row>
    <row r="33" spans="1:3" ht="12.75" customHeight="1">
      <c r="A33" s="13" t="s">
        <v>370</v>
      </c>
      <c r="B33" s="14"/>
      <c r="C33" s="69">
        <f>C9-C31</f>
        <v>0</v>
      </c>
    </row>
    <row r="34" spans="1:3" ht="12.75" customHeight="1">
      <c r="A34" s="107"/>
    </row>
    <row r="35" spans="1:3" ht="12.75" customHeight="1">
      <c r="A35" s="107"/>
    </row>
    <row r="36" spans="1:3" ht="12.75" customHeight="1">
      <c r="A36" s="107"/>
    </row>
    <row r="37" spans="1:3" ht="12.75" customHeight="1">
      <c r="A37" s="107"/>
    </row>
    <row r="38" spans="1:3" ht="12.75" customHeight="1">
      <c r="A38" s="25" t="str">
        <f>'Cash in Hand-1020'!A26</f>
        <v>Charmaine Chan</v>
      </c>
    </row>
    <row r="39" spans="1:3" ht="12.75" customHeight="1">
      <c r="A39" s="5" t="s">
        <v>372</v>
      </c>
    </row>
    <row r="40" spans="1:3" ht="12.75" customHeight="1">
      <c r="A40" s="5"/>
    </row>
    <row r="41" spans="1:3" ht="12.75" customHeight="1">
      <c r="A41" s="5"/>
    </row>
    <row r="42" spans="1:3" ht="12.75" customHeight="1">
      <c r="A42" s="5"/>
    </row>
    <row r="43" spans="1:3" ht="12.75" customHeight="1">
      <c r="A43" s="25"/>
    </row>
    <row r="44" spans="1:3" ht="12.75" customHeight="1">
      <c r="A44" s="5" t="s">
        <v>373</v>
      </c>
    </row>
  </sheetData>
  <mergeCells count="1">
    <mergeCell ref="A1:C1"/>
  </mergeCells>
  <pageMargins left="0.75" right="0.75" top="1" bottom="1" header="0.5" footer="0.5"/>
  <pageSetup scale="85" orientation="landscape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J32"/>
  <sheetViews>
    <sheetView workbookViewId="0">
      <selection activeCell="C9" sqref="C9"/>
    </sheetView>
  </sheetViews>
  <sheetFormatPr defaultColWidth="9" defaultRowHeight="12.75" customHeight="1"/>
  <cols>
    <col min="1" max="1" width="40.81640625" customWidth="1"/>
    <col min="2" max="2" width="7.1796875" customWidth="1"/>
    <col min="3" max="3" width="15.81640625" style="1" customWidth="1"/>
    <col min="4" max="4" width="7.81640625" style="1" customWidth="1"/>
    <col min="5" max="5" width="18.81640625" customWidth="1"/>
    <col min="6" max="6" width="13.1796875" customWidth="1"/>
    <col min="8" max="8" width="25.81640625" customWidth="1"/>
    <col min="9" max="9" width="14.1796875" hidden="1" customWidth="1" collapsed="1"/>
    <col min="10" max="10" width="14.1796875" customWidth="1" collapsed="1"/>
  </cols>
  <sheetData>
    <row r="1" spans="1:10" ht="12.75" customHeight="1">
      <c r="A1" s="473" t="s">
        <v>364</v>
      </c>
      <c r="B1" s="473"/>
      <c r="C1" s="473"/>
      <c r="D1" s="3">
        <f>'Cash at Bank-1020.100'!D1</f>
        <v>44835</v>
      </c>
    </row>
    <row r="3" spans="1:10" ht="12.75" customHeight="1">
      <c r="A3" s="5" t="str">
        <f>+'Income Tax Prov-2210'!A3</f>
        <v xml:space="preserve">BALANCE AS AT </v>
      </c>
    </row>
    <row r="4" spans="1:10" ht="12.75" customHeight="1">
      <c r="A4" s="5"/>
    </row>
    <row r="5" spans="1:10" ht="12.75" customHeight="1">
      <c r="A5" s="5" t="s">
        <v>772</v>
      </c>
    </row>
    <row r="6" spans="1:10" ht="12.75" customHeight="1">
      <c r="A6" s="5"/>
      <c r="C6" s="54"/>
      <c r="D6" s="54"/>
    </row>
    <row r="7" spans="1:10" ht="12.75" customHeight="1">
      <c r="A7" s="5" t="s">
        <v>773</v>
      </c>
      <c r="C7" s="54"/>
      <c r="D7" s="54"/>
    </row>
    <row r="8" spans="1:10" ht="12.75" customHeight="1">
      <c r="C8" s="54"/>
      <c r="D8" s="54"/>
      <c r="E8" s="5" t="s">
        <v>774</v>
      </c>
      <c r="F8" s="5" t="s">
        <v>764</v>
      </c>
      <c r="H8" s="47"/>
      <c r="I8" s="7">
        <v>44805</v>
      </c>
      <c r="J8" s="7">
        <f>I8+30</f>
        <v>44835</v>
      </c>
    </row>
    <row r="9" spans="1:10" ht="12.75" customHeight="1">
      <c r="A9" s="24" t="s">
        <v>775</v>
      </c>
      <c r="C9" s="86">
        <f>'Trial Balance'!F75</f>
        <v>14476837.83</v>
      </c>
      <c r="D9" s="54"/>
      <c r="E9" s="87"/>
      <c r="F9" s="88"/>
      <c r="H9" s="53" t="s">
        <v>382</v>
      </c>
      <c r="I9" s="10">
        <v>-51722.85000000149</v>
      </c>
      <c r="J9" s="10">
        <f>$C$14</f>
        <v>-51722.85000000149</v>
      </c>
    </row>
    <row r="10" spans="1:10" ht="12.75" customHeight="1">
      <c r="A10" s="24" t="s">
        <v>776</v>
      </c>
      <c r="C10" s="86">
        <f>'Trial Balance'!F76</f>
        <v>11015395.07</v>
      </c>
      <c r="D10" s="54"/>
      <c r="E10" s="31">
        <v>10881573</v>
      </c>
      <c r="F10" s="89">
        <f>C10-E10</f>
        <v>133822.0700000003</v>
      </c>
      <c r="H10" s="53" t="s">
        <v>775</v>
      </c>
      <c r="I10" s="10"/>
      <c r="J10" s="10"/>
    </row>
    <row r="11" spans="1:10" ht="12.75" customHeight="1">
      <c r="A11" s="24" t="s">
        <v>777</v>
      </c>
      <c r="C11" s="86">
        <f>'Trial Balance'!F74</f>
        <v>-25543955.75</v>
      </c>
      <c r="D11" s="54"/>
      <c r="E11" s="31">
        <v>-25358407</v>
      </c>
      <c r="F11" s="89">
        <f>C11-E11</f>
        <v>-185548.75</v>
      </c>
      <c r="H11" s="53" t="s">
        <v>776</v>
      </c>
      <c r="I11" s="10"/>
      <c r="J11" s="10"/>
    </row>
    <row r="12" spans="1:10" ht="12.75" customHeight="1">
      <c r="A12" s="24" t="s">
        <v>778</v>
      </c>
      <c r="C12" s="86">
        <v>0</v>
      </c>
      <c r="D12" s="54"/>
      <c r="E12" s="31">
        <v>0</v>
      </c>
      <c r="F12" s="82"/>
      <c r="H12" s="53" t="s">
        <v>777</v>
      </c>
      <c r="I12" s="10"/>
      <c r="J12" s="10"/>
    </row>
    <row r="13" spans="1:10" ht="12.75" customHeight="1">
      <c r="C13" s="90"/>
      <c r="D13" s="55"/>
      <c r="E13" s="31"/>
      <c r="F13" s="31"/>
      <c r="H13" s="53" t="s">
        <v>778</v>
      </c>
      <c r="I13" s="10"/>
      <c r="J13" s="10"/>
    </row>
    <row r="14" spans="1:10" ht="12.75" customHeight="1">
      <c r="A14" s="5" t="s">
        <v>779</v>
      </c>
      <c r="C14" s="91">
        <f>SUM(C8:C13)</f>
        <v>-51722.85000000149</v>
      </c>
      <c r="D14" s="92"/>
      <c r="H14" s="66" t="s">
        <v>362</v>
      </c>
      <c r="I14" s="21">
        <v>0</v>
      </c>
      <c r="J14" s="21">
        <f t="shared" ref="J14" si="0">SUM(J10:J13)</f>
        <v>0</v>
      </c>
    </row>
    <row r="15" spans="1:10" ht="12.75" customHeight="1">
      <c r="A15" s="5"/>
      <c r="C15" s="86"/>
      <c r="D15" s="54"/>
      <c r="H15" s="9"/>
      <c r="I15" s="67"/>
      <c r="J15" s="67"/>
    </row>
    <row r="16" spans="1:10" ht="12.75" customHeight="1">
      <c r="A16" s="24" t="s">
        <v>780</v>
      </c>
      <c r="C16" s="91">
        <f>C14-C17</f>
        <v>-51722.85000000149</v>
      </c>
      <c r="D16" s="92"/>
      <c r="H16" s="16" t="s">
        <v>370</v>
      </c>
      <c r="I16" s="27">
        <v>51722.85000000149</v>
      </c>
      <c r="J16" s="27">
        <f t="shared" ref="J16" si="1">J14-J9</f>
        <v>51722.85000000149</v>
      </c>
    </row>
    <row r="17" spans="1:4" ht="12.75" customHeight="1">
      <c r="A17" s="24"/>
      <c r="C17" s="91"/>
      <c r="D17" s="92"/>
    </row>
    <row r="18" spans="1:4" ht="12.75" customHeight="1">
      <c r="A18" s="93"/>
      <c r="C18" s="94"/>
      <c r="D18" s="95"/>
    </row>
    <row r="19" spans="1:4" ht="12.75" customHeight="1">
      <c r="A19" s="93" t="s">
        <v>362</v>
      </c>
      <c r="C19" s="96">
        <f>SUM(C16:C18)</f>
        <v>-51722.85000000149</v>
      </c>
      <c r="D19" s="97"/>
    </row>
    <row r="20" spans="1:4" ht="12.75" customHeight="1">
      <c r="A20" s="93"/>
      <c r="C20" s="92"/>
      <c r="D20" s="92"/>
    </row>
    <row r="21" spans="1:4" ht="12.75" customHeight="1">
      <c r="A21" s="13" t="s">
        <v>370</v>
      </c>
      <c r="B21" s="14"/>
      <c r="C21" s="15">
        <f>C14-C19</f>
        <v>0</v>
      </c>
      <c r="D21" s="19"/>
    </row>
    <row r="22" spans="1:4" ht="12.75" customHeight="1">
      <c r="A22" s="98"/>
      <c r="C22" s="54"/>
      <c r="D22" s="54"/>
    </row>
    <row r="23" spans="1:4" ht="12.75" customHeight="1">
      <c r="A23" s="98"/>
      <c r="C23" s="54"/>
      <c r="D23" s="54"/>
    </row>
    <row r="24" spans="1:4" ht="12.75" customHeight="1">
      <c r="A24" s="98"/>
      <c r="C24" s="54"/>
      <c r="D24" s="54"/>
    </row>
    <row r="25" spans="1:4" ht="12.75" customHeight="1">
      <c r="A25" s="98"/>
      <c r="C25" s="54"/>
      <c r="D25" s="54"/>
    </row>
    <row r="26" spans="1:4" ht="12.75" customHeight="1">
      <c r="A26" s="25" t="str">
        <f>'Cash in Hand-1020'!A26</f>
        <v>Charmaine Chan</v>
      </c>
    </row>
    <row r="27" spans="1:4" ht="12.75" customHeight="1">
      <c r="A27" s="5" t="s">
        <v>372</v>
      </c>
      <c r="B27" s="99"/>
    </row>
    <row r="28" spans="1:4" ht="12.75" customHeight="1">
      <c r="A28" s="5"/>
    </row>
    <row r="29" spans="1:4" ht="12.75" customHeight="1">
      <c r="A29" s="5"/>
    </row>
    <row r="30" spans="1:4" ht="12.75" customHeight="1">
      <c r="A30" s="5"/>
    </row>
    <row r="31" spans="1:4" ht="12.75" customHeight="1">
      <c r="A31" s="25"/>
    </row>
    <row r="32" spans="1:4" ht="12.75" customHeight="1">
      <c r="A32" s="5" t="s">
        <v>373</v>
      </c>
    </row>
  </sheetData>
  <mergeCells count="1">
    <mergeCell ref="A1:C1"/>
  </mergeCells>
  <pageMargins left="0.75" right="0.75" top="1" bottom="1" header="0.5" footer="0.5"/>
  <pageSetup paperSize="9" scale="73" orientation="landscape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pageSetUpPr fitToPage="1"/>
  </sheetPr>
  <dimension ref="A1:C24"/>
  <sheetViews>
    <sheetView workbookViewId="0">
      <selection activeCell="D43" sqref="D43"/>
    </sheetView>
  </sheetViews>
  <sheetFormatPr defaultColWidth="9" defaultRowHeight="12.75" customHeight="1"/>
  <cols>
    <col min="1" max="1" width="40.81640625" customWidth="1"/>
    <col min="2" max="2" width="15.81640625" customWidth="1"/>
    <col min="3" max="3" width="15.81640625" style="1" customWidth="1"/>
  </cols>
  <sheetData>
    <row r="1" spans="1:3" ht="12.75" customHeight="1">
      <c r="A1" s="473" t="s">
        <v>364</v>
      </c>
      <c r="B1" s="473"/>
      <c r="C1" s="473"/>
    </row>
    <row r="2" spans="1:3" ht="12.75" customHeight="1">
      <c r="A2" s="2"/>
      <c r="B2" s="2"/>
      <c r="C2" s="4"/>
    </row>
    <row r="3" spans="1:3" ht="12.75" customHeight="1">
      <c r="A3" s="5" t="str">
        <f>+'Bonus Provision-2190.100'!A3</f>
        <v xml:space="preserve">BALANCE AS AT </v>
      </c>
      <c r="B3" s="2"/>
      <c r="C3" s="4"/>
    </row>
    <row r="5" spans="1:3" ht="12.75" customHeight="1">
      <c r="A5" s="5" t="s">
        <v>781</v>
      </c>
    </row>
    <row r="6" spans="1:3" ht="12.75" customHeight="1">
      <c r="A6" s="5"/>
    </row>
    <row r="7" spans="1:3" ht="12.75" customHeight="1">
      <c r="A7" s="5" t="s">
        <v>782</v>
      </c>
    </row>
    <row r="8" spans="1:3" ht="12.75" customHeight="1">
      <c r="A8" s="5"/>
    </row>
    <row r="9" spans="1:3" ht="12.75" customHeight="1">
      <c r="A9" s="5" t="s">
        <v>367</v>
      </c>
      <c r="C9" s="22" t="e">
        <f>'Trial Balance'!#REF!</f>
        <v>#REF!</v>
      </c>
    </row>
    <row r="10" spans="1:3" ht="12.75" customHeight="1">
      <c r="A10" s="73"/>
    </row>
    <row r="11" spans="1:3" s="24" customFormat="1" ht="12.75" customHeight="1">
      <c r="A11" s="24" t="s">
        <v>783</v>
      </c>
      <c r="C11" s="19">
        <v>0</v>
      </c>
    </row>
    <row r="12" spans="1:3" ht="12.75" customHeight="1">
      <c r="A12" s="24"/>
    </row>
    <row r="13" spans="1:3" ht="12.75" customHeight="1">
      <c r="A13" s="18" t="s">
        <v>370</v>
      </c>
      <c r="C13" s="19" t="e">
        <f>C9-C11</f>
        <v>#REF!</v>
      </c>
    </row>
    <row r="18" spans="1:1" ht="12.75" customHeight="1">
      <c r="A18" s="25" t="str">
        <f>'Cash in Hand-1020'!A26</f>
        <v>Charmaine Chan</v>
      </c>
    </row>
    <row r="19" spans="1:1" ht="12.75" customHeight="1">
      <c r="A19" s="5" t="s">
        <v>372</v>
      </c>
    </row>
    <row r="20" spans="1:1" ht="12.75" customHeight="1">
      <c r="A20" s="5"/>
    </row>
    <row r="21" spans="1:1" ht="12.75" customHeight="1">
      <c r="A21" s="5"/>
    </row>
    <row r="22" spans="1:1" ht="12.75" customHeight="1">
      <c r="A22" s="5"/>
    </row>
    <row r="23" spans="1:1" ht="12.75" customHeight="1">
      <c r="A23" s="25"/>
    </row>
    <row r="24" spans="1:1" ht="12.75" customHeight="1">
      <c r="A24" s="5" t="s">
        <v>373</v>
      </c>
    </row>
  </sheetData>
  <mergeCells count="1">
    <mergeCell ref="A1:C1"/>
  </mergeCells>
  <pageMargins left="0.75" right="0.75" top="1" bottom="1" header="0.5" footer="0.5"/>
  <pageSetup paperSize="9" orientation="portrait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A1:J54"/>
  <sheetViews>
    <sheetView topLeftCell="A22" workbookViewId="0">
      <selection activeCell="D17" sqref="D17"/>
    </sheetView>
  </sheetViews>
  <sheetFormatPr defaultColWidth="9" defaultRowHeight="12.75" customHeight="1"/>
  <cols>
    <col min="1" max="1" width="40.81640625" customWidth="1"/>
    <col min="2" max="2" width="15.81640625" customWidth="1"/>
    <col min="3" max="3" width="15.81640625" style="1" customWidth="1"/>
    <col min="4" max="4" width="14.54296875" customWidth="1"/>
    <col min="5" max="5" width="18.453125" customWidth="1"/>
    <col min="6" max="6" width="11.1796875" customWidth="1"/>
    <col min="7" max="7" width="15.81640625" customWidth="1"/>
    <col min="8" max="8" width="10.1796875" customWidth="1"/>
    <col min="9" max="9" width="11.81640625" customWidth="1"/>
    <col min="10" max="10" width="11.1796875" customWidth="1"/>
  </cols>
  <sheetData>
    <row r="1" spans="1:9" ht="12.75" customHeight="1">
      <c r="A1" s="473" t="s">
        <v>364</v>
      </c>
      <c r="B1" s="473"/>
      <c r="C1" s="473"/>
      <c r="E1" s="5" t="s">
        <v>784</v>
      </c>
      <c r="F1" s="22"/>
      <c r="G1" s="5"/>
      <c r="H1" s="5"/>
      <c r="I1" s="5"/>
    </row>
    <row r="2" spans="1:9" ht="12.75" customHeight="1">
      <c r="A2" s="2"/>
      <c r="B2" s="2"/>
      <c r="C2" s="4"/>
      <c r="E2" s="5" t="s">
        <v>661</v>
      </c>
      <c r="F2" s="5" t="s">
        <v>785</v>
      </c>
      <c r="G2" s="5" t="s">
        <v>765</v>
      </c>
      <c r="H2" s="5" t="s">
        <v>786</v>
      </c>
      <c r="I2" s="5" t="s">
        <v>787</v>
      </c>
    </row>
    <row r="3" spans="1:9" ht="12.75" customHeight="1">
      <c r="A3" s="5" t="str">
        <f>+'AP FX Rev. Offset-2020.200'!A3</f>
        <v xml:space="preserve">BALANCE AS AT </v>
      </c>
      <c r="B3" s="2"/>
      <c r="C3" s="4"/>
      <c r="E3" s="75">
        <v>42036</v>
      </c>
      <c r="F3" s="31"/>
      <c r="G3" s="31">
        <v>210000</v>
      </c>
      <c r="H3" s="31">
        <f>SUM(F5:F16)</f>
        <v>52500</v>
      </c>
      <c r="I3" s="31">
        <f>G3-H3</f>
        <v>157500</v>
      </c>
    </row>
    <row r="4" spans="1:9" ht="12.75" customHeight="1">
      <c r="E4" s="75">
        <v>42064</v>
      </c>
      <c r="F4" s="31"/>
      <c r="G4" s="31">
        <f t="shared" ref="G4:G35" si="0">G3-F4</f>
        <v>210000</v>
      </c>
      <c r="H4" s="31">
        <f>SUM(F5:F16)</f>
        <v>52500</v>
      </c>
      <c r="I4" s="31">
        <f>G4-H4</f>
        <v>157500</v>
      </c>
    </row>
    <row r="5" spans="1:9" ht="12.75" customHeight="1">
      <c r="A5" s="5" t="s">
        <v>788</v>
      </c>
      <c r="E5" s="75">
        <v>42095</v>
      </c>
      <c r="F5" s="31">
        <v>4375</v>
      </c>
      <c r="G5" s="31">
        <f t="shared" si="0"/>
        <v>205625</v>
      </c>
      <c r="H5" s="31">
        <f>SUM(F6:F17)</f>
        <v>52500</v>
      </c>
      <c r="I5" s="31">
        <f>G5-H5</f>
        <v>153125</v>
      </c>
    </row>
    <row r="6" spans="1:9" ht="12.75" customHeight="1">
      <c r="A6" s="5"/>
      <c r="E6" s="75">
        <v>42125</v>
      </c>
      <c r="F6" s="31">
        <v>4375</v>
      </c>
      <c r="G6" s="31">
        <f t="shared" si="0"/>
        <v>201250</v>
      </c>
      <c r="H6" s="31">
        <f t="shared" ref="H6:H40" si="1">SUM(F7:F18)</f>
        <v>52500</v>
      </c>
      <c r="I6" s="31">
        <f t="shared" ref="I6:I30" si="2">G6-H6</f>
        <v>148750</v>
      </c>
    </row>
    <row r="7" spans="1:9" ht="12.75" customHeight="1">
      <c r="A7" s="5" t="s">
        <v>789</v>
      </c>
      <c r="E7" s="75">
        <v>42156</v>
      </c>
      <c r="F7" s="31">
        <v>4375</v>
      </c>
      <c r="G7" s="31">
        <f t="shared" si="0"/>
        <v>196875</v>
      </c>
      <c r="H7" s="31">
        <f t="shared" si="1"/>
        <v>52500</v>
      </c>
      <c r="I7" s="31">
        <f t="shared" si="2"/>
        <v>144375</v>
      </c>
    </row>
    <row r="8" spans="1:9" ht="12.75" customHeight="1">
      <c r="E8" s="75">
        <v>42186</v>
      </c>
      <c r="F8" s="31">
        <v>4375</v>
      </c>
      <c r="G8" s="31">
        <f t="shared" si="0"/>
        <v>192500</v>
      </c>
      <c r="H8" s="31">
        <f t="shared" si="1"/>
        <v>52500</v>
      </c>
      <c r="I8" s="31">
        <f t="shared" si="2"/>
        <v>140000</v>
      </c>
    </row>
    <row r="9" spans="1:9" ht="12.75" customHeight="1">
      <c r="A9" s="5" t="s">
        <v>367</v>
      </c>
      <c r="C9" s="76" t="e">
        <f>'Trial Balance'!#REF!</f>
        <v>#REF!</v>
      </c>
      <c r="E9" s="75">
        <v>42217</v>
      </c>
      <c r="F9" s="31">
        <v>4375</v>
      </c>
      <c r="G9" s="31">
        <f t="shared" si="0"/>
        <v>188125</v>
      </c>
      <c r="H9" s="31">
        <f t="shared" si="1"/>
        <v>52500</v>
      </c>
      <c r="I9" s="31">
        <f t="shared" si="2"/>
        <v>135625</v>
      </c>
    </row>
    <row r="10" spans="1:9" ht="12.75" customHeight="1">
      <c r="A10" s="5"/>
      <c r="C10" s="77"/>
      <c r="E10" s="75">
        <v>42248</v>
      </c>
      <c r="F10" s="31">
        <v>4375</v>
      </c>
      <c r="G10" s="31">
        <f t="shared" si="0"/>
        <v>183750</v>
      </c>
      <c r="H10" s="31">
        <f t="shared" si="1"/>
        <v>52500</v>
      </c>
      <c r="I10" s="31">
        <f t="shared" si="2"/>
        <v>131250</v>
      </c>
    </row>
    <row r="11" spans="1:9" ht="12.75" customHeight="1">
      <c r="A11" s="24" t="s">
        <v>790</v>
      </c>
      <c r="C11" s="77">
        <f>-H52</f>
        <v>0</v>
      </c>
      <c r="E11" s="75">
        <v>42278</v>
      </c>
      <c r="F11" s="31">
        <v>4375</v>
      </c>
      <c r="G11" s="31">
        <f t="shared" si="0"/>
        <v>179375</v>
      </c>
      <c r="H11" s="31">
        <f t="shared" si="1"/>
        <v>52500</v>
      </c>
      <c r="I11" s="31">
        <f t="shared" si="2"/>
        <v>126875</v>
      </c>
    </row>
    <row r="12" spans="1:9" ht="12.75" customHeight="1">
      <c r="A12" s="24"/>
      <c r="C12" s="77"/>
      <c r="E12" s="75">
        <v>42309</v>
      </c>
      <c r="F12" s="31">
        <v>4375</v>
      </c>
      <c r="G12" s="31">
        <f t="shared" si="0"/>
        <v>175000</v>
      </c>
      <c r="H12" s="31">
        <f t="shared" si="1"/>
        <v>52500</v>
      </c>
      <c r="I12" s="31">
        <f t="shared" si="2"/>
        <v>122500</v>
      </c>
    </row>
    <row r="13" spans="1:9" s="28" customFormat="1" ht="12.75" customHeight="1">
      <c r="A13" s="78"/>
      <c r="C13" s="79"/>
      <c r="E13" s="75">
        <v>42339</v>
      </c>
      <c r="F13" s="31">
        <v>4375</v>
      </c>
      <c r="G13" s="31">
        <f t="shared" si="0"/>
        <v>170625</v>
      </c>
      <c r="H13" s="31">
        <f t="shared" si="1"/>
        <v>52500</v>
      </c>
      <c r="I13" s="31">
        <f t="shared" si="2"/>
        <v>118125</v>
      </c>
    </row>
    <row r="14" spans="1:9" ht="12.75" customHeight="1">
      <c r="A14" s="5" t="s">
        <v>362</v>
      </c>
      <c r="C14" s="76">
        <f>SUM(C11:C13)</f>
        <v>0</v>
      </c>
      <c r="E14" s="75">
        <v>42370</v>
      </c>
      <c r="F14" s="31">
        <v>4375</v>
      </c>
      <c r="G14" s="31">
        <f t="shared" si="0"/>
        <v>166250</v>
      </c>
      <c r="H14" s="31">
        <f t="shared" si="1"/>
        <v>52500</v>
      </c>
      <c r="I14" s="31">
        <f t="shared" si="2"/>
        <v>113750</v>
      </c>
    </row>
    <row r="15" spans="1:9" ht="12.75" customHeight="1">
      <c r="A15" s="24"/>
      <c r="C15" s="76"/>
      <c r="E15" s="75">
        <v>42401</v>
      </c>
      <c r="F15" s="31">
        <v>4375</v>
      </c>
      <c r="G15" s="31">
        <f t="shared" si="0"/>
        <v>161875</v>
      </c>
      <c r="H15" s="31">
        <f t="shared" si="1"/>
        <v>52500</v>
      </c>
      <c r="I15" s="31">
        <f t="shared" si="2"/>
        <v>109375</v>
      </c>
    </row>
    <row r="16" spans="1:9" ht="12.75" customHeight="1">
      <c r="A16" s="80" t="s">
        <v>370</v>
      </c>
      <c r="C16" s="79" t="e">
        <f>C9-C14</f>
        <v>#REF!</v>
      </c>
      <c r="E16" s="75">
        <v>42430</v>
      </c>
      <c r="F16" s="31">
        <v>4375</v>
      </c>
      <c r="G16" s="31">
        <f t="shared" si="0"/>
        <v>157500</v>
      </c>
      <c r="H16" s="31">
        <f t="shared" si="1"/>
        <v>52500</v>
      </c>
      <c r="I16" s="31">
        <f t="shared" si="2"/>
        <v>105000</v>
      </c>
    </row>
    <row r="17" spans="1:9" ht="12.75" customHeight="1">
      <c r="E17" s="75">
        <v>42461</v>
      </c>
      <c r="F17" s="31">
        <v>4375</v>
      </c>
      <c r="G17" s="31">
        <f t="shared" si="0"/>
        <v>153125</v>
      </c>
      <c r="H17" s="31">
        <f t="shared" si="1"/>
        <v>52500</v>
      </c>
      <c r="I17" s="31">
        <f t="shared" si="2"/>
        <v>100625</v>
      </c>
    </row>
    <row r="18" spans="1:9" ht="12.75" customHeight="1">
      <c r="A18" s="25" t="s">
        <v>371</v>
      </c>
      <c r="E18" s="81">
        <v>42491</v>
      </c>
      <c r="F18" s="82">
        <v>4375</v>
      </c>
      <c r="G18" s="82">
        <f t="shared" si="0"/>
        <v>148750</v>
      </c>
      <c r="H18" s="82">
        <f t="shared" si="1"/>
        <v>52500</v>
      </c>
      <c r="I18" s="82">
        <f t="shared" si="2"/>
        <v>96250</v>
      </c>
    </row>
    <row r="19" spans="1:9" ht="12.75" customHeight="1">
      <c r="A19" s="5" t="s">
        <v>372</v>
      </c>
      <c r="E19" s="81">
        <v>42522</v>
      </c>
      <c r="F19" s="82">
        <v>4375</v>
      </c>
      <c r="G19" s="82">
        <f t="shared" si="0"/>
        <v>144375</v>
      </c>
      <c r="H19" s="82">
        <f t="shared" si="1"/>
        <v>52500</v>
      </c>
      <c r="I19" s="82">
        <f t="shared" si="2"/>
        <v>91875</v>
      </c>
    </row>
    <row r="20" spans="1:9" ht="12.75" customHeight="1">
      <c r="A20" s="5"/>
      <c r="E20" s="81">
        <v>42552</v>
      </c>
      <c r="F20" s="82">
        <v>4375</v>
      </c>
      <c r="G20" s="82">
        <f t="shared" si="0"/>
        <v>140000</v>
      </c>
      <c r="H20" s="82">
        <f t="shared" si="1"/>
        <v>52500</v>
      </c>
      <c r="I20" s="82">
        <f t="shared" si="2"/>
        <v>87500</v>
      </c>
    </row>
    <row r="21" spans="1:9" ht="12.75" customHeight="1">
      <c r="A21" s="5"/>
      <c r="E21" s="81">
        <v>42583</v>
      </c>
      <c r="F21" s="82">
        <v>4375</v>
      </c>
      <c r="G21" s="82">
        <f t="shared" si="0"/>
        <v>135625</v>
      </c>
      <c r="H21" s="82">
        <f t="shared" si="1"/>
        <v>52500</v>
      </c>
      <c r="I21" s="82">
        <f t="shared" si="2"/>
        <v>83125</v>
      </c>
    </row>
    <row r="22" spans="1:9" ht="12.75" customHeight="1">
      <c r="A22" s="5"/>
      <c r="E22" s="81">
        <v>42614</v>
      </c>
      <c r="F22" s="82">
        <v>4375</v>
      </c>
      <c r="G22" s="82">
        <f t="shared" si="0"/>
        <v>131250</v>
      </c>
      <c r="H22" s="82">
        <f t="shared" si="1"/>
        <v>52500</v>
      </c>
      <c r="I22" s="82">
        <f t="shared" si="2"/>
        <v>78750</v>
      </c>
    </row>
    <row r="23" spans="1:9" ht="12.75" customHeight="1">
      <c r="A23" s="25"/>
      <c r="E23" s="81">
        <v>42644</v>
      </c>
      <c r="F23" s="82">
        <v>4375</v>
      </c>
      <c r="G23" s="82">
        <f t="shared" si="0"/>
        <v>126875</v>
      </c>
      <c r="H23" s="82">
        <f t="shared" si="1"/>
        <v>52500</v>
      </c>
      <c r="I23" s="82">
        <f t="shared" si="2"/>
        <v>74375</v>
      </c>
    </row>
    <row r="24" spans="1:9" ht="12.75" customHeight="1">
      <c r="A24" s="5" t="s">
        <v>373</v>
      </c>
      <c r="E24" s="81">
        <v>42675</v>
      </c>
      <c r="F24" s="82">
        <v>4375</v>
      </c>
      <c r="G24" s="82">
        <f t="shared" si="0"/>
        <v>122500</v>
      </c>
      <c r="H24" s="82">
        <f t="shared" si="1"/>
        <v>52500</v>
      </c>
      <c r="I24" s="82">
        <f t="shared" si="2"/>
        <v>70000</v>
      </c>
    </row>
    <row r="25" spans="1:9" ht="12.75" customHeight="1">
      <c r="E25" s="81">
        <v>42705</v>
      </c>
      <c r="F25" s="82">
        <v>4375</v>
      </c>
      <c r="G25" s="82">
        <f t="shared" si="0"/>
        <v>118125</v>
      </c>
      <c r="H25" s="82">
        <f t="shared" si="1"/>
        <v>52500</v>
      </c>
      <c r="I25" s="82">
        <f t="shared" si="2"/>
        <v>65625</v>
      </c>
    </row>
    <row r="26" spans="1:9" ht="12.75" customHeight="1">
      <c r="E26" s="81">
        <v>42736</v>
      </c>
      <c r="F26" s="82">
        <v>4375</v>
      </c>
      <c r="G26" s="82">
        <f t="shared" si="0"/>
        <v>113750</v>
      </c>
      <c r="H26" s="82">
        <f t="shared" si="1"/>
        <v>52500</v>
      </c>
      <c r="I26" s="82">
        <f t="shared" si="2"/>
        <v>61250</v>
      </c>
    </row>
    <row r="27" spans="1:9" ht="12.75" customHeight="1">
      <c r="E27" s="81">
        <v>42767</v>
      </c>
      <c r="F27" s="82">
        <v>4375</v>
      </c>
      <c r="G27" s="82">
        <f t="shared" si="0"/>
        <v>109375</v>
      </c>
      <c r="H27" s="82">
        <f t="shared" si="1"/>
        <v>52500</v>
      </c>
      <c r="I27" s="82">
        <f t="shared" si="2"/>
        <v>56875</v>
      </c>
    </row>
    <row r="28" spans="1:9" ht="12.75" customHeight="1">
      <c r="E28" s="81">
        <v>42795</v>
      </c>
      <c r="F28" s="82">
        <v>4375</v>
      </c>
      <c r="G28" s="82">
        <f t="shared" si="0"/>
        <v>105000</v>
      </c>
      <c r="H28" s="82">
        <f t="shared" si="1"/>
        <v>52500</v>
      </c>
      <c r="I28" s="82">
        <f t="shared" si="2"/>
        <v>52500</v>
      </c>
    </row>
    <row r="29" spans="1:9" ht="12.75" customHeight="1">
      <c r="E29" s="81">
        <v>42826</v>
      </c>
      <c r="F29" s="82">
        <v>4375</v>
      </c>
      <c r="G29" s="82">
        <f t="shared" si="0"/>
        <v>100625</v>
      </c>
      <c r="H29" s="82">
        <f t="shared" si="1"/>
        <v>52500</v>
      </c>
      <c r="I29" s="82">
        <f t="shared" si="2"/>
        <v>48125</v>
      </c>
    </row>
    <row r="30" spans="1:9" ht="12.75" customHeight="1">
      <c r="E30" s="81">
        <v>42856</v>
      </c>
      <c r="F30" s="82">
        <v>4375</v>
      </c>
      <c r="G30" s="82">
        <f t="shared" si="0"/>
        <v>96250</v>
      </c>
      <c r="H30" s="82">
        <f t="shared" si="1"/>
        <v>52500</v>
      </c>
      <c r="I30" s="82">
        <f t="shared" si="2"/>
        <v>43750</v>
      </c>
    </row>
    <row r="31" spans="1:9" ht="12.75" customHeight="1">
      <c r="E31" s="81">
        <v>42887</v>
      </c>
      <c r="F31" s="82">
        <v>4375</v>
      </c>
      <c r="G31" s="82">
        <f t="shared" si="0"/>
        <v>91875</v>
      </c>
      <c r="H31" s="82">
        <f t="shared" si="1"/>
        <v>52500</v>
      </c>
      <c r="I31" s="82">
        <f t="shared" ref="I31:I45" si="3">G31-H31</f>
        <v>39375</v>
      </c>
    </row>
    <row r="32" spans="1:9" ht="12.75" customHeight="1">
      <c r="E32" s="81">
        <v>42917</v>
      </c>
      <c r="F32" s="82">
        <v>4375</v>
      </c>
      <c r="G32" s="82">
        <f t="shared" si="0"/>
        <v>87500</v>
      </c>
      <c r="H32" s="82">
        <f t="shared" si="1"/>
        <v>52500</v>
      </c>
      <c r="I32" s="82">
        <f t="shared" si="3"/>
        <v>35000</v>
      </c>
    </row>
    <row r="33" spans="5:10" ht="12.75" customHeight="1">
      <c r="E33" s="81">
        <v>42948</v>
      </c>
      <c r="F33" s="82">
        <v>4375</v>
      </c>
      <c r="G33" s="82">
        <f t="shared" si="0"/>
        <v>83125</v>
      </c>
      <c r="H33" s="82">
        <f t="shared" si="1"/>
        <v>52500</v>
      </c>
      <c r="I33" s="82">
        <f t="shared" si="3"/>
        <v>30625</v>
      </c>
    </row>
    <row r="34" spans="5:10" ht="12.75" customHeight="1">
      <c r="E34" s="81">
        <v>42979</v>
      </c>
      <c r="F34" s="82">
        <v>4375</v>
      </c>
      <c r="G34" s="82">
        <f t="shared" si="0"/>
        <v>78750</v>
      </c>
      <c r="H34" s="82">
        <f t="shared" si="1"/>
        <v>52500</v>
      </c>
      <c r="I34" s="82">
        <f t="shared" si="3"/>
        <v>26250</v>
      </c>
    </row>
    <row r="35" spans="5:10" ht="12.75" customHeight="1">
      <c r="E35" s="81">
        <v>43009</v>
      </c>
      <c r="F35" s="82">
        <v>4375</v>
      </c>
      <c r="G35" s="82">
        <f t="shared" si="0"/>
        <v>74375</v>
      </c>
      <c r="H35" s="82">
        <f t="shared" si="1"/>
        <v>52500</v>
      </c>
      <c r="I35" s="82">
        <f t="shared" si="3"/>
        <v>21875</v>
      </c>
    </row>
    <row r="36" spans="5:10" ht="12.75" customHeight="1">
      <c r="E36" s="81">
        <v>43040</v>
      </c>
      <c r="F36" s="82">
        <v>4375</v>
      </c>
      <c r="G36" s="82">
        <f t="shared" ref="G36:G52" si="4">G35-F36</f>
        <v>70000</v>
      </c>
      <c r="H36" s="82">
        <f t="shared" si="1"/>
        <v>52500</v>
      </c>
      <c r="I36" s="82">
        <f t="shared" si="3"/>
        <v>17500</v>
      </c>
    </row>
    <row r="37" spans="5:10" ht="12.75" customHeight="1">
      <c r="E37" s="81">
        <v>43070</v>
      </c>
      <c r="F37" s="82">
        <v>4375</v>
      </c>
      <c r="G37" s="82">
        <f t="shared" si="4"/>
        <v>65625</v>
      </c>
      <c r="H37" s="82">
        <f t="shared" si="1"/>
        <v>52500</v>
      </c>
      <c r="I37" s="82">
        <f t="shared" si="3"/>
        <v>13125</v>
      </c>
    </row>
    <row r="38" spans="5:10" ht="12.75" customHeight="1">
      <c r="E38" s="81">
        <v>43101</v>
      </c>
      <c r="F38" s="82">
        <v>4375</v>
      </c>
      <c r="G38" s="82">
        <f t="shared" si="4"/>
        <v>61250</v>
      </c>
      <c r="H38" s="82">
        <f t="shared" si="1"/>
        <v>52500</v>
      </c>
      <c r="I38" s="82">
        <f t="shared" si="3"/>
        <v>8750</v>
      </c>
    </row>
    <row r="39" spans="5:10" ht="12.75" customHeight="1">
      <c r="E39" s="81">
        <v>43132</v>
      </c>
      <c r="F39" s="82">
        <v>4375</v>
      </c>
      <c r="G39" s="82">
        <f t="shared" si="4"/>
        <v>56875</v>
      </c>
      <c r="H39" s="82">
        <f t="shared" si="1"/>
        <v>52500</v>
      </c>
      <c r="I39" s="82">
        <f t="shared" si="3"/>
        <v>4375</v>
      </c>
      <c r="J39" s="28"/>
    </row>
    <row r="40" spans="5:10" ht="12.75" customHeight="1">
      <c r="E40" s="81">
        <v>43160</v>
      </c>
      <c r="F40" s="82">
        <v>4375</v>
      </c>
      <c r="G40" s="82">
        <f t="shared" si="4"/>
        <v>52500</v>
      </c>
      <c r="H40" s="82">
        <f t="shared" si="1"/>
        <v>52500</v>
      </c>
      <c r="I40" s="82">
        <f t="shared" si="3"/>
        <v>0</v>
      </c>
    </row>
    <row r="41" spans="5:10" ht="12.75" customHeight="1">
      <c r="E41" s="81">
        <v>43191</v>
      </c>
      <c r="F41" s="82">
        <v>4375</v>
      </c>
      <c r="G41" s="82">
        <f t="shared" si="4"/>
        <v>48125</v>
      </c>
      <c r="H41" s="82">
        <f>SUM(F42:$F$52)</f>
        <v>48125</v>
      </c>
      <c r="I41" s="82">
        <f t="shared" si="3"/>
        <v>0</v>
      </c>
    </row>
    <row r="42" spans="5:10" ht="12.75" customHeight="1">
      <c r="E42" s="81">
        <v>43221</v>
      </c>
      <c r="F42" s="82">
        <v>4375</v>
      </c>
      <c r="G42" s="82">
        <f t="shared" si="4"/>
        <v>43750</v>
      </c>
      <c r="H42" s="82">
        <f>SUM(F43:$F$52)</f>
        <v>43750</v>
      </c>
      <c r="I42" s="82">
        <f t="shared" si="3"/>
        <v>0</v>
      </c>
    </row>
    <row r="43" spans="5:10" ht="12.75" customHeight="1">
      <c r="E43" s="81">
        <v>43252</v>
      </c>
      <c r="F43" s="82">
        <v>4375</v>
      </c>
      <c r="G43" s="82">
        <f t="shared" si="4"/>
        <v>39375</v>
      </c>
      <c r="H43" s="82">
        <f>SUM(F44:$F$52)</f>
        <v>39375</v>
      </c>
      <c r="I43" s="82">
        <f t="shared" si="3"/>
        <v>0</v>
      </c>
    </row>
    <row r="44" spans="5:10" ht="12.75" customHeight="1">
      <c r="E44" s="81">
        <v>43282</v>
      </c>
      <c r="F44" s="82">
        <v>4375</v>
      </c>
      <c r="G44" s="82">
        <f t="shared" si="4"/>
        <v>35000</v>
      </c>
      <c r="H44" s="82">
        <f>SUM(F45:$F$52)</f>
        <v>35000</v>
      </c>
      <c r="I44" s="82">
        <f t="shared" si="3"/>
        <v>0</v>
      </c>
    </row>
    <row r="45" spans="5:10" ht="12.75" customHeight="1">
      <c r="E45" s="81">
        <v>43313</v>
      </c>
      <c r="F45" s="82">
        <v>4375</v>
      </c>
      <c r="G45" s="82">
        <f t="shared" si="4"/>
        <v>30625</v>
      </c>
      <c r="H45" s="82">
        <f>SUM(F46:$F$52)</f>
        <v>30625</v>
      </c>
      <c r="I45" s="82">
        <f t="shared" si="3"/>
        <v>0</v>
      </c>
    </row>
    <row r="46" spans="5:10" ht="12.75" customHeight="1">
      <c r="E46" s="81">
        <v>43344</v>
      </c>
      <c r="F46" s="82">
        <v>4375</v>
      </c>
      <c r="G46" s="82">
        <f t="shared" si="4"/>
        <v>26250</v>
      </c>
      <c r="H46" s="82">
        <f>SUM(F47:$F$52)</f>
        <v>26250</v>
      </c>
      <c r="I46" s="82">
        <f t="shared" ref="I46:I52" si="5">G46-H46</f>
        <v>0</v>
      </c>
    </row>
    <row r="47" spans="5:10" ht="12.75" customHeight="1">
      <c r="E47" s="81">
        <v>43374</v>
      </c>
      <c r="F47" s="82">
        <v>4375</v>
      </c>
      <c r="G47" s="82">
        <f t="shared" si="4"/>
        <v>21875</v>
      </c>
      <c r="H47" s="82">
        <f>SUM(F48:$F$52)</f>
        <v>21875</v>
      </c>
      <c r="I47" s="82">
        <f t="shared" si="5"/>
        <v>0</v>
      </c>
    </row>
    <row r="48" spans="5:10" ht="12.75" customHeight="1">
      <c r="E48" s="81">
        <v>43405</v>
      </c>
      <c r="F48" s="82">
        <v>4375</v>
      </c>
      <c r="G48" s="82">
        <f t="shared" si="4"/>
        <v>17500</v>
      </c>
      <c r="H48" s="82">
        <f>SUM(F49:$F$52)</f>
        <v>17500</v>
      </c>
      <c r="I48" s="82">
        <f t="shared" si="5"/>
        <v>0</v>
      </c>
    </row>
    <row r="49" spans="5:9" ht="12.75" customHeight="1">
      <c r="E49" s="81">
        <v>43435</v>
      </c>
      <c r="F49" s="82">
        <v>4375</v>
      </c>
      <c r="G49" s="82">
        <f t="shared" si="4"/>
        <v>13125</v>
      </c>
      <c r="H49" s="82">
        <f>SUM(F50:$F$52)</f>
        <v>13125</v>
      </c>
      <c r="I49" s="82">
        <f t="shared" si="5"/>
        <v>0</v>
      </c>
    </row>
    <row r="50" spans="5:9" ht="12.75" customHeight="1">
      <c r="E50" s="81">
        <v>43466</v>
      </c>
      <c r="F50" s="82">
        <v>4375</v>
      </c>
      <c r="G50" s="82">
        <f t="shared" si="4"/>
        <v>8750</v>
      </c>
      <c r="H50" s="82">
        <f>SUM(F51:$F$52)</f>
        <v>8750</v>
      </c>
      <c r="I50" s="82">
        <f t="shared" si="5"/>
        <v>0</v>
      </c>
    </row>
    <row r="51" spans="5:9" ht="12.75" customHeight="1">
      <c r="E51" s="81">
        <v>43497</v>
      </c>
      <c r="F51" s="82">
        <v>4375</v>
      </c>
      <c r="G51" s="82">
        <f t="shared" si="4"/>
        <v>4375</v>
      </c>
      <c r="H51" s="82">
        <f>SUM(F52:$F$52)</f>
        <v>4375</v>
      </c>
      <c r="I51" s="82">
        <f t="shared" si="5"/>
        <v>0</v>
      </c>
    </row>
    <row r="52" spans="5:9" ht="12.75" customHeight="1">
      <c r="E52" s="83">
        <v>43525</v>
      </c>
      <c r="F52" s="84">
        <v>4375</v>
      </c>
      <c r="G52" s="84">
        <f t="shared" si="4"/>
        <v>0</v>
      </c>
      <c r="H52" s="84">
        <v>0</v>
      </c>
      <c r="I52" s="84">
        <f t="shared" si="5"/>
        <v>0</v>
      </c>
    </row>
    <row r="53" spans="5:9" ht="12.75" customHeight="1">
      <c r="E53" s="75"/>
    </row>
    <row r="54" spans="5:9" ht="12.75" customHeight="1">
      <c r="E54" s="61" t="s">
        <v>362</v>
      </c>
      <c r="F54" s="85">
        <f>SUM(F4:F53)</f>
        <v>210000</v>
      </c>
    </row>
  </sheetData>
  <mergeCells count="1">
    <mergeCell ref="A1:C1"/>
  </mergeCells>
  <pageMargins left="0.75" right="0.75" top="1" bottom="1" header="0.5" footer="0.5"/>
  <pageSetup scale="59" orientation="portrait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C30"/>
  <sheetViews>
    <sheetView workbookViewId="0">
      <selection activeCell="A48" sqref="A48"/>
    </sheetView>
  </sheetViews>
  <sheetFormatPr defaultColWidth="9" defaultRowHeight="12.5"/>
  <cols>
    <col min="1" max="1" width="34.1796875" customWidth="1"/>
    <col min="2" max="2" width="21" customWidth="1"/>
    <col min="3" max="3" width="22.1796875" customWidth="1"/>
  </cols>
  <sheetData>
    <row r="1" spans="1:3" ht="13">
      <c r="A1" s="473" t="s">
        <v>364</v>
      </c>
      <c r="B1" s="473"/>
      <c r="C1" s="473"/>
    </row>
    <row r="2" spans="1:3" ht="13">
      <c r="A2" s="2"/>
      <c r="B2" s="2"/>
      <c r="C2" s="4"/>
    </row>
    <row r="3" spans="1:3" ht="13">
      <c r="A3" s="5" t="str">
        <f>+'Bonus Provision-2190.100'!A3</f>
        <v xml:space="preserve">BALANCE AS AT </v>
      </c>
      <c r="B3" s="2"/>
      <c r="C3" s="4"/>
    </row>
    <row r="4" spans="1:3">
      <c r="C4" s="1"/>
    </row>
    <row r="5" spans="1:3" ht="13">
      <c r="A5" s="5" t="s">
        <v>791</v>
      </c>
      <c r="C5" s="1"/>
    </row>
    <row r="6" spans="1:3" ht="13">
      <c r="A6" s="5"/>
      <c r="C6" s="1"/>
    </row>
    <row r="7" spans="1:3" ht="13">
      <c r="A7" s="5" t="s">
        <v>793</v>
      </c>
      <c r="C7" s="1"/>
    </row>
    <row r="8" spans="1:3" ht="13">
      <c r="A8" s="5"/>
      <c r="C8" s="1"/>
    </row>
    <row r="9" spans="1:3" ht="13">
      <c r="A9" s="5" t="s">
        <v>367</v>
      </c>
      <c r="C9" s="22" t="e">
        <f>'Trial Balance'!#REF!</f>
        <v>#REF!</v>
      </c>
    </row>
    <row r="10" spans="1:3" ht="13">
      <c r="A10" s="73"/>
      <c r="C10" s="1"/>
    </row>
    <row r="11" spans="1:3">
      <c r="A11" s="24"/>
      <c r="B11" s="24"/>
      <c r="C11" s="31"/>
    </row>
    <row r="12" spans="1:3">
      <c r="A12" s="24"/>
      <c r="B12" s="24"/>
      <c r="C12" s="31"/>
    </row>
    <row r="13" spans="1:3">
      <c r="A13" s="24"/>
      <c r="B13" s="24"/>
      <c r="C13" s="31"/>
    </row>
    <row r="14" spans="1:3" ht="13">
      <c r="A14" s="24"/>
      <c r="B14" s="24"/>
      <c r="C14" s="74">
        <f>SUM(C11:C13)</f>
        <v>0</v>
      </c>
    </row>
    <row r="15" spans="1:3">
      <c r="A15" s="24"/>
      <c r="C15" s="1"/>
    </row>
    <row r="16" spans="1:3">
      <c r="A16" s="18" t="s">
        <v>370</v>
      </c>
      <c r="C16" s="19" t="e">
        <f>C9-SUM(C14)</f>
        <v>#REF!</v>
      </c>
    </row>
    <row r="17" spans="1:3">
      <c r="C17" s="1"/>
    </row>
    <row r="18" spans="1:3">
      <c r="C18" s="1"/>
    </row>
    <row r="19" spans="1:3" ht="13">
      <c r="A19" s="5"/>
      <c r="C19" s="1"/>
    </row>
    <row r="20" spans="1:3">
      <c r="C20" s="1"/>
    </row>
    <row r="21" spans="1:3" ht="13">
      <c r="A21" s="25" t="str">
        <f>'Cash in Hand-1020'!A26</f>
        <v>Charmaine Chan</v>
      </c>
      <c r="C21" s="1"/>
    </row>
    <row r="22" spans="1:3" ht="13">
      <c r="A22" s="5" t="s">
        <v>372</v>
      </c>
      <c r="C22" s="1"/>
    </row>
    <row r="23" spans="1:3" ht="13">
      <c r="A23" s="5"/>
      <c r="C23" s="1"/>
    </row>
    <row r="24" spans="1:3" ht="13">
      <c r="A24" s="5"/>
      <c r="C24" s="1"/>
    </row>
    <row r="25" spans="1:3" ht="13">
      <c r="A25" s="5"/>
      <c r="C25" s="1"/>
    </row>
    <row r="26" spans="1:3" ht="13">
      <c r="A26" s="25"/>
      <c r="C26" s="1"/>
    </row>
    <row r="27" spans="1:3" ht="13">
      <c r="A27" s="5" t="s">
        <v>373</v>
      </c>
      <c r="C27" s="1"/>
    </row>
    <row r="28" spans="1:3">
      <c r="C28" s="1"/>
    </row>
    <row r="29" spans="1:3">
      <c r="C29" s="1"/>
    </row>
    <row r="30" spans="1:3">
      <c r="C30" s="1"/>
    </row>
  </sheetData>
  <mergeCells count="1">
    <mergeCell ref="A1:C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>
    <pageSetUpPr fitToPage="1"/>
  </sheetPr>
  <dimension ref="A1:H41"/>
  <sheetViews>
    <sheetView workbookViewId="0">
      <selection activeCell="R1" sqref="R1:R1048576"/>
    </sheetView>
  </sheetViews>
  <sheetFormatPr defaultColWidth="9" defaultRowHeight="12.5"/>
  <cols>
    <col min="1" max="1" width="37.81640625" customWidth="1"/>
    <col min="2" max="2" width="19.54296875" customWidth="1"/>
    <col min="3" max="3" width="13.1796875" customWidth="1"/>
    <col min="4" max="4" width="11.1796875" customWidth="1"/>
    <col min="6" max="6" width="25.1796875" customWidth="1"/>
    <col min="7" max="7" width="14" style="60" hidden="1" customWidth="1"/>
    <col min="8" max="8" width="14" style="60" customWidth="1"/>
  </cols>
  <sheetData>
    <row r="1" spans="1:8" ht="13">
      <c r="E1" s="3">
        <f>'Cash at Bank-1020.100'!D1</f>
        <v>44835</v>
      </c>
    </row>
    <row r="2" spans="1:8" ht="13">
      <c r="A2" s="5" t="str">
        <f>'Cash at Bank-1020.100'!A3</f>
        <v xml:space="preserve">BALANCE AS AT </v>
      </c>
      <c r="D2" s="1"/>
    </row>
    <row r="3" spans="1:8">
      <c r="D3" s="1"/>
    </row>
    <row r="4" spans="1:8" ht="13">
      <c r="A4" s="5" t="s">
        <v>361</v>
      </c>
      <c r="B4" s="5"/>
      <c r="C4" s="5"/>
      <c r="D4" s="22"/>
    </row>
    <row r="5" spans="1:8" ht="13">
      <c r="A5" s="5"/>
      <c r="B5" s="5"/>
      <c r="C5" s="5"/>
      <c r="D5" s="22"/>
    </row>
    <row r="6" spans="1:8" ht="13">
      <c r="A6" s="5" t="s">
        <v>792</v>
      </c>
      <c r="B6" s="5"/>
      <c r="C6" s="5"/>
      <c r="D6" s="22"/>
    </row>
    <row r="7" spans="1:8" ht="13">
      <c r="A7" s="5"/>
      <c r="B7" s="5"/>
      <c r="C7" s="5"/>
      <c r="D7" s="22"/>
    </row>
    <row r="8" spans="1:8" ht="13">
      <c r="A8" s="5" t="s">
        <v>367</v>
      </c>
      <c r="B8" s="5"/>
      <c r="C8" s="8">
        <f>'Trial Balance'!F77</f>
        <v>0</v>
      </c>
    </row>
    <row r="9" spans="1:8">
      <c r="C9" s="1"/>
    </row>
    <row r="10" spans="1:8" ht="14.5">
      <c r="C10" s="1"/>
      <c r="F10" s="47"/>
      <c r="G10" s="7">
        <v>44805</v>
      </c>
      <c r="H10" s="7">
        <f>G10+30</f>
        <v>44835</v>
      </c>
    </row>
    <row r="11" spans="1:8">
      <c r="C11" s="1"/>
      <c r="F11" s="53" t="s">
        <v>382</v>
      </c>
      <c r="G11" s="10">
        <v>0</v>
      </c>
      <c r="H11" s="10">
        <f>$C$8</f>
        <v>0</v>
      </c>
    </row>
    <row r="12" spans="1:8">
      <c r="B12" s="31"/>
      <c r="C12" s="31"/>
      <c r="E12" s="31"/>
      <c r="F12" s="53"/>
      <c r="G12" s="10"/>
      <c r="H12" s="10"/>
    </row>
    <row r="13" spans="1:8" ht="13">
      <c r="A13" s="61" t="s">
        <v>794</v>
      </c>
      <c r="B13" s="31"/>
      <c r="C13" s="31"/>
      <c r="E13" s="31"/>
      <c r="F13" s="53" t="s">
        <v>795</v>
      </c>
      <c r="G13" s="10"/>
      <c r="H13" s="10"/>
    </row>
    <row r="14" spans="1:8">
      <c r="A14" s="62"/>
      <c r="B14" s="31"/>
      <c r="C14" s="31"/>
      <c r="E14" s="31"/>
      <c r="F14" s="53"/>
      <c r="G14" s="10"/>
      <c r="H14" s="10"/>
    </row>
    <row r="15" spans="1:8">
      <c r="A15" s="62"/>
      <c r="B15" s="63"/>
      <c r="C15" s="31"/>
      <c r="E15" s="31"/>
      <c r="F15" s="53"/>
      <c r="G15" s="10"/>
      <c r="H15" s="10"/>
    </row>
    <row r="16" spans="1:8">
      <c r="A16" s="62"/>
      <c r="B16" s="63"/>
      <c r="C16" s="31"/>
      <c r="E16" s="31"/>
      <c r="F16" s="53"/>
      <c r="G16" s="10"/>
      <c r="H16" s="10"/>
    </row>
    <row r="17" spans="1:8">
      <c r="C17" s="31"/>
      <c r="E17" s="31"/>
      <c r="F17" s="53"/>
      <c r="G17" s="10"/>
      <c r="H17" s="10"/>
    </row>
    <row r="18" spans="1:8">
      <c r="A18" s="62"/>
      <c r="B18" s="64"/>
      <c r="C18" s="31"/>
      <c r="E18" s="31"/>
      <c r="F18" s="53"/>
      <c r="G18" s="10"/>
      <c r="H18" s="10"/>
    </row>
    <row r="19" spans="1:8">
      <c r="C19" s="31"/>
      <c r="E19" s="31"/>
      <c r="F19" s="53"/>
      <c r="G19" s="10"/>
      <c r="H19" s="10"/>
    </row>
    <row r="20" spans="1:8">
      <c r="A20" s="62"/>
      <c r="B20" s="31"/>
      <c r="C20" s="31"/>
      <c r="E20" s="31"/>
      <c r="F20" s="42"/>
      <c r="G20" s="57"/>
      <c r="H20" s="57"/>
    </row>
    <row r="21" spans="1:8" ht="13">
      <c r="A21" s="24"/>
      <c r="B21" s="65"/>
      <c r="C21" s="34"/>
      <c r="F21" s="66" t="s">
        <v>362</v>
      </c>
      <c r="G21" s="21">
        <v>0</v>
      </c>
      <c r="H21" s="21">
        <f t="shared" ref="H21" si="0">SUM(H12:H20)</f>
        <v>0</v>
      </c>
    </row>
    <row r="22" spans="1:8" ht="13">
      <c r="A22" s="5" t="s">
        <v>362</v>
      </c>
      <c r="B22" s="60"/>
      <c r="C22" s="34">
        <f>SUM(B11:B20)</f>
        <v>0</v>
      </c>
      <c r="F22" s="9"/>
      <c r="G22" s="67"/>
      <c r="H22" s="67"/>
    </row>
    <row r="23" spans="1:8">
      <c r="A23" s="24"/>
      <c r="B23" s="68"/>
      <c r="C23" s="1"/>
      <c r="F23" s="16" t="s">
        <v>370</v>
      </c>
      <c r="G23" s="27">
        <v>0</v>
      </c>
      <c r="H23" s="27">
        <f t="shared" ref="H23" si="1">H21-H11</f>
        <v>0</v>
      </c>
    </row>
    <row r="27" spans="1:8" ht="13">
      <c r="A27" s="13" t="s">
        <v>370</v>
      </c>
      <c r="B27" s="14"/>
      <c r="C27" s="69">
        <f>C8-C22</f>
        <v>0</v>
      </c>
    </row>
    <row r="30" spans="1:8" s="59" customFormat="1" ht="13">
      <c r="A30" s="70"/>
      <c r="F30"/>
      <c r="G30" s="60"/>
      <c r="H30" s="60"/>
    </row>
    <row r="34" spans="1:8" ht="13">
      <c r="A34" s="25" t="str">
        <f>'Cash at Bank-1020.100'!A26</f>
        <v>Charmaine Chan</v>
      </c>
    </row>
    <row r="35" spans="1:8" ht="13">
      <c r="A35" s="5" t="s">
        <v>372</v>
      </c>
      <c r="F35" s="59"/>
      <c r="G35" s="71"/>
      <c r="H35" s="71"/>
    </row>
    <row r="36" spans="1:8" ht="13">
      <c r="A36" s="5"/>
    </row>
    <row r="37" spans="1:8" ht="13">
      <c r="A37" s="5"/>
    </row>
    <row r="38" spans="1:8" ht="13">
      <c r="A38" s="5"/>
    </row>
    <row r="39" spans="1:8" ht="13">
      <c r="A39" s="25"/>
    </row>
    <row r="40" spans="1:8" ht="13">
      <c r="A40" s="5" t="s">
        <v>373</v>
      </c>
    </row>
    <row r="41" spans="1:8">
      <c r="A41" s="58"/>
    </row>
  </sheetData>
  <pageMargins left="0.7" right="0.7" top="0.75" bottom="0.75" header="0.3" footer="0.3"/>
  <pageSetup paperSize="9" scale="84" orientation="landscape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pageSetUpPr fitToPage="1"/>
  </sheetPr>
  <dimension ref="A1:S35"/>
  <sheetViews>
    <sheetView workbookViewId="0">
      <selection activeCell="I25" sqref="I25"/>
    </sheetView>
  </sheetViews>
  <sheetFormatPr defaultColWidth="9" defaultRowHeight="12.75" customHeight="1" outlineLevelCol="1"/>
  <cols>
    <col min="1" max="1" width="27.453125" customWidth="1"/>
    <col min="2" max="2" width="7.453125" customWidth="1"/>
    <col min="3" max="3" width="15.81640625" style="1" customWidth="1"/>
    <col min="4" max="4" width="19.81640625" customWidth="1"/>
    <col min="5" max="5" width="14.453125" customWidth="1"/>
    <col min="7" max="7" width="31.1796875" customWidth="1"/>
    <col min="8" max="10" width="11.81640625" customWidth="1" outlineLevel="1"/>
    <col min="11" max="11" width="11.81640625" customWidth="1" outlineLevel="1" collapsed="1"/>
    <col min="12" max="13" width="11.81640625" customWidth="1" outlineLevel="1"/>
    <col min="14" max="19" width="11.81640625" customWidth="1"/>
    <col min="20" max="20" width="9.1796875" customWidth="1"/>
  </cols>
  <sheetData>
    <row r="1" spans="1:19" ht="12.75" customHeight="1">
      <c r="A1" s="473" t="s">
        <v>364</v>
      </c>
      <c r="B1" s="473"/>
      <c r="C1" s="473"/>
      <c r="D1" s="3">
        <f>'Cash at Bank-1020.100'!D1</f>
        <v>44835</v>
      </c>
    </row>
    <row r="3" spans="1:19" ht="12.75" customHeight="1">
      <c r="A3" s="5" t="str">
        <f>'Cash at Bank-1020.100'!A3</f>
        <v xml:space="preserve">BALANCE AS AT </v>
      </c>
    </row>
    <row r="5" spans="1:19" ht="12.75" customHeight="1">
      <c r="A5" s="5" t="s">
        <v>796</v>
      </c>
      <c r="B5" s="5"/>
    </row>
    <row r="6" spans="1:19" ht="12.75" customHeight="1">
      <c r="A6" s="5"/>
      <c r="B6" s="5"/>
    </row>
    <row r="7" spans="1:19" ht="12.75" customHeight="1">
      <c r="A7" s="5" t="s">
        <v>797</v>
      </c>
      <c r="B7" s="5"/>
    </row>
    <row r="8" spans="1:19" ht="12.75" customHeight="1">
      <c r="A8" s="5"/>
      <c r="B8" s="5"/>
      <c r="G8" s="47"/>
      <c r="H8" s="7">
        <v>44470</v>
      </c>
      <c r="I8" s="7">
        <v>81025</v>
      </c>
      <c r="J8" s="7">
        <v>81055</v>
      </c>
      <c r="K8" s="7">
        <v>81086</v>
      </c>
      <c r="L8" s="7">
        <v>81117</v>
      </c>
      <c r="M8" s="7">
        <v>81145</v>
      </c>
      <c r="N8" s="7">
        <v>81176</v>
      </c>
      <c r="O8" s="7">
        <v>81206</v>
      </c>
      <c r="P8" s="7">
        <v>81237</v>
      </c>
      <c r="Q8" s="7">
        <v>81267</v>
      </c>
      <c r="R8" s="7">
        <v>81298</v>
      </c>
      <c r="S8" s="7">
        <v>81329</v>
      </c>
    </row>
    <row r="9" spans="1:19" ht="12.75" customHeight="1">
      <c r="A9" s="5" t="s">
        <v>367</v>
      </c>
      <c r="B9" s="5"/>
      <c r="C9" s="8">
        <f>'Trial Balance'!F78</f>
        <v>0.1</v>
      </c>
      <c r="G9" s="53" t="s">
        <v>382</v>
      </c>
      <c r="H9" s="10">
        <v>-31297.3</v>
      </c>
      <c r="I9" s="10">
        <v>-35173.25</v>
      </c>
      <c r="J9" s="10">
        <v>-36238.400000000001</v>
      </c>
      <c r="K9" s="10">
        <v>-39147.300000000003</v>
      </c>
      <c r="L9" s="10">
        <v>-27917.05</v>
      </c>
      <c r="M9" s="10">
        <f>C9</f>
        <v>0.1</v>
      </c>
      <c r="N9" s="10">
        <v>-36326.22</v>
      </c>
      <c r="O9" s="10">
        <v>-55225.599999999999</v>
      </c>
      <c r="P9" s="10">
        <v>-15015.05</v>
      </c>
      <c r="Q9" s="10">
        <v>10815.1</v>
      </c>
      <c r="R9" s="10">
        <v>0.1</v>
      </c>
      <c r="S9" s="10">
        <f>C9</f>
        <v>0.1</v>
      </c>
    </row>
    <row r="10" spans="1:19" ht="12.75" customHeight="1">
      <c r="C10" s="54"/>
      <c r="G10" s="42" t="s">
        <v>798</v>
      </c>
      <c r="H10" s="10">
        <v>-16481.200000002998</v>
      </c>
      <c r="I10" s="10">
        <v>-18391.800000000701</v>
      </c>
      <c r="J10" s="10">
        <v>-12853.4</v>
      </c>
      <c r="K10" s="10">
        <v>-15757.25</v>
      </c>
      <c r="L10" s="10">
        <v>-17303.550000000701</v>
      </c>
      <c r="M10" s="10">
        <v>-19473.100000001501</v>
      </c>
      <c r="N10" s="10">
        <v>-13823</v>
      </c>
      <c r="O10" s="10">
        <v>-24156.450000002998</v>
      </c>
      <c r="P10" s="10">
        <v>3155.4499999992499</v>
      </c>
      <c r="Q10" s="10">
        <v>6165.8499999977603</v>
      </c>
      <c r="R10" s="10"/>
      <c r="S10" s="10"/>
    </row>
    <row r="11" spans="1:19" ht="12.75" customHeight="1">
      <c r="C11" s="54"/>
      <c r="G11" s="42" t="s">
        <v>799</v>
      </c>
      <c r="H11" s="10">
        <v>-14816.200000000201</v>
      </c>
      <c r="I11" s="10">
        <v>-16781.550000000701</v>
      </c>
      <c r="J11" s="10">
        <v>-23385.1</v>
      </c>
      <c r="K11" s="10">
        <v>-23390.149999999401</v>
      </c>
      <c r="L11" s="10">
        <v>-10613.600000000601</v>
      </c>
      <c r="M11" s="10">
        <v>-16818.299999999799</v>
      </c>
      <c r="N11" s="10">
        <v>-22503.324999999299</v>
      </c>
      <c r="O11" s="10">
        <v>-31069.250000000899</v>
      </c>
      <c r="P11" s="10">
        <v>-18170.600000000599</v>
      </c>
      <c r="Q11" s="10">
        <v>4649.1499999994403</v>
      </c>
      <c r="R11" s="10"/>
      <c r="S11" s="10"/>
    </row>
    <row r="12" spans="1:19" ht="12.75" customHeight="1">
      <c r="A12" s="28"/>
      <c r="B12" s="28"/>
      <c r="C12" s="55"/>
      <c r="D12" s="30"/>
      <c r="E12" s="14"/>
      <c r="G12" s="9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</row>
    <row r="13" spans="1:19" ht="12.75" customHeight="1">
      <c r="A13" s="28"/>
      <c r="B13" s="28"/>
      <c r="C13" s="55"/>
      <c r="D13" s="56"/>
      <c r="E13" s="49"/>
      <c r="G13" s="9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</row>
    <row r="14" spans="1:19" ht="12.75" customHeight="1">
      <c r="A14" s="28"/>
      <c r="B14" s="28"/>
      <c r="C14" s="55"/>
      <c r="D14" s="56"/>
      <c r="E14" s="49"/>
      <c r="G14" s="39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</row>
    <row r="15" spans="1:19" ht="12.75" customHeight="1">
      <c r="A15" s="28"/>
      <c r="B15" s="28"/>
      <c r="C15" s="55"/>
      <c r="G15" s="20" t="s">
        <v>362</v>
      </c>
      <c r="H15" s="21">
        <f t="shared" ref="H15:S15" si="0">SUM(H10:H14)</f>
        <v>-31297.400000003199</v>
      </c>
      <c r="I15" s="21">
        <f t="shared" si="0"/>
        <v>-35173.350000001403</v>
      </c>
      <c r="J15" s="21">
        <f t="shared" si="0"/>
        <v>-36238.5</v>
      </c>
      <c r="K15" s="21">
        <f t="shared" si="0"/>
        <v>-39147.399999999398</v>
      </c>
      <c r="L15" s="21">
        <f t="shared" si="0"/>
        <v>-27917.150000001304</v>
      </c>
      <c r="M15" s="21">
        <f t="shared" si="0"/>
        <v>-36291.400000001304</v>
      </c>
      <c r="N15" s="21">
        <f t="shared" si="0"/>
        <v>-36326.324999999299</v>
      </c>
      <c r="O15" s="21">
        <f t="shared" si="0"/>
        <v>-55225.700000003897</v>
      </c>
      <c r="P15" s="21">
        <f t="shared" si="0"/>
        <v>-15015.150000001349</v>
      </c>
      <c r="Q15" s="21">
        <f t="shared" si="0"/>
        <v>10814.999999997201</v>
      </c>
      <c r="R15" s="21">
        <f t="shared" si="0"/>
        <v>0</v>
      </c>
      <c r="S15" s="21">
        <f t="shared" si="0"/>
        <v>0</v>
      </c>
    </row>
    <row r="16" spans="1:19" ht="12.75" customHeight="1">
      <c r="A16" s="28"/>
      <c r="B16" s="28"/>
      <c r="C16" s="55"/>
      <c r="G16" s="9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2.75" customHeight="1">
      <c r="A17" s="28"/>
      <c r="B17" s="28"/>
      <c r="C17" s="55"/>
      <c r="G17" s="16" t="s">
        <v>370</v>
      </c>
      <c r="H17" s="17">
        <f t="shared" ref="H17:S17" si="1">H15-H9</f>
        <v>-0.10000000319996616</v>
      </c>
      <c r="I17" s="17">
        <f t="shared" si="1"/>
        <v>-0.10000000140280463</v>
      </c>
      <c r="J17" s="17">
        <f t="shared" si="1"/>
        <v>-9.9999999998544808E-2</v>
      </c>
      <c r="K17" s="17">
        <f t="shared" si="1"/>
        <v>-9.9999999394640326E-2</v>
      </c>
      <c r="L17" s="17">
        <f t="shared" si="1"/>
        <v>-0.1000000013045792</v>
      </c>
      <c r="M17" s="17">
        <f t="shared" si="1"/>
        <v>-36291.500000001302</v>
      </c>
      <c r="N17" s="17">
        <f t="shared" si="1"/>
        <v>-0.10499999929743353</v>
      </c>
      <c r="O17" s="17">
        <f t="shared" si="1"/>
        <v>-0.10000000389845809</v>
      </c>
      <c r="P17" s="17">
        <f t="shared" si="1"/>
        <v>-0.10000000135005394</v>
      </c>
      <c r="Q17" s="17">
        <f t="shared" si="1"/>
        <v>-0.10000000279978849</v>
      </c>
      <c r="R17" s="17">
        <f t="shared" si="1"/>
        <v>-0.1</v>
      </c>
      <c r="S17" s="17">
        <f t="shared" si="1"/>
        <v>-0.1</v>
      </c>
    </row>
    <row r="18" spans="1:19" ht="12.75" customHeight="1">
      <c r="A18" s="33"/>
      <c r="B18" s="28"/>
      <c r="C18" s="55"/>
    </row>
    <row r="19" spans="1:19" ht="12.75" customHeight="1">
      <c r="A19" s="33"/>
      <c r="B19" s="28"/>
      <c r="C19" s="55"/>
    </row>
    <row r="20" spans="1:19" ht="12.75" customHeight="1">
      <c r="A20" s="58"/>
      <c r="B20" s="28"/>
      <c r="C20" s="55"/>
    </row>
    <row r="21" spans="1:19" ht="12.75" customHeight="1">
      <c r="A21" s="33"/>
      <c r="C21" s="55"/>
      <c r="D21" s="24"/>
      <c r="F21" s="24"/>
    </row>
    <row r="22" spans="1:19" ht="12.75" customHeight="1">
      <c r="A22" s="5" t="s">
        <v>362</v>
      </c>
      <c r="C22" s="8">
        <f>SUM(C10:C19)</f>
        <v>0</v>
      </c>
    </row>
    <row r="23" spans="1:19" ht="12.75" customHeight="1">
      <c r="C23" s="54"/>
    </row>
    <row r="24" spans="1:19" ht="12.75" customHeight="1">
      <c r="A24" s="14" t="s">
        <v>370</v>
      </c>
      <c r="C24" s="15">
        <f>C9-C22</f>
        <v>0.1</v>
      </c>
    </row>
    <row r="29" spans="1:19" ht="12.75" customHeight="1">
      <c r="A29" s="25" t="str">
        <f>'Cash in Hand-1020'!A26</f>
        <v>Charmaine Chan</v>
      </c>
    </row>
    <row r="30" spans="1:19" ht="12.75" customHeight="1">
      <c r="A30" s="5" t="s">
        <v>372</v>
      </c>
    </row>
    <row r="31" spans="1:19" ht="12.75" customHeight="1">
      <c r="A31" s="5"/>
    </row>
    <row r="32" spans="1:19" ht="12.75" customHeight="1">
      <c r="A32" s="5"/>
    </row>
    <row r="33" spans="1:1" ht="12.75" customHeight="1">
      <c r="A33" s="5"/>
    </row>
    <row r="34" spans="1:1" ht="12.75" customHeight="1">
      <c r="A34" s="25"/>
    </row>
    <row r="35" spans="1:1" ht="12.75" customHeight="1">
      <c r="A35" s="5" t="s">
        <v>373</v>
      </c>
    </row>
  </sheetData>
  <mergeCells count="1">
    <mergeCell ref="A1:C1"/>
  </mergeCells>
  <pageMargins left="0.75" right="0.75" top="1" bottom="1" header="0.5" footer="0.5"/>
  <pageSetup scale="67" orientation="landscape"/>
  <headerFooter alignWithMargins="0"/>
  <legacy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A1:F24"/>
  <sheetViews>
    <sheetView workbookViewId="0">
      <selection activeCell="F11" sqref="F11"/>
    </sheetView>
  </sheetViews>
  <sheetFormatPr defaultColWidth="9" defaultRowHeight="12.75" customHeight="1"/>
  <cols>
    <col min="1" max="1" width="33.1796875" customWidth="1"/>
    <col min="2" max="2" width="10.1796875" customWidth="1"/>
    <col min="3" max="3" width="15.81640625" style="1" customWidth="1"/>
    <col min="5" max="5" width="13.1796875" hidden="1" customWidth="1" collapsed="1"/>
    <col min="6" max="6" width="13.1796875" customWidth="1" collapsed="1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3" spans="1:6" ht="12.75" customHeight="1">
      <c r="A3" s="5" t="str">
        <f>'Cash at Bank-1020.100'!A3</f>
        <v xml:space="preserve">BALANCE AS AT </v>
      </c>
    </row>
    <row r="5" spans="1:6" ht="12.75" customHeight="1">
      <c r="A5" s="5" t="s">
        <v>800</v>
      </c>
      <c r="B5" s="5"/>
    </row>
    <row r="6" spans="1:6" ht="12.75" customHeight="1">
      <c r="A6" s="5"/>
      <c r="B6" s="5"/>
    </row>
    <row r="7" spans="1:6" ht="12.75" customHeight="1">
      <c r="A7" s="5" t="s">
        <v>801</v>
      </c>
      <c r="B7" s="5"/>
    </row>
    <row r="8" spans="1:6" ht="12.75" customHeight="1">
      <c r="A8" s="5"/>
      <c r="B8" s="5"/>
      <c r="D8" s="26"/>
      <c r="E8" s="7">
        <v>44805</v>
      </c>
      <c r="F8" s="7">
        <f>E8+30</f>
        <v>44835</v>
      </c>
    </row>
    <row r="9" spans="1:6" ht="12.75" customHeight="1">
      <c r="A9" s="5" t="s">
        <v>367</v>
      </c>
      <c r="B9" s="5"/>
      <c r="C9" s="8">
        <f>'Trial Balance'!F79</f>
        <v>-2316883.27</v>
      </c>
      <c r="D9" s="26"/>
      <c r="E9" s="10">
        <v>-2316883.27</v>
      </c>
      <c r="F9" s="10">
        <f>$C$9</f>
        <v>-2316883.27</v>
      </c>
    </row>
    <row r="10" spans="1:6" s="28" customFormat="1" ht="12.75" customHeight="1">
      <c r="C10" s="29"/>
      <c r="D10" s="38"/>
      <c r="E10" s="50"/>
      <c r="F10" s="50"/>
    </row>
    <row r="11" spans="1:6" s="28" customFormat="1" ht="12.75" customHeight="1">
      <c r="A11" s="30" t="s">
        <v>802</v>
      </c>
      <c r="C11" s="51">
        <f>SUMIF(E8:YW8,D1,E11:YW11)</f>
        <v>-2316883.2714</v>
      </c>
      <c r="D11" s="38"/>
      <c r="E11" s="52">
        <v>-2316883.2714</v>
      </c>
      <c r="F11" s="52">
        <f>'[7]Deferred Tax FY21'!$J$120</f>
        <v>-2316883.2714</v>
      </c>
    </row>
    <row r="12" spans="1:6" ht="12.75" customHeight="1">
      <c r="C12" s="32"/>
      <c r="D12" s="26"/>
      <c r="E12" s="12"/>
      <c r="F12" s="12"/>
    </row>
    <row r="13" spans="1:6" ht="12.75" customHeight="1">
      <c r="A13" s="13" t="s">
        <v>370</v>
      </c>
      <c r="B13" s="14"/>
      <c r="C13" s="15">
        <f>C9-C11</f>
        <v>1.39999995008111E-3</v>
      </c>
      <c r="D13" s="26"/>
      <c r="E13" s="17">
        <v>-1.39999995008111E-3</v>
      </c>
      <c r="F13" s="17">
        <f t="shared" ref="F13" si="0">F11-F9</f>
        <v>-1.39999995008111E-3</v>
      </c>
    </row>
    <row r="14" spans="1:6" ht="12.75" customHeight="1">
      <c r="A14" s="18"/>
      <c r="C14" s="19"/>
    </row>
    <row r="18" spans="1:1" ht="12.75" customHeight="1">
      <c r="A18" s="25" t="str">
        <f>'Cash in Hand-1020'!A26</f>
        <v>Charmaine Chan</v>
      </c>
    </row>
    <row r="19" spans="1:1" ht="12.75" customHeight="1">
      <c r="A19" s="5" t="s">
        <v>372</v>
      </c>
    </row>
    <row r="20" spans="1:1" ht="12.75" customHeight="1">
      <c r="A20" s="5"/>
    </row>
    <row r="21" spans="1:1" ht="12.75" customHeight="1">
      <c r="A21" s="5"/>
    </row>
    <row r="22" spans="1:1" ht="12.75" customHeight="1">
      <c r="A22" s="5"/>
    </row>
    <row r="23" spans="1:1" ht="12.75" customHeight="1">
      <c r="A23" s="25"/>
    </row>
    <row r="24" spans="1:1" ht="12.75" customHeight="1">
      <c r="A24" s="5" t="s">
        <v>373</v>
      </c>
    </row>
  </sheetData>
  <mergeCells count="1">
    <mergeCell ref="A1:C1"/>
  </mergeCells>
  <pageMargins left="0.75" right="0.75" top="1" bottom="1" header="0.5" footer="0.5"/>
  <pageSetup orientation="landscape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pageSetUpPr fitToPage="1"/>
  </sheetPr>
  <dimension ref="A1:G37"/>
  <sheetViews>
    <sheetView topLeftCell="A4" workbookViewId="0">
      <selection activeCell="Q1" sqref="Q1:Q1048576"/>
    </sheetView>
  </sheetViews>
  <sheetFormatPr defaultColWidth="9" defaultRowHeight="12.75" customHeight="1"/>
  <cols>
    <col min="1" max="1" width="49.1796875" customWidth="1"/>
    <col min="2" max="2" width="15.81640625" customWidth="1"/>
    <col min="3" max="3" width="15.81640625" style="1" customWidth="1"/>
    <col min="5" max="5" width="45.81640625" customWidth="1"/>
    <col min="6" max="6" width="13.1796875" hidden="1" customWidth="1" collapsed="1"/>
    <col min="7" max="7" width="13.1796875" customWidth="1" collapsed="1"/>
  </cols>
  <sheetData>
    <row r="1" spans="1:7" ht="12.75" customHeight="1">
      <c r="A1" s="473" t="s">
        <v>364</v>
      </c>
      <c r="B1" s="473"/>
      <c r="C1" s="473"/>
      <c r="D1" s="3">
        <f>'Cash at Bank-1020.100'!D1</f>
        <v>44835</v>
      </c>
    </row>
    <row r="3" spans="1:7" ht="12.75" customHeight="1">
      <c r="A3" s="5" t="str">
        <f>'Deferred Income-2310'!A3</f>
        <v xml:space="preserve">BALANCE AS AT </v>
      </c>
    </row>
    <row r="5" spans="1:7" ht="12.75" customHeight="1">
      <c r="A5" s="5" t="s">
        <v>803</v>
      </c>
      <c r="B5" s="5"/>
    </row>
    <row r="6" spans="1:7" ht="12.75" customHeight="1">
      <c r="A6" s="5"/>
      <c r="B6" s="5"/>
    </row>
    <row r="7" spans="1:7" ht="12.75" customHeight="1">
      <c r="A7" s="5" t="s">
        <v>804</v>
      </c>
      <c r="B7" s="5"/>
    </row>
    <row r="8" spans="1:7" ht="12.75" customHeight="1">
      <c r="A8" s="5"/>
      <c r="B8" s="5"/>
      <c r="D8" s="26"/>
      <c r="E8" s="6"/>
      <c r="F8" s="7">
        <v>44805</v>
      </c>
      <c r="G8" s="7">
        <f>F8+30</f>
        <v>44835</v>
      </c>
    </row>
    <row r="9" spans="1:7" ht="12.75" customHeight="1">
      <c r="A9" s="5" t="s">
        <v>367</v>
      </c>
      <c r="B9" s="5"/>
      <c r="C9" s="35">
        <f>'Trial Balance'!F81</f>
        <v>-3100000</v>
      </c>
      <c r="D9" s="26"/>
      <c r="E9" s="9" t="s">
        <v>382</v>
      </c>
      <c r="F9" s="36">
        <v>-3100000</v>
      </c>
      <c r="G9" s="36">
        <f>$C$9</f>
        <v>-3100000</v>
      </c>
    </row>
    <row r="10" spans="1:7" s="28" customFormat="1" ht="12.75" customHeight="1">
      <c r="C10" s="37"/>
      <c r="D10" s="38"/>
      <c r="E10" s="39"/>
      <c r="F10" s="40"/>
      <c r="G10" s="40"/>
    </row>
    <row r="11" spans="1:7" s="28" customFormat="1" ht="12.75" customHeight="1">
      <c r="A11" s="30" t="s">
        <v>805</v>
      </c>
      <c r="C11" s="35">
        <v>-350000</v>
      </c>
      <c r="D11" s="38"/>
      <c r="E11" s="39" t="s">
        <v>805</v>
      </c>
      <c r="F11" s="41">
        <v>-350000</v>
      </c>
      <c r="G11" s="41">
        <f t="shared" ref="G11:G12" si="0">-350000</f>
        <v>-350000</v>
      </c>
    </row>
    <row r="12" spans="1:7" s="28" customFormat="1" ht="12.75" customHeight="1">
      <c r="A12" s="30" t="s">
        <v>806</v>
      </c>
      <c r="C12" s="35">
        <v>-350000</v>
      </c>
      <c r="D12" s="38"/>
      <c r="E12" s="39" t="s">
        <v>806</v>
      </c>
      <c r="F12" s="41">
        <v>-350000</v>
      </c>
      <c r="G12" s="41">
        <f t="shared" si="0"/>
        <v>-350000</v>
      </c>
    </row>
    <row r="13" spans="1:7" s="28" customFormat="1" ht="12.75" customHeight="1">
      <c r="A13" s="30" t="s">
        <v>807</v>
      </c>
      <c r="C13" s="35">
        <v>-250000</v>
      </c>
      <c r="D13" s="38"/>
      <c r="E13" s="39" t="s">
        <v>807</v>
      </c>
      <c r="F13" s="41">
        <v>-250000</v>
      </c>
      <c r="G13" s="41">
        <f t="shared" ref="G13" si="1">-250000</f>
        <v>-250000</v>
      </c>
    </row>
    <row r="14" spans="1:7" s="28" customFormat="1" ht="12.75" customHeight="1">
      <c r="A14" s="30" t="s">
        <v>808</v>
      </c>
      <c r="C14" s="35">
        <v>-300000</v>
      </c>
      <c r="D14" s="38"/>
      <c r="E14" s="39" t="s">
        <v>808</v>
      </c>
      <c r="F14" s="41">
        <v>-300000</v>
      </c>
      <c r="G14" s="41">
        <f t="shared" ref="G14" si="2">-300000</f>
        <v>-300000</v>
      </c>
    </row>
    <row r="15" spans="1:7" s="28" customFormat="1" ht="12.75" customHeight="1">
      <c r="A15" s="30" t="s">
        <v>809</v>
      </c>
      <c r="C15" s="35">
        <v>-250000</v>
      </c>
      <c r="D15" s="38"/>
      <c r="E15" s="39" t="s">
        <v>809</v>
      </c>
      <c r="F15" s="41">
        <v>-250000</v>
      </c>
      <c r="G15" s="41">
        <f t="shared" ref="G15" si="3">-250000</f>
        <v>-250000</v>
      </c>
    </row>
    <row r="16" spans="1:7" s="28" customFormat="1" ht="12.75" customHeight="1">
      <c r="A16" s="30" t="s">
        <v>810</v>
      </c>
      <c r="C16" s="35">
        <v>-300000</v>
      </c>
      <c r="D16" s="38"/>
      <c r="E16" s="42" t="s">
        <v>810</v>
      </c>
      <c r="F16" s="41">
        <v>-300000</v>
      </c>
      <c r="G16" s="41">
        <f t="shared" ref="G16" si="4">-300000</f>
        <v>-300000</v>
      </c>
    </row>
    <row r="17" spans="1:7" s="28" customFormat="1" ht="12.75" customHeight="1">
      <c r="A17" s="30" t="s">
        <v>811</v>
      </c>
      <c r="C17" s="35">
        <v>-250000</v>
      </c>
      <c r="D17" s="38"/>
      <c r="E17" s="42" t="s">
        <v>811</v>
      </c>
      <c r="F17" s="41">
        <v>-250000</v>
      </c>
      <c r="G17" s="41">
        <f t="shared" ref="G17" si="5">-250000</f>
        <v>-250000</v>
      </c>
    </row>
    <row r="18" spans="1:7" s="28" customFormat="1" ht="12.75" customHeight="1">
      <c r="A18" s="30" t="s">
        <v>812</v>
      </c>
      <c r="C18" s="35">
        <v>-300000</v>
      </c>
      <c r="D18" s="38"/>
      <c r="E18" s="42" t="s">
        <v>812</v>
      </c>
      <c r="F18" s="41">
        <v>-300000</v>
      </c>
      <c r="G18" s="41">
        <f t="shared" ref="G18" si="6">-300000</f>
        <v>-300000</v>
      </c>
    </row>
    <row r="19" spans="1:7" s="28" customFormat="1" ht="12.75" customHeight="1">
      <c r="A19" s="30" t="s">
        <v>813</v>
      </c>
      <c r="C19" s="35">
        <v>-250000</v>
      </c>
      <c r="D19" s="38"/>
      <c r="E19" s="42" t="s">
        <v>813</v>
      </c>
      <c r="F19" s="41">
        <v>-250000</v>
      </c>
      <c r="G19" s="41">
        <f t="shared" ref="G19" si="7">-250000</f>
        <v>-250000</v>
      </c>
    </row>
    <row r="20" spans="1:7" s="28" customFormat="1" ht="12.75" customHeight="1">
      <c r="A20" s="30" t="s">
        <v>814</v>
      </c>
      <c r="C20" s="35">
        <v>-500000</v>
      </c>
      <c r="D20" s="38"/>
      <c r="E20" s="39" t="s">
        <v>814</v>
      </c>
      <c r="F20" s="41">
        <v>-500000</v>
      </c>
      <c r="G20" s="41">
        <f t="shared" ref="G20" si="8">-500000</f>
        <v>-500000</v>
      </c>
    </row>
    <row r="21" spans="1:7" s="28" customFormat="1" ht="12.75" customHeight="1">
      <c r="A21" s="30" t="s">
        <v>815</v>
      </c>
      <c r="C21" s="35">
        <v>1500000</v>
      </c>
      <c r="D21" s="38"/>
      <c r="E21" s="42" t="s">
        <v>815</v>
      </c>
      <c r="F21" s="41">
        <v>1500000</v>
      </c>
      <c r="G21" s="41">
        <f t="shared" ref="G21" si="9">1500000</f>
        <v>1500000</v>
      </c>
    </row>
    <row r="22" spans="1:7" s="28" customFormat="1" ht="12.75" customHeight="1">
      <c r="A22" s="30" t="s">
        <v>816</v>
      </c>
      <c r="C22" s="35">
        <v>-500000</v>
      </c>
      <c r="D22" s="38"/>
      <c r="E22" s="42" t="s">
        <v>816</v>
      </c>
      <c r="F22" s="41">
        <v>-500000</v>
      </c>
      <c r="G22" s="41">
        <f t="shared" ref="G22" si="10">-500000</f>
        <v>-500000</v>
      </c>
    </row>
    <row r="23" spans="1:7" s="28" customFormat="1" ht="12.75" customHeight="1">
      <c r="A23" s="30" t="s">
        <v>817</v>
      </c>
      <c r="C23" s="35">
        <v>-500000</v>
      </c>
      <c r="D23" s="38"/>
      <c r="E23" s="42" t="s">
        <v>817</v>
      </c>
      <c r="F23" s="41">
        <v>-500000</v>
      </c>
      <c r="G23" s="41"/>
    </row>
    <row r="24" spans="1:7" s="28" customFormat="1" ht="12.75" customHeight="1">
      <c r="A24" s="30" t="s">
        <v>818</v>
      </c>
      <c r="C24" s="35">
        <v>-500000</v>
      </c>
      <c r="D24" s="38"/>
      <c r="E24" s="42" t="s">
        <v>818</v>
      </c>
      <c r="F24" s="41">
        <v>-500000</v>
      </c>
      <c r="G24" s="41"/>
    </row>
    <row r="25" spans="1:7" ht="12.75" customHeight="1">
      <c r="C25" s="43">
        <f>SUM(C11:C24)</f>
        <v>-3100000</v>
      </c>
      <c r="D25" s="26"/>
      <c r="E25" s="20" t="s">
        <v>362</v>
      </c>
      <c r="F25" s="44">
        <v>-3100000</v>
      </c>
      <c r="G25" s="44">
        <f t="shared" ref="G25" si="11">SUM(G11:G24)</f>
        <v>-2100000</v>
      </c>
    </row>
    <row r="26" spans="1:7" ht="12.75" customHeight="1">
      <c r="C26" s="45"/>
      <c r="D26" s="26"/>
      <c r="E26" s="9"/>
      <c r="F26" s="46"/>
      <c r="G26" s="46"/>
    </row>
    <row r="27" spans="1:7" ht="12.75" customHeight="1">
      <c r="C27" s="45"/>
      <c r="D27" s="26"/>
      <c r="E27" s="47" t="s">
        <v>370</v>
      </c>
      <c r="F27" s="48">
        <v>0</v>
      </c>
      <c r="G27" s="48">
        <f t="shared" ref="G27" si="12">G25-G9</f>
        <v>1000000</v>
      </c>
    </row>
    <row r="28" spans="1:7" ht="12.75" customHeight="1">
      <c r="A28" s="13" t="s">
        <v>370</v>
      </c>
      <c r="B28" s="14"/>
      <c r="C28" s="49">
        <f>C9-C25</f>
        <v>0</v>
      </c>
    </row>
    <row r="31" spans="1:7" ht="12.75" customHeight="1">
      <c r="A31" s="25" t="str">
        <f>'Cash in Hand-1020'!A26</f>
        <v>Charmaine Chan</v>
      </c>
    </row>
    <row r="32" spans="1:7" ht="12.75" customHeight="1">
      <c r="A32" s="5" t="s">
        <v>372</v>
      </c>
    </row>
    <row r="33" spans="1:1" ht="12.75" customHeight="1">
      <c r="A33" s="5"/>
    </row>
    <row r="34" spans="1:1" ht="12.75" customHeight="1">
      <c r="A34" s="5"/>
    </row>
    <row r="35" spans="1:1" ht="12.75" customHeight="1">
      <c r="A35" s="5"/>
    </row>
    <row r="36" spans="1:1" ht="12.75" customHeight="1">
      <c r="A36" s="25"/>
    </row>
    <row r="37" spans="1:1" ht="12.75" customHeight="1">
      <c r="A37" s="5" t="s">
        <v>373</v>
      </c>
    </row>
  </sheetData>
  <mergeCells count="1">
    <mergeCell ref="A1:C1"/>
  </mergeCells>
  <pageMargins left="0.75" right="0.75" top="1" bottom="1" header="0.5" footer="0.5"/>
  <pageSetup scale="70" orientation="landscape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25"/>
  <sheetViews>
    <sheetView workbookViewId="0">
      <selection activeCell="F14" sqref="F14"/>
    </sheetView>
  </sheetViews>
  <sheetFormatPr defaultColWidth="9" defaultRowHeight="12.75" customHeight="1"/>
  <cols>
    <col min="1" max="1" width="40.81640625" customWidth="1"/>
    <col min="2" max="2" width="15.81640625" customWidth="1"/>
    <col min="3" max="3" width="15.81640625" style="1" customWidth="1"/>
  </cols>
  <sheetData>
    <row r="1" spans="1:3" ht="12.75" customHeight="1">
      <c r="A1" s="473" t="s">
        <v>364</v>
      </c>
      <c r="B1" s="473"/>
      <c r="C1" s="473"/>
    </row>
    <row r="3" spans="1:3" ht="12.75" customHeight="1">
      <c r="A3" s="5" t="str">
        <f>'Deferred Income-2310'!A3</f>
        <v xml:space="preserve">BALANCE AS AT </v>
      </c>
    </row>
    <row r="5" spans="1:3" ht="12.75" customHeight="1">
      <c r="A5" s="5" t="s">
        <v>819</v>
      </c>
      <c r="B5" s="5"/>
    </row>
    <row r="6" spans="1:3" ht="12.75" customHeight="1">
      <c r="A6" s="5"/>
      <c r="B6" s="5"/>
    </row>
    <row r="7" spans="1:3" ht="12.75" customHeight="1">
      <c r="A7" s="5" t="s">
        <v>820</v>
      </c>
      <c r="B7" s="5"/>
    </row>
    <row r="8" spans="1:3" ht="12.75" customHeight="1">
      <c r="A8" s="5"/>
      <c r="B8" s="5"/>
    </row>
    <row r="9" spans="1:3" ht="12.75" customHeight="1">
      <c r="A9" s="5" t="s">
        <v>367</v>
      </c>
      <c r="B9" s="5"/>
      <c r="C9" s="8" t="e">
        <f>'Trial Balance'!#REF!</f>
        <v>#REF!</v>
      </c>
    </row>
    <row r="10" spans="1:3" s="28" customFormat="1" ht="12.75" customHeight="1">
      <c r="C10" s="29"/>
    </row>
    <row r="11" spans="1:3" s="28" customFormat="1" ht="12.75" customHeight="1">
      <c r="A11" s="33"/>
      <c r="C11" s="34"/>
    </row>
    <row r="12" spans="1:3" s="28" customFormat="1" ht="12.75" customHeight="1">
      <c r="A12" s="33" t="s">
        <v>821</v>
      </c>
      <c r="C12" s="34">
        <f>-'St Debt-2245'!I40</f>
        <v>0</v>
      </c>
    </row>
    <row r="13" spans="1:3" ht="12.75" customHeight="1">
      <c r="C13" s="32"/>
    </row>
    <row r="14" spans="1:3" ht="12.75" customHeight="1">
      <c r="A14" s="18" t="s">
        <v>370</v>
      </c>
      <c r="C14" s="19" t="e">
        <f>C9-C12</f>
        <v>#REF!</v>
      </c>
    </row>
    <row r="15" spans="1:3" ht="12.75" customHeight="1">
      <c r="A15" s="18"/>
      <c r="C15" s="19"/>
    </row>
    <row r="19" spans="1:1" ht="12.75" customHeight="1">
      <c r="A19" s="25" t="str">
        <f>'Cash in Hand-1020'!A26</f>
        <v>Charmaine Chan</v>
      </c>
    </row>
    <row r="20" spans="1:1" ht="12.75" customHeight="1">
      <c r="A20" s="5" t="s">
        <v>372</v>
      </c>
    </row>
    <row r="21" spans="1:1" ht="12.75" customHeight="1">
      <c r="A21" s="5"/>
    </row>
    <row r="22" spans="1:1" ht="12.75" customHeight="1">
      <c r="A22" s="5"/>
    </row>
    <row r="23" spans="1:1" ht="12.75" customHeight="1">
      <c r="A23" s="5"/>
    </row>
    <row r="24" spans="1:1" ht="12.75" customHeight="1">
      <c r="A24" s="25"/>
    </row>
    <row r="25" spans="1:1" ht="12.75" customHeight="1">
      <c r="A25" s="5" t="s">
        <v>373</v>
      </c>
    </row>
  </sheetData>
  <mergeCells count="1">
    <mergeCell ref="A1:C1"/>
  </mergeCells>
  <pageMargins left="0.75" right="0.75" top="1" bottom="1" header="0.5" footer="0.5"/>
  <pageSetup orientation="portrait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F24"/>
  <sheetViews>
    <sheetView workbookViewId="0">
      <selection activeCell="P1" sqref="P1:P1048576"/>
    </sheetView>
  </sheetViews>
  <sheetFormatPr defaultColWidth="9" defaultRowHeight="12.5"/>
  <cols>
    <col min="1" max="1" width="34" customWidth="1"/>
    <col min="3" max="3" width="13.81640625" customWidth="1"/>
    <col min="5" max="5" width="13.1796875" hidden="1" customWidth="1" collapsed="1"/>
    <col min="6" max="6" width="13.1796875" customWidth="1" collapsed="1"/>
  </cols>
  <sheetData>
    <row r="1" spans="1:6" ht="13">
      <c r="A1" s="473" t="s">
        <v>364</v>
      </c>
      <c r="B1" s="473"/>
      <c r="C1" s="473"/>
      <c r="D1" s="3">
        <f>'Cash at Bank-1020.100'!D1</f>
        <v>44835</v>
      </c>
    </row>
    <row r="2" spans="1:6">
      <c r="C2" s="1"/>
    </row>
    <row r="3" spans="1:6" ht="13">
      <c r="A3" s="5" t="str">
        <f>'Cash at Bank-1020.100'!A3</f>
        <v xml:space="preserve">BALANCE AS AT </v>
      </c>
      <c r="C3" s="1"/>
    </row>
    <row r="4" spans="1:6">
      <c r="C4" s="1"/>
    </row>
    <row r="5" spans="1:6" ht="13">
      <c r="A5" s="5" t="s">
        <v>84</v>
      </c>
      <c r="B5" s="5"/>
      <c r="C5" s="1"/>
    </row>
    <row r="6" spans="1:6" ht="13">
      <c r="A6" s="5"/>
      <c r="B6" s="5"/>
      <c r="C6" s="1"/>
    </row>
    <row r="7" spans="1:6" ht="13">
      <c r="A7" s="5" t="s">
        <v>822</v>
      </c>
      <c r="B7" s="5"/>
      <c r="C7" s="1"/>
    </row>
    <row r="8" spans="1:6" ht="14.5">
      <c r="A8" s="5"/>
      <c r="B8" s="5"/>
      <c r="C8" s="1"/>
      <c r="D8" s="26"/>
      <c r="E8" s="7">
        <v>44805</v>
      </c>
      <c r="F8" s="7">
        <f>E8+30</f>
        <v>44835</v>
      </c>
    </row>
    <row r="9" spans="1:6" ht="13">
      <c r="A9" s="5" t="s">
        <v>367</v>
      </c>
      <c r="B9" s="5"/>
      <c r="C9" s="8">
        <f>'Trial Balance'!F80</f>
        <v>-1722457.49</v>
      </c>
      <c r="D9" s="26"/>
      <c r="E9" s="10">
        <v>-1722457.49</v>
      </c>
      <c r="F9" s="10">
        <f>$C$9</f>
        <v>-1722457.49</v>
      </c>
    </row>
    <row r="10" spans="1:6">
      <c r="A10" s="28"/>
      <c r="B10" s="28"/>
      <c r="C10" s="29"/>
      <c r="D10" s="26"/>
      <c r="E10" s="12"/>
      <c r="F10" s="12"/>
    </row>
    <row r="11" spans="1:6" ht="13">
      <c r="A11" s="30" t="s">
        <v>823</v>
      </c>
      <c r="B11" s="28"/>
      <c r="C11" s="31">
        <f>SUMIF(E8:YW8,D1,E11:YW11)</f>
        <v>-1722458.8869564701</v>
      </c>
      <c r="D11" s="26"/>
      <c r="E11" s="10">
        <v>-1722458.8869564701</v>
      </c>
      <c r="F11" s="10">
        <f>-'[9]1663737443289'!$AI$22</f>
        <v>-1722458.8869564701</v>
      </c>
    </row>
    <row r="12" spans="1:6">
      <c r="C12" s="32"/>
      <c r="D12" s="26"/>
      <c r="E12" s="12"/>
      <c r="F12" s="12"/>
    </row>
    <row r="13" spans="1:6" ht="13">
      <c r="A13" s="13" t="s">
        <v>370</v>
      </c>
      <c r="B13" s="14"/>
      <c r="C13" s="15">
        <f>C9-C11</f>
        <v>1.3969564700964838</v>
      </c>
      <c r="D13" s="26"/>
      <c r="E13" s="17">
        <v>-1.3969564700964838</v>
      </c>
      <c r="F13" s="17">
        <f t="shared" ref="F13" si="0">F11-F9</f>
        <v>-1.3969564700964838</v>
      </c>
    </row>
    <row r="14" spans="1:6">
      <c r="A14" s="18"/>
      <c r="C14" s="19"/>
    </row>
    <row r="15" spans="1:6">
      <c r="C15" s="1"/>
    </row>
    <row r="16" spans="1:6">
      <c r="C16" s="1"/>
    </row>
    <row r="17" spans="1:3">
      <c r="C17" s="1"/>
    </row>
    <row r="18" spans="1:3" ht="13">
      <c r="A18" s="25" t="str">
        <f>'Cash in Hand-1020'!A26</f>
        <v>Charmaine Chan</v>
      </c>
      <c r="C18" s="1"/>
    </row>
    <row r="19" spans="1:3" ht="13">
      <c r="A19" s="5" t="s">
        <v>372</v>
      </c>
      <c r="C19" s="1"/>
    </row>
    <row r="20" spans="1:3" ht="13">
      <c r="A20" s="5"/>
      <c r="C20" s="1"/>
    </row>
    <row r="21" spans="1:3" ht="13">
      <c r="A21" s="5"/>
      <c r="C21" s="1"/>
    </row>
    <row r="22" spans="1:3" ht="13">
      <c r="A22" s="5"/>
      <c r="C22" s="1"/>
    </row>
    <row r="23" spans="1:3" ht="13">
      <c r="A23" s="25"/>
      <c r="C23" s="1"/>
    </row>
    <row r="24" spans="1:3" ht="13">
      <c r="A24" s="5" t="s">
        <v>373</v>
      </c>
      <c r="C24" s="1"/>
    </row>
  </sheetData>
  <mergeCells count="1">
    <mergeCell ref="A1:C1"/>
  </mergeCells>
  <pageMargins left="0.7" right="0.7" top="0.75" bottom="0.75" header="0.3" footer="0.3"/>
  <pageSetup paperSize="9" orientation="landscape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pageSetUpPr fitToPage="1"/>
  </sheetPr>
  <dimension ref="A1:F26"/>
  <sheetViews>
    <sheetView workbookViewId="0">
      <selection activeCell="C12" sqref="C12"/>
    </sheetView>
  </sheetViews>
  <sheetFormatPr defaultColWidth="9" defaultRowHeight="12.75" customHeight="1"/>
  <cols>
    <col min="1" max="1" width="40.81640625" customWidth="1"/>
    <col min="2" max="2" width="10.1796875" customWidth="1"/>
    <col min="3" max="3" width="15.81640625" style="1" customWidth="1"/>
    <col min="5" max="5" width="13.54296875" hidden="1" customWidth="1" collapsed="1"/>
    <col min="6" max="6" width="13.54296875" customWidth="1" collapsed="1"/>
  </cols>
  <sheetData>
    <row r="1" spans="1:6" ht="12.75" customHeight="1">
      <c r="A1" s="473" t="s">
        <v>364</v>
      </c>
      <c r="B1" s="473"/>
      <c r="C1" s="473"/>
      <c r="D1" s="3">
        <f>'Cash at Bank-1020.100'!D1</f>
        <v>44835</v>
      </c>
    </row>
    <row r="2" spans="1:6" ht="12.75" customHeight="1">
      <c r="A2" s="2"/>
      <c r="B2" s="2"/>
      <c r="C2" s="4"/>
    </row>
    <row r="3" spans="1:6" ht="12.75" customHeight="1">
      <c r="A3" s="5" t="str">
        <f>+'Deferred Tax Liability-2330'!A3</f>
        <v xml:space="preserve">BALANCE AS AT </v>
      </c>
      <c r="B3" s="2"/>
      <c r="C3" s="4"/>
    </row>
    <row r="5" spans="1:6" ht="12.75" customHeight="1">
      <c r="A5" s="5" t="s">
        <v>824</v>
      </c>
    </row>
    <row r="6" spans="1:6" ht="12.75" customHeight="1">
      <c r="A6" s="5"/>
    </row>
    <row r="7" spans="1:6" ht="12.75" customHeight="1">
      <c r="A7" s="5" t="s">
        <v>825</v>
      </c>
    </row>
    <row r="8" spans="1:6" ht="12.75" customHeight="1">
      <c r="A8" s="5"/>
      <c r="D8" s="26"/>
      <c r="E8" s="7">
        <v>44805</v>
      </c>
      <c r="F8" s="7">
        <f>E8+30</f>
        <v>44835</v>
      </c>
    </row>
    <row r="9" spans="1:6" ht="12.75" customHeight="1">
      <c r="A9" s="5" t="s">
        <v>826</v>
      </c>
      <c r="C9" s="22">
        <f>'Trial Balance'!F82</f>
        <v>-4054883.8</v>
      </c>
      <c r="D9" s="26"/>
      <c r="E9" s="10">
        <v>-4054883.8</v>
      </c>
      <c r="F9" s="10">
        <f>$C$9</f>
        <v>-4054883.8</v>
      </c>
    </row>
    <row r="10" spans="1:6" ht="12.75" customHeight="1">
      <c r="A10" s="5"/>
      <c r="C10" s="19"/>
      <c r="D10" s="26"/>
      <c r="E10" s="12"/>
      <c r="F10" s="12"/>
    </row>
    <row r="11" spans="1:6" ht="12.75" customHeight="1">
      <c r="A11" s="24" t="s">
        <v>628</v>
      </c>
      <c r="C11" s="19">
        <v>-4054883.8</v>
      </c>
      <c r="D11" s="26"/>
      <c r="E11" s="10">
        <v>-4054883.8</v>
      </c>
      <c r="F11" s="10">
        <f t="shared" ref="F11" si="0">E13</f>
        <v>-4054883.8</v>
      </c>
    </row>
    <row r="12" spans="1:6" ht="12.75" customHeight="1">
      <c r="A12" s="24" t="s">
        <v>764</v>
      </c>
      <c r="C12" s="19">
        <f>SUM(F12:AZF12)</f>
        <v>0</v>
      </c>
      <c r="D12" s="26"/>
      <c r="E12" s="10"/>
      <c r="F12" s="10"/>
    </row>
    <row r="13" spans="1:6" ht="12.75" customHeight="1">
      <c r="A13" s="24" t="s">
        <v>827</v>
      </c>
      <c r="C13" s="19">
        <f>C11+C12</f>
        <v>-4054883.8</v>
      </c>
      <c r="D13" s="26"/>
      <c r="E13" s="10">
        <v>-4054883.8</v>
      </c>
      <c r="F13" s="10">
        <f t="shared" ref="F13" si="1">SUM(F11:F12)</f>
        <v>-4054883.8</v>
      </c>
    </row>
    <row r="14" spans="1:6" ht="12.75" customHeight="1">
      <c r="A14" s="24"/>
      <c r="C14" s="19"/>
      <c r="D14" s="26"/>
      <c r="E14" s="12"/>
      <c r="F14" s="12"/>
    </row>
    <row r="15" spans="1:6" ht="12.75" customHeight="1">
      <c r="A15" s="13" t="s">
        <v>370</v>
      </c>
      <c r="B15" s="14"/>
      <c r="C15" s="15">
        <f>C9-C13</f>
        <v>0</v>
      </c>
      <c r="D15" s="26"/>
      <c r="E15" s="27">
        <v>0</v>
      </c>
      <c r="F15" s="27">
        <f t="shared" ref="F15" si="2">F9-F13</f>
        <v>0</v>
      </c>
    </row>
    <row r="20" spans="1:1" ht="12.75" customHeight="1">
      <c r="A20" s="25" t="str">
        <f>'Cash in Hand-1020'!A26</f>
        <v>Charmaine Chan</v>
      </c>
    </row>
    <row r="21" spans="1:1" ht="12.75" customHeight="1">
      <c r="A21" s="5" t="s">
        <v>372</v>
      </c>
    </row>
    <row r="22" spans="1:1" ht="12.75" customHeight="1">
      <c r="A22" s="5"/>
    </row>
    <row r="23" spans="1:1" ht="12.75" customHeight="1">
      <c r="A23" s="5"/>
    </row>
    <row r="24" spans="1:1" ht="12.75" customHeight="1">
      <c r="A24" s="5"/>
    </row>
    <row r="25" spans="1:1" ht="12.75" customHeight="1">
      <c r="A25" s="25"/>
    </row>
    <row r="26" spans="1:1" ht="12.75" customHeight="1">
      <c r="A26" s="5" t="s">
        <v>373</v>
      </c>
    </row>
  </sheetData>
  <mergeCells count="1">
    <mergeCell ref="A1:C1"/>
  </mergeCells>
  <pageMargins left="0.75" right="0.75" top="1" bottom="1" header="0.5" footer="0.5"/>
  <pageSetup orientation="landscape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pageSetUpPr fitToPage="1"/>
  </sheetPr>
  <dimension ref="A1:G38"/>
  <sheetViews>
    <sheetView workbookViewId="0">
      <selection activeCell="J23" sqref="J23"/>
    </sheetView>
  </sheetViews>
  <sheetFormatPr defaultColWidth="9" defaultRowHeight="12.75" customHeight="1"/>
  <cols>
    <col min="1" max="1" width="40.81640625" customWidth="1"/>
    <col min="2" max="2" width="3.54296875" customWidth="1"/>
    <col min="3" max="3" width="15.81640625" style="1" customWidth="1"/>
    <col min="5" max="5" width="23.81640625" customWidth="1"/>
    <col min="6" max="6" width="13.81640625" hidden="1" customWidth="1" collapsed="1"/>
    <col min="7" max="7" width="13.81640625" customWidth="1" collapsed="1"/>
  </cols>
  <sheetData>
    <row r="1" spans="1:7" ht="12.75" customHeight="1">
      <c r="A1" s="473" t="s">
        <v>364</v>
      </c>
      <c r="B1" s="473"/>
      <c r="C1" s="473"/>
      <c r="D1" s="3">
        <f>'Cash at Bank-1020.100'!D1</f>
        <v>44835</v>
      </c>
    </row>
    <row r="2" spans="1:7" ht="12.75" customHeight="1">
      <c r="A2" s="2"/>
      <c r="B2" s="2"/>
      <c r="C2" s="4"/>
    </row>
    <row r="3" spans="1:7" ht="12.75" customHeight="1">
      <c r="A3" s="5" t="str">
        <f>+'Deferred Tax Liability-2330'!A3</f>
        <v xml:space="preserve">BALANCE AS AT </v>
      </c>
      <c r="B3" s="2"/>
      <c r="C3" s="4"/>
    </row>
    <row r="5" spans="1:7" ht="12.75" customHeight="1">
      <c r="A5" s="5" t="s">
        <v>828</v>
      </c>
    </row>
    <row r="6" spans="1:7" ht="12.75" customHeight="1">
      <c r="A6" s="5"/>
      <c r="E6" s="6"/>
      <c r="F6" s="7">
        <v>44805</v>
      </c>
      <c r="G6" s="7">
        <f>F6+30</f>
        <v>44835</v>
      </c>
    </row>
    <row r="7" spans="1:7" ht="12.75" customHeight="1">
      <c r="A7" s="5" t="s">
        <v>829</v>
      </c>
      <c r="C7" s="8">
        <f>'Trial Balance'!F83</f>
        <v>-1494785.1</v>
      </c>
      <c r="E7" s="9" t="s">
        <v>829</v>
      </c>
      <c r="F7" s="10">
        <v>-1494785.1</v>
      </c>
      <c r="G7" s="10">
        <f>$C$7</f>
        <v>-1494785.1</v>
      </c>
    </row>
    <row r="8" spans="1:7" ht="12.75" customHeight="1">
      <c r="A8" s="5"/>
      <c r="C8" s="8"/>
      <c r="E8" s="11"/>
      <c r="F8" s="12"/>
      <c r="G8" s="12"/>
    </row>
    <row r="9" spans="1:7" ht="12.75" customHeight="1">
      <c r="A9" s="5" t="s">
        <v>830</v>
      </c>
      <c r="C9" s="8">
        <v>-1494785.1</v>
      </c>
      <c r="E9" s="9" t="s">
        <v>830</v>
      </c>
      <c r="F9" s="10">
        <v>-1494785.1</v>
      </c>
      <c r="G9" s="10">
        <f>-1494785.1</f>
        <v>-1494785.1</v>
      </c>
    </row>
    <row r="10" spans="1:7" ht="12.75" customHeight="1">
      <c r="A10" s="5"/>
      <c r="C10" s="8"/>
      <c r="E10" s="9"/>
      <c r="F10" s="12"/>
      <c r="G10" s="12"/>
    </row>
    <row r="11" spans="1:7" ht="12.75" customHeight="1">
      <c r="A11" s="13" t="s">
        <v>370</v>
      </c>
      <c r="B11" s="14"/>
      <c r="C11" s="15">
        <f>C7-C9</f>
        <v>0</v>
      </c>
      <c r="E11" s="16" t="s">
        <v>370</v>
      </c>
      <c r="F11" s="17">
        <v>0</v>
      </c>
      <c r="G11" s="17">
        <f t="shared" ref="G11" si="0">G9-G7</f>
        <v>0</v>
      </c>
    </row>
    <row r="12" spans="1:7" ht="12.75" customHeight="1">
      <c r="A12" s="18"/>
      <c r="C12" s="19"/>
    </row>
    <row r="13" spans="1:7" ht="12.75" customHeight="1">
      <c r="A13" s="18"/>
      <c r="C13" s="19"/>
    </row>
    <row r="14" spans="1:7" ht="12.75" customHeight="1">
      <c r="A14" s="5"/>
      <c r="C14" s="8"/>
      <c r="E14" s="6"/>
      <c r="F14" s="7">
        <v>44805</v>
      </c>
      <c r="G14" s="7">
        <f t="shared" ref="G14" si="1">G6</f>
        <v>44835</v>
      </c>
    </row>
    <row r="15" spans="1:7" ht="12.75" customHeight="1">
      <c r="A15" s="5" t="s">
        <v>831</v>
      </c>
      <c r="C15" s="8">
        <f>'Trial Balance'!F84</f>
        <v>3863449.07</v>
      </c>
      <c r="E15" s="9" t="s">
        <v>832</v>
      </c>
      <c r="F15" s="10">
        <v>3863449.07</v>
      </c>
      <c r="G15" s="10">
        <f t="shared" ref="G15" si="2">$C$15</f>
        <v>3863449.07</v>
      </c>
    </row>
    <row r="16" spans="1:7" ht="12.75" customHeight="1">
      <c r="A16" s="5"/>
      <c r="C16" s="8"/>
      <c r="E16" s="9" t="s">
        <v>833</v>
      </c>
      <c r="F16" s="12">
        <v>3863449.07</v>
      </c>
      <c r="G16" s="12">
        <f t="shared" ref="G16" si="3">F18</f>
        <v>3863449.07</v>
      </c>
    </row>
    <row r="17" spans="1:7" ht="12.75" customHeight="1">
      <c r="A17" s="5"/>
      <c r="E17" s="9" t="s">
        <v>834</v>
      </c>
      <c r="F17" s="10"/>
      <c r="G17" s="10"/>
    </row>
    <row r="18" spans="1:7" ht="12.75" customHeight="1">
      <c r="A18" s="5"/>
      <c r="E18" s="20" t="s">
        <v>362</v>
      </c>
      <c r="F18" s="21">
        <v>3863449.07</v>
      </c>
      <c r="G18" s="21">
        <f t="shared" ref="G18" si="4">G16+G17</f>
        <v>3863449.07</v>
      </c>
    </row>
    <row r="19" spans="1:7" ht="12.75" customHeight="1">
      <c r="A19" s="5" t="s">
        <v>835</v>
      </c>
      <c r="C19" s="22">
        <f>3772981.97</f>
        <v>3772981.97</v>
      </c>
      <c r="E19" s="9"/>
      <c r="F19" s="12"/>
      <c r="G19" s="12"/>
    </row>
    <row r="20" spans="1:7" ht="12.75" customHeight="1">
      <c r="A20" s="5"/>
      <c r="E20" s="16" t="s">
        <v>370</v>
      </c>
      <c r="F20" s="23">
        <v>0</v>
      </c>
      <c r="G20" s="23">
        <f t="shared" ref="G20" si="5">G18-G15</f>
        <v>0</v>
      </c>
    </row>
    <row r="21" spans="1:7" ht="12.75" customHeight="1">
      <c r="A21" s="5" t="s">
        <v>836</v>
      </c>
      <c r="C21" s="1">
        <f>101685-159305-11264.35+170870.42+691.4+25643.94-40.23+957.62-38771.7</f>
        <v>90467.1</v>
      </c>
    </row>
    <row r="22" spans="1:7" ht="12.75" customHeight="1">
      <c r="A22" s="5"/>
    </row>
    <row r="23" spans="1:7" ht="12.75" customHeight="1">
      <c r="A23" s="5" t="s">
        <v>837</v>
      </c>
    </row>
    <row r="24" spans="1:7" ht="12.75" customHeight="1">
      <c r="A24" s="24" t="s">
        <v>838</v>
      </c>
    </row>
    <row r="25" spans="1:7" ht="12.75" customHeight="1">
      <c r="A25" s="5" t="s">
        <v>362</v>
      </c>
      <c r="C25" s="1">
        <f>SUM(C19:C24)</f>
        <v>3863449.0700000003</v>
      </c>
    </row>
    <row r="27" spans="1:7" ht="12.75" customHeight="1">
      <c r="A27" s="13" t="s">
        <v>370</v>
      </c>
      <c r="B27" s="14"/>
      <c r="C27" s="15">
        <f>C15-C25</f>
        <v>0</v>
      </c>
    </row>
    <row r="32" spans="1:7" ht="12.75" customHeight="1">
      <c r="A32" s="25" t="str">
        <f>'Cash in Hand-1020'!A26</f>
        <v>Charmaine Chan</v>
      </c>
    </row>
    <row r="33" spans="1:1" ht="12.75" customHeight="1">
      <c r="A33" s="5" t="s">
        <v>372</v>
      </c>
    </row>
    <row r="34" spans="1:1" ht="12.75" customHeight="1">
      <c r="A34" s="5"/>
    </row>
    <row r="35" spans="1:1" ht="12.75" customHeight="1">
      <c r="A35" s="5"/>
    </row>
    <row r="36" spans="1:1" ht="12.75" customHeight="1">
      <c r="A36" s="5"/>
    </row>
    <row r="37" spans="1:1" ht="12.75" customHeight="1">
      <c r="A37" s="25"/>
    </row>
    <row r="38" spans="1:1" ht="12.75" customHeight="1">
      <c r="A38" s="5" t="s">
        <v>373</v>
      </c>
    </row>
  </sheetData>
  <mergeCells count="1">
    <mergeCell ref="A1:C1"/>
  </mergeCells>
  <pageMargins left="0.75" right="0.75" top="1" bottom="1" header="0.5" footer="0.5"/>
  <pageSetup scale="91" orientation="landscape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</vt:i4>
      </vt:variant>
      <vt:variant>
        <vt:lpstr>Named Ranges</vt:lpstr>
      </vt:variant>
      <vt:variant>
        <vt:i4>6</vt:i4>
      </vt:variant>
    </vt:vector>
  </HeadingPairs>
  <TitlesOfParts>
    <vt:vector size="69" baseType="lpstr">
      <vt:lpstr>TB Dump</vt:lpstr>
      <vt:lpstr>Trial Balance</vt:lpstr>
      <vt:lpstr>Cash in Hand-1020</vt:lpstr>
      <vt:lpstr>Cash at Bank-1020.100</vt:lpstr>
      <vt:lpstr>Rental Bond-1030.110</vt:lpstr>
      <vt:lpstr>CMA-1030.100</vt:lpstr>
      <vt:lpstr>AR Control-1050</vt:lpstr>
      <vt:lpstr>Logged Receipts-1050.300</vt:lpstr>
      <vt:lpstr>AR FX-1050.200</vt:lpstr>
      <vt:lpstr>Inv to Issue-1060</vt:lpstr>
      <vt:lpstr>Credit Notes to Issue-1070</vt:lpstr>
      <vt:lpstr>Provision for Bad Debts-1080</vt:lpstr>
      <vt:lpstr>Advances to Suppliers-1120</vt:lpstr>
      <vt:lpstr>Deposits-1120.100</vt:lpstr>
      <vt:lpstr>Accrued Revenue-1140</vt:lpstr>
      <vt:lpstr>Other Receivables-1190</vt:lpstr>
      <vt:lpstr>Netting Suspense-1190.200</vt:lpstr>
      <vt:lpstr>Stock-1220</vt:lpstr>
      <vt:lpstr>Prepaid Expense-1250</vt:lpstr>
      <vt:lpstr>WIP-1270</vt:lpstr>
      <vt:lpstr>Def Tax Asset Current-1290</vt:lpstr>
      <vt:lpstr>CWIP-1380</vt:lpstr>
      <vt:lpstr>LE-1370&amp;1520</vt:lpstr>
      <vt:lpstr>MV-1400&amp;1470</vt:lpstr>
      <vt:lpstr>CHware-1410&amp;1480</vt:lpstr>
      <vt:lpstr>CSware-1420&amp;1490</vt:lpstr>
      <vt:lpstr>P&amp;E-1430&amp;1500</vt:lpstr>
      <vt:lpstr>F&amp;F-1450&amp;1510</vt:lpstr>
      <vt:lpstr>Goodwill-1560&amp;1570</vt:lpstr>
      <vt:lpstr>Deferred Tax Assets-1770</vt:lpstr>
      <vt:lpstr>Right-Of-Use Building-1850&amp;1853</vt:lpstr>
      <vt:lpstr>Right Of Use Auto-1851&amp;1854</vt:lpstr>
      <vt:lpstr>Right-Of-Use Equip-1852&amp;1855</vt:lpstr>
      <vt:lpstr>Creditor Control-2020</vt:lpstr>
      <vt:lpstr>AP FX Rev. Offset-2020.200</vt:lpstr>
      <vt:lpstr>Accrued Trade Payables-2040.100</vt:lpstr>
      <vt:lpstr>Prov for Audit Fees-2040.200</vt:lpstr>
      <vt:lpstr>Prov for Lease Liab-2040.300</vt:lpstr>
      <vt:lpstr>Credit Note to Receive-2050</vt:lpstr>
      <vt:lpstr>GRNV-2055</vt:lpstr>
      <vt:lpstr>NOTE PAYABLE ST - OP LEASE-2115</vt:lpstr>
      <vt:lpstr>PAYG clg-2150</vt:lpstr>
      <vt:lpstr>Accrued Payroll-2160</vt:lpstr>
      <vt:lpstr>Payroll Clearing-2160.100</vt:lpstr>
      <vt:lpstr>Super Clearing-2160.200</vt:lpstr>
      <vt:lpstr>Accrued Payroll Taxes-2170</vt:lpstr>
      <vt:lpstr>Accrued FBT-2170.100</vt:lpstr>
      <vt:lpstr>AL&amp;Loading-2180.100&amp;2180.200</vt:lpstr>
      <vt:lpstr>LSL-2180.300&amp;2180.400</vt:lpstr>
      <vt:lpstr>Bonus Provision-2190.100</vt:lpstr>
      <vt:lpstr>Income Tax Prov-2210</vt:lpstr>
      <vt:lpstr>GST Clg-2220</vt:lpstr>
      <vt:lpstr>Withholding Tax Payable-2230</vt:lpstr>
      <vt:lpstr>St Debt-2245</vt:lpstr>
      <vt:lpstr>Provision for Contingency -2270</vt:lpstr>
      <vt:lpstr>PROVISION FOR LITIGATION -2260</vt:lpstr>
      <vt:lpstr>Deferred Income-2310</vt:lpstr>
      <vt:lpstr>Deferred Tax Liability-2330</vt:lpstr>
      <vt:lpstr>Group Loan-2480</vt:lpstr>
      <vt:lpstr>Other Liab LT-2490</vt:lpstr>
      <vt:lpstr>EXT PAYABLE LT-OP LEASE-2421</vt:lpstr>
      <vt:lpstr>Paid Up Capital-2911</vt:lpstr>
      <vt:lpstr>Retained Earnings-2931&amp;2931.100</vt:lpstr>
      <vt:lpstr>'AL&amp;Loading-2180.100&amp;2180.200'!Print_Area</vt:lpstr>
      <vt:lpstr>'AR FX-1050.200'!Print_Area</vt:lpstr>
      <vt:lpstr>'Income Tax Prov-2210'!Print_Area</vt:lpstr>
      <vt:lpstr>'LSL-2180.300&amp;2180.400'!Print_Area</vt:lpstr>
      <vt:lpstr>'Trial Balance'!Print_Area</vt:lpstr>
      <vt:lpstr>'Trial Balance'!Print_Titles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Bricknell</dc:creator>
  <cp:lastModifiedBy>Matthew Lee</cp:lastModifiedBy>
  <cp:lastPrinted>2022-10-10T04:51:56Z</cp:lastPrinted>
  <dcterms:created xsi:type="dcterms:W3CDTF">2007-10-15T00:35:00Z</dcterms:created>
  <dcterms:modified xsi:type="dcterms:W3CDTF">2022-10-14T06:00:41Z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734D1681AF7447F3968B523E0CAD174A</vt:lpwstr>
  </property>
  <property fmtid="{D5CDD505-2E9C-101B-9397-08002B2CF9AE}" pid="3" name="KSOProductBuildVer">
    <vt:lpwstr>1033-11.2.0.11254</vt:lpwstr>
  </property>
</Properties>
</file>